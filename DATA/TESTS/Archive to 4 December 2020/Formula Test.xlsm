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free\Documents\Works-Us\Catalogued Works\2020\2020zk Working Paper 3\"/>
    </mc:Choice>
  </mc:AlternateContent>
  <xr:revisionPtr revIDLastSave="0" documentId="13_ncr:1_{6D482537-DCB4-4D4A-B1C7-3ACC7DDD9C7E}" xr6:coauthVersionLast="45" xr6:coauthVersionMax="45" xr10:uidLastSave="{00000000-0000-0000-0000-000000000000}"/>
  <bookViews>
    <workbookView xWindow="-98" yWindow="-98" windowWidth="28996" windowHeight="15945" activeTab="1" xr2:uid="{00000000-000D-0000-FFFF-FFFF00000000}"/>
  </bookViews>
  <sheets>
    <sheet name="WDI USD Original" sheetId="1" r:id="rId1"/>
    <sheet name="WDI USD Formulae" sheetId="7" r:id="rId2"/>
  </sheets>
  <functionGroups builtInGroupCount="19"/>
  <definedNames>
    <definedName name="CurrentSource">'WDI USD Formulae'!$B$2</definedName>
    <definedName name="CurrentUSDPivot">'WDI USD Formulae'!$A$7</definedName>
    <definedName name="CurrentUSDSector">'WDI USD Formulae'!$B$5</definedName>
    <definedName name="OutputMeasures">'WDI USD Formulae'!$B$1</definedName>
    <definedName name="USDUnits">'WDI USD Formulae'!$B$4</definedName>
    <definedName name="WDIAvailability">'WDI USD Formulae'!$B$3</definedName>
  </definedNames>
  <calcPr calcId="191029"/>
  <pivotCaches>
    <pivotCache cacheId="0" r:id="rId3"/>
    <pivotCache cacheId="1" r:id="rId4"/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7" l="1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00" i="7" l="1"/>
  <c r="A84" i="7"/>
  <c r="A68" i="7"/>
  <c r="A52" i="7"/>
  <c r="A36" i="7"/>
  <c r="A20" i="7"/>
  <c r="AU8" i="7"/>
  <c r="AE8" i="7"/>
  <c r="O8" i="7"/>
  <c r="A99" i="7"/>
  <c r="A83" i="7"/>
  <c r="A67" i="7"/>
  <c r="A51" i="7"/>
  <c r="A35" i="7"/>
  <c r="A19" i="7"/>
  <c r="AT8" i="7"/>
  <c r="AD8" i="7"/>
  <c r="N8" i="7"/>
  <c r="A114" i="7"/>
  <c r="A98" i="7"/>
  <c r="A82" i="7"/>
  <c r="A66" i="7"/>
  <c r="A50" i="7"/>
  <c r="A34" i="7"/>
  <c r="A18" i="7"/>
  <c r="AS8" i="7"/>
  <c r="AC8" i="7"/>
  <c r="M8" i="7"/>
  <c r="A113" i="7"/>
  <c r="A97" i="7"/>
  <c r="A81" i="7"/>
  <c r="A65" i="7"/>
  <c r="A49" i="7"/>
  <c r="A33" i="7"/>
  <c r="A17" i="7"/>
  <c r="AR8" i="7"/>
  <c r="AB8" i="7"/>
  <c r="L8" i="7"/>
  <c r="A111" i="7"/>
  <c r="A95" i="7"/>
  <c r="A79" i="7"/>
  <c r="A63" i="7"/>
  <c r="A47" i="7"/>
  <c r="A31" i="7"/>
  <c r="A15" i="7"/>
  <c r="AP8" i="7"/>
  <c r="Z8" i="7"/>
  <c r="J8" i="7"/>
  <c r="A110" i="7"/>
  <c r="A94" i="7"/>
  <c r="A78" i="7"/>
  <c r="A62" i="7"/>
  <c r="A46" i="7"/>
  <c r="A30" i="7"/>
  <c r="A14" i="7"/>
  <c r="AO8" i="7"/>
  <c r="Y8" i="7"/>
  <c r="I8" i="7"/>
  <c r="A109" i="7"/>
  <c r="A93" i="7"/>
  <c r="A77" i="7"/>
  <c r="A61" i="7"/>
  <c r="A45" i="7"/>
  <c r="A29" i="7"/>
  <c r="A13" i="7"/>
  <c r="AN8" i="7"/>
  <c r="X8" i="7"/>
  <c r="H8" i="7"/>
  <c r="A108" i="7"/>
  <c r="A92" i="7"/>
  <c r="A76" i="7"/>
  <c r="A60" i="7"/>
  <c r="A44" i="7"/>
  <c r="A28" i="7"/>
  <c r="A12" i="7"/>
  <c r="AM8" i="7"/>
  <c r="W8" i="7"/>
  <c r="G8" i="7"/>
  <c r="A107" i="7"/>
  <c r="A91" i="7"/>
  <c r="A75" i="7"/>
  <c r="A59" i="7"/>
  <c r="A43" i="7"/>
  <c r="A27" i="7"/>
  <c r="A11" i="7"/>
  <c r="AL8" i="7"/>
  <c r="V8" i="7"/>
  <c r="F8" i="7"/>
  <c r="A106" i="7"/>
  <c r="A90" i="7"/>
  <c r="A74" i="7"/>
  <c r="A58" i="7"/>
  <c r="A42" i="7"/>
  <c r="A26" i="7"/>
  <c r="A10" i="7"/>
  <c r="AK8" i="7"/>
  <c r="U8" i="7"/>
  <c r="E8" i="7"/>
  <c r="A105" i="7"/>
  <c r="A89" i="7"/>
  <c r="A73" i="7"/>
  <c r="A57" i="7"/>
  <c r="A41" i="7"/>
  <c r="A25" i="7"/>
  <c r="A9" i="7"/>
  <c r="AJ8" i="7"/>
  <c r="T8" i="7"/>
  <c r="D8" i="7"/>
  <c r="A104" i="7"/>
  <c r="A88" i="7"/>
  <c r="A72" i="7"/>
  <c r="A56" i="7"/>
  <c r="A40" i="7"/>
  <c r="A24" i="7"/>
  <c r="AY8" i="7"/>
  <c r="AI8" i="7"/>
  <c r="S8" i="7"/>
  <c r="C8" i="7"/>
  <c r="A103" i="7"/>
  <c r="A87" i="7"/>
  <c r="A71" i="7"/>
  <c r="A55" i="7"/>
  <c r="A39" i="7"/>
  <c r="A23" i="7"/>
  <c r="AX8" i="7"/>
  <c r="AH8" i="7"/>
  <c r="R8" i="7"/>
  <c r="B8" i="7"/>
  <c r="A102" i="7"/>
  <c r="A86" i="7"/>
  <c r="A70" i="7"/>
  <c r="A54" i="7"/>
  <c r="A38" i="7"/>
  <c r="A22" i="7"/>
  <c r="AW8" i="7"/>
  <c r="AG8" i="7"/>
  <c r="Q8" i="7"/>
  <c r="A7" i="7"/>
  <c r="L40" i="7"/>
  <c r="AB40" i="7"/>
  <c r="AR40" i="7"/>
  <c r="I41" i="7"/>
  <c r="Y41" i="7"/>
  <c r="AO41" i="7"/>
  <c r="F42" i="7"/>
  <c r="V42" i="7"/>
  <c r="A112" i="7"/>
  <c r="AA8" i="7"/>
  <c r="C40" i="7"/>
  <c r="AC40" i="7"/>
  <c r="AX40" i="7"/>
  <c r="V41" i="7"/>
  <c r="AT41" i="7"/>
  <c r="R42" i="7"/>
  <c r="AO42" i="7"/>
  <c r="J43" i="7"/>
  <c r="C44" i="7"/>
  <c r="W44" i="7"/>
  <c r="AS44" i="7"/>
  <c r="AJ45" i="7"/>
  <c r="G46" i="7"/>
  <c r="AB46" i="7"/>
  <c r="AU46" i="7"/>
  <c r="N47" i="7"/>
  <c r="AG47" i="7"/>
  <c r="AX47" i="7"/>
  <c r="A101" i="7"/>
  <c r="P8" i="7"/>
  <c r="F40" i="7"/>
  <c r="AD40" i="7"/>
  <c r="AY40" i="7"/>
  <c r="Z41" i="7"/>
  <c r="AU41" i="7"/>
  <c r="S42" i="7"/>
  <c r="AP42" i="7"/>
  <c r="M43" i="7"/>
  <c r="AI43" i="7"/>
  <c r="D44" i="7"/>
  <c r="Z44" i="7"/>
  <c r="Q45" i="7"/>
  <c r="AM45" i="7"/>
  <c r="J46" i="7"/>
  <c r="AC46" i="7"/>
  <c r="P47" i="7"/>
  <c r="AH47" i="7"/>
  <c r="A96" i="7"/>
  <c r="K8" i="7"/>
  <c r="A85" i="7"/>
  <c r="A80" i="7"/>
  <c r="A69" i="7"/>
  <c r="A64" i="7"/>
  <c r="A53" i="7"/>
  <c r="O40" i="7"/>
  <c r="AL40" i="7"/>
  <c r="K41" i="7"/>
  <c r="G42" i="7"/>
  <c r="AB42" i="7"/>
  <c r="AX42" i="7"/>
  <c r="U43" i="7"/>
  <c r="AO43" i="7"/>
  <c r="L44" i="7"/>
  <c r="AH44" i="7"/>
  <c r="C45" i="7"/>
  <c r="Y45" i="7"/>
  <c r="AU45" i="7"/>
  <c r="P46" i="7"/>
  <c r="AJ46" i="7"/>
  <c r="D47" i="7"/>
  <c r="W47" i="7"/>
  <c r="AO47" i="7"/>
  <c r="C49" i="7"/>
  <c r="S49" i="7"/>
  <c r="AI49" i="7"/>
  <c r="AY49" i="7"/>
  <c r="P50" i="7"/>
  <c r="M51" i="7"/>
  <c r="AC51" i="7"/>
  <c r="AS51" i="7"/>
  <c r="J52" i="7"/>
  <c r="Z52" i="7"/>
  <c r="AP52" i="7"/>
  <c r="G53" i="7"/>
  <c r="W53" i="7"/>
  <c r="AM53" i="7"/>
  <c r="D54" i="7"/>
  <c r="T54" i="7"/>
  <c r="AJ54" i="7"/>
  <c r="Q55" i="7"/>
  <c r="AG55" i="7"/>
  <c r="AW55" i="7"/>
  <c r="N56" i="7"/>
  <c r="AD56" i="7"/>
  <c r="AT56" i="7"/>
  <c r="K57" i="7"/>
  <c r="AA57" i="7"/>
  <c r="H58" i="7"/>
  <c r="X58" i="7"/>
  <c r="AN58" i="7"/>
  <c r="E59" i="7"/>
  <c r="U59" i="7"/>
  <c r="AK59" i="7"/>
  <c r="B60" i="7"/>
  <c r="R60" i="7"/>
  <c r="AH60" i="7"/>
  <c r="AX60" i="7"/>
  <c r="O61" i="7"/>
  <c r="AE61" i="7"/>
  <c r="AU61" i="7"/>
  <c r="L62" i="7"/>
  <c r="AB62" i="7"/>
  <c r="AR62" i="7"/>
  <c r="I63" i="7"/>
  <c r="Y63" i="7"/>
  <c r="AO63" i="7"/>
  <c r="F64" i="7"/>
  <c r="V64" i="7"/>
  <c r="AL64" i="7"/>
  <c r="C65" i="7"/>
  <c r="S65" i="7"/>
  <c r="AI65" i="7"/>
  <c r="AY65" i="7"/>
  <c r="P66" i="7"/>
  <c r="M67" i="7"/>
  <c r="AC67" i="7"/>
  <c r="AS67" i="7"/>
  <c r="J68" i="7"/>
  <c r="Z68" i="7"/>
  <c r="AP68" i="7"/>
  <c r="G69" i="7"/>
  <c r="W69" i="7"/>
  <c r="A48" i="7"/>
  <c r="P40" i="7"/>
  <c r="AM40" i="7"/>
  <c r="L41" i="7"/>
  <c r="AI41" i="7"/>
  <c r="H42" i="7"/>
  <c r="AC42" i="7"/>
  <c r="AY42" i="7"/>
  <c r="V43" i="7"/>
  <c r="AP43" i="7"/>
  <c r="M44" i="7"/>
  <c r="AI44" i="7"/>
  <c r="D45" i="7"/>
  <c r="Z45" i="7"/>
  <c r="Q46" i="7"/>
  <c r="AK46" i="7"/>
  <c r="E47" i="7"/>
  <c r="X47" i="7"/>
  <c r="AP47" i="7"/>
  <c r="G48" i="7"/>
  <c r="W48" i="7"/>
  <c r="AM48" i="7"/>
  <c r="D49" i="7"/>
  <c r="T49" i="7"/>
  <c r="AJ49" i="7"/>
  <c r="Q50" i="7"/>
  <c r="AG50" i="7"/>
  <c r="AW50" i="7"/>
  <c r="N51" i="7"/>
  <c r="AD51" i="7"/>
  <c r="AT51" i="7"/>
  <c r="K52" i="7"/>
  <c r="AA52" i="7"/>
  <c r="H53" i="7"/>
  <c r="X53" i="7"/>
  <c r="AN53" i="7"/>
  <c r="E54" i="7"/>
  <c r="U54" i="7"/>
  <c r="AK54" i="7"/>
  <c r="B55" i="7"/>
  <c r="R55" i="7"/>
  <c r="AH55" i="7"/>
  <c r="AX55" i="7"/>
  <c r="O56" i="7"/>
  <c r="AE56" i="7"/>
  <c r="AU56" i="7"/>
  <c r="L57" i="7"/>
  <c r="AB57" i="7"/>
  <c r="AR57" i="7"/>
  <c r="I58" i="7"/>
  <c r="Y58" i="7"/>
  <c r="AO58" i="7"/>
  <c r="F59" i="7"/>
  <c r="V59" i="7"/>
  <c r="AL59" i="7"/>
  <c r="C60" i="7"/>
  <c r="S60" i="7"/>
  <c r="AI60" i="7"/>
  <c r="AY60" i="7"/>
  <c r="P61" i="7"/>
  <c r="M62" i="7"/>
  <c r="AC62" i="7"/>
  <c r="AS62" i="7"/>
  <c r="J63" i="7"/>
  <c r="Z63" i="7"/>
  <c r="AP63" i="7"/>
  <c r="G64" i="7"/>
  <c r="W64" i="7"/>
  <c r="AM64" i="7"/>
  <c r="D65" i="7"/>
  <c r="T65" i="7"/>
  <c r="AJ65" i="7"/>
  <c r="Q66" i="7"/>
  <c r="AG66" i="7"/>
  <c r="AW66" i="7"/>
  <c r="N67" i="7"/>
  <c r="AD67" i="7"/>
  <c r="AT67" i="7"/>
  <c r="K68" i="7"/>
  <c r="AA68" i="7"/>
  <c r="H69" i="7"/>
  <c r="X69" i="7"/>
  <c r="A37" i="7"/>
  <c r="Q40" i="7"/>
  <c r="AN40" i="7"/>
  <c r="M41" i="7"/>
  <c r="AJ41" i="7"/>
  <c r="I42" i="7"/>
  <c r="C43" i="7"/>
  <c r="W43" i="7"/>
  <c r="AS43" i="7"/>
  <c r="P44" i="7"/>
  <c r="AJ44" i="7"/>
  <c r="G45" i="7"/>
  <c r="AC45" i="7"/>
  <c r="AW45" i="7"/>
  <c r="S46" i="7"/>
  <c r="AL46" i="7"/>
  <c r="A32" i="7"/>
  <c r="R40" i="7"/>
  <c r="AO40" i="7"/>
  <c r="N41" i="7"/>
  <c r="AK41" i="7"/>
  <c r="J42" i="7"/>
  <c r="AG42" i="7"/>
  <c r="D43" i="7"/>
  <c r="X43" i="7"/>
  <c r="AT43" i="7"/>
  <c r="Q44" i="7"/>
  <c r="AK44" i="7"/>
  <c r="H45" i="7"/>
  <c r="AD45" i="7"/>
  <c r="AX45" i="7"/>
  <c r="T46" i="7"/>
  <c r="AM46" i="7"/>
  <c r="A21" i="7"/>
  <c r="A16" i="7"/>
  <c r="AV8" i="7"/>
  <c r="AF8" i="7"/>
  <c r="B40" i="7"/>
  <c r="Y40" i="7"/>
  <c r="AW40" i="7"/>
  <c r="U41" i="7"/>
  <c r="AS41" i="7"/>
  <c r="Q42" i="7"/>
  <c r="AN42" i="7"/>
  <c r="I43" i="7"/>
  <c r="AE43" i="7"/>
  <c r="B44" i="7"/>
  <c r="V44" i="7"/>
  <c r="AR44" i="7"/>
  <c r="O45" i="7"/>
  <c r="AI45" i="7"/>
  <c r="F46" i="7"/>
  <c r="AA46" i="7"/>
  <c r="AT46" i="7"/>
  <c r="M47" i="7"/>
  <c r="AF47" i="7"/>
  <c r="AW47" i="7"/>
  <c r="N48" i="7"/>
  <c r="AD48" i="7"/>
  <c r="AT48" i="7"/>
  <c r="K49" i="7"/>
  <c r="AA49" i="7"/>
  <c r="H50" i="7"/>
  <c r="X50" i="7"/>
  <c r="AN50" i="7"/>
  <c r="E51" i="7"/>
  <c r="U51" i="7"/>
  <c r="AK51" i="7"/>
  <c r="B52" i="7"/>
  <c r="R52" i="7"/>
  <c r="AH52" i="7"/>
  <c r="AX52" i="7"/>
  <c r="O53" i="7"/>
  <c r="AE53" i="7"/>
  <c r="AU53" i="7"/>
  <c r="L54" i="7"/>
  <c r="AB54" i="7"/>
  <c r="AR54" i="7"/>
  <c r="I55" i="7"/>
  <c r="Y55" i="7"/>
  <c r="AO55" i="7"/>
  <c r="F56" i="7"/>
  <c r="V56" i="7"/>
  <c r="AL56" i="7"/>
  <c r="C57" i="7"/>
  <c r="S57" i="7"/>
  <c r="AI57" i="7"/>
  <c r="AY57" i="7"/>
  <c r="P58" i="7"/>
  <c r="AF58" i="7"/>
  <c r="AV58" i="7"/>
  <c r="M59" i="7"/>
  <c r="AC59" i="7"/>
  <c r="AS59" i="7"/>
  <c r="J60" i="7"/>
  <c r="Z60" i="7"/>
  <c r="AP60" i="7"/>
  <c r="G61" i="7"/>
  <c r="W61" i="7"/>
  <c r="AM61" i="7"/>
  <c r="D62" i="7"/>
  <c r="T62" i="7"/>
  <c r="AJ62" i="7"/>
  <c r="Q63" i="7"/>
  <c r="AG63" i="7"/>
  <c r="AW63" i="7"/>
  <c r="N64" i="7"/>
  <c r="AD64" i="7"/>
  <c r="AT64" i="7"/>
  <c r="K65" i="7"/>
  <c r="AA65" i="7"/>
  <c r="H66" i="7"/>
  <c r="X66" i="7"/>
  <c r="AN66" i="7"/>
  <c r="E67" i="7"/>
  <c r="U67" i="7"/>
  <c r="AK67" i="7"/>
  <c r="B68" i="7"/>
  <c r="R68" i="7"/>
  <c r="AH68" i="7"/>
  <c r="AX68" i="7"/>
  <c r="O69" i="7"/>
  <c r="AQ8" i="7"/>
  <c r="X40" i="7"/>
  <c r="P41" i="7"/>
  <c r="C42" i="7"/>
  <c r="AS42" i="7"/>
  <c r="AJ43" i="7"/>
  <c r="T44" i="7"/>
  <c r="I45" i="7"/>
  <c r="AS45" i="7"/>
  <c r="AE46" i="7"/>
  <c r="J47" i="7"/>
  <c r="AK47" i="7"/>
  <c r="I48" i="7"/>
  <c r="AB48" i="7"/>
  <c r="AV48" i="7"/>
  <c r="P49" i="7"/>
  <c r="AK49" i="7"/>
  <c r="E50" i="7"/>
  <c r="Y50" i="7"/>
  <c r="AR50" i="7"/>
  <c r="L51" i="7"/>
  <c r="AG51" i="7"/>
  <c r="U52" i="7"/>
  <c r="AN52" i="7"/>
  <c r="J53" i="7"/>
  <c r="AC53" i="7"/>
  <c r="AW53" i="7"/>
  <c r="Q54" i="7"/>
  <c r="AL54" i="7"/>
  <c r="F55" i="7"/>
  <c r="Z55" i="7"/>
  <c r="AS55" i="7"/>
  <c r="M56" i="7"/>
  <c r="AH56" i="7"/>
  <c r="B57" i="7"/>
  <c r="V57" i="7"/>
  <c r="AO57" i="7"/>
  <c r="K58" i="7"/>
  <c r="AD58" i="7"/>
  <c r="AX58" i="7"/>
  <c r="R59" i="7"/>
  <c r="AM59" i="7"/>
  <c r="G60" i="7"/>
  <c r="AA60" i="7"/>
  <c r="AT60" i="7"/>
  <c r="N61" i="7"/>
  <c r="AI61" i="7"/>
  <c r="C62" i="7"/>
  <c r="W62" i="7"/>
  <c r="AP62" i="7"/>
  <c r="L63" i="7"/>
  <c r="AE63" i="7"/>
  <c r="AY63" i="7"/>
  <c r="S64" i="7"/>
  <c r="AN64" i="7"/>
  <c r="AE40" i="7"/>
  <c r="S41" i="7"/>
  <c r="K42" i="7"/>
  <c r="AV42" i="7"/>
  <c r="AK43" i="7"/>
  <c r="U44" i="7"/>
  <c r="J45" i="7"/>
  <c r="AT45" i="7"/>
  <c r="AF46" i="7"/>
  <c r="K47" i="7"/>
  <c r="AM47" i="7"/>
  <c r="J48" i="7"/>
  <c r="AC48" i="7"/>
  <c r="AW48" i="7"/>
  <c r="Q49" i="7"/>
  <c r="AL49" i="7"/>
  <c r="F50" i="7"/>
  <c r="Z50" i="7"/>
  <c r="AS50" i="7"/>
  <c r="O51" i="7"/>
  <c r="AH51" i="7"/>
  <c r="C52" i="7"/>
  <c r="V52" i="7"/>
  <c r="AO52" i="7"/>
  <c r="K53" i="7"/>
  <c r="AD53" i="7"/>
  <c r="AX53" i="7"/>
  <c r="R54" i="7"/>
  <c r="AM54" i="7"/>
  <c r="G55" i="7"/>
  <c r="AA55" i="7"/>
  <c r="AT55" i="7"/>
  <c r="P56" i="7"/>
  <c r="AI56" i="7"/>
  <c r="D57" i="7"/>
  <c r="W57" i="7"/>
  <c r="AP57" i="7"/>
  <c r="L58" i="7"/>
  <c r="AE58" i="7"/>
  <c r="AY58" i="7"/>
  <c r="S59" i="7"/>
  <c r="AN59" i="7"/>
  <c r="H60" i="7"/>
  <c r="AB60" i="7"/>
  <c r="AU60" i="7"/>
  <c r="Q61" i="7"/>
  <c r="AJ61" i="7"/>
  <c r="E62" i="7"/>
  <c r="X62" i="7"/>
  <c r="AQ62" i="7"/>
  <c r="M63" i="7"/>
  <c r="AF63" i="7"/>
  <c r="T64" i="7"/>
  <c r="AO64" i="7"/>
  <c r="AF40" i="7"/>
  <c r="T41" i="7"/>
  <c r="L42" i="7"/>
  <c r="AW42" i="7"/>
  <c r="AL43" i="7"/>
  <c r="AA44" i="7"/>
  <c r="M45" i="7"/>
  <c r="AY45" i="7"/>
  <c r="AG46" i="7"/>
  <c r="L47" i="7"/>
  <c r="AN47" i="7"/>
  <c r="K48" i="7"/>
  <c r="AE48" i="7"/>
  <c r="AX48" i="7"/>
  <c r="R49" i="7"/>
  <c r="AM49" i="7"/>
  <c r="G50" i="7"/>
  <c r="AA50" i="7"/>
  <c r="AT50" i="7"/>
  <c r="P51" i="7"/>
  <c r="AI51" i="7"/>
  <c r="D52" i="7"/>
  <c r="W52" i="7"/>
  <c r="AR52" i="7"/>
  <c r="L53" i="7"/>
  <c r="AF53" i="7"/>
  <c r="AY53" i="7"/>
  <c r="S54" i="7"/>
  <c r="AN54" i="7"/>
  <c r="H55" i="7"/>
  <c r="AB55" i="7"/>
  <c r="AU55" i="7"/>
  <c r="Q56" i="7"/>
  <c r="AJ56" i="7"/>
  <c r="E57" i="7"/>
  <c r="X57" i="7"/>
  <c r="AS57" i="7"/>
  <c r="M58" i="7"/>
  <c r="AG58" i="7"/>
  <c r="T59" i="7"/>
  <c r="AO59" i="7"/>
  <c r="I60" i="7"/>
  <c r="AC60" i="7"/>
  <c r="AV60" i="7"/>
  <c r="R61" i="7"/>
  <c r="AK61" i="7"/>
  <c r="F62" i="7"/>
  <c r="Y62" i="7"/>
  <c r="AT62" i="7"/>
  <c r="N63" i="7"/>
  <c r="AH63" i="7"/>
  <c r="B64" i="7"/>
  <c r="U64" i="7"/>
  <c r="AP64" i="7"/>
  <c r="J65" i="7"/>
  <c r="AD65" i="7"/>
  <c r="AW65" i="7"/>
  <c r="S66" i="7"/>
  <c r="AL66" i="7"/>
  <c r="G67" i="7"/>
  <c r="Z67" i="7"/>
  <c r="AU67" i="7"/>
  <c r="O68" i="7"/>
  <c r="AI68" i="7"/>
  <c r="C69" i="7"/>
  <c r="V69" i="7"/>
  <c r="AN69" i="7"/>
  <c r="E70" i="7"/>
  <c r="U70" i="7"/>
  <c r="AK70" i="7"/>
  <c r="B71" i="7"/>
  <c r="R71" i="7"/>
  <c r="AH71" i="7"/>
  <c r="AX71" i="7"/>
  <c r="O72" i="7"/>
  <c r="AE72" i="7"/>
  <c r="AU72" i="7"/>
  <c r="L73" i="7"/>
  <c r="AB73" i="7"/>
  <c r="AR73" i="7"/>
  <c r="I74" i="7"/>
  <c r="Y74" i="7"/>
  <c r="AO74" i="7"/>
  <c r="AG40" i="7"/>
  <c r="AA41" i="7"/>
  <c r="M42" i="7"/>
  <c r="E43" i="7"/>
  <c r="AM43" i="7"/>
  <c r="AB44" i="7"/>
  <c r="N45" i="7"/>
  <c r="AI46" i="7"/>
  <c r="Q47" i="7"/>
  <c r="AQ47" i="7"/>
  <c r="L48" i="7"/>
  <c r="AF48" i="7"/>
  <c r="AY48" i="7"/>
  <c r="U49" i="7"/>
  <c r="AN49" i="7"/>
  <c r="I50" i="7"/>
  <c r="AB50" i="7"/>
  <c r="AU50" i="7"/>
  <c r="Q51" i="7"/>
  <c r="AJ51" i="7"/>
  <c r="E52" i="7"/>
  <c r="X52" i="7"/>
  <c r="AS52" i="7"/>
  <c r="M53" i="7"/>
  <c r="AG53" i="7"/>
  <c r="V54" i="7"/>
  <c r="AO54" i="7"/>
  <c r="J55" i="7"/>
  <c r="AC55" i="7"/>
  <c r="AV55" i="7"/>
  <c r="R56" i="7"/>
  <c r="AK56" i="7"/>
  <c r="F57" i="7"/>
  <c r="Y57" i="7"/>
  <c r="AT57" i="7"/>
  <c r="N58" i="7"/>
  <c r="AH58" i="7"/>
  <c r="B59" i="7"/>
  <c r="W59" i="7"/>
  <c r="AP59" i="7"/>
  <c r="K60" i="7"/>
  <c r="AD60" i="7"/>
  <c r="AW60" i="7"/>
  <c r="S61" i="7"/>
  <c r="AL61" i="7"/>
  <c r="G62" i="7"/>
  <c r="Z62" i="7"/>
  <c r="AU62" i="7"/>
  <c r="AH40" i="7"/>
  <c r="AB41" i="7"/>
  <c r="P42" i="7"/>
  <c r="F43" i="7"/>
  <c r="AN43" i="7"/>
  <c r="AC44" i="7"/>
  <c r="R45" i="7"/>
  <c r="D46" i="7"/>
  <c r="AP46" i="7"/>
  <c r="R47" i="7"/>
  <c r="AR47" i="7"/>
  <c r="M48" i="7"/>
  <c r="AG48" i="7"/>
  <c r="V49" i="7"/>
  <c r="AO49" i="7"/>
  <c r="J50" i="7"/>
  <c r="AC50" i="7"/>
  <c r="AX50" i="7"/>
  <c r="R51" i="7"/>
  <c r="AL51" i="7"/>
  <c r="F52" i="7"/>
  <c r="Y52" i="7"/>
  <c r="AT52" i="7"/>
  <c r="N53" i="7"/>
  <c r="AH53" i="7"/>
  <c r="B54" i="7"/>
  <c r="W54" i="7"/>
  <c r="AP54" i="7"/>
  <c r="K55" i="7"/>
  <c r="AD55" i="7"/>
  <c r="AY55" i="7"/>
  <c r="S56" i="7"/>
  <c r="AM56" i="7"/>
  <c r="G57" i="7"/>
  <c r="Z57" i="7"/>
  <c r="AU57" i="7"/>
  <c r="O58" i="7"/>
  <c r="AI58" i="7"/>
  <c r="C59" i="7"/>
  <c r="X59" i="7"/>
  <c r="AQ59" i="7"/>
  <c r="L60" i="7"/>
  <c r="AE60" i="7"/>
  <c r="T61" i="7"/>
  <c r="AN61" i="7"/>
  <c r="H62" i="7"/>
  <c r="AI40" i="7"/>
  <c r="AC41" i="7"/>
  <c r="W42" i="7"/>
  <c r="G43" i="7"/>
  <c r="AU43" i="7"/>
  <c r="AF44" i="7"/>
  <c r="S45" i="7"/>
  <c r="E46" i="7"/>
  <c r="AQ46" i="7"/>
  <c r="S47" i="7"/>
  <c r="AS47" i="7"/>
  <c r="O48" i="7"/>
  <c r="AH48" i="7"/>
  <c r="B49" i="7"/>
  <c r="W49" i="7"/>
  <c r="AP49" i="7"/>
  <c r="K50" i="7"/>
  <c r="AD50" i="7"/>
  <c r="AY50" i="7"/>
  <c r="S51" i="7"/>
  <c r="AM51" i="7"/>
  <c r="G52" i="7"/>
  <c r="AB52" i="7"/>
  <c r="AU52" i="7"/>
  <c r="P53" i="7"/>
  <c r="AI53" i="7"/>
  <c r="C54" i="7"/>
  <c r="X54" i="7"/>
  <c r="AQ54" i="7"/>
  <c r="L55" i="7"/>
  <c r="AE55" i="7"/>
  <c r="T56" i="7"/>
  <c r="AN56" i="7"/>
  <c r="H57" i="7"/>
  <c r="AC57" i="7"/>
  <c r="AV57" i="7"/>
  <c r="Q58" i="7"/>
  <c r="AJ58" i="7"/>
  <c r="D59" i="7"/>
  <c r="Y59" i="7"/>
  <c r="AR59" i="7"/>
  <c r="M60" i="7"/>
  <c r="AF60" i="7"/>
  <c r="B61" i="7"/>
  <c r="U61" i="7"/>
  <c r="AO61" i="7"/>
  <c r="I62" i="7"/>
  <c r="AD62" i="7"/>
  <c r="AW62" i="7"/>
  <c r="AS40" i="7"/>
  <c r="AD41" i="7"/>
  <c r="X42" i="7"/>
  <c r="H43" i="7"/>
  <c r="AV43" i="7"/>
  <c r="AG44" i="7"/>
  <c r="T45" i="7"/>
  <c r="K46" i="7"/>
  <c r="AR46" i="7"/>
  <c r="T47" i="7"/>
  <c r="AT47" i="7"/>
  <c r="P48" i="7"/>
  <c r="AI48" i="7"/>
  <c r="E49" i="7"/>
  <c r="X49" i="7"/>
  <c r="AR49" i="7"/>
  <c r="L50" i="7"/>
  <c r="AE50" i="7"/>
  <c r="T51" i="7"/>
  <c r="AN51" i="7"/>
  <c r="H52" i="7"/>
  <c r="AC52" i="7"/>
  <c r="AV52" i="7"/>
  <c r="Q53" i="7"/>
  <c r="AJ53" i="7"/>
  <c r="F54" i="7"/>
  <c r="Y54" i="7"/>
  <c r="AS54" i="7"/>
  <c r="M55" i="7"/>
  <c r="AF55" i="7"/>
  <c r="B56" i="7"/>
  <c r="U56" i="7"/>
  <c r="AO56" i="7"/>
  <c r="I57" i="7"/>
  <c r="AD57" i="7"/>
  <c r="AW57" i="7"/>
  <c r="R58" i="7"/>
  <c r="AK58" i="7"/>
  <c r="G59" i="7"/>
  <c r="Z59" i="7"/>
  <c r="AT59" i="7"/>
  <c r="N60" i="7"/>
  <c r="AG60" i="7"/>
  <c r="C61" i="7"/>
  <c r="V61" i="7"/>
  <c r="AP61" i="7"/>
  <c r="J62" i="7"/>
  <c r="AE62" i="7"/>
  <c r="AX62" i="7"/>
  <c r="S63" i="7"/>
  <c r="AL63" i="7"/>
  <c r="H64" i="7"/>
  <c r="AA64" i="7"/>
  <c r="AU64" i="7"/>
  <c r="O65" i="7"/>
  <c r="AH65" i="7"/>
  <c r="D66" i="7"/>
  <c r="W66" i="7"/>
  <c r="AQ66" i="7"/>
  <c r="K67" i="7"/>
  <c r="AF67" i="7"/>
  <c r="AY67" i="7"/>
  <c r="T68" i="7"/>
  <c r="AM68" i="7"/>
  <c r="I69" i="7"/>
  <c r="AB69" i="7"/>
  <c r="AR69" i="7"/>
  <c r="I70" i="7"/>
  <c r="Y70" i="7"/>
  <c r="AO70" i="7"/>
  <c r="F71" i="7"/>
  <c r="V71" i="7"/>
  <c r="AL71" i="7"/>
  <c r="C72" i="7"/>
  <c r="S72" i="7"/>
  <c r="AI72" i="7"/>
  <c r="AY72" i="7"/>
  <c r="P73" i="7"/>
  <c r="AF73" i="7"/>
  <c r="AV73" i="7"/>
  <c r="M74" i="7"/>
  <c r="AC74" i="7"/>
  <c r="AS74" i="7"/>
  <c r="J75" i="7"/>
  <c r="Z75" i="7"/>
  <c r="AP75" i="7"/>
  <c r="G76" i="7"/>
  <c r="W76" i="7"/>
  <c r="AM76" i="7"/>
  <c r="D77" i="7"/>
  <c r="T77" i="7"/>
  <c r="AJ77" i="7"/>
  <c r="Q78" i="7"/>
  <c r="AG78" i="7"/>
  <c r="AW78" i="7"/>
  <c r="N79" i="7"/>
  <c r="AD79" i="7"/>
  <c r="AT79" i="7"/>
  <c r="K80" i="7"/>
  <c r="AA80" i="7"/>
  <c r="AQ80" i="7"/>
  <c r="H81" i="7"/>
  <c r="X81" i="7"/>
  <c r="AN81" i="7"/>
  <c r="E82" i="7"/>
  <c r="U82" i="7"/>
  <c r="AK82" i="7"/>
  <c r="B83" i="7"/>
  <c r="R83" i="7"/>
  <c r="AH83" i="7"/>
  <c r="AX83" i="7"/>
  <c r="O84" i="7"/>
  <c r="AE84" i="7"/>
  <c r="AU84" i="7"/>
  <c r="L85" i="7"/>
  <c r="AB85" i="7"/>
  <c r="AR85" i="7"/>
  <c r="I86" i="7"/>
  <c r="Y86" i="7"/>
  <c r="AO86" i="7"/>
  <c r="F87" i="7"/>
  <c r="V87" i="7"/>
  <c r="AL87" i="7"/>
  <c r="C88" i="7"/>
  <c r="S88" i="7"/>
  <c r="AI88" i="7"/>
  <c r="AY88" i="7"/>
  <c r="P89" i="7"/>
  <c r="AF89" i="7"/>
  <c r="AT40" i="7"/>
  <c r="AE41" i="7"/>
  <c r="Y42" i="7"/>
  <c r="N43" i="7"/>
  <c r="AY43" i="7"/>
  <c r="AL44" i="7"/>
  <c r="W45" i="7"/>
  <c r="L46" i="7"/>
  <c r="AS46" i="7"/>
  <c r="U47" i="7"/>
  <c r="AU47" i="7"/>
  <c r="Q48" i="7"/>
  <c r="AJ48" i="7"/>
  <c r="F49" i="7"/>
  <c r="Y49" i="7"/>
  <c r="AS49" i="7"/>
  <c r="M50" i="7"/>
  <c r="AH50" i="7"/>
  <c r="B51" i="7"/>
  <c r="V51" i="7"/>
  <c r="AO51" i="7"/>
  <c r="I52" i="7"/>
  <c r="AD52" i="7"/>
  <c r="AW52" i="7"/>
  <c r="R53" i="7"/>
  <c r="AK53" i="7"/>
  <c r="G54" i="7"/>
  <c r="Z54" i="7"/>
  <c r="AT54" i="7"/>
  <c r="N55" i="7"/>
  <c r="AI55" i="7"/>
  <c r="C56" i="7"/>
  <c r="W56" i="7"/>
  <c r="AP56" i="7"/>
  <c r="J57" i="7"/>
  <c r="AE57" i="7"/>
  <c r="AX57" i="7"/>
  <c r="S58" i="7"/>
  <c r="AL58" i="7"/>
  <c r="H59" i="7"/>
  <c r="AA59" i="7"/>
  <c r="AU59" i="7"/>
  <c r="O60" i="7"/>
  <c r="AJ60" i="7"/>
  <c r="D61" i="7"/>
  <c r="X61" i="7"/>
  <c r="AQ61" i="7"/>
  <c r="K62" i="7"/>
  <c r="AF62" i="7"/>
  <c r="AY62" i="7"/>
  <c r="T63" i="7"/>
  <c r="AM63" i="7"/>
  <c r="I64" i="7"/>
  <c r="AB64" i="7"/>
  <c r="AV64" i="7"/>
  <c r="P65" i="7"/>
  <c r="AK65" i="7"/>
  <c r="E66" i="7"/>
  <c r="Y66" i="7"/>
  <c r="AR66" i="7"/>
  <c r="L67" i="7"/>
  <c r="AG67" i="7"/>
  <c r="U68" i="7"/>
  <c r="AN68" i="7"/>
  <c r="J69" i="7"/>
  <c r="AC69" i="7"/>
  <c r="AS69" i="7"/>
  <c r="J70" i="7"/>
  <c r="Z70" i="7"/>
  <c r="AP70" i="7"/>
  <c r="G71" i="7"/>
  <c r="W71" i="7"/>
  <c r="AM71" i="7"/>
  <c r="D72" i="7"/>
  <c r="T72" i="7"/>
  <c r="AJ72" i="7"/>
  <c r="Q73" i="7"/>
  <c r="AG73" i="7"/>
  <c r="AW73" i="7"/>
  <c r="N74" i="7"/>
  <c r="AD74" i="7"/>
  <c r="AT74" i="7"/>
  <c r="K75" i="7"/>
  <c r="AA75" i="7"/>
  <c r="AQ75" i="7"/>
  <c r="H76" i="7"/>
  <c r="X76" i="7"/>
  <c r="AN76" i="7"/>
  <c r="E77" i="7"/>
  <c r="U77" i="7"/>
  <c r="AK77" i="7"/>
  <c r="B78" i="7"/>
  <c r="R78" i="7"/>
  <c r="AH78" i="7"/>
  <c r="AX78" i="7"/>
  <c r="O79" i="7"/>
  <c r="AE79" i="7"/>
  <c r="AU79" i="7"/>
  <c r="L80" i="7"/>
  <c r="AB80" i="7"/>
  <c r="AR80" i="7"/>
  <c r="I81" i="7"/>
  <c r="Y81" i="7"/>
  <c r="AO81" i="7"/>
  <c r="F82" i="7"/>
  <c r="V82" i="7"/>
  <c r="AL82" i="7"/>
  <c r="C83" i="7"/>
  <c r="S83" i="7"/>
  <c r="AI83" i="7"/>
  <c r="AY83" i="7"/>
  <c r="P84" i="7"/>
  <c r="AF84" i="7"/>
  <c r="G40" i="7"/>
  <c r="AU40" i="7"/>
  <c r="AL41" i="7"/>
  <c r="Z42" i="7"/>
  <c r="O43" i="7"/>
  <c r="AM44" i="7"/>
  <c r="X45" i="7"/>
  <c r="M46" i="7"/>
  <c r="AW46" i="7"/>
  <c r="Y47" i="7"/>
  <c r="AV47" i="7"/>
  <c r="R48" i="7"/>
  <c r="AK48" i="7"/>
  <c r="G49" i="7"/>
  <c r="Z49" i="7"/>
  <c r="AT49" i="7"/>
  <c r="N50" i="7"/>
  <c r="AI50" i="7"/>
  <c r="C51" i="7"/>
  <c r="W51" i="7"/>
  <c r="AP51" i="7"/>
  <c r="L52" i="7"/>
  <c r="AE52" i="7"/>
  <c r="AY52" i="7"/>
  <c r="S53" i="7"/>
  <c r="AL53" i="7"/>
  <c r="H54" i="7"/>
  <c r="AA54" i="7"/>
  <c r="AU54" i="7"/>
  <c r="O55" i="7"/>
  <c r="AJ55" i="7"/>
  <c r="D56" i="7"/>
  <c r="X56" i="7"/>
  <c r="AQ56" i="7"/>
  <c r="M57" i="7"/>
  <c r="AF57" i="7"/>
  <c r="T58" i="7"/>
  <c r="AM58" i="7"/>
  <c r="I59" i="7"/>
  <c r="AB59" i="7"/>
  <c r="AV59" i="7"/>
  <c r="P60" i="7"/>
  <c r="AK60" i="7"/>
  <c r="E61" i="7"/>
  <c r="Y61" i="7"/>
  <c r="AR61" i="7"/>
  <c r="N62" i="7"/>
  <c r="AG62" i="7"/>
  <c r="B63" i="7"/>
  <c r="U63" i="7"/>
  <c r="AN63" i="7"/>
  <c r="J64" i="7"/>
  <c r="H40" i="7"/>
  <c r="AV40" i="7"/>
  <c r="AP41" i="7"/>
  <c r="AA42" i="7"/>
  <c r="P43" i="7"/>
  <c r="E44" i="7"/>
  <c r="AP44" i="7"/>
  <c r="AE45" i="7"/>
  <c r="N46" i="7"/>
  <c r="AY46" i="7"/>
  <c r="Z47" i="7"/>
  <c r="AY47" i="7"/>
  <c r="S48" i="7"/>
  <c r="AN48" i="7"/>
  <c r="H49" i="7"/>
  <c r="AB49" i="7"/>
  <c r="AU49" i="7"/>
  <c r="O50" i="7"/>
  <c r="AJ50" i="7"/>
  <c r="D51" i="7"/>
  <c r="X51" i="7"/>
  <c r="AQ51" i="7"/>
  <c r="M52" i="7"/>
  <c r="AF52" i="7"/>
  <c r="T53" i="7"/>
  <c r="AO53" i="7"/>
  <c r="I54" i="7"/>
  <c r="AC54" i="7"/>
  <c r="AV54" i="7"/>
  <c r="P55" i="7"/>
  <c r="AK55" i="7"/>
  <c r="E56" i="7"/>
  <c r="Y56" i="7"/>
  <c r="AR56" i="7"/>
  <c r="N57" i="7"/>
  <c r="AG57" i="7"/>
  <c r="B58" i="7"/>
  <c r="U58" i="7"/>
  <c r="AP58" i="7"/>
  <c r="J59" i="7"/>
  <c r="AD59" i="7"/>
  <c r="AW59" i="7"/>
  <c r="Q60" i="7"/>
  <c r="AL60" i="7"/>
  <c r="F61" i="7"/>
  <c r="Z61" i="7"/>
  <c r="AS61" i="7"/>
  <c r="O62" i="7"/>
  <c r="AH62" i="7"/>
  <c r="I40" i="7"/>
  <c r="C41" i="7"/>
  <c r="AQ41" i="7"/>
  <c r="AH42" i="7"/>
  <c r="S43" i="7"/>
  <c r="F44" i="7"/>
  <c r="AQ44" i="7"/>
  <c r="AF45" i="7"/>
  <c r="O46" i="7"/>
  <c r="AA47" i="7"/>
  <c r="T48" i="7"/>
  <c r="AO48" i="7"/>
  <c r="I49" i="7"/>
  <c r="AC49" i="7"/>
  <c r="AV49" i="7"/>
  <c r="R50" i="7"/>
  <c r="AK50" i="7"/>
  <c r="F51" i="7"/>
  <c r="Y51" i="7"/>
  <c r="AR51" i="7"/>
  <c r="N52" i="7"/>
  <c r="AG52" i="7"/>
  <c r="B53" i="7"/>
  <c r="U53" i="7"/>
  <c r="AP53" i="7"/>
  <c r="J54" i="7"/>
  <c r="AD54" i="7"/>
  <c r="AW54" i="7"/>
  <c r="S55" i="7"/>
  <c r="AL55" i="7"/>
  <c r="G56" i="7"/>
  <c r="Z56" i="7"/>
  <c r="AS56" i="7"/>
  <c r="O57" i="7"/>
  <c r="AH57" i="7"/>
  <c r="C58" i="7"/>
  <c r="V58" i="7"/>
  <c r="AQ58" i="7"/>
  <c r="K59" i="7"/>
  <c r="AE59" i="7"/>
  <c r="AX59" i="7"/>
  <c r="T60" i="7"/>
  <c r="AM60" i="7"/>
  <c r="H61" i="7"/>
  <c r="AA61" i="7"/>
  <c r="AT61" i="7"/>
  <c r="P62" i="7"/>
  <c r="AI62" i="7"/>
  <c r="D63" i="7"/>
  <c r="W63" i="7"/>
  <c r="AR63" i="7"/>
  <c r="L64" i="7"/>
  <c r="AF64" i="7"/>
  <c r="AY64" i="7"/>
  <c r="U65" i="7"/>
  <c r="AN65" i="7"/>
  <c r="I66" i="7"/>
  <c r="AB66" i="7"/>
  <c r="AU66" i="7"/>
  <c r="Q67" i="7"/>
  <c r="AJ67" i="7"/>
  <c r="E68" i="7"/>
  <c r="X68" i="7"/>
  <c r="AS68" i="7"/>
  <c r="M69" i="7"/>
  <c r="AF69" i="7"/>
  <c r="AV69" i="7"/>
  <c r="M70" i="7"/>
  <c r="AC70" i="7"/>
  <c r="AS70" i="7"/>
  <c r="J71" i="7"/>
  <c r="Z71" i="7"/>
  <c r="AP71" i="7"/>
  <c r="G72" i="7"/>
  <c r="W72" i="7"/>
  <c r="AM72" i="7"/>
  <c r="D73" i="7"/>
  <c r="T73" i="7"/>
  <c r="AJ73" i="7"/>
  <c r="Q74" i="7"/>
  <c r="M40" i="7"/>
  <c r="D41" i="7"/>
  <c r="AR41" i="7"/>
  <c r="AI42" i="7"/>
  <c r="T43" i="7"/>
  <c r="G44" i="7"/>
  <c r="AW44" i="7"/>
  <c r="AG45" i="7"/>
  <c r="U46" i="7"/>
  <c r="B47" i="7"/>
  <c r="AB47" i="7"/>
  <c r="B48" i="7"/>
  <c r="U48" i="7"/>
  <c r="AP48" i="7"/>
  <c r="J49" i="7"/>
  <c r="AD49" i="7"/>
  <c r="AW49" i="7"/>
  <c r="S50" i="7"/>
  <c r="AL50" i="7"/>
  <c r="G51" i="7"/>
  <c r="Z51" i="7"/>
  <c r="AU51" i="7"/>
  <c r="O52" i="7"/>
  <c r="AI52" i="7"/>
  <c r="C53" i="7"/>
  <c r="V53" i="7"/>
  <c r="AQ53" i="7"/>
  <c r="K54" i="7"/>
  <c r="AE54" i="7"/>
  <c r="AX54" i="7"/>
  <c r="T55" i="7"/>
  <c r="AM55" i="7"/>
  <c r="H56" i="7"/>
  <c r="AA56" i="7"/>
  <c r="AV56" i="7"/>
  <c r="P57" i="7"/>
  <c r="AJ57" i="7"/>
  <c r="D58" i="7"/>
  <c r="W58" i="7"/>
  <c r="AR58" i="7"/>
  <c r="L59" i="7"/>
  <c r="AF59" i="7"/>
  <c r="AY59" i="7"/>
  <c r="U60" i="7"/>
  <c r="AN60" i="7"/>
  <c r="I61" i="7"/>
  <c r="AB61" i="7"/>
  <c r="AW61" i="7"/>
  <c r="N40" i="7"/>
  <c r="E41" i="7"/>
  <c r="AV41" i="7"/>
  <c r="AL42" i="7"/>
  <c r="Y43" i="7"/>
  <c r="J44" i="7"/>
  <c r="AX44" i="7"/>
  <c r="AH45" i="7"/>
  <c r="V46" i="7"/>
  <c r="C47" i="7"/>
  <c r="AC47" i="7"/>
  <c r="C48" i="7"/>
  <c r="X48" i="7"/>
  <c r="AQ48" i="7"/>
  <c r="L49" i="7"/>
  <c r="AE49" i="7"/>
  <c r="AX49" i="7"/>
  <c r="T50" i="7"/>
  <c r="AM50" i="7"/>
  <c r="H51" i="7"/>
  <c r="AA51" i="7"/>
  <c r="AV51" i="7"/>
  <c r="P52" i="7"/>
  <c r="AJ52" i="7"/>
  <c r="D53" i="7"/>
  <c r="Y53" i="7"/>
  <c r="AR53" i="7"/>
  <c r="M54" i="7"/>
  <c r="AF54" i="7"/>
  <c r="AY54" i="7"/>
  <c r="U55" i="7"/>
  <c r="AN55" i="7"/>
  <c r="I56" i="7"/>
  <c r="AB56" i="7"/>
  <c r="AW56" i="7"/>
  <c r="Q57" i="7"/>
  <c r="AK57" i="7"/>
  <c r="E58" i="7"/>
  <c r="Z58" i="7"/>
  <c r="AS58" i="7"/>
  <c r="N59" i="7"/>
  <c r="AG59" i="7"/>
  <c r="V60" i="7"/>
  <c r="AO60" i="7"/>
  <c r="J61" i="7"/>
  <c r="AC61" i="7"/>
  <c r="AX61" i="7"/>
  <c r="R62" i="7"/>
  <c r="AL62" i="7"/>
  <c r="S40" i="7"/>
  <c r="F41" i="7"/>
  <c r="AY41" i="7"/>
  <c r="AM42" i="7"/>
  <c r="Z43" i="7"/>
  <c r="K44" i="7"/>
  <c r="AY44" i="7"/>
  <c r="AN45" i="7"/>
  <c r="W46" i="7"/>
  <c r="G47" i="7"/>
  <c r="AD47" i="7"/>
  <c r="D48" i="7"/>
  <c r="Y48" i="7"/>
  <c r="AR48" i="7"/>
  <c r="M49" i="7"/>
  <c r="AF49" i="7"/>
  <c r="B50" i="7"/>
  <c r="U50" i="7"/>
  <c r="AO50" i="7"/>
  <c r="I51" i="7"/>
  <c r="AB51" i="7"/>
  <c r="AW51" i="7"/>
  <c r="Q52" i="7"/>
  <c r="AK52" i="7"/>
  <c r="E53" i="7"/>
  <c r="Z53" i="7"/>
  <c r="AS53" i="7"/>
  <c r="N54" i="7"/>
  <c r="AG54" i="7"/>
  <c r="C55" i="7"/>
  <c r="V55" i="7"/>
  <c r="AP55" i="7"/>
  <c r="J56" i="7"/>
  <c r="AC56" i="7"/>
  <c r="AX56" i="7"/>
  <c r="R57" i="7"/>
  <c r="AL57" i="7"/>
  <c r="F58" i="7"/>
  <c r="AA58" i="7"/>
  <c r="AT58" i="7"/>
  <c r="O59" i="7"/>
  <c r="AH59" i="7"/>
  <c r="D60" i="7"/>
  <c r="W60" i="7"/>
  <c r="AQ60" i="7"/>
  <c r="K61" i="7"/>
  <c r="AD61" i="7"/>
  <c r="AY61" i="7"/>
  <c r="S62" i="7"/>
  <c r="AM62" i="7"/>
  <c r="G63" i="7"/>
  <c r="AB63" i="7"/>
  <c r="AU63" i="7"/>
  <c r="P64" i="7"/>
  <c r="AI64" i="7"/>
  <c r="E65" i="7"/>
  <c r="X65" i="7"/>
  <c r="AR65" i="7"/>
  <c r="L66" i="7"/>
  <c r="V40" i="7"/>
  <c r="J41" i="7"/>
  <c r="AQ42" i="7"/>
  <c r="AC43" i="7"/>
  <c r="R44" i="7"/>
  <c r="AO45" i="7"/>
  <c r="Z46" i="7"/>
  <c r="H47" i="7"/>
  <c r="AI47" i="7"/>
  <c r="E48" i="7"/>
  <c r="Z48" i="7"/>
  <c r="AS48" i="7"/>
  <c r="N49" i="7"/>
  <c r="AG49" i="7"/>
  <c r="C50" i="7"/>
  <c r="V50" i="7"/>
  <c r="AP50" i="7"/>
  <c r="J51" i="7"/>
  <c r="AE51" i="7"/>
  <c r="AX51" i="7"/>
  <c r="S52" i="7"/>
  <c r="AL52" i="7"/>
  <c r="F53" i="7"/>
  <c r="AA53" i="7"/>
  <c r="AT53" i="7"/>
  <c r="O54" i="7"/>
  <c r="AH54" i="7"/>
  <c r="D55" i="7"/>
  <c r="W55" i="7"/>
  <c r="AQ55" i="7"/>
  <c r="K56" i="7"/>
  <c r="AF56" i="7"/>
  <c r="AY56" i="7"/>
  <c r="T57" i="7"/>
  <c r="AM57" i="7"/>
  <c r="G58" i="7"/>
  <c r="AB58" i="7"/>
  <c r="AU58" i="7"/>
  <c r="P59" i="7"/>
  <c r="AI59" i="7"/>
  <c r="E60" i="7"/>
  <c r="X60" i="7"/>
  <c r="AR60" i="7"/>
  <c r="L61" i="7"/>
  <c r="AG61" i="7"/>
  <c r="U62" i="7"/>
  <c r="AN62" i="7"/>
  <c r="H63" i="7"/>
  <c r="AC63" i="7"/>
  <c r="AV63" i="7"/>
  <c r="Q64" i="7"/>
  <c r="AJ64" i="7"/>
  <c r="F65" i="7"/>
  <c r="Y65" i="7"/>
  <c r="AS65" i="7"/>
  <c r="M66" i="7"/>
  <c r="AH66" i="7"/>
  <c r="B67" i="7"/>
  <c r="V67" i="7"/>
  <c r="AO67" i="7"/>
  <c r="I68" i="7"/>
  <c r="AD68" i="7"/>
  <c r="AW68" i="7"/>
  <c r="R69" i="7"/>
  <c r="AJ69" i="7"/>
  <c r="Q70" i="7"/>
  <c r="AG70" i="7"/>
  <c r="AW70" i="7"/>
  <c r="N71" i="7"/>
  <c r="AD71" i="7"/>
  <c r="AT71" i="7"/>
  <c r="K72" i="7"/>
  <c r="AA72" i="7"/>
  <c r="AQ72" i="7"/>
  <c r="H73" i="7"/>
  <c r="X73" i="7"/>
  <c r="AN73" i="7"/>
  <c r="E74" i="7"/>
  <c r="U74" i="7"/>
  <c r="AK74" i="7"/>
  <c r="B75" i="7"/>
  <c r="R75" i="7"/>
  <c r="AH75" i="7"/>
  <c r="AX75" i="7"/>
  <c r="O76" i="7"/>
  <c r="AE76" i="7"/>
  <c r="AU76" i="7"/>
  <c r="L77" i="7"/>
  <c r="AB77" i="7"/>
  <c r="AR77" i="7"/>
  <c r="I78" i="7"/>
  <c r="Y78" i="7"/>
  <c r="AO78" i="7"/>
  <c r="F79" i="7"/>
  <c r="V79" i="7"/>
  <c r="AL79" i="7"/>
  <c r="C80" i="7"/>
  <c r="S80" i="7"/>
  <c r="AI80" i="7"/>
  <c r="AY80" i="7"/>
  <c r="P81" i="7"/>
  <c r="AF81" i="7"/>
  <c r="AV81" i="7"/>
  <c r="M82" i="7"/>
  <c r="AC82" i="7"/>
  <c r="AS82" i="7"/>
  <c r="J83" i="7"/>
  <c r="Z83" i="7"/>
  <c r="AP83" i="7"/>
  <c r="G84" i="7"/>
  <c r="W84" i="7"/>
  <c r="AM84" i="7"/>
  <c r="D85" i="7"/>
  <c r="T85" i="7"/>
  <c r="AJ85" i="7"/>
  <c r="Q86" i="7"/>
  <c r="AG86" i="7"/>
  <c r="AW86" i="7"/>
  <c r="AA48" i="7"/>
  <c r="AI54" i="7"/>
  <c r="AS60" i="7"/>
  <c r="R63" i="7"/>
  <c r="M64" i="7"/>
  <c r="AF65" i="7"/>
  <c r="N66" i="7"/>
  <c r="AP66" i="7"/>
  <c r="T67" i="7"/>
  <c r="AW67" i="7"/>
  <c r="AB68" i="7"/>
  <c r="D69" i="7"/>
  <c r="AG69" i="7"/>
  <c r="D70" i="7"/>
  <c r="AB70" i="7"/>
  <c r="AY70" i="7"/>
  <c r="X71" i="7"/>
  <c r="AU71" i="7"/>
  <c r="R72" i="7"/>
  <c r="AP72" i="7"/>
  <c r="N73" i="7"/>
  <c r="AL73" i="7"/>
  <c r="J74" i="7"/>
  <c r="AG74" i="7"/>
  <c r="C75" i="7"/>
  <c r="V75" i="7"/>
  <c r="AO75" i="7"/>
  <c r="K76" i="7"/>
  <c r="AD76" i="7"/>
  <c r="AX76" i="7"/>
  <c r="R77" i="7"/>
  <c r="AM77" i="7"/>
  <c r="G78" i="7"/>
  <c r="AA78" i="7"/>
  <c r="AT78" i="7"/>
  <c r="P79" i="7"/>
  <c r="AI79" i="7"/>
  <c r="D80" i="7"/>
  <c r="W80" i="7"/>
  <c r="AP80" i="7"/>
  <c r="L81" i="7"/>
  <c r="AE81" i="7"/>
  <c r="AY81" i="7"/>
  <c r="S82" i="7"/>
  <c r="AN82" i="7"/>
  <c r="H83" i="7"/>
  <c r="AB83" i="7"/>
  <c r="AU83" i="7"/>
  <c r="Q84" i="7"/>
  <c r="AJ84" i="7"/>
  <c r="C85" i="7"/>
  <c r="V85" i="7"/>
  <c r="AN85" i="7"/>
  <c r="G86" i="7"/>
  <c r="Z86" i="7"/>
  <c r="AR86" i="7"/>
  <c r="K87" i="7"/>
  <c r="AU48" i="7"/>
  <c r="E55" i="7"/>
  <c r="M61" i="7"/>
  <c r="V63" i="7"/>
  <c r="O64" i="7"/>
  <c r="B65" i="7"/>
  <c r="AG65" i="7"/>
  <c r="O66" i="7"/>
  <c r="AS66" i="7"/>
  <c r="W67" i="7"/>
  <c r="AX67" i="7"/>
  <c r="AC68" i="7"/>
  <c r="E69" i="7"/>
  <c r="AH69" i="7"/>
  <c r="F70" i="7"/>
  <c r="AD70" i="7"/>
  <c r="Y71" i="7"/>
  <c r="AV71" i="7"/>
  <c r="U72" i="7"/>
  <c r="AR72" i="7"/>
  <c r="O73" i="7"/>
  <c r="AM73" i="7"/>
  <c r="K74" i="7"/>
  <c r="AH74" i="7"/>
  <c r="D75" i="7"/>
  <c r="W75" i="7"/>
  <c r="AR75" i="7"/>
  <c r="L76" i="7"/>
  <c r="AF76" i="7"/>
  <c r="AY76" i="7"/>
  <c r="S77" i="7"/>
  <c r="AN77" i="7"/>
  <c r="H78" i="7"/>
  <c r="AB78" i="7"/>
  <c r="AU78" i="7"/>
  <c r="Q79" i="7"/>
  <c r="AJ79" i="7"/>
  <c r="E80" i="7"/>
  <c r="X80" i="7"/>
  <c r="AS80" i="7"/>
  <c r="M81" i="7"/>
  <c r="AG81" i="7"/>
  <c r="T82" i="7"/>
  <c r="AO82" i="7"/>
  <c r="I83" i="7"/>
  <c r="AC83" i="7"/>
  <c r="AV83" i="7"/>
  <c r="R84" i="7"/>
  <c r="AK84" i="7"/>
  <c r="E85" i="7"/>
  <c r="W85" i="7"/>
  <c r="O49" i="7"/>
  <c r="X55" i="7"/>
  <c r="AH61" i="7"/>
  <c r="X63" i="7"/>
  <c r="R64" i="7"/>
  <c r="G65" i="7"/>
  <c r="AL65" i="7"/>
  <c r="R66" i="7"/>
  <c r="AT66" i="7"/>
  <c r="X67" i="7"/>
  <c r="C68" i="7"/>
  <c r="AE68" i="7"/>
  <c r="F69" i="7"/>
  <c r="AI69" i="7"/>
  <c r="G70" i="7"/>
  <c r="AE70" i="7"/>
  <c r="C71" i="7"/>
  <c r="AA71" i="7"/>
  <c r="AW71" i="7"/>
  <c r="V72" i="7"/>
  <c r="AS72" i="7"/>
  <c r="R73" i="7"/>
  <c r="AO73" i="7"/>
  <c r="L74" i="7"/>
  <c r="AI74" i="7"/>
  <c r="E75" i="7"/>
  <c r="X75" i="7"/>
  <c r="AS75" i="7"/>
  <c r="M76" i="7"/>
  <c r="AG76" i="7"/>
  <c r="V77" i="7"/>
  <c r="AO77" i="7"/>
  <c r="J78" i="7"/>
  <c r="AC78" i="7"/>
  <c r="AV78" i="7"/>
  <c r="R79" i="7"/>
  <c r="AK79" i="7"/>
  <c r="F80" i="7"/>
  <c r="Y80" i="7"/>
  <c r="AT80" i="7"/>
  <c r="N81" i="7"/>
  <c r="AH81" i="7"/>
  <c r="B82" i="7"/>
  <c r="W82" i="7"/>
  <c r="AP82" i="7"/>
  <c r="K83" i="7"/>
  <c r="AD83" i="7"/>
  <c r="AW83" i="7"/>
  <c r="S84" i="7"/>
  <c r="AL84" i="7"/>
  <c r="F85" i="7"/>
  <c r="X85" i="7"/>
  <c r="AH49" i="7"/>
  <c r="AR55" i="7"/>
  <c r="B62" i="7"/>
  <c r="AA63" i="7"/>
  <c r="X64" i="7"/>
  <c r="H65" i="7"/>
  <c r="AM65" i="7"/>
  <c r="T66" i="7"/>
  <c r="AX66" i="7"/>
  <c r="Y67" i="7"/>
  <c r="D68" i="7"/>
  <c r="AF68" i="7"/>
  <c r="K69" i="7"/>
  <c r="AK69" i="7"/>
  <c r="H70" i="7"/>
  <c r="AF70" i="7"/>
  <c r="D71" i="7"/>
  <c r="AB71" i="7"/>
  <c r="AY71" i="7"/>
  <c r="X72" i="7"/>
  <c r="AT72" i="7"/>
  <c r="S73" i="7"/>
  <c r="AP73" i="7"/>
  <c r="O74" i="7"/>
  <c r="AJ74" i="7"/>
  <c r="F75" i="7"/>
  <c r="Y75" i="7"/>
  <c r="AT75" i="7"/>
  <c r="N76" i="7"/>
  <c r="AH76" i="7"/>
  <c r="B77" i="7"/>
  <c r="W77" i="7"/>
  <c r="AP77" i="7"/>
  <c r="K78" i="7"/>
  <c r="AD78" i="7"/>
  <c r="AY78" i="7"/>
  <c r="S79" i="7"/>
  <c r="AM79" i="7"/>
  <c r="G80" i="7"/>
  <c r="Z80" i="7"/>
  <c r="AU80" i="7"/>
  <c r="O81" i="7"/>
  <c r="AI81" i="7"/>
  <c r="C82" i="7"/>
  <c r="X82" i="7"/>
  <c r="AQ82" i="7"/>
  <c r="L83" i="7"/>
  <c r="AE83" i="7"/>
  <c r="T84" i="7"/>
  <c r="AN84" i="7"/>
  <c r="G85" i="7"/>
  <c r="Y85" i="7"/>
  <c r="AQ85" i="7"/>
  <c r="K86" i="7"/>
  <c r="AC86" i="7"/>
  <c r="AU86" i="7"/>
  <c r="N87" i="7"/>
  <c r="AE87" i="7"/>
  <c r="AV87" i="7"/>
  <c r="N88" i="7"/>
  <c r="AE88" i="7"/>
  <c r="AV88" i="7"/>
  <c r="N89" i="7"/>
  <c r="AE89" i="7"/>
  <c r="AV89" i="7"/>
  <c r="M90" i="7"/>
  <c r="AC90" i="7"/>
  <c r="AS90" i="7"/>
  <c r="J91" i="7"/>
  <c r="Z91" i="7"/>
  <c r="AP91" i="7"/>
  <c r="G92" i="7"/>
  <c r="W92" i="7"/>
  <c r="AM92" i="7"/>
  <c r="D93" i="7"/>
  <c r="T93" i="7"/>
  <c r="AJ93" i="7"/>
  <c r="Q94" i="7"/>
  <c r="AG94" i="7"/>
  <c r="AW94" i="7"/>
  <c r="N95" i="7"/>
  <c r="AD95" i="7"/>
  <c r="AT95" i="7"/>
  <c r="K96" i="7"/>
  <c r="AA96" i="7"/>
  <c r="AQ96" i="7"/>
  <c r="H97" i="7"/>
  <c r="X97" i="7"/>
  <c r="AN97" i="7"/>
  <c r="E98" i="7"/>
  <c r="W40" i="7"/>
  <c r="D50" i="7"/>
  <c r="L56" i="7"/>
  <c r="Q62" i="7"/>
  <c r="AD63" i="7"/>
  <c r="Y64" i="7"/>
  <c r="I65" i="7"/>
  <c r="AO65" i="7"/>
  <c r="U66" i="7"/>
  <c r="AY66" i="7"/>
  <c r="AA67" i="7"/>
  <c r="F68" i="7"/>
  <c r="AG68" i="7"/>
  <c r="L69" i="7"/>
  <c r="AL69" i="7"/>
  <c r="K70" i="7"/>
  <c r="AH70" i="7"/>
  <c r="E71" i="7"/>
  <c r="AC71" i="7"/>
  <c r="Y72" i="7"/>
  <c r="AV72" i="7"/>
  <c r="U73" i="7"/>
  <c r="AQ73" i="7"/>
  <c r="P74" i="7"/>
  <c r="AL74" i="7"/>
  <c r="G75" i="7"/>
  <c r="AB75" i="7"/>
  <c r="AU75" i="7"/>
  <c r="P76" i="7"/>
  <c r="AI76" i="7"/>
  <c r="C77" i="7"/>
  <c r="X77" i="7"/>
  <c r="AQ77" i="7"/>
  <c r="L78" i="7"/>
  <c r="AE78" i="7"/>
  <c r="T79" i="7"/>
  <c r="AN79" i="7"/>
  <c r="H80" i="7"/>
  <c r="AC80" i="7"/>
  <c r="AV80" i="7"/>
  <c r="Q81" i="7"/>
  <c r="AJ81" i="7"/>
  <c r="D82" i="7"/>
  <c r="Y82" i="7"/>
  <c r="AR82" i="7"/>
  <c r="M83" i="7"/>
  <c r="AF83" i="7"/>
  <c r="B84" i="7"/>
  <c r="U84" i="7"/>
  <c r="AO84" i="7"/>
  <c r="H85" i="7"/>
  <c r="Z85" i="7"/>
  <c r="O41" i="7"/>
  <c r="W50" i="7"/>
  <c r="AG56" i="7"/>
  <c r="V62" i="7"/>
  <c r="AI63" i="7"/>
  <c r="Z64" i="7"/>
  <c r="L65" i="7"/>
  <c r="AP65" i="7"/>
  <c r="V66" i="7"/>
  <c r="AB67" i="7"/>
  <c r="G68" i="7"/>
  <c r="AJ68" i="7"/>
  <c r="N69" i="7"/>
  <c r="AM69" i="7"/>
  <c r="L70" i="7"/>
  <c r="AI70" i="7"/>
  <c r="H71" i="7"/>
  <c r="AE71" i="7"/>
  <c r="B72" i="7"/>
  <c r="Z72" i="7"/>
  <c r="AW72" i="7"/>
  <c r="V73" i="7"/>
  <c r="AS73" i="7"/>
  <c r="R74" i="7"/>
  <c r="AM74" i="7"/>
  <c r="H75" i="7"/>
  <c r="AC75" i="7"/>
  <c r="AV75" i="7"/>
  <c r="Q76" i="7"/>
  <c r="AJ76" i="7"/>
  <c r="F77" i="7"/>
  <c r="Y77" i="7"/>
  <c r="AS77" i="7"/>
  <c r="M78" i="7"/>
  <c r="AF78" i="7"/>
  <c r="B79" i="7"/>
  <c r="U79" i="7"/>
  <c r="AO79" i="7"/>
  <c r="I80" i="7"/>
  <c r="AD80" i="7"/>
  <c r="AW80" i="7"/>
  <c r="R81" i="7"/>
  <c r="AK81" i="7"/>
  <c r="G82" i="7"/>
  <c r="Z82" i="7"/>
  <c r="AT82" i="7"/>
  <c r="N83" i="7"/>
  <c r="AG83" i="7"/>
  <c r="C84" i="7"/>
  <c r="V84" i="7"/>
  <c r="AP84" i="7"/>
  <c r="I85" i="7"/>
  <c r="AA85" i="7"/>
  <c r="B42" i="7"/>
  <c r="AQ50" i="7"/>
  <c r="AA62" i="7"/>
  <c r="AJ63" i="7"/>
  <c r="AC64" i="7"/>
  <c r="M65" i="7"/>
  <c r="AT65" i="7"/>
  <c r="Z66" i="7"/>
  <c r="C67" i="7"/>
  <c r="AE67" i="7"/>
  <c r="H68" i="7"/>
  <c r="AK68" i="7"/>
  <c r="P69" i="7"/>
  <c r="AO69" i="7"/>
  <c r="N70" i="7"/>
  <c r="AJ70" i="7"/>
  <c r="I71" i="7"/>
  <c r="AF71" i="7"/>
  <c r="E72" i="7"/>
  <c r="AB72" i="7"/>
  <c r="AX72" i="7"/>
  <c r="W73" i="7"/>
  <c r="AT73" i="7"/>
  <c r="S74" i="7"/>
  <c r="AN74" i="7"/>
  <c r="I75" i="7"/>
  <c r="AD75" i="7"/>
  <c r="AW75" i="7"/>
  <c r="R76" i="7"/>
  <c r="AK76" i="7"/>
  <c r="G77" i="7"/>
  <c r="Z77" i="7"/>
  <c r="AT77" i="7"/>
  <c r="N78" i="7"/>
  <c r="AI78" i="7"/>
  <c r="C79" i="7"/>
  <c r="W79" i="7"/>
  <c r="AP79" i="7"/>
  <c r="J80" i="7"/>
  <c r="AE80" i="7"/>
  <c r="AX80" i="7"/>
  <c r="S81" i="7"/>
  <c r="AL81" i="7"/>
  <c r="H82" i="7"/>
  <c r="AA82" i="7"/>
  <c r="AU82" i="7"/>
  <c r="O83" i="7"/>
  <c r="AJ83" i="7"/>
  <c r="D84" i="7"/>
  <c r="X84" i="7"/>
  <c r="AQ84" i="7"/>
  <c r="J85" i="7"/>
  <c r="AC85" i="7"/>
  <c r="AR42" i="7"/>
  <c r="K51" i="7"/>
  <c r="U57" i="7"/>
  <c r="AK62" i="7"/>
  <c r="AK63" i="7"/>
  <c r="AE64" i="7"/>
  <c r="N65" i="7"/>
  <c r="AU65" i="7"/>
  <c r="AA66" i="7"/>
  <c r="D67" i="7"/>
  <c r="AH67" i="7"/>
  <c r="L68" i="7"/>
  <c r="AL68" i="7"/>
  <c r="Q69" i="7"/>
  <c r="AP69" i="7"/>
  <c r="O70" i="7"/>
  <c r="AL70" i="7"/>
  <c r="K71" i="7"/>
  <c r="AG71" i="7"/>
  <c r="F72" i="7"/>
  <c r="AC72" i="7"/>
  <c r="B73" i="7"/>
  <c r="Y73" i="7"/>
  <c r="AU73" i="7"/>
  <c r="T74" i="7"/>
  <c r="AP74" i="7"/>
  <c r="L75" i="7"/>
  <c r="AE75" i="7"/>
  <c r="AY75" i="7"/>
  <c r="S76" i="7"/>
  <c r="AL76" i="7"/>
  <c r="H77" i="7"/>
  <c r="AA77" i="7"/>
  <c r="AU77" i="7"/>
  <c r="O78" i="7"/>
  <c r="AJ78" i="7"/>
  <c r="D79" i="7"/>
  <c r="X79" i="7"/>
  <c r="AQ79" i="7"/>
  <c r="M80" i="7"/>
  <c r="AF80" i="7"/>
  <c r="T81" i="7"/>
  <c r="AM81" i="7"/>
  <c r="I82" i="7"/>
  <c r="AB82" i="7"/>
  <c r="AV82" i="7"/>
  <c r="P83" i="7"/>
  <c r="AK83" i="7"/>
  <c r="E84" i="7"/>
  <c r="Y84" i="7"/>
  <c r="AR84" i="7"/>
  <c r="K85" i="7"/>
  <c r="AD85" i="7"/>
  <c r="AV85" i="7"/>
  <c r="O86" i="7"/>
  <c r="AH86" i="7"/>
  <c r="R87" i="7"/>
  <c r="AI87" i="7"/>
  <c r="R88" i="7"/>
  <c r="AJ88" i="7"/>
  <c r="B89" i="7"/>
  <c r="S89" i="7"/>
  <c r="AJ89" i="7"/>
  <c r="Q90" i="7"/>
  <c r="AG90" i="7"/>
  <c r="AW90" i="7"/>
  <c r="N91" i="7"/>
  <c r="AD91" i="7"/>
  <c r="AT91" i="7"/>
  <c r="K92" i="7"/>
  <c r="AA92" i="7"/>
  <c r="AQ92" i="7"/>
  <c r="H93" i="7"/>
  <c r="X93" i="7"/>
  <c r="AN93" i="7"/>
  <c r="E94" i="7"/>
  <c r="U94" i="7"/>
  <c r="AK94" i="7"/>
  <c r="B95" i="7"/>
  <c r="R95" i="7"/>
  <c r="AH95" i="7"/>
  <c r="AX95" i="7"/>
  <c r="O96" i="7"/>
  <c r="AE96" i="7"/>
  <c r="AU96" i="7"/>
  <c r="L97" i="7"/>
  <c r="AB97" i="7"/>
  <c r="AR97" i="7"/>
  <c r="I98" i="7"/>
  <c r="Y98" i="7"/>
  <c r="AO98" i="7"/>
  <c r="F99" i="7"/>
  <c r="V99" i="7"/>
  <c r="AL99" i="7"/>
  <c r="C100" i="7"/>
  <c r="S100" i="7"/>
  <c r="AI100" i="7"/>
  <c r="AY100" i="7"/>
  <c r="P101" i="7"/>
  <c r="AF101" i="7"/>
  <c r="AV101" i="7"/>
  <c r="M102" i="7"/>
  <c r="AC102" i="7"/>
  <c r="AS102" i="7"/>
  <c r="J103" i="7"/>
  <c r="Z103" i="7"/>
  <c r="AP103" i="7"/>
  <c r="G104" i="7"/>
  <c r="W104" i="7"/>
  <c r="AM104" i="7"/>
  <c r="D105" i="7"/>
  <c r="T105" i="7"/>
  <c r="AJ105" i="7"/>
  <c r="Q106" i="7"/>
  <c r="AG106" i="7"/>
  <c r="AW106" i="7"/>
  <c r="N107" i="7"/>
  <c r="AD107" i="7"/>
  <c r="AT107" i="7"/>
  <c r="K108" i="7"/>
  <c r="AD43" i="7"/>
  <c r="AF51" i="7"/>
  <c r="AN57" i="7"/>
  <c r="AO62" i="7"/>
  <c r="AQ63" i="7"/>
  <c r="AG64" i="7"/>
  <c r="Q65" i="7"/>
  <c r="AV65" i="7"/>
  <c r="AC66" i="7"/>
  <c r="F67" i="7"/>
  <c r="AI67" i="7"/>
  <c r="M68" i="7"/>
  <c r="AO68" i="7"/>
  <c r="S69" i="7"/>
  <c r="AQ69" i="7"/>
  <c r="P70" i="7"/>
  <c r="AM70" i="7"/>
  <c r="L71" i="7"/>
  <c r="AI71" i="7"/>
  <c r="H72" i="7"/>
  <c r="AD72" i="7"/>
  <c r="C73" i="7"/>
  <c r="Z73" i="7"/>
  <c r="AX73" i="7"/>
  <c r="V74" i="7"/>
  <c r="AQ74" i="7"/>
  <c r="M75" i="7"/>
  <c r="AF75" i="7"/>
  <c r="T76" i="7"/>
  <c r="AO76" i="7"/>
  <c r="I77" i="7"/>
  <c r="AC77" i="7"/>
  <c r="AV77" i="7"/>
  <c r="P78" i="7"/>
  <c r="AK78" i="7"/>
  <c r="E79" i="7"/>
  <c r="Y79" i="7"/>
  <c r="AR79" i="7"/>
  <c r="N80" i="7"/>
  <c r="AG80" i="7"/>
  <c r="B81" i="7"/>
  <c r="U81" i="7"/>
  <c r="AP81" i="7"/>
  <c r="J82" i="7"/>
  <c r="AD82" i="7"/>
  <c r="AW82" i="7"/>
  <c r="Q83" i="7"/>
  <c r="AL83" i="7"/>
  <c r="F84" i="7"/>
  <c r="Z84" i="7"/>
  <c r="AS84" i="7"/>
  <c r="M85" i="7"/>
  <c r="AE85" i="7"/>
  <c r="AW85" i="7"/>
  <c r="P86" i="7"/>
  <c r="AI86" i="7"/>
  <c r="B87" i="7"/>
  <c r="S87" i="7"/>
  <c r="AJ87" i="7"/>
  <c r="B88" i="7"/>
  <c r="T88" i="7"/>
  <c r="AK88" i="7"/>
  <c r="C89" i="7"/>
  <c r="T89" i="7"/>
  <c r="AK89" i="7"/>
  <c r="B90" i="7"/>
  <c r="R90" i="7"/>
  <c r="AH90" i="7"/>
  <c r="AX90" i="7"/>
  <c r="O91" i="7"/>
  <c r="AE91" i="7"/>
  <c r="AU91" i="7"/>
  <c r="L92" i="7"/>
  <c r="AB92" i="7"/>
  <c r="AR92" i="7"/>
  <c r="I93" i="7"/>
  <c r="Y93" i="7"/>
  <c r="AO93" i="7"/>
  <c r="F94" i="7"/>
  <c r="V94" i="7"/>
  <c r="AL94" i="7"/>
  <c r="C95" i="7"/>
  <c r="S95" i="7"/>
  <c r="AI95" i="7"/>
  <c r="AY95" i="7"/>
  <c r="P96" i="7"/>
  <c r="AF96" i="7"/>
  <c r="AV96" i="7"/>
  <c r="M97" i="7"/>
  <c r="AC97" i="7"/>
  <c r="AS97" i="7"/>
  <c r="J98" i="7"/>
  <c r="Z98" i="7"/>
  <c r="AP98" i="7"/>
  <c r="G99" i="7"/>
  <c r="W99" i="7"/>
  <c r="AM99" i="7"/>
  <c r="D100" i="7"/>
  <c r="T100" i="7"/>
  <c r="AJ100" i="7"/>
  <c r="Q101" i="7"/>
  <c r="AG101" i="7"/>
  <c r="AW101" i="7"/>
  <c r="N102" i="7"/>
  <c r="AD102" i="7"/>
  <c r="AT102" i="7"/>
  <c r="K103" i="7"/>
  <c r="AA103" i="7"/>
  <c r="AQ103" i="7"/>
  <c r="H104" i="7"/>
  <c r="X104" i="7"/>
  <c r="AN104" i="7"/>
  <c r="E105" i="7"/>
  <c r="U105" i="7"/>
  <c r="AK105" i="7"/>
  <c r="B106" i="7"/>
  <c r="R106" i="7"/>
  <c r="AH106" i="7"/>
  <c r="AX106" i="7"/>
  <c r="O107" i="7"/>
  <c r="AE107" i="7"/>
  <c r="AU107" i="7"/>
  <c r="L108" i="7"/>
  <c r="S44" i="7"/>
  <c r="AY51" i="7"/>
  <c r="J58" i="7"/>
  <c r="AV62" i="7"/>
  <c r="AS63" i="7"/>
  <c r="AH64" i="7"/>
  <c r="R65" i="7"/>
  <c r="AX65" i="7"/>
  <c r="AD66" i="7"/>
  <c r="H67" i="7"/>
  <c r="AL67" i="7"/>
  <c r="N68" i="7"/>
  <c r="AR68" i="7"/>
  <c r="T69" i="7"/>
  <c r="AT69" i="7"/>
  <c r="R70" i="7"/>
  <c r="AN70" i="7"/>
  <c r="M71" i="7"/>
  <c r="AJ71" i="7"/>
  <c r="I72" i="7"/>
  <c r="AF72" i="7"/>
  <c r="E73" i="7"/>
  <c r="AA73" i="7"/>
  <c r="AY73" i="7"/>
  <c r="W74" i="7"/>
  <c r="AR74" i="7"/>
  <c r="N75" i="7"/>
  <c r="AG75" i="7"/>
  <c r="B76" i="7"/>
  <c r="U76" i="7"/>
  <c r="AP76" i="7"/>
  <c r="J77" i="7"/>
  <c r="AD77" i="7"/>
  <c r="AW77" i="7"/>
  <c r="S78" i="7"/>
  <c r="AL78" i="7"/>
  <c r="G79" i="7"/>
  <c r="Z79" i="7"/>
  <c r="AS79" i="7"/>
  <c r="O80" i="7"/>
  <c r="AH80" i="7"/>
  <c r="C81" i="7"/>
  <c r="V81" i="7"/>
  <c r="AQ81" i="7"/>
  <c r="K82" i="7"/>
  <c r="AE82" i="7"/>
  <c r="AX82" i="7"/>
  <c r="T83" i="7"/>
  <c r="AM83" i="7"/>
  <c r="H84" i="7"/>
  <c r="AA84" i="7"/>
  <c r="AT84" i="7"/>
  <c r="N85" i="7"/>
  <c r="B45" i="7"/>
  <c r="T52" i="7"/>
  <c r="AC58" i="7"/>
  <c r="C63" i="7"/>
  <c r="AT63" i="7"/>
  <c r="AK64" i="7"/>
  <c r="V65" i="7"/>
  <c r="B66" i="7"/>
  <c r="AE66" i="7"/>
  <c r="I67" i="7"/>
  <c r="AM67" i="7"/>
  <c r="P68" i="7"/>
  <c r="AT68" i="7"/>
  <c r="U69" i="7"/>
  <c r="AU69" i="7"/>
  <c r="S70" i="7"/>
  <c r="AQ70" i="7"/>
  <c r="O71" i="7"/>
  <c r="AK71" i="7"/>
  <c r="J72" i="7"/>
  <c r="AG72" i="7"/>
  <c r="F73" i="7"/>
  <c r="AC73" i="7"/>
  <c r="B74" i="7"/>
  <c r="X74" i="7"/>
  <c r="AU74" i="7"/>
  <c r="O75" i="7"/>
  <c r="AI75" i="7"/>
  <c r="C76" i="7"/>
  <c r="V76" i="7"/>
  <c r="AQ76" i="7"/>
  <c r="K77" i="7"/>
  <c r="AE77" i="7"/>
  <c r="AX77" i="7"/>
  <c r="T78" i="7"/>
  <c r="AM78" i="7"/>
  <c r="H79" i="7"/>
  <c r="AA79" i="7"/>
  <c r="AV79" i="7"/>
  <c r="P80" i="7"/>
  <c r="AJ80" i="7"/>
  <c r="D81" i="7"/>
  <c r="W81" i="7"/>
  <c r="AR81" i="7"/>
  <c r="L82" i="7"/>
  <c r="AF82" i="7"/>
  <c r="AY82" i="7"/>
  <c r="U83" i="7"/>
  <c r="AN83" i="7"/>
  <c r="I84" i="7"/>
  <c r="AB84" i="7"/>
  <c r="AV84" i="7"/>
  <c r="O85" i="7"/>
  <c r="AP45" i="7"/>
  <c r="AM52" i="7"/>
  <c r="AW58" i="7"/>
  <c r="E63" i="7"/>
  <c r="AX63" i="7"/>
  <c r="AQ64" i="7"/>
  <c r="W65" i="7"/>
  <c r="C66" i="7"/>
  <c r="AI66" i="7"/>
  <c r="J67" i="7"/>
  <c r="AN67" i="7"/>
  <c r="Q68" i="7"/>
  <c r="AU68" i="7"/>
  <c r="Y69" i="7"/>
  <c r="AW69" i="7"/>
  <c r="T70" i="7"/>
  <c r="AR70" i="7"/>
  <c r="P71" i="7"/>
  <c r="AN71" i="7"/>
  <c r="L72" i="7"/>
  <c r="AH72" i="7"/>
  <c r="G73" i="7"/>
  <c r="AD73" i="7"/>
  <c r="C74" i="7"/>
  <c r="Z74" i="7"/>
  <c r="AV74" i="7"/>
  <c r="P75" i="7"/>
  <c r="AJ75" i="7"/>
  <c r="D76" i="7"/>
  <c r="Y76" i="7"/>
  <c r="AR76" i="7"/>
  <c r="M77" i="7"/>
  <c r="AF77" i="7"/>
  <c r="AY77" i="7"/>
  <c r="U78" i="7"/>
  <c r="AN78" i="7"/>
  <c r="I79" i="7"/>
  <c r="AB79" i="7"/>
  <c r="AW79" i="7"/>
  <c r="Q80" i="7"/>
  <c r="AK80" i="7"/>
  <c r="E81" i="7"/>
  <c r="Z81" i="7"/>
  <c r="AS81" i="7"/>
  <c r="N82" i="7"/>
  <c r="AG82" i="7"/>
  <c r="V83" i="7"/>
  <c r="AO83" i="7"/>
  <c r="J84" i="7"/>
  <c r="AC84" i="7"/>
  <c r="AW84" i="7"/>
  <c r="P85" i="7"/>
  <c r="AD46" i="7"/>
  <c r="I53" i="7"/>
  <c r="Q59" i="7"/>
  <c r="F63" i="7"/>
  <c r="C64" i="7"/>
  <c r="AR64" i="7"/>
  <c r="Z65" i="7"/>
  <c r="F66" i="7"/>
  <c r="AJ66" i="7"/>
  <c r="O67" i="7"/>
  <c r="AP67" i="7"/>
  <c r="S68" i="7"/>
  <c r="AV68" i="7"/>
  <c r="Z69" i="7"/>
  <c r="AX69" i="7"/>
  <c r="V70" i="7"/>
  <c r="AT70" i="7"/>
  <c r="Q71" i="7"/>
  <c r="AO71" i="7"/>
  <c r="M72" i="7"/>
  <c r="AK72" i="7"/>
  <c r="I73" i="7"/>
  <c r="AE73" i="7"/>
  <c r="D74" i="7"/>
  <c r="AA74" i="7"/>
  <c r="AW74" i="7"/>
  <c r="Q75" i="7"/>
  <c r="AK75" i="7"/>
  <c r="E76" i="7"/>
  <c r="Z76" i="7"/>
  <c r="AS76" i="7"/>
  <c r="N77" i="7"/>
  <c r="AG77" i="7"/>
  <c r="C78" i="7"/>
  <c r="V78" i="7"/>
  <c r="AP78" i="7"/>
  <c r="J79" i="7"/>
  <c r="AC79" i="7"/>
  <c r="AX79" i="7"/>
  <c r="R80" i="7"/>
  <c r="AL80" i="7"/>
  <c r="F81" i="7"/>
  <c r="AA81" i="7"/>
  <c r="AT81" i="7"/>
  <c r="O82" i="7"/>
  <c r="AH82" i="7"/>
  <c r="D83" i="7"/>
  <c r="W83" i="7"/>
  <c r="AQ83" i="7"/>
  <c r="K84" i="7"/>
  <c r="AD84" i="7"/>
  <c r="AX84" i="7"/>
  <c r="Q85" i="7"/>
  <c r="AI85" i="7"/>
  <c r="C86" i="7"/>
  <c r="U86" i="7"/>
  <c r="AM86" i="7"/>
  <c r="G87" i="7"/>
  <c r="X87" i="7"/>
  <c r="AO87" i="7"/>
  <c r="G88" i="7"/>
  <c r="X88" i="7"/>
  <c r="AO88" i="7"/>
  <c r="G89" i="7"/>
  <c r="X89" i="7"/>
  <c r="AO89" i="7"/>
  <c r="F90" i="7"/>
  <c r="V90" i="7"/>
  <c r="AL90" i="7"/>
  <c r="C91" i="7"/>
  <c r="S91" i="7"/>
  <c r="AI91" i="7"/>
  <c r="AY91" i="7"/>
  <c r="P92" i="7"/>
  <c r="AF92" i="7"/>
  <c r="AV92" i="7"/>
  <c r="M93" i="7"/>
  <c r="AC93" i="7"/>
  <c r="AS93" i="7"/>
  <c r="J94" i="7"/>
  <c r="Z94" i="7"/>
  <c r="AP94" i="7"/>
  <c r="G95" i="7"/>
  <c r="W95" i="7"/>
  <c r="AM95" i="7"/>
  <c r="D96" i="7"/>
  <c r="T96" i="7"/>
  <c r="AJ96" i="7"/>
  <c r="Q97" i="7"/>
  <c r="AG97" i="7"/>
  <c r="AW97" i="7"/>
  <c r="I47" i="7"/>
  <c r="AB53" i="7"/>
  <c r="AJ59" i="7"/>
  <c r="K63" i="7"/>
  <c r="D64" i="7"/>
  <c r="AS64" i="7"/>
  <c r="AB65" i="7"/>
  <c r="G66" i="7"/>
  <c r="AK66" i="7"/>
  <c r="P67" i="7"/>
  <c r="AQ67" i="7"/>
  <c r="V68" i="7"/>
  <c r="AY68" i="7"/>
  <c r="AA69" i="7"/>
  <c r="AY69" i="7"/>
  <c r="W70" i="7"/>
  <c r="AU70" i="7"/>
  <c r="S71" i="7"/>
  <c r="AQ71" i="7"/>
  <c r="N72" i="7"/>
  <c r="AL72" i="7"/>
  <c r="J73" i="7"/>
  <c r="AH73" i="7"/>
  <c r="F74" i="7"/>
  <c r="AB74" i="7"/>
  <c r="AX74" i="7"/>
  <c r="S75" i="7"/>
  <c r="AL75" i="7"/>
  <c r="F76" i="7"/>
  <c r="AA76" i="7"/>
  <c r="AT76" i="7"/>
  <c r="O77" i="7"/>
  <c r="AH77" i="7"/>
  <c r="D78" i="7"/>
  <c r="W78" i="7"/>
  <c r="AQ78" i="7"/>
  <c r="K79" i="7"/>
  <c r="AF79" i="7"/>
  <c r="AY79" i="7"/>
  <c r="T80" i="7"/>
  <c r="AM80" i="7"/>
  <c r="G81" i="7"/>
  <c r="AB81" i="7"/>
  <c r="AU81" i="7"/>
  <c r="P82" i="7"/>
  <c r="AI82" i="7"/>
  <c r="E83" i="7"/>
  <c r="X83" i="7"/>
  <c r="AR83" i="7"/>
  <c r="L84" i="7"/>
  <c r="AG84" i="7"/>
  <c r="AY84" i="7"/>
  <c r="R85" i="7"/>
  <c r="AK85" i="7"/>
  <c r="D86" i="7"/>
  <c r="V86" i="7"/>
  <c r="AN86" i="7"/>
  <c r="H87" i="7"/>
  <c r="Y87" i="7"/>
  <c r="AP87" i="7"/>
  <c r="H88" i="7"/>
  <c r="Y88" i="7"/>
  <c r="AP88" i="7"/>
  <c r="H89" i="7"/>
  <c r="Y89" i="7"/>
  <c r="AP89" i="7"/>
  <c r="H48" i="7"/>
  <c r="P54" i="7"/>
  <c r="Y60" i="7"/>
  <c r="P63" i="7"/>
  <c r="K64" i="7"/>
  <c r="AX64" i="7"/>
  <c r="AE65" i="7"/>
  <c r="K66" i="7"/>
  <c r="AO66" i="7"/>
  <c r="S67" i="7"/>
  <c r="AV67" i="7"/>
  <c r="Y68" i="7"/>
  <c r="B69" i="7"/>
  <c r="AE69" i="7"/>
  <c r="C70" i="7"/>
  <c r="AA70" i="7"/>
  <c r="AX70" i="7"/>
  <c r="U71" i="7"/>
  <c r="AS71" i="7"/>
  <c r="Q72" i="7"/>
  <c r="AO72" i="7"/>
  <c r="M73" i="7"/>
  <c r="AK73" i="7"/>
  <c r="H74" i="7"/>
  <c r="AF74" i="7"/>
  <c r="U75" i="7"/>
  <c r="AN75" i="7"/>
  <c r="J76" i="7"/>
  <c r="AC76" i="7"/>
  <c r="AW76" i="7"/>
  <c r="Q77" i="7"/>
  <c r="AL77" i="7"/>
  <c r="F78" i="7"/>
  <c r="Z78" i="7"/>
  <c r="AS78" i="7"/>
  <c r="M79" i="7"/>
  <c r="AH79" i="7"/>
  <c r="B80" i="7"/>
  <c r="V80" i="7"/>
  <c r="AO80" i="7"/>
  <c r="K81" i="7"/>
  <c r="AD81" i="7"/>
  <c r="AX81" i="7"/>
  <c r="R82" i="7"/>
  <c r="AM82" i="7"/>
  <c r="G83" i="7"/>
  <c r="AA83" i="7"/>
  <c r="AT83" i="7"/>
  <c r="N84" i="7"/>
  <c r="AI84" i="7"/>
  <c r="B85" i="7"/>
  <c r="U85" i="7"/>
  <c r="AM85" i="7"/>
  <c r="F86" i="7"/>
  <c r="X86" i="7"/>
  <c r="AQ86" i="7"/>
  <c r="J87" i="7"/>
  <c r="AA87" i="7"/>
  <c r="AR87" i="7"/>
  <c r="J88" i="7"/>
  <c r="AA88" i="7"/>
  <c r="AR88" i="7"/>
  <c r="J89" i="7"/>
  <c r="AA89" i="7"/>
  <c r="AR89" i="7"/>
  <c r="I90" i="7"/>
  <c r="Y90" i="7"/>
  <c r="AO90" i="7"/>
  <c r="F91" i="7"/>
  <c r="V91" i="7"/>
  <c r="AL91" i="7"/>
  <c r="C92" i="7"/>
  <c r="S92" i="7"/>
  <c r="AI92" i="7"/>
  <c r="AY92" i="7"/>
  <c r="P93" i="7"/>
  <c r="AF93" i="7"/>
  <c r="AV93" i="7"/>
  <c r="M94" i="7"/>
  <c r="AC94" i="7"/>
  <c r="AS94" i="7"/>
  <c r="J95" i="7"/>
  <c r="Z95" i="7"/>
  <c r="AP95" i="7"/>
  <c r="G96" i="7"/>
  <c r="W96" i="7"/>
  <c r="AM96" i="7"/>
  <c r="D97" i="7"/>
  <c r="T97" i="7"/>
  <c r="AJ97" i="7"/>
  <c r="Q98" i="7"/>
  <c r="AG98" i="7"/>
  <c r="AW98" i="7"/>
  <c r="N99" i="7"/>
  <c r="AD99" i="7"/>
  <c r="AT99" i="7"/>
  <c r="K100" i="7"/>
  <c r="AA100" i="7"/>
  <c r="AQ100" i="7"/>
  <c r="H101" i="7"/>
  <c r="X101" i="7"/>
  <c r="AN101" i="7"/>
  <c r="E102" i="7"/>
  <c r="U102" i="7"/>
  <c r="AK102" i="7"/>
  <c r="B103" i="7"/>
  <c r="R103" i="7"/>
  <c r="AH103" i="7"/>
  <c r="AX103" i="7"/>
  <c r="O104" i="7"/>
  <c r="AE104" i="7"/>
  <c r="AU104" i="7"/>
  <c r="L105" i="7"/>
  <c r="AB105" i="7"/>
  <c r="AR105" i="7"/>
  <c r="I106" i="7"/>
  <c r="Y106" i="7"/>
  <c r="AO106" i="7"/>
  <c r="F107" i="7"/>
  <c r="V107" i="7"/>
  <c r="AL107" i="7"/>
  <c r="C108" i="7"/>
  <c r="S108" i="7"/>
  <c r="AI108" i="7"/>
  <c r="AY108" i="7"/>
  <c r="AJ47" i="7"/>
  <c r="AV70" i="7"/>
  <c r="AI77" i="7"/>
  <c r="AS83" i="7"/>
  <c r="B86" i="7"/>
  <c r="AJ86" i="7"/>
  <c r="P87" i="7"/>
  <c r="AS87" i="7"/>
  <c r="U88" i="7"/>
  <c r="AU88" i="7"/>
  <c r="W89" i="7"/>
  <c r="AX89" i="7"/>
  <c r="W90" i="7"/>
  <c r="AT90" i="7"/>
  <c r="R91" i="7"/>
  <c r="AO91" i="7"/>
  <c r="N92" i="7"/>
  <c r="AK92" i="7"/>
  <c r="J93" i="7"/>
  <c r="AG93" i="7"/>
  <c r="D94" i="7"/>
  <c r="AB94" i="7"/>
  <c r="AY94" i="7"/>
  <c r="X95" i="7"/>
  <c r="AU95" i="7"/>
  <c r="S96" i="7"/>
  <c r="AP96" i="7"/>
  <c r="O97" i="7"/>
  <c r="AL97" i="7"/>
  <c r="K98" i="7"/>
  <c r="AD98" i="7"/>
  <c r="AX98" i="7"/>
  <c r="R99" i="7"/>
  <c r="AK99" i="7"/>
  <c r="G100" i="7"/>
  <c r="Z100" i="7"/>
  <c r="AT100" i="7"/>
  <c r="N101" i="7"/>
  <c r="AI101" i="7"/>
  <c r="C102" i="7"/>
  <c r="W102" i="7"/>
  <c r="AP102" i="7"/>
  <c r="L103" i="7"/>
  <c r="AE103" i="7"/>
  <c r="AY103" i="7"/>
  <c r="S104" i="7"/>
  <c r="AL104" i="7"/>
  <c r="H105" i="7"/>
  <c r="AA105" i="7"/>
  <c r="AU105" i="7"/>
  <c r="O106" i="7"/>
  <c r="AJ106" i="7"/>
  <c r="D107" i="7"/>
  <c r="X107" i="7"/>
  <c r="AQ107" i="7"/>
  <c r="M108" i="7"/>
  <c r="AD108" i="7"/>
  <c r="AU108" i="7"/>
  <c r="M109" i="7"/>
  <c r="AC109" i="7"/>
  <c r="AS109" i="7"/>
  <c r="J110" i="7"/>
  <c r="Z110" i="7"/>
  <c r="AP110" i="7"/>
  <c r="G111" i="7"/>
  <c r="W111" i="7"/>
  <c r="AM111" i="7"/>
  <c r="D112" i="7"/>
  <c r="T112" i="7"/>
  <c r="AJ112" i="7"/>
  <c r="Q113" i="7"/>
  <c r="AG113" i="7"/>
  <c r="AW113" i="7"/>
  <c r="N114" i="7"/>
  <c r="AD114" i="7"/>
  <c r="B113" i="7"/>
  <c r="AV53" i="7"/>
  <c r="T71" i="7"/>
  <c r="E78" i="7"/>
  <c r="M84" i="7"/>
  <c r="E86" i="7"/>
  <c r="AK86" i="7"/>
  <c r="Q87" i="7"/>
  <c r="AT87" i="7"/>
  <c r="V88" i="7"/>
  <c r="AW88" i="7"/>
  <c r="Z89" i="7"/>
  <c r="AY89" i="7"/>
  <c r="X90" i="7"/>
  <c r="AU90" i="7"/>
  <c r="T91" i="7"/>
  <c r="AQ91" i="7"/>
  <c r="O92" i="7"/>
  <c r="AL92" i="7"/>
  <c r="K93" i="7"/>
  <c r="AH93" i="7"/>
  <c r="G94" i="7"/>
  <c r="AD94" i="7"/>
  <c r="Y95" i="7"/>
  <c r="AV95" i="7"/>
  <c r="U96" i="7"/>
  <c r="AR96" i="7"/>
  <c r="P97" i="7"/>
  <c r="AM97" i="7"/>
  <c r="L98" i="7"/>
  <c r="AE98" i="7"/>
  <c r="AY98" i="7"/>
  <c r="S99" i="7"/>
  <c r="AN99" i="7"/>
  <c r="H100" i="7"/>
  <c r="AB100" i="7"/>
  <c r="AU100" i="7"/>
  <c r="O101" i="7"/>
  <c r="AJ101" i="7"/>
  <c r="D102" i="7"/>
  <c r="X102" i="7"/>
  <c r="AQ102" i="7"/>
  <c r="M103" i="7"/>
  <c r="AF103" i="7"/>
  <c r="T104" i="7"/>
  <c r="AO104" i="7"/>
  <c r="I105" i="7"/>
  <c r="AC105" i="7"/>
  <c r="AV105" i="7"/>
  <c r="P106" i="7"/>
  <c r="AK106" i="7"/>
  <c r="E107" i="7"/>
  <c r="Y107" i="7"/>
  <c r="AR107" i="7"/>
  <c r="N108" i="7"/>
  <c r="AE108" i="7"/>
  <c r="AV108" i="7"/>
  <c r="N109" i="7"/>
  <c r="AD109" i="7"/>
  <c r="AT109" i="7"/>
  <c r="K110" i="7"/>
  <c r="AA110" i="7"/>
  <c r="AQ110" i="7"/>
  <c r="H111" i="7"/>
  <c r="X111" i="7"/>
  <c r="U112" i="7"/>
  <c r="R113" i="7"/>
  <c r="AH113" i="7"/>
  <c r="O114" i="7"/>
  <c r="AE114" i="7"/>
  <c r="F60" i="7"/>
  <c r="AR71" i="7"/>
  <c r="X78" i="7"/>
  <c r="AH84" i="7"/>
  <c r="H86" i="7"/>
  <c r="AL86" i="7"/>
  <c r="T87" i="7"/>
  <c r="AU87" i="7"/>
  <c r="W88" i="7"/>
  <c r="AX88" i="7"/>
  <c r="AB89" i="7"/>
  <c r="C90" i="7"/>
  <c r="Z90" i="7"/>
  <c r="AV90" i="7"/>
  <c r="U91" i="7"/>
  <c r="AR91" i="7"/>
  <c r="Q92" i="7"/>
  <c r="AN92" i="7"/>
  <c r="L93" i="7"/>
  <c r="AI93" i="7"/>
  <c r="H94" i="7"/>
  <c r="AE94" i="7"/>
  <c r="D95" i="7"/>
  <c r="AA95" i="7"/>
  <c r="AW95" i="7"/>
  <c r="V96" i="7"/>
  <c r="AS96" i="7"/>
  <c r="R97" i="7"/>
  <c r="AO97" i="7"/>
  <c r="M98" i="7"/>
  <c r="AF98" i="7"/>
  <c r="T99" i="7"/>
  <c r="AO99" i="7"/>
  <c r="I100" i="7"/>
  <c r="AC100" i="7"/>
  <c r="AV100" i="7"/>
  <c r="R101" i="7"/>
  <c r="AK101" i="7"/>
  <c r="F102" i="7"/>
  <c r="Y102" i="7"/>
  <c r="AR102" i="7"/>
  <c r="N103" i="7"/>
  <c r="AG103" i="7"/>
  <c r="B104" i="7"/>
  <c r="U104" i="7"/>
  <c r="AP104" i="7"/>
  <c r="J105" i="7"/>
  <c r="AD105" i="7"/>
  <c r="AW105" i="7"/>
  <c r="S106" i="7"/>
  <c r="AL106" i="7"/>
  <c r="G107" i="7"/>
  <c r="Z107" i="7"/>
  <c r="AS107" i="7"/>
  <c r="O108" i="7"/>
  <c r="AF108" i="7"/>
  <c r="AW108" i="7"/>
  <c r="O109" i="7"/>
  <c r="AE109" i="7"/>
  <c r="AU109" i="7"/>
  <c r="L110" i="7"/>
  <c r="AB110" i="7"/>
  <c r="AR110" i="7"/>
  <c r="I111" i="7"/>
  <c r="Y111" i="7"/>
  <c r="AO111" i="7"/>
  <c r="F112" i="7"/>
  <c r="V112" i="7"/>
  <c r="AL112" i="7"/>
  <c r="C113" i="7"/>
  <c r="S113" i="7"/>
  <c r="AI113" i="7"/>
  <c r="AY113" i="7"/>
  <c r="P114" i="7"/>
  <c r="AF114" i="7"/>
  <c r="AV114" i="7"/>
  <c r="O63" i="7"/>
  <c r="P72" i="7"/>
  <c r="AR78" i="7"/>
  <c r="J86" i="7"/>
  <c r="AP86" i="7"/>
  <c r="U87" i="7"/>
  <c r="AW87" i="7"/>
  <c r="Z88" i="7"/>
  <c r="AC89" i="7"/>
  <c r="D90" i="7"/>
  <c r="AA90" i="7"/>
  <c r="AY90" i="7"/>
  <c r="W91" i="7"/>
  <c r="AS91" i="7"/>
  <c r="R92" i="7"/>
  <c r="AO92" i="7"/>
  <c r="N93" i="7"/>
  <c r="AK93" i="7"/>
  <c r="I94" i="7"/>
  <c r="AF94" i="7"/>
  <c r="E95" i="7"/>
  <c r="AB95" i="7"/>
  <c r="X96" i="7"/>
  <c r="AT96" i="7"/>
  <c r="S97" i="7"/>
  <c r="AP97" i="7"/>
  <c r="N98" i="7"/>
  <c r="AH98" i="7"/>
  <c r="B99" i="7"/>
  <c r="U99" i="7"/>
  <c r="AP99" i="7"/>
  <c r="J100" i="7"/>
  <c r="AD100" i="7"/>
  <c r="AW100" i="7"/>
  <c r="S101" i="7"/>
  <c r="AL101" i="7"/>
  <c r="G102" i="7"/>
  <c r="Z102" i="7"/>
  <c r="AU102" i="7"/>
  <c r="O103" i="7"/>
  <c r="AI103" i="7"/>
  <c r="C104" i="7"/>
  <c r="V104" i="7"/>
  <c r="AQ104" i="7"/>
  <c r="K105" i="7"/>
  <c r="AE105" i="7"/>
  <c r="AX105" i="7"/>
  <c r="T106" i="7"/>
  <c r="AM106" i="7"/>
  <c r="H107" i="7"/>
  <c r="AA107" i="7"/>
  <c r="AV107" i="7"/>
  <c r="P108" i="7"/>
  <c r="AG108" i="7"/>
  <c r="AX108" i="7"/>
  <c r="P109" i="7"/>
  <c r="AF109" i="7"/>
  <c r="AV109" i="7"/>
  <c r="M110" i="7"/>
  <c r="AC110" i="7"/>
  <c r="AS110" i="7"/>
  <c r="J111" i="7"/>
  <c r="Z111" i="7"/>
  <c r="AP111" i="7"/>
  <c r="G112" i="7"/>
  <c r="W112" i="7"/>
  <c r="AM112" i="7"/>
  <c r="D113" i="7"/>
  <c r="T113" i="7"/>
  <c r="AJ113" i="7"/>
  <c r="Q114" i="7"/>
  <c r="AG114" i="7"/>
  <c r="AW114" i="7"/>
  <c r="AX107" i="7"/>
  <c r="AX109" i="7"/>
  <c r="AU110" i="7"/>
  <c r="AB111" i="7"/>
  <c r="Y112" i="7"/>
  <c r="V113" i="7"/>
  <c r="S114" i="7"/>
  <c r="AY107" i="7"/>
  <c r="M111" i="7"/>
  <c r="G113" i="7"/>
  <c r="E64" i="7"/>
  <c r="AN72" i="7"/>
  <c r="L79" i="7"/>
  <c r="S85" i="7"/>
  <c r="L86" i="7"/>
  <c r="AS86" i="7"/>
  <c r="W87" i="7"/>
  <c r="AX87" i="7"/>
  <c r="AB88" i="7"/>
  <c r="D89" i="7"/>
  <c r="AD89" i="7"/>
  <c r="E90" i="7"/>
  <c r="AB90" i="7"/>
  <c r="X91" i="7"/>
  <c r="AV91" i="7"/>
  <c r="T92" i="7"/>
  <c r="AP92" i="7"/>
  <c r="O93" i="7"/>
  <c r="AL93" i="7"/>
  <c r="K94" i="7"/>
  <c r="AH94" i="7"/>
  <c r="F95" i="7"/>
  <c r="AC95" i="7"/>
  <c r="B96" i="7"/>
  <c r="Y96" i="7"/>
  <c r="AW96" i="7"/>
  <c r="U97" i="7"/>
  <c r="AQ97" i="7"/>
  <c r="O98" i="7"/>
  <c r="AI98" i="7"/>
  <c r="C99" i="7"/>
  <c r="X99" i="7"/>
  <c r="AQ99" i="7"/>
  <c r="L100" i="7"/>
  <c r="AE100" i="7"/>
  <c r="AX100" i="7"/>
  <c r="T101" i="7"/>
  <c r="AM101" i="7"/>
  <c r="H102" i="7"/>
  <c r="AA102" i="7"/>
  <c r="AV102" i="7"/>
  <c r="P103" i="7"/>
  <c r="AJ103" i="7"/>
  <c r="D104" i="7"/>
  <c r="Y104" i="7"/>
  <c r="AR104" i="7"/>
  <c r="M105" i="7"/>
  <c r="AF105" i="7"/>
  <c r="AY105" i="7"/>
  <c r="U106" i="7"/>
  <c r="AN106" i="7"/>
  <c r="I107" i="7"/>
  <c r="AB107" i="7"/>
  <c r="AW107" i="7"/>
  <c r="Q108" i="7"/>
  <c r="AH108" i="7"/>
  <c r="Q109" i="7"/>
  <c r="AG109" i="7"/>
  <c r="AW109" i="7"/>
  <c r="N110" i="7"/>
  <c r="AD110" i="7"/>
  <c r="AT110" i="7"/>
  <c r="K111" i="7"/>
  <c r="AA111" i="7"/>
  <c r="AQ111" i="7"/>
  <c r="H112" i="7"/>
  <c r="X112" i="7"/>
  <c r="AN112" i="7"/>
  <c r="E113" i="7"/>
  <c r="U113" i="7"/>
  <c r="AK113" i="7"/>
  <c r="B114" i="7"/>
  <c r="R114" i="7"/>
  <c r="AH114" i="7"/>
  <c r="AX114" i="7"/>
  <c r="AC88" i="7"/>
  <c r="Q93" i="7"/>
  <c r="AI94" i="7"/>
  <c r="AE95" i="7"/>
  <c r="Z96" i="7"/>
  <c r="V97" i="7"/>
  <c r="P98" i="7"/>
  <c r="Y99" i="7"/>
  <c r="M100" i="7"/>
  <c r="B101" i="7"/>
  <c r="AO101" i="7"/>
  <c r="AB102" i="7"/>
  <c r="Q103" i="7"/>
  <c r="E104" i="7"/>
  <c r="Z104" i="7"/>
  <c r="N105" i="7"/>
  <c r="C106" i="7"/>
  <c r="AP106" i="7"/>
  <c r="AC107" i="7"/>
  <c r="AJ108" i="7"/>
  <c r="R109" i="7"/>
  <c r="O110" i="7"/>
  <c r="L111" i="7"/>
  <c r="I112" i="7"/>
  <c r="F113" i="7"/>
  <c r="C114" i="7"/>
  <c r="AY114" i="7"/>
  <c r="AK108" i="7"/>
  <c r="J112" i="7"/>
  <c r="AJ114" i="7"/>
  <c r="AW64" i="7"/>
  <c r="K73" i="7"/>
  <c r="AG79" i="7"/>
  <c r="AF85" i="7"/>
  <c r="M86" i="7"/>
  <c r="AT86" i="7"/>
  <c r="Z87" i="7"/>
  <c r="AY87" i="7"/>
  <c r="E89" i="7"/>
  <c r="AG89" i="7"/>
  <c r="G90" i="7"/>
  <c r="AD90" i="7"/>
  <c r="B91" i="7"/>
  <c r="Y91" i="7"/>
  <c r="AW91" i="7"/>
  <c r="U92" i="7"/>
  <c r="AS92" i="7"/>
  <c r="AM93" i="7"/>
  <c r="L94" i="7"/>
  <c r="H95" i="7"/>
  <c r="C96" i="7"/>
  <c r="AX96" i="7"/>
  <c r="AT97" i="7"/>
  <c r="AJ98" i="7"/>
  <c r="D99" i="7"/>
  <c r="AR99" i="7"/>
  <c r="AF100" i="7"/>
  <c r="U101" i="7"/>
  <c r="I102" i="7"/>
  <c r="AW102" i="7"/>
  <c r="AK103" i="7"/>
  <c r="AS104" i="7"/>
  <c r="AG105" i="7"/>
  <c r="V106" i="7"/>
  <c r="J107" i="7"/>
  <c r="R108" i="7"/>
  <c r="B109" i="7"/>
  <c r="AH109" i="7"/>
  <c r="AE110" i="7"/>
  <c r="AR111" i="7"/>
  <c r="AO112" i="7"/>
  <c r="AL113" i="7"/>
  <c r="AI114" i="7"/>
  <c r="T108" i="7"/>
  <c r="AV110" i="7"/>
  <c r="AP112" i="7"/>
  <c r="AM113" i="7"/>
  <c r="T114" i="7"/>
  <c r="AC65" i="7"/>
  <c r="AI73" i="7"/>
  <c r="AG85" i="7"/>
  <c r="N86" i="7"/>
  <c r="AV86" i="7"/>
  <c r="AB87" i="7"/>
  <c r="D88" i="7"/>
  <c r="AD88" i="7"/>
  <c r="F89" i="7"/>
  <c r="AH89" i="7"/>
  <c r="H90" i="7"/>
  <c r="AE90" i="7"/>
  <c r="D91" i="7"/>
  <c r="AA91" i="7"/>
  <c r="AX91" i="7"/>
  <c r="V92" i="7"/>
  <c r="AT92" i="7"/>
  <c r="R93" i="7"/>
  <c r="AP93" i="7"/>
  <c r="N94" i="7"/>
  <c r="AJ94" i="7"/>
  <c r="I95" i="7"/>
  <c r="AF95" i="7"/>
  <c r="E96" i="7"/>
  <c r="AB96" i="7"/>
  <c r="AY96" i="7"/>
  <c r="W97" i="7"/>
  <c r="AU97" i="7"/>
  <c r="R98" i="7"/>
  <c r="AK98" i="7"/>
  <c r="E99" i="7"/>
  <c r="Z99" i="7"/>
  <c r="AS99" i="7"/>
  <c r="N100" i="7"/>
  <c r="AG100" i="7"/>
  <c r="C101" i="7"/>
  <c r="V101" i="7"/>
  <c r="AP101" i="7"/>
  <c r="J102" i="7"/>
  <c r="AE102" i="7"/>
  <c r="AX102" i="7"/>
  <c r="S103" i="7"/>
  <c r="AL103" i="7"/>
  <c r="F104" i="7"/>
  <c r="AA104" i="7"/>
  <c r="AT104" i="7"/>
  <c r="O105" i="7"/>
  <c r="AH105" i="7"/>
  <c r="D106" i="7"/>
  <c r="W106" i="7"/>
  <c r="AQ106" i="7"/>
  <c r="K107" i="7"/>
  <c r="AF107" i="7"/>
  <c r="C109" i="7"/>
  <c r="S109" i="7"/>
  <c r="AI109" i="7"/>
  <c r="AY109" i="7"/>
  <c r="P110" i="7"/>
  <c r="AF110" i="7"/>
  <c r="AC111" i="7"/>
  <c r="AS111" i="7"/>
  <c r="Z112" i="7"/>
  <c r="W113" i="7"/>
  <c r="D114" i="7"/>
  <c r="J66" i="7"/>
  <c r="G74" i="7"/>
  <c r="U80" i="7"/>
  <c r="AH85" i="7"/>
  <c r="R86" i="7"/>
  <c r="AX86" i="7"/>
  <c r="AC87" i="7"/>
  <c r="E88" i="7"/>
  <c r="AF88" i="7"/>
  <c r="I89" i="7"/>
  <c r="AI89" i="7"/>
  <c r="J90" i="7"/>
  <c r="AF90" i="7"/>
  <c r="E91" i="7"/>
  <c r="AB91" i="7"/>
  <c r="X92" i="7"/>
  <c r="AU92" i="7"/>
  <c r="S93" i="7"/>
  <c r="AQ93" i="7"/>
  <c r="O94" i="7"/>
  <c r="AM94" i="7"/>
  <c r="K95" i="7"/>
  <c r="AG95" i="7"/>
  <c r="F96" i="7"/>
  <c r="AC96" i="7"/>
  <c r="B97" i="7"/>
  <c r="Y97" i="7"/>
  <c r="AV97" i="7"/>
  <c r="S98" i="7"/>
  <c r="AL98" i="7"/>
  <c r="H99" i="7"/>
  <c r="AA99" i="7"/>
  <c r="AU99" i="7"/>
  <c r="O100" i="7"/>
  <c r="AH100" i="7"/>
  <c r="D101" i="7"/>
  <c r="W101" i="7"/>
  <c r="AQ101" i="7"/>
  <c r="K102" i="7"/>
  <c r="AF102" i="7"/>
  <c r="AY102" i="7"/>
  <c r="T103" i="7"/>
  <c r="AM103" i="7"/>
  <c r="I104" i="7"/>
  <c r="AB104" i="7"/>
  <c r="AV104" i="7"/>
  <c r="P105" i="7"/>
  <c r="AI105" i="7"/>
  <c r="E106" i="7"/>
  <c r="X106" i="7"/>
  <c r="AR106" i="7"/>
  <c r="L107" i="7"/>
  <c r="AG107" i="7"/>
  <c r="U108" i="7"/>
  <c r="AL108" i="7"/>
  <c r="D109" i="7"/>
  <c r="T109" i="7"/>
  <c r="AJ109" i="7"/>
  <c r="Q110" i="7"/>
  <c r="AG110" i="7"/>
  <c r="AW110" i="7"/>
  <c r="N111" i="7"/>
  <c r="AD111" i="7"/>
  <c r="AT111" i="7"/>
  <c r="K112" i="7"/>
  <c r="AA112" i="7"/>
  <c r="AQ112" i="7"/>
  <c r="H113" i="7"/>
  <c r="X113" i="7"/>
  <c r="AN113" i="7"/>
  <c r="E114" i="7"/>
  <c r="U114" i="7"/>
  <c r="AK114" i="7"/>
  <c r="AD87" i="7"/>
  <c r="AR93" i="7"/>
  <c r="L95" i="7"/>
  <c r="H96" i="7"/>
  <c r="C97" i="7"/>
  <c r="T98" i="7"/>
  <c r="I99" i="7"/>
  <c r="AV99" i="7"/>
  <c r="AK100" i="7"/>
  <c r="E101" i="7"/>
  <c r="AR101" i="7"/>
  <c r="AG102" i="7"/>
  <c r="U103" i="7"/>
  <c r="J104" i="7"/>
  <c r="AW104" i="7"/>
  <c r="AL105" i="7"/>
  <c r="Z106" i="7"/>
  <c r="M107" i="7"/>
  <c r="B108" i="7"/>
  <c r="AM108" i="7"/>
  <c r="U109" i="7"/>
  <c r="B110" i="7"/>
  <c r="AH110" i="7"/>
  <c r="O111" i="7"/>
  <c r="AU111" i="7"/>
  <c r="AB112" i="7"/>
  <c r="I113" i="7"/>
  <c r="AO113" i="7"/>
  <c r="F114" i="7"/>
  <c r="AL114" i="7"/>
  <c r="AN114" i="7"/>
  <c r="AN109" i="7"/>
  <c r="AU112" i="7"/>
  <c r="AM66" i="7"/>
  <c r="AE74" i="7"/>
  <c r="AN80" i="7"/>
  <c r="AL85" i="7"/>
  <c r="S86" i="7"/>
  <c r="AY86" i="7"/>
  <c r="F88" i="7"/>
  <c r="AG88" i="7"/>
  <c r="K89" i="7"/>
  <c r="AL89" i="7"/>
  <c r="K90" i="7"/>
  <c r="AI90" i="7"/>
  <c r="G91" i="7"/>
  <c r="AC91" i="7"/>
  <c r="B92" i="7"/>
  <c r="Y92" i="7"/>
  <c r="AW92" i="7"/>
  <c r="U93" i="7"/>
  <c r="P94" i="7"/>
  <c r="AN94" i="7"/>
  <c r="AJ95" i="7"/>
  <c r="AD96" i="7"/>
  <c r="Z97" i="7"/>
  <c r="AX97" i="7"/>
  <c r="AM98" i="7"/>
  <c r="AB99" i="7"/>
  <c r="P100" i="7"/>
  <c r="Y101" i="7"/>
  <c r="L102" i="7"/>
  <c r="AN103" i="7"/>
  <c r="AC104" i="7"/>
  <c r="Q105" i="7"/>
  <c r="F106" i="7"/>
  <c r="AS106" i="7"/>
  <c r="AH107" i="7"/>
  <c r="V108" i="7"/>
  <c r="E109" i="7"/>
  <c r="AK109" i="7"/>
  <c r="R110" i="7"/>
  <c r="AX110" i="7"/>
  <c r="AE111" i="7"/>
  <c r="L112" i="7"/>
  <c r="AR112" i="7"/>
  <c r="Y113" i="7"/>
  <c r="V114" i="7"/>
  <c r="X114" i="7"/>
  <c r="E110" i="7"/>
  <c r="AR113" i="7"/>
  <c r="R67" i="7"/>
  <c r="AY74" i="7"/>
  <c r="J81" i="7"/>
  <c r="AO85" i="7"/>
  <c r="T86" i="7"/>
  <c r="C87" i="7"/>
  <c r="AF87" i="7"/>
  <c r="I88" i="7"/>
  <c r="AH88" i="7"/>
  <c r="L89" i="7"/>
  <c r="AM89" i="7"/>
  <c r="L90" i="7"/>
  <c r="AJ90" i="7"/>
  <c r="H91" i="7"/>
  <c r="AF91" i="7"/>
  <c r="D92" i="7"/>
  <c r="Z92" i="7"/>
  <c r="AX92" i="7"/>
  <c r="V93" i="7"/>
  <c r="AT93" i="7"/>
  <c r="R94" i="7"/>
  <c r="AO94" i="7"/>
  <c r="M95" i="7"/>
  <c r="AK95" i="7"/>
  <c r="I96" i="7"/>
  <c r="AG96" i="7"/>
  <c r="E97" i="7"/>
  <c r="AA97" i="7"/>
  <c r="AY97" i="7"/>
  <c r="U98" i="7"/>
  <c r="AN98" i="7"/>
  <c r="J99" i="7"/>
  <c r="AC99" i="7"/>
  <c r="AW99" i="7"/>
  <c r="Q100" i="7"/>
  <c r="AL100" i="7"/>
  <c r="F101" i="7"/>
  <c r="Z101" i="7"/>
  <c r="AS101" i="7"/>
  <c r="O102" i="7"/>
  <c r="AH102" i="7"/>
  <c r="C103" i="7"/>
  <c r="V103" i="7"/>
  <c r="AO103" i="7"/>
  <c r="K104" i="7"/>
  <c r="AD104" i="7"/>
  <c r="AX104" i="7"/>
  <c r="R105" i="7"/>
  <c r="AM105" i="7"/>
  <c r="G106" i="7"/>
  <c r="AA106" i="7"/>
  <c r="AT106" i="7"/>
  <c r="P107" i="7"/>
  <c r="AI107" i="7"/>
  <c r="D108" i="7"/>
  <c r="W108" i="7"/>
  <c r="AN108" i="7"/>
  <c r="F109" i="7"/>
  <c r="V109" i="7"/>
  <c r="AL109" i="7"/>
  <c r="C110" i="7"/>
  <c r="S110" i="7"/>
  <c r="AI110" i="7"/>
  <c r="AY110" i="7"/>
  <c r="P111" i="7"/>
  <c r="AF111" i="7"/>
  <c r="AV111" i="7"/>
  <c r="M112" i="7"/>
  <c r="AC112" i="7"/>
  <c r="AS112" i="7"/>
  <c r="J113" i="7"/>
  <c r="Z113" i="7"/>
  <c r="AP113" i="7"/>
  <c r="G114" i="7"/>
  <c r="W114" i="7"/>
  <c r="AM114" i="7"/>
  <c r="K88" i="7"/>
  <c r="W93" i="7"/>
  <c r="S94" i="7"/>
  <c r="O95" i="7"/>
  <c r="J96" i="7"/>
  <c r="F97" i="7"/>
  <c r="B98" i="7"/>
  <c r="AQ98" i="7"/>
  <c r="K99" i="7"/>
  <c r="AX99" i="7"/>
  <c r="G101" i="7"/>
  <c r="AT101" i="7"/>
  <c r="P102" i="7"/>
  <c r="D103" i="7"/>
  <c r="AR103" i="7"/>
  <c r="AF104" i="7"/>
  <c r="S105" i="7"/>
  <c r="AN105" i="7"/>
  <c r="AB106" i="7"/>
  <c r="Q107" i="7"/>
  <c r="E108" i="7"/>
  <c r="X108" i="7"/>
  <c r="G109" i="7"/>
  <c r="AM109" i="7"/>
  <c r="T110" i="7"/>
  <c r="AG111" i="7"/>
  <c r="N112" i="7"/>
  <c r="AT112" i="7"/>
  <c r="AA113" i="7"/>
  <c r="X109" i="7"/>
  <c r="AE112" i="7"/>
  <c r="AO114" i="7"/>
  <c r="AR67" i="7"/>
  <c r="T75" i="7"/>
  <c r="AC81" i="7"/>
  <c r="AP85" i="7"/>
  <c r="W86" i="7"/>
  <c r="D87" i="7"/>
  <c r="AG87" i="7"/>
  <c r="AL88" i="7"/>
  <c r="M89" i="7"/>
  <c r="AN89" i="7"/>
  <c r="N90" i="7"/>
  <c r="AK90" i="7"/>
  <c r="I91" i="7"/>
  <c r="AG91" i="7"/>
  <c r="E92" i="7"/>
  <c r="AC92" i="7"/>
  <c r="AU93" i="7"/>
  <c r="AQ94" i="7"/>
  <c r="AL95" i="7"/>
  <c r="AH96" i="7"/>
  <c r="AD97" i="7"/>
  <c r="V98" i="7"/>
  <c r="AE99" i="7"/>
  <c r="R100" i="7"/>
  <c r="AM100" i="7"/>
  <c r="AA101" i="7"/>
  <c r="AI102" i="7"/>
  <c r="W103" i="7"/>
  <c r="L104" i="7"/>
  <c r="AY104" i="7"/>
  <c r="H106" i="7"/>
  <c r="AU106" i="7"/>
  <c r="AJ107" i="7"/>
  <c r="AO108" i="7"/>
  <c r="W109" i="7"/>
  <c r="D110" i="7"/>
  <c r="AJ110" i="7"/>
  <c r="Q111" i="7"/>
  <c r="AW111" i="7"/>
  <c r="AD112" i="7"/>
  <c r="K113" i="7"/>
  <c r="AQ113" i="7"/>
  <c r="H114" i="7"/>
  <c r="H109" i="7"/>
  <c r="AB113" i="7"/>
  <c r="AU114" i="7"/>
  <c r="W68" i="7"/>
  <c r="AM75" i="7"/>
  <c r="AW81" i="7"/>
  <c r="AS85" i="7"/>
  <c r="AA86" i="7"/>
  <c r="E87" i="7"/>
  <c r="AH87" i="7"/>
  <c r="L88" i="7"/>
  <c r="AM88" i="7"/>
  <c r="O89" i="7"/>
  <c r="AQ89" i="7"/>
  <c r="O90" i="7"/>
  <c r="AM90" i="7"/>
  <c r="K91" i="7"/>
  <c r="AH91" i="7"/>
  <c r="F92" i="7"/>
  <c r="AD92" i="7"/>
  <c r="B93" i="7"/>
  <c r="Z93" i="7"/>
  <c r="AW93" i="7"/>
  <c r="T94" i="7"/>
  <c r="AR94" i="7"/>
  <c r="P95" i="7"/>
  <c r="AN95" i="7"/>
  <c r="L96" i="7"/>
  <c r="AI96" i="7"/>
  <c r="G97" i="7"/>
  <c r="AE97" i="7"/>
  <c r="C98" i="7"/>
  <c r="W98" i="7"/>
  <c r="AR98" i="7"/>
  <c r="L99" i="7"/>
  <c r="AF99" i="7"/>
  <c r="AY99" i="7"/>
  <c r="U100" i="7"/>
  <c r="AN100" i="7"/>
  <c r="I101" i="7"/>
  <c r="AB101" i="7"/>
  <c r="AU101" i="7"/>
  <c r="Q102" i="7"/>
  <c r="AJ102" i="7"/>
  <c r="E103" i="7"/>
  <c r="X103" i="7"/>
  <c r="AS103" i="7"/>
  <c r="M104" i="7"/>
  <c r="AG104" i="7"/>
  <c r="V105" i="7"/>
  <c r="AO105" i="7"/>
  <c r="J106" i="7"/>
  <c r="AC106" i="7"/>
  <c r="AV106" i="7"/>
  <c r="R107" i="7"/>
  <c r="AK107" i="7"/>
  <c r="F108" i="7"/>
  <c r="Y108" i="7"/>
  <c r="AP108" i="7"/>
  <c r="U110" i="7"/>
  <c r="AK110" i="7"/>
  <c r="B111" i="7"/>
  <c r="R111" i="7"/>
  <c r="AH111" i="7"/>
  <c r="AX111" i="7"/>
  <c r="O112" i="7"/>
  <c r="L113" i="7"/>
  <c r="I114" i="7"/>
  <c r="Y114" i="7"/>
  <c r="AX113" i="7"/>
  <c r="I76" i="7"/>
  <c r="Q82" i="7"/>
  <c r="AT85" i="7"/>
  <c r="AB86" i="7"/>
  <c r="I87" i="7"/>
  <c r="AK87" i="7"/>
  <c r="M88" i="7"/>
  <c r="AN88" i="7"/>
  <c r="Q89" i="7"/>
  <c r="AS89" i="7"/>
  <c r="P90" i="7"/>
  <c r="AN90" i="7"/>
  <c r="L91" i="7"/>
  <c r="AJ91" i="7"/>
  <c r="H92" i="7"/>
  <c r="AE92" i="7"/>
  <c r="C93" i="7"/>
  <c r="AA93" i="7"/>
  <c r="AX93" i="7"/>
  <c r="W94" i="7"/>
  <c r="AT94" i="7"/>
  <c r="Q95" i="7"/>
  <c r="AO95" i="7"/>
  <c r="M96" i="7"/>
  <c r="AK96" i="7"/>
  <c r="I97" i="7"/>
  <c r="AF97" i="7"/>
  <c r="D98" i="7"/>
  <c r="X98" i="7"/>
  <c r="AS98" i="7"/>
  <c r="M99" i="7"/>
  <c r="AG99" i="7"/>
  <c r="V100" i="7"/>
  <c r="AO100" i="7"/>
  <c r="J101" i="7"/>
  <c r="AC101" i="7"/>
  <c r="AX101" i="7"/>
  <c r="R102" i="7"/>
  <c r="AL102" i="7"/>
  <c r="F103" i="7"/>
  <c r="Y103" i="7"/>
  <c r="AT103" i="7"/>
  <c r="N104" i="7"/>
  <c r="AH104" i="7"/>
  <c r="B105" i="7"/>
  <c r="W105" i="7"/>
  <c r="AP105" i="7"/>
  <c r="K106" i="7"/>
  <c r="AD106" i="7"/>
  <c r="AY106" i="7"/>
  <c r="S107" i="7"/>
  <c r="AM107" i="7"/>
  <c r="G108" i="7"/>
  <c r="Z108" i="7"/>
  <c r="AQ108" i="7"/>
  <c r="I109" i="7"/>
  <c r="Y109" i="7"/>
  <c r="AO109" i="7"/>
  <c r="F110" i="7"/>
  <c r="V110" i="7"/>
  <c r="AL110" i="7"/>
  <c r="C111" i="7"/>
  <c r="S111" i="7"/>
  <c r="AI111" i="7"/>
  <c r="AY111" i="7"/>
  <c r="P112" i="7"/>
  <c r="AF112" i="7"/>
  <c r="AV112" i="7"/>
  <c r="M113" i="7"/>
  <c r="AC113" i="7"/>
  <c r="AS113" i="7"/>
  <c r="J114" i="7"/>
  <c r="Z114" i="7"/>
  <c r="AP114" i="7"/>
  <c r="M101" i="7"/>
  <c r="AI106" i="7"/>
  <c r="AC108" i="7"/>
  <c r="AR109" i="7"/>
  <c r="AO110" i="7"/>
  <c r="V111" i="7"/>
  <c r="S112" i="7"/>
  <c r="P113" i="7"/>
  <c r="AC114" i="7"/>
  <c r="AT114" i="7"/>
  <c r="AK112" i="7"/>
  <c r="AD69" i="7"/>
  <c r="AB76" i="7"/>
  <c r="AJ82" i="7"/>
  <c r="AU85" i="7"/>
  <c r="AD86" i="7"/>
  <c r="L87" i="7"/>
  <c r="AM87" i="7"/>
  <c r="O88" i="7"/>
  <c r="AQ88" i="7"/>
  <c r="R89" i="7"/>
  <c r="AT89" i="7"/>
  <c r="S90" i="7"/>
  <c r="AP90" i="7"/>
  <c r="M91" i="7"/>
  <c r="AK91" i="7"/>
  <c r="I92" i="7"/>
  <c r="AG92" i="7"/>
  <c r="E93" i="7"/>
  <c r="AB93" i="7"/>
  <c r="AY93" i="7"/>
  <c r="X94" i="7"/>
  <c r="AU94" i="7"/>
  <c r="T95" i="7"/>
  <c r="AQ95" i="7"/>
  <c r="N96" i="7"/>
  <c r="AL96" i="7"/>
  <c r="J97" i="7"/>
  <c r="AH97" i="7"/>
  <c r="F98" i="7"/>
  <c r="AA98" i="7"/>
  <c r="AT98" i="7"/>
  <c r="O99" i="7"/>
  <c r="AH99" i="7"/>
  <c r="B100" i="7"/>
  <c r="W100" i="7"/>
  <c r="AP100" i="7"/>
  <c r="K101" i="7"/>
  <c r="AD101" i="7"/>
  <c r="AY101" i="7"/>
  <c r="S102" i="7"/>
  <c r="AM102" i="7"/>
  <c r="G103" i="7"/>
  <c r="AB103" i="7"/>
  <c r="AU103" i="7"/>
  <c r="P104" i="7"/>
  <c r="AI104" i="7"/>
  <c r="C105" i="7"/>
  <c r="X105" i="7"/>
  <c r="AQ105" i="7"/>
  <c r="L106" i="7"/>
  <c r="AE106" i="7"/>
  <c r="T107" i="7"/>
  <c r="AN107" i="7"/>
  <c r="H108" i="7"/>
  <c r="AA108" i="7"/>
  <c r="AR108" i="7"/>
  <c r="J109" i="7"/>
  <c r="Z109" i="7"/>
  <c r="AP109" i="7"/>
  <c r="G110" i="7"/>
  <c r="W110" i="7"/>
  <c r="AM110" i="7"/>
  <c r="D111" i="7"/>
  <c r="T111" i="7"/>
  <c r="AJ111" i="7"/>
  <c r="Q112" i="7"/>
  <c r="AG112" i="7"/>
  <c r="AW112" i="7"/>
  <c r="N113" i="7"/>
  <c r="AD113" i="7"/>
  <c r="AT113" i="7"/>
  <c r="K114" i="7"/>
  <c r="AA114" i="7"/>
  <c r="AQ114" i="7"/>
  <c r="P77" i="7"/>
  <c r="M92" i="7"/>
  <c r="AA94" i="7"/>
  <c r="AS95" i="7"/>
  <c r="N97" i="7"/>
  <c r="H98" i="7"/>
  <c r="AV98" i="7"/>
  <c r="AJ99" i="7"/>
  <c r="Y100" i="7"/>
  <c r="AH101" i="7"/>
  <c r="V102" i="7"/>
  <c r="I103" i="7"/>
  <c r="AW103" i="7"/>
  <c r="R104" i="7"/>
  <c r="G105" i="7"/>
  <c r="AT105" i="7"/>
  <c r="C107" i="7"/>
  <c r="J108" i="7"/>
  <c r="L109" i="7"/>
  <c r="Y110" i="7"/>
  <c r="AL111" i="7"/>
  <c r="AI112" i="7"/>
  <c r="AF113" i="7"/>
  <c r="M114" i="7"/>
  <c r="AN111" i="7"/>
  <c r="B70" i="7"/>
  <c r="AV76" i="7"/>
  <c r="F83" i="7"/>
  <c r="AX85" i="7"/>
  <c r="AE86" i="7"/>
  <c r="M87" i="7"/>
  <c r="AN87" i="7"/>
  <c r="P88" i="7"/>
  <c r="AS88" i="7"/>
  <c r="U89" i="7"/>
  <c r="AU89" i="7"/>
  <c r="T90" i="7"/>
  <c r="AQ90" i="7"/>
  <c r="P91" i="7"/>
  <c r="AM91" i="7"/>
  <c r="J92" i="7"/>
  <c r="AH92" i="7"/>
  <c r="F93" i="7"/>
  <c r="AD93" i="7"/>
  <c r="B94" i="7"/>
  <c r="Y94" i="7"/>
  <c r="AV94" i="7"/>
  <c r="U95" i="7"/>
  <c r="AR95" i="7"/>
  <c r="Q96" i="7"/>
  <c r="AN96" i="7"/>
  <c r="K97" i="7"/>
  <c r="AI97" i="7"/>
  <c r="G98" i="7"/>
  <c r="AB98" i="7"/>
  <c r="AU98" i="7"/>
  <c r="P99" i="7"/>
  <c r="AI99" i="7"/>
  <c r="E100" i="7"/>
  <c r="X100" i="7"/>
  <c r="AR100" i="7"/>
  <c r="L101" i="7"/>
  <c r="AE101" i="7"/>
  <c r="T102" i="7"/>
  <c r="AN102" i="7"/>
  <c r="H103" i="7"/>
  <c r="AC103" i="7"/>
  <c r="AV103" i="7"/>
  <c r="Q104" i="7"/>
  <c r="AJ104" i="7"/>
  <c r="F105" i="7"/>
  <c r="Y105" i="7"/>
  <c r="AS105" i="7"/>
  <c r="M106" i="7"/>
  <c r="AF106" i="7"/>
  <c r="B107" i="7"/>
  <c r="U107" i="7"/>
  <c r="AO107" i="7"/>
  <c r="I108" i="7"/>
  <c r="AB108" i="7"/>
  <c r="AS108" i="7"/>
  <c r="K109" i="7"/>
  <c r="AA109" i="7"/>
  <c r="AQ109" i="7"/>
  <c r="H110" i="7"/>
  <c r="X110" i="7"/>
  <c r="AN110" i="7"/>
  <c r="E111" i="7"/>
  <c r="U111" i="7"/>
  <c r="AK111" i="7"/>
  <c r="B112" i="7"/>
  <c r="R112" i="7"/>
  <c r="AH112" i="7"/>
  <c r="AX112" i="7"/>
  <c r="O113" i="7"/>
  <c r="AE113" i="7"/>
  <c r="AU113" i="7"/>
  <c r="L114" i="7"/>
  <c r="AB114" i="7"/>
  <c r="AR114" i="7"/>
  <c r="X70" i="7"/>
  <c r="Y83" i="7"/>
  <c r="AY85" i="7"/>
  <c r="AF86" i="7"/>
  <c r="O87" i="7"/>
  <c r="AQ87" i="7"/>
  <c r="Q88" i="7"/>
  <c r="AT88" i="7"/>
  <c r="V89" i="7"/>
  <c r="AW89" i="7"/>
  <c r="U90" i="7"/>
  <c r="AR90" i="7"/>
  <c r="Q91" i="7"/>
  <c r="AN91" i="7"/>
  <c r="AJ92" i="7"/>
  <c r="G93" i="7"/>
  <c r="AE93" i="7"/>
  <c r="C94" i="7"/>
  <c r="AX94" i="7"/>
  <c r="V95" i="7"/>
  <c r="R96" i="7"/>
  <c r="AO96" i="7"/>
  <c r="AK97" i="7"/>
  <c r="AC98" i="7"/>
  <c r="Q99" i="7"/>
  <c r="F100" i="7"/>
  <c r="AS100" i="7"/>
  <c r="B102" i="7"/>
  <c r="AO102" i="7"/>
  <c r="AD103" i="7"/>
  <c r="AK104" i="7"/>
  <c r="Z105" i="7"/>
  <c r="N106" i="7"/>
  <c r="W107" i="7"/>
  <c r="AP107" i="7"/>
  <c r="AT108" i="7"/>
  <c r="AB109" i="7"/>
  <c r="I110" i="7"/>
  <c r="F111" i="7"/>
  <c r="C112" i="7"/>
  <c r="AY112" i="7"/>
  <c r="AV113" i="7"/>
  <c r="AS114" i="7"/>
  <c r="E112" i="7"/>
  <c r="AL47" i="7"/>
  <c r="V47" i="7"/>
  <c r="F47" i="7"/>
  <c r="AO46" i="7"/>
  <c r="Y46" i="7"/>
  <c r="I46" i="7"/>
  <c r="AR45" i="7"/>
  <c r="AB45" i="7"/>
  <c r="L45" i="7"/>
  <c r="AU44" i="7"/>
  <c r="AE44" i="7"/>
  <c r="O44" i="7"/>
  <c r="AX43" i="7"/>
  <c r="AH43" i="7"/>
  <c r="R43" i="7"/>
  <c r="B43" i="7"/>
  <c r="AK42" i="7"/>
  <c r="U42" i="7"/>
  <c r="E42" i="7"/>
  <c r="AN41" i="7"/>
  <c r="X41" i="7"/>
  <c r="H41" i="7"/>
  <c r="AQ40" i="7"/>
  <c r="AA40" i="7"/>
  <c r="K40" i="7"/>
  <c r="AN46" i="7"/>
  <c r="X46" i="7"/>
  <c r="H46" i="7"/>
  <c r="AQ45" i="7"/>
  <c r="AA45" i="7"/>
  <c r="K45" i="7"/>
  <c r="AT44" i="7"/>
  <c r="AD44" i="7"/>
  <c r="N44" i="7"/>
  <c r="AW43" i="7"/>
  <c r="AG43" i="7"/>
  <c r="Q43" i="7"/>
  <c r="AJ42" i="7"/>
  <c r="T42" i="7"/>
  <c r="D42" i="7"/>
  <c r="AM41" i="7"/>
  <c r="W41" i="7"/>
  <c r="G41" i="7"/>
  <c r="AP40" i="7"/>
  <c r="Z40" i="7"/>
  <c r="J40" i="7"/>
  <c r="C46" i="7"/>
  <c r="AL45" i="7"/>
  <c r="V45" i="7"/>
  <c r="F45" i="7"/>
  <c r="AO44" i="7"/>
  <c r="Y44" i="7"/>
  <c r="I44" i="7"/>
  <c r="AR43" i="7"/>
  <c r="AB43" i="7"/>
  <c r="L43" i="7"/>
  <c r="AU42" i="7"/>
  <c r="AE42" i="7"/>
  <c r="O42" i="7"/>
  <c r="AX41" i="7"/>
  <c r="AH41" i="7"/>
  <c r="R41" i="7"/>
  <c r="B41" i="7"/>
  <c r="AK40" i="7"/>
  <c r="U40" i="7"/>
  <c r="E40" i="7"/>
  <c r="AE47" i="7"/>
  <c r="O47" i="7"/>
  <c r="AX46" i="7"/>
  <c r="AH46" i="7"/>
  <c r="R46" i="7"/>
  <c r="B46" i="7"/>
  <c r="AK45" i="7"/>
  <c r="U45" i="7"/>
  <c r="E45" i="7"/>
  <c r="AN44" i="7"/>
  <c r="X44" i="7"/>
  <c r="H44" i="7"/>
  <c r="AQ43" i="7"/>
  <c r="AA43" i="7"/>
  <c r="K43" i="7"/>
  <c r="AT42" i="7"/>
  <c r="AD42" i="7"/>
  <c r="N42" i="7"/>
  <c r="AW41" i="7"/>
  <c r="AG41" i="7"/>
  <c r="Q41" i="7"/>
  <c r="AJ40" i="7"/>
  <c r="T40" i="7"/>
  <c r="D40" i="7"/>
  <c r="P45" i="7"/>
  <c r="AL48" i="7"/>
  <c r="V48" i="7"/>
  <c r="F48" i="7"/>
  <c r="AV61" i="7"/>
  <c r="AV45" i="7"/>
  <c r="AV66" i="7"/>
  <c r="AV50" i="7"/>
  <c r="AV46" i="7"/>
  <c r="AV44" i="7"/>
  <c r="AF42" i="7"/>
  <c r="AF61" i="7"/>
  <c r="AF66" i="7"/>
  <c r="AF50" i="7"/>
  <c r="AF41" i="7"/>
  <c r="AF43" i="7"/>
  <c r="AQ65" i="7"/>
  <c r="AQ49" i="7"/>
  <c r="AQ68" i="7"/>
  <c r="AQ52" i="7"/>
  <c r="AQ57" i="7"/>
  <c r="A115" i="7"/>
  <c r="AZ8" i="7"/>
  <c r="AB115" i="7"/>
  <c r="AA115" i="7"/>
  <c r="AP115" i="7"/>
  <c r="AO115" i="7"/>
  <c r="Y115" i="7"/>
  <c r="I115" i="7"/>
  <c r="K115" i="7"/>
  <c r="J115" i="7"/>
  <c r="AN115" i="7"/>
  <c r="X115" i="7"/>
  <c r="H115" i="7"/>
  <c r="Z115" i="7"/>
  <c r="AM115" i="7"/>
  <c r="W115" i="7"/>
  <c r="G115" i="7"/>
  <c r="F115" i="7"/>
  <c r="U115" i="7"/>
  <c r="L115" i="7"/>
  <c r="AK115" i="7"/>
  <c r="E115" i="7"/>
  <c r="AZ115" i="7"/>
  <c r="AJ115" i="7"/>
  <c r="T115" i="7"/>
  <c r="D115" i="7"/>
  <c r="AL115" i="7"/>
  <c r="AI115" i="7"/>
  <c r="C115" i="7"/>
  <c r="AS115" i="7"/>
  <c r="V115" i="7"/>
  <c r="AY115" i="7"/>
  <c r="S115" i="7"/>
  <c r="AX115" i="7"/>
  <c r="AH115" i="7"/>
  <c r="R115" i="7"/>
  <c r="B115" i="7"/>
  <c r="Q115" i="7"/>
  <c r="AR115" i="7"/>
  <c r="AW115" i="7"/>
  <c r="AG115" i="7"/>
  <c r="AF115" i="7"/>
  <c r="AV115" i="7"/>
  <c r="AU115" i="7"/>
  <c r="AE115" i="7"/>
  <c r="O115" i="7"/>
  <c r="P115" i="7"/>
  <c r="AT115" i="7"/>
  <c r="AD115" i="7"/>
  <c r="N115" i="7"/>
  <c r="AC115" i="7"/>
  <c r="M115" i="7"/>
  <c r="AQ115" i="7"/>
  <c r="AZ40" i="7"/>
  <c r="AZ42" i="7"/>
  <c r="AZ101" i="7"/>
  <c r="AZ111" i="7"/>
  <c r="AZ106" i="7"/>
  <c r="AZ99" i="7"/>
  <c r="AZ68" i="7"/>
  <c r="AZ104" i="7"/>
  <c r="AZ92" i="7"/>
  <c r="AZ110" i="7"/>
  <c r="AZ102" i="7"/>
  <c r="AZ109" i="7"/>
  <c r="AZ107" i="7"/>
  <c r="AZ91" i="7"/>
  <c r="AZ79" i="7"/>
  <c r="AZ108" i="7"/>
  <c r="AZ90" i="7"/>
  <c r="AZ114" i="7"/>
  <c r="AZ113" i="7"/>
  <c r="AZ95" i="7"/>
  <c r="AZ88" i="7"/>
  <c r="AZ84" i="7"/>
  <c r="AZ98" i="7"/>
  <c r="AZ103" i="7"/>
  <c r="AZ94" i="7"/>
  <c r="AZ112" i="7"/>
  <c r="AZ97" i="7"/>
  <c r="AZ74" i="7"/>
  <c r="AZ96" i="7"/>
  <c r="AZ82" i="7"/>
  <c r="AZ100" i="7"/>
  <c r="AZ75" i="7"/>
  <c r="AZ105" i="7"/>
  <c r="AZ89" i="7"/>
  <c r="AZ87" i="7"/>
  <c r="AZ86" i="7"/>
  <c r="AZ80" i="7"/>
  <c r="AZ56" i="7"/>
  <c r="AZ66" i="7"/>
  <c r="AZ78" i="7"/>
  <c r="AZ71" i="7"/>
  <c r="AZ93" i="7"/>
  <c r="AZ83" i="7"/>
  <c r="AZ76" i="7"/>
  <c r="AZ81" i="7"/>
  <c r="AZ70" i="7"/>
  <c r="AZ64" i="7"/>
  <c r="AZ85" i="7"/>
  <c r="AZ69" i="7"/>
  <c r="AZ61" i="7"/>
  <c r="AZ44" i="7"/>
  <c r="AZ41" i="7"/>
  <c r="AZ59" i="7"/>
  <c r="AZ73" i="7"/>
  <c r="AZ47" i="7"/>
  <c r="AZ46" i="7"/>
  <c r="AZ52" i="7"/>
  <c r="AZ57" i="7"/>
  <c r="AZ43" i="7"/>
  <c r="AZ72" i="7"/>
  <c r="AZ67" i="7"/>
  <c r="AZ77" i="7"/>
  <c r="AZ50" i="7"/>
  <c r="AZ55" i="7"/>
  <c r="AZ60" i="7"/>
  <c r="AZ48" i="7"/>
  <c r="AZ53" i="7"/>
  <c r="AZ45" i="7"/>
  <c r="AZ58" i="7"/>
  <c r="AZ63" i="7"/>
  <c r="AZ51" i="7"/>
  <c r="AZ62" i="7"/>
  <c r="AZ65" i="7"/>
  <c r="AZ49" i="7"/>
  <c r="AZ54" i="7"/>
  <c r="AZ9" i="7"/>
  <c r="AJ9" i="7"/>
  <c r="T9" i="7"/>
  <c r="D9" i="7"/>
  <c r="AY9" i="7"/>
  <c r="AI9" i="7"/>
  <c r="C9" i="7"/>
  <c r="AX9" i="7"/>
  <c r="AH9" i="7"/>
  <c r="R9" i="7"/>
  <c r="AF9" i="7"/>
  <c r="G9" i="7"/>
  <c r="E9" i="7"/>
  <c r="AW9" i="7"/>
  <c r="AG9" i="7"/>
  <c r="Q9" i="7"/>
  <c r="AV9" i="7"/>
  <c r="P9" i="7"/>
  <c r="F9" i="7"/>
  <c r="AU9" i="7"/>
  <c r="AE9" i="7"/>
  <c r="O9" i="7"/>
  <c r="K9" i="7"/>
  <c r="I9" i="7"/>
  <c r="V9" i="7"/>
  <c r="AT9" i="7"/>
  <c r="AD9" i="7"/>
  <c r="N9" i="7"/>
  <c r="L9" i="7"/>
  <c r="X9" i="7"/>
  <c r="U9" i="7"/>
  <c r="AS9" i="7"/>
  <c r="AC9" i="7"/>
  <c r="M9" i="7"/>
  <c r="AB9" i="7"/>
  <c r="W9" i="7"/>
  <c r="S9" i="7"/>
  <c r="AR9" i="7"/>
  <c r="AQ9" i="7"/>
  <c r="AA9" i="7"/>
  <c r="AL9" i="7"/>
  <c r="AP9" i="7"/>
  <c r="Z9" i="7"/>
  <c r="J9" i="7"/>
  <c r="Y9" i="7"/>
  <c r="H9" i="7"/>
  <c r="AK9" i="7"/>
  <c r="AO9" i="7"/>
  <c r="AN9" i="7"/>
  <c r="AM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A720DC-EF5D-4D30-BA4D-6169D5B990A1}" odcFile="C:\Users\afree\Documents\My Data Sources\DESKTOP-KSAPEQM AS Model.odc" keepAlive="1" name="DESKTOP-KSAPEQM AS Model" type="5" refreshedVersion="6" background="1">
    <dbPr connection="Provider=MSOLAP.8;Integrated Security=SSPI;Persist Security Info=True;Initial Catalog=AS;Data Source=DESKTOP-KSAPEQM;MDX Compatibility=1;Safety Options=2;MDX Missing Member Mode=Error;Update Isolation Level=2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MDX" minSupportedVersion="120000" copy="1" pasteAll="1" pasteValues="1" merge="1" splitFirst="1" rowColShift="1" clearFormats="1" clearComments="1" assign="1" coerce="1"/>
  </metadataTypes>
  <metadataStrings count="165">
    <s v="DESKTOP-KSAPEQM AS Model"/>
    <s v="{[Data].[GDP and other output measures].[Output Definition].&amp;[Expenditure Approach]}"/>
    <s v="{[Data].[Original Source Data].[Source].&amp;[WDI2020]}"/>
    <s v="{[Indicator Detail].[Units].[Measure Type (Stock/Flow/etc)].&amp;[Flow].&amp;[Money].&amp;[USD]}"/>
    <s v="{[Indicator Detail].[Industrial Sector (Agriculture/Manufacturing/etc)].&amp;[Whole economy]}"/>
    <s v="{[Geography].[WDI Availability].[wdi_availability].&amp;[From 1960],[Geography].[WDI Availability].[wdi_availability].&amp;[From 1961],[Geography].[WDI Availability].[wdi_availability].&amp;[From 1962],[Geography].[WDI Availability].[wdi_availability].&amp;[From 1965],[Geography].[WDI Availability].[wdi_availability].&amp;[From 1966],[Geography].[WDI Availability].[wdi_availability].&amp;[From 1967],[Geography].[WDI Availability].[wdi_availability].&amp;[From 1968],[Geography].[WDI Availability].[wdi_availability].&amp;[From 1970]}"/>
    <s v="[Geography].[Blocs].[Country].&amp;[Zambia]"/>
    <s v="[Geography].[Blocs].[Country].&amp;[Rwanda]"/>
    <s v="[Geography].[Blocs].[Country].&amp;[Mali]"/>
    <s v="[Geography].[Blocs].[Country].&amp;[Gambia]"/>
    <s v="[Geography].[Blocs].[Country].&amp;[Burkina Faso]"/>
    <s v="[Geography].[Blocs].[Country].&amp;[South Korea]"/>
    <s v="[Geography].[Blocs].[Country].&amp;[Finland]"/>
    <s v="[Dates].[Year].&amp;[2013]"/>
    <s v="[Dates].[Year].&amp;[1997]"/>
    <s v="[Dates].[Year].&amp;[1981]"/>
    <s v="[Dates].[Year].&amp;[1980]"/>
    <s v="[Geography].[Blocs].[Country].&amp;[Malawi]"/>
    <s v="[Geography].[Blocs].[Country].&amp;[Botswana]"/>
    <s v="[Dates].[Year].&amp;[2011]"/>
    <s v="[Dates].[Year].&amp;[1995]"/>
    <s v="[Geography].[Blocs].[Country].&amp;[Uruguay]"/>
    <s v="[Geography].[Blocs].[Country].&amp;[Puerto Rico]"/>
    <s v="[Geography].[Blocs].[Country].&amp;[Malaysia]"/>
    <s v="[Geography].[Blocs].[Country].&amp;[Gabon]"/>
    <s v="[Geography].[Blocs].[Country].&amp;[Brazil]"/>
    <s v="[Geography].[Blocs].[Country].&amp;[Singapore]"/>
    <s v="[Geography].[Blocs].[Country].&amp;[Denmark]"/>
    <s v="[Dates].[Year].&amp;[2012]"/>
    <s v="[Dates].[Year].&amp;[1996]"/>
    <s v="[Geography].[Blocs].[Country].&amp;[Philippines]"/>
    <s v="[Geography].[Blocs].[Country].&amp;[Fiji]"/>
    <s v="[Geography].[Blocs].[Country].&amp;[Canada]"/>
    <s v="[Dates].[Year].&amp;[1979]"/>
    <s v="[Geography].[Blocs].[Country].&amp;[Turkey]"/>
    <s v="[Geography].[Blocs].[Country].&amp;[Portugal]"/>
    <s v="[Geography].[Blocs].[Country].&amp;[Suriname]"/>
    <s v="[Geography].[Blocs].[Country].&amp;[Oman]"/>
    <s v="[Geography].[Blocs].[Country].&amp;[Iraq]"/>
    <s v="[Geography].[Blocs].[Country].&amp;[Congo R]"/>
    <s v="[Geography].[Blocs].[Country].&amp;[Argentina]"/>
    <s v="[Geography].[Blocs].[Country].&amp;[Japan]"/>
    <s v="[Geography].[Blocs].[Major_Blocs].&amp;[China Mainland]"/>
    <s v="[Dates].[Year].&amp;[2005]"/>
    <s v="[Dates].[Year].&amp;[1989]"/>
    <s v="[Dates].[Year].&amp;[1973]"/>
    <s v="[Geography].[Blocs].[Country].&amp;[India]"/>
    <s v="[Geography].[Blocs].[Country].&amp;[New Zealand]"/>
    <s v="[Dates].[Year].&amp;[2000]"/>
    <s v="[Dates].[Year].&amp;[1977]"/>
    <s v="[Geography].[Blocs].[Country].&amp;[Honduras]"/>
    <s v="[Geography].[Blocs].[Country].&amp;[Netherlands]"/>
    <s v="[Dates].[Year].&amp;[1976]"/>
    <s v="[Geography].[Blocs].[Country].&amp;[Malta]"/>
    <s v="[Dates].[Year].&amp;[1975]"/>
    <s v="[Geography].[Blocs].[Country].&amp;[Luxemburg]"/>
    <s v="[Dates].[Year].&amp;[2019]"/>
    <s v="[Geography].[Blocs].[Country].&amp;[Burundi]"/>
    <s v="[Dates].[Year].&amp;[1994]"/>
    <s v="[Dates].[Year].&amp;[2002]"/>
    <s v="[Geography].[Blocs].[Country].&amp;[Zimbabwe]"/>
    <s v="[Geography].[Blocs].[Country].&amp;[Haiti]"/>
    <s v="[Dates].[Year].&amp;[2018]"/>
    <s v="[Dates].[Year].&amp;[2017]"/>
    <s v="[Geography].[Blocs].[Country].&amp;[Kenya]"/>
    <s v="[Geography].[Blocs].[Country].&amp;[Tunisia]"/>
    <s v="[Geography].[Blocs].[Country].&amp;[Pakistan]"/>
    <s v="[Geography].[Blocs].[Country].&amp;[Guyana]"/>
    <s v="[Geography].[Blocs].[Country].&amp;[Bolivia]"/>
    <s v="[Dates].[Year].&amp;[1974]"/>
    <s v="[Geography].[Blocs].[Country].&amp;[Trinidad and Tobago]"/>
    <s v="[Geography].[Blocs].[Country].&amp;[Nigeria]"/>
    <s v="[Geography].[Blocs].[Country].&amp;[Guinea-Bissau]"/>
    <s v="[Geography].[Blocs].[Country].&amp;[Benin]"/>
    <s v="[Geography].[Blocs].[Country].&amp;[Italy]"/>
    <s v="[Dates].[Year].&amp;[2016]"/>
    <s v="[Dates].[Year].&amp;[1993]"/>
    <s v="[Dates].[Year].&amp;[1972]"/>
    <s v="[Geography].[Blocs].[Country].&amp;[Saudi Arabia]"/>
    <s v="[Geography].[Blocs].[Country].&amp;[Togo]"/>
    <s v="[Geography].[Blocs].[Country].&amp;[Niger]"/>
    <s v="[Geography].[Blocs].[Country].&amp;[Guatemala]"/>
    <s v="[Geography].[Blocs].[Country].&amp;[Belize]"/>
    <s v="[Geography].[Blocs].[Country].&amp;[Israel]"/>
    <s v="[Dates].[Year].&amp;[2015]"/>
    <s v="[Dates].[Year].&amp;[1992]"/>
    <s v="[Dates].[Year].&amp;[1971]"/>
    <s v="[Dates].[Year].&amp;[1982]"/>
    <s v="[Geography].[Blocs].[Country].&amp;[Thailand]"/>
    <s v="[Geography].[Blocs].[Country].&amp;[Nicaragua]"/>
    <s v="[Geography].[Blocs].[Country].&amp;[Ghana]"/>
    <s v="[Geography].[Blocs].[Country].&amp;[Bangladesh]"/>
    <s v="[Geography].[Blocs].[Country].&amp;[Ireland]"/>
    <s v="[Dates].[Year].&amp;[2014]"/>
    <s v="[Dates].[Year].&amp;[1991]"/>
    <s v="[Dates].[Year].&amp;[1970]"/>
    <s v="[Geography].[Blocs].[Country].&amp;[Chile]"/>
    <s v="[Geography].[Blocs].[Country].&amp;[Swaziland]"/>
    <s v="[Geography].[Blocs].[Country].&amp;[Nepal]"/>
    <s v="[Geography].[Blocs].[Country].&amp;[El Salvador]"/>
    <s v="[Geography].[Blocs].[Country].&amp;[Bahamas]"/>
    <s v="[Geography].[Blocs].[Country].&amp;[Iceland]"/>
    <s v="[Dates].[Year].&amp;[2010]"/>
    <s v="[Dates].[Year].&amp;[1990]"/>
    <s v="[Measures].[Item]"/>
    <s v="[Geography].[Blocs].[Country].&amp;[Sri Lanka]"/>
    <s v="[Geography].[Blocs].[Country].&amp;[Dominican Republic]"/>
    <s v="[Dates].[Year].&amp;[2008]"/>
    <s v="[Dates].[Year].&amp;[2007]"/>
    <s v="[Dates].[Year].&amp;[2006]"/>
    <s v="[Geography].[Blocs].[Country].&amp;[Sudan (Former)]"/>
    <s v="[Geography].[Blocs].[Country].&amp;[Morocco]"/>
    <s v="[Geography].[Blocs].[Country].&amp;[Ecuador]"/>
    <s v="[Geography].[Blocs].[Country].&amp;[Algeria]"/>
    <s v="[Geography].[Blocs].[Country].&amp;[Greece]"/>
    <s v="[Dates].[Year].&amp;[2009]"/>
    <s v="[Dates].[Year].&amp;[1988]"/>
    <s v="[Geography].[Blocs].[Country].&amp;[Mexico]"/>
    <s v="[Geography].[Blocs].[Country].&amp;[Germany]"/>
    <s v="[Dates].[Year].&amp;[1987]"/>
    <s v="[Geography].[Blocs].[Country].&amp;[South Africa]"/>
    <s v="[Geography].[Blocs].[Country].&amp;[France]"/>
    <s v="[Dates].[Year].&amp;[1986]"/>
    <s v="[Geography].[Blocs].[Country].&amp;[Costa Rica]"/>
    <s v="[Geography].[Blocs].[Major_Blocs].&amp;[South]"/>
    <s v="[Geography].[Blocs].[Country].&amp;[Cote d'Ivoire]"/>
    <s v="[Geography].[Blocs].[Country].&amp;[Madagascar]"/>
    <s v="[Dates].[Year].&amp;[1985]"/>
    <s v="[Dates].[Year].&amp;[2004]"/>
    <s v="[Geography].[Blocs].[Country].&amp;[Spain]"/>
    <s v="[Geography].[Blocs].[Country].&amp;[Mauritania]"/>
    <s v="[Geography].[Blocs].[Country].&amp;[United States]"/>
    <s v="[Geography].[Blocs].[Country].&amp;[Belgium]"/>
    <s v="[Geography].[Blocs].[Country].&amp;[Sierra Leone]"/>
    <s v="[Geography].[Blocs].[Country].&amp;[United Kingdom]"/>
    <s v="[Geography].[Blocs].[Country].&amp;[Austria]"/>
    <s v="[Geography].[Blocs].[Country].&amp;[Andorra]"/>
    <s v="[Geography].[Blocs].[Country].&amp;[Seychelles]"/>
    <s v="[Geography].[Blocs].[Country].&amp;[Lesotho]"/>
    <s v="[Geography].[Blocs].[Country].&amp;[Congo DR]"/>
    <s v="[Geography].[Blocs].[Country].&amp;[Switzerland]"/>
    <s v="[Dates].[Year].&amp;[1984]"/>
    <s v="[Geography].[Blocs].[Country].&amp;[Senegal]"/>
    <s v="[Geography].[Blocs].[Country].&amp;[Kiribati]"/>
    <s v="[Geography].[Blocs].[Country].&amp;[Colombia]"/>
    <s v="[Geography].[Blocs].[Country].&amp;[Sweden]"/>
    <s v="[Geography].[Blocs].[Country].&amp;[Australia]"/>
    <s v="[Dates].[Year].&amp;[2003]"/>
    <s v="[Dates].[Year].&amp;[1983]"/>
    <s v="[Geography].[Blocs].[Country].&amp;[Peru]"/>
    <s v="[Geography].[Blocs].[Country].&amp;[Jamaica]"/>
    <s v="[Geography].[Blocs].[Country].&amp;[Chad]"/>
    <s v="[Geography].[Blocs].[Country].&amp;[Norway]"/>
    <s v="[Geography].[Blocs].[Major_Blocs].&amp;[North]"/>
    <s v="[Dates].[Year].&amp;[2001]"/>
    <s v="[Dates].[Year].&amp;[1978]"/>
    <s v="[Geography].[Blocs].[Country].&amp;[Paraguay]"/>
    <s v="[Geography].[Blocs].[Country].&amp;[Central African Republic]"/>
    <s v="[Geography].[Blocs].[Country].&amp;[Papua New Guinea]"/>
    <s v="[Geography].[Blocs].[Country].&amp;[Cameroon]"/>
    <s v="[Dates].[Year].&amp;[1999]"/>
    <s v="[Geography].[Blocs].[Country].&amp;[Panama]"/>
    <s v="[Dates].[Year].&amp;[1998]"/>
    <s v="{([Geography].[Blocs].[Major_Blocs].&amp;[South]),([Geography].[Blocs].[Major_Blocs].&amp;[North]),([Geography].[Blocs].[Major_Blocs].&amp;[China Mainland])}"/>
    <s v="{([Dates].[Year].&amp;[2019]),([Dates].[Year].&amp;[2018]),([Dates].[Year].&amp;[2017]),([Dates].[Year].&amp;[2016]),([Dates].[Year].&amp;[2015]),([Dates].[Year].&amp;[2014]),([Dates].[Year].&amp;[2013]),([Dates].[Year].&amp;[2012]),([Dates].[Year].&amp;[2011]),([Dates].[Year].&amp;[2010]),([Dates].[Year].&amp;[2009]),([Dates].[Year].&amp;[2008]),([Dates].[Year].&amp;[2007]),([Dates].[Year].&amp;[2006]),([Dates].[Year].&amp;[2005]),([Dates].[Year].&amp;[2004]),([Dates].[Year].&amp;[2003]),([Dates].[Year].&amp;[2002]),([Dates].[Year].&amp;[2001]),([Dates].[Year].&amp;[2000]),([Dates].[Year].&amp;[1999]),([Dates].[Year].&amp;[1998]),([Dates].[Year].&amp;[1997]),([Dates].[Year].&amp;[1996]),([Dates].[Year].&amp;[1995]),([Dates].[Year].&amp;[1994]),([Dates].[Year].&amp;[1993]),([Dates].[Year].&amp;[1992]),([Dates].[Year].&amp;[1991]),([Dates].[Year].&amp;[1990]),([Dates].[Year].&amp;[1989]),([Dates].[Year].&amp;[1988]),([Dates].[Year].&amp;[1987]),([Dates].[Year].&amp;[1986]),([Dates].[Year].&amp;[1985]),([Dates].[Year].&amp;[1984]),([Dates].[Year].&amp;[1983]),([Dates].[Year].&amp;[1982]),([Dates].[Year].&amp;[1981]),([Dates].[Year].&amp;[1980]),([Dates].[Year].&amp;[1979]),([Dates].[Year].&amp;[1978]),([Dates].[Year].&amp;[1977]),([Dates].[Year].&amp;[1976]),([Dates].[Year].&amp;[1975]),([Dates].[Year].&amp;[1974]),([Dates].[Year].&amp;[1973]),([Dates].[Year].&amp;[1972]),([Dates].[Year].&amp;[1971]),([Dates].[Year].&amp;[1970])}"/>
  </metadataStrings>
  <mdxMetadata count="5519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m">
      <t c="1">
        <n x="35"/>
      </t>
    </mdx>
    <mdx n="0" f="m">
      <t c="1">
        <n x="36"/>
      </t>
    </mdx>
    <mdx n="0" f="m">
      <t c="1">
        <n x="37"/>
      </t>
    </mdx>
    <mdx n="0" f="m">
      <t c="1">
        <n x="38"/>
      </t>
    </mdx>
    <mdx n="0" f="m">
      <t c="1">
        <n x="39"/>
      </t>
    </mdx>
    <mdx n="0" f="m">
      <t c="1">
        <n x="40"/>
      </t>
    </mdx>
    <mdx n="0" f="m">
      <t c="1">
        <n x="41"/>
      </t>
    </mdx>
    <mdx n="0" f="m">
      <t c="1">
        <n x="42"/>
      </t>
    </mdx>
    <mdx n="0" f="m">
      <t c="1">
        <n x="43"/>
      </t>
    </mdx>
    <mdx n="0" f="m">
      <t c="1">
        <n x="44"/>
      </t>
    </mdx>
    <mdx n="0" f="m">
      <t c="1">
        <n x="45"/>
      </t>
    </mdx>
    <mdx n="0" f="m">
      <t c="1">
        <n x="46"/>
      </t>
    </mdx>
    <mdx n="0" f="m">
      <t c="1">
        <n x="47"/>
      </t>
    </mdx>
    <mdx n="0" f="m">
      <t c="1">
        <n x="48"/>
      </t>
    </mdx>
    <mdx n="0" f="m">
      <t c="1">
        <n x="49"/>
      </t>
    </mdx>
    <mdx n="0" f="m">
      <t c="1">
        <n x="50"/>
      </t>
    </mdx>
    <mdx n="0" f="m">
      <t c="1">
        <n x="51"/>
      </t>
    </mdx>
    <mdx n="0" f="m">
      <t c="1">
        <n x="52"/>
      </t>
    </mdx>
    <mdx n="0" f="m">
      <t c="1">
        <n x="53"/>
      </t>
    </mdx>
    <mdx n="0" f="m">
      <t c="1">
        <n x="54"/>
      </t>
    </mdx>
    <mdx n="0" f="m">
      <t c="1">
        <n x="55"/>
      </t>
    </mdx>
    <mdx n="0" f="m">
      <t c="1">
        <n x="56"/>
      </t>
    </mdx>
    <mdx n="0" f="m">
      <t c="1">
        <n x="57"/>
      </t>
    </mdx>
    <mdx n="0" f="m">
      <t c="1">
        <n x="58"/>
      </t>
    </mdx>
    <mdx n="0" f="m">
      <t c="1">
        <n x="59"/>
      </t>
    </mdx>
    <mdx n="0" f="m">
      <t c="1">
        <n x="60"/>
      </t>
    </mdx>
    <mdx n="0" f="m">
      <t c="1">
        <n x="61"/>
      </t>
    </mdx>
    <mdx n="0" f="m">
      <t c="1">
        <n x="62"/>
      </t>
    </mdx>
    <mdx n="0" f="m">
      <t c="1">
        <n x="63"/>
      </t>
    </mdx>
    <mdx n="0" f="m">
      <t c="1">
        <n x="64"/>
      </t>
    </mdx>
    <mdx n="0" f="m">
      <t c="1">
        <n x="65"/>
      </t>
    </mdx>
    <mdx n="0" f="m">
      <t c="1">
        <n x="66"/>
      </t>
    </mdx>
    <mdx n="0" f="m">
      <t c="1">
        <n x="67"/>
      </t>
    </mdx>
    <mdx n="0" f="m">
      <t c="1">
        <n x="68"/>
      </t>
    </mdx>
    <mdx n="0" f="m">
      <t c="1">
        <n x="69"/>
      </t>
    </mdx>
    <mdx n="0" f="m">
      <t c="1">
        <n x="70"/>
      </t>
    </mdx>
    <mdx n="0" f="m">
      <t c="1">
        <n x="71"/>
      </t>
    </mdx>
    <mdx n="0" f="m">
      <t c="1">
        <n x="72"/>
      </t>
    </mdx>
    <mdx n="0" f="m">
      <t c="1">
        <n x="73"/>
      </t>
    </mdx>
    <mdx n="0" f="m">
      <t c="1">
        <n x="74"/>
      </t>
    </mdx>
    <mdx n="0" f="m">
      <t c="1">
        <n x="75"/>
      </t>
    </mdx>
    <mdx n="0" f="m">
      <t c="1">
        <n x="76"/>
      </t>
    </mdx>
    <mdx n="0" f="m">
      <t c="1">
        <n x="77"/>
      </t>
    </mdx>
    <mdx n="0" f="m">
      <t c="1">
        <n x="78"/>
      </t>
    </mdx>
    <mdx n="0" f="m">
      <t c="1">
        <n x="79"/>
      </t>
    </mdx>
    <mdx n="0" f="m">
      <t c="1">
        <n x="80"/>
      </t>
    </mdx>
    <mdx n="0" f="m">
      <t c="1">
        <n x="81"/>
      </t>
    </mdx>
    <mdx n="0" f="m">
      <t c="1">
        <n x="82"/>
      </t>
    </mdx>
    <mdx n="0" f="m">
      <t c="1">
        <n x="83"/>
      </t>
    </mdx>
    <mdx n="0" f="m">
      <t c="1">
        <n x="84"/>
      </t>
    </mdx>
    <mdx n="0" f="m">
      <t c="1">
        <n x="85"/>
      </t>
    </mdx>
    <mdx n="0" f="m">
      <t c="1">
        <n x="86"/>
      </t>
    </mdx>
    <mdx n="0" f="m">
      <t c="1">
        <n x="87"/>
      </t>
    </mdx>
    <mdx n="0" f="m">
      <t c="1">
        <n x="88"/>
      </t>
    </mdx>
    <mdx n="0" f="m">
      <t c="1">
        <n x="89"/>
      </t>
    </mdx>
    <mdx n="0" f="m">
      <t c="1">
        <n x="90"/>
      </t>
    </mdx>
    <mdx n="0" f="m">
      <t c="1">
        <n x="91"/>
      </t>
    </mdx>
    <mdx n="0" f="m">
      <t c="1">
        <n x="92"/>
      </t>
    </mdx>
    <mdx n="0" f="m">
      <t c="1">
        <n x="93"/>
      </t>
    </mdx>
    <mdx n="0" f="m">
      <t c="1">
        <n x="94"/>
      </t>
    </mdx>
    <mdx n="0" f="m">
      <t c="1">
        <n x="95"/>
      </t>
    </mdx>
    <mdx n="0" f="m">
      <t c="1">
        <n x="96"/>
      </t>
    </mdx>
    <mdx n="0" f="m">
      <t c="1">
        <n x="97"/>
      </t>
    </mdx>
    <mdx n="0" f="m">
      <t c="1">
        <n x="98"/>
      </t>
    </mdx>
    <mdx n="0" f="m">
      <t c="1">
        <n x="99"/>
      </t>
    </mdx>
    <mdx n="0" f="m">
      <t c="1">
        <n x="100"/>
      </t>
    </mdx>
    <mdx n="0" f="m">
      <t c="1">
        <n x="101"/>
      </t>
    </mdx>
    <mdx n="0" f="m">
      <t c="1">
        <n x="102"/>
      </t>
    </mdx>
    <mdx n="0" f="m">
      <t c="1">
        <n x="103"/>
      </t>
    </mdx>
    <mdx n="0" f="m">
      <t c="1">
        <n x="104"/>
      </t>
    </mdx>
    <mdx n="0" f="m">
      <t c="1">
        <n x="105"/>
      </t>
    </mdx>
    <mdx n="0" f="m">
      <t c="1">
        <n x="106"/>
      </t>
    </mdx>
    <mdx n="0" f="m">
      <t c="1">
        <n x="107"/>
      </t>
    </mdx>
    <mdx n="0" f="m">
      <t c="1">
        <n x="108"/>
      </t>
    </mdx>
    <mdx n="0" f="m">
      <t c="1">
        <n x="109"/>
      </t>
    </mdx>
    <mdx n="0" f="m">
      <t c="1">
        <n x="110"/>
      </t>
    </mdx>
    <mdx n="0" f="m">
      <t c="1">
        <n x="111"/>
      </t>
    </mdx>
    <mdx n="0" f="m">
      <t c="1">
        <n x="112"/>
      </t>
    </mdx>
    <mdx n="0" f="m">
      <t c="1">
        <n x="113"/>
      </t>
    </mdx>
    <mdx n="0" f="m">
      <t c="1">
        <n x="114"/>
      </t>
    </mdx>
    <mdx n="0" f="m">
      <t c="1">
        <n x="115"/>
      </t>
    </mdx>
    <mdx n="0" f="m">
      <t c="1">
        <n x="116"/>
      </t>
    </mdx>
    <mdx n="0" f="m">
      <t c="1">
        <n x="117"/>
      </t>
    </mdx>
    <mdx n="0" f="m">
      <t c="1">
        <n x="118"/>
      </t>
    </mdx>
    <mdx n="0" f="m">
      <t c="1">
        <n x="119"/>
      </t>
    </mdx>
    <mdx n="0" f="m">
      <t c="1">
        <n x="120"/>
      </t>
    </mdx>
    <mdx n="0" f="m">
      <t c="1">
        <n x="121"/>
      </t>
    </mdx>
    <mdx n="0" f="m">
      <t c="1">
        <n x="122"/>
      </t>
    </mdx>
    <mdx n="0" f="m">
      <t c="1">
        <n x="123"/>
      </t>
    </mdx>
    <mdx n="0" f="m">
      <t c="1">
        <n x="124"/>
      </t>
    </mdx>
    <mdx n="0" f="m">
      <t c="1">
        <n x="125"/>
      </t>
    </mdx>
    <mdx n="0" f="m">
      <t c="1">
        <n x="126"/>
      </t>
    </mdx>
    <mdx n="0" f="m">
      <t c="1">
        <n x="127"/>
      </t>
    </mdx>
    <mdx n="0" f="m">
      <t c="1">
        <n x="128"/>
      </t>
    </mdx>
    <mdx n="0" f="m">
      <t c="1">
        <n x="129"/>
      </t>
    </mdx>
    <mdx n="0" f="m">
      <t c="1">
        <n x="130"/>
      </t>
    </mdx>
    <mdx n="0" f="m">
      <t c="1">
        <n x="131"/>
      </t>
    </mdx>
    <mdx n="0" f="m">
      <t c="1">
        <n x="132"/>
      </t>
    </mdx>
    <mdx n="0" f="m">
      <t c="1">
        <n x="133"/>
      </t>
    </mdx>
    <mdx n="0" f="m">
      <t c="1">
        <n x="134"/>
      </t>
    </mdx>
    <mdx n="0" f="m">
      <t c="1">
        <n x="135"/>
      </t>
    </mdx>
    <mdx n="0" f="m">
      <t c="1">
        <n x="136"/>
      </t>
    </mdx>
    <mdx n="0" f="m">
      <t c="1">
        <n x="137"/>
      </t>
    </mdx>
    <mdx n="0" f="m">
      <t c="1">
        <n x="138"/>
      </t>
    </mdx>
    <mdx n="0" f="m">
      <t c="1">
        <n x="139"/>
      </t>
    </mdx>
    <mdx n="0" f="m">
      <t c="1">
        <n x="140"/>
      </t>
    </mdx>
    <mdx n="0" f="m">
      <t c="1">
        <n x="141"/>
      </t>
    </mdx>
    <mdx n="0" f="m">
      <t c="1">
        <n x="142"/>
      </t>
    </mdx>
    <mdx n="0" f="m">
      <t c="1">
        <n x="143"/>
      </t>
    </mdx>
    <mdx n="0" f="m">
      <t c="1">
        <n x="144"/>
      </t>
    </mdx>
    <mdx n="0" f="m">
      <t c="1">
        <n x="145"/>
      </t>
    </mdx>
    <mdx n="0" f="m">
      <t c="1">
        <n x="146"/>
      </t>
    </mdx>
    <mdx n="0" f="m">
      <t c="1">
        <n x="147"/>
      </t>
    </mdx>
    <mdx n="0" f="m">
      <t c="1">
        <n x="148"/>
      </t>
    </mdx>
    <mdx n="0" f="m">
      <t c="1">
        <n x="149"/>
      </t>
    </mdx>
    <mdx n="0" f="m">
      <t c="1">
        <n x="150"/>
      </t>
    </mdx>
    <mdx n="0" f="m">
      <t c="1">
        <n x="151"/>
      </t>
    </mdx>
    <mdx n="0" f="m">
      <t c="1">
        <n x="152"/>
      </t>
    </mdx>
    <mdx n="0" f="m">
      <t c="1">
        <n x="153"/>
      </t>
    </mdx>
    <mdx n="0" f="m">
      <t c="1">
        <n x="154"/>
      </t>
    </mdx>
    <mdx n="0" f="m">
      <t c="1">
        <n x="155"/>
      </t>
    </mdx>
    <mdx n="0" f="m">
      <t c="1">
        <n x="156"/>
      </t>
    </mdx>
    <mdx n="0" f="m">
      <t c="1">
        <n x="157"/>
      </t>
    </mdx>
    <mdx n="0" f="m">
      <t c="1">
        <n x="158"/>
      </t>
    </mdx>
    <mdx n="0" f="m">
      <t c="1">
        <n x="159"/>
      </t>
    </mdx>
    <mdx n="0" f="m">
      <t c="1">
        <n x="160"/>
      </t>
    </mdx>
    <mdx n="0" f="m">
      <t c="1">
        <n x="161"/>
      </t>
    </mdx>
    <mdx n="0" f="m">
      <t c="1">
        <n x="162"/>
      </t>
    </mdx>
    <mdx n="0" f="s">
      <ms ns="163" c="0"/>
    </mdx>
    <mdx n="0" f="s">
      <ms ns="164" c="0"/>
    </mdx>
    <mdx n="0" f="v">
      <t c="8">
        <n x="1" s="1"/>
        <n x="2" s="1"/>
        <n x="5" s="1"/>
        <n x="3" s="1"/>
        <n x="4" s="1"/>
        <n x="104"/>
        <n x="163" s="1"/>
        <n x="56"/>
      </t>
    </mdx>
    <mdx n="0" f="v">
      <t c="8">
        <n x="1" s="1"/>
        <n x="2" s="1"/>
        <n x="5" s="1"/>
        <n x="3" s="1"/>
        <n x="4" s="1"/>
        <n x="104"/>
        <n x="163" s="1"/>
        <n x="62"/>
      </t>
    </mdx>
    <mdx n="0" f="v">
      <t c="8">
        <n x="1" s="1"/>
        <n x="2" s="1"/>
        <n x="5" s="1"/>
        <n x="3" s="1"/>
        <n x="4" s="1"/>
        <n x="104"/>
        <n x="163" s="1"/>
        <n x="63"/>
      </t>
    </mdx>
    <mdx n="0" f="v">
      <t c="8">
        <n x="1" s="1"/>
        <n x="2" s="1"/>
        <n x="5" s="1"/>
        <n x="3" s="1"/>
        <n x="4" s="1"/>
        <n x="104"/>
        <n x="163" s="1"/>
        <n x="75"/>
      </t>
    </mdx>
    <mdx n="0" f="v">
      <t c="8">
        <n x="1" s="1"/>
        <n x="2" s="1"/>
        <n x="5" s="1"/>
        <n x="3" s="1"/>
        <n x="4" s="1"/>
        <n x="104"/>
        <n x="163" s="1"/>
        <n x="84"/>
      </t>
    </mdx>
    <mdx n="0" f="v">
      <t c="8">
        <n x="1" s="1"/>
        <n x="2" s="1"/>
        <n x="5" s="1"/>
        <n x="3" s="1"/>
        <n x="4" s="1"/>
        <n x="104"/>
        <n x="163" s="1"/>
        <n x="93"/>
      </t>
    </mdx>
    <mdx n="0" f="v">
      <t c="8">
        <n x="1" s="1"/>
        <n x="2" s="1"/>
        <n x="5" s="1"/>
        <n x="3" s="1"/>
        <n x="4" s="1"/>
        <n x="104"/>
        <n x="163" s="1"/>
        <n x="162"/>
      </t>
    </mdx>
    <mdx n="0" f="v">
      <t c="8">
        <n x="1" s="1"/>
        <n x="2" s="1"/>
        <n x="5" s="1"/>
        <n x="3" s="1"/>
        <n x="4" s="1"/>
        <n x="104"/>
        <n x="163" s="1"/>
        <n x="87"/>
      </t>
    </mdx>
    <mdx n="0" f="v">
      <t c="8">
        <n x="1" s="1"/>
        <n x="2" s="1"/>
        <n x="5" s="1"/>
        <n x="3" s="1"/>
        <n x="4" s="1"/>
        <n x="104"/>
        <n x="60"/>
        <n x="63"/>
      </t>
    </mdx>
    <mdx n="0" f="v">
      <t c="8">
        <n x="1" s="1"/>
        <n x="2" s="1"/>
        <n x="5" s="1"/>
        <n x="3" s="1"/>
        <n x="4" s="1"/>
        <n x="104"/>
        <n x="60"/>
        <n x="154"/>
      </t>
    </mdx>
    <mdx n="0" f="v">
      <t c="8">
        <n x="1" s="1"/>
        <n x="2" s="1"/>
        <n x="5" s="1"/>
        <n x="3" s="1"/>
        <n x="4" s="1"/>
        <n x="104"/>
        <n x="60"/>
        <n x="127"/>
      </t>
    </mdx>
    <mdx n="0" f="v">
      <t c="8">
        <n x="1" s="1"/>
        <n x="2" s="1"/>
        <n x="5" s="1"/>
        <n x="3" s="1"/>
        <n x="4" s="1"/>
        <n x="104"/>
        <n x="6"/>
        <n x="164" s="1"/>
      </t>
    </mdx>
    <mdx n="0" f="v">
      <t c="8">
        <n x="1" s="1"/>
        <n x="2" s="1"/>
        <n x="5" s="1"/>
        <n x="3" s="1"/>
        <n x="4" s="1"/>
        <n x="104"/>
        <n x="6"/>
        <n x="128"/>
      </t>
    </mdx>
    <mdx n="0" f="v">
      <t c="8">
        <n x="1" s="1"/>
        <n x="2" s="1"/>
        <n x="5" s="1"/>
        <n x="3" s="1"/>
        <n x="4" s="1"/>
        <n x="104"/>
        <n x="6"/>
        <n x="116"/>
      </t>
    </mdx>
    <mdx n="0" f="v">
      <t c="8">
        <n x="1" s="1"/>
        <n x="2" s="1"/>
        <n x="5" s="1"/>
        <n x="3" s="1"/>
        <n x="4" s="1"/>
        <n x="104"/>
        <n x="6"/>
        <n x="77"/>
      </t>
    </mdx>
    <mdx n="0" f="v">
      <t c="8">
        <n x="1" s="1"/>
        <n x="2" s="1"/>
        <n x="5" s="1"/>
        <n x="3" s="1"/>
        <n x="4" s="1"/>
        <n x="104"/>
        <n x="21"/>
        <n x="108"/>
      </t>
    </mdx>
    <mdx n="0" f="v">
      <t c="8">
        <n x="1" s="1"/>
        <n x="2" s="1"/>
        <n x="5" s="1"/>
        <n x="3" s="1"/>
        <n x="4" s="1"/>
        <n x="104"/>
        <n x="21"/>
        <n x="94"/>
      </t>
    </mdx>
    <mdx n="0" f="v">
      <t c="8">
        <n x="1" s="1"/>
        <n x="2" s="1"/>
        <n x="5" s="1"/>
        <n x="3" s="1"/>
        <n x="4" s="1"/>
        <n x="104"/>
        <n x="21"/>
        <n x="54"/>
      </t>
    </mdx>
    <mdx n="0" f="v">
      <t c="8">
        <n x="1" s="1"/>
        <n x="2" s="1"/>
        <n x="5" s="1"/>
        <n x="3" s="1"/>
        <n x="4" s="1"/>
        <n x="104"/>
        <n x="34"/>
        <n x="102"/>
      </t>
    </mdx>
    <mdx n="0" f="v">
      <t c="8">
        <n x="1" s="1"/>
        <n x="2" s="1"/>
        <n x="5" s="1"/>
        <n x="3" s="1"/>
        <n x="4" s="1"/>
        <n x="104"/>
        <n x="34"/>
        <n x="58"/>
      </t>
    </mdx>
    <mdx n="0" f="v">
      <t c="8">
        <n x="1" s="1"/>
        <n x="2" s="1"/>
        <n x="5" s="1"/>
        <n x="3" s="1"/>
        <n x="4" s="1"/>
        <n x="104"/>
        <n x="34"/>
        <n x="155"/>
      </t>
    </mdx>
    <mdx n="0" f="v">
      <t c="8">
        <n x="1" s="1"/>
        <n x="2" s="1"/>
        <n x="5" s="1"/>
        <n x="3" s="1"/>
        <n x="4" s="1"/>
        <n x="104"/>
        <n x="65"/>
        <n x="13"/>
      </t>
    </mdx>
    <mdx n="0" f="v">
      <t c="8">
        <n x="1" s="1"/>
        <n x="2" s="1"/>
        <n x="5" s="1"/>
        <n x="3" s="1"/>
        <n x="4" s="1"/>
        <n x="104"/>
        <n x="65"/>
        <n x="14"/>
      </t>
    </mdx>
    <mdx n="0" f="v">
      <t c="8">
        <n x="1" s="1"/>
        <n x="2" s="1"/>
        <n x="5" s="1"/>
        <n x="3" s="1"/>
        <n x="4" s="1"/>
        <n x="104"/>
        <n x="65"/>
        <n x="15"/>
      </t>
    </mdx>
    <mdx n="0" f="v">
      <t c="8">
        <n x="1" s="1"/>
        <n x="2" s="1"/>
        <n x="5" s="1"/>
        <n x="3" s="1"/>
        <n x="4" s="1"/>
        <n x="104"/>
        <n x="70"/>
        <n x="75"/>
      </t>
    </mdx>
    <mdx n="0" f="v">
      <t c="8">
        <n x="1" s="1"/>
        <n x="2" s="1"/>
        <n x="5" s="1"/>
        <n x="3" s="1"/>
        <n x="4" s="1"/>
        <n x="104"/>
        <n x="70"/>
        <n x="48"/>
      </t>
    </mdx>
    <mdx n="0" f="v">
      <t c="8">
        <n x="1" s="1"/>
        <n x="2" s="1"/>
        <n x="5" s="1"/>
        <n x="3" s="1"/>
        <n x="4" s="1"/>
        <n x="104"/>
        <n x="70"/>
        <n x="141"/>
      </t>
    </mdx>
    <mdx n="0" f="v">
      <t c="8">
        <n x="1" s="1"/>
        <n x="2" s="1"/>
        <n x="5" s="1"/>
        <n x="3" s="1"/>
        <n x="4" s="1"/>
        <n x="104"/>
        <n x="79"/>
        <n x="56"/>
      </t>
    </mdx>
    <mdx n="0" f="v">
      <t c="8">
        <n x="1" s="1"/>
        <n x="2" s="1"/>
        <n x="5" s="1"/>
        <n x="3" s="1"/>
        <n x="4" s="1"/>
        <n x="104"/>
        <n x="79"/>
        <n x="147"/>
      </t>
    </mdx>
    <mdx n="0" f="v">
      <t c="8">
        <n x="1" s="1"/>
        <n x="2" s="1"/>
        <n x="5" s="1"/>
        <n x="3" s="1"/>
        <n x="4" s="1"/>
        <n x="104"/>
        <n x="79"/>
        <n x="119"/>
      </t>
    </mdx>
    <mdx n="0" f="v">
      <t c="8">
        <n x="1" s="1"/>
        <n x="2" s="1"/>
        <n x="5" s="1"/>
        <n x="3" s="1"/>
        <n x="4" s="1"/>
        <n x="104"/>
        <n x="79"/>
        <n x="86"/>
      </t>
    </mdx>
    <mdx n="0" f="v">
      <t c="8">
        <n x="1" s="1"/>
        <n x="2" s="1"/>
        <n x="5" s="1"/>
        <n x="3" s="1"/>
        <n x="4" s="1"/>
        <n x="104"/>
        <n x="88"/>
        <n x="109"/>
      </t>
    </mdx>
    <mdx n="0" f="v">
      <t c="8">
        <n x="1" s="1"/>
        <n x="2" s="1"/>
        <n x="5" s="1"/>
        <n x="3" s="1"/>
        <n x="4" s="1"/>
        <n x="104"/>
        <n x="88"/>
        <n x="103"/>
      </t>
    </mdx>
    <mdx n="0" f="v">
      <t c="8">
        <n x="1" s="1"/>
        <n x="2" s="1"/>
        <n x="5" s="1"/>
        <n x="3" s="1"/>
        <n x="4" s="1"/>
        <n x="104"/>
        <n x="88"/>
        <n x="69"/>
      </t>
    </mdx>
    <mdx n="0" f="v">
      <t c="8">
        <n x="1" s="1"/>
        <n x="2" s="1"/>
        <n x="5" s="1"/>
        <n x="3" s="1"/>
        <n x="4" s="1"/>
        <n x="104"/>
        <n x="97"/>
        <n x="115"/>
      </t>
    </mdx>
    <mdx n="0" f="v">
      <t c="8">
        <n x="1" s="1"/>
        <n x="2" s="1"/>
        <n x="5" s="1"/>
        <n x="3" s="1"/>
        <n x="4" s="1"/>
        <n x="104"/>
        <n x="97"/>
        <n x="76"/>
      </t>
    </mdx>
    <mdx n="0" f="v">
      <t c="8">
        <n x="1" s="1"/>
        <n x="2" s="1"/>
        <n x="5" s="1"/>
        <n x="3" s="1"/>
        <n x="4" s="1"/>
        <n x="104"/>
        <n x="97"/>
        <n x="49"/>
      </t>
    </mdx>
    <mdx n="0" f="v">
      <t c="8">
        <n x="1" s="1"/>
        <n x="2" s="1"/>
        <n x="5" s="1"/>
        <n x="3" s="1"/>
        <n x="4" s="1"/>
        <n x="104"/>
        <n x="36"/>
        <n x="28"/>
      </t>
    </mdx>
    <mdx n="0" f="v">
      <t c="8">
        <n x="1" s="1"/>
        <n x="2" s="1"/>
        <n x="5" s="1"/>
        <n x="3" s="1"/>
        <n x="4" s="1"/>
        <n x="104"/>
        <n x="36"/>
        <n x="29"/>
      </t>
    </mdx>
    <mdx n="0" f="v">
      <t c="8">
        <n x="1" s="1"/>
        <n x="2" s="1"/>
        <n x="5" s="1"/>
        <n x="3" s="1"/>
        <n x="4" s="1"/>
        <n x="104"/>
        <n x="36"/>
        <n x="16"/>
      </t>
    </mdx>
    <mdx n="0" f="v">
      <t c="8">
        <n x="1" s="1"/>
        <n x="2" s="1"/>
        <n x="5" s="1"/>
        <n x="3" s="1"/>
        <n x="4" s="1"/>
        <n x="104"/>
        <n x="110"/>
        <n x="84"/>
      </t>
    </mdx>
    <mdx n="0" f="v">
      <t c="8">
        <n x="1" s="1"/>
        <n x="2" s="1"/>
        <n x="5" s="1"/>
        <n x="3" s="1"/>
        <n x="4" s="1"/>
        <n x="104"/>
        <n x="110"/>
        <n x="160"/>
      </t>
    </mdx>
    <mdx n="0" f="v">
      <t c="8">
        <n x="1" s="1"/>
        <n x="2" s="1"/>
        <n x="5" s="1"/>
        <n x="3" s="1"/>
        <n x="4" s="1"/>
        <n x="104"/>
        <n x="110"/>
        <n x="148"/>
      </t>
    </mdx>
    <mdx n="0" f="v">
      <t c="8">
        <n x="1" s="1"/>
        <n x="2" s="1"/>
        <n x="5" s="1"/>
        <n x="3" s="1"/>
        <n x="4" s="1"/>
        <n x="104"/>
        <n x="105"/>
        <n x="62"/>
      </t>
    </mdx>
    <mdx n="0" f="v">
      <t c="8">
        <n x="1" s="1"/>
        <n x="2" s="1"/>
        <n x="5" s="1"/>
        <n x="3" s="1"/>
        <n x="4" s="1"/>
        <n x="104"/>
        <n x="105"/>
        <n x="59"/>
      </t>
    </mdx>
    <mdx n="0" f="v">
      <t c="8">
        <n x="1" s="1"/>
        <n x="2" s="1"/>
        <n x="5" s="1"/>
        <n x="3" s="1"/>
        <n x="4" s="1"/>
        <n x="104"/>
        <n x="105"/>
        <n x="122"/>
      </t>
    </mdx>
    <mdx n="0" f="v">
      <t c="8">
        <n x="1" s="1"/>
        <n x="2" s="1"/>
        <n x="5" s="1"/>
        <n x="3" s="1"/>
        <n x="4" s="1"/>
        <n x="104"/>
        <n x="105"/>
        <n x="95"/>
      </t>
    </mdx>
    <mdx n="0" f="v">
      <t c="8">
        <n x="1" s="1"/>
        <n x="2" s="1"/>
        <n x="5" s="1"/>
        <n x="3" s="1"/>
        <n x="4" s="1"/>
        <n x="104"/>
        <n x="120"/>
        <n x="43"/>
      </t>
    </mdx>
    <mdx n="0" f="v">
      <t c="8">
        <n x="1" s="1"/>
        <n x="2" s="1"/>
        <n x="5" s="1"/>
        <n x="3" s="1"/>
        <n x="4" s="1"/>
        <n x="104"/>
        <n x="120"/>
        <n x="44"/>
      </t>
    </mdx>
    <mdx n="0" f="v">
      <t c="8">
        <n x="1" s="1"/>
        <n x="2" s="1"/>
        <n x="5" s="1"/>
        <n x="3" s="1"/>
        <n x="4" s="1"/>
        <n x="104"/>
        <n x="120"/>
        <n x="45"/>
      </t>
    </mdx>
    <mdx n="0" f="v">
      <t c="8">
        <n x="1" s="1"/>
        <n x="2" s="1"/>
        <n x="5" s="1"/>
        <n x="3" s="1"/>
        <n x="4" s="1"/>
        <n x="104"/>
        <n x="133"/>
        <n x="107"/>
      </t>
    </mdx>
    <mdx n="0" f="v">
      <t c="8">
        <n x="1" s="1"/>
        <n x="2" s="1"/>
        <n x="5" s="1"/>
        <n x="3" s="1"/>
        <n x="4" s="1"/>
        <n x="104"/>
        <n x="133"/>
        <n x="85"/>
      </t>
    </mdx>
    <mdx n="0" f="v">
      <t c="8">
        <n x="1" s="1"/>
        <n x="2" s="1"/>
        <n x="5" s="1"/>
        <n x="3" s="1"/>
        <n x="4" s="1"/>
        <n x="104"/>
        <n x="133"/>
        <n x="52"/>
      </t>
    </mdx>
    <mdx n="0" f="v">
      <t c="8">
        <n x="1" s="1"/>
        <n x="2" s="1"/>
        <n x="5" s="1"/>
        <n x="3" s="1"/>
        <n x="4" s="1"/>
        <n x="104"/>
        <n x="137"/>
        <n x="19"/>
      </t>
    </mdx>
    <mdx n="0" f="v">
      <t c="8">
        <n x="1" s="1"/>
        <n x="2" s="1"/>
        <n x="5" s="1"/>
        <n x="3" s="1"/>
        <n x="4" s="1"/>
        <n x="104"/>
        <n x="137"/>
        <n x="20"/>
      </t>
    </mdx>
    <mdx n="0" f="v">
      <t c="8">
        <n x="1" s="1"/>
        <n x="2" s="1"/>
        <n x="5" s="1"/>
        <n x="3" s="1"/>
        <n x="4" s="1"/>
        <n x="104"/>
        <n x="137"/>
        <n x="33"/>
      </t>
    </mdx>
    <mdx n="0" f="v">
      <t c="8">
        <n x="1" s="1"/>
        <n x="2" s="1"/>
        <n x="5" s="1"/>
        <n x="3" s="1"/>
        <n x="4" s="1"/>
        <n x="104"/>
        <n x="142"/>
        <n x="93"/>
      </t>
    </mdx>
    <mdx n="0" f="v">
      <t c="8">
        <n x="1" s="1"/>
        <n x="2" s="1"/>
        <n x="5" s="1"/>
        <n x="3" s="1"/>
        <n x="4" s="1"/>
        <n x="104"/>
        <n x="142"/>
        <n x="162"/>
      </t>
    </mdx>
    <mdx n="0" f="v">
      <t c="8">
        <n x="1" s="1"/>
        <n x="2" s="1"/>
        <n x="5" s="1"/>
        <n x="3" s="1"/>
        <n x="4" s="1"/>
        <n x="104"/>
        <n x="142"/>
        <n x="87"/>
      </t>
    </mdx>
    <mdx n="0" f="v">
      <t c="8">
        <n x="1" s="1"/>
        <n x="2" s="1"/>
        <n x="5" s="1"/>
        <n x="3" s="1"/>
        <n x="4" s="1"/>
        <n x="104"/>
        <n x="78"/>
        <n x="63"/>
      </t>
    </mdx>
    <mdx n="0" f="v">
      <t c="8">
        <n x="1" s="1"/>
        <n x="2" s="1"/>
        <n x="5" s="1"/>
        <n x="3" s="1"/>
        <n x="4" s="1"/>
        <n x="104"/>
        <n x="78"/>
        <n x="154"/>
      </t>
    </mdx>
    <mdx n="0" f="v">
      <t c="8">
        <n x="1" s="1"/>
        <n x="2" s="1"/>
        <n x="5" s="1"/>
        <n x="3" s="1"/>
        <n x="4" s="1"/>
        <n x="104"/>
        <n x="78"/>
        <n x="127"/>
      </t>
    </mdx>
    <mdx n="0" f="v">
      <t c="8">
        <n x="1" s="1"/>
        <n x="2" s="1"/>
        <n x="5" s="1"/>
        <n x="3" s="1"/>
        <n x="4" s="1"/>
        <n x="104"/>
        <n x="7"/>
        <n x="164" s="1"/>
      </t>
    </mdx>
    <mdx n="0" f="v">
      <t c="8">
        <n x="1" s="1"/>
        <n x="2" s="1"/>
        <n x="5" s="1"/>
        <n x="3" s="1"/>
        <n x="4" s="1"/>
        <n x="104"/>
        <n x="7"/>
        <n x="128"/>
      </t>
    </mdx>
    <mdx n="0" f="v">
      <t c="8">
        <n x="1" s="1"/>
        <n x="2" s="1"/>
        <n x="5" s="1"/>
        <n x="3" s="1"/>
        <n x="4" s="1"/>
        <n x="104"/>
        <n x="7"/>
        <n x="116"/>
      </t>
    </mdx>
    <mdx n="0" f="v">
      <t c="8">
        <n x="1" s="1"/>
        <n x="2" s="1"/>
        <n x="5" s="1"/>
        <n x="3" s="1"/>
        <n x="4" s="1"/>
        <n x="104"/>
        <n x="7"/>
        <n x="77"/>
      </t>
    </mdx>
    <mdx n="0" f="v">
      <t c="8">
        <n x="1" s="1"/>
        <n x="2" s="1"/>
        <n x="5" s="1"/>
        <n x="3" s="1"/>
        <n x="4" s="1"/>
        <n x="104"/>
        <n x="22"/>
        <n x="108"/>
      </t>
    </mdx>
    <mdx n="0" f="v">
      <t c="8">
        <n x="1" s="1"/>
        <n x="2" s="1"/>
        <n x="5" s="1"/>
        <n x="3" s="1"/>
        <n x="4" s="1"/>
        <n x="104"/>
        <n x="22"/>
        <n x="94"/>
      </t>
    </mdx>
    <mdx n="0" f="v">
      <t c="8">
        <n x="1" s="1"/>
        <n x="2" s="1"/>
        <n x="5" s="1"/>
        <n x="3" s="1"/>
        <n x="4" s="1"/>
        <n x="104"/>
        <n x="22"/>
        <n x="54"/>
      </t>
    </mdx>
    <mdx n="0" f="v">
      <t c="8">
        <n x="1" s="1"/>
        <n x="2" s="1"/>
        <n x="5" s="1"/>
        <n x="3" s="1"/>
        <n x="4" s="1"/>
        <n x="104"/>
        <n x="163" s="1"/>
        <n x="13"/>
      </t>
    </mdx>
    <mdx n="0" f="v">
      <t c="8">
        <n x="1" s="1"/>
        <n x="2" s="1"/>
        <n x="5" s="1"/>
        <n x="3" s="1"/>
        <n x="4" s="1"/>
        <n x="104"/>
        <n x="163" s="1"/>
        <n x="14"/>
      </t>
    </mdx>
    <mdx n="0" f="v">
      <t c="8">
        <n x="1" s="1"/>
        <n x="2" s="1"/>
        <n x="5" s="1"/>
        <n x="3" s="1"/>
        <n x="4" s="1"/>
        <n x="104"/>
        <n x="163" s="1"/>
        <n x="15"/>
      </t>
    </mdx>
    <mdx n="0" f="v">
      <t c="8">
        <n x="1" s="1"/>
        <n x="2" s="1"/>
        <n x="5" s="1"/>
        <n x="3" s="1"/>
        <n x="4" s="1"/>
        <n x="104"/>
        <n x="60"/>
        <n x="75"/>
      </t>
    </mdx>
    <mdx n="0" f="v">
      <t c="8">
        <n x="1" s="1"/>
        <n x="2" s="1"/>
        <n x="5" s="1"/>
        <n x="3" s="1"/>
        <n x="4" s="1"/>
        <n x="104"/>
        <n x="60"/>
        <n x="48"/>
      </t>
    </mdx>
    <mdx n="0" f="v">
      <t c="8">
        <n x="1" s="1"/>
        <n x="2" s="1"/>
        <n x="5" s="1"/>
        <n x="3" s="1"/>
        <n x="4" s="1"/>
        <n x="104"/>
        <n x="60"/>
        <n x="141"/>
      </t>
    </mdx>
    <mdx n="0" f="v">
      <t c="8">
        <n x="1" s="1"/>
        <n x="2" s="1"/>
        <n x="5" s="1"/>
        <n x="3" s="1"/>
        <n x="4" s="1"/>
        <n x="104"/>
        <n x="6"/>
        <n x="56"/>
      </t>
    </mdx>
    <mdx n="0" f="v">
      <t c="8">
        <n x="1" s="1"/>
        <n x="2" s="1"/>
        <n x="5" s="1"/>
        <n x="3" s="1"/>
        <n x="4" s="1"/>
        <n x="104"/>
        <n x="6"/>
        <n x="147"/>
      </t>
    </mdx>
    <mdx n="0" f="v">
      <t c="8">
        <n x="1" s="1"/>
        <n x="2" s="1"/>
        <n x="5" s="1"/>
        <n x="3" s="1"/>
        <n x="4" s="1"/>
        <n x="104"/>
        <n x="6"/>
        <n x="119"/>
      </t>
    </mdx>
    <mdx n="0" f="v">
      <t c="8">
        <n x="1" s="1"/>
        <n x="2" s="1"/>
        <n x="5" s="1"/>
        <n x="3" s="1"/>
        <n x="4" s="1"/>
        <n x="104"/>
        <n x="6"/>
        <n x="86"/>
      </t>
    </mdx>
    <mdx n="0" f="v">
      <t c="8">
        <n x="1" s="1"/>
        <n x="2" s="1"/>
        <n x="5" s="1"/>
        <n x="3" s="1"/>
        <n x="4" s="1"/>
        <n x="104"/>
        <n x="21"/>
        <n x="109"/>
      </t>
    </mdx>
    <mdx n="0" f="v">
      <t c="8">
        <n x="1" s="1"/>
        <n x="2" s="1"/>
        <n x="5" s="1"/>
        <n x="3" s="1"/>
        <n x="4" s="1"/>
        <n x="104"/>
        <n x="21"/>
        <n x="103"/>
      </t>
    </mdx>
    <mdx n="0" f="v">
      <t c="8">
        <n x="1" s="1"/>
        <n x="2" s="1"/>
        <n x="5" s="1"/>
        <n x="3" s="1"/>
        <n x="4" s="1"/>
        <n x="104"/>
        <n x="21"/>
        <n x="69"/>
      </t>
    </mdx>
    <mdx n="0" f="v">
      <t c="8">
        <n x="1" s="1"/>
        <n x="2" s="1"/>
        <n x="5" s="1"/>
        <n x="3" s="1"/>
        <n x="4" s="1"/>
        <n x="104"/>
        <n x="34"/>
        <n x="115"/>
      </t>
    </mdx>
    <mdx n="0" f="v">
      <t c="8">
        <n x="1" s="1"/>
        <n x="2" s="1"/>
        <n x="5" s="1"/>
        <n x="3" s="1"/>
        <n x="4" s="1"/>
        <n x="104"/>
        <n x="34"/>
        <n x="76"/>
      </t>
    </mdx>
    <mdx n="0" f="v">
      <t c="8">
        <n x="1" s="1"/>
        <n x="2" s="1"/>
        <n x="5" s="1"/>
        <n x="3" s="1"/>
        <n x="4" s="1"/>
        <n x="104"/>
        <n x="34"/>
        <n x="49"/>
      </t>
    </mdx>
    <mdx n="0" f="v">
      <t c="8">
        <n x="1" s="1"/>
        <n x="2" s="1"/>
        <n x="5" s="1"/>
        <n x="3" s="1"/>
        <n x="4" s="1"/>
        <n x="104"/>
        <n x="65"/>
        <n x="28"/>
      </t>
    </mdx>
    <mdx n="0" f="v">
      <t c="8">
        <n x="1" s="1"/>
        <n x="2" s="1"/>
        <n x="5" s="1"/>
        <n x="3" s="1"/>
        <n x="4" s="1"/>
        <n x="104"/>
        <n x="65"/>
        <n x="29"/>
      </t>
    </mdx>
    <mdx n="0" f="v">
      <t c="8">
        <n x="1" s="1"/>
        <n x="2" s="1"/>
        <n x="5" s="1"/>
        <n x="3" s="1"/>
        <n x="4" s="1"/>
        <n x="104"/>
        <n x="65"/>
        <n x="16"/>
      </t>
    </mdx>
    <mdx n="0" f="v">
      <t c="8">
        <n x="1" s="1"/>
        <n x="2" s="1"/>
        <n x="5" s="1"/>
        <n x="3" s="1"/>
        <n x="4" s="1"/>
        <n x="104"/>
        <n x="70"/>
        <n x="84"/>
      </t>
    </mdx>
    <mdx n="0" f="v">
      <t c="8">
        <n x="1" s="1"/>
        <n x="2" s="1"/>
        <n x="5" s="1"/>
        <n x="3" s="1"/>
        <n x="4" s="1"/>
        <n x="104"/>
        <n x="70"/>
        <n x="160"/>
      </t>
    </mdx>
    <mdx n="0" f="v">
      <t c="8">
        <n x="1" s="1"/>
        <n x="2" s="1"/>
        <n x="5" s="1"/>
        <n x="3" s="1"/>
        <n x="4" s="1"/>
        <n x="104"/>
        <n x="70"/>
        <n x="148"/>
      </t>
    </mdx>
    <mdx n="0" f="v">
      <t c="8">
        <n x="1" s="1"/>
        <n x="2" s="1"/>
        <n x="5" s="1"/>
        <n x="3" s="1"/>
        <n x="4" s="1"/>
        <n x="104"/>
        <n x="79"/>
        <n x="62"/>
      </t>
    </mdx>
    <mdx n="0" f="v">
      <t c="8">
        <n x="1" s="1"/>
        <n x="2" s="1"/>
        <n x="5" s="1"/>
        <n x="3" s="1"/>
        <n x="4" s="1"/>
        <n x="104"/>
        <n x="79"/>
        <n x="59"/>
      </t>
    </mdx>
    <mdx n="0" f="v">
      <t c="8">
        <n x="1" s="1"/>
        <n x="2" s="1"/>
        <n x="5" s="1"/>
        <n x="3" s="1"/>
        <n x="4" s="1"/>
        <n x="104"/>
        <n x="79"/>
        <n x="122"/>
      </t>
    </mdx>
    <mdx n="0" f="v">
      <t c="8">
        <n x="1" s="1"/>
        <n x="2" s="1"/>
        <n x="5" s="1"/>
        <n x="3" s="1"/>
        <n x="4" s="1"/>
        <n x="104"/>
        <n x="79"/>
        <n x="95"/>
      </t>
    </mdx>
    <mdx n="0" f="v">
      <t c="8">
        <n x="1" s="1"/>
        <n x="2" s="1"/>
        <n x="5" s="1"/>
        <n x="3" s="1"/>
        <n x="4" s="1"/>
        <n x="104"/>
        <n x="88"/>
        <n x="43"/>
      </t>
    </mdx>
    <mdx n="0" f="v">
      <t c="8">
        <n x="1" s="1"/>
        <n x="2" s="1"/>
        <n x="5" s="1"/>
        <n x="3" s="1"/>
        <n x="4" s="1"/>
        <n x="104"/>
        <n x="88"/>
        <n x="44"/>
      </t>
    </mdx>
    <mdx n="0" f="v">
      <t c="8">
        <n x="1" s="1"/>
        <n x="2" s="1"/>
        <n x="5" s="1"/>
        <n x="3" s="1"/>
        <n x="4" s="1"/>
        <n x="104"/>
        <n x="88"/>
        <n x="45"/>
      </t>
    </mdx>
    <mdx n="0" f="v">
      <t c="8">
        <n x="1" s="1"/>
        <n x="2" s="1"/>
        <n x="5" s="1"/>
        <n x="3" s="1"/>
        <n x="4" s="1"/>
        <n x="104"/>
        <n x="97"/>
        <n x="107"/>
      </t>
    </mdx>
    <mdx n="0" f="v">
      <t c="8">
        <n x="1" s="1"/>
        <n x="2" s="1"/>
        <n x="5" s="1"/>
        <n x="3" s="1"/>
        <n x="4" s="1"/>
        <n x="104"/>
        <n x="97"/>
        <n x="85"/>
      </t>
    </mdx>
    <mdx n="0" f="v">
      <t c="8">
        <n x="1" s="1"/>
        <n x="2" s="1"/>
        <n x="5" s="1"/>
        <n x="3" s="1"/>
        <n x="4" s="1"/>
        <n x="104"/>
        <n x="97"/>
        <n x="52"/>
      </t>
    </mdx>
    <mdx n="0" f="v">
      <t c="8">
        <n x="1" s="1"/>
        <n x="2" s="1"/>
        <n x="5" s="1"/>
        <n x="3" s="1"/>
        <n x="4" s="1"/>
        <n x="104"/>
        <n x="36"/>
        <n x="19"/>
      </t>
    </mdx>
    <mdx n="0" f="v">
      <t c="8">
        <n x="1" s="1"/>
        <n x="2" s="1"/>
        <n x="5" s="1"/>
        <n x="3" s="1"/>
        <n x="4" s="1"/>
        <n x="104"/>
        <n x="36"/>
        <n x="20"/>
      </t>
    </mdx>
    <mdx n="0" f="v">
      <t c="8">
        <n x="1" s="1"/>
        <n x="2" s="1"/>
        <n x="5" s="1"/>
        <n x="3" s="1"/>
        <n x="4" s="1"/>
        <n x="104"/>
        <n x="36"/>
        <n x="33"/>
      </t>
    </mdx>
    <mdx n="0" f="v">
      <t c="8">
        <n x="1" s="1"/>
        <n x="2" s="1"/>
        <n x="5" s="1"/>
        <n x="3" s="1"/>
        <n x="4" s="1"/>
        <n x="104"/>
        <n x="110"/>
        <n x="93"/>
      </t>
    </mdx>
    <mdx n="0" f="v">
      <t c="8">
        <n x="1" s="1"/>
        <n x="2" s="1"/>
        <n x="5" s="1"/>
        <n x="3" s="1"/>
        <n x="4" s="1"/>
        <n x="104"/>
        <n x="110"/>
        <n x="162"/>
      </t>
    </mdx>
    <mdx n="0" f="v">
      <t c="8">
        <n x="1" s="1"/>
        <n x="2" s="1"/>
        <n x="5" s="1"/>
        <n x="3" s="1"/>
        <n x="4" s="1"/>
        <n x="104"/>
        <n x="110"/>
        <n x="87"/>
      </t>
    </mdx>
    <mdx n="0" f="v">
      <t c="8">
        <n x="1" s="1"/>
        <n x="2" s="1"/>
        <n x="5" s="1"/>
        <n x="3" s="1"/>
        <n x="4" s="1"/>
        <n x="104"/>
        <n x="105"/>
        <n x="63"/>
      </t>
    </mdx>
    <mdx n="0" f="v">
      <t c="8">
        <n x="1" s="1"/>
        <n x="2" s="1"/>
        <n x="5" s="1"/>
        <n x="3" s="1"/>
        <n x="4" s="1"/>
        <n x="104"/>
        <n x="105"/>
        <n x="154"/>
      </t>
    </mdx>
    <mdx n="0" f="v">
      <t c="8">
        <n x="1" s="1"/>
        <n x="2" s="1"/>
        <n x="5" s="1"/>
        <n x="3" s="1"/>
        <n x="4" s="1"/>
        <n x="104"/>
        <n x="105"/>
        <n x="127"/>
      </t>
    </mdx>
    <mdx n="0" f="v">
      <t c="8">
        <n x="1" s="1"/>
        <n x="2" s="1"/>
        <n x="5" s="1"/>
        <n x="3" s="1"/>
        <n x="4" s="1"/>
        <n x="104"/>
        <n x="120"/>
        <n x="164" s="1"/>
      </t>
    </mdx>
    <mdx n="0" f="v">
      <t c="8">
        <n x="1" s="1"/>
        <n x="2" s="1"/>
        <n x="5" s="1"/>
        <n x="3" s="1"/>
        <n x="4" s="1"/>
        <n x="104"/>
        <n x="120"/>
        <n x="128"/>
      </t>
    </mdx>
    <mdx n="0" f="v">
      <t c="8">
        <n x="1" s="1"/>
        <n x="2" s="1"/>
        <n x="5" s="1"/>
        <n x="3" s="1"/>
        <n x="4" s="1"/>
        <n x="104"/>
        <n x="120"/>
        <n x="116"/>
      </t>
    </mdx>
    <mdx n="0" f="v">
      <t c="8">
        <n x="1" s="1"/>
        <n x="2" s="1"/>
        <n x="5" s="1"/>
        <n x="3" s="1"/>
        <n x="4" s="1"/>
        <n x="104"/>
        <n x="120"/>
        <n x="77"/>
      </t>
    </mdx>
    <mdx n="0" f="v">
      <t c="8">
        <n x="1" s="1"/>
        <n x="2" s="1"/>
        <n x="5" s="1"/>
        <n x="3" s="1"/>
        <n x="4" s="1"/>
        <n x="104"/>
        <n x="133"/>
        <n x="108"/>
      </t>
    </mdx>
    <mdx n="0" f="v">
      <t c="8">
        <n x="1" s="1"/>
        <n x="2" s="1"/>
        <n x="5" s="1"/>
        <n x="3" s="1"/>
        <n x="4" s="1"/>
        <n x="104"/>
        <n x="133"/>
        <n x="94"/>
      </t>
    </mdx>
    <mdx n="0" f="v">
      <t c="8">
        <n x="1" s="1"/>
        <n x="2" s="1"/>
        <n x="5" s="1"/>
        <n x="3" s="1"/>
        <n x="4" s="1"/>
        <n x="104"/>
        <n x="133"/>
        <n x="54"/>
      </t>
    </mdx>
    <mdx n="0" f="v">
      <t c="8">
        <n x="1" s="1"/>
        <n x="2" s="1"/>
        <n x="5" s="1"/>
        <n x="3" s="1"/>
        <n x="4" s="1"/>
        <n x="104"/>
        <n x="137"/>
        <n x="102"/>
      </t>
    </mdx>
    <mdx n="0" f="v">
      <t c="8">
        <n x="1" s="1"/>
        <n x="2" s="1"/>
        <n x="5" s="1"/>
        <n x="3" s="1"/>
        <n x="4" s="1"/>
        <n x="104"/>
        <n x="137"/>
        <n x="58"/>
      </t>
    </mdx>
    <mdx n="0" f="v">
      <t c="8">
        <n x="1" s="1"/>
        <n x="2" s="1"/>
        <n x="5" s="1"/>
        <n x="3" s="1"/>
        <n x="4" s="1"/>
        <n x="104"/>
        <n x="137"/>
        <n x="155"/>
      </t>
    </mdx>
    <mdx n="0" f="v">
      <t c="8">
        <n x="1" s="1"/>
        <n x="2" s="1"/>
        <n x="5" s="1"/>
        <n x="3" s="1"/>
        <n x="4" s="1"/>
        <n x="104"/>
        <n x="142"/>
        <n x="13"/>
      </t>
    </mdx>
    <mdx n="0" f="v">
      <t c="8">
        <n x="1" s="1"/>
        <n x="2" s="1"/>
        <n x="5" s="1"/>
        <n x="3" s="1"/>
        <n x="4" s="1"/>
        <n x="104"/>
        <n x="142"/>
        <n x="14"/>
      </t>
    </mdx>
    <mdx n="0" f="v">
      <t c="8">
        <n x="1" s="1"/>
        <n x="2" s="1"/>
        <n x="5" s="1"/>
        <n x="3" s="1"/>
        <n x="4" s="1"/>
        <n x="104"/>
        <n x="142"/>
        <n x="15"/>
      </t>
    </mdx>
    <mdx n="0" f="v">
      <t c="8">
        <n x="1" s="1"/>
        <n x="2" s="1"/>
        <n x="5" s="1"/>
        <n x="3" s="1"/>
        <n x="4" s="1"/>
        <n x="104"/>
        <n x="78"/>
        <n x="75"/>
      </t>
    </mdx>
    <mdx n="0" f="v">
      <t c="8">
        <n x="1" s="1"/>
        <n x="2" s="1"/>
        <n x="5" s="1"/>
        <n x="3" s="1"/>
        <n x="4" s="1"/>
        <n x="104"/>
        <n x="78"/>
        <n x="48"/>
      </t>
    </mdx>
    <mdx n="0" f="v">
      <t c="8">
        <n x="1" s="1"/>
        <n x="2" s="1"/>
        <n x="5" s="1"/>
        <n x="3" s="1"/>
        <n x="4" s="1"/>
        <n x="104"/>
        <n x="78"/>
        <n x="141"/>
      </t>
    </mdx>
    <mdx n="0" f="v">
      <t c="8">
        <n x="1" s="1"/>
        <n x="2" s="1"/>
        <n x="5" s="1"/>
        <n x="3" s="1"/>
        <n x="4" s="1"/>
        <n x="104"/>
        <n x="7"/>
        <n x="56"/>
      </t>
    </mdx>
    <mdx n="0" f="v">
      <t c="8">
        <n x="1" s="1"/>
        <n x="2" s="1"/>
        <n x="5" s="1"/>
        <n x="3" s="1"/>
        <n x="4" s="1"/>
        <n x="104"/>
        <n x="7"/>
        <n x="147"/>
      </t>
    </mdx>
    <mdx n="0" f="v">
      <t c="8">
        <n x="1" s="1"/>
        <n x="2" s="1"/>
        <n x="5" s="1"/>
        <n x="3" s="1"/>
        <n x="4" s="1"/>
        <n x="104"/>
        <n x="7"/>
        <n x="119"/>
      </t>
    </mdx>
    <mdx n="0" f="v">
      <t c="8">
        <n x="1" s="1"/>
        <n x="2" s="1"/>
        <n x="5" s="1"/>
        <n x="3" s="1"/>
        <n x="4" s="1"/>
        <n x="104"/>
        <n x="7"/>
        <n x="86"/>
      </t>
    </mdx>
    <mdx n="0" f="v">
      <t c="8">
        <n x="1" s="1"/>
        <n x="2" s="1"/>
        <n x="5" s="1"/>
        <n x="3" s="1"/>
        <n x="4" s="1"/>
        <n x="104"/>
        <n x="22"/>
        <n x="109"/>
      </t>
    </mdx>
    <mdx n="0" f="v">
      <t c="8">
        <n x="1" s="1"/>
        <n x="2" s="1"/>
        <n x="5" s="1"/>
        <n x="3" s="1"/>
        <n x="4" s="1"/>
        <n x="104"/>
        <n x="22"/>
        <n x="103"/>
      </t>
    </mdx>
    <mdx n="0" f="v">
      <t c="8">
        <n x="1" s="1"/>
        <n x="2" s="1"/>
        <n x="5" s="1"/>
        <n x="3" s="1"/>
        <n x="4" s="1"/>
        <n x="104"/>
        <n x="22"/>
        <n x="69"/>
      </t>
    </mdx>
    <mdx n="0" f="v">
      <t c="8">
        <n x="1" s="1"/>
        <n x="2" s="1"/>
        <n x="5" s="1"/>
        <n x="3" s="1"/>
        <n x="4" s="1"/>
        <n x="104"/>
        <n x="30"/>
        <n x="115"/>
      </t>
    </mdx>
    <mdx n="0" f="v">
      <t c="8">
        <n x="1" s="1"/>
        <n x="2" s="1"/>
        <n x="5" s="1"/>
        <n x="3" s="1"/>
        <n x="4" s="1"/>
        <n x="104"/>
        <n x="30"/>
        <n x="76"/>
      </t>
    </mdx>
    <mdx n="0" f="v">
      <t c="8">
        <n x="1" s="1"/>
        <n x="2" s="1"/>
        <n x="5" s="1"/>
        <n x="3" s="1"/>
        <n x="4" s="1"/>
        <n x="104"/>
        <n x="30"/>
        <n x="49"/>
      </t>
    </mdx>
    <mdx n="0" f="v">
      <t c="8">
        <n x="1" s="1"/>
        <n x="2" s="1"/>
        <n x="5" s="1"/>
        <n x="3" s="1"/>
        <n x="4" s="1"/>
        <n x="104"/>
        <n x="149"/>
        <n x="28"/>
      </t>
    </mdx>
    <mdx n="0" f="v">
      <t c="8">
        <n x="1" s="1"/>
        <n x="2" s="1"/>
        <n x="5" s="1"/>
        <n x="3" s="1"/>
        <n x="4" s="1"/>
        <n x="104"/>
        <n x="149"/>
        <n x="29"/>
      </t>
    </mdx>
    <mdx n="0" f="v">
      <t c="8">
        <n x="1" s="1"/>
        <n x="2" s="1"/>
        <n x="5" s="1"/>
        <n x="3" s="1"/>
        <n x="4" s="1"/>
        <n x="104"/>
        <n x="149"/>
        <n x="16"/>
      </t>
    </mdx>
    <mdx n="0" f="v">
      <t c="8">
        <n x="1" s="1"/>
        <n x="2" s="1"/>
        <n x="5" s="1"/>
        <n x="3" s="1"/>
        <n x="4" s="1"/>
        <n x="104"/>
        <n x="156"/>
        <n x="84"/>
      </t>
    </mdx>
    <mdx n="0" f="v">
      <t c="8">
        <n x="1" s="1"/>
        <n x="2" s="1"/>
        <n x="5" s="1"/>
        <n x="3" s="1"/>
        <n x="4" s="1"/>
        <n x="104"/>
        <n x="156"/>
        <n x="160"/>
      </t>
    </mdx>
    <mdx n="0" f="v">
      <t c="8">
        <n x="1" s="1"/>
        <n x="2" s="1"/>
        <n x="5" s="1"/>
        <n x="3" s="1"/>
        <n x="4" s="1"/>
        <n x="104"/>
        <n x="156"/>
        <n x="148"/>
      </t>
    </mdx>
    <mdx n="0" f="v">
      <t c="8">
        <n x="1" s="1"/>
        <n x="2" s="1"/>
        <n x="5" s="1"/>
        <n x="3" s="1"/>
        <n x="4" s="1"/>
        <n x="104"/>
        <n x="158"/>
        <n x="62"/>
      </t>
    </mdx>
    <mdx n="0" f="v">
      <t c="8">
        <n x="1" s="1"/>
        <n x="2" s="1"/>
        <n x="5" s="1"/>
        <n x="3" s="1"/>
        <n x="4" s="1"/>
        <n x="104"/>
        <n x="158"/>
        <n x="59"/>
      </t>
    </mdx>
    <mdx n="0" f="v">
      <t c="8">
        <n x="1" s="1"/>
        <n x="2" s="1"/>
        <n x="5" s="1"/>
        <n x="3" s="1"/>
        <n x="4" s="1"/>
        <n x="104"/>
        <n x="158"/>
        <n x="122"/>
      </t>
    </mdx>
    <mdx n="0" f="v">
      <t c="8">
        <n x="1" s="1"/>
        <n x="2" s="1"/>
        <n x="5" s="1"/>
        <n x="3" s="1"/>
        <n x="4" s="1"/>
        <n x="104"/>
        <n x="158"/>
        <n x="95"/>
      </t>
    </mdx>
    <mdx n="0" f="v">
      <t c="8">
        <n x="1" s="1"/>
        <n x="2" s="1"/>
        <n x="5" s="1"/>
        <n x="3" s="1"/>
        <n x="4" s="1"/>
        <n x="104"/>
        <n x="161"/>
        <n x="43"/>
      </t>
    </mdx>
    <mdx n="0" f="v">
      <t c="8">
        <n x="1" s="1"/>
        <n x="2" s="1"/>
        <n x="5" s="1"/>
        <n x="3" s="1"/>
        <n x="4" s="1"/>
        <n x="104"/>
        <n x="161"/>
        <n x="44"/>
      </t>
    </mdx>
    <mdx n="0" f="v">
      <t c="8">
        <n x="1" s="1"/>
        <n x="2" s="1"/>
        <n x="5" s="1"/>
        <n x="3" s="1"/>
        <n x="4" s="1"/>
        <n x="104"/>
        <n x="161"/>
        <n x="45"/>
      </t>
    </mdx>
    <mdx n="0" f="v">
      <t c="8">
        <n x="1" s="1"/>
        <n x="2" s="1"/>
        <n x="5" s="1"/>
        <n x="3" s="1"/>
        <n x="4" s="1"/>
        <n x="104"/>
        <n x="66"/>
        <n x="107"/>
      </t>
    </mdx>
    <mdx n="0" f="v">
      <t c="8">
        <n x="1" s="1"/>
        <n x="2" s="1"/>
        <n x="5" s="1"/>
        <n x="3" s="1"/>
        <n x="4" s="1"/>
        <n x="104"/>
        <n x="66"/>
        <n x="85"/>
      </t>
    </mdx>
    <mdx n="0" f="v">
      <t c="8">
        <n x="1" s="1"/>
        <n x="2" s="1"/>
        <n x="5" s="1"/>
        <n x="3" s="1"/>
        <n x="4" s="1"/>
        <n x="104"/>
        <n x="66"/>
        <n x="52"/>
      </t>
    </mdx>
    <mdx n="0" f="v">
      <t c="8">
        <n x="1" s="1"/>
        <n x="2" s="1"/>
        <n x="5" s="1"/>
        <n x="3" s="1"/>
        <n x="4" s="1"/>
        <n x="104"/>
        <n x="37"/>
        <n x="19"/>
      </t>
    </mdx>
    <mdx n="0" f="v">
      <t c="8">
        <n x="1" s="1"/>
        <n x="2" s="1"/>
        <n x="5" s="1"/>
        <n x="3" s="1"/>
        <n x="4" s="1"/>
        <n x="104"/>
        <n x="37"/>
        <n x="20"/>
      </t>
    </mdx>
    <mdx n="0" f="v">
      <t c="8">
        <n x="1" s="1"/>
        <n x="2" s="1"/>
        <n x="5" s="1"/>
        <n x="3" s="1"/>
        <n x="4" s="1"/>
        <n x="104"/>
        <n x="37"/>
        <n x="33"/>
      </t>
    </mdx>
    <mdx n="0" f="v">
      <t c="8">
        <n x="1" s="1"/>
        <n x="2" s="1"/>
        <n x="5" s="1"/>
        <n x="3" s="1"/>
        <n x="4" s="1"/>
        <n x="104"/>
        <n x="71"/>
        <n x="93"/>
      </t>
    </mdx>
    <mdx n="0" f="v">
      <t c="8">
        <n x="1" s="1"/>
        <n x="2" s="1"/>
        <n x="5" s="1"/>
        <n x="3" s="1"/>
        <n x="4" s="1"/>
        <n x="104"/>
        <n x="71"/>
        <n x="162"/>
      </t>
    </mdx>
    <mdx n="0" f="v">
      <t c="8">
        <n x="1" s="1"/>
        <n x="2" s="1"/>
        <n x="5" s="1"/>
        <n x="3" s="1"/>
        <n x="4" s="1"/>
        <n x="104"/>
        <n x="71"/>
        <n x="87"/>
      </t>
    </mdx>
    <mdx n="0" f="v">
      <t c="8">
        <n x="1" s="1"/>
        <n x="2" s="1"/>
        <n x="5" s="1"/>
        <n x="3" s="1"/>
        <n x="4" s="1"/>
        <n x="104"/>
        <n x="80"/>
        <n x="63"/>
      </t>
    </mdx>
    <mdx n="0" f="v">
      <t c="8">
        <n x="1" s="1"/>
        <n x="2" s="1"/>
        <n x="5" s="1"/>
        <n x="3" s="1"/>
        <n x="4" s="1"/>
        <n x="104"/>
        <n x="80"/>
        <n x="154"/>
      </t>
    </mdx>
    <mdx n="0" f="v">
      <t c="8">
        <n x="1" s="1"/>
        <n x="2" s="1"/>
        <n x="5" s="1"/>
        <n x="3" s="1"/>
        <n x="4" s="1"/>
        <n x="104"/>
        <n x="80"/>
        <n x="127"/>
      </t>
    </mdx>
    <mdx n="0" f="v">
      <t c="8">
        <n x="1" s="1"/>
        <n x="2" s="1"/>
        <n x="5" s="1"/>
        <n x="3" s="1"/>
        <n x="4" s="1"/>
        <n x="104"/>
        <n x="89"/>
        <n x="164" s="1"/>
      </t>
    </mdx>
    <mdx n="0" f="v">
      <t c="8">
        <n x="1" s="1"/>
        <n x="2" s="1"/>
        <n x="5" s="1"/>
        <n x="3" s="1"/>
        <n x="4" s="1"/>
        <n x="104"/>
        <n x="89"/>
        <n x="128"/>
      </t>
    </mdx>
    <mdx n="0" f="v">
      <t c="8">
        <n x="1" s="1"/>
        <n x="2" s="1"/>
        <n x="5" s="1"/>
        <n x="3" s="1"/>
        <n x="4" s="1"/>
        <n x="104"/>
        <n x="89"/>
        <n x="116"/>
      </t>
    </mdx>
    <mdx n="0" f="v">
      <t c="8">
        <n x="1" s="1"/>
        <n x="2" s="1"/>
        <n x="5" s="1"/>
        <n x="3" s="1"/>
        <n x="4" s="1"/>
        <n x="104"/>
        <n x="89"/>
        <n x="77"/>
      </t>
    </mdx>
    <mdx n="0" f="v">
      <t c="8">
        <n x="1" s="1"/>
        <n x="2" s="1"/>
        <n x="5" s="1"/>
        <n x="3" s="1"/>
        <n x="4" s="1"/>
        <n x="104"/>
        <n x="98"/>
        <n x="108"/>
      </t>
    </mdx>
    <mdx n="0" f="v">
      <t c="8">
        <n x="1" s="1"/>
        <n x="2" s="1"/>
        <n x="5" s="1"/>
        <n x="3" s="1"/>
        <n x="4" s="1"/>
        <n x="104"/>
        <n x="98"/>
        <n x="94"/>
      </t>
    </mdx>
    <mdx n="0" f="v">
      <t c="8">
        <n x="1" s="1"/>
        <n x="2" s="1"/>
        <n x="5" s="1"/>
        <n x="3" s="1"/>
        <n x="4" s="1"/>
        <n x="104"/>
        <n x="98"/>
        <n x="54"/>
      </t>
    </mdx>
    <mdx n="0" f="v">
      <t c="8">
        <n x="1" s="1"/>
        <n x="2" s="1"/>
        <n x="5" s="1"/>
        <n x="3" s="1"/>
        <n x="4" s="1"/>
        <n x="104"/>
        <n x="111"/>
        <n x="102"/>
      </t>
    </mdx>
    <mdx n="0" f="v">
      <t c="8">
        <n x="1" s="1"/>
        <n x="2" s="1"/>
        <n x="5" s="1"/>
        <n x="3" s="1"/>
        <n x="4" s="1"/>
        <n x="104"/>
        <n x="111"/>
        <n x="58"/>
      </t>
    </mdx>
    <mdx n="0" f="v">
      <t c="8">
        <n x="1" s="1"/>
        <n x="2" s="1"/>
        <n x="5" s="1"/>
        <n x="3" s="1"/>
        <n x="4" s="1"/>
        <n x="104"/>
        <n x="111"/>
        <n x="155"/>
      </t>
    </mdx>
    <mdx n="0" f="v">
      <t c="8">
        <n x="1" s="1"/>
        <n x="2" s="1"/>
        <n x="5" s="1"/>
        <n x="3" s="1"/>
        <n x="4" s="1"/>
        <n x="104"/>
        <n x="117"/>
        <n x="13"/>
      </t>
    </mdx>
    <mdx n="0" f="v">
      <t c="8">
        <n x="1" s="1"/>
        <n x="2" s="1"/>
        <n x="5" s="1"/>
        <n x="3" s="1"/>
        <n x="4" s="1"/>
        <n x="104"/>
        <n x="117"/>
        <n x="14"/>
      </t>
    </mdx>
    <mdx n="0" f="v">
      <t c="8">
        <n x="1" s="1"/>
        <n x="2" s="1"/>
        <n x="5" s="1"/>
        <n x="3" s="1"/>
        <n x="4" s="1"/>
        <n x="104"/>
        <n x="117"/>
        <n x="15"/>
      </t>
    </mdx>
    <mdx n="0" f="v">
      <t c="8">
        <n x="1" s="1"/>
        <n x="2" s="1"/>
        <n x="5" s="1"/>
        <n x="3" s="1"/>
        <n x="4" s="1"/>
        <n x="104"/>
        <n x="130"/>
        <n x="75"/>
      </t>
    </mdx>
    <mdx n="0" f="v">
      <t c="8">
        <n x="1" s="1"/>
        <n x="2" s="1"/>
        <n x="5" s="1"/>
        <n x="3" s="1"/>
        <n x="4" s="1"/>
        <n x="104"/>
        <n x="130"/>
        <n x="48"/>
      </t>
    </mdx>
    <mdx n="0" f="v">
      <t c="8">
        <n x="1" s="1"/>
        <n x="2" s="1"/>
        <n x="5" s="1"/>
        <n x="3" s="1"/>
        <n x="4" s="1"/>
        <n x="104"/>
        <n x="130"/>
        <n x="141"/>
      </t>
    </mdx>
    <mdx n="0" f="v">
      <t c="8">
        <n x="1" s="1"/>
        <n x="2" s="1"/>
        <n x="5" s="1"/>
        <n x="3" s="1"/>
        <n x="4" s="1"/>
        <n x="104"/>
        <n x="8"/>
        <n x="56"/>
      </t>
    </mdx>
    <mdx n="0" f="v">
      <t c="8">
        <n x="1" s="1"/>
        <n x="2" s="1"/>
        <n x="5" s="1"/>
        <n x="3" s="1"/>
        <n x="4" s="1"/>
        <n x="104"/>
        <n x="8"/>
        <n x="147"/>
      </t>
    </mdx>
    <mdx n="0" f="v">
      <t c="8">
        <n x="1" s="1"/>
        <n x="2" s="1"/>
        <n x="5" s="1"/>
        <n x="3" s="1"/>
        <n x="4" s="1"/>
        <n x="104"/>
        <n x="8"/>
        <n x="119"/>
      </t>
    </mdx>
    <mdx n="0" f="v">
      <t c="8">
        <n x="1" s="1"/>
        <n x="2" s="1"/>
        <n x="5" s="1"/>
        <n x="3" s="1"/>
        <n x="4" s="1"/>
        <n x="104"/>
        <n x="8"/>
        <n x="86"/>
      </t>
    </mdx>
    <mdx n="0" f="v">
      <t c="8">
        <n x="1" s="1"/>
        <n x="2" s="1"/>
        <n x="5" s="1"/>
        <n x="3" s="1"/>
        <n x="4" s="1"/>
        <n x="104"/>
        <n x="23"/>
        <n x="109"/>
      </t>
    </mdx>
    <mdx n="0" f="v">
      <t c="8">
        <n x="1" s="1"/>
        <n x="2" s="1"/>
        <n x="5" s="1"/>
        <n x="3" s="1"/>
        <n x="4" s="1"/>
        <n x="104"/>
        <n x="23"/>
        <n x="103"/>
      </t>
    </mdx>
    <mdx n="0" f="v">
      <t c="8">
        <n x="1" s="1"/>
        <n x="2" s="1"/>
        <n x="5" s="1"/>
        <n x="3" s="1"/>
        <n x="4" s="1"/>
        <n x="104"/>
        <n x="23"/>
        <n x="69"/>
      </t>
    </mdx>
    <mdx n="0" f="v">
      <t c="8">
        <n x="1" s="1"/>
        <n x="2" s="1"/>
        <n x="5" s="1"/>
        <n x="3" s="1"/>
        <n x="4" s="1"/>
        <n x="104"/>
        <n x="17"/>
        <n x="115"/>
      </t>
    </mdx>
    <mdx n="0" f="v">
      <t c="8">
        <n x="1" s="1"/>
        <n x="2" s="1"/>
        <n x="5" s="1"/>
        <n x="3" s="1"/>
        <n x="4" s="1"/>
        <n x="104"/>
        <n x="17"/>
        <n x="76"/>
      </t>
    </mdx>
    <mdx n="0" f="v">
      <t c="8">
        <n x="1" s="1"/>
        <n x="2" s="1"/>
        <n x="5" s="1"/>
        <n x="3" s="1"/>
        <n x="4" s="1"/>
        <n x="104"/>
        <n x="17"/>
        <n x="49"/>
      </t>
    </mdx>
    <mdx n="0" f="v">
      <t c="8">
        <n x="1" s="1"/>
        <n x="2" s="1"/>
        <n x="5" s="1"/>
        <n x="3" s="1"/>
        <n x="4" s="1"/>
        <n x="104"/>
        <n x="126"/>
        <n x="28"/>
      </t>
    </mdx>
    <mdx n="0" f="v">
      <t c="8">
        <n x="1" s="1"/>
        <n x="2" s="1"/>
        <n x="5" s="1"/>
        <n x="3" s="1"/>
        <n x="4" s="1"/>
        <n x="104"/>
        <n x="126"/>
        <n x="29"/>
      </t>
    </mdx>
    <mdx n="0" f="v">
      <t c="8">
        <n x="1" s="1"/>
        <n x="2" s="1"/>
        <n x="5" s="1"/>
        <n x="3" s="1"/>
        <n x="4" s="1"/>
        <n x="104"/>
        <n x="126"/>
        <n x="16"/>
      </t>
    </mdx>
    <mdx n="0" f="v">
      <t c="8">
        <n x="1" s="1"/>
        <n x="2" s="1"/>
        <n x="5" s="1"/>
        <n x="3" s="1"/>
        <n x="4" s="1"/>
        <n x="104"/>
        <n x="138"/>
        <n x="84"/>
      </t>
    </mdx>
    <mdx n="0" f="v">
      <t c="8">
        <n x="1" s="1"/>
        <n x="2" s="1"/>
        <n x="5" s="1"/>
        <n x="3" s="1"/>
        <n x="4" s="1"/>
        <n x="104"/>
        <n x="138"/>
        <n x="160"/>
      </t>
    </mdx>
    <mdx n="0" f="v">
      <t c="8">
        <n x="1" s="1"/>
        <n x="2" s="1"/>
        <n x="5" s="1"/>
        <n x="3" s="1"/>
        <n x="4" s="1"/>
        <n x="104"/>
        <n x="138"/>
        <n x="148"/>
      </t>
    </mdx>
    <mdx n="0" f="v">
      <t c="8">
        <n x="1" s="1"/>
        <n x="2" s="1"/>
        <n x="5" s="1"/>
        <n x="3" s="1"/>
        <n x="4" s="1"/>
        <n x="104"/>
        <n x="143"/>
        <n x="62"/>
      </t>
    </mdx>
    <mdx n="0" f="v">
      <t c="8">
        <n x="1" s="1"/>
        <n x="2" s="1"/>
        <n x="5" s="1"/>
        <n x="3" s="1"/>
        <n x="4" s="1"/>
        <n x="104"/>
        <n x="163" s="1"/>
        <n x="28"/>
      </t>
    </mdx>
    <mdx n="0" f="v">
      <t c="8">
        <n x="1" s="1"/>
        <n x="2" s="1"/>
        <n x="5" s="1"/>
        <n x="3" s="1"/>
        <n x="4" s="1"/>
        <n x="104"/>
        <n x="163" s="1"/>
        <n x="29"/>
      </t>
    </mdx>
    <mdx n="0" f="v">
      <t c="8">
        <n x="1" s="1"/>
        <n x="2" s="1"/>
        <n x="5" s="1"/>
        <n x="3" s="1"/>
        <n x="4" s="1"/>
        <n x="104"/>
        <n x="163" s="1"/>
        <n x="16"/>
      </t>
    </mdx>
    <mdx n="0" f="v">
      <t c="8">
        <n x="1" s="1"/>
        <n x="2" s="1"/>
        <n x="5" s="1"/>
        <n x="3" s="1"/>
        <n x="4" s="1"/>
        <n x="104"/>
        <n x="60"/>
        <n x="84"/>
      </t>
    </mdx>
    <mdx n="0" f="v">
      <t c="8">
        <n x="1" s="1"/>
        <n x="2" s="1"/>
        <n x="5" s="1"/>
        <n x="3" s="1"/>
        <n x="4" s="1"/>
        <n x="104"/>
        <n x="60"/>
        <n x="160"/>
      </t>
    </mdx>
    <mdx n="0" f="v">
      <t c="8">
        <n x="1" s="1"/>
        <n x="2" s="1"/>
        <n x="5" s="1"/>
        <n x="3" s="1"/>
        <n x="4" s="1"/>
        <n x="104"/>
        <n x="60"/>
        <n x="148"/>
      </t>
    </mdx>
    <mdx n="0" f="v">
      <t c="8">
        <n x="1" s="1"/>
        <n x="2" s="1"/>
        <n x="5" s="1"/>
        <n x="3" s="1"/>
        <n x="4" s="1"/>
        <n x="104"/>
        <n x="6"/>
        <n x="62"/>
      </t>
    </mdx>
    <mdx n="0" f="v">
      <t c="8">
        <n x="1" s="1"/>
        <n x="2" s="1"/>
        <n x="5" s="1"/>
        <n x="3" s="1"/>
        <n x="4" s="1"/>
        <n x="104"/>
        <n x="6"/>
        <n x="59"/>
      </t>
    </mdx>
    <mdx n="0" f="v">
      <t c="8">
        <n x="1" s="1"/>
        <n x="2" s="1"/>
        <n x="5" s="1"/>
        <n x="3" s="1"/>
        <n x="4" s="1"/>
        <n x="104"/>
        <n x="6"/>
        <n x="122"/>
      </t>
    </mdx>
    <mdx n="0" f="v">
      <t c="8">
        <n x="1" s="1"/>
        <n x="2" s="1"/>
        <n x="5" s="1"/>
        <n x="3" s="1"/>
        <n x="4" s="1"/>
        <n x="104"/>
        <n x="6"/>
        <n x="95"/>
      </t>
    </mdx>
    <mdx n="0" f="v">
      <t c="8">
        <n x="1" s="1"/>
        <n x="2" s="1"/>
        <n x="5" s="1"/>
        <n x="3" s="1"/>
        <n x="4" s="1"/>
        <n x="104"/>
        <n x="21"/>
        <n x="43"/>
      </t>
    </mdx>
    <mdx n="0" f="v">
      <t c="8">
        <n x="1" s="1"/>
        <n x="2" s="1"/>
        <n x="5" s="1"/>
        <n x="3" s="1"/>
        <n x="4" s="1"/>
        <n x="104"/>
        <n x="21"/>
        <n x="44"/>
      </t>
    </mdx>
    <mdx n="0" f="v">
      <t c="8">
        <n x="1" s="1"/>
        <n x="2" s="1"/>
        <n x="5" s="1"/>
        <n x="3" s="1"/>
        <n x="4" s="1"/>
        <n x="104"/>
        <n x="21"/>
        <n x="45"/>
      </t>
    </mdx>
    <mdx n="0" f="v">
      <t c="8">
        <n x="1" s="1"/>
        <n x="2" s="1"/>
        <n x="5" s="1"/>
        <n x="3" s="1"/>
        <n x="4" s="1"/>
        <n x="104"/>
        <n x="34"/>
        <n x="107"/>
      </t>
    </mdx>
    <mdx n="0" f="v">
      <t c="8">
        <n x="1" s="1"/>
        <n x="2" s="1"/>
        <n x="5" s="1"/>
        <n x="3" s="1"/>
        <n x="4" s="1"/>
        <n x="104"/>
        <n x="34"/>
        <n x="85"/>
      </t>
    </mdx>
    <mdx n="0" f="v">
      <t c="8">
        <n x="1" s="1"/>
        <n x="2" s="1"/>
        <n x="5" s="1"/>
        <n x="3" s="1"/>
        <n x="4" s="1"/>
        <n x="104"/>
        <n x="34"/>
        <n x="52"/>
      </t>
    </mdx>
    <mdx n="0" f="v">
      <t c="8">
        <n x="1" s="1"/>
        <n x="2" s="1"/>
        <n x="5" s="1"/>
        <n x="3" s="1"/>
        <n x="4" s="1"/>
        <n x="104"/>
        <n x="65"/>
        <n x="19"/>
      </t>
    </mdx>
    <mdx n="0" f="v">
      <t c="8">
        <n x="1" s="1"/>
        <n x="2" s="1"/>
        <n x="5" s="1"/>
        <n x="3" s="1"/>
        <n x="4" s="1"/>
        <n x="104"/>
        <n x="65"/>
        <n x="20"/>
      </t>
    </mdx>
    <mdx n="0" f="v">
      <t c="8">
        <n x="1" s="1"/>
        <n x="2" s="1"/>
        <n x="5" s="1"/>
        <n x="3" s="1"/>
        <n x="4" s="1"/>
        <n x="104"/>
        <n x="65"/>
        <n x="33"/>
      </t>
    </mdx>
    <mdx n="0" f="v">
      <t c="8">
        <n x="1" s="1"/>
        <n x="2" s="1"/>
        <n x="5" s="1"/>
        <n x="3" s="1"/>
        <n x="4" s="1"/>
        <n x="104"/>
        <n x="70"/>
        <n x="93"/>
      </t>
    </mdx>
    <mdx n="0" f="v">
      <t c="8">
        <n x="1" s="1"/>
        <n x="2" s="1"/>
        <n x="5" s="1"/>
        <n x="3" s="1"/>
        <n x="4" s="1"/>
        <n x="104"/>
        <n x="70"/>
        <n x="162"/>
      </t>
    </mdx>
    <mdx n="0" f="v">
      <t c="8">
        <n x="1" s="1"/>
        <n x="2" s="1"/>
        <n x="5" s="1"/>
        <n x="3" s="1"/>
        <n x="4" s="1"/>
        <n x="104"/>
        <n x="70"/>
        <n x="87"/>
      </t>
    </mdx>
    <mdx n="0" f="v">
      <t c="8">
        <n x="1" s="1"/>
        <n x="2" s="1"/>
        <n x="5" s="1"/>
        <n x="3" s="1"/>
        <n x="4" s="1"/>
        <n x="104"/>
        <n x="79"/>
        <n x="63"/>
      </t>
    </mdx>
    <mdx n="0" f="v">
      <t c="8">
        <n x="1" s="1"/>
        <n x="2" s="1"/>
        <n x="5" s="1"/>
        <n x="3" s="1"/>
        <n x="4" s="1"/>
        <n x="104"/>
        <n x="79"/>
        <n x="154"/>
      </t>
    </mdx>
    <mdx n="0" f="v">
      <t c="8">
        <n x="1" s="1"/>
        <n x="2" s="1"/>
        <n x="5" s="1"/>
        <n x="3" s="1"/>
        <n x="4" s="1"/>
        <n x="104"/>
        <n x="79"/>
        <n x="127"/>
      </t>
    </mdx>
    <mdx n="0" f="v">
      <t c="8">
        <n x="1" s="1"/>
        <n x="2" s="1"/>
        <n x="5" s="1"/>
        <n x="3" s="1"/>
        <n x="4" s="1"/>
        <n x="104"/>
        <n x="88"/>
        <n x="164" s="1"/>
      </t>
    </mdx>
    <mdx n="0" f="v">
      <t c="8">
        <n x="1" s="1"/>
        <n x="2" s="1"/>
        <n x="5" s="1"/>
        <n x="3" s="1"/>
        <n x="4" s="1"/>
        <n x="104"/>
        <n x="88"/>
        <n x="128"/>
      </t>
    </mdx>
    <mdx n="0" f="v">
      <t c="8">
        <n x="1" s="1"/>
        <n x="2" s="1"/>
        <n x="5" s="1"/>
        <n x="3" s="1"/>
        <n x="4" s="1"/>
        <n x="104"/>
        <n x="88"/>
        <n x="116"/>
      </t>
    </mdx>
    <mdx n="0" f="v">
      <t c="8">
        <n x="1" s="1"/>
        <n x="2" s="1"/>
        <n x="5" s="1"/>
        <n x="3" s="1"/>
        <n x="4" s="1"/>
        <n x="104"/>
        <n x="88"/>
        <n x="77"/>
      </t>
    </mdx>
    <mdx n="0" f="v">
      <t c="8">
        <n x="1" s="1"/>
        <n x="2" s="1"/>
        <n x="5" s="1"/>
        <n x="3" s="1"/>
        <n x="4" s="1"/>
        <n x="104"/>
        <n x="97"/>
        <n x="108"/>
      </t>
    </mdx>
    <mdx n="0" f="v">
      <t c="8">
        <n x="1" s="1"/>
        <n x="2" s="1"/>
        <n x="5" s="1"/>
        <n x="3" s="1"/>
        <n x="4" s="1"/>
        <n x="104"/>
        <n x="97"/>
        <n x="94"/>
      </t>
    </mdx>
    <mdx n="0" f="v">
      <t c="8">
        <n x="1" s="1"/>
        <n x="2" s="1"/>
        <n x="5" s="1"/>
        <n x="3" s="1"/>
        <n x="4" s="1"/>
        <n x="104"/>
        <n x="97"/>
        <n x="54"/>
      </t>
    </mdx>
    <mdx n="0" f="v">
      <t c="8">
        <n x="1" s="1"/>
        <n x="2" s="1"/>
        <n x="5" s="1"/>
        <n x="3" s="1"/>
        <n x="4" s="1"/>
        <n x="104"/>
        <n x="36"/>
        <n x="102"/>
      </t>
    </mdx>
    <mdx n="0" f="v">
      <t c="8">
        <n x="1" s="1"/>
        <n x="2" s="1"/>
        <n x="5" s="1"/>
        <n x="3" s="1"/>
        <n x="4" s="1"/>
        <n x="104"/>
        <n x="36"/>
        <n x="58"/>
      </t>
    </mdx>
    <mdx n="0" f="v">
      <t c="8">
        <n x="1" s="1"/>
        <n x="2" s="1"/>
        <n x="5" s="1"/>
        <n x="3" s="1"/>
        <n x="4" s="1"/>
        <n x="104"/>
        <n x="36"/>
        <n x="155"/>
      </t>
    </mdx>
    <mdx n="0" f="v">
      <t c="8">
        <n x="1" s="1"/>
        <n x="2" s="1"/>
        <n x="5" s="1"/>
        <n x="3" s="1"/>
        <n x="4" s="1"/>
        <n x="104"/>
        <n x="110"/>
        <n x="13"/>
      </t>
    </mdx>
    <mdx n="0" f="v">
      <t c="8">
        <n x="1" s="1"/>
        <n x="2" s="1"/>
        <n x="5" s="1"/>
        <n x="3" s="1"/>
        <n x="4" s="1"/>
        <n x="104"/>
        <n x="110"/>
        <n x="14"/>
      </t>
    </mdx>
    <mdx n="0" f="v">
      <t c="8">
        <n x="1" s="1"/>
        <n x="2" s="1"/>
        <n x="5" s="1"/>
        <n x="3" s="1"/>
        <n x="4" s="1"/>
        <n x="104"/>
        <n x="110"/>
        <n x="15"/>
      </t>
    </mdx>
    <mdx n="0" f="v">
      <t c="8">
        <n x="1" s="1"/>
        <n x="2" s="1"/>
        <n x="5" s="1"/>
        <n x="3" s="1"/>
        <n x="4" s="1"/>
        <n x="104"/>
        <n x="105"/>
        <n x="75"/>
      </t>
    </mdx>
    <mdx n="0" f="v">
      <t c="8">
        <n x="1" s="1"/>
        <n x="2" s="1"/>
        <n x="5" s="1"/>
        <n x="3" s="1"/>
        <n x="4" s="1"/>
        <n x="104"/>
        <n x="105"/>
        <n x="48"/>
      </t>
    </mdx>
    <mdx n="0" f="v">
      <t c="8">
        <n x="1" s="1"/>
        <n x="2" s="1"/>
        <n x="5" s="1"/>
        <n x="3" s="1"/>
        <n x="4" s="1"/>
        <n x="104"/>
        <n x="105"/>
        <n x="141"/>
      </t>
    </mdx>
    <mdx n="0" f="v">
      <t c="8">
        <n x="1" s="1"/>
        <n x="2" s="1"/>
        <n x="5" s="1"/>
        <n x="3" s="1"/>
        <n x="4" s="1"/>
        <n x="104"/>
        <n x="120"/>
        <n x="56"/>
      </t>
    </mdx>
    <mdx n="0" f="v">
      <t c="8">
        <n x="1" s="1"/>
        <n x="2" s="1"/>
        <n x="5" s="1"/>
        <n x="3" s="1"/>
        <n x="4" s="1"/>
        <n x="104"/>
        <n x="120"/>
        <n x="147"/>
      </t>
    </mdx>
    <mdx n="0" f="v">
      <t c="8">
        <n x="1" s="1"/>
        <n x="2" s="1"/>
        <n x="5" s="1"/>
        <n x="3" s="1"/>
        <n x="4" s="1"/>
        <n x="104"/>
        <n x="120"/>
        <n x="119"/>
      </t>
    </mdx>
    <mdx n="0" f="v">
      <t c="8">
        <n x="1" s="1"/>
        <n x="2" s="1"/>
        <n x="5" s="1"/>
        <n x="3" s="1"/>
        <n x="4" s="1"/>
        <n x="104"/>
        <n x="120"/>
        <n x="86"/>
      </t>
    </mdx>
    <mdx n="0" f="v">
      <t c="8">
        <n x="1" s="1"/>
        <n x="2" s="1"/>
        <n x="5" s="1"/>
        <n x="3" s="1"/>
        <n x="4" s="1"/>
        <n x="104"/>
        <n x="133"/>
        <n x="109"/>
      </t>
    </mdx>
    <mdx n="0" f="v">
      <t c="8">
        <n x="1" s="1"/>
        <n x="2" s="1"/>
        <n x="5" s="1"/>
        <n x="3" s="1"/>
        <n x="4" s="1"/>
        <n x="104"/>
        <n x="133"/>
        <n x="103"/>
      </t>
    </mdx>
    <mdx n="0" f="v">
      <t c="8">
        <n x="1" s="1"/>
        <n x="2" s="1"/>
        <n x="5" s="1"/>
        <n x="3" s="1"/>
        <n x="4" s="1"/>
        <n x="104"/>
        <n x="133"/>
        <n x="69"/>
      </t>
    </mdx>
    <mdx n="0" f="v">
      <t c="8">
        <n x="1" s="1"/>
        <n x="2" s="1"/>
        <n x="5" s="1"/>
        <n x="3" s="1"/>
        <n x="4" s="1"/>
        <n x="104"/>
        <n x="137"/>
        <n x="115"/>
      </t>
    </mdx>
    <mdx n="0" f="v">
      <t c="8">
        <n x="1" s="1"/>
        <n x="2" s="1"/>
        <n x="5" s="1"/>
        <n x="3" s="1"/>
        <n x="4" s="1"/>
        <n x="104"/>
        <n x="137"/>
        <n x="76"/>
      </t>
    </mdx>
    <mdx n="0" f="v">
      <t c="8">
        <n x="1" s="1"/>
        <n x="2" s="1"/>
        <n x="5" s="1"/>
        <n x="3" s="1"/>
        <n x="4" s="1"/>
        <n x="104"/>
        <n x="137"/>
        <n x="49"/>
      </t>
    </mdx>
    <mdx n="0" f="v">
      <t c="8">
        <n x="1" s="1"/>
        <n x="2" s="1"/>
        <n x="5" s="1"/>
        <n x="3" s="1"/>
        <n x="4" s="1"/>
        <n x="104"/>
        <n x="142"/>
        <n x="28"/>
      </t>
    </mdx>
    <mdx n="0" f="v">
      <t c="8">
        <n x="1" s="1"/>
        <n x="2" s="1"/>
        <n x="5" s="1"/>
        <n x="3" s="1"/>
        <n x="4" s="1"/>
        <n x="104"/>
        <n x="142"/>
        <n x="29"/>
      </t>
    </mdx>
    <mdx n="0" f="v">
      <t c="8">
        <n x="1" s="1"/>
        <n x="2" s="1"/>
        <n x="5" s="1"/>
        <n x="3" s="1"/>
        <n x="4" s="1"/>
        <n x="104"/>
        <n x="142"/>
        <n x="16"/>
      </t>
    </mdx>
    <mdx n="0" f="v">
      <t c="8">
        <n x="1" s="1"/>
        <n x="2" s="1"/>
        <n x="5" s="1"/>
        <n x="3" s="1"/>
        <n x="4" s="1"/>
        <n x="104"/>
        <n x="78"/>
        <n x="84"/>
      </t>
    </mdx>
    <mdx n="0" f="v">
      <t c="8">
        <n x="1" s="1"/>
        <n x="2" s="1"/>
        <n x="5" s="1"/>
        <n x="3" s="1"/>
        <n x="4" s="1"/>
        <n x="104"/>
        <n x="78"/>
        <n x="160"/>
      </t>
    </mdx>
    <mdx n="0" f="v">
      <t c="8">
        <n x="1" s="1"/>
        <n x="2" s="1"/>
        <n x="5" s="1"/>
        <n x="3" s="1"/>
        <n x="4" s="1"/>
        <n x="104"/>
        <n x="78"/>
        <n x="148"/>
      </t>
    </mdx>
    <mdx n="0" f="v">
      <t c="8">
        <n x="1" s="1"/>
        <n x="2" s="1"/>
        <n x="5" s="1"/>
        <n x="3" s="1"/>
        <n x="4" s="1"/>
        <n x="104"/>
        <n x="7"/>
        <n x="62"/>
      </t>
    </mdx>
    <mdx n="0" f="v">
      <t c="8">
        <n x="1" s="1"/>
        <n x="2" s="1"/>
        <n x="5" s="1"/>
        <n x="3" s="1"/>
        <n x="4" s="1"/>
        <n x="104"/>
        <n x="7"/>
        <n x="59"/>
      </t>
    </mdx>
    <mdx n="0" f="v">
      <t c="8">
        <n x="1" s="1"/>
        <n x="2" s="1"/>
        <n x="5" s="1"/>
        <n x="3" s="1"/>
        <n x="4" s="1"/>
        <n x="104"/>
        <n x="7"/>
        <n x="122"/>
      </t>
    </mdx>
    <mdx n="0" f="v">
      <t c="8">
        <n x="1" s="1"/>
        <n x="2" s="1"/>
        <n x="5" s="1"/>
        <n x="3" s="1"/>
        <n x="4" s="1"/>
        <n x="104"/>
        <n x="7"/>
        <n x="95"/>
      </t>
    </mdx>
    <mdx n="0" f="v">
      <t c="8">
        <n x="1" s="1"/>
        <n x="2" s="1"/>
        <n x="5" s="1"/>
        <n x="3" s="1"/>
        <n x="4" s="1"/>
        <n x="104"/>
        <n x="22"/>
        <n x="43"/>
      </t>
    </mdx>
    <mdx n="0" f="v">
      <t c="8">
        <n x="1" s="1"/>
        <n x="2" s="1"/>
        <n x="5" s="1"/>
        <n x="3" s="1"/>
        <n x="4" s="1"/>
        <n x="104"/>
        <n x="22"/>
        <n x="44"/>
      </t>
    </mdx>
    <mdx n="0" f="v">
      <t c="8">
        <n x="1" s="1"/>
        <n x="2" s="1"/>
        <n x="5" s="1"/>
        <n x="3" s="1"/>
        <n x="4" s="1"/>
        <n x="104"/>
        <n x="22"/>
        <n x="45"/>
      </t>
    </mdx>
    <mdx n="0" f="v">
      <t c="8">
        <n x="1" s="1"/>
        <n x="2" s="1"/>
        <n x="5" s="1"/>
        <n x="3" s="1"/>
        <n x="4" s="1"/>
        <n x="104"/>
        <n x="30"/>
        <n x="107"/>
      </t>
    </mdx>
    <mdx n="0" f="v">
      <t c="8">
        <n x="1" s="1"/>
        <n x="2" s="1"/>
        <n x="5" s="1"/>
        <n x="3" s="1"/>
        <n x="4" s="1"/>
        <n x="104"/>
        <n x="30"/>
        <n x="85"/>
      </t>
    </mdx>
    <mdx n="0" f="v">
      <t c="8">
        <n x="1" s="1"/>
        <n x="2" s="1"/>
        <n x="5" s="1"/>
        <n x="3" s="1"/>
        <n x="4" s="1"/>
        <n x="104"/>
        <n x="30"/>
        <n x="52"/>
      </t>
    </mdx>
    <mdx n="0" f="v">
      <t c="8">
        <n x="1" s="1"/>
        <n x="2" s="1"/>
        <n x="5" s="1"/>
        <n x="3" s="1"/>
        <n x="4" s="1"/>
        <n x="104"/>
        <n x="149"/>
        <n x="19"/>
      </t>
    </mdx>
    <mdx n="0" f="v">
      <t c="8">
        <n x="1" s="1"/>
        <n x="2" s="1"/>
        <n x="5" s="1"/>
        <n x="3" s="1"/>
        <n x="4" s="1"/>
        <n x="104"/>
        <n x="149"/>
        <n x="20"/>
      </t>
    </mdx>
    <mdx n="0" f="v">
      <t c="8">
        <n x="1" s="1"/>
        <n x="2" s="1"/>
        <n x="5" s="1"/>
        <n x="3" s="1"/>
        <n x="4" s="1"/>
        <n x="104"/>
        <n x="149"/>
        <n x="33"/>
      </t>
    </mdx>
    <mdx n="0" f="v">
      <t c="8">
        <n x="1" s="1"/>
        <n x="2" s="1"/>
        <n x="5" s="1"/>
        <n x="3" s="1"/>
        <n x="4" s="1"/>
        <n x="104"/>
        <n x="156"/>
        <n x="93"/>
      </t>
    </mdx>
    <mdx n="0" f="v">
      <t c="8">
        <n x="1" s="1"/>
        <n x="2" s="1"/>
        <n x="5" s="1"/>
        <n x="3" s="1"/>
        <n x="4" s="1"/>
        <n x="104"/>
        <n x="156"/>
        <n x="162"/>
      </t>
    </mdx>
    <mdx n="0" f="v">
      <t c="8">
        <n x="1" s="1"/>
        <n x="2" s="1"/>
        <n x="5" s="1"/>
        <n x="3" s="1"/>
        <n x="4" s="1"/>
        <n x="104"/>
        <n x="156"/>
        <n x="87"/>
      </t>
    </mdx>
    <mdx n="0" f="v">
      <t c="8">
        <n x="1" s="1"/>
        <n x="2" s="1"/>
        <n x="5" s="1"/>
        <n x="3" s="1"/>
        <n x="4" s="1"/>
        <n x="104"/>
        <n x="158"/>
        <n x="63"/>
      </t>
    </mdx>
    <mdx n="0" f="v">
      <t c="8">
        <n x="1" s="1"/>
        <n x="2" s="1"/>
        <n x="5" s="1"/>
        <n x="3" s="1"/>
        <n x="4" s="1"/>
        <n x="104"/>
        <n x="158"/>
        <n x="154"/>
      </t>
    </mdx>
    <mdx n="0" f="v">
      <t c="8">
        <n x="1" s="1"/>
        <n x="2" s="1"/>
        <n x="5" s="1"/>
        <n x="3" s="1"/>
        <n x="4" s="1"/>
        <n x="104"/>
        <n x="158"/>
        <n x="127"/>
      </t>
    </mdx>
    <mdx n="0" f="v">
      <t c="8">
        <n x="1" s="1"/>
        <n x="2" s="1"/>
        <n x="5" s="1"/>
        <n x="3" s="1"/>
        <n x="4" s="1"/>
        <n x="104"/>
        <n x="161"/>
        <n x="164" s="1"/>
      </t>
    </mdx>
    <mdx n="0" f="v">
      <t c="8">
        <n x="1" s="1"/>
        <n x="2" s="1"/>
        <n x="5" s="1"/>
        <n x="3" s="1"/>
        <n x="4" s="1"/>
        <n x="104"/>
        <n x="161"/>
        <n x="128"/>
      </t>
    </mdx>
    <mdx n="0" f="v">
      <t c="8">
        <n x="1" s="1"/>
        <n x="2" s="1"/>
        <n x="5" s="1"/>
        <n x="3" s="1"/>
        <n x="4" s="1"/>
        <n x="104"/>
        <n x="161"/>
        <n x="116"/>
      </t>
    </mdx>
    <mdx n="0" f="v">
      <t c="8">
        <n x="1" s="1"/>
        <n x="2" s="1"/>
        <n x="5" s="1"/>
        <n x="3" s="1"/>
        <n x="4" s="1"/>
        <n x="104"/>
        <n x="161"/>
        <n x="77"/>
      </t>
    </mdx>
    <mdx n="0" f="v">
      <t c="8">
        <n x="1" s="1"/>
        <n x="2" s="1"/>
        <n x="5" s="1"/>
        <n x="3" s="1"/>
        <n x="4" s="1"/>
        <n x="104"/>
        <n x="66"/>
        <n x="108"/>
      </t>
    </mdx>
    <mdx n="0" f="v">
      <t c="8">
        <n x="1" s="1"/>
        <n x="2" s="1"/>
        <n x="5" s="1"/>
        <n x="3" s="1"/>
        <n x="4" s="1"/>
        <n x="104"/>
        <n x="66"/>
        <n x="94"/>
      </t>
    </mdx>
    <mdx n="0" f="v">
      <t c="8">
        <n x="1" s="1"/>
        <n x="2" s="1"/>
        <n x="5" s="1"/>
        <n x="3" s="1"/>
        <n x="4" s="1"/>
        <n x="104"/>
        <n x="66"/>
        <n x="54"/>
      </t>
    </mdx>
    <mdx n="0" f="v">
      <t c="8">
        <n x="1" s="1"/>
        <n x="2" s="1"/>
        <n x="5" s="1"/>
        <n x="3" s="1"/>
        <n x="4" s="1"/>
        <n x="104"/>
        <n x="37"/>
        <n x="102"/>
      </t>
    </mdx>
    <mdx n="0" f="v">
      <t c="8">
        <n x="1" s="1"/>
        <n x="2" s="1"/>
        <n x="5" s="1"/>
        <n x="3" s="1"/>
        <n x="4" s="1"/>
        <n x="104"/>
        <n x="37"/>
        <n x="58"/>
      </t>
    </mdx>
    <mdx n="0" f="v">
      <t c="8">
        <n x="1" s="1"/>
        <n x="2" s="1"/>
        <n x="5" s="1"/>
        <n x="3" s="1"/>
        <n x="4" s="1"/>
        <n x="104"/>
        <n x="37"/>
        <n x="155"/>
      </t>
    </mdx>
    <mdx n="0" f="v">
      <t c="8">
        <n x="1" s="1"/>
        <n x="2" s="1"/>
        <n x="5" s="1"/>
        <n x="3" s="1"/>
        <n x="4" s="1"/>
        <n x="104"/>
        <n x="71"/>
        <n x="13"/>
      </t>
    </mdx>
    <mdx n="0" f="v">
      <t c="8">
        <n x="1" s="1"/>
        <n x="2" s="1"/>
        <n x="5" s="1"/>
        <n x="3" s="1"/>
        <n x="4" s="1"/>
        <n x="104"/>
        <n x="71"/>
        <n x="14"/>
      </t>
    </mdx>
    <mdx n="0" f="v">
      <t c="8">
        <n x="1" s="1"/>
        <n x="2" s="1"/>
        <n x="5" s="1"/>
        <n x="3" s="1"/>
        <n x="4" s="1"/>
        <n x="104"/>
        <n x="71"/>
        <n x="15"/>
      </t>
    </mdx>
    <mdx n="0" f="v">
      <t c="8">
        <n x="1" s="1"/>
        <n x="2" s="1"/>
        <n x="5" s="1"/>
        <n x="3" s="1"/>
        <n x="4" s="1"/>
        <n x="104"/>
        <n x="80"/>
        <n x="75"/>
      </t>
    </mdx>
    <mdx n="0" f="v">
      <t c="8">
        <n x="1" s="1"/>
        <n x="2" s="1"/>
        <n x="5" s="1"/>
        <n x="3" s="1"/>
        <n x="4" s="1"/>
        <n x="104"/>
        <n x="80"/>
        <n x="48"/>
      </t>
    </mdx>
    <mdx n="0" f="v">
      <t c="8">
        <n x="1" s="1"/>
        <n x="2" s="1"/>
        <n x="5" s="1"/>
        <n x="3" s="1"/>
        <n x="4" s="1"/>
        <n x="104"/>
        <n x="80"/>
        <n x="141"/>
      </t>
    </mdx>
    <mdx n="0" f="v">
      <t c="8">
        <n x="1" s="1"/>
        <n x="2" s="1"/>
        <n x="5" s="1"/>
        <n x="3" s="1"/>
        <n x="4" s="1"/>
        <n x="104"/>
        <n x="89"/>
        <n x="56"/>
      </t>
    </mdx>
    <mdx n="0" f="v">
      <t c="8">
        <n x="1" s="1"/>
        <n x="2" s="1"/>
        <n x="5" s="1"/>
        <n x="3" s="1"/>
        <n x="4" s="1"/>
        <n x="104"/>
        <n x="89"/>
        <n x="147"/>
      </t>
    </mdx>
    <mdx n="0" f="v">
      <t c="8">
        <n x="1" s="1"/>
        <n x="2" s="1"/>
        <n x="5" s="1"/>
        <n x="3" s="1"/>
        <n x="4" s="1"/>
        <n x="104"/>
        <n x="89"/>
        <n x="119"/>
      </t>
    </mdx>
    <mdx n="0" f="v">
      <t c="8">
        <n x="1" s="1"/>
        <n x="2" s="1"/>
        <n x="5" s="1"/>
        <n x="3" s="1"/>
        <n x="4" s="1"/>
        <n x="104"/>
        <n x="89"/>
        <n x="86"/>
      </t>
    </mdx>
    <mdx n="0" f="v">
      <t c="8">
        <n x="1" s="1"/>
        <n x="2" s="1"/>
        <n x="5" s="1"/>
        <n x="3" s="1"/>
        <n x="4" s="1"/>
        <n x="104"/>
        <n x="98"/>
        <n x="109"/>
      </t>
    </mdx>
    <mdx n="0" f="v">
      <t c="8">
        <n x="1" s="1"/>
        <n x="2" s="1"/>
        <n x="5" s="1"/>
        <n x="3" s="1"/>
        <n x="4" s="1"/>
        <n x="104"/>
        <n x="98"/>
        <n x="103"/>
      </t>
    </mdx>
    <mdx n="0" f="v">
      <t c="8">
        <n x="1" s="1"/>
        <n x="2" s="1"/>
        <n x="5" s="1"/>
        <n x="3" s="1"/>
        <n x="4" s="1"/>
        <n x="104"/>
        <n x="98"/>
        <n x="69"/>
      </t>
    </mdx>
    <mdx n="0" f="v">
      <t c="8">
        <n x="1" s="1"/>
        <n x="2" s="1"/>
        <n x="5" s="1"/>
        <n x="3" s="1"/>
        <n x="4" s="1"/>
        <n x="104"/>
        <n x="111"/>
        <n x="115"/>
      </t>
    </mdx>
    <mdx n="0" f="v">
      <t c="8">
        <n x="1" s="1"/>
        <n x="2" s="1"/>
        <n x="5" s="1"/>
        <n x="3" s="1"/>
        <n x="4" s="1"/>
        <n x="104"/>
        <n x="111"/>
        <n x="76"/>
      </t>
    </mdx>
    <mdx n="0" f="v">
      <t c="8">
        <n x="1" s="1"/>
        <n x="2" s="1"/>
        <n x="5" s="1"/>
        <n x="3" s="1"/>
        <n x="4" s="1"/>
        <n x="104"/>
        <n x="111"/>
        <n x="49"/>
      </t>
    </mdx>
    <mdx n="0" f="v">
      <t c="8">
        <n x="1" s="1"/>
        <n x="2" s="1"/>
        <n x="5" s="1"/>
        <n x="3" s="1"/>
        <n x="4" s="1"/>
        <n x="104"/>
        <n x="117"/>
        <n x="28"/>
      </t>
    </mdx>
    <mdx n="0" f="v">
      <t c="8">
        <n x="1" s="1"/>
        <n x="2" s="1"/>
        <n x="5" s="1"/>
        <n x="3" s="1"/>
        <n x="4" s="1"/>
        <n x="104"/>
        <n x="117"/>
        <n x="29"/>
      </t>
    </mdx>
    <mdx n="0" f="v">
      <t c="8">
        <n x="1" s="1"/>
        <n x="2" s="1"/>
        <n x="5" s="1"/>
        <n x="3" s="1"/>
        <n x="4" s="1"/>
        <n x="104"/>
        <n x="117"/>
        <n x="16"/>
      </t>
    </mdx>
    <mdx n="0" f="v">
      <t c="8">
        <n x="1" s="1"/>
        <n x="2" s="1"/>
        <n x="5" s="1"/>
        <n x="3" s="1"/>
        <n x="4" s="1"/>
        <n x="104"/>
        <n x="130"/>
        <n x="84"/>
      </t>
    </mdx>
    <mdx n="0" f="v">
      <t c="8">
        <n x="1" s="1"/>
        <n x="2" s="1"/>
        <n x="5" s="1"/>
        <n x="3" s="1"/>
        <n x="4" s="1"/>
        <n x="104"/>
        <n x="130"/>
        <n x="160"/>
      </t>
    </mdx>
    <mdx n="0" f="v">
      <t c="8">
        <n x="1" s="1"/>
        <n x="2" s="1"/>
        <n x="5" s="1"/>
        <n x="3" s="1"/>
        <n x="4" s="1"/>
        <n x="104"/>
        <n x="130"/>
        <n x="148"/>
      </t>
    </mdx>
    <mdx n="0" f="v">
      <t c="8">
        <n x="1" s="1"/>
        <n x="2" s="1"/>
        <n x="5" s="1"/>
        <n x="3" s="1"/>
        <n x="4" s="1"/>
        <n x="104"/>
        <n x="8"/>
        <n x="62"/>
      </t>
    </mdx>
    <mdx n="0" f="v">
      <t c="8">
        <n x="1" s="1"/>
        <n x="2" s="1"/>
        <n x="5" s="1"/>
        <n x="3" s="1"/>
        <n x="4" s="1"/>
        <n x="104"/>
        <n x="8"/>
        <n x="59"/>
      </t>
    </mdx>
    <mdx n="0" f="v">
      <t c="8">
        <n x="1" s="1"/>
        <n x="2" s="1"/>
        <n x="5" s="1"/>
        <n x="3" s="1"/>
        <n x="4" s="1"/>
        <n x="104"/>
        <n x="8"/>
        <n x="122"/>
      </t>
    </mdx>
    <mdx n="0" f="v">
      <t c="8">
        <n x="1" s="1"/>
        <n x="2" s="1"/>
        <n x="5" s="1"/>
        <n x="3" s="1"/>
        <n x="4" s="1"/>
        <n x="104"/>
        <n x="8"/>
        <n x="95"/>
      </t>
    </mdx>
    <mdx n="0" f="v">
      <t c="8">
        <n x="1" s="1"/>
        <n x="2" s="1"/>
        <n x="5" s="1"/>
        <n x="3" s="1"/>
        <n x="4" s="1"/>
        <n x="104"/>
        <n x="23"/>
        <n x="43"/>
      </t>
    </mdx>
    <mdx n="0" f="v">
      <t c="8">
        <n x="1" s="1"/>
        <n x="2" s="1"/>
        <n x="5" s="1"/>
        <n x="3" s="1"/>
        <n x="4" s="1"/>
        <n x="104"/>
        <n x="23"/>
        <n x="44"/>
      </t>
    </mdx>
    <mdx n="0" f="v">
      <t c="8">
        <n x="1" s="1"/>
        <n x="2" s="1"/>
        <n x="5" s="1"/>
        <n x="3" s="1"/>
        <n x="4" s="1"/>
        <n x="104"/>
        <n x="23"/>
        <n x="45"/>
      </t>
    </mdx>
    <mdx n="0" f="v">
      <t c="8">
        <n x="1" s="1"/>
        <n x="2" s="1"/>
        <n x="5" s="1"/>
        <n x="3" s="1"/>
        <n x="4" s="1"/>
        <n x="104"/>
        <n x="17"/>
        <n x="107"/>
      </t>
    </mdx>
    <mdx n="0" f="v">
      <t c="8">
        <n x="1" s="1"/>
        <n x="2" s="1"/>
        <n x="5" s="1"/>
        <n x="3" s="1"/>
        <n x="4" s="1"/>
        <n x="104"/>
        <n x="17"/>
        <n x="85"/>
      </t>
    </mdx>
    <mdx n="0" f="v">
      <t c="8">
        <n x="1" s="1"/>
        <n x="2" s="1"/>
        <n x="5" s="1"/>
        <n x="3" s="1"/>
        <n x="4" s="1"/>
        <n x="104"/>
        <n x="17"/>
        <n x="52"/>
      </t>
    </mdx>
    <mdx n="0" f="v">
      <t c="8">
        <n x="1" s="1"/>
        <n x="2" s="1"/>
        <n x="5" s="1"/>
        <n x="3" s="1"/>
        <n x="4" s="1"/>
        <n x="104"/>
        <n x="126"/>
        <n x="19"/>
      </t>
    </mdx>
    <mdx n="0" f="v">
      <t c="8">
        <n x="1" s="1"/>
        <n x="2" s="1"/>
        <n x="5" s="1"/>
        <n x="3" s="1"/>
        <n x="4" s="1"/>
        <n x="104"/>
        <n x="126"/>
        <n x="20"/>
      </t>
    </mdx>
    <mdx n="0" f="v">
      <t c="8">
        <n x="1" s="1"/>
        <n x="2" s="1"/>
        <n x="5" s="1"/>
        <n x="3" s="1"/>
        <n x="4" s="1"/>
        <n x="104"/>
        <n x="126"/>
        <n x="33"/>
      </t>
    </mdx>
    <mdx n="0" f="v">
      <t c="8">
        <n x="1" s="1"/>
        <n x="2" s="1"/>
        <n x="5" s="1"/>
        <n x="3" s="1"/>
        <n x="4" s="1"/>
        <n x="104"/>
        <n x="138"/>
        <n x="93"/>
      </t>
    </mdx>
    <mdx n="0" f="v">
      <t c="8">
        <n x="1" s="1"/>
        <n x="2" s="1"/>
        <n x="5" s="1"/>
        <n x="3" s="1"/>
        <n x="4" s="1"/>
        <n x="104"/>
        <n x="138"/>
        <n x="162"/>
      </t>
    </mdx>
    <mdx n="0" f="v">
      <t c="8">
        <n x="1" s="1"/>
        <n x="2" s="1"/>
        <n x="5" s="1"/>
        <n x="3" s="1"/>
        <n x="4" s="1"/>
        <n x="104"/>
        <n x="138"/>
        <n x="87"/>
      </t>
    </mdx>
    <mdx n="0" f="v">
      <t c="8">
        <n x="1" s="1"/>
        <n x="2" s="1"/>
        <n x="5" s="1"/>
        <n x="3" s="1"/>
        <n x="4" s="1"/>
        <n x="104"/>
        <n x="143"/>
        <n x="63"/>
      </t>
    </mdx>
    <mdx n="0" f="v">
      <t c="8">
        <n x="1" s="1"/>
        <n x="2" s="1"/>
        <n x="5" s="1"/>
        <n x="3" s="1"/>
        <n x="4" s="1"/>
        <n x="104"/>
        <n x="143"/>
        <n x="154"/>
      </t>
    </mdx>
    <mdx n="0" f="v">
      <t c="8">
        <n x="1" s="1"/>
        <n x="2" s="1"/>
        <n x="5" s="1"/>
        <n x="3" s="1"/>
        <n x="4" s="1"/>
        <n x="104"/>
        <n x="143"/>
        <n x="127"/>
      </t>
    </mdx>
    <mdx n="0" f="v">
      <t c="8">
        <n x="1" s="1"/>
        <n x="2" s="1"/>
        <n x="5" s="1"/>
        <n x="3" s="1"/>
        <n x="4" s="1"/>
        <n x="104"/>
        <n x="163" s="1"/>
        <n x="19"/>
      </t>
    </mdx>
    <mdx n="0" f="v">
      <t c="8">
        <n x="1" s="1"/>
        <n x="2" s="1"/>
        <n x="5" s="1"/>
        <n x="3" s="1"/>
        <n x="4" s="1"/>
        <n x="104"/>
        <n x="163" s="1"/>
        <n x="20"/>
      </t>
    </mdx>
    <mdx n="0" f="v">
      <t c="8">
        <n x="1" s="1"/>
        <n x="2" s="1"/>
        <n x="5" s="1"/>
        <n x="3" s="1"/>
        <n x="4" s="1"/>
        <n x="104"/>
        <n x="163" s="1"/>
        <n x="33"/>
      </t>
    </mdx>
    <mdx n="0" f="v">
      <t c="8">
        <n x="1" s="1"/>
        <n x="2" s="1"/>
        <n x="5" s="1"/>
        <n x="3" s="1"/>
        <n x="4" s="1"/>
        <n x="104"/>
        <n x="60"/>
        <n x="93"/>
      </t>
    </mdx>
    <mdx n="0" f="v">
      <t c="8">
        <n x="1" s="1"/>
        <n x="2" s="1"/>
        <n x="5" s="1"/>
        <n x="3" s="1"/>
        <n x="4" s="1"/>
        <n x="104"/>
        <n x="60"/>
        <n x="162"/>
      </t>
    </mdx>
    <mdx n="0" f="v">
      <t c="8">
        <n x="1" s="1"/>
        <n x="2" s="1"/>
        <n x="5" s="1"/>
        <n x="3" s="1"/>
        <n x="4" s="1"/>
        <n x="104"/>
        <n x="60"/>
        <n x="87"/>
      </t>
    </mdx>
    <mdx n="0" f="v">
      <t c="8">
        <n x="1" s="1"/>
        <n x="2" s="1"/>
        <n x="5" s="1"/>
        <n x="3" s="1"/>
        <n x="4" s="1"/>
        <n x="104"/>
        <n x="6"/>
        <n x="63"/>
      </t>
    </mdx>
    <mdx n="0" f="v">
      <t c="8">
        <n x="1" s="1"/>
        <n x="2" s="1"/>
        <n x="5" s="1"/>
        <n x="3" s="1"/>
        <n x="4" s="1"/>
        <n x="104"/>
        <n x="6"/>
        <n x="154"/>
      </t>
    </mdx>
    <mdx n="0" f="v">
      <t c="8">
        <n x="1" s="1"/>
        <n x="2" s="1"/>
        <n x="5" s="1"/>
        <n x="3" s="1"/>
        <n x="4" s="1"/>
        <n x="104"/>
        <n x="6"/>
        <n x="127"/>
      </t>
    </mdx>
    <mdx n="0" f="v">
      <t c="8">
        <n x="1" s="1"/>
        <n x="2" s="1"/>
        <n x="5" s="1"/>
        <n x="3" s="1"/>
        <n x="4" s="1"/>
        <n x="104"/>
        <n x="21"/>
        <n x="164" s="1"/>
      </t>
    </mdx>
    <mdx n="0" f="v">
      <t c="8">
        <n x="1" s="1"/>
        <n x="2" s="1"/>
        <n x="5" s="1"/>
        <n x="3" s="1"/>
        <n x="4" s="1"/>
        <n x="104"/>
        <n x="21"/>
        <n x="128"/>
      </t>
    </mdx>
    <mdx n="0" f="v">
      <t c="8">
        <n x="1" s="1"/>
        <n x="2" s="1"/>
        <n x="5" s="1"/>
        <n x="3" s="1"/>
        <n x="4" s="1"/>
        <n x="104"/>
        <n x="21"/>
        <n x="116"/>
      </t>
    </mdx>
    <mdx n="0" f="v">
      <t c="8">
        <n x="1" s="1"/>
        <n x="2" s="1"/>
        <n x="5" s="1"/>
        <n x="3" s="1"/>
        <n x="4" s="1"/>
        <n x="104"/>
        <n x="21"/>
        <n x="77"/>
      </t>
    </mdx>
    <mdx n="0" f="v">
      <t c="8">
        <n x="1" s="1"/>
        <n x="2" s="1"/>
        <n x="5" s="1"/>
        <n x="3" s="1"/>
        <n x="4" s="1"/>
        <n x="104"/>
        <n x="34"/>
        <n x="108"/>
      </t>
    </mdx>
    <mdx n="0" f="v">
      <t c="8">
        <n x="1" s="1"/>
        <n x="2" s="1"/>
        <n x="5" s="1"/>
        <n x="3" s="1"/>
        <n x="4" s="1"/>
        <n x="104"/>
        <n x="34"/>
        <n x="94"/>
      </t>
    </mdx>
    <mdx n="0" f="v">
      <t c="8">
        <n x="1" s="1"/>
        <n x="2" s="1"/>
        <n x="5" s="1"/>
        <n x="3" s="1"/>
        <n x="4" s="1"/>
        <n x="104"/>
        <n x="34"/>
        <n x="54"/>
      </t>
    </mdx>
    <mdx n="0" f="v">
      <t c="8">
        <n x="1" s="1"/>
        <n x="2" s="1"/>
        <n x="5" s="1"/>
        <n x="3" s="1"/>
        <n x="4" s="1"/>
        <n x="104"/>
        <n x="65"/>
        <n x="102"/>
      </t>
    </mdx>
    <mdx n="0" f="v">
      <t c="8">
        <n x="1" s="1"/>
        <n x="2" s="1"/>
        <n x="5" s="1"/>
        <n x="3" s="1"/>
        <n x="4" s="1"/>
        <n x="104"/>
        <n x="65"/>
        <n x="58"/>
      </t>
    </mdx>
    <mdx n="0" f="v">
      <t c="8">
        <n x="1" s="1"/>
        <n x="2" s="1"/>
        <n x="5" s="1"/>
        <n x="3" s="1"/>
        <n x="4" s="1"/>
        <n x="104"/>
        <n x="65"/>
        <n x="155"/>
      </t>
    </mdx>
    <mdx n="0" f="v">
      <t c="8">
        <n x="1" s="1"/>
        <n x="2" s="1"/>
        <n x="5" s="1"/>
        <n x="3" s="1"/>
        <n x="4" s="1"/>
        <n x="104"/>
        <n x="70"/>
        <n x="13"/>
      </t>
    </mdx>
    <mdx n="0" f="v">
      <t c="8">
        <n x="1" s="1"/>
        <n x="2" s="1"/>
        <n x="5" s="1"/>
        <n x="3" s="1"/>
        <n x="4" s="1"/>
        <n x="104"/>
        <n x="70"/>
        <n x="14"/>
      </t>
    </mdx>
    <mdx n="0" f="v">
      <t c="8">
        <n x="1" s="1"/>
        <n x="2" s="1"/>
        <n x="5" s="1"/>
        <n x="3" s="1"/>
        <n x="4" s="1"/>
        <n x="104"/>
        <n x="70"/>
        <n x="15"/>
      </t>
    </mdx>
    <mdx n="0" f="v">
      <t c="8">
        <n x="1" s="1"/>
        <n x="2" s="1"/>
        <n x="5" s="1"/>
        <n x="3" s="1"/>
        <n x="4" s="1"/>
        <n x="104"/>
        <n x="79"/>
        <n x="75"/>
      </t>
    </mdx>
    <mdx n="0" f="v">
      <t c="8">
        <n x="1" s="1"/>
        <n x="2" s="1"/>
        <n x="5" s="1"/>
        <n x="3" s="1"/>
        <n x="4" s="1"/>
        <n x="104"/>
        <n x="79"/>
        <n x="48"/>
      </t>
    </mdx>
    <mdx n="0" f="v">
      <t c="8">
        <n x="1" s="1"/>
        <n x="2" s="1"/>
        <n x="5" s="1"/>
        <n x="3" s="1"/>
        <n x="4" s="1"/>
        <n x="104"/>
        <n x="79"/>
        <n x="141"/>
      </t>
    </mdx>
    <mdx n="0" f="v">
      <t c="8">
        <n x="1" s="1"/>
        <n x="2" s="1"/>
        <n x="5" s="1"/>
        <n x="3" s="1"/>
        <n x="4" s="1"/>
        <n x="104"/>
        <n x="88"/>
        <n x="56"/>
      </t>
    </mdx>
    <mdx n="0" f="v">
      <t c="8">
        <n x="1" s="1"/>
        <n x="2" s="1"/>
        <n x="5" s="1"/>
        <n x="3" s="1"/>
        <n x="4" s="1"/>
        <n x="104"/>
        <n x="88"/>
        <n x="147"/>
      </t>
    </mdx>
    <mdx n="0" f="v">
      <t c="8">
        <n x="1" s="1"/>
        <n x="2" s="1"/>
        <n x="5" s="1"/>
        <n x="3" s="1"/>
        <n x="4" s="1"/>
        <n x="104"/>
        <n x="88"/>
        <n x="119"/>
      </t>
    </mdx>
    <mdx n="0" f="v">
      <t c="8">
        <n x="1" s="1"/>
        <n x="2" s="1"/>
        <n x="5" s="1"/>
        <n x="3" s="1"/>
        <n x="4" s="1"/>
        <n x="104"/>
        <n x="88"/>
        <n x="86"/>
      </t>
    </mdx>
    <mdx n="0" f="v">
      <t c="8">
        <n x="1" s="1"/>
        <n x="2" s="1"/>
        <n x="5" s="1"/>
        <n x="3" s="1"/>
        <n x="4" s="1"/>
        <n x="104"/>
        <n x="97"/>
        <n x="109"/>
      </t>
    </mdx>
    <mdx n="0" f="v">
      <t c="8">
        <n x="1" s="1"/>
        <n x="2" s="1"/>
        <n x="5" s="1"/>
        <n x="3" s="1"/>
        <n x="4" s="1"/>
        <n x="104"/>
        <n x="97"/>
        <n x="103"/>
      </t>
    </mdx>
    <mdx n="0" f="v">
      <t c="8">
        <n x="1" s="1"/>
        <n x="2" s="1"/>
        <n x="5" s="1"/>
        <n x="3" s="1"/>
        <n x="4" s="1"/>
        <n x="104"/>
        <n x="97"/>
        <n x="69"/>
      </t>
    </mdx>
    <mdx n="0" f="v">
      <t c="8">
        <n x="1" s="1"/>
        <n x="2" s="1"/>
        <n x="5" s="1"/>
        <n x="3" s="1"/>
        <n x="4" s="1"/>
        <n x="104"/>
        <n x="36"/>
        <n x="115"/>
      </t>
    </mdx>
    <mdx n="0" f="v">
      <t c="8">
        <n x="1" s="1"/>
        <n x="2" s="1"/>
        <n x="5" s="1"/>
        <n x="3" s="1"/>
        <n x="4" s="1"/>
        <n x="104"/>
        <n x="36"/>
        <n x="76"/>
      </t>
    </mdx>
    <mdx n="0" f="v">
      <t c="8">
        <n x="1" s="1"/>
        <n x="2" s="1"/>
        <n x="5" s="1"/>
        <n x="3" s="1"/>
        <n x="4" s="1"/>
        <n x="104"/>
        <n x="36"/>
        <n x="49"/>
      </t>
    </mdx>
    <mdx n="0" f="v">
      <t c="8">
        <n x="1" s="1"/>
        <n x="2" s="1"/>
        <n x="5" s="1"/>
        <n x="3" s="1"/>
        <n x="4" s="1"/>
        <n x="104"/>
        <n x="110"/>
        <n x="28"/>
      </t>
    </mdx>
    <mdx n="0" f="v">
      <t c="8">
        <n x="1" s="1"/>
        <n x="2" s="1"/>
        <n x="5" s="1"/>
        <n x="3" s="1"/>
        <n x="4" s="1"/>
        <n x="104"/>
        <n x="110"/>
        <n x="29"/>
      </t>
    </mdx>
    <mdx n="0" f="v">
      <t c="8">
        <n x="1" s="1"/>
        <n x="2" s="1"/>
        <n x="5" s="1"/>
        <n x="3" s="1"/>
        <n x="4" s="1"/>
        <n x="104"/>
        <n x="110"/>
        <n x="16"/>
      </t>
    </mdx>
    <mdx n="0" f="v">
      <t c="8">
        <n x="1" s="1"/>
        <n x="2" s="1"/>
        <n x="5" s="1"/>
        <n x="3" s="1"/>
        <n x="4" s="1"/>
        <n x="104"/>
        <n x="105"/>
        <n x="84"/>
      </t>
    </mdx>
    <mdx n="0" f="v">
      <t c="8">
        <n x="1" s="1"/>
        <n x="2" s="1"/>
        <n x="5" s="1"/>
        <n x="3" s="1"/>
        <n x="4" s="1"/>
        <n x="104"/>
        <n x="105"/>
        <n x="160"/>
      </t>
    </mdx>
    <mdx n="0" f="v">
      <t c="8">
        <n x="1" s="1"/>
        <n x="2" s="1"/>
        <n x="5" s="1"/>
        <n x="3" s="1"/>
        <n x="4" s="1"/>
        <n x="104"/>
        <n x="105"/>
        <n x="148"/>
      </t>
    </mdx>
    <mdx n="0" f="v">
      <t c="8">
        <n x="1" s="1"/>
        <n x="2" s="1"/>
        <n x="5" s="1"/>
        <n x="3" s="1"/>
        <n x="4" s="1"/>
        <n x="104"/>
        <n x="120"/>
        <n x="62"/>
      </t>
    </mdx>
    <mdx n="0" f="v">
      <t c="8">
        <n x="1" s="1"/>
        <n x="2" s="1"/>
        <n x="5" s="1"/>
        <n x="3" s="1"/>
        <n x="4" s="1"/>
        <n x="104"/>
        <n x="120"/>
        <n x="59"/>
      </t>
    </mdx>
    <mdx n="0" f="v">
      <t c="8">
        <n x="1" s="1"/>
        <n x="2" s="1"/>
        <n x="5" s="1"/>
        <n x="3" s="1"/>
        <n x="4" s="1"/>
        <n x="104"/>
        <n x="120"/>
        <n x="122"/>
      </t>
    </mdx>
    <mdx n="0" f="v">
      <t c="8">
        <n x="1" s="1"/>
        <n x="2" s="1"/>
        <n x="5" s="1"/>
        <n x="3" s="1"/>
        <n x="4" s="1"/>
        <n x="104"/>
        <n x="120"/>
        <n x="95"/>
      </t>
    </mdx>
    <mdx n="0" f="v">
      <t c="8">
        <n x="1" s="1"/>
        <n x="2" s="1"/>
        <n x="5" s="1"/>
        <n x="3" s="1"/>
        <n x="4" s="1"/>
        <n x="104"/>
        <n x="133"/>
        <n x="43"/>
      </t>
    </mdx>
    <mdx n="0" f="v">
      <t c="8">
        <n x="1" s="1"/>
        <n x="2" s="1"/>
        <n x="5" s="1"/>
        <n x="3" s="1"/>
        <n x="4" s="1"/>
        <n x="104"/>
        <n x="133"/>
        <n x="44"/>
      </t>
    </mdx>
    <mdx n="0" f="v">
      <t c="8">
        <n x="1" s="1"/>
        <n x="2" s="1"/>
        <n x="5" s="1"/>
        <n x="3" s="1"/>
        <n x="4" s="1"/>
        <n x="104"/>
        <n x="133"/>
        <n x="45"/>
      </t>
    </mdx>
    <mdx n="0" f="v">
      <t c="8">
        <n x="1" s="1"/>
        <n x="2" s="1"/>
        <n x="5" s="1"/>
        <n x="3" s="1"/>
        <n x="4" s="1"/>
        <n x="104"/>
        <n x="137"/>
        <n x="107"/>
      </t>
    </mdx>
    <mdx n="0" f="v">
      <t c="8">
        <n x="1" s="1"/>
        <n x="2" s="1"/>
        <n x="5" s="1"/>
        <n x="3" s="1"/>
        <n x="4" s="1"/>
        <n x="104"/>
        <n x="137"/>
        <n x="85"/>
      </t>
    </mdx>
    <mdx n="0" f="v">
      <t c="8">
        <n x="1" s="1"/>
        <n x="2" s="1"/>
        <n x="5" s="1"/>
        <n x="3" s="1"/>
        <n x="4" s="1"/>
        <n x="104"/>
        <n x="137"/>
        <n x="52"/>
      </t>
    </mdx>
    <mdx n="0" f="v">
      <t c="8">
        <n x="1" s="1"/>
        <n x="2" s="1"/>
        <n x="5" s="1"/>
        <n x="3" s="1"/>
        <n x="4" s="1"/>
        <n x="104"/>
        <n x="142"/>
        <n x="19"/>
      </t>
    </mdx>
    <mdx n="0" f="v">
      <t c="8">
        <n x="1" s="1"/>
        <n x="2" s="1"/>
        <n x="5" s="1"/>
        <n x="3" s="1"/>
        <n x="4" s="1"/>
        <n x="104"/>
        <n x="142"/>
        <n x="20"/>
      </t>
    </mdx>
    <mdx n="0" f="v">
      <t c="8">
        <n x="1" s="1"/>
        <n x="2" s="1"/>
        <n x="5" s="1"/>
        <n x="3" s="1"/>
        <n x="4" s="1"/>
        <n x="104"/>
        <n x="142"/>
        <n x="33"/>
      </t>
    </mdx>
    <mdx n="0" f="v">
      <t c="8">
        <n x="1" s="1"/>
        <n x="2" s="1"/>
        <n x="5" s="1"/>
        <n x="3" s="1"/>
        <n x="4" s="1"/>
        <n x="104"/>
        <n x="78"/>
        <n x="93"/>
      </t>
    </mdx>
    <mdx n="0" f="v">
      <t c="8">
        <n x="1" s="1"/>
        <n x="2" s="1"/>
        <n x="5" s="1"/>
        <n x="3" s="1"/>
        <n x="4" s="1"/>
        <n x="104"/>
        <n x="78"/>
        <n x="162"/>
      </t>
    </mdx>
    <mdx n="0" f="v">
      <t c="8">
        <n x="1" s="1"/>
        <n x="2" s="1"/>
        <n x="5" s="1"/>
        <n x="3" s="1"/>
        <n x="4" s="1"/>
        <n x="104"/>
        <n x="78"/>
        <n x="87"/>
      </t>
    </mdx>
    <mdx n="0" f="v">
      <t c="8">
        <n x="1" s="1"/>
        <n x="2" s="1"/>
        <n x="5" s="1"/>
        <n x="3" s="1"/>
        <n x="4" s="1"/>
        <n x="104"/>
        <n x="7"/>
        <n x="63"/>
      </t>
    </mdx>
    <mdx n="0" f="v">
      <t c="8">
        <n x="1" s="1"/>
        <n x="2" s="1"/>
        <n x="5" s="1"/>
        <n x="3" s="1"/>
        <n x="4" s="1"/>
        <n x="104"/>
        <n x="7"/>
        <n x="154"/>
      </t>
    </mdx>
    <mdx n="0" f="v">
      <t c="8">
        <n x="1" s="1"/>
        <n x="2" s="1"/>
        <n x="5" s="1"/>
        <n x="3" s="1"/>
        <n x="4" s="1"/>
        <n x="104"/>
        <n x="7"/>
        <n x="127"/>
      </t>
    </mdx>
    <mdx n="0" f="v">
      <t c="8">
        <n x="1" s="1"/>
        <n x="2" s="1"/>
        <n x="5" s="1"/>
        <n x="3" s="1"/>
        <n x="4" s="1"/>
        <n x="104"/>
        <n x="22"/>
        <n x="164" s="1"/>
      </t>
    </mdx>
    <mdx n="0" f="v">
      <t c="8">
        <n x="1" s="1"/>
        <n x="2" s="1"/>
        <n x="5" s="1"/>
        <n x="3" s="1"/>
        <n x="4" s="1"/>
        <n x="104"/>
        <n x="22"/>
        <n x="128"/>
      </t>
    </mdx>
    <mdx n="0" f="v">
      <t c="8">
        <n x="1" s="1"/>
        <n x="2" s="1"/>
        <n x="5" s="1"/>
        <n x="3" s="1"/>
        <n x="4" s="1"/>
        <n x="104"/>
        <n x="22"/>
        <n x="116"/>
      </t>
    </mdx>
    <mdx n="0" f="v">
      <t c="8">
        <n x="1" s="1"/>
        <n x="2" s="1"/>
        <n x="5" s="1"/>
        <n x="3" s="1"/>
        <n x="4" s="1"/>
        <n x="104"/>
        <n x="22"/>
        <n x="77"/>
      </t>
    </mdx>
    <mdx n="0" f="v">
      <t c="8">
        <n x="1" s="1"/>
        <n x="2" s="1"/>
        <n x="5" s="1"/>
        <n x="3" s="1"/>
        <n x="4" s="1"/>
        <n x="104"/>
        <n x="30"/>
        <n x="108"/>
      </t>
    </mdx>
    <mdx n="0" f="v">
      <t c="8">
        <n x="1" s="1"/>
        <n x="2" s="1"/>
        <n x="5" s="1"/>
        <n x="3" s="1"/>
        <n x="4" s="1"/>
        <n x="104"/>
        <n x="30"/>
        <n x="94"/>
      </t>
    </mdx>
    <mdx n="0" f="v">
      <t c="8">
        <n x="1" s="1"/>
        <n x="2" s="1"/>
        <n x="5" s="1"/>
        <n x="3" s="1"/>
        <n x="4" s="1"/>
        <n x="104"/>
        <n x="30"/>
        <n x="54"/>
      </t>
    </mdx>
    <mdx n="0" f="v">
      <t c="8">
        <n x="1" s="1"/>
        <n x="2" s="1"/>
        <n x="5" s="1"/>
        <n x="3" s="1"/>
        <n x="4" s="1"/>
        <n x="104"/>
        <n x="149"/>
        <n x="102"/>
      </t>
    </mdx>
    <mdx n="0" f="v">
      <t c="8">
        <n x="1" s="1"/>
        <n x="2" s="1"/>
        <n x="5" s="1"/>
        <n x="3" s="1"/>
        <n x="4" s="1"/>
        <n x="104"/>
        <n x="149"/>
        <n x="58"/>
      </t>
    </mdx>
    <mdx n="0" f="v">
      <t c="8">
        <n x="1" s="1"/>
        <n x="2" s="1"/>
        <n x="5" s="1"/>
        <n x="3" s="1"/>
        <n x="4" s="1"/>
        <n x="104"/>
        <n x="149"/>
        <n x="155"/>
      </t>
    </mdx>
    <mdx n="0" f="v">
      <t c="8">
        <n x="1" s="1"/>
        <n x="2" s="1"/>
        <n x="5" s="1"/>
        <n x="3" s="1"/>
        <n x="4" s="1"/>
        <n x="104"/>
        <n x="156"/>
        <n x="13"/>
      </t>
    </mdx>
    <mdx n="0" f="v">
      <t c="8">
        <n x="1" s="1"/>
        <n x="2" s="1"/>
        <n x="5" s="1"/>
        <n x="3" s="1"/>
        <n x="4" s="1"/>
        <n x="104"/>
        <n x="156"/>
        <n x="14"/>
      </t>
    </mdx>
    <mdx n="0" f="v">
      <t c="8">
        <n x="1" s="1"/>
        <n x="2" s="1"/>
        <n x="5" s="1"/>
        <n x="3" s="1"/>
        <n x="4" s="1"/>
        <n x="104"/>
        <n x="156"/>
        <n x="15"/>
      </t>
    </mdx>
    <mdx n="0" f="v">
      <t c="8">
        <n x="1" s="1"/>
        <n x="2" s="1"/>
        <n x="5" s="1"/>
        <n x="3" s="1"/>
        <n x="4" s="1"/>
        <n x="104"/>
        <n x="158"/>
        <n x="75"/>
      </t>
    </mdx>
    <mdx n="0" f="v">
      <t c="8">
        <n x="1" s="1"/>
        <n x="2" s="1"/>
        <n x="5" s="1"/>
        <n x="3" s="1"/>
        <n x="4" s="1"/>
        <n x="104"/>
        <n x="158"/>
        <n x="48"/>
      </t>
    </mdx>
    <mdx n="0" f="v">
      <t c="8">
        <n x="1" s="1"/>
        <n x="2" s="1"/>
        <n x="5" s="1"/>
        <n x="3" s="1"/>
        <n x="4" s="1"/>
        <n x="104"/>
        <n x="158"/>
        <n x="141"/>
      </t>
    </mdx>
    <mdx n="0" f="v">
      <t c="8">
        <n x="1" s="1"/>
        <n x="2" s="1"/>
        <n x="5" s="1"/>
        <n x="3" s="1"/>
        <n x="4" s="1"/>
        <n x="104"/>
        <n x="161"/>
        <n x="56"/>
      </t>
    </mdx>
    <mdx n="0" f="v">
      <t c="8">
        <n x="1" s="1"/>
        <n x="2" s="1"/>
        <n x="5" s="1"/>
        <n x="3" s="1"/>
        <n x="4" s="1"/>
        <n x="104"/>
        <n x="161"/>
        <n x="147"/>
      </t>
    </mdx>
    <mdx n="0" f="v">
      <t c="8">
        <n x="1" s="1"/>
        <n x="2" s="1"/>
        <n x="5" s="1"/>
        <n x="3" s="1"/>
        <n x="4" s="1"/>
        <n x="104"/>
        <n x="161"/>
        <n x="119"/>
      </t>
    </mdx>
    <mdx n="0" f="v">
      <t c="8">
        <n x="1" s="1"/>
        <n x="2" s="1"/>
        <n x="5" s="1"/>
        <n x="3" s="1"/>
        <n x="4" s="1"/>
        <n x="104"/>
        <n x="161"/>
        <n x="86"/>
      </t>
    </mdx>
    <mdx n="0" f="v">
      <t c="8">
        <n x="1" s="1"/>
        <n x="2" s="1"/>
        <n x="5" s="1"/>
        <n x="3" s="1"/>
        <n x="4" s="1"/>
        <n x="104"/>
        <n x="66"/>
        <n x="109"/>
      </t>
    </mdx>
    <mdx n="0" f="v">
      <t c="8">
        <n x="1" s="1"/>
        <n x="2" s="1"/>
        <n x="5" s="1"/>
        <n x="3" s="1"/>
        <n x="4" s="1"/>
        <n x="104"/>
        <n x="66"/>
        <n x="103"/>
      </t>
    </mdx>
    <mdx n="0" f="v">
      <t c="8">
        <n x="1" s="1"/>
        <n x="2" s="1"/>
        <n x="5" s="1"/>
        <n x="3" s="1"/>
        <n x="4" s="1"/>
        <n x="104"/>
        <n x="66"/>
        <n x="69"/>
      </t>
    </mdx>
    <mdx n="0" f="v">
      <t c="8">
        <n x="1" s="1"/>
        <n x="2" s="1"/>
        <n x="5" s="1"/>
        <n x="3" s="1"/>
        <n x="4" s="1"/>
        <n x="104"/>
        <n x="37"/>
        <n x="115"/>
      </t>
    </mdx>
    <mdx n="0" f="v">
      <t c="8">
        <n x="1" s="1"/>
        <n x="2" s="1"/>
        <n x="5" s="1"/>
        <n x="3" s="1"/>
        <n x="4" s="1"/>
        <n x="104"/>
        <n x="37"/>
        <n x="76"/>
      </t>
    </mdx>
    <mdx n="0" f="v">
      <t c="8">
        <n x="1" s="1"/>
        <n x="2" s="1"/>
        <n x="5" s="1"/>
        <n x="3" s="1"/>
        <n x="4" s="1"/>
        <n x="104"/>
        <n x="37"/>
        <n x="49"/>
      </t>
    </mdx>
    <mdx n="0" f="v">
      <t c="8">
        <n x="1" s="1"/>
        <n x="2" s="1"/>
        <n x="5" s="1"/>
        <n x="3" s="1"/>
        <n x="4" s="1"/>
        <n x="104"/>
        <n x="71"/>
        <n x="28"/>
      </t>
    </mdx>
    <mdx n="0" f="v">
      <t c="8">
        <n x="1" s="1"/>
        <n x="2" s="1"/>
        <n x="5" s="1"/>
        <n x="3" s="1"/>
        <n x="4" s="1"/>
        <n x="104"/>
        <n x="71"/>
        <n x="29"/>
      </t>
    </mdx>
    <mdx n="0" f="v">
      <t c="8">
        <n x="1" s="1"/>
        <n x="2" s="1"/>
        <n x="5" s="1"/>
        <n x="3" s="1"/>
        <n x="4" s="1"/>
        <n x="104"/>
        <n x="71"/>
        <n x="16"/>
      </t>
    </mdx>
    <mdx n="0" f="v">
      <t c="8">
        <n x="1" s="1"/>
        <n x="2" s="1"/>
        <n x="5" s="1"/>
        <n x="3" s="1"/>
        <n x="4" s="1"/>
        <n x="104"/>
        <n x="80"/>
        <n x="84"/>
      </t>
    </mdx>
    <mdx n="0" f="v">
      <t c="8">
        <n x="1" s="1"/>
        <n x="2" s="1"/>
        <n x="5" s="1"/>
        <n x="3" s="1"/>
        <n x="4" s="1"/>
        <n x="104"/>
        <n x="80"/>
        <n x="160"/>
      </t>
    </mdx>
    <mdx n="0" f="v">
      <t c="8">
        <n x="1" s="1"/>
        <n x="2" s="1"/>
        <n x="5" s="1"/>
        <n x="3" s="1"/>
        <n x="4" s="1"/>
        <n x="104"/>
        <n x="80"/>
        <n x="148"/>
      </t>
    </mdx>
    <mdx n="0" f="v">
      <t c="8">
        <n x="1" s="1"/>
        <n x="2" s="1"/>
        <n x="5" s="1"/>
        <n x="3" s="1"/>
        <n x="4" s="1"/>
        <n x="104"/>
        <n x="89"/>
        <n x="62"/>
      </t>
    </mdx>
    <mdx n="0" f="v">
      <t c="8">
        <n x="1" s="1"/>
        <n x="2" s="1"/>
        <n x="5" s="1"/>
        <n x="3" s="1"/>
        <n x="4" s="1"/>
        <n x="104"/>
        <n x="89"/>
        <n x="59"/>
      </t>
    </mdx>
    <mdx n="0" f="v">
      <t c="8">
        <n x="1" s="1"/>
        <n x="2" s="1"/>
        <n x="5" s="1"/>
        <n x="3" s="1"/>
        <n x="4" s="1"/>
        <n x="104"/>
        <n x="89"/>
        <n x="122"/>
      </t>
    </mdx>
    <mdx n="0" f="v">
      <t c="8">
        <n x="1" s="1"/>
        <n x="2" s="1"/>
        <n x="5" s="1"/>
        <n x="3" s="1"/>
        <n x="4" s="1"/>
        <n x="104"/>
        <n x="89"/>
        <n x="95"/>
      </t>
    </mdx>
    <mdx n="0" f="v">
      <t c="8">
        <n x="1" s="1"/>
        <n x="2" s="1"/>
        <n x="5" s="1"/>
        <n x="3" s="1"/>
        <n x="4" s="1"/>
        <n x="104"/>
        <n x="98"/>
        <n x="43"/>
      </t>
    </mdx>
    <mdx n="0" f="v">
      <t c="8">
        <n x="1" s="1"/>
        <n x="2" s="1"/>
        <n x="5" s="1"/>
        <n x="3" s="1"/>
        <n x="4" s="1"/>
        <n x="104"/>
        <n x="98"/>
        <n x="44"/>
      </t>
    </mdx>
    <mdx n="0" f="v">
      <t c="8">
        <n x="1" s="1"/>
        <n x="2" s="1"/>
        <n x="5" s="1"/>
        <n x="3" s="1"/>
        <n x="4" s="1"/>
        <n x="104"/>
        <n x="98"/>
        <n x="45"/>
      </t>
    </mdx>
    <mdx n="0" f="v">
      <t c="8">
        <n x="1" s="1"/>
        <n x="2" s="1"/>
        <n x="5" s="1"/>
        <n x="3" s="1"/>
        <n x="4" s="1"/>
        <n x="104"/>
        <n x="111"/>
        <n x="107"/>
      </t>
    </mdx>
    <mdx n="0" f="v">
      <t c="8">
        <n x="1" s="1"/>
        <n x="2" s="1"/>
        <n x="5" s="1"/>
        <n x="3" s="1"/>
        <n x="4" s="1"/>
        <n x="104"/>
        <n x="111"/>
        <n x="85"/>
      </t>
    </mdx>
    <mdx n="0" f="v">
      <t c="8">
        <n x="1" s="1"/>
        <n x="2" s="1"/>
        <n x="5" s="1"/>
        <n x="3" s="1"/>
        <n x="4" s="1"/>
        <n x="104"/>
        <n x="111"/>
        <n x="52"/>
      </t>
    </mdx>
    <mdx n="0" f="v">
      <t c="8">
        <n x="1" s="1"/>
        <n x="2" s="1"/>
        <n x="5" s="1"/>
        <n x="3" s="1"/>
        <n x="4" s="1"/>
        <n x="104"/>
        <n x="117"/>
        <n x="19"/>
      </t>
    </mdx>
    <mdx n="0" f="v">
      <t c="8">
        <n x="1" s="1"/>
        <n x="2" s="1"/>
        <n x="5" s="1"/>
        <n x="3" s="1"/>
        <n x="4" s="1"/>
        <n x="104"/>
        <n x="117"/>
        <n x="20"/>
      </t>
    </mdx>
    <mdx n="0" f="v">
      <t c="8">
        <n x="1" s="1"/>
        <n x="2" s="1"/>
        <n x="5" s="1"/>
        <n x="3" s="1"/>
        <n x="4" s="1"/>
        <n x="104"/>
        <n x="117"/>
        <n x="33"/>
      </t>
    </mdx>
    <mdx n="0" f="v">
      <t c="8">
        <n x="1" s="1"/>
        <n x="2" s="1"/>
        <n x="5" s="1"/>
        <n x="3" s="1"/>
        <n x="4" s="1"/>
        <n x="104"/>
        <n x="130"/>
        <n x="93"/>
      </t>
    </mdx>
    <mdx n="0" f="v">
      <t c="8">
        <n x="1" s="1"/>
        <n x="2" s="1"/>
        <n x="5" s="1"/>
        <n x="3" s="1"/>
        <n x="4" s="1"/>
        <n x="104"/>
        <n x="130"/>
        <n x="162"/>
      </t>
    </mdx>
    <mdx n="0" f="v">
      <t c="8">
        <n x="1" s="1"/>
        <n x="2" s="1"/>
        <n x="5" s="1"/>
        <n x="3" s="1"/>
        <n x="4" s="1"/>
        <n x="104"/>
        <n x="130"/>
        <n x="87"/>
      </t>
    </mdx>
    <mdx n="0" f="v">
      <t c="8">
        <n x="1" s="1"/>
        <n x="2" s="1"/>
        <n x="5" s="1"/>
        <n x="3" s="1"/>
        <n x="4" s="1"/>
        <n x="104"/>
        <n x="8"/>
        <n x="63"/>
      </t>
    </mdx>
    <mdx n="0" f="v">
      <t c="8">
        <n x="1" s="1"/>
        <n x="2" s="1"/>
        <n x="5" s="1"/>
        <n x="3" s="1"/>
        <n x="4" s="1"/>
        <n x="104"/>
        <n x="8"/>
        <n x="154"/>
      </t>
    </mdx>
    <mdx n="0" f="v">
      <t c="8">
        <n x="1" s="1"/>
        <n x="2" s="1"/>
        <n x="5" s="1"/>
        <n x="3" s="1"/>
        <n x="4" s="1"/>
        <n x="104"/>
        <n x="8"/>
        <n x="127"/>
      </t>
    </mdx>
    <mdx n="0" f="v">
      <t c="8">
        <n x="1" s="1"/>
        <n x="2" s="1"/>
        <n x="5" s="1"/>
        <n x="3" s="1"/>
        <n x="4" s="1"/>
        <n x="104"/>
        <n x="23"/>
        <n x="164" s="1"/>
      </t>
    </mdx>
    <mdx n="0" f="v">
      <t c="8">
        <n x="1" s="1"/>
        <n x="2" s="1"/>
        <n x="5" s="1"/>
        <n x="3" s="1"/>
        <n x="4" s="1"/>
        <n x="104"/>
        <n x="23"/>
        <n x="128"/>
      </t>
    </mdx>
    <mdx n="0" f="v">
      <t c="8">
        <n x="1" s="1"/>
        <n x="2" s="1"/>
        <n x="5" s="1"/>
        <n x="3" s="1"/>
        <n x="4" s="1"/>
        <n x="104"/>
        <n x="23"/>
        <n x="116"/>
      </t>
    </mdx>
    <mdx n="0" f="v">
      <t c="8">
        <n x="1" s="1"/>
        <n x="2" s="1"/>
        <n x="5" s="1"/>
        <n x="3" s="1"/>
        <n x="4" s="1"/>
        <n x="104"/>
        <n x="23"/>
        <n x="77"/>
      </t>
    </mdx>
    <mdx n="0" f="v">
      <t c="8">
        <n x="1" s="1"/>
        <n x="2" s="1"/>
        <n x="5" s="1"/>
        <n x="3" s="1"/>
        <n x="4" s="1"/>
        <n x="104"/>
        <n x="17"/>
        <n x="108"/>
      </t>
    </mdx>
    <mdx n="0" f="v">
      <t c="8">
        <n x="1" s="1"/>
        <n x="2" s="1"/>
        <n x="5" s="1"/>
        <n x="3" s="1"/>
        <n x="4" s="1"/>
        <n x="104"/>
        <n x="17"/>
        <n x="94"/>
      </t>
    </mdx>
    <mdx n="0" f="v">
      <t c="8">
        <n x="1" s="1"/>
        <n x="2" s="1"/>
        <n x="5" s="1"/>
        <n x="3" s="1"/>
        <n x="4" s="1"/>
        <n x="104"/>
        <n x="17"/>
        <n x="54"/>
      </t>
    </mdx>
    <mdx n="0" f="v">
      <t c="8">
        <n x="1" s="1"/>
        <n x="2" s="1"/>
        <n x="5" s="1"/>
        <n x="3" s="1"/>
        <n x="4" s="1"/>
        <n x="104"/>
        <n x="126"/>
        <n x="102"/>
      </t>
    </mdx>
    <mdx n="0" f="v">
      <t c="8">
        <n x="1" s="1"/>
        <n x="2" s="1"/>
        <n x="5" s="1"/>
        <n x="3" s="1"/>
        <n x="4" s="1"/>
        <n x="104"/>
        <n x="126"/>
        <n x="58"/>
      </t>
    </mdx>
    <mdx n="0" f="v">
      <t c="8">
        <n x="1" s="1"/>
        <n x="2" s="1"/>
        <n x="5" s="1"/>
        <n x="3" s="1"/>
        <n x="4" s="1"/>
        <n x="104"/>
        <n x="126"/>
        <n x="155"/>
      </t>
    </mdx>
    <mdx n="0" f="v">
      <t c="8">
        <n x="1" s="1"/>
        <n x="2" s="1"/>
        <n x="5" s="1"/>
        <n x="3" s="1"/>
        <n x="4" s="1"/>
        <n x="104"/>
        <n x="138"/>
        <n x="13"/>
      </t>
    </mdx>
    <mdx n="0" f="v">
      <t c="8">
        <n x="1" s="1"/>
        <n x="2" s="1"/>
        <n x="5" s="1"/>
        <n x="3" s="1"/>
        <n x="4" s="1"/>
        <n x="104"/>
        <n x="138"/>
        <n x="14"/>
      </t>
    </mdx>
    <mdx n="0" f="v">
      <t c="8">
        <n x="1" s="1"/>
        <n x="2" s="1"/>
        <n x="5" s="1"/>
        <n x="3" s="1"/>
        <n x="4" s="1"/>
        <n x="104"/>
        <n x="138"/>
        <n x="15"/>
      </t>
    </mdx>
    <mdx n="0" f="v">
      <t c="8">
        <n x="1" s="1"/>
        <n x="2" s="1"/>
        <n x="5" s="1"/>
        <n x="3" s="1"/>
        <n x="4" s="1"/>
        <n x="104"/>
        <n x="143"/>
        <n x="75"/>
      </t>
    </mdx>
    <mdx n="0" f="v">
      <t c="8">
        <n x="1" s="1"/>
        <n x="2" s="1"/>
        <n x="5" s="1"/>
        <n x="3" s="1"/>
        <n x="4" s="1"/>
        <n x="104"/>
        <n x="143"/>
        <n x="48"/>
      </t>
    </mdx>
    <mdx n="0" f="v">
      <t c="8">
        <n x="1" s="1"/>
        <n x="2" s="1"/>
        <n x="5" s="1"/>
        <n x="3" s="1"/>
        <n x="4" s="1"/>
        <n x="104"/>
        <n x="143"/>
        <n x="141"/>
      </t>
    </mdx>
    <mdx n="0" f="v">
      <t c="8">
        <n x="1" s="1"/>
        <n x="2" s="1"/>
        <n x="5" s="1"/>
        <n x="3" s="1"/>
        <n x="4" s="1"/>
        <n x="104"/>
        <n x="163" s="1"/>
        <n x="102"/>
      </t>
    </mdx>
    <mdx n="0" f="v">
      <t c="8">
        <n x="1" s="1"/>
        <n x="2" s="1"/>
        <n x="5" s="1"/>
        <n x="3" s="1"/>
        <n x="4" s="1"/>
        <n x="104"/>
        <n x="163" s="1"/>
        <n x="58"/>
      </t>
    </mdx>
    <mdx n="0" f="v">
      <t c="8">
        <n x="1" s="1"/>
        <n x="2" s="1"/>
        <n x="5" s="1"/>
        <n x="3" s="1"/>
        <n x="4" s="1"/>
        <n x="104"/>
        <n x="163" s="1"/>
        <n x="155"/>
      </t>
    </mdx>
    <mdx n="0" f="v">
      <t c="8">
        <n x="1" s="1"/>
        <n x="2" s="1"/>
        <n x="5" s="1"/>
        <n x="3" s="1"/>
        <n x="4" s="1"/>
        <n x="104"/>
        <n x="60"/>
        <n x="13"/>
      </t>
    </mdx>
    <mdx n="0" f="v">
      <t c="8">
        <n x="1" s="1"/>
        <n x="2" s="1"/>
        <n x="5" s="1"/>
        <n x="3" s="1"/>
        <n x="4" s="1"/>
        <n x="104"/>
        <n x="60"/>
        <n x="14"/>
      </t>
    </mdx>
    <mdx n="0" f="v">
      <t c="8">
        <n x="1" s="1"/>
        <n x="2" s="1"/>
        <n x="5" s="1"/>
        <n x="3" s="1"/>
        <n x="4" s="1"/>
        <n x="104"/>
        <n x="60"/>
        <n x="15"/>
      </t>
    </mdx>
    <mdx n="0" f="v">
      <t c="8">
        <n x="1" s="1"/>
        <n x="2" s="1"/>
        <n x="5" s="1"/>
        <n x="3" s="1"/>
        <n x="4" s="1"/>
        <n x="104"/>
        <n x="6"/>
        <n x="75"/>
      </t>
    </mdx>
    <mdx n="0" f="v">
      <t c="8">
        <n x="1" s="1"/>
        <n x="2" s="1"/>
        <n x="5" s="1"/>
        <n x="3" s="1"/>
        <n x="4" s="1"/>
        <n x="104"/>
        <n x="6"/>
        <n x="48"/>
      </t>
    </mdx>
    <mdx n="0" f="v">
      <t c="8">
        <n x="1" s="1"/>
        <n x="2" s="1"/>
        <n x="5" s="1"/>
        <n x="3" s="1"/>
        <n x="4" s="1"/>
        <n x="104"/>
        <n x="6"/>
        <n x="141"/>
      </t>
    </mdx>
    <mdx n="0" f="v">
      <t c="8">
        <n x="1" s="1"/>
        <n x="2" s="1"/>
        <n x="5" s="1"/>
        <n x="3" s="1"/>
        <n x="4" s="1"/>
        <n x="104"/>
        <n x="21"/>
        <n x="56"/>
      </t>
    </mdx>
    <mdx n="0" f="v">
      <t c="8">
        <n x="1" s="1"/>
        <n x="2" s="1"/>
        <n x="5" s="1"/>
        <n x="3" s="1"/>
        <n x="4" s="1"/>
        <n x="104"/>
        <n x="21"/>
        <n x="147"/>
      </t>
    </mdx>
    <mdx n="0" f="v">
      <t c="8">
        <n x="1" s="1"/>
        <n x="2" s="1"/>
        <n x="5" s="1"/>
        <n x="3" s="1"/>
        <n x="4" s="1"/>
        <n x="104"/>
        <n x="21"/>
        <n x="119"/>
      </t>
    </mdx>
    <mdx n="0" f="v">
      <t c="8">
        <n x="1" s="1"/>
        <n x="2" s="1"/>
        <n x="5" s="1"/>
        <n x="3" s="1"/>
        <n x="4" s="1"/>
        <n x="104"/>
        <n x="21"/>
        <n x="86"/>
      </t>
    </mdx>
    <mdx n="0" f="v">
      <t c="8">
        <n x="1" s="1"/>
        <n x="2" s="1"/>
        <n x="5" s="1"/>
        <n x="3" s="1"/>
        <n x="4" s="1"/>
        <n x="104"/>
        <n x="34"/>
        <n x="109"/>
      </t>
    </mdx>
    <mdx n="0" f="v">
      <t c="8">
        <n x="1" s="1"/>
        <n x="2" s="1"/>
        <n x="5" s="1"/>
        <n x="3" s="1"/>
        <n x="4" s="1"/>
        <n x="104"/>
        <n x="34"/>
        <n x="103"/>
      </t>
    </mdx>
    <mdx n="0" f="v">
      <t c="8">
        <n x="1" s="1"/>
        <n x="2" s="1"/>
        <n x="5" s="1"/>
        <n x="3" s="1"/>
        <n x="4" s="1"/>
        <n x="104"/>
        <n x="34"/>
        <n x="69"/>
      </t>
    </mdx>
    <mdx n="0" f="v">
      <t c="8">
        <n x="1" s="1"/>
        <n x="2" s="1"/>
        <n x="5" s="1"/>
        <n x="3" s="1"/>
        <n x="4" s="1"/>
        <n x="104"/>
        <n x="65"/>
        <n x="115"/>
      </t>
    </mdx>
    <mdx n="0" f="v">
      <t c="8">
        <n x="1" s="1"/>
        <n x="2" s="1"/>
        <n x="5" s="1"/>
        <n x="3" s="1"/>
        <n x="4" s="1"/>
        <n x="104"/>
        <n x="65"/>
        <n x="76"/>
      </t>
    </mdx>
    <mdx n="0" f="v">
      <t c="8">
        <n x="1" s="1"/>
        <n x="2" s="1"/>
        <n x="5" s="1"/>
        <n x="3" s="1"/>
        <n x="4" s="1"/>
        <n x="104"/>
        <n x="65"/>
        <n x="49"/>
      </t>
    </mdx>
    <mdx n="0" f="v">
      <t c="8">
        <n x="1" s="1"/>
        <n x="2" s="1"/>
        <n x="5" s="1"/>
        <n x="3" s="1"/>
        <n x="4" s="1"/>
        <n x="104"/>
        <n x="70"/>
        <n x="28"/>
      </t>
    </mdx>
    <mdx n="0" f="v">
      <t c="8">
        <n x="1" s="1"/>
        <n x="2" s="1"/>
        <n x="5" s="1"/>
        <n x="3" s="1"/>
        <n x="4" s="1"/>
        <n x="104"/>
        <n x="70"/>
        <n x="29"/>
      </t>
    </mdx>
    <mdx n="0" f="v">
      <t c="8">
        <n x="1" s="1"/>
        <n x="2" s="1"/>
        <n x="5" s="1"/>
        <n x="3" s="1"/>
        <n x="4" s="1"/>
        <n x="104"/>
        <n x="70"/>
        <n x="16"/>
      </t>
    </mdx>
    <mdx n="0" f="v">
      <t c="8">
        <n x="1" s="1"/>
        <n x="2" s="1"/>
        <n x="5" s="1"/>
        <n x="3" s="1"/>
        <n x="4" s="1"/>
        <n x="104"/>
        <n x="79"/>
        <n x="84"/>
      </t>
    </mdx>
    <mdx n="0" f="v">
      <t c="8">
        <n x="1" s="1"/>
        <n x="2" s="1"/>
        <n x="5" s="1"/>
        <n x="3" s="1"/>
        <n x="4" s="1"/>
        <n x="104"/>
        <n x="79"/>
        <n x="160"/>
      </t>
    </mdx>
    <mdx n="0" f="v">
      <t c="8">
        <n x="1" s="1"/>
        <n x="2" s="1"/>
        <n x="5" s="1"/>
        <n x="3" s="1"/>
        <n x="4" s="1"/>
        <n x="104"/>
        <n x="79"/>
        <n x="148"/>
      </t>
    </mdx>
    <mdx n="0" f="v">
      <t c="8">
        <n x="1" s="1"/>
        <n x="2" s="1"/>
        <n x="5" s="1"/>
        <n x="3" s="1"/>
        <n x="4" s="1"/>
        <n x="104"/>
        <n x="88"/>
        <n x="62"/>
      </t>
    </mdx>
    <mdx n="0" f="v">
      <t c="8">
        <n x="1" s="1"/>
        <n x="2" s="1"/>
        <n x="5" s="1"/>
        <n x="3" s="1"/>
        <n x="4" s="1"/>
        <n x="104"/>
        <n x="88"/>
        <n x="59"/>
      </t>
    </mdx>
    <mdx n="0" f="v">
      <t c="8">
        <n x="1" s="1"/>
        <n x="2" s="1"/>
        <n x="5" s="1"/>
        <n x="3" s="1"/>
        <n x="4" s="1"/>
        <n x="104"/>
        <n x="88"/>
        <n x="122"/>
      </t>
    </mdx>
    <mdx n="0" f="v">
      <t c="8">
        <n x="1" s="1"/>
        <n x="2" s="1"/>
        <n x="5" s="1"/>
        <n x="3" s="1"/>
        <n x="4" s="1"/>
        <n x="104"/>
        <n x="88"/>
        <n x="95"/>
      </t>
    </mdx>
    <mdx n="0" f="v">
      <t c="8">
        <n x="1" s="1"/>
        <n x="2" s="1"/>
        <n x="5" s="1"/>
        <n x="3" s="1"/>
        <n x="4" s="1"/>
        <n x="104"/>
        <n x="97"/>
        <n x="43"/>
      </t>
    </mdx>
    <mdx n="0" f="v">
      <t c="8">
        <n x="1" s="1"/>
        <n x="2" s="1"/>
        <n x="5" s="1"/>
        <n x="3" s="1"/>
        <n x="4" s="1"/>
        <n x="104"/>
        <n x="97"/>
        <n x="44"/>
      </t>
    </mdx>
    <mdx n="0" f="v">
      <t c="8">
        <n x="1" s="1"/>
        <n x="2" s="1"/>
        <n x="5" s="1"/>
        <n x="3" s="1"/>
        <n x="4" s="1"/>
        <n x="104"/>
        <n x="97"/>
        <n x="45"/>
      </t>
    </mdx>
    <mdx n="0" f="v">
      <t c="8">
        <n x="1" s="1"/>
        <n x="2" s="1"/>
        <n x="5" s="1"/>
        <n x="3" s="1"/>
        <n x="4" s="1"/>
        <n x="104"/>
        <n x="36"/>
        <n x="107"/>
      </t>
    </mdx>
    <mdx n="0" f="v">
      <t c="8">
        <n x="1" s="1"/>
        <n x="2" s="1"/>
        <n x="5" s="1"/>
        <n x="3" s="1"/>
        <n x="4" s="1"/>
        <n x="104"/>
        <n x="36"/>
        <n x="85"/>
      </t>
    </mdx>
    <mdx n="0" f="v">
      <t c="8">
        <n x="1" s="1"/>
        <n x="2" s="1"/>
        <n x="5" s="1"/>
        <n x="3" s="1"/>
        <n x="4" s="1"/>
        <n x="104"/>
        <n x="36"/>
        <n x="52"/>
      </t>
    </mdx>
    <mdx n="0" f="v">
      <t c="8">
        <n x="1" s="1"/>
        <n x="2" s="1"/>
        <n x="5" s="1"/>
        <n x="3" s="1"/>
        <n x="4" s="1"/>
        <n x="104"/>
        <n x="110"/>
        <n x="19"/>
      </t>
    </mdx>
    <mdx n="0" f="v">
      <t c="8">
        <n x="1" s="1"/>
        <n x="2" s="1"/>
        <n x="5" s="1"/>
        <n x="3" s="1"/>
        <n x="4" s="1"/>
        <n x="104"/>
        <n x="110"/>
        <n x="20"/>
      </t>
    </mdx>
    <mdx n="0" f="v">
      <t c="8">
        <n x="1" s="1"/>
        <n x="2" s="1"/>
        <n x="5" s="1"/>
        <n x="3" s="1"/>
        <n x="4" s="1"/>
        <n x="104"/>
        <n x="110"/>
        <n x="33"/>
      </t>
    </mdx>
    <mdx n="0" f="v">
      <t c="8">
        <n x="1" s="1"/>
        <n x="2" s="1"/>
        <n x="5" s="1"/>
        <n x="3" s="1"/>
        <n x="4" s="1"/>
        <n x="104"/>
        <n x="105"/>
        <n x="93"/>
      </t>
    </mdx>
    <mdx n="0" f="v">
      <t c="8">
        <n x="1" s="1"/>
        <n x="2" s="1"/>
        <n x="5" s="1"/>
        <n x="3" s="1"/>
        <n x="4" s="1"/>
        <n x="104"/>
        <n x="105"/>
        <n x="162"/>
      </t>
    </mdx>
    <mdx n="0" f="v">
      <t c="8">
        <n x="1" s="1"/>
        <n x="2" s="1"/>
        <n x="5" s="1"/>
        <n x="3" s="1"/>
        <n x="4" s="1"/>
        <n x="104"/>
        <n x="105"/>
        <n x="87"/>
      </t>
    </mdx>
    <mdx n="0" f="v">
      <t c="8">
        <n x="1" s="1"/>
        <n x="2" s="1"/>
        <n x="5" s="1"/>
        <n x="3" s="1"/>
        <n x="4" s="1"/>
        <n x="104"/>
        <n x="120"/>
        <n x="63"/>
      </t>
    </mdx>
    <mdx n="0" f="v">
      <t c="8">
        <n x="1" s="1"/>
        <n x="2" s="1"/>
        <n x="5" s="1"/>
        <n x="3" s="1"/>
        <n x="4" s="1"/>
        <n x="104"/>
        <n x="120"/>
        <n x="154"/>
      </t>
    </mdx>
    <mdx n="0" f="v">
      <t c="8">
        <n x="1" s="1"/>
        <n x="2" s="1"/>
        <n x="5" s="1"/>
        <n x="3" s="1"/>
        <n x="4" s="1"/>
        <n x="104"/>
        <n x="120"/>
        <n x="127"/>
      </t>
    </mdx>
    <mdx n="0" f="v">
      <t c="8">
        <n x="1" s="1"/>
        <n x="2" s="1"/>
        <n x="5" s="1"/>
        <n x="3" s="1"/>
        <n x="4" s="1"/>
        <n x="104"/>
        <n x="133"/>
        <n x="164" s="1"/>
      </t>
    </mdx>
    <mdx n="0" f="v">
      <t c="8">
        <n x="1" s="1"/>
        <n x="2" s="1"/>
        <n x="5" s="1"/>
        <n x="3" s="1"/>
        <n x="4" s="1"/>
        <n x="104"/>
        <n x="133"/>
        <n x="128"/>
      </t>
    </mdx>
    <mdx n="0" f="v">
      <t c="8">
        <n x="1" s="1"/>
        <n x="2" s="1"/>
        <n x="5" s="1"/>
        <n x="3" s="1"/>
        <n x="4" s="1"/>
        <n x="104"/>
        <n x="133"/>
        <n x="116"/>
      </t>
    </mdx>
    <mdx n="0" f="v">
      <t c="8">
        <n x="1" s="1"/>
        <n x="2" s="1"/>
        <n x="5" s="1"/>
        <n x="3" s="1"/>
        <n x="4" s="1"/>
        <n x="104"/>
        <n x="133"/>
        <n x="77"/>
      </t>
    </mdx>
    <mdx n="0" f="v">
      <t c="8">
        <n x="1" s="1"/>
        <n x="2" s="1"/>
        <n x="5" s="1"/>
        <n x="3" s="1"/>
        <n x="4" s="1"/>
        <n x="104"/>
        <n x="137"/>
        <n x="108"/>
      </t>
    </mdx>
    <mdx n="0" f="v">
      <t c="8">
        <n x="1" s="1"/>
        <n x="2" s="1"/>
        <n x="5" s="1"/>
        <n x="3" s="1"/>
        <n x="4" s="1"/>
        <n x="104"/>
        <n x="137"/>
        <n x="94"/>
      </t>
    </mdx>
    <mdx n="0" f="v">
      <t c="8">
        <n x="1" s="1"/>
        <n x="2" s="1"/>
        <n x="5" s="1"/>
        <n x="3" s="1"/>
        <n x="4" s="1"/>
        <n x="104"/>
        <n x="137"/>
        <n x="54"/>
      </t>
    </mdx>
    <mdx n="0" f="v">
      <t c="8">
        <n x="1" s="1"/>
        <n x="2" s="1"/>
        <n x="5" s="1"/>
        <n x="3" s="1"/>
        <n x="4" s="1"/>
        <n x="104"/>
        <n x="142"/>
        <n x="102"/>
      </t>
    </mdx>
    <mdx n="0" f="v">
      <t c="8">
        <n x="1" s="1"/>
        <n x="2" s="1"/>
        <n x="5" s="1"/>
        <n x="3" s="1"/>
        <n x="4" s="1"/>
        <n x="104"/>
        <n x="142"/>
        <n x="58"/>
      </t>
    </mdx>
    <mdx n="0" f="v">
      <t c="8">
        <n x="1" s="1"/>
        <n x="2" s="1"/>
        <n x="5" s="1"/>
        <n x="3" s="1"/>
        <n x="4" s="1"/>
        <n x="104"/>
        <n x="142"/>
        <n x="155"/>
      </t>
    </mdx>
    <mdx n="0" f="v">
      <t c="8">
        <n x="1" s="1"/>
        <n x="2" s="1"/>
        <n x="5" s="1"/>
        <n x="3" s="1"/>
        <n x="4" s="1"/>
        <n x="104"/>
        <n x="78"/>
        <n x="13"/>
      </t>
    </mdx>
    <mdx n="0" f="v">
      <t c="8">
        <n x="1" s="1"/>
        <n x="2" s="1"/>
        <n x="5" s="1"/>
        <n x="3" s="1"/>
        <n x="4" s="1"/>
        <n x="104"/>
        <n x="78"/>
        <n x="14"/>
      </t>
    </mdx>
    <mdx n="0" f="v">
      <t c="8">
        <n x="1" s="1"/>
        <n x="2" s="1"/>
        <n x="5" s="1"/>
        <n x="3" s="1"/>
        <n x="4" s="1"/>
        <n x="104"/>
        <n x="78"/>
        <n x="15"/>
      </t>
    </mdx>
    <mdx n="0" f="v">
      <t c="8">
        <n x="1" s="1"/>
        <n x="2" s="1"/>
        <n x="5" s="1"/>
        <n x="3" s="1"/>
        <n x="4" s="1"/>
        <n x="104"/>
        <n x="7"/>
        <n x="75"/>
      </t>
    </mdx>
    <mdx n="0" f="v">
      <t c="8">
        <n x="1" s="1"/>
        <n x="2" s="1"/>
        <n x="5" s="1"/>
        <n x="3" s="1"/>
        <n x="4" s="1"/>
        <n x="104"/>
        <n x="7"/>
        <n x="48"/>
      </t>
    </mdx>
    <mdx n="0" f="v">
      <t c="8">
        <n x="1" s="1"/>
        <n x="2" s="1"/>
        <n x="5" s="1"/>
        <n x="3" s="1"/>
        <n x="4" s="1"/>
        <n x="104"/>
        <n x="7"/>
        <n x="141"/>
      </t>
    </mdx>
    <mdx n="0" f="v">
      <t c="8">
        <n x="1" s="1"/>
        <n x="2" s="1"/>
        <n x="5" s="1"/>
        <n x="3" s="1"/>
        <n x="4" s="1"/>
        <n x="104"/>
        <n x="22"/>
        <n x="56"/>
      </t>
    </mdx>
    <mdx n="0" f="v">
      <t c="8">
        <n x="1" s="1"/>
        <n x="2" s="1"/>
        <n x="5" s="1"/>
        <n x="3" s="1"/>
        <n x="4" s="1"/>
        <n x="104"/>
        <n x="22"/>
        <n x="147"/>
      </t>
    </mdx>
    <mdx n="0" f="v">
      <t c="8">
        <n x="1" s="1"/>
        <n x="2" s="1"/>
        <n x="5" s="1"/>
        <n x="3" s="1"/>
        <n x="4" s="1"/>
        <n x="104"/>
        <n x="22"/>
        <n x="119"/>
      </t>
    </mdx>
    <mdx n="0" f="v">
      <t c="8">
        <n x="1" s="1"/>
        <n x="2" s="1"/>
        <n x="5" s="1"/>
        <n x="3" s="1"/>
        <n x="4" s="1"/>
        <n x="104"/>
        <n x="22"/>
        <n x="86"/>
      </t>
    </mdx>
    <mdx n="0" f="v">
      <t c="8">
        <n x="1" s="1"/>
        <n x="2" s="1"/>
        <n x="5" s="1"/>
        <n x="3" s="1"/>
        <n x="4" s="1"/>
        <n x="104"/>
        <n x="30"/>
        <n x="109"/>
      </t>
    </mdx>
    <mdx n="0" f="v">
      <t c="8">
        <n x="1" s="1"/>
        <n x="2" s="1"/>
        <n x="5" s="1"/>
        <n x="3" s="1"/>
        <n x="4" s="1"/>
        <n x="104"/>
        <n x="30"/>
        <n x="103"/>
      </t>
    </mdx>
    <mdx n="0" f="v">
      <t c="8">
        <n x="1" s="1"/>
        <n x="2" s="1"/>
        <n x="5" s="1"/>
        <n x="3" s="1"/>
        <n x="4" s="1"/>
        <n x="104"/>
        <n x="30"/>
        <n x="69"/>
      </t>
    </mdx>
    <mdx n="0" f="v">
      <t c="8">
        <n x="1" s="1"/>
        <n x="2" s="1"/>
        <n x="5" s="1"/>
        <n x="3" s="1"/>
        <n x="4" s="1"/>
        <n x="104"/>
        <n x="149"/>
        <n x="115"/>
      </t>
    </mdx>
    <mdx n="0" f="v">
      <t c="8">
        <n x="1" s="1"/>
        <n x="2" s="1"/>
        <n x="5" s="1"/>
        <n x="3" s="1"/>
        <n x="4" s="1"/>
        <n x="104"/>
        <n x="149"/>
        <n x="76"/>
      </t>
    </mdx>
    <mdx n="0" f="v">
      <t c="8">
        <n x="1" s="1"/>
        <n x="2" s="1"/>
        <n x="5" s="1"/>
        <n x="3" s="1"/>
        <n x="4" s="1"/>
        <n x="104"/>
        <n x="149"/>
        <n x="49"/>
      </t>
    </mdx>
    <mdx n="0" f="v">
      <t c="8">
        <n x="1" s="1"/>
        <n x="2" s="1"/>
        <n x="5" s="1"/>
        <n x="3" s="1"/>
        <n x="4" s="1"/>
        <n x="104"/>
        <n x="156"/>
        <n x="28"/>
      </t>
    </mdx>
    <mdx n="0" f="v">
      <t c="8">
        <n x="1" s="1"/>
        <n x="2" s="1"/>
        <n x="5" s="1"/>
        <n x="3" s="1"/>
        <n x="4" s="1"/>
        <n x="104"/>
        <n x="156"/>
        <n x="29"/>
      </t>
    </mdx>
    <mdx n="0" f="v">
      <t c="8">
        <n x="1" s="1"/>
        <n x="2" s="1"/>
        <n x="5" s="1"/>
        <n x="3" s="1"/>
        <n x="4" s="1"/>
        <n x="104"/>
        <n x="156"/>
        <n x="16"/>
      </t>
    </mdx>
    <mdx n="0" f="v">
      <t c="8">
        <n x="1" s="1"/>
        <n x="2" s="1"/>
        <n x="5" s="1"/>
        <n x="3" s="1"/>
        <n x="4" s="1"/>
        <n x="104"/>
        <n x="158"/>
        <n x="84"/>
      </t>
    </mdx>
    <mdx n="0" f="v">
      <t c="8">
        <n x="1" s="1"/>
        <n x="2" s="1"/>
        <n x="5" s="1"/>
        <n x="3" s="1"/>
        <n x="4" s="1"/>
        <n x="104"/>
        <n x="158"/>
        <n x="160"/>
      </t>
    </mdx>
    <mdx n="0" f="v">
      <t c="8">
        <n x="1" s="1"/>
        <n x="2" s="1"/>
        <n x="5" s="1"/>
        <n x="3" s="1"/>
        <n x="4" s="1"/>
        <n x="104"/>
        <n x="158"/>
        <n x="148"/>
      </t>
    </mdx>
    <mdx n="0" f="v">
      <t c="8">
        <n x="1" s="1"/>
        <n x="2" s="1"/>
        <n x="5" s="1"/>
        <n x="3" s="1"/>
        <n x="4" s="1"/>
        <n x="104"/>
        <n x="161"/>
        <n x="62"/>
      </t>
    </mdx>
    <mdx n="0" f="v">
      <t c="8">
        <n x="1" s="1"/>
        <n x="2" s="1"/>
        <n x="5" s="1"/>
        <n x="3" s="1"/>
        <n x="4" s="1"/>
        <n x="104"/>
        <n x="161"/>
        <n x="59"/>
      </t>
    </mdx>
    <mdx n="0" f="v">
      <t c="8">
        <n x="1" s="1"/>
        <n x="2" s="1"/>
        <n x="5" s="1"/>
        <n x="3" s="1"/>
        <n x="4" s="1"/>
        <n x="104"/>
        <n x="161"/>
        <n x="122"/>
      </t>
    </mdx>
    <mdx n="0" f="v">
      <t c="8">
        <n x="1" s="1"/>
        <n x="2" s="1"/>
        <n x="5" s="1"/>
        <n x="3" s="1"/>
        <n x="4" s="1"/>
        <n x="104"/>
        <n x="161"/>
        <n x="95"/>
      </t>
    </mdx>
    <mdx n="0" f="v">
      <t c="8">
        <n x="1" s="1"/>
        <n x="2" s="1"/>
        <n x="5" s="1"/>
        <n x="3" s="1"/>
        <n x="4" s="1"/>
        <n x="104"/>
        <n x="66"/>
        <n x="43"/>
      </t>
    </mdx>
    <mdx n="0" f="v">
      <t c="8">
        <n x="1" s="1"/>
        <n x="2" s="1"/>
        <n x="5" s="1"/>
        <n x="3" s="1"/>
        <n x="4" s="1"/>
        <n x="104"/>
        <n x="66"/>
        <n x="44"/>
      </t>
    </mdx>
    <mdx n="0" f="v">
      <t c="8">
        <n x="1" s="1"/>
        <n x="2" s="1"/>
        <n x="5" s="1"/>
        <n x="3" s="1"/>
        <n x="4" s="1"/>
        <n x="104"/>
        <n x="66"/>
        <n x="45"/>
      </t>
    </mdx>
    <mdx n="0" f="v">
      <t c="8">
        <n x="1" s="1"/>
        <n x="2" s="1"/>
        <n x="5" s="1"/>
        <n x="3" s="1"/>
        <n x="4" s="1"/>
        <n x="104"/>
        <n x="37"/>
        <n x="107"/>
      </t>
    </mdx>
    <mdx n="0" f="v">
      <t c="8">
        <n x="1" s="1"/>
        <n x="2" s="1"/>
        <n x="5" s="1"/>
        <n x="3" s="1"/>
        <n x="4" s="1"/>
        <n x="104"/>
        <n x="37"/>
        <n x="85"/>
      </t>
    </mdx>
    <mdx n="0" f="v">
      <t c="8">
        <n x="1" s="1"/>
        <n x="2" s="1"/>
        <n x="5" s="1"/>
        <n x="3" s="1"/>
        <n x="4" s="1"/>
        <n x="104"/>
        <n x="37"/>
        <n x="52"/>
      </t>
    </mdx>
    <mdx n="0" f="v">
      <t c="8">
        <n x="1" s="1"/>
        <n x="2" s="1"/>
        <n x="5" s="1"/>
        <n x="3" s="1"/>
        <n x="4" s="1"/>
        <n x="104"/>
        <n x="71"/>
        <n x="19"/>
      </t>
    </mdx>
    <mdx n="0" f="v">
      <t c="8">
        <n x="1" s="1"/>
        <n x="2" s="1"/>
        <n x="5" s="1"/>
        <n x="3" s="1"/>
        <n x="4" s="1"/>
        <n x="104"/>
        <n x="71"/>
        <n x="20"/>
      </t>
    </mdx>
    <mdx n="0" f="v">
      <t c="8">
        <n x="1" s="1"/>
        <n x="2" s="1"/>
        <n x="5" s="1"/>
        <n x="3" s="1"/>
        <n x="4" s="1"/>
        <n x="104"/>
        <n x="71"/>
        <n x="33"/>
      </t>
    </mdx>
    <mdx n="0" f="v">
      <t c="8">
        <n x="1" s="1"/>
        <n x="2" s="1"/>
        <n x="5" s="1"/>
        <n x="3" s="1"/>
        <n x="4" s="1"/>
        <n x="104"/>
        <n x="80"/>
        <n x="93"/>
      </t>
    </mdx>
    <mdx n="0" f="v">
      <t c="8">
        <n x="1" s="1"/>
        <n x="2" s="1"/>
        <n x="5" s="1"/>
        <n x="3" s="1"/>
        <n x="4" s="1"/>
        <n x="104"/>
        <n x="80"/>
        <n x="162"/>
      </t>
    </mdx>
    <mdx n="0" f="v">
      <t c="8">
        <n x="1" s="1"/>
        <n x="2" s="1"/>
        <n x="5" s="1"/>
        <n x="3" s="1"/>
        <n x="4" s="1"/>
        <n x="104"/>
        <n x="80"/>
        <n x="87"/>
      </t>
    </mdx>
    <mdx n="0" f="v">
      <t c="8">
        <n x="1" s="1"/>
        <n x="2" s="1"/>
        <n x="5" s="1"/>
        <n x="3" s="1"/>
        <n x="4" s="1"/>
        <n x="104"/>
        <n x="89"/>
        <n x="63"/>
      </t>
    </mdx>
    <mdx n="0" f="v">
      <t c="8">
        <n x="1" s="1"/>
        <n x="2" s="1"/>
        <n x="5" s="1"/>
        <n x="3" s="1"/>
        <n x="4" s="1"/>
        <n x="104"/>
        <n x="89"/>
        <n x="154"/>
      </t>
    </mdx>
    <mdx n="0" f="v">
      <t c="8">
        <n x="1" s="1"/>
        <n x="2" s="1"/>
        <n x="5" s="1"/>
        <n x="3" s="1"/>
        <n x="4" s="1"/>
        <n x="104"/>
        <n x="89"/>
        <n x="127"/>
      </t>
    </mdx>
    <mdx n="0" f="v">
      <t c="8">
        <n x="1" s="1"/>
        <n x="2" s="1"/>
        <n x="5" s="1"/>
        <n x="3" s="1"/>
        <n x="4" s="1"/>
        <n x="104"/>
        <n x="98"/>
        <n x="164" s="1"/>
      </t>
    </mdx>
    <mdx n="0" f="v">
      <t c="8">
        <n x="1" s="1"/>
        <n x="2" s="1"/>
        <n x="5" s="1"/>
        <n x="3" s="1"/>
        <n x="4" s="1"/>
        <n x="104"/>
        <n x="98"/>
        <n x="128"/>
      </t>
    </mdx>
    <mdx n="0" f="v">
      <t c="8">
        <n x="1" s="1"/>
        <n x="2" s="1"/>
        <n x="5" s="1"/>
        <n x="3" s="1"/>
        <n x="4" s="1"/>
        <n x="104"/>
        <n x="98"/>
        <n x="116"/>
      </t>
    </mdx>
    <mdx n="0" f="v">
      <t c="8">
        <n x="1" s="1"/>
        <n x="2" s="1"/>
        <n x="5" s="1"/>
        <n x="3" s="1"/>
        <n x="4" s="1"/>
        <n x="104"/>
        <n x="98"/>
        <n x="77"/>
      </t>
    </mdx>
    <mdx n="0" f="v">
      <t c="8">
        <n x="1" s="1"/>
        <n x="2" s="1"/>
        <n x="5" s="1"/>
        <n x="3" s="1"/>
        <n x="4" s="1"/>
        <n x="104"/>
        <n x="111"/>
        <n x="108"/>
      </t>
    </mdx>
    <mdx n="0" f="v">
      <t c="8">
        <n x="1" s="1"/>
        <n x="2" s="1"/>
        <n x="5" s="1"/>
        <n x="3" s="1"/>
        <n x="4" s="1"/>
        <n x="104"/>
        <n x="111"/>
        <n x="94"/>
      </t>
    </mdx>
    <mdx n="0" f="v">
      <t c="8">
        <n x="1" s="1"/>
        <n x="2" s="1"/>
        <n x="5" s="1"/>
        <n x="3" s="1"/>
        <n x="4" s="1"/>
        <n x="104"/>
        <n x="111"/>
        <n x="54"/>
      </t>
    </mdx>
    <mdx n="0" f="v">
      <t c="8">
        <n x="1" s="1"/>
        <n x="2" s="1"/>
        <n x="5" s="1"/>
        <n x="3" s="1"/>
        <n x="4" s="1"/>
        <n x="104"/>
        <n x="117"/>
        <n x="102"/>
      </t>
    </mdx>
    <mdx n="0" f="v">
      <t c="8">
        <n x="1" s="1"/>
        <n x="2" s="1"/>
        <n x="5" s="1"/>
        <n x="3" s="1"/>
        <n x="4" s="1"/>
        <n x="104"/>
        <n x="117"/>
        <n x="58"/>
      </t>
    </mdx>
    <mdx n="0" f="v">
      <t c="8">
        <n x="1" s="1"/>
        <n x="2" s="1"/>
        <n x="5" s="1"/>
        <n x="3" s="1"/>
        <n x="4" s="1"/>
        <n x="104"/>
        <n x="117"/>
        <n x="155"/>
      </t>
    </mdx>
    <mdx n="0" f="v">
      <t c="8">
        <n x="1" s="1"/>
        <n x="2" s="1"/>
        <n x="5" s="1"/>
        <n x="3" s="1"/>
        <n x="4" s="1"/>
        <n x="104"/>
        <n x="130"/>
        <n x="13"/>
      </t>
    </mdx>
    <mdx n="0" f="v">
      <t c="8">
        <n x="1" s="1"/>
        <n x="2" s="1"/>
        <n x="5" s="1"/>
        <n x="3" s="1"/>
        <n x="4" s="1"/>
        <n x="104"/>
        <n x="130"/>
        <n x="14"/>
      </t>
    </mdx>
    <mdx n="0" f="v">
      <t c="8">
        <n x="1" s="1"/>
        <n x="2" s="1"/>
        <n x="5" s="1"/>
        <n x="3" s="1"/>
        <n x="4" s="1"/>
        <n x="104"/>
        <n x="130"/>
        <n x="15"/>
      </t>
    </mdx>
    <mdx n="0" f="v">
      <t c="8">
        <n x="1" s="1"/>
        <n x="2" s="1"/>
        <n x="5" s="1"/>
        <n x="3" s="1"/>
        <n x="4" s="1"/>
        <n x="104"/>
        <n x="8"/>
        <n x="75"/>
      </t>
    </mdx>
    <mdx n="0" f="v">
      <t c="8">
        <n x="1" s="1"/>
        <n x="2" s="1"/>
        <n x="5" s="1"/>
        <n x="3" s="1"/>
        <n x="4" s="1"/>
        <n x="104"/>
        <n x="8"/>
        <n x="48"/>
      </t>
    </mdx>
    <mdx n="0" f="v">
      <t c="8">
        <n x="1" s="1"/>
        <n x="2" s="1"/>
        <n x="5" s="1"/>
        <n x="3" s="1"/>
        <n x="4" s="1"/>
        <n x="104"/>
        <n x="8"/>
        <n x="141"/>
      </t>
    </mdx>
    <mdx n="0" f="v">
      <t c="8">
        <n x="1" s="1"/>
        <n x="2" s="1"/>
        <n x="5" s="1"/>
        <n x="3" s="1"/>
        <n x="4" s="1"/>
        <n x="104"/>
        <n x="23"/>
        <n x="56"/>
      </t>
    </mdx>
    <mdx n="0" f="v">
      <t c="8">
        <n x="1" s="1"/>
        <n x="2" s="1"/>
        <n x="5" s="1"/>
        <n x="3" s="1"/>
        <n x="4" s="1"/>
        <n x="104"/>
        <n x="23"/>
        <n x="147"/>
      </t>
    </mdx>
    <mdx n="0" f="v">
      <t c="8">
        <n x="1" s="1"/>
        <n x="2" s="1"/>
        <n x="5" s="1"/>
        <n x="3" s="1"/>
        <n x="4" s="1"/>
        <n x="104"/>
        <n x="23"/>
        <n x="119"/>
      </t>
    </mdx>
    <mdx n="0" f="v">
      <t c="8">
        <n x="1" s="1"/>
        <n x="2" s="1"/>
        <n x="5" s="1"/>
        <n x="3" s="1"/>
        <n x="4" s="1"/>
        <n x="104"/>
        <n x="23"/>
        <n x="86"/>
      </t>
    </mdx>
    <mdx n="0" f="v">
      <t c="8">
        <n x="1" s="1"/>
        <n x="2" s="1"/>
        <n x="5" s="1"/>
        <n x="3" s="1"/>
        <n x="4" s="1"/>
        <n x="104"/>
        <n x="17"/>
        <n x="109"/>
      </t>
    </mdx>
    <mdx n="0" f="v">
      <t c="8">
        <n x="1" s="1"/>
        <n x="2" s="1"/>
        <n x="5" s="1"/>
        <n x="3" s="1"/>
        <n x="4" s="1"/>
        <n x="104"/>
        <n x="17"/>
        <n x="103"/>
      </t>
    </mdx>
    <mdx n="0" f="v">
      <t c="8">
        <n x="1" s="1"/>
        <n x="2" s="1"/>
        <n x="5" s="1"/>
        <n x="3" s="1"/>
        <n x="4" s="1"/>
        <n x="104"/>
        <n x="17"/>
        <n x="69"/>
      </t>
    </mdx>
    <mdx n="0" f="v">
      <t c="8">
        <n x="1" s="1"/>
        <n x="2" s="1"/>
        <n x="5" s="1"/>
        <n x="3" s="1"/>
        <n x="4" s="1"/>
        <n x="104"/>
        <n x="126"/>
        <n x="115"/>
      </t>
    </mdx>
    <mdx n="0" f="v">
      <t c="8">
        <n x="1" s="1"/>
        <n x="2" s="1"/>
        <n x="5" s="1"/>
        <n x="3" s="1"/>
        <n x="4" s="1"/>
        <n x="104"/>
        <n x="126"/>
        <n x="76"/>
      </t>
    </mdx>
    <mdx n="0" f="v">
      <t c="8">
        <n x="1" s="1"/>
        <n x="2" s="1"/>
        <n x="5" s="1"/>
        <n x="3" s="1"/>
        <n x="4" s="1"/>
        <n x="104"/>
        <n x="126"/>
        <n x="49"/>
      </t>
    </mdx>
    <mdx n="0" f="v">
      <t c="8">
        <n x="1" s="1"/>
        <n x="2" s="1"/>
        <n x="5" s="1"/>
        <n x="3" s="1"/>
        <n x="4" s="1"/>
        <n x="104"/>
        <n x="138"/>
        <n x="28"/>
      </t>
    </mdx>
    <mdx n="0" f="v">
      <t c="8">
        <n x="1" s="1"/>
        <n x="2" s="1"/>
        <n x="5" s="1"/>
        <n x="3" s="1"/>
        <n x="4" s="1"/>
        <n x="104"/>
        <n x="138"/>
        <n x="29"/>
      </t>
    </mdx>
    <mdx n="0" f="v">
      <t c="8">
        <n x="1" s="1"/>
        <n x="2" s="1"/>
        <n x="5" s="1"/>
        <n x="3" s="1"/>
        <n x="4" s="1"/>
        <n x="104"/>
        <n x="138"/>
        <n x="16"/>
      </t>
    </mdx>
    <mdx n="0" f="v">
      <t c="8">
        <n x="1" s="1"/>
        <n x="2" s="1"/>
        <n x="5" s="1"/>
        <n x="3" s="1"/>
        <n x="4" s="1"/>
        <n x="104"/>
        <n x="143"/>
        <n x="84"/>
      </t>
    </mdx>
    <mdx n="0" f="v">
      <t c="8">
        <n x="1" s="1"/>
        <n x="2" s="1"/>
        <n x="5" s="1"/>
        <n x="3" s="1"/>
        <n x="4" s="1"/>
        <n x="104"/>
        <n x="143"/>
        <n x="160"/>
      </t>
    </mdx>
    <mdx n="0" f="v">
      <t c="8">
        <n x="1" s="1"/>
        <n x="2" s="1"/>
        <n x="5" s="1"/>
        <n x="3" s="1"/>
        <n x="4" s="1"/>
        <n x="104"/>
        <n x="143"/>
        <n x="148"/>
      </t>
    </mdx>
    <mdx n="0" f="v">
      <t c="8">
        <n x="1" s="1"/>
        <n x="2" s="1"/>
        <n x="5" s="1"/>
        <n x="3" s="1"/>
        <n x="4" s="1"/>
        <n x="104"/>
        <n x="163" s="1"/>
        <n x="115"/>
      </t>
    </mdx>
    <mdx n="0" f="v">
      <t c="8">
        <n x="1" s="1"/>
        <n x="2" s="1"/>
        <n x="5" s="1"/>
        <n x="3" s="1"/>
        <n x="4" s="1"/>
        <n x="104"/>
        <n x="163" s="1"/>
        <n x="76"/>
      </t>
    </mdx>
    <mdx n="0" f="v">
      <t c="8">
        <n x="1" s="1"/>
        <n x="2" s="1"/>
        <n x="5" s="1"/>
        <n x="3" s="1"/>
        <n x="4" s="1"/>
        <n x="104"/>
        <n x="163" s="1"/>
        <n x="49"/>
      </t>
    </mdx>
    <mdx n="0" f="v">
      <t c="8">
        <n x="1" s="1"/>
        <n x="2" s="1"/>
        <n x="5" s="1"/>
        <n x="3" s="1"/>
        <n x="4" s="1"/>
        <n x="104"/>
        <n x="60"/>
        <n x="28"/>
      </t>
    </mdx>
    <mdx n="0" f="v">
      <t c="8">
        <n x="1" s="1"/>
        <n x="2" s="1"/>
        <n x="5" s="1"/>
        <n x="3" s="1"/>
        <n x="4" s="1"/>
        <n x="104"/>
        <n x="60"/>
        <n x="29"/>
      </t>
    </mdx>
    <mdx n="0" f="v">
      <t c="8">
        <n x="1" s="1"/>
        <n x="2" s="1"/>
        <n x="5" s="1"/>
        <n x="3" s="1"/>
        <n x="4" s="1"/>
        <n x="104"/>
        <n x="60"/>
        <n x="16"/>
      </t>
    </mdx>
    <mdx n="0" f="v">
      <t c="8">
        <n x="1" s="1"/>
        <n x="2" s="1"/>
        <n x="5" s="1"/>
        <n x="3" s="1"/>
        <n x="4" s="1"/>
        <n x="104"/>
        <n x="6"/>
        <n x="84"/>
      </t>
    </mdx>
    <mdx n="0" f="v">
      <t c="8">
        <n x="1" s="1"/>
        <n x="2" s="1"/>
        <n x="5" s="1"/>
        <n x="3" s="1"/>
        <n x="4" s="1"/>
        <n x="104"/>
        <n x="6"/>
        <n x="160"/>
      </t>
    </mdx>
    <mdx n="0" f="v">
      <t c="8">
        <n x="1" s="1"/>
        <n x="2" s="1"/>
        <n x="5" s="1"/>
        <n x="3" s="1"/>
        <n x="4" s="1"/>
        <n x="104"/>
        <n x="6"/>
        <n x="148"/>
      </t>
    </mdx>
    <mdx n="0" f="v">
      <t c="8">
        <n x="1" s="1"/>
        <n x="2" s="1"/>
        <n x="5" s="1"/>
        <n x="3" s="1"/>
        <n x="4" s="1"/>
        <n x="104"/>
        <n x="21"/>
        <n x="62"/>
      </t>
    </mdx>
    <mdx n="0" f="v">
      <t c="8">
        <n x="1" s="1"/>
        <n x="2" s="1"/>
        <n x="5" s="1"/>
        <n x="3" s="1"/>
        <n x="4" s="1"/>
        <n x="104"/>
        <n x="21"/>
        <n x="59"/>
      </t>
    </mdx>
    <mdx n="0" f="v">
      <t c="8">
        <n x="1" s="1"/>
        <n x="2" s="1"/>
        <n x="5" s="1"/>
        <n x="3" s="1"/>
        <n x="4" s="1"/>
        <n x="104"/>
        <n x="21"/>
        <n x="122"/>
      </t>
    </mdx>
    <mdx n="0" f="v">
      <t c="8">
        <n x="1" s="1"/>
        <n x="2" s="1"/>
        <n x="5" s="1"/>
        <n x="3" s="1"/>
        <n x="4" s="1"/>
        <n x="104"/>
        <n x="21"/>
        <n x="95"/>
      </t>
    </mdx>
    <mdx n="0" f="v">
      <t c="8">
        <n x="1" s="1"/>
        <n x="2" s="1"/>
        <n x="5" s="1"/>
        <n x="3" s="1"/>
        <n x="4" s="1"/>
        <n x="104"/>
        <n x="34"/>
        <n x="43"/>
      </t>
    </mdx>
    <mdx n="0" f="v">
      <t c="8">
        <n x="1" s="1"/>
        <n x="2" s="1"/>
        <n x="5" s="1"/>
        <n x="3" s="1"/>
        <n x="4" s="1"/>
        <n x="104"/>
        <n x="34"/>
        <n x="44"/>
      </t>
    </mdx>
    <mdx n="0" f="v">
      <t c="8">
        <n x="1" s="1"/>
        <n x="2" s="1"/>
        <n x="5" s="1"/>
        <n x="3" s="1"/>
        <n x="4" s="1"/>
        <n x="104"/>
        <n x="34"/>
        <n x="45"/>
      </t>
    </mdx>
    <mdx n="0" f="v">
      <t c="8">
        <n x="1" s="1"/>
        <n x="2" s="1"/>
        <n x="5" s="1"/>
        <n x="3" s="1"/>
        <n x="4" s="1"/>
        <n x="104"/>
        <n x="65"/>
        <n x="107"/>
      </t>
    </mdx>
    <mdx n="0" f="v">
      <t c="8">
        <n x="1" s="1"/>
        <n x="2" s="1"/>
        <n x="5" s="1"/>
        <n x="3" s="1"/>
        <n x="4" s="1"/>
        <n x="104"/>
        <n x="65"/>
        <n x="85"/>
      </t>
    </mdx>
    <mdx n="0" f="v">
      <t c="8">
        <n x="1" s="1"/>
        <n x="2" s="1"/>
        <n x="5" s="1"/>
        <n x="3" s="1"/>
        <n x="4" s="1"/>
        <n x="104"/>
        <n x="65"/>
        <n x="52"/>
      </t>
    </mdx>
    <mdx n="0" f="v">
      <t c="8">
        <n x="1" s="1"/>
        <n x="2" s="1"/>
        <n x="5" s="1"/>
        <n x="3" s="1"/>
        <n x="4" s="1"/>
        <n x="104"/>
        <n x="70"/>
        <n x="19"/>
      </t>
    </mdx>
    <mdx n="0" f="v">
      <t c="8">
        <n x="1" s="1"/>
        <n x="2" s="1"/>
        <n x="5" s="1"/>
        <n x="3" s="1"/>
        <n x="4" s="1"/>
        <n x="104"/>
        <n x="70"/>
        <n x="20"/>
      </t>
    </mdx>
    <mdx n="0" f="v">
      <t c="8">
        <n x="1" s="1"/>
        <n x="2" s="1"/>
        <n x="5" s="1"/>
        <n x="3" s="1"/>
        <n x="4" s="1"/>
        <n x="104"/>
        <n x="70"/>
        <n x="33"/>
      </t>
    </mdx>
    <mdx n="0" f="v">
      <t c="8">
        <n x="1" s="1"/>
        <n x="2" s="1"/>
        <n x="5" s="1"/>
        <n x="3" s="1"/>
        <n x="4" s="1"/>
        <n x="104"/>
        <n x="79"/>
        <n x="93"/>
      </t>
    </mdx>
    <mdx n="0" f="v">
      <t c="8">
        <n x="1" s="1"/>
        <n x="2" s="1"/>
        <n x="5" s="1"/>
        <n x="3" s="1"/>
        <n x="4" s="1"/>
        <n x="104"/>
        <n x="79"/>
        <n x="162"/>
      </t>
    </mdx>
    <mdx n="0" f="v">
      <t c="8">
        <n x="1" s="1"/>
        <n x="2" s="1"/>
        <n x="5" s="1"/>
        <n x="3" s="1"/>
        <n x="4" s="1"/>
        <n x="104"/>
        <n x="79"/>
        <n x="87"/>
      </t>
    </mdx>
    <mdx n="0" f="v">
      <t c="8">
        <n x="1" s="1"/>
        <n x="2" s="1"/>
        <n x="5" s="1"/>
        <n x="3" s="1"/>
        <n x="4" s="1"/>
        <n x="104"/>
        <n x="88"/>
        <n x="63"/>
      </t>
    </mdx>
    <mdx n="0" f="v">
      <t c="8">
        <n x="1" s="1"/>
        <n x="2" s="1"/>
        <n x="5" s="1"/>
        <n x="3" s="1"/>
        <n x="4" s="1"/>
        <n x="104"/>
        <n x="88"/>
        <n x="154"/>
      </t>
    </mdx>
    <mdx n="0" f="v">
      <t c="8">
        <n x="1" s="1"/>
        <n x="2" s="1"/>
        <n x="5" s="1"/>
        <n x="3" s="1"/>
        <n x="4" s="1"/>
        <n x="104"/>
        <n x="88"/>
        <n x="127"/>
      </t>
    </mdx>
    <mdx n="0" f="v">
      <t c="8">
        <n x="1" s="1"/>
        <n x="2" s="1"/>
        <n x="5" s="1"/>
        <n x="3" s="1"/>
        <n x="4" s="1"/>
        <n x="104"/>
        <n x="97"/>
        <n x="164" s="1"/>
      </t>
    </mdx>
    <mdx n="0" f="v">
      <t c="8">
        <n x="1" s="1"/>
        <n x="2" s="1"/>
        <n x="5" s="1"/>
        <n x="3" s="1"/>
        <n x="4" s="1"/>
        <n x="104"/>
        <n x="97"/>
        <n x="128"/>
      </t>
    </mdx>
    <mdx n="0" f="v">
      <t c="8">
        <n x="1" s="1"/>
        <n x="2" s="1"/>
        <n x="5" s="1"/>
        <n x="3" s="1"/>
        <n x="4" s="1"/>
        <n x="104"/>
        <n x="97"/>
        <n x="116"/>
      </t>
    </mdx>
    <mdx n="0" f="v">
      <t c="8">
        <n x="1" s="1"/>
        <n x="2" s="1"/>
        <n x="5" s="1"/>
        <n x="3" s="1"/>
        <n x="4" s="1"/>
        <n x="104"/>
        <n x="97"/>
        <n x="77"/>
      </t>
    </mdx>
    <mdx n="0" f="v">
      <t c="8">
        <n x="1" s="1"/>
        <n x="2" s="1"/>
        <n x="5" s="1"/>
        <n x="3" s="1"/>
        <n x="4" s="1"/>
        <n x="104"/>
        <n x="36"/>
        <n x="108"/>
      </t>
    </mdx>
    <mdx n="0" f="v">
      <t c="8">
        <n x="1" s="1"/>
        <n x="2" s="1"/>
        <n x="5" s="1"/>
        <n x="3" s="1"/>
        <n x="4" s="1"/>
        <n x="104"/>
        <n x="36"/>
        <n x="94"/>
      </t>
    </mdx>
    <mdx n="0" f="v">
      <t c="8">
        <n x="1" s="1"/>
        <n x="2" s="1"/>
        <n x="5" s="1"/>
        <n x="3" s="1"/>
        <n x="4" s="1"/>
        <n x="104"/>
        <n x="36"/>
        <n x="54"/>
      </t>
    </mdx>
    <mdx n="0" f="v">
      <t c="8">
        <n x="1" s="1"/>
        <n x="2" s="1"/>
        <n x="5" s="1"/>
        <n x="3" s="1"/>
        <n x="4" s="1"/>
        <n x="104"/>
        <n x="110"/>
        <n x="102"/>
      </t>
    </mdx>
    <mdx n="0" f="v">
      <t c="8">
        <n x="1" s="1"/>
        <n x="2" s="1"/>
        <n x="5" s="1"/>
        <n x="3" s="1"/>
        <n x="4" s="1"/>
        <n x="104"/>
        <n x="110"/>
        <n x="58"/>
      </t>
    </mdx>
    <mdx n="0" f="v">
      <t c="8">
        <n x="1" s="1"/>
        <n x="2" s="1"/>
        <n x="5" s="1"/>
        <n x="3" s="1"/>
        <n x="4" s="1"/>
        <n x="104"/>
        <n x="110"/>
        <n x="155"/>
      </t>
    </mdx>
    <mdx n="0" f="v">
      <t c="8">
        <n x="1" s="1"/>
        <n x="2" s="1"/>
        <n x="5" s="1"/>
        <n x="3" s="1"/>
        <n x="4" s="1"/>
        <n x="104"/>
        <n x="105"/>
        <n x="13"/>
      </t>
    </mdx>
    <mdx n="0" f="v">
      <t c="8">
        <n x="1" s="1"/>
        <n x="2" s="1"/>
        <n x="5" s="1"/>
        <n x="3" s="1"/>
        <n x="4" s="1"/>
        <n x="104"/>
        <n x="105"/>
        <n x="14"/>
      </t>
    </mdx>
    <mdx n="0" f="v">
      <t c="8">
        <n x="1" s="1"/>
        <n x="2" s="1"/>
        <n x="5" s="1"/>
        <n x="3" s="1"/>
        <n x="4" s="1"/>
        <n x="104"/>
        <n x="105"/>
        <n x="15"/>
      </t>
    </mdx>
    <mdx n="0" f="v">
      <t c="8">
        <n x="1" s="1"/>
        <n x="2" s="1"/>
        <n x="5" s="1"/>
        <n x="3" s="1"/>
        <n x="4" s="1"/>
        <n x="104"/>
        <n x="120"/>
        <n x="75"/>
      </t>
    </mdx>
    <mdx n="0" f="v">
      <t c="8">
        <n x="1" s="1"/>
        <n x="2" s="1"/>
        <n x="5" s="1"/>
        <n x="3" s="1"/>
        <n x="4" s="1"/>
        <n x="104"/>
        <n x="120"/>
        <n x="48"/>
      </t>
    </mdx>
    <mdx n="0" f="v">
      <t c="8">
        <n x="1" s="1"/>
        <n x="2" s="1"/>
        <n x="5" s="1"/>
        <n x="3" s="1"/>
        <n x="4" s="1"/>
        <n x="104"/>
        <n x="120"/>
        <n x="141"/>
      </t>
    </mdx>
    <mdx n="0" f="v">
      <t c="8">
        <n x="1" s="1"/>
        <n x="2" s="1"/>
        <n x="5" s="1"/>
        <n x="3" s="1"/>
        <n x="4" s="1"/>
        <n x="104"/>
        <n x="133"/>
        <n x="56"/>
      </t>
    </mdx>
    <mdx n="0" f="v">
      <t c="8">
        <n x="1" s="1"/>
        <n x="2" s="1"/>
        <n x="5" s="1"/>
        <n x="3" s="1"/>
        <n x="4" s="1"/>
        <n x="104"/>
        <n x="133"/>
        <n x="147"/>
      </t>
    </mdx>
    <mdx n="0" f="v">
      <t c="8">
        <n x="1" s="1"/>
        <n x="2" s="1"/>
        <n x="5" s="1"/>
        <n x="3" s="1"/>
        <n x="4" s="1"/>
        <n x="104"/>
        <n x="133"/>
        <n x="119"/>
      </t>
    </mdx>
    <mdx n="0" f="v">
      <t c="8">
        <n x="1" s="1"/>
        <n x="2" s="1"/>
        <n x="5" s="1"/>
        <n x="3" s="1"/>
        <n x="4" s="1"/>
        <n x="104"/>
        <n x="133"/>
        <n x="86"/>
      </t>
    </mdx>
    <mdx n="0" f="v">
      <t c="8">
        <n x="1" s="1"/>
        <n x="2" s="1"/>
        <n x="5" s="1"/>
        <n x="3" s="1"/>
        <n x="4" s="1"/>
        <n x="104"/>
        <n x="137"/>
        <n x="109"/>
      </t>
    </mdx>
    <mdx n="0" f="v">
      <t c="8">
        <n x="1" s="1"/>
        <n x="2" s="1"/>
        <n x="5" s="1"/>
        <n x="3" s="1"/>
        <n x="4" s="1"/>
        <n x="104"/>
        <n x="137"/>
        <n x="103"/>
      </t>
    </mdx>
    <mdx n="0" f="v">
      <t c="8">
        <n x="1" s="1"/>
        <n x="2" s="1"/>
        <n x="5" s="1"/>
        <n x="3" s="1"/>
        <n x="4" s="1"/>
        <n x="104"/>
        <n x="137"/>
        <n x="69"/>
      </t>
    </mdx>
    <mdx n="0" f="v">
      <t c="8">
        <n x="1" s="1"/>
        <n x="2" s="1"/>
        <n x="5" s="1"/>
        <n x="3" s="1"/>
        <n x="4" s="1"/>
        <n x="104"/>
        <n x="142"/>
        <n x="115"/>
      </t>
    </mdx>
    <mdx n="0" f="v">
      <t c="8">
        <n x="1" s="1"/>
        <n x="2" s="1"/>
        <n x="5" s="1"/>
        <n x="3" s="1"/>
        <n x="4" s="1"/>
        <n x="104"/>
        <n x="142"/>
        <n x="76"/>
      </t>
    </mdx>
    <mdx n="0" f="v">
      <t c="8">
        <n x="1" s="1"/>
        <n x="2" s="1"/>
        <n x="5" s="1"/>
        <n x="3" s="1"/>
        <n x="4" s="1"/>
        <n x="104"/>
        <n x="142"/>
        <n x="49"/>
      </t>
    </mdx>
    <mdx n="0" f="v">
      <t c="8">
        <n x="1" s="1"/>
        <n x="2" s="1"/>
        <n x="5" s="1"/>
        <n x="3" s="1"/>
        <n x="4" s="1"/>
        <n x="104"/>
        <n x="78"/>
        <n x="28"/>
      </t>
    </mdx>
    <mdx n="0" f="v">
      <t c="8">
        <n x="1" s="1"/>
        <n x="2" s="1"/>
        <n x="5" s="1"/>
        <n x="3" s="1"/>
        <n x="4" s="1"/>
        <n x="104"/>
        <n x="78"/>
        <n x="29"/>
      </t>
    </mdx>
    <mdx n="0" f="v">
      <t c="8">
        <n x="1" s="1"/>
        <n x="2" s="1"/>
        <n x="5" s="1"/>
        <n x="3" s="1"/>
        <n x="4" s="1"/>
        <n x="104"/>
        <n x="78"/>
        <n x="16"/>
      </t>
    </mdx>
    <mdx n="0" f="v">
      <t c="8">
        <n x="1" s="1"/>
        <n x="2" s="1"/>
        <n x="5" s="1"/>
        <n x="3" s="1"/>
        <n x="4" s="1"/>
        <n x="104"/>
        <n x="7"/>
        <n x="84"/>
      </t>
    </mdx>
    <mdx n="0" f="v">
      <t c="8">
        <n x="1" s="1"/>
        <n x="2" s="1"/>
        <n x="5" s="1"/>
        <n x="3" s="1"/>
        <n x="4" s="1"/>
        <n x="104"/>
        <n x="7"/>
        <n x="160"/>
      </t>
    </mdx>
    <mdx n="0" f="v">
      <t c="8">
        <n x="1" s="1"/>
        <n x="2" s="1"/>
        <n x="5" s="1"/>
        <n x="3" s="1"/>
        <n x="4" s="1"/>
        <n x="104"/>
        <n x="7"/>
        <n x="148"/>
      </t>
    </mdx>
    <mdx n="0" f="v">
      <t c="8">
        <n x="1" s="1"/>
        <n x="2" s="1"/>
        <n x="5" s="1"/>
        <n x="3" s="1"/>
        <n x="4" s="1"/>
        <n x="104"/>
        <n x="22"/>
        <n x="62"/>
      </t>
    </mdx>
    <mdx n="0" f="v">
      <t c="8">
        <n x="1" s="1"/>
        <n x="2" s="1"/>
        <n x="5" s="1"/>
        <n x="3" s="1"/>
        <n x="4" s="1"/>
        <n x="104"/>
        <n x="22"/>
        <n x="59"/>
      </t>
    </mdx>
    <mdx n="0" f="v">
      <t c="8">
        <n x="1" s="1"/>
        <n x="2" s="1"/>
        <n x="5" s="1"/>
        <n x="3" s="1"/>
        <n x="4" s="1"/>
        <n x="104"/>
        <n x="22"/>
        <n x="122"/>
      </t>
    </mdx>
    <mdx n="0" f="v">
      <t c="8">
        <n x="1" s="1"/>
        <n x="2" s="1"/>
        <n x="5" s="1"/>
        <n x="3" s="1"/>
        <n x="4" s="1"/>
        <n x="104"/>
        <n x="22"/>
        <n x="95"/>
      </t>
    </mdx>
    <mdx n="0" f="v">
      <t c="8">
        <n x="1" s="1"/>
        <n x="2" s="1"/>
        <n x="5" s="1"/>
        <n x="3" s="1"/>
        <n x="4" s="1"/>
        <n x="104"/>
        <n x="30"/>
        <n x="43"/>
      </t>
    </mdx>
    <mdx n="0" f="v">
      <t c="8">
        <n x="1" s="1"/>
        <n x="2" s="1"/>
        <n x="5" s="1"/>
        <n x="3" s="1"/>
        <n x="4" s="1"/>
        <n x="104"/>
        <n x="30"/>
        <n x="44"/>
      </t>
    </mdx>
    <mdx n="0" f="v">
      <t c="8">
        <n x="1" s="1"/>
        <n x="2" s="1"/>
        <n x="5" s="1"/>
        <n x="3" s="1"/>
        <n x="4" s="1"/>
        <n x="104"/>
        <n x="30"/>
        <n x="45"/>
      </t>
    </mdx>
    <mdx n="0" f="v">
      <t c="8">
        <n x="1" s="1"/>
        <n x="2" s="1"/>
        <n x="5" s="1"/>
        <n x="3" s="1"/>
        <n x="4" s="1"/>
        <n x="104"/>
        <n x="149"/>
        <n x="107"/>
      </t>
    </mdx>
    <mdx n="0" f="v">
      <t c="8">
        <n x="1" s="1"/>
        <n x="2" s="1"/>
        <n x="5" s="1"/>
        <n x="3" s="1"/>
        <n x="4" s="1"/>
        <n x="104"/>
        <n x="149"/>
        <n x="85"/>
      </t>
    </mdx>
    <mdx n="0" f="v">
      <t c="8">
        <n x="1" s="1"/>
        <n x="2" s="1"/>
        <n x="5" s="1"/>
        <n x="3" s="1"/>
        <n x="4" s="1"/>
        <n x="104"/>
        <n x="149"/>
        <n x="52"/>
      </t>
    </mdx>
    <mdx n="0" f="v">
      <t c="8">
        <n x="1" s="1"/>
        <n x="2" s="1"/>
        <n x="5" s="1"/>
        <n x="3" s="1"/>
        <n x="4" s="1"/>
        <n x="104"/>
        <n x="156"/>
        <n x="19"/>
      </t>
    </mdx>
    <mdx n="0" f="v">
      <t c="8">
        <n x="1" s="1"/>
        <n x="2" s="1"/>
        <n x="5" s="1"/>
        <n x="3" s="1"/>
        <n x="4" s="1"/>
        <n x="104"/>
        <n x="156"/>
        <n x="20"/>
      </t>
    </mdx>
    <mdx n="0" f="v">
      <t c="8">
        <n x="1" s="1"/>
        <n x="2" s="1"/>
        <n x="5" s="1"/>
        <n x="3" s="1"/>
        <n x="4" s="1"/>
        <n x="104"/>
        <n x="156"/>
        <n x="33"/>
      </t>
    </mdx>
    <mdx n="0" f="v">
      <t c="8">
        <n x="1" s="1"/>
        <n x="2" s="1"/>
        <n x="5" s="1"/>
        <n x="3" s="1"/>
        <n x="4" s="1"/>
        <n x="104"/>
        <n x="158"/>
        <n x="93"/>
      </t>
    </mdx>
    <mdx n="0" f="v">
      <t c="8">
        <n x="1" s="1"/>
        <n x="2" s="1"/>
        <n x="5" s="1"/>
        <n x="3" s="1"/>
        <n x="4" s="1"/>
        <n x="104"/>
        <n x="158"/>
        <n x="162"/>
      </t>
    </mdx>
    <mdx n="0" f="v">
      <t c="8">
        <n x="1" s="1"/>
        <n x="2" s="1"/>
        <n x="5" s="1"/>
        <n x="3" s="1"/>
        <n x="4" s="1"/>
        <n x="104"/>
        <n x="158"/>
        <n x="87"/>
      </t>
    </mdx>
    <mdx n="0" f="v">
      <t c="8">
        <n x="1" s="1"/>
        <n x="2" s="1"/>
        <n x="5" s="1"/>
        <n x="3" s="1"/>
        <n x="4" s="1"/>
        <n x="104"/>
        <n x="161"/>
        <n x="63"/>
      </t>
    </mdx>
    <mdx n="0" f="v">
      <t c="8">
        <n x="1" s="1"/>
        <n x="2" s="1"/>
        <n x="5" s="1"/>
        <n x="3" s="1"/>
        <n x="4" s="1"/>
        <n x="104"/>
        <n x="161"/>
        <n x="154"/>
      </t>
    </mdx>
    <mdx n="0" f="v">
      <t c="8">
        <n x="1" s="1"/>
        <n x="2" s="1"/>
        <n x="5" s="1"/>
        <n x="3" s="1"/>
        <n x="4" s="1"/>
        <n x="104"/>
        <n x="161"/>
        <n x="127"/>
      </t>
    </mdx>
    <mdx n="0" f="v">
      <t c="8">
        <n x="1" s="1"/>
        <n x="2" s="1"/>
        <n x="5" s="1"/>
        <n x="3" s="1"/>
        <n x="4" s="1"/>
        <n x="104"/>
        <n x="66"/>
        <n x="164" s="1"/>
      </t>
    </mdx>
    <mdx n="0" f="v">
      <t c="8">
        <n x="1" s="1"/>
        <n x="2" s="1"/>
        <n x="5" s="1"/>
        <n x="3" s="1"/>
        <n x="4" s="1"/>
        <n x="104"/>
        <n x="66"/>
        <n x="128"/>
      </t>
    </mdx>
    <mdx n="0" f="v">
      <t c="8">
        <n x="1" s="1"/>
        <n x="2" s="1"/>
        <n x="5" s="1"/>
        <n x="3" s="1"/>
        <n x="4" s="1"/>
        <n x="104"/>
        <n x="66"/>
        <n x="116"/>
      </t>
    </mdx>
    <mdx n="0" f="v">
      <t c="8">
        <n x="1" s="1"/>
        <n x="2" s="1"/>
        <n x="5" s="1"/>
        <n x="3" s="1"/>
        <n x="4" s="1"/>
        <n x="104"/>
        <n x="66"/>
        <n x="77"/>
      </t>
    </mdx>
    <mdx n="0" f="v">
      <t c="8">
        <n x="1" s="1"/>
        <n x="2" s="1"/>
        <n x="5" s="1"/>
        <n x="3" s="1"/>
        <n x="4" s="1"/>
        <n x="104"/>
        <n x="37"/>
        <n x="108"/>
      </t>
    </mdx>
    <mdx n="0" f="v">
      <t c="8">
        <n x="1" s="1"/>
        <n x="2" s="1"/>
        <n x="5" s="1"/>
        <n x="3" s="1"/>
        <n x="4" s="1"/>
        <n x="104"/>
        <n x="37"/>
        <n x="94"/>
      </t>
    </mdx>
    <mdx n="0" f="v">
      <t c="8">
        <n x="1" s="1"/>
        <n x="2" s="1"/>
        <n x="5" s="1"/>
        <n x="3" s="1"/>
        <n x="4" s="1"/>
        <n x="104"/>
        <n x="37"/>
        <n x="54"/>
      </t>
    </mdx>
    <mdx n="0" f="v">
      <t c="8">
        <n x="1" s="1"/>
        <n x="2" s="1"/>
        <n x="5" s="1"/>
        <n x="3" s="1"/>
        <n x="4" s="1"/>
        <n x="104"/>
        <n x="71"/>
        <n x="102"/>
      </t>
    </mdx>
    <mdx n="0" f="v">
      <t c="8">
        <n x="1" s="1"/>
        <n x="2" s="1"/>
        <n x="5" s="1"/>
        <n x="3" s="1"/>
        <n x="4" s="1"/>
        <n x="104"/>
        <n x="71"/>
        <n x="58"/>
      </t>
    </mdx>
    <mdx n="0" f="v">
      <t c="8">
        <n x="1" s="1"/>
        <n x="2" s="1"/>
        <n x="5" s="1"/>
        <n x="3" s="1"/>
        <n x="4" s="1"/>
        <n x="104"/>
        <n x="71"/>
        <n x="155"/>
      </t>
    </mdx>
    <mdx n="0" f="v">
      <t c="8">
        <n x="1" s="1"/>
        <n x="2" s="1"/>
        <n x="5" s="1"/>
        <n x="3" s="1"/>
        <n x="4" s="1"/>
        <n x="104"/>
        <n x="80"/>
        <n x="13"/>
      </t>
    </mdx>
    <mdx n="0" f="v">
      <t c="8">
        <n x="1" s="1"/>
        <n x="2" s="1"/>
        <n x="5" s="1"/>
        <n x="3" s="1"/>
        <n x="4" s="1"/>
        <n x="104"/>
        <n x="80"/>
        <n x="14"/>
      </t>
    </mdx>
    <mdx n="0" f="v">
      <t c="8">
        <n x="1" s="1"/>
        <n x="2" s="1"/>
        <n x="5" s="1"/>
        <n x="3" s="1"/>
        <n x="4" s="1"/>
        <n x="104"/>
        <n x="80"/>
        <n x="15"/>
      </t>
    </mdx>
    <mdx n="0" f="v">
      <t c="8">
        <n x="1" s="1"/>
        <n x="2" s="1"/>
        <n x="5" s="1"/>
        <n x="3" s="1"/>
        <n x="4" s="1"/>
        <n x="104"/>
        <n x="89"/>
        <n x="75"/>
      </t>
    </mdx>
    <mdx n="0" f="v">
      <t c="8">
        <n x="1" s="1"/>
        <n x="2" s="1"/>
        <n x="5" s="1"/>
        <n x="3" s="1"/>
        <n x="4" s="1"/>
        <n x="104"/>
        <n x="89"/>
        <n x="48"/>
      </t>
    </mdx>
    <mdx n="0" f="v">
      <t c="8">
        <n x="1" s="1"/>
        <n x="2" s="1"/>
        <n x="5" s="1"/>
        <n x="3" s="1"/>
        <n x="4" s="1"/>
        <n x="104"/>
        <n x="89"/>
        <n x="141"/>
      </t>
    </mdx>
    <mdx n="0" f="v">
      <t c="8">
        <n x="1" s="1"/>
        <n x="2" s="1"/>
        <n x="5" s="1"/>
        <n x="3" s="1"/>
        <n x="4" s="1"/>
        <n x="104"/>
        <n x="98"/>
        <n x="56"/>
      </t>
    </mdx>
    <mdx n="0" f="v">
      <t c="8">
        <n x="1" s="1"/>
        <n x="2" s="1"/>
        <n x="5" s="1"/>
        <n x="3" s="1"/>
        <n x="4" s="1"/>
        <n x="104"/>
        <n x="98"/>
        <n x="147"/>
      </t>
    </mdx>
    <mdx n="0" f="v">
      <t c="8">
        <n x="1" s="1"/>
        <n x="2" s="1"/>
        <n x="5" s="1"/>
        <n x="3" s="1"/>
        <n x="4" s="1"/>
        <n x="104"/>
        <n x="98"/>
        <n x="119"/>
      </t>
    </mdx>
    <mdx n="0" f="v">
      <t c="8">
        <n x="1" s="1"/>
        <n x="2" s="1"/>
        <n x="5" s="1"/>
        <n x="3" s="1"/>
        <n x="4" s="1"/>
        <n x="104"/>
        <n x="98"/>
        <n x="86"/>
      </t>
    </mdx>
    <mdx n="0" f="v">
      <t c="8">
        <n x="1" s="1"/>
        <n x="2" s="1"/>
        <n x="5" s="1"/>
        <n x="3" s="1"/>
        <n x="4" s="1"/>
        <n x="104"/>
        <n x="111"/>
        <n x="109"/>
      </t>
    </mdx>
    <mdx n="0" f="v">
      <t c="8">
        <n x="1" s="1"/>
        <n x="2" s="1"/>
        <n x="5" s="1"/>
        <n x="3" s="1"/>
        <n x="4" s="1"/>
        <n x="104"/>
        <n x="111"/>
        <n x="103"/>
      </t>
    </mdx>
    <mdx n="0" f="v">
      <t c="8">
        <n x="1" s="1"/>
        <n x="2" s="1"/>
        <n x="5" s="1"/>
        <n x="3" s="1"/>
        <n x="4" s="1"/>
        <n x="104"/>
        <n x="111"/>
        <n x="69"/>
      </t>
    </mdx>
    <mdx n="0" f="v">
      <t c="8">
        <n x="1" s="1"/>
        <n x="2" s="1"/>
        <n x="5" s="1"/>
        <n x="3" s="1"/>
        <n x="4" s="1"/>
        <n x="104"/>
        <n x="117"/>
        <n x="115"/>
      </t>
    </mdx>
    <mdx n="0" f="v">
      <t c="8">
        <n x="1" s="1"/>
        <n x="2" s="1"/>
        <n x="5" s="1"/>
        <n x="3" s="1"/>
        <n x="4" s="1"/>
        <n x="104"/>
        <n x="117"/>
        <n x="76"/>
      </t>
    </mdx>
    <mdx n="0" f="v">
      <t c="8">
        <n x="1" s="1"/>
        <n x="2" s="1"/>
        <n x="5" s="1"/>
        <n x="3" s="1"/>
        <n x="4" s="1"/>
        <n x="104"/>
        <n x="117"/>
        <n x="49"/>
      </t>
    </mdx>
    <mdx n="0" f="v">
      <t c="8">
        <n x="1" s="1"/>
        <n x="2" s="1"/>
        <n x="5" s="1"/>
        <n x="3" s="1"/>
        <n x="4" s="1"/>
        <n x="104"/>
        <n x="130"/>
        <n x="28"/>
      </t>
    </mdx>
    <mdx n="0" f="v">
      <t c="8">
        <n x="1" s="1"/>
        <n x="2" s="1"/>
        <n x="5" s="1"/>
        <n x="3" s="1"/>
        <n x="4" s="1"/>
        <n x="104"/>
        <n x="130"/>
        <n x="29"/>
      </t>
    </mdx>
    <mdx n="0" f="v">
      <t c="8">
        <n x="1" s="1"/>
        <n x="2" s="1"/>
        <n x="5" s="1"/>
        <n x="3" s="1"/>
        <n x="4" s="1"/>
        <n x="104"/>
        <n x="130"/>
        <n x="16"/>
      </t>
    </mdx>
    <mdx n="0" f="v">
      <t c="8">
        <n x="1" s="1"/>
        <n x="2" s="1"/>
        <n x="5" s="1"/>
        <n x="3" s="1"/>
        <n x="4" s="1"/>
        <n x="104"/>
        <n x="8"/>
        <n x="84"/>
      </t>
    </mdx>
    <mdx n="0" f="v">
      <t c="8">
        <n x="1" s="1"/>
        <n x="2" s="1"/>
        <n x="5" s="1"/>
        <n x="3" s="1"/>
        <n x="4" s="1"/>
        <n x="104"/>
        <n x="8"/>
        <n x="160"/>
      </t>
    </mdx>
    <mdx n="0" f="v">
      <t c="8">
        <n x="1" s="1"/>
        <n x="2" s="1"/>
        <n x="5" s="1"/>
        <n x="3" s="1"/>
        <n x="4" s="1"/>
        <n x="104"/>
        <n x="8"/>
        <n x="148"/>
      </t>
    </mdx>
    <mdx n="0" f="v">
      <t c="8">
        <n x="1" s="1"/>
        <n x="2" s="1"/>
        <n x="5" s="1"/>
        <n x="3" s="1"/>
        <n x="4" s="1"/>
        <n x="104"/>
        <n x="23"/>
        <n x="62"/>
      </t>
    </mdx>
    <mdx n="0" f="v">
      <t c="8">
        <n x="1" s="1"/>
        <n x="2" s="1"/>
        <n x="5" s="1"/>
        <n x="3" s="1"/>
        <n x="4" s="1"/>
        <n x="104"/>
        <n x="23"/>
        <n x="59"/>
      </t>
    </mdx>
    <mdx n="0" f="v">
      <t c="8">
        <n x="1" s="1"/>
        <n x="2" s="1"/>
        <n x="5" s="1"/>
        <n x="3" s="1"/>
        <n x="4" s="1"/>
        <n x="104"/>
        <n x="23"/>
        <n x="122"/>
      </t>
    </mdx>
    <mdx n="0" f="v">
      <t c="8">
        <n x="1" s="1"/>
        <n x="2" s="1"/>
        <n x="5" s="1"/>
        <n x="3" s="1"/>
        <n x="4" s="1"/>
        <n x="104"/>
        <n x="23"/>
        <n x="95"/>
      </t>
    </mdx>
    <mdx n="0" f="v">
      <t c="8">
        <n x="1" s="1"/>
        <n x="2" s="1"/>
        <n x="5" s="1"/>
        <n x="3" s="1"/>
        <n x="4" s="1"/>
        <n x="104"/>
        <n x="17"/>
        <n x="43"/>
      </t>
    </mdx>
    <mdx n="0" f="v">
      <t c="8">
        <n x="1" s="1"/>
        <n x="2" s="1"/>
        <n x="5" s="1"/>
        <n x="3" s="1"/>
        <n x="4" s="1"/>
        <n x="104"/>
        <n x="17"/>
        <n x="44"/>
      </t>
    </mdx>
    <mdx n="0" f="v">
      <t c="8">
        <n x="1" s="1"/>
        <n x="2" s="1"/>
        <n x="5" s="1"/>
        <n x="3" s="1"/>
        <n x="4" s="1"/>
        <n x="104"/>
        <n x="17"/>
        <n x="45"/>
      </t>
    </mdx>
    <mdx n="0" f="v">
      <t c="8">
        <n x="1" s="1"/>
        <n x="2" s="1"/>
        <n x="5" s="1"/>
        <n x="3" s="1"/>
        <n x="4" s="1"/>
        <n x="104"/>
        <n x="126"/>
        <n x="107"/>
      </t>
    </mdx>
    <mdx n="0" f="v">
      <t c="8">
        <n x="1" s="1"/>
        <n x="2" s="1"/>
        <n x="5" s="1"/>
        <n x="3" s="1"/>
        <n x="4" s="1"/>
        <n x="104"/>
        <n x="126"/>
        <n x="85"/>
      </t>
    </mdx>
    <mdx n="0" f="v">
      <t c="8">
        <n x="1" s="1"/>
        <n x="2" s="1"/>
        <n x="5" s="1"/>
        <n x="3" s="1"/>
        <n x="4" s="1"/>
        <n x="104"/>
        <n x="126"/>
        <n x="52"/>
      </t>
    </mdx>
    <mdx n="0" f="v">
      <t c="8">
        <n x="1" s="1"/>
        <n x="2" s="1"/>
        <n x="5" s="1"/>
        <n x="3" s="1"/>
        <n x="4" s="1"/>
        <n x="104"/>
        <n x="138"/>
        <n x="19"/>
      </t>
    </mdx>
    <mdx n="0" f="v">
      <t c="8">
        <n x="1" s="1"/>
        <n x="2" s="1"/>
        <n x="5" s="1"/>
        <n x="3" s="1"/>
        <n x="4" s="1"/>
        <n x="104"/>
        <n x="138"/>
        <n x="20"/>
      </t>
    </mdx>
    <mdx n="0" f="v">
      <t c="8">
        <n x="1" s="1"/>
        <n x="2" s="1"/>
        <n x="5" s="1"/>
        <n x="3" s="1"/>
        <n x="4" s="1"/>
        <n x="104"/>
        <n x="138"/>
        <n x="33"/>
      </t>
    </mdx>
    <mdx n="0" f="v">
      <t c="8">
        <n x="1" s="1"/>
        <n x="2" s="1"/>
        <n x="5" s="1"/>
        <n x="3" s="1"/>
        <n x="4" s="1"/>
        <n x="104"/>
        <n x="143"/>
        <n x="93"/>
      </t>
    </mdx>
    <mdx n="0" f="v">
      <t c="8">
        <n x="1" s="1"/>
        <n x="2" s="1"/>
        <n x="5" s="1"/>
        <n x="3" s="1"/>
        <n x="4" s="1"/>
        <n x="104"/>
        <n x="143"/>
        <n x="162"/>
      </t>
    </mdx>
    <mdx n="0" f="v">
      <t c="8">
        <n x="1" s="1"/>
        <n x="2" s="1"/>
        <n x="5" s="1"/>
        <n x="3" s="1"/>
        <n x="4" s="1"/>
        <n x="104"/>
        <n x="143"/>
        <n x="87"/>
      </t>
    </mdx>
    <mdx n="0" f="v">
      <t c="8">
        <n x="1" s="1"/>
        <n x="2" s="1"/>
        <n x="5" s="1"/>
        <n x="3" s="1"/>
        <n x="4" s="1"/>
        <n x="104"/>
        <n x="163" s="1"/>
        <n x="107"/>
      </t>
    </mdx>
    <mdx n="0" f="v">
      <t c="8">
        <n x="1" s="1"/>
        <n x="2" s="1"/>
        <n x="5" s="1"/>
        <n x="3" s="1"/>
        <n x="4" s="1"/>
        <n x="104"/>
        <n x="163" s="1"/>
        <n x="85"/>
      </t>
    </mdx>
    <mdx n="0" f="v">
      <t c="8">
        <n x="1" s="1"/>
        <n x="2" s="1"/>
        <n x="5" s="1"/>
        <n x="3" s="1"/>
        <n x="4" s="1"/>
        <n x="104"/>
        <n x="163" s="1"/>
        <n x="52"/>
      </t>
    </mdx>
    <mdx n="0" f="v">
      <t c="8">
        <n x="1" s="1"/>
        <n x="2" s="1"/>
        <n x="5" s="1"/>
        <n x="3" s="1"/>
        <n x="4" s="1"/>
        <n x="104"/>
        <n x="60"/>
        <n x="19"/>
      </t>
    </mdx>
    <mdx n="0" f="v">
      <t c="8">
        <n x="1" s="1"/>
        <n x="2" s="1"/>
        <n x="5" s="1"/>
        <n x="3" s="1"/>
        <n x="4" s="1"/>
        <n x="104"/>
        <n x="60"/>
        <n x="20"/>
      </t>
    </mdx>
    <mdx n="0" f="v">
      <t c="8">
        <n x="1" s="1"/>
        <n x="2" s="1"/>
        <n x="5" s="1"/>
        <n x="3" s="1"/>
        <n x="4" s="1"/>
        <n x="104"/>
        <n x="60"/>
        <n x="33"/>
      </t>
    </mdx>
    <mdx n="0" f="v">
      <t c="8">
        <n x="1" s="1"/>
        <n x="2" s="1"/>
        <n x="5" s="1"/>
        <n x="3" s="1"/>
        <n x="4" s="1"/>
        <n x="104"/>
        <n x="6"/>
        <n x="93"/>
      </t>
    </mdx>
    <mdx n="0" f="v">
      <t c="8">
        <n x="1" s="1"/>
        <n x="2" s="1"/>
        <n x="5" s="1"/>
        <n x="3" s="1"/>
        <n x="4" s="1"/>
        <n x="104"/>
        <n x="6"/>
        <n x="162"/>
      </t>
    </mdx>
    <mdx n="0" f="v">
      <t c="8">
        <n x="1" s="1"/>
        <n x="2" s="1"/>
        <n x="5" s="1"/>
        <n x="3" s="1"/>
        <n x="4" s="1"/>
        <n x="104"/>
        <n x="6"/>
        <n x="87"/>
      </t>
    </mdx>
    <mdx n="0" f="v">
      <t c="8">
        <n x="1" s="1"/>
        <n x="2" s="1"/>
        <n x="5" s="1"/>
        <n x="3" s="1"/>
        <n x="4" s="1"/>
        <n x="104"/>
        <n x="21"/>
        <n x="63"/>
      </t>
    </mdx>
    <mdx n="0" f="v">
      <t c="8">
        <n x="1" s="1"/>
        <n x="2" s="1"/>
        <n x="5" s="1"/>
        <n x="3" s="1"/>
        <n x="4" s="1"/>
        <n x="104"/>
        <n x="21"/>
        <n x="154"/>
      </t>
    </mdx>
    <mdx n="0" f="v">
      <t c="8">
        <n x="1" s="1"/>
        <n x="2" s="1"/>
        <n x="5" s="1"/>
        <n x="3" s="1"/>
        <n x="4" s="1"/>
        <n x="104"/>
        <n x="21"/>
        <n x="127"/>
      </t>
    </mdx>
    <mdx n="0" f="v">
      <t c="8">
        <n x="1" s="1"/>
        <n x="2" s="1"/>
        <n x="5" s="1"/>
        <n x="3" s="1"/>
        <n x="4" s="1"/>
        <n x="104"/>
        <n x="34"/>
        <n x="164" s="1"/>
      </t>
    </mdx>
    <mdx n="0" f="v">
      <t c="8">
        <n x="1" s="1"/>
        <n x="2" s="1"/>
        <n x="5" s="1"/>
        <n x="3" s="1"/>
        <n x="4" s="1"/>
        <n x="104"/>
        <n x="34"/>
        <n x="128"/>
      </t>
    </mdx>
    <mdx n="0" f="v">
      <t c="8">
        <n x="1" s="1"/>
        <n x="2" s="1"/>
        <n x="5" s="1"/>
        <n x="3" s="1"/>
        <n x="4" s="1"/>
        <n x="104"/>
        <n x="34"/>
        <n x="116"/>
      </t>
    </mdx>
    <mdx n="0" f="v">
      <t c="8">
        <n x="1" s="1"/>
        <n x="2" s="1"/>
        <n x="5" s="1"/>
        <n x="3" s="1"/>
        <n x="4" s="1"/>
        <n x="104"/>
        <n x="34"/>
        <n x="77"/>
      </t>
    </mdx>
    <mdx n="0" f="v">
      <t c="8">
        <n x="1" s="1"/>
        <n x="2" s="1"/>
        <n x="5" s="1"/>
        <n x="3" s="1"/>
        <n x="4" s="1"/>
        <n x="104"/>
        <n x="65"/>
        <n x="108"/>
      </t>
    </mdx>
    <mdx n="0" f="v">
      <t c="8">
        <n x="1" s="1"/>
        <n x="2" s="1"/>
        <n x="5" s="1"/>
        <n x="3" s="1"/>
        <n x="4" s="1"/>
        <n x="104"/>
        <n x="65"/>
        <n x="94"/>
      </t>
    </mdx>
    <mdx n="0" f="v">
      <t c="8">
        <n x="1" s="1"/>
        <n x="2" s="1"/>
        <n x="5" s="1"/>
        <n x="3" s="1"/>
        <n x="4" s="1"/>
        <n x="104"/>
        <n x="65"/>
        <n x="54"/>
      </t>
    </mdx>
    <mdx n="0" f="v">
      <t c="8">
        <n x="1" s="1"/>
        <n x="2" s="1"/>
        <n x="5" s="1"/>
        <n x="3" s="1"/>
        <n x="4" s="1"/>
        <n x="104"/>
        <n x="70"/>
        <n x="102"/>
      </t>
    </mdx>
    <mdx n="0" f="v">
      <t c="8">
        <n x="1" s="1"/>
        <n x="2" s="1"/>
        <n x="5" s="1"/>
        <n x="3" s="1"/>
        <n x="4" s="1"/>
        <n x="104"/>
        <n x="70"/>
        <n x="58"/>
      </t>
    </mdx>
    <mdx n="0" f="v">
      <t c="8">
        <n x="1" s="1"/>
        <n x="2" s="1"/>
        <n x="5" s="1"/>
        <n x="3" s="1"/>
        <n x="4" s="1"/>
        <n x="104"/>
        <n x="70"/>
        <n x="155"/>
      </t>
    </mdx>
    <mdx n="0" f="v">
      <t c="8">
        <n x="1" s="1"/>
        <n x="2" s="1"/>
        <n x="5" s="1"/>
        <n x="3" s="1"/>
        <n x="4" s="1"/>
        <n x="104"/>
        <n x="79"/>
        <n x="13"/>
      </t>
    </mdx>
    <mdx n="0" f="v">
      <t c="8">
        <n x="1" s="1"/>
        <n x="2" s="1"/>
        <n x="5" s="1"/>
        <n x="3" s="1"/>
        <n x="4" s="1"/>
        <n x="104"/>
        <n x="79"/>
        <n x="14"/>
      </t>
    </mdx>
    <mdx n="0" f="v">
      <t c="8">
        <n x="1" s="1"/>
        <n x="2" s="1"/>
        <n x="5" s="1"/>
        <n x="3" s="1"/>
        <n x="4" s="1"/>
        <n x="104"/>
        <n x="79"/>
        <n x="15"/>
      </t>
    </mdx>
    <mdx n="0" f="v">
      <t c="8">
        <n x="1" s="1"/>
        <n x="2" s="1"/>
        <n x="5" s="1"/>
        <n x="3" s="1"/>
        <n x="4" s="1"/>
        <n x="104"/>
        <n x="88"/>
        <n x="75"/>
      </t>
    </mdx>
    <mdx n="0" f="v">
      <t c="8">
        <n x="1" s="1"/>
        <n x="2" s="1"/>
        <n x="5" s="1"/>
        <n x="3" s="1"/>
        <n x="4" s="1"/>
        <n x="104"/>
        <n x="88"/>
        <n x="48"/>
      </t>
    </mdx>
    <mdx n="0" f="v">
      <t c="8">
        <n x="1" s="1"/>
        <n x="2" s="1"/>
        <n x="5" s="1"/>
        <n x="3" s="1"/>
        <n x="4" s="1"/>
        <n x="104"/>
        <n x="88"/>
        <n x="141"/>
      </t>
    </mdx>
    <mdx n="0" f="v">
      <t c="8">
        <n x="1" s="1"/>
        <n x="2" s="1"/>
        <n x="5" s="1"/>
        <n x="3" s="1"/>
        <n x="4" s="1"/>
        <n x="104"/>
        <n x="97"/>
        <n x="56"/>
      </t>
    </mdx>
    <mdx n="0" f="v">
      <t c="8">
        <n x="1" s="1"/>
        <n x="2" s="1"/>
        <n x="5" s="1"/>
        <n x="3" s="1"/>
        <n x="4" s="1"/>
        <n x="104"/>
        <n x="97"/>
        <n x="147"/>
      </t>
    </mdx>
    <mdx n="0" f="v">
      <t c="8">
        <n x="1" s="1"/>
        <n x="2" s="1"/>
        <n x="5" s="1"/>
        <n x="3" s="1"/>
        <n x="4" s="1"/>
        <n x="104"/>
        <n x="97"/>
        <n x="119"/>
      </t>
    </mdx>
    <mdx n="0" f="v">
      <t c="8">
        <n x="1" s="1"/>
        <n x="2" s="1"/>
        <n x="5" s="1"/>
        <n x="3" s="1"/>
        <n x="4" s="1"/>
        <n x="104"/>
        <n x="97"/>
        <n x="86"/>
      </t>
    </mdx>
    <mdx n="0" f="v">
      <t c="8">
        <n x="1" s="1"/>
        <n x="2" s="1"/>
        <n x="5" s="1"/>
        <n x="3" s="1"/>
        <n x="4" s="1"/>
        <n x="104"/>
        <n x="36"/>
        <n x="109"/>
      </t>
    </mdx>
    <mdx n="0" f="v">
      <t c="8">
        <n x="1" s="1"/>
        <n x="2" s="1"/>
        <n x="5" s="1"/>
        <n x="3" s="1"/>
        <n x="4" s="1"/>
        <n x="104"/>
        <n x="36"/>
        <n x="103"/>
      </t>
    </mdx>
    <mdx n="0" f="v">
      <t c="8">
        <n x="1" s="1"/>
        <n x="2" s="1"/>
        <n x="5" s="1"/>
        <n x="3" s="1"/>
        <n x="4" s="1"/>
        <n x="104"/>
        <n x="36"/>
        <n x="69"/>
      </t>
    </mdx>
    <mdx n="0" f="v">
      <t c="8">
        <n x="1" s="1"/>
        <n x="2" s="1"/>
        <n x="5" s="1"/>
        <n x="3" s="1"/>
        <n x="4" s="1"/>
        <n x="104"/>
        <n x="110"/>
        <n x="115"/>
      </t>
    </mdx>
    <mdx n="0" f="v">
      <t c="8">
        <n x="1" s="1"/>
        <n x="2" s="1"/>
        <n x="5" s="1"/>
        <n x="3" s="1"/>
        <n x="4" s="1"/>
        <n x="104"/>
        <n x="110"/>
        <n x="76"/>
      </t>
    </mdx>
    <mdx n="0" f="v">
      <t c="8">
        <n x="1" s="1"/>
        <n x="2" s="1"/>
        <n x="5" s="1"/>
        <n x="3" s="1"/>
        <n x="4" s="1"/>
        <n x="104"/>
        <n x="110"/>
        <n x="49"/>
      </t>
    </mdx>
    <mdx n="0" f="v">
      <t c="8">
        <n x="1" s="1"/>
        <n x="2" s="1"/>
        <n x="5" s="1"/>
        <n x="3" s="1"/>
        <n x="4" s="1"/>
        <n x="104"/>
        <n x="105"/>
        <n x="28"/>
      </t>
    </mdx>
    <mdx n="0" f="v">
      <t c="8">
        <n x="1" s="1"/>
        <n x="2" s="1"/>
        <n x="5" s="1"/>
        <n x="3" s="1"/>
        <n x="4" s="1"/>
        <n x="104"/>
        <n x="105"/>
        <n x="29"/>
      </t>
    </mdx>
    <mdx n="0" f="v">
      <t c="8">
        <n x="1" s="1"/>
        <n x="2" s="1"/>
        <n x="5" s="1"/>
        <n x="3" s="1"/>
        <n x="4" s="1"/>
        <n x="104"/>
        <n x="105"/>
        <n x="16"/>
      </t>
    </mdx>
    <mdx n="0" f="v">
      <t c="8">
        <n x="1" s="1"/>
        <n x="2" s="1"/>
        <n x="5" s="1"/>
        <n x="3" s="1"/>
        <n x="4" s="1"/>
        <n x="104"/>
        <n x="120"/>
        <n x="84"/>
      </t>
    </mdx>
    <mdx n="0" f="v">
      <t c="8">
        <n x="1" s="1"/>
        <n x="2" s="1"/>
        <n x="5" s="1"/>
        <n x="3" s="1"/>
        <n x="4" s="1"/>
        <n x="104"/>
        <n x="120"/>
        <n x="160"/>
      </t>
    </mdx>
    <mdx n="0" f="v">
      <t c="8">
        <n x="1" s="1"/>
        <n x="2" s="1"/>
        <n x="5" s="1"/>
        <n x="3" s="1"/>
        <n x="4" s="1"/>
        <n x="104"/>
        <n x="120"/>
        <n x="148"/>
      </t>
    </mdx>
    <mdx n="0" f="v">
      <t c="8">
        <n x="1" s="1"/>
        <n x="2" s="1"/>
        <n x="5" s="1"/>
        <n x="3" s="1"/>
        <n x="4" s="1"/>
        <n x="104"/>
        <n x="133"/>
        <n x="62"/>
      </t>
    </mdx>
    <mdx n="0" f="v">
      <t c="8">
        <n x="1" s="1"/>
        <n x="2" s="1"/>
        <n x="5" s="1"/>
        <n x="3" s="1"/>
        <n x="4" s="1"/>
        <n x="104"/>
        <n x="133"/>
        <n x="59"/>
      </t>
    </mdx>
    <mdx n="0" f="v">
      <t c="8">
        <n x="1" s="1"/>
        <n x="2" s="1"/>
        <n x="5" s="1"/>
        <n x="3" s="1"/>
        <n x="4" s="1"/>
        <n x="104"/>
        <n x="133"/>
        <n x="122"/>
      </t>
    </mdx>
    <mdx n="0" f="v">
      <t c="8">
        <n x="1" s="1"/>
        <n x="2" s="1"/>
        <n x="5" s="1"/>
        <n x="3" s="1"/>
        <n x="4" s="1"/>
        <n x="104"/>
        <n x="133"/>
        <n x="95"/>
      </t>
    </mdx>
    <mdx n="0" f="v">
      <t c="8">
        <n x="1" s="1"/>
        <n x="2" s="1"/>
        <n x="5" s="1"/>
        <n x="3" s="1"/>
        <n x="4" s="1"/>
        <n x="104"/>
        <n x="137"/>
        <n x="43"/>
      </t>
    </mdx>
    <mdx n="0" f="v">
      <t c="8">
        <n x="1" s="1"/>
        <n x="2" s="1"/>
        <n x="5" s="1"/>
        <n x="3" s="1"/>
        <n x="4" s="1"/>
        <n x="104"/>
        <n x="137"/>
        <n x="44"/>
      </t>
    </mdx>
    <mdx n="0" f="v">
      <t c="8">
        <n x="1" s="1"/>
        <n x="2" s="1"/>
        <n x="5" s="1"/>
        <n x="3" s="1"/>
        <n x="4" s="1"/>
        <n x="104"/>
        <n x="137"/>
        <n x="45"/>
      </t>
    </mdx>
    <mdx n="0" f="v">
      <t c="8">
        <n x="1" s="1"/>
        <n x="2" s="1"/>
        <n x="5" s="1"/>
        <n x="3" s="1"/>
        <n x="4" s="1"/>
        <n x="104"/>
        <n x="142"/>
        <n x="107"/>
      </t>
    </mdx>
    <mdx n="0" f="v">
      <t c="8">
        <n x="1" s="1"/>
        <n x="2" s="1"/>
        <n x="5" s="1"/>
        <n x="3" s="1"/>
        <n x="4" s="1"/>
        <n x="104"/>
        <n x="142"/>
        <n x="85"/>
      </t>
    </mdx>
    <mdx n="0" f="v">
      <t c="8">
        <n x="1" s="1"/>
        <n x="2" s="1"/>
        <n x="5" s="1"/>
        <n x="3" s="1"/>
        <n x="4" s="1"/>
        <n x="104"/>
        <n x="142"/>
        <n x="52"/>
      </t>
    </mdx>
    <mdx n="0" f="v">
      <t c="8">
        <n x="1" s="1"/>
        <n x="2" s="1"/>
        <n x="5" s="1"/>
        <n x="3" s="1"/>
        <n x="4" s="1"/>
        <n x="104"/>
        <n x="78"/>
        <n x="19"/>
      </t>
    </mdx>
    <mdx n="0" f="v">
      <t c="8">
        <n x="1" s="1"/>
        <n x="2" s="1"/>
        <n x="5" s="1"/>
        <n x="3" s="1"/>
        <n x="4" s="1"/>
        <n x="104"/>
        <n x="78"/>
        <n x="20"/>
      </t>
    </mdx>
    <mdx n="0" f="v">
      <t c="8">
        <n x="1" s="1"/>
        <n x="2" s="1"/>
        <n x="5" s="1"/>
        <n x="3" s="1"/>
        <n x="4" s="1"/>
        <n x="104"/>
        <n x="78"/>
        <n x="33"/>
      </t>
    </mdx>
    <mdx n="0" f="v">
      <t c="8">
        <n x="1" s="1"/>
        <n x="2" s="1"/>
        <n x="5" s="1"/>
        <n x="3" s="1"/>
        <n x="4" s="1"/>
        <n x="104"/>
        <n x="7"/>
        <n x="93"/>
      </t>
    </mdx>
    <mdx n="0" f="v">
      <t c="8">
        <n x="1" s="1"/>
        <n x="2" s="1"/>
        <n x="5" s="1"/>
        <n x="3" s="1"/>
        <n x="4" s="1"/>
        <n x="104"/>
        <n x="7"/>
        <n x="162"/>
      </t>
    </mdx>
    <mdx n="0" f="v">
      <t c="8">
        <n x="1" s="1"/>
        <n x="2" s="1"/>
        <n x="5" s="1"/>
        <n x="3" s="1"/>
        <n x="4" s="1"/>
        <n x="104"/>
        <n x="7"/>
        <n x="87"/>
      </t>
    </mdx>
    <mdx n="0" f="v">
      <t c="8">
        <n x="1" s="1"/>
        <n x="2" s="1"/>
        <n x="5" s="1"/>
        <n x="3" s="1"/>
        <n x="4" s="1"/>
        <n x="104"/>
        <n x="22"/>
        <n x="63"/>
      </t>
    </mdx>
    <mdx n="0" f="v">
      <t c="8">
        <n x="1" s="1"/>
        <n x="2" s="1"/>
        <n x="5" s="1"/>
        <n x="3" s="1"/>
        <n x="4" s="1"/>
        <n x="104"/>
        <n x="22"/>
        <n x="154"/>
      </t>
    </mdx>
    <mdx n="0" f="v">
      <t c="8">
        <n x="1" s="1"/>
        <n x="2" s="1"/>
        <n x="5" s="1"/>
        <n x="3" s="1"/>
        <n x="4" s="1"/>
        <n x="104"/>
        <n x="22"/>
        <n x="127"/>
      </t>
    </mdx>
    <mdx n="0" f="v">
      <t c="8">
        <n x="1" s="1"/>
        <n x="2" s="1"/>
        <n x="5" s="1"/>
        <n x="3" s="1"/>
        <n x="4" s="1"/>
        <n x="104"/>
        <n x="30"/>
        <n x="164" s="1"/>
      </t>
    </mdx>
    <mdx n="0" f="v">
      <t c="8">
        <n x="1" s="1"/>
        <n x="2" s="1"/>
        <n x="5" s="1"/>
        <n x="3" s="1"/>
        <n x="4" s="1"/>
        <n x="104"/>
        <n x="30"/>
        <n x="128"/>
      </t>
    </mdx>
    <mdx n="0" f="v">
      <t c="8">
        <n x="1" s="1"/>
        <n x="2" s="1"/>
        <n x="5" s="1"/>
        <n x="3" s="1"/>
        <n x="4" s="1"/>
        <n x="104"/>
        <n x="30"/>
        <n x="116"/>
      </t>
    </mdx>
    <mdx n="0" f="v">
      <t c="8">
        <n x="1" s="1"/>
        <n x="2" s="1"/>
        <n x="5" s="1"/>
        <n x="3" s="1"/>
        <n x="4" s="1"/>
        <n x="104"/>
        <n x="30"/>
        <n x="77"/>
      </t>
    </mdx>
    <mdx n="0" f="v">
      <t c="8">
        <n x="1" s="1"/>
        <n x="2" s="1"/>
        <n x="5" s="1"/>
        <n x="3" s="1"/>
        <n x="4" s="1"/>
        <n x="104"/>
        <n x="149"/>
        <n x="108"/>
      </t>
    </mdx>
    <mdx n="0" f="v">
      <t c="8">
        <n x="1" s="1"/>
        <n x="2" s="1"/>
        <n x="5" s="1"/>
        <n x="3" s="1"/>
        <n x="4" s="1"/>
        <n x="104"/>
        <n x="149"/>
        <n x="94"/>
      </t>
    </mdx>
    <mdx n="0" f="v">
      <t c="8">
        <n x="1" s="1"/>
        <n x="2" s="1"/>
        <n x="5" s="1"/>
        <n x="3" s="1"/>
        <n x="4" s="1"/>
        <n x="104"/>
        <n x="149"/>
        <n x="54"/>
      </t>
    </mdx>
    <mdx n="0" f="v">
      <t c="8">
        <n x="1" s="1"/>
        <n x="2" s="1"/>
        <n x="5" s="1"/>
        <n x="3" s="1"/>
        <n x="4" s="1"/>
        <n x="104"/>
        <n x="156"/>
        <n x="102"/>
      </t>
    </mdx>
    <mdx n="0" f="v">
      <t c="8">
        <n x="1" s="1"/>
        <n x="2" s="1"/>
        <n x="5" s="1"/>
        <n x="3" s="1"/>
        <n x="4" s="1"/>
        <n x="104"/>
        <n x="156"/>
        <n x="58"/>
      </t>
    </mdx>
    <mdx n="0" f="v">
      <t c="8">
        <n x="1" s="1"/>
        <n x="2" s="1"/>
        <n x="5" s="1"/>
        <n x="3" s="1"/>
        <n x="4" s="1"/>
        <n x="104"/>
        <n x="156"/>
        <n x="155"/>
      </t>
    </mdx>
    <mdx n="0" f="v">
      <t c="8">
        <n x="1" s="1"/>
        <n x="2" s="1"/>
        <n x="5" s="1"/>
        <n x="3" s="1"/>
        <n x="4" s="1"/>
        <n x="104"/>
        <n x="158"/>
        <n x="13"/>
      </t>
    </mdx>
    <mdx n="0" f="v">
      <t c="8">
        <n x="1" s="1"/>
        <n x="2" s="1"/>
        <n x="5" s="1"/>
        <n x="3" s="1"/>
        <n x="4" s="1"/>
        <n x="104"/>
        <n x="158"/>
        <n x="14"/>
      </t>
    </mdx>
    <mdx n="0" f="v">
      <t c="8">
        <n x="1" s="1"/>
        <n x="2" s="1"/>
        <n x="5" s="1"/>
        <n x="3" s="1"/>
        <n x="4" s="1"/>
        <n x="104"/>
        <n x="158"/>
        <n x="15"/>
      </t>
    </mdx>
    <mdx n="0" f="v">
      <t c="8">
        <n x="1" s="1"/>
        <n x="2" s="1"/>
        <n x="5" s="1"/>
        <n x="3" s="1"/>
        <n x="4" s="1"/>
        <n x="104"/>
        <n x="161"/>
        <n x="75"/>
      </t>
    </mdx>
    <mdx n="0" f="v">
      <t c="8">
        <n x="1" s="1"/>
        <n x="2" s="1"/>
        <n x="5" s="1"/>
        <n x="3" s="1"/>
        <n x="4" s="1"/>
        <n x="104"/>
        <n x="161"/>
        <n x="48"/>
      </t>
    </mdx>
    <mdx n="0" f="v">
      <t c="8">
        <n x="1" s="1"/>
        <n x="2" s="1"/>
        <n x="5" s="1"/>
        <n x="3" s="1"/>
        <n x="4" s="1"/>
        <n x="104"/>
        <n x="161"/>
        <n x="141"/>
      </t>
    </mdx>
    <mdx n="0" f="v">
      <t c="8">
        <n x="1" s="1"/>
        <n x="2" s="1"/>
        <n x="5" s="1"/>
        <n x="3" s="1"/>
        <n x="4" s="1"/>
        <n x="104"/>
        <n x="66"/>
        <n x="56"/>
      </t>
    </mdx>
    <mdx n="0" f="v">
      <t c="8">
        <n x="1" s="1"/>
        <n x="2" s="1"/>
        <n x="5" s="1"/>
        <n x="3" s="1"/>
        <n x="4" s="1"/>
        <n x="104"/>
        <n x="66"/>
        <n x="147"/>
      </t>
    </mdx>
    <mdx n="0" f="v">
      <t c="8">
        <n x="1" s="1"/>
        <n x="2" s="1"/>
        <n x="5" s="1"/>
        <n x="3" s="1"/>
        <n x="4" s="1"/>
        <n x="104"/>
        <n x="66"/>
        <n x="119"/>
      </t>
    </mdx>
    <mdx n="0" f="v">
      <t c="8">
        <n x="1" s="1"/>
        <n x="2" s="1"/>
        <n x="5" s="1"/>
        <n x="3" s="1"/>
        <n x="4" s="1"/>
        <n x="104"/>
        <n x="66"/>
        <n x="86"/>
      </t>
    </mdx>
    <mdx n="0" f="v">
      <t c="8">
        <n x="1" s="1"/>
        <n x="2" s="1"/>
        <n x="5" s="1"/>
        <n x="3" s="1"/>
        <n x="4" s="1"/>
        <n x="104"/>
        <n x="37"/>
        <n x="109"/>
      </t>
    </mdx>
    <mdx n="0" f="v">
      <t c="8">
        <n x="1" s="1"/>
        <n x="2" s="1"/>
        <n x="5" s="1"/>
        <n x="3" s="1"/>
        <n x="4" s="1"/>
        <n x="104"/>
        <n x="37"/>
        <n x="103"/>
      </t>
    </mdx>
    <mdx n="0" f="v">
      <t c="8">
        <n x="1" s="1"/>
        <n x="2" s="1"/>
        <n x="5" s="1"/>
        <n x="3" s="1"/>
        <n x="4" s="1"/>
        <n x="104"/>
        <n x="37"/>
        <n x="69"/>
      </t>
    </mdx>
    <mdx n="0" f="v">
      <t c="8">
        <n x="1" s="1"/>
        <n x="2" s="1"/>
        <n x="5" s="1"/>
        <n x="3" s="1"/>
        <n x="4" s="1"/>
        <n x="104"/>
        <n x="71"/>
        <n x="115"/>
      </t>
    </mdx>
    <mdx n="0" f="v">
      <t c="8">
        <n x="1" s="1"/>
        <n x="2" s="1"/>
        <n x="5" s="1"/>
        <n x="3" s="1"/>
        <n x="4" s="1"/>
        <n x="104"/>
        <n x="71"/>
        <n x="76"/>
      </t>
    </mdx>
    <mdx n="0" f="v">
      <t c="8">
        <n x="1" s="1"/>
        <n x="2" s="1"/>
        <n x="5" s="1"/>
        <n x="3" s="1"/>
        <n x="4" s="1"/>
        <n x="104"/>
        <n x="71"/>
        <n x="49"/>
      </t>
    </mdx>
    <mdx n="0" f="v">
      <t c="8">
        <n x="1" s="1"/>
        <n x="2" s="1"/>
        <n x="5" s="1"/>
        <n x="3" s="1"/>
        <n x="4" s="1"/>
        <n x="104"/>
        <n x="80"/>
        <n x="28"/>
      </t>
    </mdx>
    <mdx n="0" f="v">
      <t c="8">
        <n x="1" s="1"/>
        <n x="2" s="1"/>
        <n x="5" s="1"/>
        <n x="3" s="1"/>
        <n x="4" s="1"/>
        <n x="104"/>
        <n x="80"/>
        <n x="29"/>
      </t>
    </mdx>
    <mdx n="0" f="v">
      <t c="8">
        <n x="1" s="1"/>
        <n x="2" s="1"/>
        <n x="5" s="1"/>
        <n x="3" s="1"/>
        <n x="4" s="1"/>
        <n x="104"/>
        <n x="80"/>
        <n x="16"/>
      </t>
    </mdx>
    <mdx n="0" f="v">
      <t c="8">
        <n x="1" s="1"/>
        <n x="2" s="1"/>
        <n x="5" s="1"/>
        <n x="3" s="1"/>
        <n x="4" s="1"/>
        <n x="104"/>
        <n x="89"/>
        <n x="84"/>
      </t>
    </mdx>
    <mdx n="0" f="v">
      <t c="8">
        <n x="1" s="1"/>
        <n x="2" s="1"/>
        <n x="5" s="1"/>
        <n x="3" s="1"/>
        <n x="4" s="1"/>
        <n x="104"/>
        <n x="89"/>
        <n x="160"/>
      </t>
    </mdx>
    <mdx n="0" f="v">
      <t c="8">
        <n x="1" s="1"/>
        <n x="2" s="1"/>
        <n x="5" s="1"/>
        <n x="3" s="1"/>
        <n x="4" s="1"/>
        <n x="104"/>
        <n x="89"/>
        <n x="148"/>
      </t>
    </mdx>
    <mdx n="0" f="v">
      <t c="8">
        <n x="1" s="1"/>
        <n x="2" s="1"/>
        <n x="5" s="1"/>
        <n x="3" s="1"/>
        <n x="4" s="1"/>
        <n x="104"/>
        <n x="98"/>
        <n x="62"/>
      </t>
    </mdx>
    <mdx n="0" f="v">
      <t c="8">
        <n x="1" s="1"/>
        <n x="2" s="1"/>
        <n x="5" s="1"/>
        <n x="3" s="1"/>
        <n x="4" s="1"/>
        <n x="104"/>
        <n x="98"/>
        <n x="59"/>
      </t>
    </mdx>
    <mdx n="0" f="v">
      <t c="8">
        <n x="1" s="1"/>
        <n x="2" s="1"/>
        <n x="5" s="1"/>
        <n x="3" s="1"/>
        <n x="4" s="1"/>
        <n x="104"/>
        <n x="98"/>
        <n x="122"/>
      </t>
    </mdx>
    <mdx n="0" f="v">
      <t c="8">
        <n x="1" s="1"/>
        <n x="2" s="1"/>
        <n x="5" s="1"/>
        <n x="3" s="1"/>
        <n x="4" s="1"/>
        <n x="104"/>
        <n x="98"/>
        <n x="95"/>
      </t>
    </mdx>
    <mdx n="0" f="v">
      <t c="8">
        <n x="1" s="1"/>
        <n x="2" s="1"/>
        <n x="5" s="1"/>
        <n x="3" s="1"/>
        <n x="4" s="1"/>
        <n x="104"/>
        <n x="111"/>
        <n x="43"/>
      </t>
    </mdx>
    <mdx n="0" f="v">
      <t c="8">
        <n x="1" s="1"/>
        <n x="2" s="1"/>
        <n x="5" s="1"/>
        <n x="3" s="1"/>
        <n x="4" s="1"/>
        <n x="104"/>
        <n x="111"/>
        <n x="44"/>
      </t>
    </mdx>
    <mdx n="0" f="v">
      <t c="8">
        <n x="1" s="1"/>
        <n x="2" s="1"/>
        <n x="5" s="1"/>
        <n x="3" s="1"/>
        <n x="4" s="1"/>
        <n x="104"/>
        <n x="111"/>
        <n x="45"/>
      </t>
    </mdx>
    <mdx n="0" f="v">
      <t c="8">
        <n x="1" s="1"/>
        <n x="2" s="1"/>
        <n x="5" s="1"/>
        <n x="3" s="1"/>
        <n x="4" s="1"/>
        <n x="104"/>
        <n x="117"/>
        <n x="107"/>
      </t>
    </mdx>
    <mdx n="0" f="v">
      <t c="8">
        <n x="1" s="1"/>
        <n x="2" s="1"/>
        <n x="5" s="1"/>
        <n x="3" s="1"/>
        <n x="4" s="1"/>
        <n x="104"/>
        <n x="117"/>
        <n x="85"/>
      </t>
    </mdx>
    <mdx n="0" f="v">
      <t c="8">
        <n x="1" s="1"/>
        <n x="2" s="1"/>
        <n x="5" s="1"/>
        <n x="3" s="1"/>
        <n x="4" s="1"/>
        <n x="104"/>
        <n x="117"/>
        <n x="52"/>
      </t>
    </mdx>
    <mdx n="0" f="v">
      <t c="8">
        <n x="1" s="1"/>
        <n x="2" s="1"/>
        <n x="5" s="1"/>
        <n x="3" s="1"/>
        <n x="4" s="1"/>
        <n x="104"/>
        <n x="130"/>
        <n x="19"/>
      </t>
    </mdx>
    <mdx n="0" f="v">
      <t c="8">
        <n x="1" s="1"/>
        <n x="2" s="1"/>
        <n x="5" s="1"/>
        <n x="3" s="1"/>
        <n x="4" s="1"/>
        <n x="104"/>
        <n x="130"/>
        <n x="20"/>
      </t>
    </mdx>
    <mdx n="0" f="v">
      <t c="8">
        <n x="1" s="1"/>
        <n x="2" s="1"/>
        <n x="5" s="1"/>
        <n x="3" s="1"/>
        <n x="4" s="1"/>
        <n x="104"/>
        <n x="130"/>
        <n x="33"/>
      </t>
    </mdx>
    <mdx n="0" f="v">
      <t c="8">
        <n x="1" s="1"/>
        <n x="2" s="1"/>
        <n x="5" s="1"/>
        <n x="3" s="1"/>
        <n x="4" s="1"/>
        <n x="104"/>
        <n x="8"/>
        <n x="93"/>
      </t>
    </mdx>
    <mdx n="0" f="v">
      <t c="8">
        <n x="1" s="1"/>
        <n x="2" s="1"/>
        <n x="5" s="1"/>
        <n x="3" s="1"/>
        <n x="4" s="1"/>
        <n x="104"/>
        <n x="8"/>
        <n x="162"/>
      </t>
    </mdx>
    <mdx n="0" f="v">
      <t c="8">
        <n x="1" s="1"/>
        <n x="2" s="1"/>
        <n x="5" s="1"/>
        <n x="3" s="1"/>
        <n x="4" s="1"/>
        <n x="104"/>
        <n x="8"/>
        <n x="87"/>
      </t>
    </mdx>
    <mdx n="0" f="v">
      <t c="8">
        <n x="1" s="1"/>
        <n x="2" s="1"/>
        <n x="5" s="1"/>
        <n x="3" s="1"/>
        <n x="4" s="1"/>
        <n x="104"/>
        <n x="23"/>
        <n x="63"/>
      </t>
    </mdx>
    <mdx n="0" f="v">
      <t c="8">
        <n x="1" s="1"/>
        <n x="2" s="1"/>
        <n x="5" s="1"/>
        <n x="3" s="1"/>
        <n x="4" s="1"/>
        <n x="104"/>
        <n x="23"/>
        <n x="154"/>
      </t>
    </mdx>
    <mdx n="0" f="v">
      <t c="8">
        <n x="1" s="1"/>
        <n x="2" s="1"/>
        <n x="5" s="1"/>
        <n x="3" s="1"/>
        <n x="4" s="1"/>
        <n x="104"/>
        <n x="23"/>
        <n x="127"/>
      </t>
    </mdx>
    <mdx n="0" f="v">
      <t c="8">
        <n x="1" s="1"/>
        <n x="2" s="1"/>
        <n x="5" s="1"/>
        <n x="3" s="1"/>
        <n x="4" s="1"/>
        <n x="104"/>
        <n x="17"/>
        <n x="164" s="1"/>
      </t>
    </mdx>
    <mdx n="0" f="v">
      <t c="8">
        <n x="1" s="1"/>
        <n x="2" s="1"/>
        <n x="5" s="1"/>
        <n x="3" s="1"/>
        <n x="4" s="1"/>
        <n x="104"/>
        <n x="17"/>
        <n x="128"/>
      </t>
    </mdx>
    <mdx n="0" f="v">
      <t c="8">
        <n x="1" s="1"/>
        <n x="2" s="1"/>
        <n x="5" s="1"/>
        <n x="3" s="1"/>
        <n x="4" s="1"/>
        <n x="104"/>
        <n x="17"/>
        <n x="116"/>
      </t>
    </mdx>
    <mdx n="0" f="v">
      <t c="8">
        <n x="1" s="1"/>
        <n x="2" s="1"/>
        <n x="5" s="1"/>
        <n x="3" s="1"/>
        <n x="4" s="1"/>
        <n x="104"/>
        <n x="17"/>
        <n x="77"/>
      </t>
    </mdx>
    <mdx n="0" f="v">
      <t c="8">
        <n x="1" s="1"/>
        <n x="2" s="1"/>
        <n x="5" s="1"/>
        <n x="3" s="1"/>
        <n x="4" s="1"/>
        <n x="104"/>
        <n x="126"/>
        <n x="108"/>
      </t>
    </mdx>
    <mdx n="0" f="v">
      <t c="8">
        <n x="1" s="1"/>
        <n x="2" s="1"/>
        <n x="5" s="1"/>
        <n x="3" s="1"/>
        <n x="4" s="1"/>
        <n x="104"/>
        <n x="126"/>
        <n x="94"/>
      </t>
    </mdx>
    <mdx n="0" f="v">
      <t c="8">
        <n x="1" s="1"/>
        <n x="2" s="1"/>
        <n x="5" s="1"/>
        <n x="3" s="1"/>
        <n x="4" s="1"/>
        <n x="104"/>
        <n x="126"/>
        <n x="54"/>
      </t>
    </mdx>
    <mdx n="0" f="v">
      <t c="8">
        <n x="1" s="1"/>
        <n x="2" s="1"/>
        <n x="5" s="1"/>
        <n x="3" s="1"/>
        <n x="4" s="1"/>
        <n x="104"/>
        <n x="138"/>
        <n x="102"/>
      </t>
    </mdx>
    <mdx n="0" f="v">
      <t c="8">
        <n x="1" s="1"/>
        <n x="2" s="1"/>
        <n x="5" s="1"/>
        <n x="3" s="1"/>
        <n x="4" s="1"/>
        <n x="104"/>
        <n x="138"/>
        <n x="58"/>
      </t>
    </mdx>
    <mdx n="0" f="v">
      <t c="8">
        <n x="1" s="1"/>
        <n x="2" s="1"/>
        <n x="5" s="1"/>
        <n x="3" s="1"/>
        <n x="4" s="1"/>
        <n x="104"/>
        <n x="138"/>
        <n x="155"/>
      </t>
    </mdx>
    <mdx n="0" f="v">
      <t c="8">
        <n x="1" s="1"/>
        <n x="2" s="1"/>
        <n x="5" s="1"/>
        <n x="3" s="1"/>
        <n x="4" s="1"/>
        <n x="104"/>
        <n x="143"/>
        <n x="13"/>
      </t>
    </mdx>
    <mdx n="0" f="v">
      <t c="8">
        <n x="1" s="1"/>
        <n x="2" s="1"/>
        <n x="5" s="1"/>
        <n x="3" s="1"/>
        <n x="4" s="1"/>
        <n x="104"/>
        <n x="143"/>
        <n x="14"/>
      </t>
    </mdx>
    <mdx n="0" f="v">
      <t c="8">
        <n x="1" s="1"/>
        <n x="2" s="1"/>
        <n x="5" s="1"/>
        <n x="3" s="1"/>
        <n x="4" s="1"/>
        <n x="104"/>
        <n x="143"/>
        <n x="15"/>
      </t>
    </mdx>
    <mdx n="0" f="v">
      <t c="8">
        <n x="1" s="1"/>
        <n x="2" s="1"/>
        <n x="5" s="1"/>
        <n x="3" s="1"/>
        <n x="4" s="1"/>
        <n x="104"/>
        <n x="163" s="1"/>
        <n x="108"/>
      </t>
    </mdx>
    <mdx n="0" f="v">
      <t c="8">
        <n x="1" s="1"/>
        <n x="2" s="1"/>
        <n x="5" s="1"/>
        <n x="3" s="1"/>
        <n x="4" s="1"/>
        <n x="104"/>
        <n x="163" s="1"/>
        <n x="94"/>
      </t>
    </mdx>
    <mdx n="0" f="v">
      <t c="8">
        <n x="1" s="1"/>
        <n x="2" s="1"/>
        <n x="5" s="1"/>
        <n x="3" s="1"/>
        <n x="4" s="1"/>
        <n x="104"/>
        <n x="163" s="1"/>
        <n x="54"/>
      </t>
    </mdx>
    <mdx n="0" f="v">
      <t c="8">
        <n x="1" s="1"/>
        <n x="2" s="1"/>
        <n x="5" s="1"/>
        <n x="3" s="1"/>
        <n x="4" s="1"/>
        <n x="104"/>
        <n x="60"/>
        <n x="102"/>
      </t>
    </mdx>
    <mdx n="0" f="v">
      <t c="8">
        <n x="1" s="1"/>
        <n x="2" s="1"/>
        <n x="5" s="1"/>
        <n x="3" s="1"/>
        <n x="4" s="1"/>
        <n x="104"/>
        <n x="60"/>
        <n x="58"/>
      </t>
    </mdx>
    <mdx n="0" f="v">
      <t c="8">
        <n x="1" s="1"/>
        <n x="2" s="1"/>
        <n x="5" s="1"/>
        <n x="3" s="1"/>
        <n x="4" s="1"/>
        <n x="104"/>
        <n x="60"/>
        <n x="155"/>
      </t>
    </mdx>
    <mdx n="0" f="v">
      <t c="8">
        <n x="1" s="1"/>
        <n x="2" s="1"/>
        <n x="5" s="1"/>
        <n x="3" s="1"/>
        <n x="4" s="1"/>
        <n x="104"/>
        <n x="6"/>
        <n x="13"/>
      </t>
    </mdx>
    <mdx n="0" f="v">
      <t c="8">
        <n x="1" s="1"/>
        <n x="2" s="1"/>
        <n x="5" s="1"/>
        <n x="3" s="1"/>
        <n x="4" s="1"/>
        <n x="104"/>
        <n x="6"/>
        <n x="14"/>
      </t>
    </mdx>
    <mdx n="0" f="v">
      <t c="8">
        <n x="1" s="1"/>
        <n x="2" s="1"/>
        <n x="5" s="1"/>
        <n x="3" s="1"/>
        <n x="4" s="1"/>
        <n x="104"/>
        <n x="6"/>
        <n x="15"/>
      </t>
    </mdx>
    <mdx n="0" f="v">
      <t c="8">
        <n x="1" s="1"/>
        <n x="2" s="1"/>
        <n x="5" s="1"/>
        <n x="3" s="1"/>
        <n x="4" s="1"/>
        <n x="104"/>
        <n x="21"/>
        <n x="75"/>
      </t>
    </mdx>
    <mdx n="0" f="v">
      <t c="8">
        <n x="1" s="1"/>
        <n x="2" s="1"/>
        <n x="5" s="1"/>
        <n x="3" s="1"/>
        <n x="4" s="1"/>
        <n x="104"/>
        <n x="21"/>
        <n x="48"/>
      </t>
    </mdx>
    <mdx n="0" f="v">
      <t c="8">
        <n x="1" s="1"/>
        <n x="2" s="1"/>
        <n x="5" s="1"/>
        <n x="3" s="1"/>
        <n x="4" s="1"/>
        <n x="104"/>
        <n x="21"/>
        <n x="141"/>
      </t>
    </mdx>
    <mdx n="0" f="v">
      <t c="8">
        <n x="1" s="1"/>
        <n x="2" s="1"/>
        <n x="5" s="1"/>
        <n x="3" s="1"/>
        <n x="4" s="1"/>
        <n x="104"/>
        <n x="34"/>
        <n x="56"/>
      </t>
    </mdx>
    <mdx n="0" f="v">
      <t c="8">
        <n x="1" s="1"/>
        <n x="2" s="1"/>
        <n x="5" s="1"/>
        <n x="3" s="1"/>
        <n x="4" s="1"/>
        <n x="104"/>
        <n x="34"/>
        <n x="147"/>
      </t>
    </mdx>
    <mdx n="0" f="v">
      <t c="8">
        <n x="1" s="1"/>
        <n x="2" s="1"/>
        <n x="5" s="1"/>
        <n x="3" s="1"/>
        <n x="4" s="1"/>
        <n x="104"/>
        <n x="34"/>
        <n x="119"/>
      </t>
    </mdx>
    <mdx n="0" f="v">
      <t c="8">
        <n x="1" s="1"/>
        <n x="2" s="1"/>
        <n x="5" s="1"/>
        <n x="3" s="1"/>
        <n x="4" s="1"/>
        <n x="104"/>
        <n x="34"/>
        <n x="86"/>
      </t>
    </mdx>
    <mdx n="0" f="v">
      <t c="8">
        <n x="1" s="1"/>
        <n x="2" s="1"/>
        <n x="5" s="1"/>
        <n x="3" s="1"/>
        <n x="4" s="1"/>
        <n x="104"/>
        <n x="65"/>
        <n x="109"/>
      </t>
    </mdx>
    <mdx n="0" f="v">
      <t c="8">
        <n x="1" s="1"/>
        <n x="2" s="1"/>
        <n x="5" s="1"/>
        <n x="3" s="1"/>
        <n x="4" s="1"/>
        <n x="104"/>
        <n x="65"/>
        <n x="103"/>
      </t>
    </mdx>
    <mdx n="0" f="v">
      <t c="8">
        <n x="1" s="1"/>
        <n x="2" s="1"/>
        <n x="5" s="1"/>
        <n x="3" s="1"/>
        <n x="4" s="1"/>
        <n x="104"/>
        <n x="65"/>
        <n x="69"/>
      </t>
    </mdx>
    <mdx n="0" f="v">
      <t c="8">
        <n x="1" s="1"/>
        <n x="2" s="1"/>
        <n x="5" s="1"/>
        <n x="3" s="1"/>
        <n x="4" s="1"/>
        <n x="104"/>
        <n x="70"/>
        <n x="115"/>
      </t>
    </mdx>
    <mdx n="0" f="v">
      <t c="8">
        <n x="1" s="1"/>
        <n x="2" s="1"/>
        <n x="5" s="1"/>
        <n x="3" s="1"/>
        <n x="4" s="1"/>
        <n x="104"/>
        <n x="70"/>
        <n x="76"/>
      </t>
    </mdx>
    <mdx n="0" f="v">
      <t c="8">
        <n x="1" s="1"/>
        <n x="2" s="1"/>
        <n x="5" s="1"/>
        <n x="3" s="1"/>
        <n x="4" s="1"/>
        <n x="104"/>
        <n x="70"/>
        <n x="49"/>
      </t>
    </mdx>
    <mdx n="0" f="v">
      <t c="8">
        <n x="1" s="1"/>
        <n x="2" s="1"/>
        <n x="5" s="1"/>
        <n x="3" s="1"/>
        <n x="4" s="1"/>
        <n x="104"/>
        <n x="79"/>
        <n x="28"/>
      </t>
    </mdx>
    <mdx n="0" f="v">
      <t c="8">
        <n x="1" s="1"/>
        <n x="2" s="1"/>
        <n x="5" s="1"/>
        <n x="3" s="1"/>
        <n x="4" s="1"/>
        <n x="104"/>
        <n x="79"/>
        <n x="29"/>
      </t>
    </mdx>
    <mdx n="0" f="v">
      <t c="8">
        <n x="1" s="1"/>
        <n x="2" s="1"/>
        <n x="5" s="1"/>
        <n x="3" s="1"/>
        <n x="4" s="1"/>
        <n x="104"/>
        <n x="79"/>
        <n x="16"/>
      </t>
    </mdx>
    <mdx n="0" f="v">
      <t c="8">
        <n x="1" s="1"/>
        <n x="2" s="1"/>
        <n x="5" s="1"/>
        <n x="3" s="1"/>
        <n x="4" s="1"/>
        <n x="104"/>
        <n x="88"/>
        <n x="84"/>
      </t>
    </mdx>
    <mdx n="0" f="v">
      <t c="8">
        <n x="1" s="1"/>
        <n x="2" s="1"/>
        <n x="5" s="1"/>
        <n x="3" s="1"/>
        <n x="4" s="1"/>
        <n x="104"/>
        <n x="88"/>
        <n x="160"/>
      </t>
    </mdx>
    <mdx n="0" f="v">
      <t c="8">
        <n x="1" s="1"/>
        <n x="2" s="1"/>
        <n x="5" s="1"/>
        <n x="3" s="1"/>
        <n x="4" s="1"/>
        <n x="104"/>
        <n x="88"/>
        <n x="148"/>
      </t>
    </mdx>
    <mdx n="0" f="v">
      <t c="8">
        <n x="1" s="1"/>
        <n x="2" s="1"/>
        <n x="5" s="1"/>
        <n x="3" s="1"/>
        <n x="4" s="1"/>
        <n x="104"/>
        <n x="97"/>
        <n x="62"/>
      </t>
    </mdx>
    <mdx n="0" f="v">
      <t c="8">
        <n x="1" s="1"/>
        <n x="2" s="1"/>
        <n x="5" s="1"/>
        <n x="3" s="1"/>
        <n x="4" s="1"/>
        <n x="104"/>
        <n x="97"/>
        <n x="59"/>
      </t>
    </mdx>
    <mdx n="0" f="v">
      <t c="8">
        <n x="1" s="1"/>
        <n x="2" s="1"/>
        <n x="5" s="1"/>
        <n x="3" s="1"/>
        <n x="4" s="1"/>
        <n x="104"/>
        <n x="97"/>
        <n x="122"/>
      </t>
    </mdx>
    <mdx n="0" f="v">
      <t c="8">
        <n x="1" s="1"/>
        <n x="2" s="1"/>
        <n x="5" s="1"/>
        <n x="3" s="1"/>
        <n x="4" s="1"/>
        <n x="104"/>
        <n x="97"/>
        <n x="95"/>
      </t>
    </mdx>
    <mdx n="0" f="v">
      <t c="8">
        <n x="1" s="1"/>
        <n x="2" s="1"/>
        <n x="5" s="1"/>
        <n x="3" s="1"/>
        <n x="4" s="1"/>
        <n x="104"/>
        <n x="36"/>
        <n x="43"/>
      </t>
    </mdx>
    <mdx n="0" f="v">
      <t c="8">
        <n x="1" s="1"/>
        <n x="2" s="1"/>
        <n x="5" s="1"/>
        <n x="3" s="1"/>
        <n x="4" s="1"/>
        <n x="104"/>
        <n x="36"/>
        <n x="44"/>
      </t>
    </mdx>
    <mdx n="0" f="v">
      <t c="8">
        <n x="1" s="1"/>
        <n x="2" s="1"/>
        <n x="5" s="1"/>
        <n x="3" s="1"/>
        <n x="4" s="1"/>
        <n x="104"/>
        <n x="36"/>
        <n x="45"/>
      </t>
    </mdx>
    <mdx n="0" f="v">
      <t c="8">
        <n x="1" s="1"/>
        <n x="2" s="1"/>
        <n x="5" s="1"/>
        <n x="3" s="1"/>
        <n x="4" s="1"/>
        <n x="104"/>
        <n x="110"/>
        <n x="107"/>
      </t>
    </mdx>
    <mdx n="0" f="v">
      <t c="8">
        <n x="1" s="1"/>
        <n x="2" s="1"/>
        <n x="5" s="1"/>
        <n x="3" s="1"/>
        <n x="4" s="1"/>
        <n x="104"/>
        <n x="110"/>
        <n x="85"/>
      </t>
    </mdx>
    <mdx n="0" f="v">
      <t c="8">
        <n x="1" s="1"/>
        <n x="2" s="1"/>
        <n x="5" s="1"/>
        <n x="3" s="1"/>
        <n x="4" s="1"/>
        <n x="104"/>
        <n x="110"/>
        <n x="52"/>
      </t>
    </mdx>
    <mdx n="0" f="v">
      <t c="8">
        <n x="1" s="1"/>
        <n x="2" s="1"/>
        <n x="5" s="1"/>
        <n x="3" s="1"/>
        <n x="4" s="1"/>
        <n x="104"/>
        <n x="105"/>
        <n x="19"/>
      </t>
    </mdx>
    <mdx n="0" f="v">
      <t c="8">
        <n x="1" s="1"/>
        <n x="2" s="1"/>
        <n x="5" s="1"/>
        <n x="3" s="1"/>
        <n x="4" s="1"/>
        <n x="104"/>
        <n x="105"/>
        <n x="20"/>
      </t>
    </mdx>
    <mdx n="0" f="v">
      <t c="8">
        <n x="1" s="1"/>
        <n x="2" s="1"/>
        <n x="5" s="1"/>
        <n x="3" s="1"/>
        <n x="4" s="1"/>
        <n x="104"/>
        <n x="105"/>
        <n x="33"/>
      </t>
    </mdx>
    <mdx n="0" f="v">
      <t c="8">
        <n x="1" s="1"/>
        <n x="2" s="1"/>
        <n x="5" s="1"/>
        <n x="3" s="1"/>
        <n x="4" s="1"/>
        <n x="104"/>
        <n x="120"/>
        <n x="93"/>
      </t>
    </mdx>
    <mdx n="0" f="v">
      <t c="8">
        <n x="1" s="1"/>
        <n x="2" s="1"/>
        <n x="5" s="1"/>
        <n x="3" s="1"/>
        <n x="4" s="1"/>
        <n x="104"/>
        <n x="120"/>
        <n x="162"/>
      </t>
    </mdx>
    <mdx n="0" f="v">
      <t c="8">
        <n x="1" s="1"/>
        <n x="2" s="1"/>
        <n x="5" s="1"/>
        <n x="3" s="1"/>
        <n x="4" s="1"/>
        <n x="104"/>
        <n x="120"/>
        <n x="87"/>
      </t>
    </mdx>
    <mdx n="0" f="v">
      <t c="8">
        <n x="1" s="1"/>
        <n x="2" s="1"/>
        <n x="5" s="1"/>
        <n x="3" s="1"/>
        <n x="4" s="1"/>
        <n x="104"/>
        <n x="133"/>
        <n x="63"/>
      </t>
    </mdx>
    <mdx n="0" f="v">
      <t c="8">
        <n x="1" s="1"/>
        <n x="2" s="1"/>
        <n x="5" s="1"/>
        <n x="3" s="1"/>
        <n x="4" s="1"/>
        <n x="104"/>
        <n x="133"/>
        <n x="154"/>
      </t>
    </mdx>
    <mdx n="0" f="v">
      <t c="8">
        <n x="1" s="1"/>
        <n x="2" s="1"/>
        <n x="5" s="1"/>
        <n x="3" s="1"/>
        <n x="4" s="1"/>
        <n x="104"/>
        <n x="133"/>
        <n x="127"/>
      </t>
    </mdx>
    <mdx n="0" f="v">
      <t c="8">
        <n x="1" s="1"/>
        <n x="2" s="1"/>
        <n x="5" s="1"/>
        <n x="3" s="1"/>
        <n x="4" s="1"/>
        <n x="104"/>
        <n x="137"/>
        <n x="164" s="1"/>
      </t>
    </mdx>
    <mdx n="0" f="v">
      <t c="8">
        <n x="1" s="1"/>
        <n x="2" s="1"/>
        <n x="5" s="1"/>
        <n x="3" s="1"/>
        <n x="4" s="1"/>
        <n x="104"/>
        <n x="137"/>
        <n x="128"/>
      </t>
    </mdx>
    <mdx n="0" f="v">
      <t c="8">
        <n x="1" s="1"/>
        <n x="2" s="1"/>
        <n x="5" s="1"/>
        <n x="3" s="1"/>
        <n x="4" s="1"/>
        <n x="104"/>
        <n x="137"/>
        <n x="116"/>
      </t>
    </mdx>
    <mdx n="0" f="v">
      <t c="8">
        <n x="1" s="1"/>
        <n x="2" s="1"/>
        <n x="5" s="1"/>
        <n x="3" s="1"/>
        <n x="4" s="1"/>
        <n x="104"/>
        <n x="137"/>
        <n x="77"/>
      </t>
    </mdx>
    <mdx n="0" f="v">
      <t c="8">
        <n x="1" s="1"/>
        <n x="2" s="1"/>
        <n x="5" s="1"/>
        <n x="3" s="1"/>
        <n x="4" s="1"/>
        <n x="104"/>
        <n x="142"/>
        <n x="108"/>
      </t>
    </mdx>
    <mdx n="0" f="v">
      <t c="8">
        <n x="1" s="1"/>
        <n x="2" s="1"/>
        <n x="5" s="1"/>
        <n x="3" s="1"/>
        <n x="4" s="1"/>
        <n x="104"/>
        <n x="142"/>
        <n x="94"/>
      </t>
    </mdx>
    <mdx n="0" f="v">
      <t c="8">
        <n x="1" s="1"/>
        <n x="2" s="1"/>
        <n x="5" s="1"/>
        <n x="3" s="1"/>
        <n x="4" s="1"/>
        <n x="104"/>
        <n x="142"/>
        <n x="54"/>
      </t>
    </mdx>
    <mdx n="0" f="v">
      <t c="8">
        <n x="1" s="1"/>
        <n x="2" s="1"/>
        <n x="5" s="1"/>
        <n x="3" s="1"/>
        <n x="4" s="1"/>
        <n x="104"/>
        <n x="78"/>
        <n x="102"/>
      </t>
    </mdx>
    <mdx n="0" f="v">
      <t c="8">
        <n x="1" s="1"/>
        <n x="2" s="1"/>
        <n x="5" s="1"/>
        <n x="3" s="1"/>
        <n x="4" s="1"/>
        <n x="104"/>
        <n x="78"/>
        <n x="58"/>
      </t>
    </mdx>
    <mdx n="0" f="v">
      <t c="8">
        <n x="1" s="1"/>
        <n x="2" s="1"/>
        <n x="5" s="1"/>
        <n x="3" s="1"/>
        <n x="4" s="1"/>
        <n x="104"/>
        <n x="78"/>
        <n x="155"/>
      </t>
    </mdx>
    <mdx n="0" f="v">
      <t c="8">
        <n x="1" s="1"/>
        <n x="2" s="1"/>
        <n x="5" s="1"/>
        <n x="3" s="1"/>
        <n x="4" s="1"/>
        <n x="104"/>
        <n x="7"/>
        <n x="13"/>
      </t>
    </mdx>
    <mdx n="0" f="v">
      <t c="8">
        <n x="1" s="1"/>
        <n x="2" s="1"/>
        <n x="5" s="1"/>
        <n x="3" s="1"/>
        <n x="4" s="1"/>
        <n x="104"/>
        <n x="7"/>
        <n x="14"/>
      </t>
    </mdx>
    <mdx n="0" f="v">
      <t c="8">
        <n x="1" s="1"/>
        <n x="2" s="1"/>
        <n x="5" s="1"/>
        <n x="3" s="1"/>
        <n x="4" s="1"/>
        <n x="104"/>
        <n x="7"/>
        <n x="15"/>
      </t>
    </mdx>
    <mdx n="0" f="v">
      <t c="8">
        <n x="1" s="1"/>
        <n x="2" s="1"/>
        <n x="5" s="1"/>
        <n x="3" s="1"/>
        <n x="4" s="1"/>
        <n x="104"/>
        <n x="22"/>
        <n x="75"/>
      </t>
    </mdx>
    <mdx n="0" f="v">
      <t c="8">
        <n x="1" s="1"/>
        <n x="2" s="1"/>
        <n x="5" s="1"/>
        <n x="3" s="1"/>
        <n x="4" s="1"/>
        <n x="104"/>
        <n x="22"/>
        <n x="48"/>
      </t>
    </mdx>
    <mdx n="0" f="v">
      <t c="8">
        <n x="1" s="1"/>
        <n x="2" s="1"/>
        <n x="5" s="1"/>
        <n x="3" s="1"/>
        <n x="4" s="1"/>
        <n x="104"/>
        <n x="22"/>
        <n x="141"/>
      </t>
    </mdx>
    <mdx n="0" f="v">
      <t c="8">
        <n x="1" s="1"/>
        <n x="2" s="1"/>
        <n x="5" s="1"/>
        <n x="3" s="1"/>
        <n x="4" s="1"/>
        <n x="104"/>
        <n x="30"/>
        <n x="56"/>
      </t>
    </mdx>
    <mdx n="0" f="v">
      <t c="8">
        <n x="1" s="1"/>
        <n x="2" s="1"/>
        <n x="5" s="1"/>
        <n x="3" s="1"/>
        <n x="4" s="1"/>
        <n x="104"/>
        <n x="30"/>
        <n x="147"/>
      </t>
    </mdx>
    <mdx n="0" f="v">
      <t c="8">
        <n x="1" s="1"/>
        <n x="2" s="1"/>
        <n x="5" s="1"/>
        <n x="3" s="1"/>
        <n x="4" s="1"/>
        <n x="104"/>
        <n x="30"/>
        <n x="119"/>
      </t>
    </mdx>
    <mdx n="0" f="v">
      <t c="8">
        <n x="1" s="1"/>
        <n x="2" s="1"/>
        <n x="5" s="1"/>
        <n x="3" s="1"/>
        <n x="4" s="1"/>
        <n x="104"/>
        <n x="30"/>
        <n x="86"/>
      </t>
    </mdx>
    <mdx n="0" f="v">
      <t c="8">
        <n x="1" s="1"/>
        <n x="2" s="1"/>
        <n x="5" s="1"/>
        <n x="3" s="1"/>
        <n x="4" s="1"/>
        <n x="104"/>
        <n x="149"/>
        <n x="109"/>
      </t>
    </mdx>
    <mdx n="0" f="v">
      <t c="8">
        <n x="1" s="1"/>
        <n x="2" s="1"/>
        <n x="5" s="1"/>
        <n x="3" s="1"/>
        <n x="4" s="1"/>
        <n x="104"/>
        <n x="149"/>
        <n x="103"/>
      </t>
    </mdx>
    <mdx n="0" f="v">
      <t c="8">
        <n x="1" s="1"/>
        <n x="2" s="1"/>
        <n x="5" s="1"/>
        <n x="3" s="1"/>
        <n x="4" s="1"/>
        <n x="104"/>
        <n x="149"/>
        <n x="69"/>
      </t>
    </mdx>
    <mdx n="0" f="v">
      <t c="8">
        <n x="1" s="1"/>
        <n x="2" s="1"/>
        <n x="5" s="1"/>
        <n x="3" s="1"/>
        <n x="4" s="1"/>
        <n x="104"/>
        <n x="156"/>
        <n x="115"/>
      </t>
    </mdx>
    <mdx n="0" f="v">
      <t c="8">
        <n x="1" s="1"/>
        <n x="2" s="1"/>
        <n x="5" s="1"/>
        <n x="3" s="1"/>
        <n x="4" s="1"/>
        <n x="104"/>
        <n x="156"/>
        <n x="76"/>
      </t>
    </mdx>
    <mdx n="0" f="v">
      <t c="8">
        <n x="1" s="1"/>
        <n x="2" s="1"/>
        <n x="5" s="1"/>
        <n x="3" s="1"/>
        <n x="4" s="1"/>
        <n x="104"/>
        <n x="156"/>
        <n x="49"/>
      </t>
    </mdx>
    <mdx n="0" f="v">
      <t c="8">
        <n x="1" s="1"/>
        <n x="2" s="1"/>
        <n x="5" s="1"/>
        <n x="3" s="1"/>
        <n x="4" s="1"/>
        <n x="104"/>
        <n x="158"/>
        <n x="28"/>
      </t>
    </mdx>
    <mdx n="0" f="v">
      <t c="8">
        <n x="1" s="1"/>
        <n x="2" s="1"/>
        <n x="5" s="1"/>
        <n x="3" s="1"/>
        <n x="4" s="1"/>
        <n x="104"/>
        <n x="158"/>
        <n x="29"/>
      </t>
    </mdx>
    <mdx n="0" f="v">
      <t c="8">
        <n x="1" s="1"/>
        <n x="2" s="1"/>
        <n x="5" s="1"/>
        <n x="3" s="1"/>
        <n x="4" s="1"/>
        <n x="104"/>
        <n x="158"/>
        <n x="16"/>
      </t>
    </mdx>
    <mdx n="0" f="v">
      <t c="8">
        <n x="1" s="1"/>
        <n x="2" s="1"/>
        <n x="5" s="1"/>
        <n x="3" s="1"/>
        <n x="4" s="1"/>
        <n x="104"/>
        <n x="161"/>
        <n x="84"/>
      </t>
    </mdx>
    <mdx n="0" f="v">
      <t c="8">
        <n x="1" s="1"/>
        <n x="2" s="1"/>
        <n x="5" s="1"/>
        <n x="3" s="1"/>
        <n x="4" s="1"/>
        <n x="104"/>
        <n x="161"/>
        <n x="160"/>
      </t>
    </mdx>
    <mdx n="0" f="v">
      <t c="8">
        <n x="1" s="1"/>
        <n x="2" s="1"/>
        <n x="5" s="1"/>
        <n x="3" s="1"/>
        <n x="4" s="1"/>
        <n x="104"/>
        <n x="161"/>
        <n x="148"/>
      </t>
    </mdx>
    <mdx n="0" f="v">
      <t c="8">
        <n x="1" s="1"/>
        <n x="2" s="1"/>
        <n x="5" s="1"/>
        <n x="3" s="1"/>
        <n x="4" s="1"/>
        <n x="104"/>
        <n x="66"/>
        <n x="62"/>
      </t>
    </mdx>
    <mdx n="0" f="v">
      <t c="8">
        <n x="1" s="1"/>
        <n x="2" s="1"/>
        <n x="5" s="1"/>
        <n x="3" s="1"/>
        <n x="4" s="1"/>
        <n x="104"/>
        <n x="66"/>
        <n x="59"/>
      </t>
    </mdx>
    <mdx n="0" f="v">
      <t c="8">
        <n x="1" s="1"/>
        <n x="2" s="1"/>
        <n x="5" s="1"/>
        <n x="3" s="1"/>
        <n x="4" s="1"/>
        <n x="104"/>
        <n x="66"/>
        <n x="122"/>
      </t>
    </mdx>
    <mdx n="0" f="v">
      <t c="8">
        <n x="1" s="1"/>
        <n x="2" s="1"/>
        <n x="5" s="1"/>
        <n x="3" s="1"/>
        <n x="4" s="1"/>
        <n x="104"/>
        <n x="66"/>
        <n x="95"/>
      </t>
    </mdx>
    <mdx n="0" f="v">
      <t c="8">
        <n x="1" s="1"/>
        <n x="2" s="1"/>
        <n x="5" s="1"/>
        <n x="3" s="1"/>
        <n x="4" s="1"/>
        <n x="104"/>
        <n x="37"/>
        <n x="43"/>
      </t>
    </mdx>
    <mdx n="0" f="v">
      <t c="8">
        <n x="1" s="1"/>
        <n x="2" s="1"/>
        <n x="5" s="1"/>
        <n x="3" s="1"/>
        <n x="4" s="1"/>
        <n x="104"/>
        <n x="37"/>
        <n x="44"/>
      </t>
    </mdx>
    <mdx n="0" f="v">
      <t c="8">
        <n x="1" s="1"/>
        <n x="2" s="1"/>
        <n x="5" s="1"/>
        <n x="3" s="1"/>
        <n x="4" s="1"/>
        <n x="104"/>
        <n x="37"/>
        <n x="45"/>
      </t>
    </mdx>
    <mdx n="0" f="v">
      <t c="8">
        <n x="1" s="1"/>
        <n x="2" s="1"/>
        <n x="5" s="1"/>
        <n x="3" s="1"/>
        <n x="4" s="1"/>
        <n x="104"/>
        <n x="71"/>
        <n x="107"/>
      </t>
    </mdx>
    <mdx n="0" f="v">
      <t c="8">
        <n x="1" s="1"/>
        <n x="2" s="1"/>
        <n x="5" s="1"/>
        <n x="3" s="1"/>
        <n x="4" s="1"/>
        <n x="104"/>
        <n x="71"/>
        <n x="85"/>
      </t>
    </mdx>
    <mdx n="0" f="v">
      <t c="8">
        <n x="1" s="1"/>
        <n x="2" s="1"/>
        <n x="5" s="1"/>
        <n x="3" s="1"/>
        <n x="4" s="1"/>
        <n x="104"/>
        <n x="71"/>
        <n x="52"/>
      </t>
    </mdx>
    <mdx n="0" f="v">
      <t c="8">
        <n x="1" s="1"/>
        <n x="2" s="1"/>
        <n x="5" s="1"/>
        <n x="3" s="1"/>
        <n x="4" s="1"/>
        <n x="104"/>
        <n x="80"/>
        <n x="19"/>
      </t>
    </mdx>
    <mdx n="0" f="v">
      <t c="8">
        <n x="1" s="1"/>
        <n x="2" s="1"/>
        <n x="5" s="1"/>
        <n x="3" s="1"/>
        <n x="4" s="1"/>
        <n x="104"/>
        <n x="80"/>
        <n x="20"/>
      </t>
    </mdx>
    <mdx n="0" f="v">
      <t c="8">
        <n x="1" s="1"/>
        <n x="2" s="1"/>
        <n x="5" s="1"/>
        <n x="3" s="1"/>
        <n x="4" s="1"/>
        <n x="104"/>
        <n x="80"/>
        <n x="33"/>
      </t>
    </mdx>
    <mdx n="0" f="v">
      <t c="8">
        <n x="1" s="1"/>
        <n x="2" s="1"/>
        <n x="5" s="1"/>
        <n x="3" s="1"/>
        <n x="4" s="1"/>
        <n x="104"/>
        <n x="89"/>
        <n x="93"/>
      </t>
    </mdx>
    <mdx n="0" f="v">
      <t c="8">
        <n x="1" s="1"/>
        <n x="2" s="1"/>
        <n x="5" s="1"/>
        <n x="3" s="1"/>
        <n x="4" s="1"/>
        <n x="104"/>
        <n x="89"/>
        <n x="162"/>
      </t>
    </mdx>
    <mdx n="0" f="v">
      <t c="8">
        <n x="1" s="1"/>
        <n x="2" s="1"/>
        <n x="5" s="1"/>
        <n x="3" s="1"/>
        <n x="4" s="1"/>
        <n x="104"/>
        <n x="89"/>
        <n x="87"/>
      </t>
    </mdx>
    <mdx n="0" f="v">
      <t c="8">
        <n x="1" s="1"/>
        <n x="2" s="1"/>
        <n x="5" s="1"/>
        <n x="3" s="1"/>
        <n x="4" s="1"/>
        <n x="104"/>
        <n x="98"/>
        <n x="63"/>
      </t>
    </mdx>
    <mdx n="0" f="v">
      <t c="8">
        <n x="1" s="1"/>
        <n x="2" s="1"/>
        <n x="5" s="1"/>
        <n x="3" s="1"/>
        <n x="4" s="1"/>
        <n x="104"/>
        <n x="98"/>
        <n x="154"/>
      </t>
    </mdx>
    <mdx n="0" f="v">
      <t c="8">
        <n x="1" s="1"/>
        <n x="2" s="1"/>
        <n x="5" s="1"/>
        <n x="3" s="1"/>
        <n x="4" s="1"/>
        <n x="104"/>
        <n x="98"/>
        <n x="127"/>
      </t>
    </mdx>
    <mdx n="0" f="v">
      <t c="8">
        <n x="1" s="1"/>
        <n x="2" s="1"/>
        <n x="5" s="1"/>
        <n x="3" s="1"/>
        <n x="4" s="1"/>
        <n x="104"/>
        <n x="111"/>
        <n x="164" s="1"/>
      </t>
    </mdx>
    <mdx n="0" f="v">
      <t c="8">
        <n x="1" s="1"/>
        <n x="2" s="1"/>
        <n x="5" s="1"/>
        <n x="3" s="1"/>
        <n x="4" s="1"/>
        <n x="104"/>
        <n x="111"/>
        <n x="128"/>
      </t>
    </mdx>
    <mdx n="0" f="v">
      <t c="8">
        <n x="1" s="1"/>
        <n x="2" s="1"/>
        <n x="5" s="1"/>
        <n x="3" s="1"/>
        <n x="4" s="1"/>
        <n x="104"/>
        <n x="111"/>
        <n x="116"/>
      </t>
    </mdx>
    <mdx n="0" f="v">
      <t c="8">
        <n x="1" s="1"/>
        <n x="2" s="1"/>
        <n x="5" s="1"/>
        <n x="3" s="1"/>
        <n x="4" s="1"/>
        <n x="104"/>
        <n x="111"/>
        <n x="77"/>
      </t>
    </mdx>
    <mdx n="0" f="v">
      <t c="8">
        <n x="1" s="1"/>
        <n x="2" s="1"/>
        <n x="5" s="1"/>
        <n x="3" s="1"/>
        <n x="4" s="1"/>
        <n x="104"/>
        <n x="117"/>
        <n x="108"/>
      </t>
    </mdx>
    <mdx n="0" f="v">
      <t c="8">
        <n x="1" s="1"/>
        <n x="2" s="1"/>
        <n x="5" s="1"/>
        <n x="3" s="1"/>
        <n x="4" s="1"/>
        <n x="104"/>
        <n x="117"/>
        <n x="94"/>
      </t>
    </mdx>
    <mdx n="0" f="v">
      <t c="8">
        <n x="1" s="1"/>
        <n x="2" s="1"/>
        <n x="5" s="1"/>
        <n x="3" s="1"/>
        <n x="4" s="1"/>
        <n x="104"/>
        <n x="117"/>
        <n x="54"/>
      </t>
    </mdx>
    <mdx n="0" f="v">
      <t c="8">
        <n x="1" s="1"/>
        <n x="2" s="1"/>
        <n x="5" s="1"/>
        <n x="3" s="1"/>
        <n x="4" s="1"/>
        <n x="104"/>
        <n x="130"/>
        <n x="102"/>
      </t>
    </mdx>
    <mdx n="0" f="v">
      <t c="8">
        <n x="1" s="1"/>
        <n x="2" s="1"/>
        <n x="5" s="1"/>
        <n x="3" s="1"/>
        <n x="4" s="1"/>
        <n x="104"/>
        <n x="130"/>
        <n x="58"/>
      </t>
    </mdx>
    <mdx n="0" f="v">
      <t c="8">
        <n x="1" s="1"/>
        <n x="2" s="1"/>
        <n x="5" s="1"/>
        <n x="3" s="1"/>
        <n x="4" s="1"/>
        <n x="104"/>
        <n x="130"/>
        <n x="155"/>
      </t>
    </mdx>
    <mdx n="0" f="v">
      <t c="8">
        <n x="1" s="1"/>
        <n x="2" s="1"/>
        <n x="5" s="1"/>
        <n x="3" s="1"/>
        <n x="4" s="1"/>
        <n x="104"/>
        <n x="8"/>
        <n x="13"/>
      </t>
    </mdx>
    <mdx n="0" f="v">
      <t c="8">
        <n x="1" s="1"/>
        <n x="2" s="1"/>
        <n x="5" s="1"/>
        <n x="3" s="1"/>
        <n x="4" s="1"/>
        <n x="104"/>
        <n x="8"/>
        <n x="14"/>
      </t>
    </mdx>
    <mdx n="0" f="v">
      <t c="8">
        <n x="1" s="1"/>
        <n x="2" s="1"/>
        <n x="5" s="1"/>
        <n x="3" s="1"/>
        <n x="4" s="1"/>
        <n x="104"/>
        <n x="8"/>
        <n x="15"/>
      </t>
    </mdx>
    <mdx n="0" f="v">
      <t c="8">
        <n x="1" s="1"/>
        <n x="2" s="1"/>
        <n x="5" s="1"/>
        <n x="3" s="1"/>
        <n x="4" s="1"/>
        <n x="104"/>
        <n x="23"/>
        <n x="75"/>
      </t>
    </mdx>
    <mdx n="0" f="v">
      <t c="8">
        <n x="1" s="1"/>
        <n x="2" s="1"/>
        <n x="5" s="1"/>
        <n x="3" s="1"/>
        <n x="4" s="1"/>
        <n x="104"/>
        <n x="23"/>
        <n x="48"/>
      </t>
    </mdx>
    <mdx n="0" f="v">
      <t c="8">
        <n x="1" s="1"/>
        <n x="2" s="1"/>
        <n x="5" s="1"/>
        <n x="3" s="1"/>
        <n x="4" s="1"/>
        <n x="104"/>
        <n x="23"/>
        <n x="141"/>
      </t>
    </mdx>
    <mdx n="0" f="v">
      <t c="8">
        <n x="1" s="1"/>
        <n x="2" s="1"/>
        <n x="5" s="1"/>
        <n x="3" s="1"/>
        <n x="4" s="1"/>
        <n x="104"/>
        <n x="17"/>
        <n x="56"/>
      </t>
    </mdx>
    <mdx n="0" f="v">
      <t c="8">
        <n x="1" s="1"/>
        <n x="2" s="1"/>
        <n x="5" s="1"/>
        <n x="3" s="1"/>
        <n x="4" s="1"/>
        <n x="104"/>
        <n x="17"/>
        <n x="147"/>
      </t>
    </mdx>
    <mdx n="0" f="v">
      <t c="8">
        <n x="1" s="1"/>
        <n x="2" s="1"/>
        <n x="5" s="1"/>
        <n x="3" s="1"/>
        <n x="4" s="1"/>
        <n x="104"/>
        <n x="17"/>
        <n x="119"/>
      </t>
    </mdx>
    <mdx n="0" f="v">
      <t c="8">
        <n x="1" s="1"/>
        <n x="2" s="1"/>
        <n x="5" s="1"/>
        <n x="3" s="1"/>
        <n x="4" s="1"/>
        <n x="104"/>
        <n x="17"/>
        <n x="86"/>
      </t>
    </mdx>
    <mdx n="0" f="v">
      <t c="8">
        <n x="1" s="1"/>
        <n x="2" s="1"/>
        <n x="5" s="1"/>
        <n x="3" s="1"/>
        <n x="4" s="1"/>
        <n x="104"/>
        <n x="126"/>
        <n x="109"/>
      </t>
    </mdx>
    <mdx n="0" f="v">
      <t c="8">
        <n x="1" s="1"/>
        <n x="2" s="1"/>
        <n x="5" s="1"/>
        <n x="3" s="1"/>
        <n x="4" s="1"/>
        <n x="104"/>
        <n x="126"/>
        <n x="103"/>
      </t>
    </mdx>
    <mdx n="0" f="v">
      <t c="8">
        <n x="1" s="1"/>
        <n x="2" s="1"/>
        <n x="5" s="1"/>
        <n x="3" s="1"/>
        <n x="4" s="1"/>
        <n x="104"/>
        <n x="126"/>
        <n x="69"/>
      </t>
    </mdx>
    <mdx n="0" f="v">
      <t c="8">
        <n x="1" s="1"/>
        <n x="2" s="1"/>
        <n x="5" s="1"/>
        <n x="3" s="1"/>
        <n x="4" s="1"/>
        <n x="104"/>
        <n x="138"/>
        <n x="115"/>
      </t>
    </mdx>
    <mdx n="0" f="v">
      <t c="8">
        <n x="1" s="1"/>
        <n x="2" s="1"/>
        <n x="5" s="1"/>
        <n x="3" s="1"/>
        <n x="4" s="1"/>
        <n x="104"/>
        <n x="138"/>
        <n x="76"/>
      </t>
    </mdx>
    <mdx n="0" f="v">
      <t c="8">
        <n x="1" s="1"/>
        <n x="2" s="1"/>
        <n x="5" s="1"/>
        <n x="3" s="1"/>
        <n x="4" s="1"/>
        <n x="104"/>
        <n x="138"/>
        <n x="49"/>
      </t>
    </mdx>
    <mdx n="0" f="v">
      <t c="8">
        <n x="1" s="1"/>
        <n x="2" s="1"/>
        <n x="5" s="1"/>
        <n x="3" s="1"/>
        <n x="4" s="1"/>
        <n x="104"/>
        <n x="143"/>
        <n x="28"/>
      </t>
    </mdx>
    <mdx n="0" f="v">
      <t c="8">
        <n x="1" s="1"/>
        <n x="2" s="1"/>
        <n x="5" s="1"/>
        <n x="3" s="1"/>
        <n x="4" s="1"/>
        <n x="104"/>
        <n x="143"/>
        <n x="29"/>
      </t>
    </mdx>
    <mdx n="0" f="v">
      <t c="8">
        <n x="1" s="1"/>
        <n x="2" s="1"/>
        <n x="5" s="1"/>
        <n x="3" s="1"/>
        <n x="4" s="1"/>
        <n x="104"/>
        <n x="143"/>
        <n x="16"/>
      </t>
    </mdx>
    <mdx n="0" f="v">
      <t c="8">
        <n x="1" s="1"/>
        <n x="2" s="1"/>
        <n x="5" s="1"/>
        <n x="3" s="1"/>
        <n x="4" s="1"/>
        <n x="104"/>
        <n x="163" s="1"/>
        <n x="109"/>
      </t>
    </mdx>
    <mdx n="0" f="v">
      <t c="8">
        <n x="1" s="1"/>
        <n x="2" s="1"/>
        <n x="5" s="1"/>
        <n x="3" s="1"/>
        <n x="4" s="1"/>
        <n x="104"/>
        <n x="163" s="1"/>
        <n x="103"/>
      </t>
    </mdx>
    <mdx n="0" f="v">
      <t c="8">
        <n x="1" s="1"/>
        <n x="2" s="1"/>
        <n x="5" s="1"/>
        <n x="3" s="1"/>
        <n x="4" s="1"/>
        <n x="104"/>
        <n x="163" s="1"/>
        <n x="69"/>
      </t>
    </mdx>
    <mdx n="0" f="v">
      <t c="8">
        <n x="1" s="1"/>
        <n x="2" s="1"/>
        <n x="5" s="1"/>
        <n x="3" s="1"/>
        <n x="4" s="1"/>
        <n x="104"/>
        <n x="60"/>
        <n x="115"/>
      </t>
    </mdx>
    <mdx n="0" f="v">
      <t c="8">
        <n x="1" s="1"/>
        <n x="2" s="1"/>
        <n x="5" s="1"/>
        <n x="3" s="1"/>
        <n x="4" s="1"/>
        <n x="104"/>
        <n x="60"/>
        <n x="76"/>
      </t>
    </mdx>
    <mdx n="0" f="v">
      <t c="8">
        <n x="1" s="1"/>
        <n x="2" s="1"/>
        <n x="5" s="1"/>
        <n x="3" s="1"/>
        <n x="4" s="1"/>
        <n x="104"/>
        <n x="60"/>
        <n x="49"/>
      </t>
    </mdx>
    <mdx n="0" f="v">
      <t c="8">
        <n x="1" s="1"/>
        <n x="2" s="1"/>
        <n x="5" s="1"/>
        <n x="3" s="1"/>
        <n x="4" s="1"/>
        <n x="104"/>
        <n x="6"/>
        <n x="28"/>
      </t>
    </mdx>
    <mdx n="0" f="v">
      <t c="8">
        <n x="1" s="1"/>
        <n x="2" s="1"/>
        <n x="5" s="1"/>
        <n x="3" s="1"/>
        <n x="4" s="1"/>
        <n x="104"/>
        <n x="6"/>
        <n x="29"/>
      </t>
    </mdx>
    <mdx n="0" f="v">
      <t c="8">
        <n x="1" s="1"/>
        <n x="2" s="1"/>
        <n x="5" s="1"/>
        <n x="3" s="1"/>
        <n x="4" s="1"/>
        <n x="104"/>
        <n x="6"/>
        <n x="16"/>
      </t>
    </mdx>
    <mdx n="0" f="v">
      <t c="8">
        <n x="1" s="1"/>
        <n x="2" s="1"/>
        <n x="5" s="1"/>
        <n x="3" s="1"/>
        <n x="4" s="1"/>
        <n x="104"/>
        <n x="21"/>
        <n x="84"/>
      </t>
    </mdx>
    <mdx n="0" f="v">
      <t c="8">
        <n x="1" s="1"/>
        <n x="2" s="1"/>
        <n x="5" s="1"/>
        <n x="3" s="1"/>
        <n x="4" s="1"/>
        <n x="104"/>
        <n x="21"/>
        <n x="160"/>
      </t>
    </mdx>
    <mdx n="0" f="v">
      <t c="8">
        <n x="1" s="1"/>
        <n x="2" s="1"/>
        <n x="5" s="1"/>
        <n x="3" s="1"/>
        <n x="4" s="1"/>
        <n x="104"/>
        <n x="21"/>
        <n x="148"/>
      </t>
    </mdx>
    <mdx n="0" f="v">
      <t c="8">
        <n x="1" s="1"/>
        <n x="2" s="1"/>
        <n x="5" s="1"/>
        <n x="3" s="1"/>
        <n x="4" s="1"/>
        <n x="104"/>
        <n x="34"/>
        <n x="62"/>
      </t>
    </mdx>
    <mdx n="0" f="v">
      <t c="8">
        <n x="1" s="1"/>
        <n x="2" s="1"/>
        <n x="5" s="1"/>
        <n x="3" s="1"/>
        <n x="4" s="1"/>
        <n x="104"/>
        <n x="34"/>
        <n x="59"/>
      </t>
    </mdx>
    <mdx n="0" f="v">
      <t c="8">
        <n x="1" s="1"/>
        <n x="2" s="1"/>
        <n x="5" s="1"/>
        <n x="3" s="1"/>
        <n x="4" s="1"/>
        <n x="104"/>
        <n x="34"/>
        <n x="122"/>
      </t>
    </mdx>
    <mdx n="0" f="v">
      <t c="8">
        <n x="1" s="1"/>
        <n x="2" s="1"/>
        <n x="5" s="1"/>
        <n x="3" s="1"/>
        <n x="4" s="1"/>
        <n x="104"/>
        <n x="34"/>
        <n x="95"/>
      </t>
    </mdx>
    <mdx n="0" f="v">
      <t c="8">
        <n x="1" s="1"/>
        <n x="2" s="1"/>
        <n x="5" s="1"/>
        <n x="3" s="1"/>
        <n x="4" s="1"/>
        <n x="104"/>
        <n x="65"/>
        <n x="43"/>
      </t>
    </mdx>
    <mdx n="0" f="v">
      <t c="8">
        <n x="1" s="1"/>
        <n x="2" s="1"/>
        <n x="5" s="1"/>
        <n x="3" s="1"/>
        <n x="4" s="1"/>
        <n x="104"/>
        <n x="65"/>
        <n x="44"/>
      </t>
    </mdx>
    <mdx n="0" f="v">
      <t c="8">
        <n x="1" s="1"/>
        <n x="2" s="1"/>
        <n x="5" s="1"/>
        <n x="3" s="1"/>
        <n x="4" s="1"/>
        <n x="104"/>
        <n x="65"/>
        <n x="45"/>
      </t>
    </mdx>
    <mdx n="0" f="v">
      <t c="8">
        <n x="1" s="1"/>
        <n x="2" s="1"/>
        <n x="5" s="1"/>
        <n x="3" s="1"/>
        <n x="4" s="1"/>
        <n x="104"/>
        <n x="70"/>
        <n x="107"/>
      </t>
    </mdx>
    <mdx n="0" f="v">
      <t c="8">
        <n x="1" s="1"/>
        <n x="2" s="1"/>
        <n x="5" s="1"/>
        <n x="3" s="1"/>
        <n x="4" s="1"/>
        <n x="104"/>
        <n x="70"/>
        <n x="85"/>
      </t>
    </mdx>
    <mdx n="0" f="v">
      <t c="8">
        <n x="1" s="1"/>
        <n x="2" s="1"/>
        <n x="5" s="1"/>
        <n x="3" s="1"/>
        <n x="4" s="1"/>
        <n x="104"/>
        <n x="70"/>
        <n x="52"/>
      </t>
    </mdx>
    <mdx n="0" f="v">
      <t c="8">
        <n x="1" s="1"/>
        <n x="2" s="1"/>
        <n x="5" s="1"/>
        <n x="3" s="1"/>
        <n x="4" s="1"/>
        <n x="104"/>
        <n x="79"/>
        <n x="19"/>
      </t>
    </mdx>
    <mdx n="0" f="v">
      <t c="8">
        <n x="1" s="1"/>
        <n x="2" s="1"/>
        <n x="5" s="1"/>
        <n x="3" s="1"/>
        <n x="4" s="1"/>
        <n x="104"/>
        <n x="79"/>
        <n x="20"/>
      </t>
    </mdx>
    <mdx n="0" f="v">
      <t c="8">
        <n x="1" s="1"/>
        <n x="2" s="1"/>
        <n x="5" s="1"/>
        <n x="3" s="1"/>
        <n x="4" s="1"/>
        <n x="104"/>
        <n x="79"/>
        <n x="33"/>
      </t>
    </mdx>
    <mdx n="0" f="v">
      <t c="8">
        <n x="1" s="1"/>
        <n x="2" s="1"/>
        <n x="5" s="1"/>
        <n x="3" s="1"/>
        <n x="4" s="1"/>
        <n x="104"/>
        <n x="88"/>
        <n x="93"/>
      </t>
    </mdx>
    <mdx n="0" f="v">
      <t c="8">
        <n x="1" s="1"/>
        <n x="2" s="1"/>
        <n x="5" s="1"/>
        <n x="3" s="1"/>
        <n x="4" s="1"/>
        <n x="104"/>
        <n x="88"/>
        <n x="162"/>
      </t>
    </mdx>
    <mdx n="0" f="v">
      <t c="8">
        <n x="1" s="1"/>
        <n x="2" s="1"/>
        <n x="5" s="1"/>
        <n x="3" s="1"/>
        <n x="4" s="1"/>
        <n x="104"/>
        <n x="88"/>
        <n x="87"/>
      </t>
    </mdx>
    <mdx n="0" f="v">
      <t c="8">
        <n x="1" s="1"/>
        <n x="2" s="1"/>
        <n x="5" s="1"/>
        <n x="3" s="1"/>
        <n x="4" s="1"/>
        <n x="104"/>
        <n x="97"/>
        <n x="63"/>
      </t>
    </mdx>
    <mdx n="0" f="v">
      <t c="8">
        <n x="1" s="1"/>
        <n x="2" s="1"/>
        <n x="5" s="1"/>
        <n x="3" s="1"/>
        <n x="4" s="1"/>
        <n x="104"/>
        <n x="97"/>
        <n x="154"/>
      </t>
    </mdx>
    <mdx n="0" f="v">
      <t c="8">
        <n x="1" s="1"/>
        <n x="2" s="1"/>
        <n x="5" s="1"/>
        <n x="3" s="1"/>
        <n x="4" s="1"/>
        <n x="104"/>
        <n x="97"/>
        <n x="127"/>
      </t>
    </mdx>
    <mdx n="0" f="v">
      <t c="8">
        <n x="1" s="1"/>
        <n x="2" s="1"/>
        <n x="5" s="1"/>
        <n x="3" s="1"/>
        <n x="4" s="1"/>
        <n x="104"/>
        <n x="36"/>
        <n x="164" s="1"/>
      </t>
    </mdx>
    <mdx n="0" f="v">
      <t c="8">
        <n x="1" s="1"/>
        <n x="2" s="1"/>
        <n x="5" s="1"/>
        <n x="3" s="1"/>
        <n x="4" s="1"/>
        <n x="104"/>
        <n x="36"/>
        <n x="128"/>
      </t>
    </mdx>
    <mdx n="0" f="v">
      <t c="8">
        <n x="1" s="1"/>
        <n x="2" s="1"/>
        <n x="5" s="1"/>
        <n x="3" s="1"/>
        <n x="4" s="1"/>
        <n x="104"/>
        <n x="36"/>
        <n x="116"/>
      </t>
    </mdx>
    <mdx n="0" f="v">
      <t c="8">
        <n x="1" s="1"/>
        <n x="2" s="1"/>
        <n x="5" s="1"/>
        <n x="3" s="1"/>
        <n x="4" s="1"/>
        <n x="104"/>
        <n x="36"/>
        <n x="77"/>
      </t>
    </mdx>
    <mdx n="0" f="v">
      <t c="8">
        <n x="1" s="1"/>
        <n x="2" s="1"/>
        <n x="5" s="1"/>
        <n x="3" s="1"/>
        <n x="4" s="1"/>
        <n x="104"/>
        <n x="110"/>
        <n x="108"/>
      </t>
    </mdx>
    <mdx n="0" f="v">
      <t c="8">
        <n x="1" s="1"/>
        <n x="2" s="1"/>
        <n x="5" s="1"/>
        <n x="3" s="1"/>
        <n x="4" s="1"/>
        <n x="104"/>
        <n x="110"/>
        <n x="94"/>
      </t>
    </mdx>
    <mdx n="0" f="v">
      <t c="8">
        <n x="1" s="1"/>
        <n x="2" s="1"/>
        <n x="5" s="1"/>
        <n x="3" s="1"/>
        <n x="4" s="1"/>
        <n x="104"/>
        <n x="110"/>
        <n x="54"/>
      </t>
    </mdx>
    <mdx n="0" f="v">
      <t c="8">
        <n x="1" s="1"/>
        <n x="2" s="1"/>
        <n x="5" s="1"/>
        <n x="3" s="1"/>
        <n x="4" s="1"/>
        <n x="104"/>
        <n x="105"/>
        <n x="102"/>
      </t>
    </mdx>
    <mdx n="0" f="v">
      <t c="8">
        <n x="1" s="1"/>
        <n x="2" s="1"/>
        <n x="5" s="1"/>
        <n x="3" s="1"/>
        <n x="4" s="1"/>
        <n x="104"/>
        <n x="105"/>
        <n x="58"/>
      </t>
    </mdx>
    <mdx n="0" f="v">
      <t c="8">
        <n x="1" s="1"/>
        <n x="2" s="1"/>
        <n x="5" s="1"/>
        <n x="3" s="1"/>
        <n x="4" s="1"/>
        <n x="104"/>
        <n x="105"/>
        <n x="155"/>
      </t>
    </mdx>
    <mdx n="0" f="v">
      <t c="8">
        <n x="1" s="1"/>
        <n x="2" s="1"/>
        <n x="5" s="1"/>
        <n x="3" s="1"/>
        <n x="4" s="1"/>
        <n x="104"/>
        <n x="120"/>
        <n x="13"/>
      </t>
    </mdx>
    <mdx n="0" f="v">
      <t c="8">
        <n x="1" s="1"/>
        <n x="2" s="1"/>
        <n x="5" s="1"/>
        <n x="3" s="1"/>
        <n x="4" s="1"/>
        <n x="104"/>
        <n x="120"/>
        <n x="14"/>
      </t>
    </mdx>
    <mdx n="0" f="v">
      <t c="8">
        <n x="1" s="1"/>
        <n x="2" s="1"/>
        <n x="5" s="1"/>
        <n x="3" s="1"/>
        <n x="4" s="1"/>
        <n x="104"/>
        <n x="120"/>
        <n x="15"/>
      </t>
    </mdx>
    <mdx n="0" f="v">
      <t c="8">
        <n x="1" s="1"/>
        <n x="2" s="1"/>
        <n x="5" s="1"/>
        <n x="3" s="1"/>
        <n x="4" s="1"/>
        <n x="104"/>
        <n x="133"/>
        <n x="75"/>
      </t>
    </mdx>
    <mdx n="0" f="v">
      <t c="8">
        <n x="1" s="1"/>
        <n x="2" s="1"/>
        <n x="5" s="1"/>
        <n x="3" s="1"/>
        <n x="4" s="1"/>
        <n x="104"/>
        <n x="133"/>
        <n x="48"/>
      </t>
    </mdx>
    <mdx n="0" f="v">
      <t c="8">
        <n x="1" s="1"/>
        <n x="2" s="1"/>
        <n x="5" s="1"/>
        <n x="3" s="1"/>
        <n x="4" s="1"/>
        <n x="104"/>
        <n x="133"/>
        <n x="141"/>
      </t>
    </mdx>
    <mdx n="0" f="v">
      <t c="8">
        <n x="1" s="1"/>
        <n x="2" s="1"/>
        <n x="5" s="1"/>
        <n x="3" s="1"/>
        <n x="4" s="1"/>
        <n x="104"/>
        <n x="137"/>
        <n x="56"/>
      </t>
    </mdx>
    <mdx n="0" f="v">
      <t c="8">
        <n x="1" s="1"/>
        <n x="2" s="1"/>
        <n x="5" s="1"/>
        <n x="3" s="1"/>
        <n x="4" s="1"/>
        <n x="104"/>
        <n x="137"/>
        <n x="147"/>
      </t>
    </mdx>
    <mdx n="0" f="v">
      <t c="8">
        <n x="1" s="1"/>
        <n x="2" s="1"/>
        <n x="5" s="1"/>
        <n x="3" s="1"/>
        <n x="4" s="1"/>
        <n x="104"/>
        <n x="137"/>
        <n x="119"/>
      </t>
    </mdx>
    <mdx n="0" f="v">
      <t c="8">
        <n x="1" s="1"/>
        <n x="2" s="1"/>
        <n x="5" s="1"/>
        <n x="3" s="1"/>
        <n x="4" s="1"/>
        <n x="104"/>
        <n x="137"/>
        <n x="86"/>
      </t>
    </mdx>
    <mdx n="0" f="v">
      <t c="8">
        <n x="1" s="1"/>
        <n x="2" s="1"/>
        <n x="5" s="1"/>
        <n x="3" s="1"/>
        <n x="4" s="1"/>
        <n x="104"/>
        <n x="142"/>
        <n x="109"/>
      </t>
    </mdx>
    <mdx n="0" f="v">
      <t c="8">
        <n x="1" s="1"/>
        <n x="2" s="1"/>
        <n x="5" s="1"/>
        <n x="3" s="1"/>
        <n x="4" s="1"/>
        <n x="104"/>
        <n x="142"/>
        <n x="103"/>
      </t>
    </mdx>
    <mdx n="0" f="v">
      <t c="8">
        <n x="1" s="1"/>
        <n x="2" s="1"/>
        <n x="5" s="1"/>
        <n x="3" s="1"/>
        <n x="4" s="1"/>
        <n x="104"/>
        <n x="142"/>
        <n x="69"/>
      </t>
    </mdx>
    <mdx n="0" f="v">
      <t c="8">
        <n x="1" s="1"/>
        <n x="2" s="1"/>
        <n x="5" s="1"/>
        <n x="3" s="1"/>
        <n x="4" s="1"/>
        <n x="104"/>
        <n x="78"/>
        <n x="115"/>
      </t>
    </mdx>
    <mdx n="0" f="v">
      <t c="8">
        <n x="1" s="1"/>
        <n x="2" s="1"/>
        <n x="5" s="1"/>
        <n x="3" s="1"/>
        <n x="4" s="1"/>
        <n x="104"/>
        <n x="78"/>
        <n x="76"/>
      </t>
    </mdx>
    <mdx n="0" f="v">
      <t c="8">
        <n x="1" s="1"/>
        <n x="2" s="1"/>
        <n x="5" s="1"/>
        <n x="3" s="1"/>
        <n x="4" s="1"/>
        <n x="104"/>
        <n x="78"/>
        <n x="49"/>
      </t>
    </mdx>
    <mdx n="0" f="v">
      <t c="8">
        <n x="1" s="1"/>
        <n x="2" s="1"/>
        <n x="5" s="1"/>
        <n x="3" s="1"/>
        <n x="4" s="1"/>
        <n x="104"/>
        <n x="7"/>
        <n x="28"/>
      </t>
    </mdx>
    <mdx n="0" f="v">
      <t c="8">
        <n x="1" s="1"/>
        <n x="2" s="1"/>
        <n x="5" s="1"/>
        <n x="3" s="1"/>
        <n x="4" s="1"/>
        <n x="104"/>
        <n x="7"/>
        <n x="29"/>
      </t>
    </mdx>
    <mdx n="0" f="v">
      <t c="8">
        <n x="1" s="1"/>
        <n x="2" s="1"/>
        <n x="5" s="1"/>
        <n x="3" s="1"/>
        <n x="4" s="1"/>
        <n x="104"/>
        <n x="7"/>
        <n x="16"/>
      </t>
    </mdx>
    <mdx n="0" f="v">
      <t c="8">
        <n x="1" s="1"/>
        <n x="2" s="1"/>
        <n x="5" s="1"/>
        <n x="3" s="1"/>
        <n x="4" s="1"/>
        <n x="104"/>
        <n x="22"/>
        <n x="84"/>
      </t>
    </mdx>
    <mdx n="0" f="v">
      <t c="8">
        <n x="1" s="1"/>
        <n x="2" s="1"/>
        <n x="5" s="1"/>
        <n x="3" s="1"/>
        <n x="4" s="1"/>
        <n x="104"/>
        <n x="22"/>
        <n x="160"/>
      </t>
    </mdx>
    <mdx n="0" f="v">
      <t c="8">
        <n x="1" s="1"/>
        <n x="2" s="1"/>
        <n x="5" s="1"/>
        <n x="3" s="1"/>
        <n x="4" s="1"/>
        <n x="104"/>
        <n x="22"/>
        <n x="148"/>
      </t>
    </mdx>
    <mdx n="0" f="v">
      <t c="8">
        <n x="1" s="1"/>
        <n x="2" s="1"/>
        <n x="5" s="1"/>
        <n x="3" s="1"/>
        <n x="4" s="1"/>
        <n x="104"/>
        <n x="30"/>
        <n x="62"/>
      </t>
    </mdx>
    <mdx n="0" f="v">
      <t c="8">
        <n x="1" s="1"/>
        <n x="2" s="1"/>
        <n x="5" s="1"/>
        <n x="3" s="1"/>
        <n x="4" s="1"/>
        <n x="104"/>
        <n x="30"/>
        <n x="59"/>
      </t>
    </mdx>
    <mdx n="0" f="v">
      <t c="8">
        <n x="1" s="1"/>
        <n x="2" s="1"/>
        <n x="5" s="1"/>
        <n x="3" s="1"/>
        <n x="4" s="1"/>
        <n x="104"/>
        <n x="30"/>
        <n x="122"/>
      </t>
    </mdx>
    <mdx n="0" f="v">
      <t c="8">
        <n x="1" s="1"/>
        <n x="2" s="1"/>
        <n x="5" s="1"/>
        <n x="3" s="1"/>
        <n x="4" s="1"/>
        <n x="104"/>
        <n x="30"/>
        <n x="95"/>
      </t>
    </mdx>
    <mdx n="0" f="v">
      <t c="8">
        <n x="1" s="1"/>
        <n x="2" s="1"/>
        <n x="5" s="1"/>
        <n x="3" s="1"/>
        <n x="4" s="1"/>
        <n x="104"/>
        <n x="149"/>
        <n x="43"/>
      </t>
    </mdx>
    <mdx n="0" f="v">
      <t c="8">
        <n x="1" s="1"/>
        <n x="2" s="1"/>
        <n x="5" s="1"/>
        <n x="3" s="1"/>
        <n x="4" s="1"/>
        <n x="104"/>
        <n x="149"/>
        <n x="44"/>
      </t>
    </mdx>
    <mdx n="0" f="v">
      <t c="8">
        <n x="1" s="1"/>
        <n x="2" s="1"/>
        <n x="5" s="1"/>
        <n x="3" s="1"/>
        <n x="4" s="1"/>
        <n x="104"/>
        <n x="149"/>
        <n x="45"/>
      </t>
    </mdx>
    <mdx n="0" f="v">
      <t c="8">
        <n x="1" s="1"/>
        <n x="2" s="1"/>
        <n x="5" s="1"/>
        <n x="3" s="1"/>
        <n x="4" s="1"/>
        <n x="104"/>
        <n x="156"/>
        <n x="107"/>
      </t>
    </mdx>
    <mdx n="0" f="v">
      <t c="8">
        <n x="1" s="1"/>
        <n x="2" s="1"/>
        <n x="5" s="1"/>
        <n x="3" s="1"/>
        <n x="4" s="1"/>
        <n x="104"/>
        <n x="156"/>
        <n x="85"/>
      </t>
    </mdx>
    <mdx n="0" f="v">
      <t c="8">
        <n x="1" s="1"/>
        <n x="2" s="1"/>
        <n x="5" s="1"/>
        <n x="3" s="1"/>
        <n x="4" s="1"/>
        <n x="104"/>
        <n x="156"/>
        <n x="52"/>
      </t>
    </mdx>
    <mdx n="0" f="v">
      <t c="8">
        <n x="1" s="1"/>
        <n x="2" s="1"/>
        <n x="5" s="1"/>
        <n x="3" s="1"/>
        <n x="4" s="1"/>
        <n x="104"/>
        <n x="158"/>
        <n x="19"/>
      </t>
    </mdx>
    <mdx n="0" f="v">
      <t c="8">
        <n x="1" s="1"/>
        <n x="2" s="1"/>
        <n x="5" s="1"/>
        <n x="3" s="1"/>
        <n x="4" s="1"/>
        <n x="104"/>
        <n x="158"/>
        <n x="20"/>
      </t>
    </mdx>
    <mdx n="0" f="v">
      <t c="8">
        <n x="1" s="1"/>
        <n x="2" s="1"/>
        <n x="5" s="1"/>
        <n x="3" s="1"/>
        <n x="4" s="1"/>
        <n x="104"/>
        <n x="158"/>
        <n x="33"/>
      </t>
    </mdx>
    <mdx n="0" f="v">
      <t c="8">
        <n x="1" s="1"/>
        <n x="2" s="1"/>
        <n x="5" s="1"/>
        <n x="3" s="1"/>
        <n x="4" s="1"/>
        <n x="104"/>
        <n x="161"/>
        <n x="93"/>
      </t>
    </mdx>
    <mdx n="0" f="v">
      <t c="8">
        <n x="1" s="1"/>
        <n x="2" s="1"/>
        <n x="5" s="1"/>
        <n x="3" s="1"/>
        <n x="4" s="1"/>
        <n x="104"/>
        <n x="161"/>
        <n x="162"/>
      </t>
    </mdx>
    <mdx n="0" f="v">
      <t c="8">
        <n x="1" s="1"/>
        <n x="2" s="1"/>
        <n x="5" s="1"/>
        <n x="3" s="1"/>
        <n x="4" s="1"/>
        <n x="104"/>
        <n x="161"/>
        <n x="87"/>
      </t>
    </mdx>
    <mdx n="0" f="v">
      <t c="8">
        <n x="1" s="1"/>
        <n x="2" s="1"/>
        <n x="5" s="1"/>
        <n x="3" s="1"/>
        <n x="4" s="1"/>
        <n x="104"/>
        <n x="66"/>
        <n x="63"/>
      </t>
    </mdx>
    <mdx n="0" f="v">
      <t c="8">
        <n x="1" s="1"/>
        <n x="2" s="1"/>
        <n x="5" s="1"/>
        <n x="3" s="1"/>
        <n x="4" s="1"/>
        <n x="104"/>
        <n x="66"/>
        <n x="154"/>
      </t>
    </mdx>
    <mdx n="0" f="v">
      <t c="8">
        <n x="1" s="1"/>
        <n x="2" s="1"/>
        <n x="5" s="1"/>
        <n x="3" s="1"/>
        <n x="4" s="1"/>
        <n x="104"/>
        <n x="66"/>
        <n x="127"/>
      </t>
    </mdx>
    <mdx n="0" f="v">
      <t c="8">
        <n x="1" s="1"/>
        <n x="2" s="1"/>
        <n x="5" s="1"/>
        <n x="3" s="1"/>
        <n x="4" s="1"/>
        <n x="104"/>
        <n x="37"/>
        <n x="164" s="1"/>
      </t>
    </mdx>
    <mdx n="0" f="v">
      <t c="8">
        <n x="1" s="1"/>
        <n x="2" s="1"/>
        <n x="5" s="1"/>
        <n x="3" s="1"/>
        <n x="4" s="1"/>
        <n x="104"/>
        <n x="37"/>
        <n x="128"/>
      </t>
    </mdx>
    <mdx n="0" f="v">
      <t c="8">
        <n x="1" s="1"/>
        <n x="2" s="1"/>
        <n x="5" s="1"/>
        <n x="3" s="1"/>
        <n x="4" s="1"/>
        <n x="104"/>
        <n x="37"/>
        <n x="116"/>
      </t>
    </mdx>
    <mdx n="0" f="v">
      <t c="8">
        <n x="1" s="1"/>
        <n x="2" s="1"/>
        <n x="5" s="1"/>
        <n x="3" s="1"/>
        <n x="4" s="1"/>
        <n x="104"/>
        <n x="37"/>
        <n x="77"/>
      </t>
    </mdx>
    <mdx n="0" f="v">
      <t c="8">
        <n x="1" s="1"/>
        <n x="2" s="1"/>
        <n x="5" s="1"/>
        <n x="3" s="1"/>
        <n x="4" s="1"/>
        <n x="104"/>
        <n x="71"/>
        <n x="108"/>
      </t>
    </mdx>
    <mdx n="0" f="v">
      <t c="8">
        <n x="1" s="1"/>
        <n x="2" s="1"/>
        <n x="5" s="1"/>
        <n x="3" s="1"/>
        <n x="4" s="1"/>
        <n x="104"/>
        <n x="71"/>
        <n x="94"/>
      </t>
    </mdx>
    <mdx n="0" f="v">
      <t c="8">
        <n x="1" s="1"/>
        <n x="2" s="1"/>
        <n x="5" s="1"/>
        <n x="3" s="1"/>
        <n x="4" s="1"/>
        <n x="104"/>
        <n x="71"/>
        <n x="54"/>
      </t>
    </mdx>
    <mdx n="0" f="v">
      <t c="8">
        <n x="1" s="1"/>
        <n x="2" s="1"/>
        <n x="5" s="1"/>
        <n x="3" s="1"/>
        <n x="4" s="1"/>
        <n x="104"/>
        <n x="80"/>
        <n x="102"/>
      </t>
    </mdx>
    <mdx n="0" f="v">
      <t c="8">
        <n x="1" s="1"/>
        <n x="2" s="1"/>
        <n x="5" s="1"/>
        <n x="3" s="1"/>
        <n x="4" s="1"/>
        <n x="104"/>
        <n x="80"/>
        <n x="58"/>
      </t>
    </mdx>
    <mdx n="0" f="v">
      <t c="8">
        <n x="1" s="1"/>
        <n x="2" s="1"/>
        <n x="5" s="1"/>
        <n x="3" s="1"/>
        <n x="4" s="1"/>
        <n x="104"/>
        <n x="80"/>
        <n x="155"/>
      </t>
    </mdx>
    <mdx n="0" f="v">
      <t c="8">
        <n x="1" s="1"/>
        <n x="2" s="1"/>
        <n x="5" s="1"/>
        <n x="3" s="1"/>
        <n x="4" s="1"/>
        <n x="104"/>
        <n x="89"/>
        <n x="13"/>
      </t>
    </mdx>
    <mdx n="0" f="v">
      <t c="8">
        <n x="1" s="1"/>
        <n x="2" s="1"/>
        <n x="5" s="1"/>
        <n x="3" s="1"/>
        <n x="4" s="1"/>
        <n x="104"/>
        <n x="89"/>
        <n x="14"/>
      </t>
    </mdx>
    <mdx n="0" f="v">
      <t c="8">
        <n x="1" s="1"/>
        <n x="2" s="1"/>
        <n x="5" s="1"/>
        <n x="3" s="1"/>
        <n x="4" s="1"/>
        <n x="104"/>
        <n x="89"/>
        <n x="15"/>
      </t>
    </mdx>
    <mdx n="0" f="v">
      <t c="8">
        <n x="1" s="1"/>
        <n x="2" s="1"/>
        <n x="5" s="1"/>
        <n x="3" s="1"/>
        <n x="4" s="1"/>
        <n x="104"/>
        <n x="98"/>
        <n x="75"/>
      </t>
    </mdx>
    <mdx n="0" f="v">
      <t c="8">
        <n x="1" s="1"/>
        <n x="2" s="1"/>
        <n x="5" s="1"/>
        <n x="3" s="1"/>
        <n x="4" s="1"/>
        <n x="104"/>
        <n x="98"/>
        <n x="48"/>
      </t>
    </mdx>
    <mdx n="0" f="v">
      <t c="8">
        <n x="1" s="1"/>
        <n x="2" s="1"/>
        <n x="5" s="1"/>
        <n x="3" s="1"/>
        <n x="4" s="1"/>
        <n x="104"/>
        <n x="98"/>
        <n x="141"/>
      </t>
    </mdx>
    <mdx n="0" f="v">
      <t c="8">
        <n x="1" s="1"/>
        <n x="2" s="1"/>
        <n x="5" s="1"/>
        <n x="3" s="1"/>
        <n x="4" s="1"/>
        <n x="104"/>
        <n x="111"/>
        <n x="56"/>
      </t>
    </mdx>
    <mdx n="0" f="v">
      <t c="8">
        <n x="1" s="1"/>
        <n x="2" s="1"/>
        <n x="5" s="1"/>
        <n x="3" s="1"/>
        <n x="4" s="1"/>
        <n x="104"/>
        <n x="111"/>
        <n x="147"/>
      </t>
    </mdx>
    <mdx n="0" f="v">
      <t c="8">
        <n x="1" s="1"/>
        <n x="2" s="1"/>
        <n x="5" s="1"/>
        <n x="3" s="1"/>
        <n x="4" s="1"/>
        <n x="104"/>
        <n x="111"/>
        <n x="119"/>
      </t>
    </mdx>
    <mdx n="0" f="v">
      <t c="8">
        <n x="1" s="1"/>
        <n x="2" s="1"/>
        <n x="5" s="1"/>
        <n x="3" s="1"/>
        <n x="4" s="1"/>
        <n x="104"/>
        <n x="111"/>
        <n x="86"/>
      </t>
    </mdx>
    <mdx n="0" f="v">
      <t c="8">
        <n x="1" s="1"/>
        <n x="2" s="1"/>
        <n x="5" s="1"/>
        <n x="3" s="1"/>
        <n x="4" s="1"/>
        <n x="104"/>
        <n x="117"/>
        <n x="109"/>
      </t>
    </mdx>
    <mdx n="0" f="v">
      <t c="8">
        <n x="1" s="1"/>
        <n x="2" s="1"/>
        <n x="5" s="1"/>
        <n x="3" s="1"/>
        <n x="4" s="1"/>
        <n x="104"/>
        <n x="117"/>
        <n x="103"/>
      </t>
    </mdx>
    <mdx n="0" f="v">
      <t c="8">
        <n x="1" s="1"/>
        <n x="2" s="1"/>
        <n x="5" s="1"/>
        <n x="3" s="1"/>
        <n x="4" s="1"/>
        <n x="104"/>
        <n x="117"/>
        <n x="69"/>
      </t>
    </mdx>
    <mdx n="0" f="v">
      <t c="8">
        <n x="1" s="1"/>
        <n x="2" s="1"/>
        <n x="5" s="1"/>
        <n x="3" s="1"/>
        <n x="4" s="1"/>
        <n x="104"/>
        <n x="130"/>
        <n x="115"/>
      </t>
    </mdx>
    <mdx n="0" f="v">
      <t c="8">
        <n x="1" s="1"/>
        <n x="2" s="1"/>
        <n x="5" s="1"/>
        <n x="3" s="1"/>
        <n x="4" s="1"/>
        <n x="104"/>
        <n x="130"/>
        <n x="76"/>
      </t>
    </mdx>
    <mdx n="0" f="v">
      <t c="8">
        <n x="1" s="1"/>
        <n x="2" s="1"/>
        <n x="5" s="1"/>
        <n x="3" s="1"/>
        <n x="4" s="1"/>
        <n x="104"/>
        <n x="130"/>
        <n x="49"/>
      </t>
    </mdx>
    <mdx n="0" f="v">
      <t c="8">
        <n x="1" s="1"/>
        <n x="2" s="1"/>
        <n x="5" s="1"/>
        <n x="3" s="1"/>
        <n x="4" s="1"/>
        <n x="104"/>
        <n x="8"/>
        <n x="28"/>
      </t>
    </mdx>
    <mdx n="0" f="v">
      <t c="8">
        <n x="1" s="1"/>
        <n x="2" s="1"/>
        <n x="5" s="1"/>
        <n x="3" s="1"/>
        <n x="4" s="1"/>
        <n x="104"/>
        <n x="8"/>
        <n x="29"/>
      </t>
    </mdx>
    <mdx n="0" f="v">
      <t c="8">
        <n x="1" s="1"/>
        <n x="2" s="1"/>
        <n x="5" s="1"/>
        <n x="3" s="1"/>
        <n x="4" s="1"/>
        <n x="104"/>
        <n x="8"/>
        <n x="16"/>
      </t>
    </mdx>
    <mdx n="0" f="v">
      <t c="8">
        <n x="1" s="1"/>
        <n x="2" s="1"/>
        <n x="5" s="1"/>
        <n x="3" s="1"/>
        <n x="4" s="1"/>
        <n x="104"/>
        <n x="23"/>
        <n x="84"/>
      </t>
    </mdx>
    <mdx n="0" f="v">
      <t c="8">
        <n x="1" s="1"/>
        <n x="2" s="1"/>
        <n x="5" s="1"/>
        <n x="3" s="1"/>
        <n x="4" s="1"/>
        <n x="104"/>
        <n x="23"/>
        <n x="160"/>
      </t>
    </mdx>
    <mdx n="0" f="v">
      <t c="8">
        <n x="1" s="1"/>
        <n x="2" s="1"/>
        <n x="5" s="1"/>
        <n x="3" s="1"/>
        <n x="4" s="1"/>
        <n x="104"/>
        <n x="23"/>
        <n x="148"/>
      </t>
    </mdx>
    <mdx n="0" f="v">
      <t c="8">
        <n x="1" s="1"/>
        <n x="2" s="1"/>
        <n x="5" s="1"/>
        <n x="3" s="1"/>
        <n x="4" s="1"/>
        <n x="104"/>
        <n x="17"/>
        <n x="62"/>
      </t>
    </mdx>
    <mdx n="0" f="v">
      <t c="8">
        <n x="1" s="1"/>
        <n x="2" s="1"/>
        <n x="5" s="1"/>
        <n x="3" s="1"/>
        <n x="4" s="1"/>
        <n x="104"/>
        <n x="17"/>
        <n x="59"/>
      </t>
    </mdx>
    <mdx n="0" f="v">
      <t c="8">
        <n x="1" s="1"/>
        <n x="2" s="1"/>
        <n x="5" s="1"/>
        <n x="3" s="1"/>
        <n x="4" s="1"/>
        <n x="104"/>
        <n x="17"/>
        <n x="122"/>
      </t>
    </mdx>
    <mdx n="0" f="v">
      <t c="8">
        <n x="1" s="1"/>
        <n x="2" s="1"/>
        <n x="5" s="1"/>
        <n x="3" s="1"/>
        <n x="4" s="1"/>
        <n x="104"/>
        <n x="17"/>
        <n x="95"/>
      </t>
    </mdx>
    <mdx n="0" f="v">
      <t c="8">
        <n x="1" s="1"/>
        <n x="2" s="1"/>
        <n x="5" s="1"/>
        <n x="3" s="1"/>
        <n x="4" s="1"/>
        <n x="104"/>
        <n x="126"/>
        <n x="43"/>
      </t>
    </mdx>
    <mdx n="0" f="v">
      <t c="8">
        <n x="1" s="1"/>
        <n x="2" s="1"/>
        <n x="5" s="1"/>
        <n x="3" s="1"/>
        <n x="4" s="1"/>
        <n x="104"/>
        <n x="126"/>
        <n x="44"/>
      </t>
    </mdx>
    <mdx n="0" f="v">
      <t c="8">
        <n x="1" s="1"/>
        <n x="2" s="1"/>
        <n x="5" s="1"/>
        <n x="3" s="1"/>
        <n x="4" s="1"/>
        <n x="104"/>
        <n x="126"/>
        <n x="45"/>
      </t>
    </mdx>
    <mdx n="0" f="v">
      <t c="8">
        <n x="1" s="1"/>
        <n x="2" s="1"/>
        <n x="5" s="1"/>
        <n x="3" s="1"/>
        <n x="4" s="1"/>
        <n x="104"/>
        <n x="138"/>
        <n x="107"/>
      </t>
    </mdx>
    <mdx n="0" f="v">
      <t c="8">
        <n x="1" s="1"/>
        <n x="2" s="1"/>
        <n x="5" s="1"/>
        <n x="3" s="1"/>
        <n x="4" s="1"/>
        <n x="104"/>
        <n x="138"/>
        <n x="85"/>
      </t>
    </mdx>
    <mdx n="0" f="v">
      <t c="8">
        <n x="1" s="1"/>
        <n x="2" s="1"/>
        <n x="5" s="1"/>
        <n x="3" s="1"/>
        <n x="4" s="1"/>
        <n x="104"/>
        <n x="138"/>
        <n x="52"/>
      </t>
    </mdx>
    <mdx n="0" f="v">
      <t c="8">
        <n x="1" s="1"/>
        <n x="2" s="1"/>
        <n x="5" s="1"/>
        <n x="3" s="1"/>
        <n x="4" s="1"/>
        <n x="104"/>
        <n x="143"/>
        <n x="19"/>
      </t>
    </mdx>
    <mdx n="0" f="v">
      <t c="8">
        <n x="1" s="1"/>
        <n x="2" s="1"/>
        <n x="5" s="1"/>
        <n x="3" s="1"/>
        <n x="4" s="1"/>
        <n x="104"/>
        <n x="143"/>
        <n x="20"/>
      </t>
    </mdx>
    <mdx n="0" f="v">
      <t c="8">
        <n x="1" s="1"/>
        <n x="2" s="1"/>
        <n x="5" s="1"/>
        <n x="3" s="1"/>
        <n x="4" s="1"/>
        <n x="104"/>
        <n x="163" s="1"/>
        <n x="43"/>
      </t>
    </mdx>
    <mdx n="0" f="v">
      <t c="8">
        <n x="1" s="1"/>
        <n x="2" s="1"/>
        <n x="5" s="1"/>
        <n x="3" s="1"/>
        <n x="4" s="1"/>
        <n x="104"/>
        <n x="163" s="1"/>
        <n x="44"/>
      </t>
    </mdx>
    <mdx n="0" f="v">
      <t c="8">
        <n x="1" s="1"/>
        <n x="2" s="1"/>
        <n x="5" s="1"/>
        <n x="3" s="1"/>
        <n x="4" s="1"/>
        <n x="104"/>
        <n x="163" s="1"/>
        <n x="45"/>
      </t>
    </mdx>
    <mdx n="0" f="v">
      <t c="8">
        <n x="1" s="1"/>
        <n x="2" s="1"/>
        <n x="5" s="1"/>
        <n x="3" s="1"/>
        <n x="4" s="1"/>
        <n x="104"/>
        <n x="60"/>
        <n x="107"/>
      </t>
    </mdx>
    <mdx n="0" f="v">
      <t c="8">
        <n x="1" s="1"/>
        <n x="2" s="1"/>
        <n x="5" s="1"/>
        <n x="3" s="1"/>
        <n x="4" s="1"/>
        <n x="104"/>
        <n x="60"/>
        <n x="85"/>
      </t>
    </mdx>
    <mdx n="0" f="v">
      <t c="8">
        <n x="1" s="1"/>
        <n x="2" s="1"/>
        <n x="5" s="1"/>
        <n x="3" s="1"/>
        <n x="4" s="1"/>
        <n x="104"/>
        <n x="60"/>
        <n x="52"/>
      </t>
    </mdx>
    <mdx n="0" f="v">
      <t c="8">
        <n x="1" s="1"/>
        <n x="2" s="1"/>
        <n x="5" s="1"/>
        <n x="3" s="1"/>
        <n x="4" s="1"/>
        <n x="104"/>
        <n x="6"/>
        <n x="19"/>
      </t>
    </mdx>
    <mdx n="0" f="v">
      <t c="8">
        <n x="1" s="1"/>
        <n x="2" s="1"/>
        <n x="5" s="1"/>
        <n x="3" s="1"/>
        <n x="4" s="1"/>
        <n x="104"/>
        <n x="6"/>
        <n x="20"/>
      </t>
    </mdx>
    <mdx n="0" f="v">
      <t c="8">
        <n x="1" s="1"/>
        <n x="2" s="1"/>
        <n x="5" s="1"/>
        <n x="3" s="1"/>
        <n x="4" s="1"/>
        <n x="104"/>
        <n x="6"/>
        <n x="33"/>
      </t>
    </mdx>
    <mdx n="0" f="v">
      <t c="8">
        <n x="1" s="1"/>
        <n x="2" s="1"/>
        <n x="5" s="1"/>
        <n x="3" s="1"/>
        <n x="4" s="1"/>
        <n x="104"/>
        <n x="21"/>
        <n x="93"/>
      </t>
    </mdx>
    <mdx n="0" f="v">
      <t c="8">
        <n x="1" s="1"/>
        <n x="2" s="1"/>
        <n x="5" s="1"/>
        <n x="3" s="1"/>
        <n x="4" s="1"/>
        <n x="104"/>
        <n x="21"/>
        <n x="162"/>
      </t>
    </mdx>
    <mdx n="0" f="v">
      <t c="8">
        <n x="1" s="1"/>
        <n x="2" s="1"/>
        <n x="5" s="1"/>
        <n x="3" s="1"/>
        <n x="4" s="1"/>
        <n x="104"/>
        <n x="21"/>
        <n x="87"/>
      </t>
    </mdx>
    <mdx n="0" f="v">
      <t c="8">
        <n x="1" s="1"/>
        <n x="2" s="1"/>
        <n x="5" s="1"/>
        <n x="3" s="1"/>
        <n x="4" s="1"/>
        <n x="104"/>
        <n x="34"/>
        <n x="63"/>
      </t>
    </mdx>
    <mdx n="0" f="v">
      <t c="8">
        <n x="1" s="1"/>
        <n x="2" s="1"/>
        <n x="5" s="1"/>
        <n x="3" s="1"/>
        <n x="4" s="1"/>
        <n x="104"/>
        <n x="34"/>
        <n x="154"/>
      </t>
    </mdx>
    <mdx n="0" f="v">
      <t c="8">
        <n x="1" s="1"/>
        <n x="2" s="1"/>
        <n x="5" s="1"/>
        <n x="3" s="1"/>
        <n x="4" s="1"/>
        <n x="104"/>
        <n x="34"/>
        <n x="127"/>
      </t>
    </mdx>
    <mdx n="0" f="v">
      <t c="8">
        <n x="1" s="1"/>
        <n x="2" s="1"/>
        <n x="5" s="1"/>
        <n x="3" s="1"/>
        <n x="4" s="1"/>
        <n x="104"/>
        <n x="65"/>
        <n x="164" s="1"/>
      </t>
    </mdx>
    <mdx n="0" f="v">
      <t c="8">
        <n x="1" s="1"/>
        <n x="2" s="1"/>
        <n x="5" s="1"/>
        <n x="3" s="1"/>
        <n x="4" s="1"/>
        <n x="104"/>
        <n x="65"/>
        <n x="128"/>
      </t>
    </mdx>
    <mdx n="0" f="v">
      <t c="8">
        <n x="1" s="1"/>
        <n x="2" s="1"/>
        <n x="5" s="1"/>
        <n x="3" s="1"/>
        <n x="4" s="1"/>
        <n x="104"/>
        <n x="65"/>
        <n x="116"/>
      </t>
    </mdx>
    <mdx n="0" f="v">
      <t c="8">
        <n x="1" s="1"/>
        <n x="2" s="1"/>
        <n x="5" s="1"/>
        <n x="3" s="1"/>
        <n x="4" s="1"/>
        <n x="104"/>
        <n x="65"/>
        <n x="77"/>
      </t>
    </mdx>
    <mdx n="0" f="v">
      <t c="8">
        <n x="1" s="1"/>
        <n x="2" s="1"/>
        <n x="5" s="1"/>
        <n x="3" s="1"/>
        <n x="4" s="1"/>
        <n x="104"/>
        <n x="70"/>
        <n x="108"/>
      </t>
    </mdx>
    <mdx n="0" f="v">
      <t c="8">
        <n x="1" s="1"/>
        <n x="2" s="1"/>
        <n x="5" s="1"/>
        <n x="3" s="1"/>
        <n x="4" s="1"/>
        <n x="104"/>
        <n x="70"/>
        <n x="94"/>
      </t>
    </mdx>
    <mdx n="0" f="v">
      <t c="8">
        <n x="1" s="1"/>
        <n x="2" s="1"/>
        <n x="5" s="1"/>
        <n x="3" s="1"/>
        <n x="4" s="1"/>
        <n x="104"/>
        <n x="70"/>
        <n x="54"/>
      </t>
    </mdx>
    <mdx n="0" f="v">
      <t c="8">
        <n x="1" s="1"/>
        <n x="2" s="1"/>
        <n x="5" s="1"/>
        <n x="3" s="1"/>
        <n x="4" s="1"/>
        <n x="104"/>
        <n x="79"/>
        <n x="102"/>
      </t>
    </mdx>
    <mdx n="0" f="v">
      <t c="8">
        <n x="1" s="1"/>
        <n x="2" s="1"/>
        <n x="5" s="1"/>
        <n x="3" s="1"/>
        <n x="4" s="1"/>
        <n x="104"/>
        <n x="79"/>
        <n x="58"/>
      </t>
    </mdx>
    <mdx n="0" f="v">
      <t c="8">
        <n x="1" s="1"/>
        <n x="2" s="1"/>
        <n x="5" s="1"/>
        <n x="3" s="1"/>
        <n x="4" s="1"/>
        <n x="104"/>
        <n x="79"/>
        <n x="155"/>
      </t>
    </mdx>
    <mdx n="0" f="v">
      <t c="8">
        <n x="1" s="1"/>
        <n x="2" s="1"/>
        <n x="5" s="1"/>
        <n x="3" s="1"/>
        <n x="4" s="1"/>
        <n x="104"/>
        <n x="88"/>
        <n x="13"/>
      </t>
    </mdx>
    <mdx n="0" f="v">
      <t c="8">
        <n x="1" s="1"/>
        <n x="2" s="1"/>
        <n x="5" s="1"/>
        <n x="3" s="1"/>
        <n x="4" s="1"/>
        <n x="104"/>
        <n x="88"/>
        <n x="14"/>
      </t>
    </mdx>
    <mdx n="0" f="v">
      <t c="8">
        <n x="1" s="1"/>
        <n x="2" s="1"/>
        <n x="5" s="1"/>
        <n x="3" s="1"/>
        <n x="4" s="1"/>
        <n x="104"/>
        <n x="88"/>
        <n x="15"/>
      </t>
    </mdx>
    <mdx n="0" f="v">
      <t c="8">
        <n x="1" s="1"/>
        <n x="2" s="1"/>
        <n x="5" s="1"/>
        <n x="3" s="1"/>
        <n x="4" s="1"/>
        <n x="104"/>
        <n x="97"/>
        <n x="75"/>
      </t>
    </mdx>
    <mdx n="0" f="v">
      <t c="8">
        <n x="1" s="1"/>
        <n x="2" s="1"/>
        <n x="5" s="1"/>
        <n x="3" s="1"/>
        <n x="4" s="1"/>
        <n x="104"/>
        <n x="97"/>
        <n x="48"/>
      </t>
    </mdx>
    <mdx n="0" f="v">
      <t c="8">
        <n x="1" s="1"/>
        <n x="2" s="1"/>
        <n x="5" s="1"/>
        <n x="3" s="1"/>
        <n x="4" s="1"/>
        <n x="104"/>
        <n x="97"/>
        <n x="141"/>
      </t>
    </mdx>
    <mdx n="0" f="v">
      <t c="8">
        <n x="1" s="1"/>
        <n x="2" s="1"/>
        <n x="5" s="1"/>
        <n x="3" s="1"/>
        <n x="4" s="1"/>
        <n x="104"/>
        <n x="36"/>
        <n x="56"/>
      </t>
    </mdx>
    <mdx n="0" f="v">
      <t c="8">
        <n x="1" s="1"/>
        <n x="2" s="1"/>
        <n x="5" s="1"/>
        <n x="3" s="1"/>
        <n x="4" s="1"/>
        <n x="104"/>
        <n x="36"/>
        <n x="147"/>
      </t>
    </mdx>
    <mdx n="0" f="v">
      <t c="8">
        <n x="1" s="1"/>
        <n x="2" s="1"/>
        <n x="5" s="1"/>
        <n x="3" s="1"/>
        <n x="4" s="1"/>
        <n x="104"/>
        <n x="36"/>
        <n x="119"/>
      </t>
    </mdx>
    <mdx n="0" f="v">
      <t c="8">
        <n x="1" s="1"/>
        <n x="2" s="1"/>
        <n x="5" s="1"/>
        <n x="3" s="1"/>
        <n x="4" s="1"/>
        <n x="104"/>
        <n x="36"/>
        <n x="86"/>
      </t>
    </mdx>
    <mdx n="0" f="v">
      <t c="8">
        <n x="1" s="1"/>
        <n x="2" s="1"/>
        <n x="5" s="1"/>
        <n x="3" s="1"/>
        <n x="4" s="1"/>
        <n x="104"/>
        <n x="110"/>
        <n x="109"/>
      </t>
    </mdx>
    <mdx n="0" f="v">
      <t c="8">
        <n x="1" s="1"/>
        <n x="2" s="1"/>
        <n x="5" s="1"/>
        <n x="3" s="1"/>
        <n x="4" s="1"/>
        <n x="104"/>
        <n x="110"/>
        <n x="103"/>
      </t>
    </mdx>
    <mdx n="0" f="v">
      <t c="8">
        <n x="1" s="1"/>
        <n x="2" s="1"/>
        <n x="5" s="1"/>
        <n x="3" s="1"/>
        <n x="4" s="1"/>
        <n x="104"/>
        <n x="110"/>
        <n x="69"/>
      </t>
    </mdx>
    <mdx n="0" f="v">
      <t c="8">
        <n x="1" s="1"/>
        <n x="2" s="1"/>
        <n x="5" s="1"/>
        <n x="3" s="1"/>
        <n x="4" s="1"/>
        <n x="104"/>
        <n x="105"/>
        <n x="115"/>
      </t>
    </mdx>
    <mdx n="0" f="v">
      <t c="8">
        <n x="1" s="1"/>
        <n x="2" s="1"/>
        <n x="5" s="1"/>
        <n x="3" s="1"/>
        <n x="4" s="1"/>
        <n x="104"/>
        <n x="105"/>
        <n x="76"/>
      </t>
    </mdx>
    <mdx n="0" f="v">
      <t c="8">
        <n x="1" s="1"/>
        <n x="2" s="1"/>
        <n x="5" s="1"/>
        <n x="3" s="1"/>
        <n x="4" s="1"/>
        <n x="104"/>
        <n x="105"/>
        <n x="49"/>
      </t>
    </mdx>
    <mdx n="0" f="v">
      <t c="8">
        <n x="1" s="1"/>
        <n x="2" s="1"/>
        <n x="5" s="1"/>
        <n x="3" s="1"/>
        <n x="4" s="1"/>
        <n x="104"/>
        <n x="120"/>
        <n x="28"/>
      </t>
    </mdx>
    <mdx n="0" f="v">
      <t c="8">
        <n x="1" s="1"/>
        <n x="2" s="1"/>
        <n x="5" s="1"/>
        <n x="3" s="1"/>
        <n x="4" s="1"/>
        <n x="104"/>
        <n x="120"/>
        <n x="29"/>
      </t>
    </mdx>
    <mdx n="0" f="v">
      <t c="8">
        <n x="1" s="1"/>
        <n x="2" s="1"/>
        <n x="5" s="1"/>
        <n x="3" s="1"/>
        <n x="4" s="1"/>
        <n x="104"/>
        <n x="120"/>
        <n x="16"/>
      </t>
    </mdx>
    <mdx n="0" f="v">
      <t c="8">
        <n x="1" s="1"/>
        <n x="2" s="1"/>
        <n x="5" s="1"/>
        <n x="3" s="1"/>
        <n x="4" s="1"/>
        <n x="104"/>
        <n x="133"/>
        <n x="84"/>
      </t>
    </mdx>
    <mdx n="0" f="v">
      <t c="8">
        <n x="1" s="1"/>
        <n x="2" s="1"/>
        <n x="5" s="1"/>
        <n x="3" s="1"/>
        <n x="4" s="1"/>
        <n x="104"/>
        <n x="133"/>
        <n x="160"/>
      </t>
    </mdx>
    <mdx n="0" f="v">
      <t c="8">
        <n x="1" s="1"/>
        <n x="2" s="1"/>
        <n x="5" s="1"/>
        <n x="3" s="1"/>
        <n x="4" s="1"/>
        <n x="104"/>
        <n x="133"/>
        <n x="148"/>
      </t>
    </mdx>
    <mdx n="0" f="v">
      <t c="8">
        <n x="1" s="1"/>
        <n x="2" s="1"/>
        <n x="5" s="1"/>
        <n x="3" s="1"/>
        <n x="4" s="1"/>
        <n x="104"/>
        <n x="137"/>
        <n x="62"/>
      </t>
    </mdx>
    <mdx n="0" f="v">
      <t c="8">
        <n x="1" s="1"/>
        <n x="2" s="1"/>
        <n x="5" s="1"/>
        <n x="3" s="1"/>
        <n x="4" s="1"/>
        <n x="104"/>
        <n x="137"/>
        <n x="59"/>
      </t>
    </mdx>
    <mdx n="0" f="v">
      <t c="8">
        <n x="1" s="1"/>
        <n x="2" s="1"/>
        <n x="5" s="1"/>
        <n x="3" s="1"/>
        <n x="4" s="1"/>
        <n x="104"/>
        <n x="137"/>
        <n x="122"/>
      </t>
    </mdx>
    <mdx n="0" f="v">
      <t c="8">
        <n x="1" s="1"/>
        <n x="2" s="1"/>
        <n x="5" s="1"/>
        <n x="3" s="1"/>
        <n x="4" s="1"/>
        <n x="104"/>
        <n x="137"/>
        <n x="95"/>
      </t>
    </mdx>
    <mdx n="0" f="v">
      <t c="8">
        <n x="1" s="1"/>
        <n x="2" s="1"/>
        <n x="5" s="1"/>
        <n x="3" s="1"/>
        <n x="4" s="1"/>
        <n x="104"/>
        <n x="142"/>
        <n x="43"/>
      </t>
    </mdx>
    <mdx n="0" f="v">
      <t c="8">
        <n x="1" s="1"/>
        <n x="2" s="1"/>
        <n x="5" s="1"/>
        <n x="3" s="1"/>
        <n x="4" s="1"/>
        <n x="104"/>
        <n x="142"/>
        <n x="44"/>
      </t>
    </mdx>
    <mdx n="0" f="v">
      <t c="8">
        <n x="1" s="1"/>
        <n x="2" s="1"/>
        <n x="5" s="1"/>
        <n x="3" s="1"/>
        <n x="4" s="1"/>
        <n x="104"/>
        <n x="142"/>
        <n x="45"/>
      </t>
    </mdx>
    <mdx n="0" f="v">
      <t c="8">
        <n x="1" s="1"/>
        <n x="2" s="1"/>
        <n x="5" s="1"/>
        <n x="3" s="1"/>
        <n x="4" s="1"/>
        <n x="104"/>
        <n x="78"/>
        <n x="107"/>
      </t>
    </mdx>
    <mdx n="0" f="v">
      <t c="8">
        <n x="1" s="1"/>
        <n x="2" s="1"/>
        <n x="5" s="1"/>
        <n x="3" s="1"/>
        <n x="4" s="1"/>
        <n x="104"/>
        <n x="78"/>
        <n x="85"/>
      </t>
    </mdx>
    <mdx n="0" f="v">
      <t c="8">
        <n x="1" s="1"/>
        <n x="2" s="1"/>
        <n x="5" s="1"/>
        <n x="3" s="1"/>
        <n x="4" s="1"/>
        <n x="104"/>
        <n x="78"/>
        <n x="52"/>
      </t>
    </mdx>
    <mdx n="0" f="v">
      <t c="8">
        <n x="1" s="1"/>
        <n x="2" s="1"/>
        <n x="5" s="1"/>
        <n x="3" s="1"/>
        <n x="4" s="1"/>
        <n x="104"/>
        <n x="7"/>
        <n x="19"/>
      </t>
    </mdx>
    <mdx n="0" f="v">
      <t c="8">
        <n x="1" s="1"/>
        <n x="2" s="1"/>
        <n x="5" s="1"/>
        <n x="3" s="1"/>
        <n x="4" s="1"/>
        <n x="104"/>
        <n x="7"/>
        <n x="20"/>
      </t>
    </mdx>
    <mdx n="0" f="v">
      <t c="8">
        <n x="1" s="1"/>
        <n x="2" s="1"/>
        <n x="5" s="1"/>
        <n x="3" s="1"/>
        <n x="4" s="1"/>
        <n x="104"/>
        <n x="7"/>
        <n x="33"/>
      </t>
    </mdx>
    <mdx n="0" f="v">
      <t c="8">
        <n x="1" s="1"/>
        <n x="2" s="1"/>
        <n x="5" s="1"/>
        <n x="3" s="1"/>
        <n x="4" s="1"/>
        <n x="104"/>
        <n x="22"/>
        <n x="93"/>
      </t>
    </mdx>
    <mdx n="0" f="v">
      <t c="8">
        <n x="1" s="1"/>
        <n x="2" s="1"/>
        <n x="5" s="1"/>
        <n x="3" s="1"/>
        <n x="4" s="1"/>
        <n x="104"/>
        <n x="22"/>
        <n x="162"/>
      </t>
    </mdx>
    <mdx n="0" f="v">
      <t c="8">
        <n x="1" s="1"/>
        <n x="2" s="1"/>
        <n x="5" s="1"/>
        <n x="3" s="1"/>
        <n x="4" s="1"/>
        <n x="104"/>
        <n x="22"/>
        <n x="87"/>
      </t>
    </mdx>
    <mdx n="0" f="v">
      <t c="8">
        <n x="1" s="1"/>
        <n x="2" s="1"/>
        <n x="5" s="1"/>
        <n x="3" s="1"/>
        <n x="4" s="1"/>
        <n x="104"/>
        <n x="30"/>
        <n x="63"/>
      </t>
    </mdx>
    <mdx n="0" f="v">
      <t c="8">
        <n x="1" s="1"/>
        <n x="2" s="1"/>
        <n x="5" s="1"/>
        <n x="3" s="1"/>
        <n x="4" s="1"/>
        <n x="104"/>
        <n x="30"/>
        <n x="154"/>
      </t>
    </mdx>
    <mdx n="0" f="v">
      <t c="8">
        <n x="1" s="1"/>
        <n x="2" s="1"/>
        <n x="5" s="1"/>
        <n x="3" s="1"/>
        <n x="4" s="1"/>
        <n x="104"/>
        <n x="30"/>
        <n x="127"/>
      </t>
    </mdx>
    <mdx n="0" f="v">
      <t c="8">
        <n x="1" s="1"/>
        <n x="2" s="1"/>
        <n x="5" s="1"/>
        <n x="3" s="1"/>
        <n x="4" s="1"/>
        <n x="104"/>
        <n x="149"/>
        <n x="164" s="1"/>
      </t>
    </mdx>
    <mdx n="0" f="v">
      <t c="8">
        <n x="1" s="1"/>
        <n x="2" s="1"/>
        <n x="5" s="1"/>
        <n x="3" s="1"/>
        <n x="4" s="1"/>
        <n x="104"/>
        <n x="149"/>
        <n x="128"/>
      </t>
    </mdx>
    <mdx n="0" f="v">
      <t c="8">
        <n x="1" s="1"/>
        <n x="2" s="1"/>
        <n x="5" s="1"/>
        <n x="3" s="1"/>
        <n x="4" s="1"/>
        <n x="104"/>
        <n x="149"/>
        <n x="116"/>
      </t>
    </mdx>
    <mdx n="0" f="v">
      <t c="8">
        <n x="1" s="1"/>
        <n x="2" s="1"/>
        <n x="5" s="1"/>
        <n x="3" s="1"/>
        <n x="4" s="1"/>
        <n x="104"/>
        <n x="149"/>
        <n x="77"/>
      </t>
    </mdx>
    <mdx n="0" f="v">
      <t c="8">
        <n x="1" s="1"/>
        <n x="2" s="1"/>
        <n x="5" s="1"/>
        <n x="3" s="1"/>
        <n x="4" s="1"/>
        <n x="104"/>
        <n x="156"/>
        <n x="108"/>
      </t>
    </mdx>
    <mdx n="0" f="v">
      <t c="8">
        <n x="1" s="1"/>
        <n x="2" s="1"/>
        <n x="5" s="1"/>
        <n x="3" s="1"/>
        <n x="4" s="1"/>
        <n x="104"/>
        <n x="156"/>
        <n x="94"/>
      </t>
    </mdx>
    <mdx n="0" f="v">
      <t c="8">
        <n x="1" s="1"/>
        <n x="2" s="1"/>
        <n x="5" s="1"/>
        <n x="3" s="1"/>
        <n x="4" s="1"/>
        <n x="104"/>
        <n x="156"/>
        <n x="54"/>
      </t>
    </mdx>
    <mdx n="0" f="v">
      <t c="8">
        <n x="1" s="1"/>
        <n x="2" s="1"/>
        <n x="5" s="1"/>
        <n x="3" s="1"/>
        <n x="4" s="1"/>
        <n x="104"/>
        <n x="158"/>
        <n x="102"/>
      </t>
    </mdx>
    <mdx n="0" f="v">
      <t c="8">
        <n x="1" s="1"/>
        <n x="2" s="1"/>
        <n x="5" s="1"/>
        <n x="3" s="1"/>
        <n x="4" s="1"/>
        <n x="104"/>
        <n x="158"/>
        <n x="58"/>
      </t>
    </mdx>
    <mdx n="0" f="v">
      <t c="8">
        <n x="1" s="1"/>
        <n x="2" s="1"/>
        <n x="5" s="1"/>
        <n x="3" s="1"/>
        <n x="4" s="1"/>
        <n x="104"/>
        <n x="158"/>
        <n x="155"/>
      </t>
    </mdx>
    <mdx n="0" f="v">
      <t c="8">
        <n x="1" s="1"/>
        <n x="2" s="1"/>
        <n x="5" s="1"/>
        <n x="3" s="1"/>
        <n x="4" s="1"/>
        <n x="104"/>
        <n x="161"/>
        <n x="13"/>
      </t>
    </mdx>
    <mdx n="0" f="v">
      <t c="8">
        <n x="1" s="1"/>
        <n x="2" s="1"/>
        <n x="5" s="1"/>
        <n x="3" s="1"/>
        <n x="4" s="1"/>
        <n x="104"/>
        <n x="161"/>
        <n x="14"/>
      </t>
    </mdx>
    <mdx n="0" f="v">
      <t c="8">
        <n x="1" s="1"/>
        <n x="2" s="1"/>
        <n x="5" s="1"/>
        <n x="3" s="1"/>
        <n x="4" s="1"/>
        <n x="104"/>
        <n x="161"/>
        <n x="15"/>
      </t>
    </mdx>
    <mdx n="0" f="v">
      <t c="8">
        <n x="1" s="1"/>
        <n x="2" s="1"/>
        <n x="5" s="1"/>
        <n x="3" s="1"/>
        <n x="4" s="1"/>
        <n x="104"/>
        <n x="66"/>
        <n x="75"/>
      </t>
    </mdx>
    <mdx n="0" f="v">
      <t c="8">
        <n x="1" s="1"/>
        <n x="2" s="1"/>
        <n x="5" s="1"/>
        <n x="3" s="1"/>
        <n x="4" s="1"/>
        <n x="104"/>
        <n x="66"/>
        <n x="48"/>
      </t>
    </mdx>
    <mdx n="0" f="v">
      <t c="8">
        <n x="1" s="1"/>
        <n x="2" s="1"/>
        <n x="5" s="1"/>
        <n x="3" s="1"/>
        <n x="4" s="1"/>
        <n x="104"/>
        <n x="66"/>
        <n x="141"/>
      </t>
    </mdx>
    <mdx n="0" f="v">
      <t c="8">
        <n x="1" s="1"/>
        <n x="2" s="1"/>
        <n x="5" s="1"/>
        <n x="3" s="1"/>
        <n x="4" s="1"/>
        <n x="104"/>
        <n x="37"/>
        <n x="56"/>
      </t>
    </mdx>
    <mdx n="0" f="v">
      <t c="8">
        <n x="1" s="1"/>
        <n x="2" s="1"/>
        <n x="5" s="1"/>
        <n x="3" s="1"/>
        <n x="4" s="1"/>
        <n x="104"/>
        <n x="37"/>
        <n x="147"/>
      </t>
    </mdx>
    <mdx n="0" f="v">
      <t c="8">
        <n x="1" s="1"/>
        <n x="2" s="1"/>
        <n x="5" s="1"/>
        <n x="3" s="1"/>
        <n x="4" s="1"/>
        <n x="104"/>
        <n x="37"/>
        <n x="119"/>
      </t>
    </mdx>
    <mdx n="0" f="v">
      <t c="8">
        <n x="1" s="1"/>
        <n x="2" s="1"/>
        <n x="5" s="1"/>
        <n x="3" s="1"/>
        <n x="4" s="1"/>
        <n x="104"/>
        <n x="37"/>
        <n x="86"/>
      </t>
    </mdx>
    <mdx n="0" f="v">
      <t c="8">
        <n x="1" s="1"/>
        <n x="2" s="1"/>
        <n x="5" s="1"/>
        <n x="3" s="1"/>
        <n x="4" s="1"/>
        <n x="104"/>
        <n x="71"/>
        <n x="109"/>
      </t>
    </mdx>
    <mdx n="0" f="v">
      <t c="8">
        <n x="1" s="1"/>
        <n x="2" s="1"/>
        <n x="5" s="1"/>
        <n x="3" s="1"/>
        <n x="4" s="1"/>
        <n x="104"/>
        <n x="71"/>
        <n x="103"/>
      </t>
    </mdx>
    <mdx n="0" f="v">
      <t c="8">
        <n x="1" s="1"/>
        <n x="2" s="1"/>
        <n x="5" s="1"/>
        <n x="3" s="1"/>
        <n x="4" s="1"/>
        <n x="104"/>
        <n x="71"/>
        <n x="69"/>
      </t>
    </mdx>
    <mdx n="0" f="v">
      <t c="8">
        <n x="1" s="1"/>
        <n x="2" s="1"/>
        <n x="5" s="1"/>
        <n x="3" s="1"/>
        <n x="4" s="1"/>
        <n x="104"/>
        <n x="80"/>
        <n x="115"/>
      </t>
    </mdx>
    <mdx n="0" f="v">
      <t c="8">
        <n x="1" s="1"/>
        <n x="2" s="1"/>
        <n x="5" s="1"/>
        <n x="3" s="1"/>
        <n x="4" s="1"/>
        <n x="104"/>
        <n x="80"/>
        <n x="76"/>
      </t>
    </mdx>
    <mdx n="0" f="v">
      <t c="8">
        <n x="1" s="1"/>
        <n x="2" s="1"/>
        <n x="5" s="1"/>
        <n x="3" s="1"/>
        <n x="4" s="1"/>
        <n x="104"/>
        <n x="80"/>
        <n x="49"/>
      </t>
    </mdx>
    <mdx n="0" f="v">
      <t c="8">
        <n x="1" s="1"/>
        <n x="2" s="1"/>
        <n x="5" s="1"/>
        <n x="3" s="1"/>
        <n x="4" s="1"/>
        <n x="104"/>
        <n x="89"/>
        <n x="28"/>
      </t>
    </mdx>
    <mdx n="0" f="v">
      <t c="8">
        <n x="1" s="1"/>
        <n x="2" s="1"/>
        <n x="5" s="1"/>
        <n x="3" s="1"/>
        <n x="4" s="1"/>
        <n x="104"/>
        <n x="89"/>
        <n x="29"/>
      </t>
    </mdx>
    <mdx n="0" f="v">
      <t c="8">
        <n x="1" s="1"/>
        <n x="2" s="1"/>
        <n x="5" s="1"/>
        <n x="3" s="1"/>
        <n x="4" s="1"/>
        <n x="104"/>
        <n x="89"/>
        <n x="16"/>
      </t>
    </mdx>
    <mdx n="0" f="v">
      <t c="8">
        <n x="1" s="1"/>
        <n x="2" s="1"/>
        <n x="5" s="1"/>
        <n x="3" s="1"/>
        <n x="4" s="1"/>
        <n x="104"/>
        <n x="98"/>
        <n x="84"/>
      </t>
    </mdx>
    <mdx n="0" f="v">
      <t c="8">
        <n x="1" s="1"/>
        <n x="2" s="1"/>
        <n x="5" s="1"/>
        <n x="3" s="1"/>
        <n x="4" s="1"/>
        <n x="104"/>
        <n x="98"/>
        <n x="160"/>
      </t>
    </mdx>
    <mdx n="0" f="v">
      <t c="8">
        <n x="1" s="1"/>
        <n x="2" s="1"/>
        <n x="5" s="1"/>
        <n x="3" s="1"/>
        <n x="4" s="1"/>
        <n x="104"/>
        <n x="98"/>
        <n x="148"/>
      </t>
    </mdx>
    <mdx n="0" f="v">
      <t c="8">
        <n x="1" s="1"/>
        <n x="2" s="1"/>
        <n x="5" s="1"/>
        <n x="3" s="1"/>
        <n x="4" s="1"/>
        <n x="104"/>
        <n x="111"/>
        <n x="62"/>
      </t>
    </mdx>
    <mdx n="0" f="v">
      <t c="8">
        <n x="1" s="1"/>
        <n x="2" s="1"/>
        <n x="5" s="1"/>
        <n x="3" s="1"/>
        <n x="4" s="1"/>
        <n x="104"/>
        <n x="111"/>
        <n x="59"/>
      </t>
    </mdx>
    <mdx n="0" f="v">
      <t c="8">
        <n x="1" s="1"/>
        <n x="2" s="1"/>
        <n x="5" s="1"/>
        <n x="3" s="1"/>
        <n x="4" s="1"/>
        <n x="104"/>
        <n x="111"/>
        <n x="122"/>
      </t>
    </mdx>
    <mdx n="0" f="v">
      <t c="8">
        <n x="1" s="1"/>
        <n x="2" s="1"/>
        <n x="5" s="1"/>
        <n x="3" s="1"/>
        <n x="4" s="1"/>
        <n x="104"/>
        <n x="111"/>
        <n x="95"/>
      </t>
    </mdx>
    <mdx n="0" f="v">
      <t c="8">
        <n x="1" s="1"/>
        <n x="2" s="1"/>
        <n x="5" s="1"/>
        <n x="3" s="1"/>
        <n x="4" s="1"/>
        <n x="104"/>
        <n x="117"/>
        <n x="43"/>
      </t>
    </mdx>
    <mdx n="0" f="v">
      <t c="8">
        <n x="1" s="1"/>
        <n x="2" s="1"/>
        <n x="5" s="1"/>
        <n x="3" s="1"/>
        <n x="4" s="1"/>
        <n x="104"/>
        <n x="117"/>
        <n x="44"/>
      </t>
    </mdx>
    <mdx n="0" f="v">
      <t c="8">
        <n x="1" s="1"/>
        <n x="2" s="1"/>
        <n x="5" s="1"/>
        <n x="3" s="1"/>
        <n x="4" s="1"/>
        <n x="104"/>
        <n x="117"/>
        <n x="45"/>
      </t>
    </mdx>
    <mdx n="0" f="v">
      <t c="8">
        <n x="1" s="1"/>
        <n x="2" s="1"/>
        <n x="5" s="1"/>
        <n x="3" s="1"/>
        <n x="4" s="1"/>
        <n x="104"/>
        <n x="130"/>
        <n x="107"/>
      </t>
    </mdx>
    <mdx n="0" f="v">
      <t c="8">
        <n x="1" s="1"/>
        <n x="2" s="1"/>
        <n x="5" s="1"/>
        <n x="3" s="1"/>
        <n x="4" s="1"/>
        <n x="104"/>
        <n x="130"/>
        <n x="85"/>
      </t>
    </mdx>
    <mdx n="0" f="v">
      <t c="8">
        <n x="1" s="1"/>
        <n x="2" s="1"/>
        <n x="5" s="1"/>
        <n x="3" s="1"/>
        <n x="4" s="1"/>
        <n x="104"/>
        <n x="130"/>
        <n x="52"/>
      </t>
    </mdx>
    <mdx n="0" f="v">
      <t c="8">
        <n x="1" s="1"/>
        <n x="2" s="1"/>
        <n x="5" s="1"/>
        <n x="3" s="1"/>
        <n x="4" s="1"/>
        <n x="104"/>
        <n x="8"/>
        <n x="19"/>
      </t>
    </mdx>
    <mdx n="0" f="v">
      <t c="8">
        <n x="1" s="1"/>
        <n x="2" s="1"/>
        <n x="5" s="1"/>
        <n x="3" s="1"/>
        <n x="4" s="1"/>
        <n x="104"/>
        <n x="8"/>
        <n x="20"/>
      </t>
    </mdx>
    <mdx n="0" f="v">
      <t c="8">
        <n x="1" s="1"/>
        <n x="2" s="1"/>
        <n x="5" s="1"/>
        <n x="3" s="1"/>
        <n x="4" s="1"/>
        <n x="104"/>
        <n x="8"/>
        <n x="33"/>
      </t>
    </mdx>
    <mdx n="0" f="v">
      <t c="8">
        <n x="1" s="1"/>
        <n x="2" s="1"/>
        <n x="5" s="1"/>
        <n x="3" s="1"/>
        <n x="4" s="1"/>
        <n x="104"/>
        <n x="23"/>
        <n x="93"/>
      </t>
    </mdx>
    <mdx n="0" f="v">
      <t c="8">
        <n x="1" s="1"/>
        <n x="2" s="1"/>
        <n x="5" s="1"/>
        <n x="3" s="1"/>
        <n x="4" s="1"/>
        <n x="104"/>
        <n x="23"/>
        <n x="162"/>
      </t>
    </mdx>
    <mdx n="0" f="v">
      <t c="8">
        <n x="1" s="1"/>
        <n x="2" s="1"/>
        <n x="5" s="1"/>
        <n x="3" s="1"/>
        <n x="4" s="1"/>
        <n x="104"/>
        <n x="23"/>
        <n x="87"/>
      </t>
    </mdx>
    <mdx n="0" f="v">
      <t c="8">
        <n x="1" s="1"/>
        <n x="2" s="1"/>
        <n x="5" s="1"/>
        <n x="3" s="1"/>
        <n x="4" s="1"/>
        <n x="104"/>
        <n x="17"/>
        <n x="63"/>
      </t>
    </mdx>
    <mdx n="0" f="v">
      <t c="8">
        <n x="1" s="1"/>
        <n x="2" s="1"/>
        <n x="5" s="1"/>
        <n x="3" s="1"/>
        <n x="4" s="1"/>
        <n x="104"/>
        <n x="17"/>
        <n x="154"/>
      </t>
    </mdx>
    <mdx n="0" f="v">
      <t c="8">
        <n x="1" s="1"/>
        <n x="2" s="1"/>
        <n x="5" s="1"/>
        <n x="3" s="1"/>
        <n x="4" s="1"/>
        <n x="104"/>
        <n x="17"/>
        <n x="127"/>
      </t>
    </mdx>
    <mdx n="0" f="v">
      <t c="8">
        <n x="1" s="1"/>
        <n x="2" s="1"/>
        <n x="5" s="1"/>
        <n x="3" s="1"/>
        <n x="4" s="1"/>
        <n x="104"/>
        <n x="126"/>
        <n x="164" s="1"/>
      </t>
    </mdx>
    <mdx n="0" f="v">
      <t c="8">
        <n x="1" s="1"/>
        <n x="2" s="1"/>
        <n x="5" s="1"/>
        <n x="3" s="1"/>
        <n x="4" s="1"/>
        <n x="104"/>
        <n x="126"/>
        <n x="128"/>
      </t>
    </mdx>
    <mdx n="0" f="v">
      <t c="8">
        <n x="1" s="1"/>
        <n x="2" s="1"/>
        <n x="5" s="1"/>
        <n x="3" s="1"/>
        <n x="4" s="1"/>
        <n x="104"/>
        <n x="126"/>
        <n x="116"/>
      </t>
    </mdx>
    <mdx n="0" f="v">
      <t c="8">
        <n x="1" s="1"/>
        <n x="2" s="1"/>
        <n x="5" s="1"/>
        <n x="3" s="1"/>
        <n x="4" s="1"/>
        <n x="104"/>
        <n x="126"/>
        <n x="77"/>
      </t>
    </mdx>
    <mdx n="0" f="v">
      <t c="8">
        <n x="1" s="1"/>
        <n x="2" s="1"/>
        <n x="5" s="1"/>
        <n x="3" s="1"/>
        <n x="4" s="1"/>
        <n x="104"/>
        <n x="138"/>
        <n x="108"/>
      </t>
    </mdx>
    <mdx n="0" f="v">
      <t c="8">
        <n x="1" s="1"/>
        <n x="2" s="1"/>
        <n x="5" s="1"/>
        <n x="3" s="1"/>
        <n x="4" s="1"/>
        <n x="104"/>
        <n x="138"/>
        <n x="94"/>
      </t>
    </mdx>
    <mdx n="0" f="v">
      <t c="8">
        <n x="1" s="1"/>
        <n x="2" s="1"/>
        <n x="5" s="1"/>
        <n x="3" s="1"/>
        <n x="4" s="1"/>
        <n x="104"/>
        <n x="138"/>
        <n x="54"/>
      </t>
    </mdx>
    <mdx n="0" f="v">
      <t c="8">
        <n x="1" s="1"/>
        <n x="2" s="1"/>
        <n x="5" s="1"/>
        <n x="3" s="1"/>
        <n x="4" s="1"/>
        <n x="104"/>
        <n x="143"/>
        <n x="102"/>
      </t>
    </mdx>
    <mdx n="0" f="v">
      <t c="8">
        <n x="1" s="1"/>
        <n x="2" s="1"/>
        <n x="5" s="1"/>
        <n x="3" s="1"/>
        <n x="4" s="1"/>
        <n x="104"/>
        <n x="143"/>
        <n x="58"/>
      </t>
    </mdx>
    <mdx n="0" f="v">
      <t c="8">
        <n x="1" s="1"/>
        <n x="2" s="1"/>
        <n x="5" s="1"/>
        <n x="3" s="1"/>
        <n x="4" s="1"/>
        <n x="104"/>
        <n x="143"/>
        <n x="155"/>
      </t>
    </mdx>
    <mdx n="0" f="v">
      <t c="8">
        <n x="1" s="1"/>
        <n x="2" s="1"/>
        <n x="5" s="1"/>
        <n x="3" s="1"/>
        <n x="4" s="1"/>
        <n x="104"/>
        <n x="163" s="1"/>
        <n x="164" s="1"/>
      </t>
    </mdx>
    <mdx n="0" f="v">
      <t c="8">
        <n x="1" s="1"/>
        <n x="2" s="1"/>
        <n x="5" s="1"/>
        <n x="3" s="1"/>
        <n x="4" s="1"/>
        <n x="104"/>
        <n x="60"/>
        <n x="164" s="1"/>
      </t>
    </mdx>
    <mdx n="0" f="v">
      <t c="8">
        <n x="1" s="1"/>
        <n x="2" s="1"/>
        <n x="5" s="1"/>
        <n x="3" s="1"/>
        <n x="4" s="1"/>
        <n x="104"/>
        <n x="60"/>
        <n x="69"/>
      </t>
    </mdx>
    <mdx n="0" f="v">
      <t c="8">
        <n x="1" s="1"/>
        <n x="2" s="1"/>
        <n x="5" s="1"/>
        <n x="3" s="1"/>
        <n x="4" s="1"/>
        <n x="104"/>
        <n x="6"/>
        <n x="44"/>
      </t>
    </mdx>
    <mdx n="0" f="v">
      <t c="8">
        <n x="1" s="1"/>
        <n x="2" s="1"/>
        <n x="5" s="1"/>
        <n x="3" s="1"/>
        <n x="4" s="1"/>
        <n x="104"/>
        <n x="21"/>
        <n x="58"/>
      </t>
    </mdx>
    <mdx n="0" f="v">
      <t c="8">
        <n x="1" s="1"/>
        <n x="2" s="1"/>
        <n x="5" s="1"/>
        <n x="3" s="1"/>
        <n x="4" s="1"/>
        <n x="104"/>
        <n x="34"/>
        <n x="160"/>
      </t>
    </mdx>
    <mdx n="0" f="v">
      <t c="8">
        <n x="1" s="1"/>
        <n x="2" s="1"/>
        <n x="5" s="1"/>
        <n x="3" s="1"/>
        <n x="4" s="1"/>
        <n x="104"/>
        <n x="65"/>
        <n x="93"/>
      </t>
    </mdx>
    <mdx n="0" f="v">
      <t c="8">
        <n x="1" s="1"/>
        <n x="2" s="1"/>
        <n x="5" s="1"/>
        <n x="3" s="1"/>
        <n x="4" s="1"/>
        <n x="104"/>
        <n x="70"/>
        <n x="56"/>
      </t>
    </mdx>
    <mdx n="0" f="v">
      <t c="8">
        <n x="1" s="1"/>
        <n x="2" s="1"/>
        <n x="5" s="1"/>
        <n x="3" s="1"/>
        <n x="4" s="1"/>
        <n x="104"/>
        <n x="70"/>
        <n x="45"/>
      </t>
    </mdx>
    <mdx n="0" f="v">
      <t c="8">
        <n x="1" s="1"/>
        <n x="2" s="1"/>
        <n x="5" s="1"/>
        <n x="3" s="1"/>
        <n x="4" s="1"/>
        <n x="104"/>
        <n x="79"/>
        <n x="116"/>
      </t>
    </mdx>
    <mdx n="0" f="v">
      <t c="8">
        <n x="1" s="1"/>
        <n x="2" s="1"/>
        <n x="5" s="1"/>
        <n x="3" s="1"/>
        <n x="4" s="1"/>
        <n x="104"/>
        <n x="88"/>
        <n x="76"/>
      </t>
    </mdx>
    <mdx n="0" f="v">
      <t c="8">
        <n x="1" s="1"/>
        <n x="2" s="1"/>
        <n x="5" s="1"/>
        <n x="3" s="1"/>
        <n x="4" s="1"/>
        <n x="104"/>
        <n x="97"/>
        <n x="162"/>
      </t>
    </mdx>
    <mdx n="0" f="v">
      <t c="8">
        <n x="1" s="1"/>
        <n x="2" s="1"/>
        <n x="5" s="1"/>
        <n x="3" s="1"/>
        <n x="4" s="1"/>
        <n x="104"/>
        <n x="36"/>
        <n x="13"/>
      </t>
    </mdx>
    <mdx n="0" f="v">
      <t c="8">
        <n x="1" s="1"/>
        <n x="2" s="1"/>
        <n x="5" s="1"/>
        <n x="3" s="1"/>
        <n x="4" s="1"/>
        <n x="104"/>
        <n x="110"/>
        <n x="62"/>
      </t>
    </mdx>
    <mdx n="0" f="v">
      <t c="8">
        <n x="1" s="1"/>
        <n x="2" s="1"/>
        <n x="5" s="1"/>
        <n x="3" s="1"/>
        <n x="4" s="1"/>
        <n x="104"/>
        <n x="110"/>
        <n x="77"/>
      </t>
    </mdx>
    <mdx n="0" f="v">
      <t c="8">
        <n x="1" s="1"/>
        <n x="2" s="1"/>
        <n x="5" s="1"/>
        <n x="3" s="1"/>
        <n x="4" s="1"/>
        <n x="104"/>
        <n x="105"/>
        <n x="119"/>
      </t>
    </mdx>
    <mdx n="0" f="v">
      <t c="8">
        <n x="1" s="1"/>
        <n x="2" s="1"/>
        <n x="5" s="1"/>
        <n x="3" s="1"/>
        <n x="4" s="1"/>
        <n x="104"/>
        <n x="120"/>
        <n x="85"/>
      </t>
    </mdx>
    <mdx n="0" f="v">
      <t c="8">
        <n x="1" s="1"/>
        <n x="2" s="1"/>
        <n x="5" s="1"/>
        <n x="3" s="1"/>
        <n x="4" s="1"/>
        <n x="104"/>
        <n x="133"/>
        <n x="14"/>
      </t>
    </mdx>
    <mdx n="0" f="v">
      <t c="8">
        <n x="1" s="1"/>
        <n x="2" s="1"/>
        <n x="5" s="1"/>
        <n x="3" s="1"/>
        <n x="4" s="1"/>
        <n x="104"/>
        <n x="137"/>
        <n x="28"/>
      </t>
    </mdx>
    <mdx n="0" f="v">
      <t c="8">
        <n x="1" s="1"/>
        <n x="2" s="1"/>
        <n x="5" s="1"/>
        <n x="3" s="1"/>
        <n x="4" s="1"/>
        <n x="104"/>
        <n x="142"/>
        <n x="63"/>
      </t>
    </mdx>
    <mdx n="0" f="v">
      <t c="8">
        <n x="1" s="1"/>
        <n x="2" s="1"/>
        <n x="5" s="1"/>
        <n x="3" s="1"/>
        <n x="4" s="1"/>
        <n x="104"/>
        <n x="142"/>
        <n x="86"/>
      </t>
    </mdx>
    <mdx n="0" f="v">
      <t c="8">
        <n x="1" s="1"/>
        <n x="2" s="1"/>
        <n x="5" s="1"/>
        <n x="3" s="1"/>
        <n x="4" s="1"/>
        <n x="104"/>
        <n x="78"/>
        <n x="122"/>
      </t>
    </mdx>
    <mdx n="0" f="v">
      <t c="8">
        <n x="1" s="1"/>
        <n x="2" s="1"/>
        <n x="5" s="1"/>
        <n x="3" s="1"/>
        <n x="4" s="1"/>
        <n x="104"/>
        <n x="7"/>
        <n x="94"/>
      </t>
    </mdx>
    <mdx n="0" f="v">
      <t c="8">
        <n x="1" s="1"/>
        <n x="2" s="1"/>
        <n x="5" s="1"/>
        <n x="3" s="1"/>
        <n x="4" s="1"/>
        <n x="104"/>
        <n x="22"/>
        <n x="29"/>
      </t>
    </mdx>
    <mdx n="0" f="v">
      <t c="8">
        <n x="1" s="1"/>
        <n x="2" s="1"/>
        <n x="5" s="1"/>
        <n x="3" s="1"/>
        <n x="4" s="1"/>
        <n x="104"/>
        <n x="30"/>
        <n x="19"/>
      </t>
    </mdx>
    <mdx n="0" f="v">
      <t c="8">
        <n x="1" s="1"/>
        <n x="2" s="1"/>
        <n x="5" s="1"/>
        <n x="3" s="1"/>
        <n x="4" s="1"/>
        <n x="104"/>
        <n x="149"/>
        <n x="56"/>
      </t>
    </mdx>
    <mdx n="0" f="v">
      <t c="8">
        <n x="1" s="1"/>
        <n x="2" s="1"/>
        <n x="5" s="1"/>
        <n x="3" s="1"/>
        <n x="4" s="1"/>
        <n x="104"/>
        <n x="149"/>
        <n x="127"/>
      </t>
    </mdx>
    <mdx n="0" f="v">
      <t c="8">
        <n x="1" s="1"/>
        <n x="2" s="1"/>
        <n x="5" s="1"/>
        <n x="3" s="1"/>
        <n x="4" s="1"/>
        <n x="104"/>
        <n x="156"/>
        <n x="59"/>
      </t>
    </mdx>
    <mdx n="0" f="v">
      <t c="8">
        <n x="1" s="1"/>
        <n x="2" s="1"/>
        <n x="5" s="1"/>
        <n x="3" s="1"/>
        <n x="4" s="1"/>
        <n x="104"/>
        <n x="158"/>
        <n x="56"/>
      </t>
    </mdx>
    <mdx n="0" f="v">
      <t c="8">
        <n x="1" s="1"/>
        <n x="2" s="1"/>
        <n x="5" s="1"/>
        <n x="3" s="1"/>
        <n x="4" s="1"/>
        <n x="104"/>
        <n x="158"/>
        <n x="52"/>
      </t>
    </mdx>
    <mdx n="0" f="v">
      <t c="8">
        <n x="1" s="1"/>
        <n x="2" s="1"/>
        <n x="5" s="1"/>
        <n x="3" s="1"/>
        <n x="4" s="1"/>
        <n x="104"/>
        <n x="161"/>
        <n x="76"/>
      </t>
    </mdx>
    <mdx n="0" f="v">
      <t c="8">
        <n x="1" s="1"/>
        <n x="2" s="1"/>
        <n x="5" s="1"/>
        <n x="3" s="1"/>
        <n x="4" s="1"/>
        <n x="104"/>
        <n x="66"/>
        <n x="102"/>
      </t>
    </mdx>
    <mdx n="0" f="v">
      <t c="8">
        <n x="1" s="1"/>
        <n x="2" s="1"/>
        <n x="5" s="1"/>
        <n x="3" s="1"/>
        <n x="4" s="1"/>
        <n x="104"/>
        <n x="37"/>
        <n x="62"/>
      </t>
    </mdx>
    <mdx n="0" f="v">
      <t c="8">
        <n x="1" s="1"/>
        <n x="2" s="1"/>
        <n x="5" s="1"/>
        <n x="3" s="1"/>
        <n x="4" s="1"/>
        <n x="104"/>
        <n x="37"/>
        <n x="141"/>
      </t>
    </mdx>
    <mdx n="0" f="v">
      <t c="8">
        <n x="1" s="1"/>
        <n x="2" s="1"/>
        <n x="5" s="1"/>
        <n x="3" s="1"/>
        <n x="4" s="1"/>
        <n x="104"/>
        <n x="71"/>
        <n x="154"/>
      </t>
    </mdx>
    <mdx n="0" f="v">
      <t c="8">
        <n x="1" s="1"/>
        <n x="2" s="1"/>
        <n x="5" s="1"/>
        <n x="3" s="1"/>
        <n x="4" s="1"/>
        <n x="104"/>
        <n x="80"/>
        <n x="62"/>
      </t>
    </mdx>
    <mdx n="0" f="v">
      <t c="8">
        <n x="1" s="1"/>
        <n x="2" s="1"/>
        <n x="5" s="1"/>
        <n x="3" s="1"/>
        <n x="4" s="1"/>
        <n x="104"/>
        <n x="80"/>
        <n x="54"/>
      </t>
    </mdx>
    <mdx n="0" f="v">
      <t c="8">
        <n x="1" s="1"/>
        <n x="2" s="1"/>
        <n x="5" s="1"/>
        <n x="3" s="1"/>
        <n x="4" s="1"/>
        <n x="104"/>
        <n x="89"/>
        <n x="85"/>
      </t>
    </mdx>
    <mdx n="0" f="v">
      <t c="8">
        <n x="1" s="1"/>
        <n x="2" s="1"/>
        <n x="5" s="1"/>
        <n x="3" s="1"/>
        <n x="4" s="1"/>
        <n x="104"/>
        <n x="98"/>
        <n x="115"/>
      </t>
    </mdx>
    <mdx n="0" f="v">
      <t c="8">
        <n x="1" s="1"/>
        <n x="2" s="1"/>
        <n x="5" s="1"/>
        <n x="3" s="1"/>
        <n x="4" s="1"/>
        <n x="104"/>
        <n x="111"/>
        <n x="63"/>
      </t>
    </mdx>
    <mdx n="0" f="v">
      <t c="8">
        <n x="1" s="1"/>
        <n x="2" s="1"/>
        <n x="5" s="1"/>
        <n x="3" s="1"/>
        <n x="4" s="1"/>
        <n x="104"/>
        <n x="111"/>
        <n x="148"/>
      </t>
    </mdx>
    <mdx n="0" f="v">
      <t c="8">
        <n x="1" s="1"/>
        <n x="2" s="1"/>
        <n x="5" s="1"/>
        <n x="3" s="1"/>
        <n x="4" s="1"/>
        <n x="104"/>
        <n x="117"/>
        <n x="48"/>
      </t>
    </mdx>
    <mdx n="0" f="v">
      <t c="8">
        <n x="1" s="1"/>
        <n x="2" s="1"/>
        <n x="5" s="1"/>
        <n x="3" s="1"/>
        <n x="4" s="1"/>
        <n x="104"/>
        <n x="130"/>
        <n x="63"/>
      </t>
    </mdx>
    <mdx n="0" f="v">
      <t c="8">
        <n x="1" s="1"/>
        <n x="2" s="1"/>
        <n x="5" s="1"/>
        <n x="3" s="1"/>
        <n x="4" s="1"/>
        <n x="104"/>
        <n x="130"/>
        <n x="69"/>
      </t>
    </mdx>
    <mdx n="0" f="v">
      <t c="8">
        <n x="1" s="1"/>
        <n x="2" s="1"/>
        <n x="5" s="1"/>
        <n x="3" s="1"/>
        <n x="4" s="1"/>
        <n x="104"/>
        <n x="8"/>
        <n x="94"/>
      </t>
    </mdx>
    <mdx n="0" f="v">
      <t c="8">
        <n x="1" s="1"/>
        <n x="2" s="1"/>
        <n x="5" s="1"/>
        <n x="3" s="1"/>
        <n x="4" s="1"/>
        <n x="104"/>
        <n x="23"/>
        <n x="107"/>
      </t>
    </mdx>
    <mdx n="0" f="v">
      <t c="8">
        <n x="1" s="1"/>
        <n x="2" s="1"/>
        <n x="5" s="1"/>
        <n x="3" s="1"/>
        <n x="4" s="1"/>
        <n x="104"/>
        <n x="17"/>
        <n x="75"/>
      </t>
    </mdx>
    <mdx n="0" f="v">
      <t c="8">
        <n x="1" s="1"/>
        <n x="2" s="1"/>
        <n x="5" s="1"/>
        <n x="3" s="1"/>
        <n x="4" s="1"/>
        <n x="104"/>
        <n x="17"/>
        <n x="87"/>
      </t>
    </mdx>
    <mdx n="0" f="v">
      <t c="8">
        <n x="1" s="1"/>
        <n x="2" s="1"/>
        <n x="5" s="1"/>
        <n x="3" s="1"/>
        <n x="4" s="1"/>
        <n x="104"/>
        <n x="126"/>
        <n x="160"/>
      </t>
    </mdx>
    <mdx n="0" f="v">
      <t c="8">
        <n x="1" s="1"/>
        <n x="2" s="1"/>
        <n x="5" s="1"/>
        <n x="3" s="1"/>
        <n x="4" s="1"/>
        <n x="104"/>
        <n x="138"/>
        <n x="75"/>
      </t>
    </mdx>
    <mdx n="0" f="v">
      <t c="8">
        <n x="1" s="1"/>
        <n x="2" s="1"/>
        <n x="5" s="1"/>
        <n x="3" s="1"/>
        <n x="4" s="1"/>
        <n x="104"/>
        <n x="138"/>
        <n x="45"/>
      </t>
    </mdx>
    <mdx n="0" f="v">
      <t c="8">
        <n x="1" s="1"/>
        <n x="2" s="1"/>
        <n x="5" s="1"/>
        <n x="3" s="1"/>
        <n x="4" s="1"/>
        <n x="104"/>
        <n x="143"/>
        <n x="94"/>
      </t>
    </mdx>
    <mdx n="0" f="v">
      <t c="8">
        <n x="1" s="1"/>
        <n x="2" s="1"/>
        <n x="5" s="1"/>
        <n x="3" s="1"/>
        <n x="4" s="1"/>
        <n x="104"/>
        <n x="64"/>
        <n x="56"/>
      </t>
    </mdx>
    <mdx n="0" f="v">
      <t c="8">
        <n x="1" s="1"/>
        <n x="2" s="1"/>
        <n x="5" s="1"/>
        <n x="3" s="1"/>
        <n x="4" s="1"/>
        <n x="104"/>
        <n x="64"/>
        <n x="147"/>
      </t>
    </mdx>
    <mdx n="0" f="v">
      <t c="8">
        <n x="1" s="1"/>
        <n x="2" s="1"/>
        <n x="5" s="1"/>
        <n x="3" s="1"/>
        <n x="4" s="1"/>
        <n x="104"/>
        <n x="64"/>
        <n x="119"/>
      </t>
    </mdx>
    <mdx n="0" f="v">
      <t c="8">
        <n x="1" s="1"/>
        <n x="2" s="1"/>
        <n x="5" s="1"/>
        <n x="3" s="1"/>
        <n x="4" s="1"/>
        <n x="104"/>
        <n x="64"/>
        <n x="86"/>
      </t>
    </mdx>
    <mdx n="0" f="v">
      <t c="8">
        <n x="1" s="1"/>
        <n x="2" s="1"/>
        <n x="5" s="1"/>
        <n x="3" s="1"/>
        <n x="4" s="1"/>
        <n x="104"/>
        <n x="150"/>
        <n x="109"/>
      </t>
    </mdx>
    <mdx n="0" f="v">
      <t c="8">
        <n x="1" s="1"/>
        <n x="2" s="1"/>
        <n x="5" s="1"/>
        <n x="3" s="1"/>
        <n x="4" s="1"/>
        <n x="104"/>
        <n x="150"/>
        <n x="103"/>
      </t>
    </mdx>
    <mdx n="0" f="v">
      <t c="8">
        <n x="1" s="1"/>
        <n x="2" s="1"/>
        <n x="5" s="1"/>
        <n x="3" s="1"/>
        <n x="4" s="1"/>
        <n x="104"/>
        <n x="150"/>
        <n x="69"/>
      </t>
    </mdx>
    <mdx n="0" f="v">
      <t c="8">
        <n x="1" s="1"/>
        <n x="2" s="1"/>
        <n x="5" s="1"/>
        <n x="3" s="1"/>
        <n x="4" s="1"/>
        <n x="104"/>
        <n x="38"/>
        <n x="115"/>
      </t>
    </mdx>
    <mdx n="0" f="v">
      <t c="8">
        <n x="1" s="1"/>
        <n x="2" s="1"/>
        <n x="5" s="1"/>
        <n x="3" s="1"/>
        <n x="4" s="1"/>
        <n x="104"/>
        <n x="38"/>
        <n x="76"/>
      </t>
    </mdx>
    <mdx n="0" f="v">
      <t c="8">
        <n x="1" s="1"/>
        <n x="2" s="1"/>
        <n x="5" s="1"/>
        <n x="3" s="1"/>
        <n x="4" s="1"/>
        <n x="104"/>
        <n x="38"/>
        <n x="49"/>
      </t>
    </mdx>
    <mdx n="0" f="v">
      <t c="8">
        <n x="1" s="1"/>
        <n x="2" s="1"/>
        <n x="5" s="1"/>
        <n x="3" s="1"/>
        <n x="4" s="1"/>
        <n x="104"/>
        <n x="46"/>
        <n x="28"/>
      </t>
    </mdx>
    <mdx n="0" f="v">
      <t c="8">
        <n x="1" s="1"/>
        <n x="2" s="1"/>
        <n x="5" s="1"/>
        <n x="3" s="1"/>
        <n x="4" s="1"/>
        <n x="104"/>
        <n x="46"/>
        <n x="29"/>
      </t>
    </mdx>
    <mdx n="0" f="v">
      <t c="8">
        <n x="1" s="1"/>
        <n x="2" s="1"/>
        <n x="5" s="1"/>
        <n x="3" s="1"/>
        <n x="4" s="1"/>
        <n x="104"/>
        <n x="46"/>
        <n x="16"/>
      </t>
    </mdx>
    <mdx n="0" f="v">
      <t c="8">
        <n x="1" s="1"/>
        <n x="2" s="1"/>
        <n x="5" s="1"/>
        <n x="3" s="1"/>
        <n x="4" s="1"/>
        <n x="104"/>
        <n x="50"/>
        <n x="84"/>
      </t>
    </mdx>
    <mdx n="0" f="v">
      <t c="8">
        <n x="1" s="1"/>
        <n x="2" s="1"/>
        <n x="5" s="1"/>
        <n x="3" s="1"/>
        <n x="4" s="1"/>
        <n x="104"/>
        <n x="50"/>
        <n x="160"/>
      </t>
    </mdx>
    <mdx n="0" f="v">
      <t c="8">
        <n x="1" s="1"/>
        <n x="2" s="1"/>
        <n x="5" s="1"/>
        <n x="3" s="1"/>
        <n x="4" s="1"/>
        <n x="104"/>
        <n x="50"/>
        <n x="148"/>
      </t>
    </mdx>
    <mdx n="0" f="v">
      <t c="8">
        <n x="1" s="1"/>
        <n x="2" s="1"/>
        <n x="5" s="1"/>
        <n x="3" s="1"/>
        <n x="4" s="1"/>
        <n x="104"/>
        <n x="61"/>
        <n x="62"/>
      </t>
    </mdx>
    <mdx n="0" f="v">
      <t c="8">
        <n x="1" s="1"/>
        <n x="2" s="1"/>
        <n x="5" s="1"/>
        <n x="3" s="1"/>
        <n x="4" s="1"/>
        <n x="104"/>
        <n x="61"/>
        <n x="59"/>
      </t>
    </mdx>
    <mdx n="0" f="v">
      <t c="8">
        <n x="1" s="1"/>
        <n x="2" s="1"/>
        <n x="5" s="1"/>
        <n x="3" s="1"/>
        <n x="4" s="1"/>
        <n x="104"/>
        <n x="61"/>
        <n x="122"/>
      </t>
    </mdx>
    <mdx n="0" f="v">
      <t c="8">
        <n x="1" s="1"/>
        <n x="2" s="1"/>
        <n x="5" s="1"/>
        <n x="3" s="1"/>
        <n x="4" s="1"/>
        <n x="104"/>
        <n x="61"/>
        <n x="95"/>
      </t>
    </mdx>
    <mdx n="0" f="v">
      <t c="8">
        <n x="1" s="1"/>
        <n x="2" s="1"/>
        <n x="5" s="1"/>
        <n x="3" s="1"/>
        <n x="4" s="1"/>
        <n x="104"/>
        <n x="67"/>
        <n x="43"/>
      </t>
    </mdx>
    <mdx n="0" f="v">
      <t c="8">
        <n x="1" s="1"/>
        <n x="2" s="1"/>
        <n x="5" s="1"/>
        <n x="3" s="1"/>
        <n x="4" s="1"/>
        <n x="104"/>
        <n x="67"/>
        <n x="44"/>
      </t>
    </mdx>
    <mdx n="0" f="v">
      <t c="8">
        <n x="1" s="1"/>
        <n x="2" s="1"/>
        <n x="5" s="1"/>
        <n x="3" s="1"/>
        <n x="4" s="1"/>
        <n x="104"/>
        <n x="67"/>
        <n x="45"/>
      </t>
    </mdx>
    <mdx n="0" f="v">
      <t c="8">
        <n x="1" s="1"/>
        <n x="2" s="1"/>
        <n x="5" s="1"/>
        <n x="3" s="1"/>
        <n x="4" s="1"/>
        <n x="104"/>
        <n x="72"/>
        <n x="107"/>
      </t>
    </mdx>
    <mdx n="0" f="v">
      <t c="8">
        <n x="1" s="1"/>
        <n x="2" s="1"/>
        <n x="5" s="1"/>
        <n x="3" s="1"/>
        <n x="4" s="1"/>
        <n x="104"/>
        <n x="72"/>
        <n x="85"/>
      </t>
    </mdx>
    <mdx n="0" f="v">
      <t c="8">
        <n x="1" s="1"/>
        <n x="2" s="1"/>
        <n x="5" s="1"/>
        <n x="3" s="1"/>
        <n x="4" s="1"/>
        <n x="104"/>
        <n x="72"/>
        <n x="52"/>
      </t>
    </mdx>
    <mdx n="0" f="v">
      <t c="8">
        <n x="1" s="1"/>
        <n x="2" s="1"/>
        <n x="5" s="1"/>
        <n x="3" s="1"/>
        <n x="4" s="1"/>
        <n x="104"/>
        <n x="81"/>
        <n x="19"/>
      </t>
    </mdx>
    <mdx n="0" f="v">
      <t c="8">
        <n x="1" s="1"/>
        <n x="2" s="1"/>
        <n x="5" s="1"/>
        <n x="3" s="1"/>
        <n x="4" s="1"/>
        <n x="104"/>
        <n x="81"/>
        <n x="20"/>
      </t>
    </mdx>
    <mdx n="0" f="v">
      <t c="8">
        <n x="1" s="1"/>
        <n x="2" s="1"/>
        <n x="5" s="1"/>
        <n x="3" s="1"/>
        <n x="4" s="1"/>
        <n x="104"/>
        <n x="81"/>
        <n x="33"/>
      </t>
    </mdx>
    <mdx n="0" f="v">
      <t c="8">
        <n x="1" s="1"/>
        <n x="2" s="1"/>
        <n x="5" s="1"/>
        <n x="3" s="1"/>
        <n x="4" s="1"/>
        <n x="104"/>
        <n x="90"/>
        <n x="93"/>
      </t>
    </mdx>
    <mdx n="0" f="v">
      <t c="8">
        <n x="1" s="1"/>
        <n x="2" s="1"/>
        <n x="5" s="1"/>
        <n x="3" s="1"/>
        <n x="4" s="1"/>
        <n x="104"/>
        <n x="90"/>
        <n x="162"/>
      </t>
    </mdx>
    <mdx n="0" f="v">
      <t c="8">
        <n x="1" s="1"/>
        <n x="2" s="1"/>
        <n x="5" s="1"/>
        <n x="3" s="1"/>
        <n x="4" s="1"/>
        <n x="104"/>
        <n x="90"/>
        <n x="87"/>
      </t>
    </mdx>
    <mdx n="0" f="v">
      <t c="8">
        <n x="1" s="1"/>
        <n x="2" s="1"/>
        <n x="5" s="1"/>
        <n x="3" s="1"/>
        <n x="4" s="1"/>
        <n x="104"/>
        <n x="9"/>
        <n x="63"/>
      </t>
    </mdx>
    <mdx n="0" f="v">
      <t c="8">
        <n x="1" s="1"/>
        <n x="2" s="1"/>
        <n x="5" s="1"/>
        <n x="3" s="1"/>
        <n x="4" s="1"/>
        <n x="104"/>
        <n x="9"/>
        <n x="154"/>
      </t>
    </mdx>
    <mdx n="0" f="v">
      <t c="8">
        <n x="1" s="1"/>
        <n x="2" s="1"/>
        <n x="5" s="1"/>
        <n x="3" s="1"/>
        <n x="4" s="1"/>
        <n x="104"/>
        <n x="163" s="1"/>
        <n x="128"/>
      </t>
    </mdx>
    <mdx n="0" f="v">
      <t c="8">
        <n x="1" s="1"/>
        <n x="2" s="1"/>
        <n x="5" s="1"/>
        <n x="3" s="1"/>
        <n x="4" s="1"/>
        <n x="104"/>
        <n x="60"/>
        <n x="56"/>
      </t>
    </mdx>
    <mdx n="0" f="v">
      <t c="8">
        <n x="1" s="1"/>
        <n x="2" s="1"/>
        <n x="5" s="1"/>
        <n x="3" s="1"/>
        <n x="4" s="1"/>
        <n x="104"/>
        <n x="60"/>
        <n x="45"/>
      </t>
    </mdx>
    <mdx n="0" f="v">
      <t c="8">
        <n x="1" s="1"/>
        <n x="2" s="1"/>
        <n x="5" s="1"/>
        <n x="3" s="1"/>
        <n x="4" s="1"/>
        <n x="104"/>
        <n x="6"/>
        <n x="155"/>
      </t>
    </mdx>
    <mdx n="0" f="v">
      <t c="8">
        <n x="1" s="1"/>
        <n x="2" s="1"/>
        <n x="5" s="1"/>
        <n x="3" s="1"/>
        <n x="4" s="1"/>
        <n x="104"/>
        <n x="21"/>
        <n x="76"/>
      </t>
    </mdx>
    <mdx n="0" f="v">
      <t c="8">
        <n x="1" s="1"/>
        <n x="2" s="1"/>
        <n x="5" s="1"/>
        <n x="3" s="1"/>
        <n x="4" s="1"/>
        <n x="104"/>
        <n x="34"/>
        <n x="162"/>
      </t>
    </mdx>
    <mdx n="0" f="v">
      <t c="8">
        <n x="1" s="1"/>
        <n x="2" s="1"/>
        <n x="5" s="1"/>
        <n x="3" s="1"/>
        <n x="4" s="1"/>
        <n x="104"/>
        <n x="65"/>
        <n x="147"/>
      </t>
    </mdx>
    <mdx n="0" f="v">
      <t c="8">
        <n x="1" s="1"/>
        <n x="2" s="1"/>
        <n x="5" s="1"/>
        <n x="3" s="1"/>
        <n x="4" s="1"/>
        <n x="104"/>
        <n x="70"/>
        <n x="62"/>
      </t>
    </mdx>
    <mdx n="0" f="v">
      <t c="8">
        <n x="1" s="1"/>
        <n x="2" s="1"/>
        <n x="5" s="1"/>
        <n x="3" s="1"/>
        <n x="4" s="1"/>
        <n x="104"/>
        <n x="70"/>
        <n x="77"/>
      </t>
    </mdx>
    <mdx n="0" f="v">
      <t c="8">
        <n x="1" s="1"/>
        <n x="2" s="1"/>
        <n x="5" s="1"/>
        <n x="3" s="1"/>
        <n x="4" s="1"/>
        <n x="104"/>
        <n x="79"/>
        <n x="49"/>
      </t>
    </mdx>
    <mdx n="0" f="v">
      <t c="8">
        <n x="1" s="1"/>
        <n x="2" s="1"/>
        <n x="5" s="1"/>
        <n x="3" s="1"/>
        <n x="4" s="1"/>
        <n x="104"/>
        <n x="88"/>
        <n x="85"/>
      </t>
    </mdx>
    <mdx n="0" f="v">
      <t c="8">
        <n x="1" s="1"/>
        <n x="2" s="1"/>
        <n x="5" s="1"/>
        <n x="3" s="1"/>
        <n x="4" s="1"/>
        <n x="104"/>
        <n x="97"/>
        <n x="14"/>
      </t>
    </mdx>
    <mdx n="0" f="v">
      <t c="8">
        <n x="1" s="1"/>
        <n x="2" s="1"/>
        <n x="5" s="1"/>
        <n x="3" s="1"/>
        <n x="4" s="1"/>
        <n x="104"/>
        <n x="36"/>
        <n x="59"/>
      </t>
    </mdx>
    <mdx n="0" f="v">
      <t c="8">
        <n x="1" s="1"/>
        <n x="2" s="1"/>
        <n x="5" s="1"/>
        <n x="3" s="1"/>
        <n x="4" s="1"/>
        <n x="104"/>
        <n x="110"/>
        <n x="63"/>
      </t>
    </mdx>
    <mdx n="0" f="v">
      <t c="8">
        <n x="1" s="1"/>
        <n x="2" s="1"/>
        <n x="5" s="1"/>
        <n x="3" s="1"/>
        <n x="4" s="1"/>
        <n x="104"/>
        <n x="110"/>
        <n x="86"/>
      </t>
    </mdx>
    <mdx n="0" f="v">
      <t c="8">
        <n x="1" s="1"/>
        <n x="2" s="1"/>
        <n x="5" s="1"/>
        <n x="3" s="1"/>
        <n x="4" s="1"/>
        <n x="104"/>
        <n x="105"/>
        <n x="52"/>
      </t>
    </mdx>
    <mdx n="0" f="v">
      <t c="8">
        <n x="1" s="1"/>
        <n x="2" s="1"/>
        <n x="5" s="1"/>
        <n x="3" s="1"/>
        <n x="4" s="1"/>
        <n x="104"/>
        <n x="120"/>
        <n x="94"/>
      </t>
    </mdx>
    <mdx n="0" f="v">
      <t c="8">
        <n x="1" s="1"/>
        <n x="2" s="1"/>
        <n x="5" s="1"/>
        <n x="3" s="1"/>
        <n x="4" s="1"/>
        <n x="104"/>
        <n x="133"/>
        <n x="29"/>
      </t>
    </mdx>
    <mdx n="0" f="v">
      <t c="8">
        <n x="1" s="1"/>
        <n x="2" s="1"/>
        <n x="5" s="1"/>
        <n x="3" s="1"/>
        <n x="4" s="1"/>
        <n x="104"/>
        <n x="137"/>
        <n x="154"/>
      </t>
    </mdx>
    <mdx n="0" f="v">
      <t c="8">
        <n x="1" s="1"/>
        <n x="2" s="1"/>
        <n x="5" s="1"/>
        <n x="3" s="1"/>
        <n x="4" s="1"/>
        <n x="104"/>
        <n x="142"/>
        <n x="75"/>
      </t>
    </mdx>
    <mdx n="0" f="v">
      <t c="8">
        <n x="1" s="1"/>
        <n x="2" s="1"/>
        <n x="5" s="1"/>
        <n x="3" s="1"/>
        <n x="4" s="1"/>
        <n x="104"/>
        <n x="142"/>
        <n x="95"/>
      </t>
    </mdx>
    <mdx n="0" f="v">
      <t c="8">
        <n x="1" s="1"/>
        <n x="2" s="1"/>
        <n x="5" s="1"/>
        <n x="3" s="1"/>
        <n x="4" s="1"/>
        <n x="104"/>
        <n x="78"/>
        <n x="54"/>
      </t>
    </mdx>
    <mdx n="0" f="v">
      <t c="8">
        <n x="1" s="1"/>
        <n x="2" s="1"/>
        <n x="5" s="1"/>
        <n x="3" s="1"/>
        <n x="4" s="1"/>
        <n x="104"/>
        <n x="7"/>
        <n x="103"/>
      </t>
    </mdx>
    <mdx n="0" f="v">
      <t c="8">
        <n x="1" s="1"/>
        <n x="2" s="1"/>
        <n x="5" s="1"/>
        <n x="3" s="1"/>
        <n x="4" s="1"/>
        <n x="104"/>
        <n x="22"/>
        <n x="20"/>
      </t>
    </mdx>
    <mdx n="0" f="v">
      <t c="8">
        <n x="1" s="1"/>
        <n x="2" s="1"/>
        <n x="5" s="1"/>
        <n x="3" s="1"/>
        <n x="4" s="1"/>
        <n x="104"/>
        <n x="30"/>
        <n x="102"/>
      </t>
    </mdx>
    <mdx n="0" f="v">
      <t c="8">
        <n x="1" s="1"/>
        <n x="2" s="1"/>
        <n x="5" s="1"/>
        <n x="3" s="1"/>
        <n x="4" s="1"/>
        <n x="104"/>
        <n x="149"/>
        <n x="62"/>
      </t>
    </mdx>
    <mdx n="0" f="v">
      <t c="8">
        <n x="1" s="1"/>
        <n x="2" s="1"/>
        <n x="5" s="1"/>
        <n x="3" s="1"/>
        <n x="4" s="1"/>
        <n x="104"/>
        <n x="149"/>
        <n x="141"/>
      </t>
    </mdx>
    <mdx n="0" f="v">
      <t c="8">
        <n x="1" s="1"/>
        <n x="2" s="1"/>
        <n x="5" s="1"/>
        <n x="3" s="1"/>
        <n x="4" s="1"/>
        <n x="104"/>
        <n x="156"/>
        <n x="154"/>
      </t>
    </mdx>
    <mdx n="0" f="v">
      <t c="8">
        <n x="1" s="1"/>
        <n x="2" s="1"/>
        <n x="5" s="1"/>
        <n x="3" s="1"/>
        <n x="4" s="1"/>
        <n x="104"/>
        <n x="158"/>
        <n x="115"/>
      </t>
    </mdx>
    <mdx n="0" f="v">
      <t c="8">
        <n x="1" s="1"/>
        <n x="2" s="1"/>
        <n x="5" s="1"/>
        <n x="3" s="1"/>
        <n x="4" s="1"/>
        <n x="104"/>
        <n x="158"/>
        <n x="54"/>
      </t>
    </mdx>
    <mdx n="0" f="v">
      <t c="8">
        <n x="1" s="1"/>
        <n x="2" s="1"/>
        <n x="5" s="1"/>
        <n x="3" s="1"/>
        <n x="4" s="1"/>
        <n x="104"/>
        <n x="161"/>
        <n x="85"/>
      </t>
    </mdx>
    <mdx n="0" f="v">
      <t c="8">
        <n x="1" s="1"/>
        <n x="2" s="1"/>
        <n x="5" s="1"/>
        <n x="3" s="1"/>
        <n x="4" s="1"/>
        <n x="104"/>
        <n x="66"/>
        <n x="115"/>
      </t>
    </mdx>
    <mdx n="0" f="v">
      <t c="8">
        <n x="1" s="1"/>
        <n x="2" s="1"/>
        <n x="5" s="1"/>
        <n x="3" s="1"/>
        <n x="4" s="1"/>
        <n x="104"/>
        <n x="37"/>
        <n x="63"/>
      </t>
    </mdx>
    <mdx n="0" f="v">
      <t c="8">
        <n x="1" s="1"/>
        <n x="2" s="1"/>
        <n x="5" s="1"/>
        <n x="3" s="1"/>
        <n x="4" s="1"/>
        <n x="104"/>
        <n x="37"/>
        <n x="148"/>
      </t>
    </mdx>
    <mdx n="0" f="v">
      <t c="8">
        <n x="1" s="1"/>
        <n x="2" s="1"/>
        <n x="5" s="1"/>
        <n x="3" s="1"/>
        <n x="4" s="1"/>
        <n x="104"/>
        <n x="71"/>
        <n x="48"/>
      </t>
    </mdx>
    <mdx n="0" f="v">
      <t c="8">
        <n x="1" s="1"/>
        <n x="2" s="1"/>
        <n x="5" s="1"/>
        <n x="3" s="1"/>
        <n x="4" s="1"/>
        <n x="104"/>
        <n x="80"/>
        <n x="107"/>
      </t>
    </mdx>
    <mdx n="0" f="v">
      <t c="8">
        <n x="1" s="1"/>
        <n x="2" s="1"/>
        <n x="5" s="1"/>
        <n x="3" s="1"/>
        <n x="4" s="1"/>
        <n x="104"/>
        <n x="80"/>
        <n x="69"/>
      </t>
    </mdx>
    <mdx n="0" f="v">
      <t c="8">
        <n x="1" s="1"/>
        <n x="2" s="1"/>
        <n x="5" s="1"/>
        <n x="3" s="1"/>
        <n x="4" s="1"/>
        <n x="104"/>
        <n x="89"/>
        <n x="94"/>
      </t>
    </mdx>
    <mdx n="0" f="v">
      <t c="8">
        <n x="1" s="1"/>
        <n x="2" s="1"/>
        <n x="5" s="1"/>
        <n x="3" s="1"/>
        <n x="4" s="1"/>
        <n x="104"/>
        <n x="98"/>
        <n x="107"/>
      </t>
    </mdx>
    <mdx n="0" f="v">
      <t c="8">
        <n x="1" s="1"/>
        <n x="2" s="1"/>
        <n x="5" s="1"/>
        <n x="3" s="1"/>
        <n x="4" s="1"/>
        <n x="104"/>
        <n x="111"/>
        <n x="75"/>
      </t>
    </mdx>
    <mdx n="0" f="v">
      <t c="8">
        <n x="1" s="1"/>
        <n x="2" s="1"/>
        <n x="5" s="1"/>
        <n x="3" s="1"/>
        <n x="4" s="1"/>
        <n x="104"/>
        <n x="111"/>
        <n x="87"/>
      </t>
    </mdx>
    <mdx n="0" f="v">
      <t c="8">
        <n x="1" s="1"/>
        <n x="2" s="1"/>
        <n x="5" s="1"/>
        <n x="3" s="1"/>
        <n x="4" s="1"/>
        <n x="104"/>
        <n x="117"/>
        <n x="160"/>
      </t>
    </mdx>
    <mdx n="0" f="v">
      <t c="8">
        <n x="1" s="1"/>
        <n x="2" s="1"/>
        <n x="5" s="1"/>
        <n x="3" s="1"/>
        <n x="4" s="1"/>
        <n x="104"/>
        <n x="130"/>
        <n x="108"/>
      </t>
    </mdx>
    <mdx n="0" f="v">
      <t c="8">
        <n x="1" s="1"/>
        <n x="2" s="1"/>
        <n x="5" s="1"/>
        <n x="3" s="1"/>
        <n x="4" s="1"/>
        <n x="104"/>
        <n x="130"/>
        <n x="45"/>
      </t>
    </mdx>
    <mdx n="0" f="v">
      <t c="8">
        <n x="1" s="1"/>
        <n x="2" s="1"/>
        <n x="5" s="1"/>
        <n x="3" s="1"/>
        <n x="4" s="1"/>
        <n x="104"/>
        <n x="8"/>
        <n x="103"/>
      </t>
    </mdx>
    <mdx n="0" f="v">
      <t c="8">
        <n x="1" s="1"/>
        <n x="2" s="1"/>
        <n x="5" s="1"/>
        <n x="3" s="1"/>
        <n x="4" s="1"/>
        <n x="104"/>
        <n x="23"/>
        <n x="108"/>
      </t>
    </mdx>
    <mdx n="0" f="v">
      <t c="8">
        <n x="1" s="1"/>
        <n x="2" s="1"/>
        <n x="5" s="1"/>
        <n x="3" s="1"/>
        <n x="4" s="1"/>
        <n x="104"/>
        <n x="17"/>
        <n x="84"/>
      </t>
    </mdx>
    <mdx n="0" f="v">
      <t c="8">
        <n x="1" s="1"/>
        <n x="2" s="1"/>
        <n x="5" s="1"/>
        <n x="3" s="1"/>
        <n x="4" s="1"/>
        <n x="104"/>
        <n x="17"/>
        <n x="15"/>
      </t>
    </mdx>
    <mdx n="0" f="v">
      <t c="8">
        <n x="1" s="1"/>
        <n x="2" s="1"/>
        <n x="5" s="1"/>
        <n x="3" s="1"/>
        <n x="4" s="1"/>
        <n x="104"/>
        <n x="126"/>
        <n x="162"/>
      </t>
    </mdx>
    <mdx n="0" f="v">
      <t c="8">
        <n x="1" s="1"/>
        <n x="2" s="1"/>
        <n x="5" s="1"/>
        <n x="3" s="1"/>
        <n x="4" s="1"/>
        <n x="104"/>
        <n x="138"/>
        <n x="109"/>
      </t>
    </mdx>
    <mdx n="0" f="v">
      <t c="8">
        <n x="1" s="1"/>
        <n x="2" s="1"/>
        <n x="5" s="1"/>
        <n x="3" s="1"/>
        <n x="4" s="1"/>
        <n x="104"/>
        <n x="138"/>
        <n x="77"/>
      </t>
    </mdx>
    <mdx n="0" f="v">
      <t c="8">
        <n x="1" s="1"/>
        <n x="2" s="1"/>
        <n x="5" s="1"/>
        <n x="3" s="1"/>
        <n x="4" s="1"/>
        <n x="104"/>
        <n x="143"/>
        <n x="103"/>
      </t>
    </mdx>
    <mdx n="0" f="v">
      <t c="8">
        <n x="1" s="1"/>
        <n x="2" s="1"/>
        <n x="5" s="1"/>
        <n x="3" s="1"/>
        <n x="4" s="1"/>
        <n x="104"/>
        <n x="64"/>
        <n x="62"/>
      </t>
    </mdx>
    <mdx n="0" f="v">
      <t c="8">
        <n x="1" s="1"/>
        <n x="2" s="1"/>
        <n x="5" s="1"/>
        <n x="3" s="1"/>
        <n x="4" s="1"/>
        <n x="104"/>
        <n x="163" s="1"/>
        <n x="147"/>
      </t>
    </mdx>
    <mdx n="0" f="v">
      <t c="8">
        <n x="1" s="1"/>
        <n x="2" s="1"/>
        <n x="5" s="1"/>
        <n x="3" s="1"/>
        <n x="4" s="1"/>
        <n x="104"/>
        <n x="60"/>
        <n x="62"/>
      </t>
    </mdx>
    <mdx n="0" f="v">
      <t c="8">
        <n x="1" s="1"/>
        <n x="2" s="1"/>
        <n x="5" s="1"/>
        <n x="3" s="1"/>
        <n x="4" s="1"/>
        <n x="104"/>
        <n x="60"/>
        <n x="77"/>
      </t>
    </mdx>
    <mdx n="0" f="v">
      <t c="8">
        <n x="1" s="1"/>
        <n x="2" s="1"/>
        <n x="5" s="1"/>
        <n x="3" s="1"/>
        <n x="4" s="1"/>
        <n x="104"/>
        <n x="6"/>
        <n x="49"/>
      </t>
    </mdx>
    <mdx n="0" f="v">
      <t c="8">
        <n x="1" s="1"/>
        <n x="2" s="1"/>
        <n x="5" s="1"/>
        <n x="3" s="1"/>
        <n x="4" s="1"/>
        <n x="104"/>
        <n x="21"/>
        <n x="85"/>
      </t>
    </mdx>
    <mdx n="0" f="v">
      <t c="8">
        <n x="1" s="1"/>
        <n x="2" s="1"/>
        <n x="5" s="1"/>
        <n x="3" s="1"/>
        <n x="4" s="1"/>
        <n x="104"/>
        <n x="34"/>
        <n x="14"/>
      </t>
    </mdx>
    <mdx n="0" f="v">
      <t c="8">
        <n x="1" s="1"/>
        <n x="2" s="1"/>
        <n x="5" s="1"/>
        <n x="3" s="1"/>
        <n x="4" s="1"/>
        <n x="104"/>
        <n x="65"/>
        <n x="59"/>
      </t>
    </mdx>
    <mdx n="0" f="v">
      <t c="8">
        <n x="1" s="1"/>
        <n x="2" s="1"/>
        <n x="5" s="1"/>
        <n x="3" s="1"/>
        <n x="4" s="1"/>
        <n x="104"/>
        <n x="70"/>
        <n x="63"/>
      </t>
    </mdx>
    <mdx n="0" f="v">
      <t c="8">
        <n x="1" s="1"/>
        <n x="2" s="1"/>
        <n x="5" s="1"/>
        <n x="3" s="1"/>
        <n x="4" s="1"/>
        <n x="104"/>
        <n x="70"/>
        <n x="86"/>
      </t>
    </mdx>
    <mdx n="0" f="v">
      <t c="8">
        <n x="1" s="1"/>
        <n x="2" s="1"/>
        <n x="5" s="1"/>
        <n x="3" s="1"/>
        <n x="4" s="1"/>
        <n x="104"/>
        <n x="79"/>
        <n x="52"/>
      </t>
    </mdx>
    <mdx n="0" f="v">
      <t c="8">
        <n x="1" s="1"/>
        <n x="2" s="1"/>
        <n x="5" s="1"/>
        <n x="3" s="1"/>
        <n x="4" s="1"/>
        <n x="104"/>
        <n x="88"/>
        <n x="94"/>
      </t>
    </mdx>
    <mdx n="0" f="v">
      <t c="8">
        <n x="1" s="1"/>
        <n x="2" s="1"/>
        <n x="5" s="1"/>
        <n x="3" s="1"/>
        <n x="4" s="1"/>
        <n x="104"/>
        <n x="97"/>
        <n x="29"/>
      </t>
    </mdx>
    <mdx n="0" f="v">
      <t c="8">
        <n x="1" s="1"/>
        <n x="2" s="1"/>
        <n x="5" s="1"/>
        <n x="3" s="1"/>
        <n x="4" s="1"/>
        <n x="104"/>
        <n x="36"/>
        <n x="154"/>
      </t>
    </mdx>
    <mdx n="0" f="v">
      <t c="8">
        <n x="1" s="1"/>
        <n x="2" s="1"/>
        <n x="5" s="1"/>
        <n x="3" s="1"/>
        <n x="4" s="1"/>
        <n x="104"/>
        <n x="110"/>
        <n x="75"/>
      </t>
    </mdx>
    <mdx n="0" f="v">
      <t c="8">
        <n x="1" s="1"/>
        <n x="2" s="1"/>
        <n x="5" s="1"/>
        <n x="3" s="1"/>
        <n x="4" s="1"/>
        <n x="104"/>
        <n x="110"/>
        <n x="95"/>
      </t>
    </mdx>
    <mdx n="0" f="v">
      <t c="8">
        <n x="1" s="1"/>
        <n x="2" s="1"/>
        <n x="5" s="1"/>
        <n x="3" s="1"/>
        <n x="4" s="1"/>
        <n x="104"/>
        <n x="105"/>
        <n x="54"/>
      </t>
    </mdx>
    <mdx n="0" f="v">
      <t c="8">
        <n x="1" s="1"/>
        <n x="2" s="1"/>
        <n x="5" s="1"/>
        <n x="3" s="1"/>
        <n x="4" s="1"/>
        <n x="104"/>
        <n x="120"/>
        <n x="103"/>
      </t>
    </mdx>
    <mdx n="0" f="v">
      <t c="8">
        <n x="1" s="1"/>
        <n x="2" s="1"/>
        <n x="5" s="1"/>
        <n x="3" s="1"/>
        <n x="4" s="1"/>
        <n x="104"/>
        <n x="133"/>
        <n x="20"/>
      </t>
    </mdx>
    <mdx n="0" f="v">
      <t c="8">
        <n x="1" s="1"/>
        <n x="2" s="1"/>
        <n x="5" s="1"/>
        <n x="3" s="1"/>
        <n x="4" s="1"/>
        <n x="104"/>
        <n x="137"/>
        <n x="48"/>
      </t>
    </mdx>
    <mdx n="0" f="v">
      <t c="8">
        <n x="1" s="1"/>
        <n x="2" s="1"/>
        <n x="5" s="1"/>
        <n x="3" s="1"/>
        <n x="4" s="1"/>
        <n x="104"/>
        <n x="142"/>
        <n x="84"/>
      </t>
    </mdx>
    <mdx n="0" f="v">
      <t c="8">
        <n x="1" s="1"/>
        <n x="2" s="1"/>
        <n x="5" s="1"/>
        <n x="3" s="1"/>
        <n x="4" s="1"/>
        <n x="104"/>
        <n x="78"/>
        <n x="164" s="1"/>
      </t>
    </mdx>
    <mdx n="0" f="v">
      <t c="8">
        <n x="1" s="1"/>
        <n x="2" s="1"/>
        <n x="5" s="1"/>
        <n x="3" s="1"/>
        <n x="4" s="1"/>
        <n x="104"/>
        <n x="78"/>
        <n x="69"/>
      </t>
    </mdx>
    <mdx n="0" f="v">
      <t c="8">
        <n x="1" s="1"/>
        <n x="2" s="1"/>
        <n x="5" s="1"/>
        <n x="3" s="1"/>
        <n x="4" s="1"/>
        <n x="104"/>
        <n x="7"/>
        <n x="44"/>
      </t>
    </mdx>
    <mdx n="0" f="v">
      <t c="8">
        <n x="1" s="1"/>
        <n x="2" s="1"/>
        <n x="5" s="1"/>
        <n x="3" s="1"/>
        <n x="4" s="1"/>
        <n x="104"/>
        <n x="22"/>
        <n x="58"/>
      </t>
    </mdx>
    <mdx n="0" f="v">
      <t c="8">
        <n x="1" s="1"/>
        <n x="2" s="1"/>
        <n x="5" s="1"/>
        <n x="3" s="1"/>
        <n x="4" s="1"/>
        <n x="104"/>
        <n x="30"/>
        <n x="48"/>
      </t>
    </mdx>
    <mdx n="0" f="v">
      <t c="8">
        <n x="1" s="1"/>
        <n x="2" s="1"/>
        <n x="5" s="1"/>
        <n x="3" s="1"/>
        <n x="4" s="1"/>
        <n x="104"/>
        <n x="149"/>
        <n x="63"/>
      </t>
    </mdx>
    <mdx n="0" f="v">
      <t c="8">
        <n x="1" s="1"/>
        <n x="2" s="1"/>
        <n x="5" s="1"/>
        <n x="3" s="1"/>
        <n x="4" s="1"/>
        <n x="104"/>
        <n x="149"/>
        <n x="148"/>
      </t>
    </mdx>
    <mdx n="0" f="v">
      <t c="8">
        <n x="1" s="1"/>
        <n x="2" s="1"/>
        <n x="5" s="1"/>
        <n x="3" s="1"/>
        <n x="4" s="1"/>
        <n x="104"/>
        <n x="156"/>
        <n x="48"/>
      </t>
    </mdx>
    <mdx n="0" f="v">
      <t c="8">
        <n x="1" s="1"/>
        <n x="2" s="1"/>
        <n x="5" s="1"/>
        <n x="3" s="1"/>
        <n x="4" s="1"/>
        <n x="104"/>
        <n x="158"/>
        <n x="107"/>
      </t>
    </mdx>
    <mdx n="0" f="v">
      <t c="8">
        <n x="1" s="1"/>
        <n x="2" s="1"/>
        <n x="5" s="1"/>
        <n x="3" s="1"/>
        <n x="4" s="1"/>
        <n x="104"/>
        <n x="158"/>
        <n x="69"/>
      </t>
    </mdx>
    <mdx n="0" f="v">
      <t c="8">
        <n x="1" s="1"/>
        <n x="2" s="1"/>
        <n x="5" s="1"/>
        <n x="3" s="1"/>
        <n x="4" s="1"/>
        <n x="104"/>
        <n x="161"/>
        <n x="94"/>
      </t>
    </mdx>
    <mdx n="0" f="v">
      <t c="8">
        <n x="1" s="1"/>
        <n x="2" s="1"/>
        <n x="5" s="1"/>
        <n x="3" s="1"/>
        <n x="4" s="1"/>
        <n x="104"/>
        <n x="66"/>
        <n x="160"/>
      </t>
    </mdx>
    <mdx n="0" f="v">
      <t c="8">
        <n x="1" s="1"/>
        <n x="2" s="1"/>
        <n x="5" s="1"/>
        <n x="3" s="1"/>
        <n x="4" s="1"/>
        <n x="104"/>
        <n x="37"/>
        <n x="75"/>
      </t>
    </mdx>
    <mdx n="0" f="v">
      <t c="8">
        <n x="1" s="1"/>
        <n x="2" s="1"/>
        <n x="5" s="1"/>
        <n x="3" s="1"/>
        <n x="4" s="1"/>
        <n x="104"/>
        <n x="37"/>
        <n x="87"/>
      </t>
    </mdx>
    <mdx n="0" f="v">
      <t c="8">
        <n x="1" s="1"/>
        <n x="2" s="1"/>
        <n x="5" s="1"/>
        <n x="3" s="1"/>
        <n x="4" s="1"/>
        <n x="104"/>
        <n x="71"/>
        <n x="160"/>
      </t>
    </mdx>
    <mdx n="0" f="v">
      <t c="8">
        <n x="1" s="1"/>
        <n x="2" s="1"/>
        <n x="5" s="1"/>
        <n x="3" s="1"/>
        <n x="4" s="1"/>
        <n x="104"/>
        <n x="80"/>
        <n x="108"/>
      </t>
    </mdx>
    <mdx n="0" f="v">
      <t c="8">
        <n x="1" s="1"/>
        <n x="2" s="1"/>
        <n x="5" s="1"/>
        <n x="3" s="1"/>
        <n x="4" s="1"/>
        <n x="104"/>
        <n x="80"/>
        <n x="45"/>
      </t>
    </mdx>
    <mdx n="0" f="v">
      <t c="8">
        <n x="1" s="1"/>
        <n x="2" s="1"/>
        <n x="5" s="1"/>
        <n x="3" s="1"/>
        <n x="4" s="1"/>
        <n x="104"/>
        <n x="89"/>
        <n x="103"/>
      </t>
    </mdx>
    <mdx n="0" f="v">
      <t c="8">
        <n x="1" s="1"/>
        <n x="2" s="1"/>
        <n x="5" s="1"/>
        <n x="3" s="1"/>
        <n x="4" s="1"/>
        <n x="104"/>
        <n x="98"/>
        <n x="162"/>
      </t>
    </mdx>
    <mdx n="0" f="v">
      <t c="8">
        <n x="1" s="1"/>
        <n x="2" s="1"/>
        <n x="5" s="1"/>
        <n x="3" s="1"/>
        <n x="4" s="1"/>
        <n x="104"/>
        <n x="111"/>
        <n x="84"/>
      </t>
    </mdx>
    <mdx n="0" f="v">
      <t c="8">
        <n x="1" s="1"/>
        <n x="2" s="1"/>
        <n x="5" s="1"/>
        <n x="3" s="1"/>
        <n x="4" s="1"/>
        <n x="104"/>
        <n x="111"/>
        <n x="15"/>
      </t>
    </mdx>
    <mdx n="0" f="v">
      <t c="8">
        <n x="1" s="1"/>
        <n x="2" s="1"/>
        <n x="5" s="1"/>
        <n x="3" s="1"/>
        <n x="4" s="1"/>
        <n x="104"/>
        <n x="117"/>
        <n x="162"/>
      </t>
    </mdx>
    <mdx n="0" f="v">
      <t c="8">
        <n x="1" s="1"/>
        <n x="2" s="1"/>
        <n x="5" s="1"/>
        <n x="3" s="1"/>
        <n x="4" s="1"/>
        <n x="104"/>
        <n x="130"/>
        <n x="109"/>
      </t>
    </mdx>
    <mdx n="0" f="v">
      <t c="8">
        <n x="1" s="1"/>
        <n x="2" s="1"/>
        <n x="5" s="1"/>
        <n x="3" s="1"/>
        <n x="4" s="1"/>
        <n x="104"/>
        <n x="130"/>
        <n x="77"/>
      </t>
    </mdx>
    <mdx n="0" f="v">
      <t c="8">
        <n x="1" s="1"/>
        <n x="2" s="1"/>
        <n x="5" s="1"/>
        <n x="3" s="1"/>
        <n x="4" s="1"/>
        <n x="104"/>
        <n x="8"/>
        <n x="44"/>
      </t>
    </mdx>
    <mdx n="0" f="v">
      <t c="8">
        <n x="1" s="1"/>
        <n x="2" s="1"/>
        <n x="5" s="1"/>
        <n x="3" s="1"/>
        <n x="4" s="1"/>
        <n x="104"/>
        <n x="23"/>
        <n x="14"/>
      </t>
    </mdx>
    <mdx n="0" f="v">
      <t c="8">
        <n x="1" s="1"/>
        <n x="2" s="1"/>
        <n x="5" s="1"/>
        <n x="3" s="1"/>
        <n x="4" s="1"/>
        <n x="104"/>
        <n x="17"/>
        <n x="93"/>
      </t>
    </mdx>
    <mdx n="0" f="v">
      <t c="8">
        <n x="1" s="1"/>
        <n x="2" s="1"/>
        <n x="5" s="1"/>
        <n x="3" s="1"/>
        <n x="4" s="1"/>
        <n x="104"/>
        <n x="17"/>
        <n x="16"/>
      </t>
    </mdx>
    <mdx n="0" f="v">
      <t c="8">
        <n x="1" s="1"/>
        <n x="2" s="1"/>
        <n x="5" s="1"/>
        <n x="3" s="1"/>
        <n x="4" s="1"/>
        <n x="104"/>
        <n x="126"/>
        <n x="14"/>
      </t>
    </mdx>
    <mdx n="0" f="v">
      <t c="8">
        <n x="1" s="1"/>
        <n x="2" s="1"/>
        <n x="5" s="1"/>
        <n x="3" s="1"/>
        <n x="4" s="1"/>
        <n x="104"/>
        <n x="138"/>
        <n x="43"/>
      </t>
    </mdx>
    <mdx n="0" f="v">
      <t c="8">
        <n x="1" s="1"/>
        <n x="2" s="1"/>
        <n x="5" s="1"/>
        <n x="3" s="1"/>
        <n x="4" s="1"/>
        <n x="104"/>
        <n x="138"/>
        <n x="86"/>
      </t>
    </mdx>
    <mdx n="0" f="v">
      <t c="8">
        <n x="1" s="1"/>
        <n x="2" s="1"/>
        <n x="5" s="1"/>
        <n x="3" s="1"/>
        <n x="4" s="1"/>
        <n x="104"/>
        <n x="143"/>
        <n x="44"/>
      </t>
    </mdx>
    <mdx n="0" f="v">
      <t c="8">
        <n x="1" s="1"/>
        <n x="2" s="1"/>
        <n x="5" s="1"/>
        <n x="3" s="1"/>
        <n x="4" s="1"/>
        <n x="104"/>
        <n x="64"/>
        <n x="63"/>
      </t>
    </mdx>
    <mdx n="0" f="v">
      <t c="8">
        <n x="1" s="1"/>
        <n x="2" s="1"/>
        <n x="5" s="1"/>
        <n x="3" s="1"/>
        <n x="4" s="1"/>
        <n x="104"/>
        <n x="163" s="1"/>
        <n x="59"/>
      </t>
    </mdx>
    <mdx n="0" f="v">
      <t c="8">
        <n x="1" s="1"/>
        <n x="2" s="1"/>
        <n x="5" s="1"/>
        <n x="3" s="1"/>
        <n x="4" s="1"/>
        <n x="104"/>
        <n x="60"/>
        <n x="108"/>
      </t>
    </mdx>
    <mdx n="0" f="v">
      <t c="8">
        <n x="1" s="1"/>
        <n x="2" s="1"/>
        <n x="5" s="1"/>
        <n x="3" s="1"/>
        <n x="4" s="1"/>
        <n x="104"/>
        <n x="60"/>
        <n x="86"/>
      </t>
    </mdx>
    <mdx n="0" f="v">
      <t c="8">
        <n x="1" s="1"/>
        <n x="2" s="1"/>
        <n x="5" s="1"/>
        <n x="3" s="1"/>
        <n x="4" s="1"/>
        <n x="104"/>
        <n x="6"/>
        <n x="52"/>
      </t>
    </mdx>
    <mdx n="0" f="v">
      <t c="8">
        <n x="1" s="1"/>
        <n x="2" s="1"/>
        <n x="5" s="1"/>
        <n x="3" s="1"/>
        <n x="4" s="1"/>
        <n x="104"/>
        <n x="21"/>
        <n x="15"/>
      </t>
    </mdx>
    <mdx n="0" f="v">
      <t c="8">
        <n x="1" s="1"/>
        <n x="2" s="1"/>
        <n x="5" s="1"/>
        <n x="3" s="1"/>
        <n x="4" s="1"/>
        <n x="104"/>
        <n x="34"/>
        <n x="29"/>
      </t>
    </mdx>
    <mdx n="0" f="v">
      <t c="8">
        <n x="1" s="1"/>
        <n x="2" s="1"/>
        <n x="5" s="1"/>
        <n x="3" s="1"/>
        <n x="4" s="1"/>
        <n x="104"/>
        <n x="65"/>
        <n x="154"/>
      </t>
    </mdx>
    <mdx n="0" f="v">
      <t c="8">
        <n x="1" s="1"/>
        <n x="2" s="1"/>
        <n x="5" s="1"/>
        <n x="3" s="1"/>
        <n x="4" s="1"/>
        <n x="104"/>
        <n x="70"/>
        <n x="109"/>
      </t>
    </mdx>
    <mdx n="0" f="v">
      <t c="8">
        <n x="1" s="1"/>
        <n x="2" s="1"/>
        <n x="5" s="1"/>
        <n x="3" s="1"/>
        <n x="4" s="1"/>
        <n x="104"/>
        <n x="70"/>
        <n x="95"/>
      </t>
    </mdx>
    <mdx n="0" f="v">
      <t c="8">
        <n x="1" s="1"/>
        <n x="2" s="1"/>
        <n x="5" s="1"/>
        <n x="3" s="1"/>
        <n x="4" s="1"/>
        <n x="104"/>
        <n x="79"/>
        <n x="54"/>
      </t>
    </mdx>
    <mdx n="0" f="v">
      <t c="8">
        <n x="1" s="1"/>
        <n x="2" s="1"/>
        <n x="5" s="1"/>
        <n x="3" s="1"/>
        <n x="4" s="1"/>
        <n x="104"/>
        <n x="88"/>
        <n x="16"/>
      </t>
    </mdx>
    <mdx n="0" f="v">
      <t c="8">
        <n x="1" s="1"/>
        <n x="2" s="1"/>
        <n x="5" s="1"/>
        <n x="3" s="1"/>
        <n x="4" s="1"/>
        <n x="104"/>
        <n x="97"/>
        <n x="20"/>
      </t>
    </mdx>
    <mdx n="0" f="v">
      <t c="8">
        <n x="1" s="1"/>
        <n x="2" s="1"/>
        <n x="5" s="1"/>
        <n x="3" s="1"/>
        <n x="4" s="1"/>
        <n x="104"/>
        <n x="36"/>
        <n x="48"/>
      </t>
    </mdx>
    <mdx n="0" f="v">
      <t c="8">
        <n x="1" s="1"/>
        <n x="2" s="1"/>
        <n x="5" s="1"/>
        <n x="3" s="1"/>
        <n x="4" s="1"/>
        <n x="104"/>
        <n x="110"/>
        <n x="43"/>
      </t>
    </mdx>
    <mdx n="0" f="v">
      <t c="8">
        <n x="1" s="1"/>
        <n x="2" s="1"/>
        <n x="5" s="1"/>
        <n x="3" s="1"/>
        <n x="4" s="1"/>
        <n x="104"/>
        <n x="105"/>
        <n x="164" s="1"/>
      </t>
    </mdx>
    <mdx n="0" f="v">
      <t c="8">
        <n x="1" s="1"/>
        <n x="2" s="1"/>
        <n x="5" s="1"/>
        <n x="3" s="1"/>
        <n x="4" s="1"/>
        <n x="104"/>
        <n x="105"/>
        <n x="69"/>
      </t>
    </mdx>
    <mdx n="0" f="v">
      <t c="8">
        <n x="1" s="1"/>
        <n x="2" s="1"/>
        <n x="5" s="1"/>
        <n x="3" s="1"/>
        <n x="4" s="1"/>
        <n x="104"/>
        <n x="120"/>
        <n x="33"/>
      </t>
    </mdx>
    <mdx n="0" f="v">
      <t c="8">
        <n x="1" s="1"/>
        <n x="2" s="1"/>
        <n x="5" s="1"/>
        <n x="3" s="1"/>
        <n x="4" s="1"/>
        <n x="104"/>
        <n x="133"/>
        <n x="58"/>
      </t>
    </mdx>
    <mdx n="0" f="v">
      <t c="8">
        <n x="1" s="1"/>
        <n x="2" s="1"/>
        <n x="5" s="1"/>
        <n x="3" s="1"/>
        <n x="4" s="1"/>
        <n x="104"/>
        <n x="137"/>
        <n x="160"/>
      </t>
    </mdx>
    <mdx n="0" f="v">
      <t c="8">
        <n x="1" s="1"/>
        <n x="2" s="1"/>
        <n x="5" s="1"/>
        <n x="3" s="1"/>
        <n x="4" s="1"/>
        <n x="104"/>
        <n x="142"/>
        <n x="128"/>
      </t>
    </mdx>
    <mdx n="0" f="v">
      <t c="8">
        <n x="1" s="1"/>
        <n x="2" s="1"/>
        <n x="5" s="1"/>
        <n x="3" s="1"/>
        <n x="4" s="1"/>
        <n x="104"/>
        <n x="78"/>
        <n x="56"/>
      </t>
    </mdx>
    <mdx n="0" f="v">
      <t c="8">
        <n x="1" s="1"/>
        <n x="2" s="1"/>
        <n x="5" s="1"/>
        <n x="3" s="1"/>
        <n x="4" s="1"/>
        <n x="104"/>
        <n x="78"/>
        <n x="45"/>
      </t>
    </mdx>
    <mdx n="0" f="v">
      <t c="8">
        <n x="1" s="1"/>
        <n x="2" s="1"/>
        <n x="5" s="1"/>
        <n x="3" s="1"/>
        <n x="4" s="1"/>
        <n x="104"/>
        <n x="7"/>
        <n x="155"/>
      </t>
    </mdx>
    <mdx n="0" f="v">
      <t c="8">
        <n x="1" s="1"/>
        <n x="2" s="1"/>
        <n x="5" s="1"/>
        <n x="3" s="1"/>
        <n x="4" s="1"/>
        <n x="104"/>
        <n x="22"/>
        <n x="76"/>
      </t>
    </mdx>
    <mdx n="0" f="v">
      <t c="8">
        <n x="1" s="1"/>
        <n x="2" s="1"/>
        <n x="5" s="1"/>
        <n x="3" s="1"/>
        <n x="4" s="1"/>
        <n x="104"/>
        <n x="30"/>
        <n x="160"/>
      </t>
    </mdx>
    <mdx n="0" f="v">
      <t c="8">
        <n x="1" s="1"/>
        <n x="2" s="1"/>
        <n x="5" s="1"/>
        <n x="3" s="1"/>
        <n x="4" s="1"/>
        <n x="104"/>
        <n x="149"/>
        <n x="75"/>
      </t>
    </mdx>
    <mdx n="0" f="v">
      <t c="8">
        <n x="1" s="1"/>
        <n x="2" s="1"/>
        <n x="5" s="1"/>
        <n x="3" s="1"/>
        <n x="4" s="1"/>
        <n x="104"/>
        <n x="149"/>
        <n x="87"/>
      </t>
    </mdx>
    <mdx n="0" f="v">
      <t c="8">
        <n x="1" s="1"/>
        <n x="2" s="1"/>
        <n x="5" s="1"/>
        <n x="3" s="1"/>
        <n x="4" s="1"/>
        <n x="104"/>
        <n x="156"/>
        <n x="103"/>
      </t>
    </mdx>
    <mdx n="0" f="v">
      <t c="8">
        <n x="1" s="1"/>
        <n x="2" s="1"/>
        <n x="5" s="1"/>
        <n x="3" s="1"/>
        <n x="4" s="1"/>
        <n x="104"/>
        <n x="158"/>
        <n x="108"/>
      </t>
    </mdx>
    <mdx n="0" f="v">
      <t c="8">
        <n x="1" s="1"/>
        <n x="2" s="1"/>
        <n x="5" s="1"/>
        <n x="3" s="1"/>
        <n x="4" s="1"/>
        <n x="104"/>
        <n x="158"/>
        <n x="45"/>
      </t>
    </mdx>
    <mdx n="0" f="v">
      <t c="8">
        <n x="1" s="1"/>
        <n x="2" s="1"/>
        <n x="5" s="1"/>
        <n x="3" s="1"/>
        <n x="4" s="1"/>
        <n x="104"/>
        <n x="161"/>
        <n x="103"/>
      </t>
    </mdx>
    <mdx n="0" f="v">
      <t c="8">
        <n x="1" s="1"/>
        <n x="2" s="1"/>
        <n x="5" s="1"/>
        <n x="3" s="1"/>
        <n x="4" s="1"/>
        <n x="104"/>
        <n x="66"/>
        <n x="162"/>
      </t>
    </mdx>
    <mdx n="0" f="v">
      <t c="8">
        <n x="1" s="1"/>
        <n x="2" s="1"/>
        <n x="5" s="1"/>
        <n x="3" s="1"/>
        <n x="4" s="1"/>
        <n x="104"/>
        <n x="37"/>
        <n x="84"/>
      </t>
    </mdx>
    <mdx n="0" f="v">
      <t c="8">
        <n x="1" s="1"/>
        <n x="2" s="1"/>
        <n x="5" s="1"/>
        <n x="3" s="1"/>
        <n x="4" s="1"/>
        <n x="104"/>
        <n x="37"/>
        <n x="15"/>
      </t>
    </mdx>
    <mdx n="0" f="v">
      <t c="8">
        <n x="1" s="1"/>
        <n x="2" s="1"/>
        <n x="5" s="1"/>
        <n x="3" s="1"/>
        <n x="4" s="1"/>
        <n x="104"/>
        <n x="71"/>
        <n x="44"/>
      </t>
    </mdx>
    <mdx n="0" f="v">
      <t c="8">
        <n x="1" s="1"/>
        <n x="2" s="1"/>
        <n x="5" s="1"/>
        <n x="3" s="1"/>
        <n x="4" s="1"/>
        <n x="104"/>
        <n x="80"/>
        <n x="109"/>
      </t>
    </mdx>
    <mdx n="0" f="v">
      <t c="8">
        <n x="1" s="1"/>
        <n x="2" s="1"/>
        <n x="5" s="1"/>
        <n x="3" s="1"/>
        <n x="4" s="1"/>
        <n x="104"/>
        <n x="80"/>
        <n x="77"/>
      </t>
    </mdx>
    <mdx n="0" f="v">
      <t c="8">
        <n x="1" s="1"/>
        <n x="2" s="1"/>
        <n x="5" s="1"/>
        <n x="3" s="1"/>
        <n x="4" s="1"/>
        <n x="104"/>
        <n x="89"/>
        <n x="44"/>
      </t>
    </mdx>
    <mdx n="0" f="v">
      <t c="8">
        <n x="1" s="1"/>
        <n x="2" s="1"/>
        <n x="5" s="1"/>
        <n x="3" s="1"/>
        <n x="4" s="1"/>
        <n x="104"/>
        <n x="98"/>
        <n x="14"/>
      </t>
    </mdx>
    <mdx n="0" f="v">
      <t c="8">
        <n x="1" s="1"/>
        <n x="2" s="1"/>
        <n x="5" s="1"/>
        <n x="3" s="1"/>
        <n x="4" s="1"/>
        <n x="104"/>
        <n x="111"/>
        <n x="93"/>
      </t>
    </mdx>
    <mdx n="0" f="v">
      <t c="8">
        <n x="1" s="1"/>
        <n x="2" s="1"/>
        <n x="5" s="1"/>
        <n x="3" s="1"/>
        <n x="4" s="1"/>
        <n x="104"/>
        <n x="111"/>
        <n x="16"/>
      </t>
    </mdx>
    <mdx n="0" f="v">
      <t c="8">
        <n x="1" s="1"/>
        <n x="2" s="1"/>
        <n x="5" s="1"/>
        <n x="3" s="1"/>
        <n x="4" s="1"/>
        <n x="104"/>
        <n x="117"/>
        <n x="116"/>
      </t>
    </mdx>
    <mdx n="0" f="v">
      <t c="8">
        <n x="1" s="1"/>
        <n x="2" s="1"/>
        <n x="5" s="1"/>
        <n x="3" s="1"/>
        <n x="4" s="1"/>
        <n x="104"/>
        <n x="130"/>
        <n x="43"/>
      </t>
    </mdx>
    <mdx n="0" f="v">
      <t c="8">
        <n x="1" s="1"/>
        <n x="2" s="1"/>
        <n x="5" s="1"/>
        <n x="3" s="1"/>
        <n x="4" s="1"/>
        <n x="104"/>
        <n x="130"/>
        <n x="86"/>
      </t>
    </mdx>
    <mdx n="0" f="v">
      <t c="8">
        <n x="1" s="1"/>
        <n x="2" s="1"/>
        <n x="5" s="1"/>
        <n x="3" s="1"/>
        <n x="4" s="1"/>
        <n x="104"/>
        <n x="8"/>
        <n x="116"/>
      </t>
    </mdx>
    <mdx n="0" f="v">
      <t c="8">
        <n x="1" s="1"/>
        <n x="2" s="1"/>
        <n x="5" s="1"/>
        <n x="3" s="1"/>
        <n x="4" s="1"/>
        <n x="104"/>
        <n x="23"/>
        <n x="29"/>
      </t>
    </mdx>
    <mdx n="0" f="v">
      <t c="8">
        <n x="1" s="1"/>
        <n x="2" s="1"/>
        <n x="5" s="1"/>
        <n x="3" s="1"/>
        <n x="4" s="1"/>
        <n x="104"/>
        <n x="17"/>
        <n x="13"/>
      </t>
    </mdx>
    <mdx n="0" f="v">
      <t c="8">
        <n x="1" s="1"/>
        <n x="2" s="1"/>
        <n x="5" s="1"/>
        <n x="3" s="1"/>
        <n x="4" s="1"/>
        <n x="104"/>
        <n x="17"/>
        <n x="33"/>
      </t>
    </mdx>
    <mdx n="0" f="v">
      <t c="8">
        <n x="1" s="1"/>
        <n x="2" s="1"/>
        <n x="5" s="1"/>
        <n x="3" s="1"/>
        <n x="4" s="1"/>
        <n x="104"/>
        <n x="126"/>
        <n x="119"/>
      </t>
    </mdx>
    <mdx n="0" f="v">
      <t c="8">
        <n x="1" s="1"/>
        <n x="2" s="1"/>
        <n x="5" s="1"/>
        <n x="3" s="1"/>
        <n x="4" s="1"/>
        <n x="104"/>
        <n x="138"/>
        <n x="128"/>
      </t>
    </mdx>
    <mdx n="0" f="v">
      <t c="8">
        <n x="1" s="1"/>
        <n x="2" s="1"/>
        <n x="5" s="1"/>
        <n x="3" s="1"/>
        <n x="4" s="1"/>
        <n x="104"/>
        <n x="138"/>
        <n x="95"/>
      </t>
    </mdx>
    <mdx n="0" f="v">
      <t c="8">
        <n x="1" s="1"/>
        <n x="2" s="1"/>
        <n x="5" s="1"/>
        <n x="3" s="1"/>
        <n x="4" s="1"/>
        <n x="104"/>
        <n x="143"/>
        <n x="116"/>
      </t>
    </mdx>
    <mdx n="0" f="v">
      <t c="8">
        <n x="1" s="1"/>
        <n x="2" s="1"/>
        <n x="5" s="1"/>
        <n x="3" s="1"/>
        <n x="4" s="1"/>
        <n x="104"/>
        <n x="64"/>
        <n x="75"/>
      </t>
    </mdx>
    <mdx n="0" f="v">
      <t c="8">
        <n x="1" s="1"/>
        <n x="2" s="1"/>
        <n x="5" s="1"/>
        <n x="3" s="1"/>
        <n x="4" s="1"/>
        <n x="104"/>
        <n x="163" s="1"/>
        <n x="154"/>
      </t>
    </mdx>
    <mdx n="0" f="v">
      <t c="8">
        <n x="1" s="1"/>
        <n x="2" s="1"/>
        <n x="5" s="1"/>
        <n x="3" s="1"/>
        <n x="4" s="1"/>
        <n x="104"/>
        <n x="60"/>
        <n x="109"/>
      </t>
    </mdx>
    <mdx n="0" f="v">
      <t c="8">
        <n x="1" s="1"/>
        <n x="2" s="1"/>
        <n x="5" s="1"/>
        <n x="3" s="1"/>
        <n x="4" s="1"/>
        <n x="104"/>
        <n x="60"/>
        <n x="95"/>
      </t>
    </mdx>
    <mdx n="0" f="v">
      <t c="8">
        <n x="1" s="1"/>
        <n x="2" s="1"/>
        <n x="5" s="1"/>
        <n x="3" s="1"/>
        <n x="4" s="1"/>
        <n x="104"/>
        <n x="6"/>
        <n x="54"/>
      </t>
    </mdx>
    <mdx n="0" f="v">
      <t c="8">
        <n x="1" s="1"/>
        <n x="2" s="1"/>
        <n x="5" s="1"/>
        <n x="3" s="1"/>
        <n x="4" s="1"/>
        <n x="104"/>
        <n x="21"/>
        <n x="16"/>
      </t>
    </mdx>
    <mdx n="0" f="v">
      <t c="8">
        <n x="1" s="1"/>
        <n x="2" s="1"/>
        <n x="5" s="1"/>
        <n x="3" s="1"/>
        <n x="4" s="1"/>
        <n x="104"/>
        <n x="34"/>
        <n x="20"/>
      </t>
    </mdx>
    <mdx n="0" f="v">
      <t c="8">
        <n x="1" s="1"/>
        <n x="2" s="1"/>
        <n x="5" s="1"/>
        <n x="3" s="1"/>
        <n x="4" s="1"/>
        <n x="104"/>
        <n x="65"/>
        <n x="48"/>
      </t>
    </mdx>
    <mdx n="0" f="v">
      <t c="8">
        <n x="1" s="1"/>
        <n x="2" s="1"/>
        <n x="5" s="1"/>
        <n x="3" s="1"/>
        <n x="4" s="1"/>
        <n x="104"/>
        <n x="70"/>
        <n x="43"/>
      </t>
    </mdx>
    <mdx n="0" f="v">
      <t c="8">
        <n x="1" s="1"/>
        <n x="2" s="1"/>
        <n x="5" s="1"/>
        <n x="3" s="1"/>
        <n x="4" s="1"/>
        <n x="104"/>
        <n x="79"/>
        <n x="164" s="1"/>
      </t>
    </mdx>
    <mdx n="0" f="v">
      <t c="8">
        <n x="1" s="1"/>
        <n x="2" s="1"/>
        <n x="5" s="1"/>
        <n x="3" s="1"/>
        <n x="4" s="1"/>
        <n x="104"/>
        <n x="79"/>
        <n x="69"/>
      </t>
    </mdx>
    <mdx n="0" f="v">
      <t c="8">
        <n x="1" s="1"/>
        <n x="2" s="1"/>
        <n x="5" s="1"/>
        <n x="3" s="1"/>
        <n x="4" s="1"/>
        <n x="104"/>
        <n x="88"/>
        <n x="33"/>
      </t>
    </mdx>
    <mdx n="0" f="v">
      <t c="8">
        <n x="1" s="1"/>
        <n x="2" s="1"/>
        <n x="5" s="1"/>
        <n x="3" s="1"/>
        <n x="4" s="1"/>
        <n x="104"/>
        <n x="97"/>
        <n x="58"/>
      </t>
    </mdx>
    <mdx n="0" f="v">
      <t c="8">
        <n x="1" s="1"/>
        <n x="2" s="1"/>
        <n x="5" s="1"/>
        <n x="3" s="1"/>
        <n x="4" s="1"/>
        <n x="104"/>
        <n x="36"/>
        <n x="160"/>
      </t>
    </mdx>
    <mdx n="0" f="v">
      <t c="8">
        <n x="1" s="1"/>
        <n x="2" s="1"/>
        <n x="5" s="1"/>
        <n x="3" s="1"/>
        <n x="4" s="1"/>
        <n x="104"/>
        <n x="110"/>
        <n x="128"/>
      </t>
    </mdx>
    <mdx n="0" f="v">
      <t c="8">
        <n x="1" s="1"/>
        <n x="2" s="1"/>
        <n x="5" s="1"/>
        <n x="3" s="1"/>
        <n x="4" s="1"/>
        <n x="104"/>
        <n x="105"/>
        <n x="56"/>
      </t>
    </mdx>
    <mdx n="0" f="v">
      <t c="8">
        <n x="1" s="1"/>
        <n x="2" s="1"/>
        <n x="5" s="1"/>
        <n x="3" s="1"/>
        <n x="4" s="1"/>
        <n x="104"/>
        <n x="105"/>
        <n x="45"/>
      </t>
    </mdx>
    <mdx n="0" f="v">
      <t c="8">
        <n x="1" s="1"/>
        <n x="2" s="1"/>
        <n x="5" s="1"/>
        <n x="3" s="1"/>
        <n x="4" s="1"/>
        <n x="104"/>
        <n x="120"/>
        <n x="155"/>
      </t>
    </mdx>
    <mdx n="0" f="v">
      <t c="8">
        <n x="1" s="1"/>
        <n x="2" s="1"/>
        <n x="5" s="1"/>
        <n x="3" s="1"/>
        <n x="4" s="1"/>
        <n x="104"/>
        <n x="133"/>
        <n x="76"/>
      </t>
    </mdx>
    <mdx n="0" f="v">
      <t c="8">
        <n x="1" s="1"/>
        <n x="2" s="1"/>
        <n x="5" s="1"/>
        <n x="3" s="1"/>
        <n x="4" s="1"/>
        <n x="104"/>
        <n x="137"/>
        <n x="162"/>
      </t>
    </mdx>
    <mdx n="0" f="v">
      <t c="8">
        <n x="1" s="1"/>
        <n x="2" s="1"/>
        <n x="5" s="1"/>
        <n x="3" s="1"/>
        <n x="4" s="1"/>
        <n x="104"/>
        <n x="142"/>
        <n x="147"/>
      </t>
    </mdx>
    <mdx n="0" f="v">
      <t c="8">
        <n x="1" s="1"/>
        <n x="2" s="1"/>
        <n x="5" s="1"/>
        <n x="3" s="1"/>
        <n x="4" s="1"/>
        <n x="104"/>
        <n x="78"/>
        <n x="62"/>
      </t>
    </mdx>
    <mdx n="0" f="v">
      <t c="8">
        <n x="1" s="1"/>
        <n x="2" s="1"/>
        <n x="5" s="1"/>
        <n x="3" s="1"/>
        <n x="4" s="1"/>
        <n x="104"/>
        <n x="78"/>
        <n x="77"/>
      </t>
    </mdx>
    <mdx n="0" f="v">
      <t c="8">
        <n x="1" s="1"/>
        <n x="2" s="1"/>
        <n x="5" s="1"/>
        <n x="3" s="1"/>
        <n x="4" s="1"/>
        <n x="104"/>
        <n x="7"/>
        <n x="49"/>
      </t>
    </mdx>
    <mdx n="0" f="v">
      <t c="8">
        <n x="1" s="1"/>
        <n x="2" s="1"/>
        <n x="5" s="1"/>
        <n x="3" s="1"/>
        <n x="4" s="1"/>
        <n x="104"/>
        <n x="22"/>
        <n x="85"/>
      </t>
    </mdx>
    <mdx n="0" f="v">
      <t c="8">
        <n x="1" s="1"/>
        <n x="2" s="1"/>
        <n x="5" s="1"/>
        <n x="3" s="1"/>
        <n x="4" s="1"/>
        <n x="104"/>
        <n x="30"/>
        <n x="162"/>
      </t>
    </mdx>
    <mdx n="0" f="v">
      <t c="8">
        <n x="1" s="1"/>
        <n x="2" s="1"/>
        <n x="5" s="1"/>
        <n x="3" s="1"/>
        <n x="4" s="1"/>
        <n x="104"/>
        <n x="149"/>
        <n x="84"/>
      </t>
    </mdx>
    <mdx n="0" f="v">
      <t c="8">
        <n x="1" s="1"/>
        <n x="2" s="1"/>
        <n x="5" s="1"/>
        <n x="3" s="1"/>
        <n x="4" s="1"/>
        <n x="104"/>
        <n x="149"/>
        <n x="15"/>
      </t>
    </mdx>
    <mdx n="0" f="v">
      <t c="8">
        <n x="1" s="1"/>
        <n x="2" s="1"/>
        <n x="5" s="1"/>
        <n x="3" s="1"/>
        <n x="4" s="1"/>
        <n x="104"/>
        <n x="156"/>
        <n x="44"/>
      </t>
    </mdx>
    <mdx n="0" f="v">
      <t c="8">
        <n x="1" s="1"/>
        <n x="2" s="1"/>
        <n x="5" s="1"/>
        <n x="3" s="1"/>
        <n x="4" s="1"/>
        <n x="104"/>
        <n x="158"/>
        <n x="109"/>
      </t>
    </mdx>
    <mdx n="0" f="v">
      <t c="8">
        <n x="1" s="1"/>
        <n x="2" s="1"/>
        <n x="5" s="1"/>
        <n x="3" s="1"/>
        <n x="4" s="1"/>
        <n x="104"/>
        <n x="158"/>
        <n x="77"/>
      </t>
    </mdx>
    <mdx n="0" f="v">
      <t c="8">
        <n x="1" s="1"/>
        <n x="2" s="1"/>
        <n x="5" s="1"/>
        <n x="3" s="1"/>
        <n x="4" s="1"/>
        <n x="104"/>
        <n x="161"/>
        <n x="16"/>
      </t>
    </mdx>
    <mdx n="0" f="v">
      <t c="8">
        <n x="1" s="1"/>
        <n x="2" s="1"/>
        <n x="5" s="1"/>
        <n x="3" s="1"/>
        <n x="4" s="1"/>
        <n x="104"/>
        <n x="66"/>
        <n x="14"/>
      </t>
    </mdx>
    <mdx n="0" f="v">
      <t c="8">
        <n x="1" s="1"/>
        <n x="2" s="1"/>
        <n x="5" s="1"/>
        <n x="3" s="1"/>
        <n x="4" s="1"/>
        <n x="104"/>
        <n x="37"/>
        <n x="93"/>
      </t>
    </mdx>
    <mdx n="0" f="v">
      <t c="8">
        <n x="1" s="1"/>
        <n x="2" s="1"/>
        <n x="5" s="1"/>
        <n x="3" s="1"/>
        <n x="4" s="1"/>
        <n x="104"/>
        <n x="37"/>
        <n x="16"/>
      </t>
    </mdx>
    <mdx n="0" f="v">
      <t c="8">
        <n x="1" s="1"/>
        <n x="2" s="1"/>
        <n x="5" s="1"/>
        <n x="3" s="1"/>
        <n x="4" s="1"/>
        <n x="104"/>
        <n x="71"/>
        <n x="116"/>
      </t>
    </mdx>
    <mdx n="0" f="v">
      <t c="8">
        <n x="1" s="1"/>
        <n x="2" s="1"/>
        <n x="5" s="1"/>
        <n x="3" s="1"/>
        <n x="4" s="1"/>
        <n x="104"/>
        <n x="80"/>
        <n x="43"/>
      </t>
    </mdx>
    <mdx n="0" f="v">
      <t c="8">
        <n x="1" s="1"/>
        <n x="2" s="1"/>
        <n x="5" s="1"/>
        <n x="3" s="1"/>
        <n x="4" s="1"/>
        <n x="104"/>
        <n x="80"/>
        <n x="86"/>
      </t>
    </mdx>
    <mdx n="0" f="v">
      <t c="8">
        <n x="1" s="1"/>
        <n x="2" s="1"/>
        <n x="5" s="1"/>
        <n x="3" s="1"/>
        <n x="4" s="1"/>
        <n x="104"/>
        <n x="89"/>
        <n x="33"/>
      </t>
    </mdx>
    <mdx n="0" f="v">
      <t c="8">
        <n x="1" s="1"/>
        <n x="2" s="1"/>
        <n x="5" s="1"/>
        <n x="3" s="1"/>
        <n x="4" s="1"/>
        <n x="104"/>
        <n x="98"/>
        <n x="29"/>
      </t>
    </mdx>
    <mdx n="0" f="v">
      <t c="8">
        <n x="1" s="1"/>
        <n x="2" s="1"/>
        <n x="5" s="1"/>
        <n x="3" s="1"/>
        <n x="4" s="1"/>
        <n x="104"/>
        <n x="111"/>
        <n x="13"/>
      </t>
    </mdx>
    <mdx n="0" f="v">
      <t c="8">
        <n x="1" s="1"/>
        <n x="2" s="1"/>
        <n x="5" s="1"/>
        <n x="3" s="1"/>
        <n x="4" s="1"/>
        <n x="104"/>
        <n x="111"/>
        <n x="33"/>
      </t>
    </mdx>
    <mdx n="0" f="v">
      <t c="8">
        <n x="1" s="1"/>
        <n x="2" s="1"/>
        <n x="5" s="1"/>
        <n x="3" s="1"/>
        <n x="4" s="1"/>
        <n x="104"/>
        <n x="117"/>
        <n x="119"/>
      </t>
    </mdx>
    <mdx n="0" f="v">
      <t c="8">
        <n x="1" s="1"/>
        <n x="2" s="1"/>
        <n x="5" s="1"/>
        <n x="3" s="1"/>
        <n x="4" s="1"/>
        <n x="104"/>
        <n x="130"/>
        <n x="128"/>
      </t>
    </mdx>
    <mdx n="0" f="v">
      <t c="8">
        <n x="1" s="1"/>
        <n x="2" s="1"/>
        <n x="5" s="1"/>
        <n x="3" s="1"/>
        <n x="4" s="1"/>
        <n x="104"/>
        <n x="130"/>
        <n x="95"/>
      </t>
    </mdx>
    <mdx n="0" f="v">
      <t c="8">
        <n x="1" s="1"/>
        <n x="2" s="1"/>
        <n x="5" s="1"/>
        <n x="3" s="1"/>
        <n x="4" s="1"/>
        <n x="104"/>
        <n x="8"/>
        <n x="155"/>
      </t>
    </mdx>
    <mdx n="0" f="v">
      <t c="8">
        <n x="1" s="1"/>
        <n x="2" s="1"/>
        <n x="5" s="1"/>
        <n x="3" s="1"/>
        <n x="4" s="1"/>
        <n x="104"/>
        <n x="23"/>
        <n x="20"/>
      </t>
    </mdx>
    <mdx n="0" f="v">
      <t c="8">
        <n x="1" s="1"/>
        <n x="2" s="1"/>
        <n x="5" s="1"/>
        <n x="3" s="1"/>
        <n x="4" s="1"/>
        <n x="104"/>
        <n x="17"/>
        <n x="28"/>
      </t>
    </mdx>
    <mdx n="0" f="v">
      <t c="8">
        <n x="1" s="1"/>
        <n x="2" s="1"/>
        <n x="5" s="1"/>
        <n x="3" s="1"/>
        <n x="4" s="1"/>
        <n x="104"/>
        <n x="17"/>
        <n x="155"/>
      </t>
    </mdx>
    <mdx n="0" f="v">
      <t c="8">
        <n x="1" s="1"/>
        <n x="2" s="1"/>
        <n x="5" s="1"/>
        <n x="3" s="1"/>
        <n x="4" s="1"/>
        <n x="104"/>
        <n x="126"/>
        <n x="122"/>
      </t>
    </mdx>
    <mdx n="0" f="v">
      <t c="8">
        <n x="1" s="1"/>
        <n x="2" s="1"/>
        <n x="5" s="1"/>
        <n x="3" s="1"/>
        <n x="4" s="1"/>
        <n x="104"/>
        <n x="138"/>
        <n x="147"/>
      </t>
    </mdx>
    <mdx n="0" f="v">
      <t c="8">
        <n x="1" s="1"/>
        <n x="2" s="1"/>
        <n x="5" s="1"/>
        <n x="3" s="1"/>
        <n x="4" s="1"/>
        <n x="104"/>
        <n x="143"/>
        <n x="164" s="1"/>
      </t>
    </mdx>
    <mdx n="0" f="v">
      <t c="8">
        <n x="1" s="1"/>
        <n x="2" s="1"/>
        <n x="5" s="1"/>
        <n x="3" s="1"/>
        <n x="4" s="1"/>
        <n x="104"/>
        <n x="143"/>
        <n x="119"/>
      </t>
    </mdx>
    <mdx n="0" f="v">
      <t c="8">
        <n x="1" s="1"/>
        <n x="2" s="1"/>
        <n x="5" s="1"/>
        <n x="3" s="1"/>
        <n x="4" s="1"/>
        <n x="104"/>
        <n x="64"/>
        <n x="84"/>
      </t>
    </mdx>
    <mdx n="0" f="v">
      <t c="8">
        <n x="1" s="1"/>
        <n x="2" s="1"/>
        <n x="5" s="1"/>
        <n x="3" s="1"/>
        <n x="4" s="1"/>
        <n x="104"/>
        <n x="64"/>
        <n x="160"/>
      </t>
    </mdx>
    <mdx n="0" f="v">
      <t c="8">
        <n x="1" s="1"/>
        <n x="2" s="1"/>
        <n x="5" s="1"/>
        <n x="3" s="1"/>
        <n x="4" s="1"/>
        <n x="104"/>
        <n x="64"/>
        <n x="148"/>
      </t>
    </mdx>
    <mdx n="0" f="v">
      <t c="8">
        <n x="1" s="1"/>
        <n x="2" s="1"/>
        <n x="5" s="1"/>
        <n x="3" s="1"/>
        <n x="4" s="1"/>
        <n x="104"/>
        <n x="163" s="1"/>
        <n x="48"/>
      </t>
    </mdx>
    <mdx n="0" f="v">
      <t c="8">
        <n x="1" s="1"/>
        <n x="2" s="1"/>
        <n x="5" s="1"/>
        <n x="3" s="1"/>
        <n x="4" s="1"/>
        <n x="104"/>
        <n x="60"/>
        <n x="43"/>
      </t>
    </mdx>
    <mdx n="0" f="v">
      <t c="8">
        <n x="1" s="1"/>
        <n x="2" s="1"/>
        <n x="5" s="1"/>
        <n x="3" s="1"/>
        <n x="4" s="1"/>
        <n x="104"/>
        <n x="6"/>
        <n x="102"/>
      </t>
    </mdx>
    <mdx n="0" f="v">
      <t c="8">
        <n x="1" s="1"/>
        <n x="2" s="1"/>
        <n x="5" s="1"/>
        <n x="3" s="1"/>
        <n x="4" s="1"/>
        <n x="104"/>
        <n x="6"/>
        <n x="69"/>
      </t>
    </mdx>
    <mdx n="0" f="v">
      <t c="8">
        <n x="1" s="1"/>
        <n x="2" s="1"/>
        <n x="5" s="1"/>
        <n x="3" s="1"/>
        <n x="4" s="1"/>
        <n x="104"/>
        <n x="21"/>
        <n x="33"/>
      </t>
    </mdx>
    <mdx n="0" f="v">
      <t c="8">
        <n x="1" s="1"/>
        <n x="2" s="1"/>
        <n x="5" s="1"/>
        <n x="3" s="1"/>
        <n x="4" s="1"/>
        <n x="104"/>
        <n x="34"/>
        <n x="141"/>
      </t>
    </mdx>
    <mdx n="0" f="v">
      <t c="8">
        <n x="1" s="1"/>
        <n x="2" s="1"/>
        <n x="5" s="1"/>
        <n x="3" s="1"/>
        <n x="4" s="1"/>
        <n x="104"/>
        <n x="65"/>
        <n x="160"/>
      </t>
    </mdx>
    <mdx n="0" f="v">
      <t c="8">
        <n x="1" s="1"/>
        <n x="2" s="1"/>
        <n x="5" s="1"/>
        <n x="3" s="1"/>
        <n x="4" s="1"/>
        <n x="104"/>
        <n x="70"/>
        <n x="128"/>
      </t>
    </mdx>
    <mdx n="0" f="v">
      <t c="8">
        <n x="1" s="1"/>
        <n x="2" s="1"/>
        <n x="5" s="1"/>
        <n x="3" s="1"/>
        <n x="4" s="1"/>
        <n x="104"/>
        <n x="79"/>
        <n x="115"/>
      </t>
    </mdx>
    <mdx n="0" f="v">
      <t c="8">
        <n x="1" s="1"/>
        <n x="2" s="1"/>
        <n x="5" s="1"/>
        <n x="3" s="1"/>
        <n x="4" s="1"/>
        <n x="104"/>
        <n x="79"/>
        <n x="45"/>
      </t>
    </mdx>
    <mdx n="0" f="v">
      <t c="8">
        <n x="1" s="1"/>
        <n x="2" s="1"/>
        <n x="5" s="1"/>
        <n x="3" s="1"/>
        <n x="4" s="1"/>
        <n x="104"/>
        <n x="88"/>
        <n x="155"/>
      </t>
    </mdx>
    <mdx n="0" f="v">
      <t c="8">
        <n x="1" s="1"/>
        <n x="2" s="1"/>
        <n x="5" s="1"/>
        <n x="3" s="1"/>
        <n x="4" s="1"/>
        <n x="104"/>
        <n x="97"/>
        <n x="148"/>
      </t>
    </mdx>
    <mdx n="0" f="v">
      <t c="8">
        <n x="1" s="1"/>
        <n x="2" s="1"/>
        <n x="5" s="1"/>
        <n x="3" s="1"/>
        <n x="4" s="1"/>
        <n x="104"/>
        <n x="36"/>
        <n x="162"/>
      </t>
    </mdx>
    <mdx n="0" f="v">
      <t c="8">
        <n x="1" s="1"/>
        <n x="2" s="1"/>
        <n x="5" s="1"/>
        <n x="3" s="1"/>
        <n x="4" s="1"/>
        <n x="104"/>
        <n x="110"/>
        <n x="147"/>
      </t>
    </mdx>
    <mdx n="0" f="v">
      <t c="8">
        <n x="1" s="1"/>
        <n x="2" s="1"/>
        <n x="5" s="1"/>
        <n x="3" s="1"/>
        <n x="4" s="1"/>
        <n x="104"/>
        <n x="105"/>
        <n x="107"/>
      </t>
    </mdx>
    <mdx n="0" f="v">
      <t c="8">
        <n x="1" s="1"/>
        <n x="2" s="1"/>
        <n x="5" s="1"/>
        <n x="3" s="1"/>
        <n x="4" s="1"/>
        <n x="104"/>
        <n x="105"/>
        <n x="77"/>
      </t>
    </mdx>
    <mdx n="0" f="v">
      <t c="8">
        <n x="1" s="1"/>
        <n x="2" s="1"/>
        <n x="5" s="1"/>
        <n x="3" s="1"/>
        <n x="4" s="1"/>
        <n x="104"/>
        <n x="120"/>
        <n x="49"/>
      </t>
    </mdx>
    <mdx n="0" f="v">
      <t c="8">
        <n x="1" s="1"/>
        <n x="2" s="1"/>
        <n x="5" s="1"/>
        <n x="3" s="1"/>
        <n x="4" s="1"/>
        <n x="104"/>
        <n x="133"/>
        <n x="87"/>
      </t>
    </mdx>
    <mdx n="0" f="v">
      <t c="8">
        <n x="1" s="1"/>
        <n x="2" s="1"/>
        <n x="5" s="1"/>
        <n x="3" s="1"/>
        <n x="4" s="1"/>
        <n x="104"/>
        <n x="137"/>
        <n x="14"/>
      </t>
    </mdx>
    <mdx n="0" f="v">
      <t c="8">
        <n x="1" s="1"/>
        <n x="2" s="1"/>
        <n x="5" s="1"/>
        <n x="3" s="1"/>
        <n x="4" s="1"/>
        <n x="104"/>
        <n x="142"/>
        <n x="59"/>
      </t>
    </mdx>
    <mdx n="0" f="v">
      <t c="8">
        <n x="1" s="1"/>
        <n x="2" s="1"/>
        <n x="5" s="1"/>
        <n x="3" s="1"/>
        <n x="4" s="1"/>
        <n x="104"/>
        <n x="78"/>
        <n x="108"/>
      </t>
    </mdx>
    <mdx n="0" f="v">
      <t c="8">
        <n x="1" s="1"/>
        <n x="2" s="1"/>
        <n x="5" s="1"/>
        <n x="3" s="1"/>
        <n x="4" s="1"/>
        <n x="104"/>
        <n x="78"/>
        <n x="86"/>
      </t>
    </mdx>
    <mdx n="0" f="v">
      <t c="8">
        <n x="1" s="1"/>
        <n x="2" s="1"/>
        <n x="5" s="1"/>
        <n x="3" s="1"/>
        <n x="4" s="1"/>
        <n x="104"/>
        <n x="7"/>
        <n x="52"/>
      </t>
    </mdx>
    <mdx n="0" f="v">
      <t c="8">
        <n x="1" s="1"/>
        <n x="2" s="1"/>
        <n x="5" s="1"/>
        <n x="3" s="1"/>
        <n x="4" s="1"/>
        <n x="104"/>
        <n x="22"/>
        <n x="15"/>
      </t>
    </mdx>
    <mdx n="0" f="v">
      <t c="8">
        <n x="1" s="1"/>
        <n x="2" s="1"/>
        <n x="5" s="1"/>
        <n x="3" s="1"/>
        <n x="4" s="1"/>
        <n x="104"/>
        <n x="30"/>
        <n x="14"/>
      </t>
    </mdx>
    <mdx n="0" f="v">
      <t c="8">
        <n x="1" s="1"/>
        <n x="2" s="1"/>
        <n x="5" s="1"/>
        <n x="3" s="1"/>
        <n x="4" s="1"/>
        <n x="104"/>
        <n x="149"/>
        <n x="93"/>
      </t>
    </mdx>
    <mdx n="0" f="v">
      <t c="8">
        <n x="1" s="1"/>
        <n x="2" s="1"/>
        <n x="5" s="1"/>
        <n x="3" s="1"/>
        <n x="4" s="1"/>
        <n x="104"/>
        <n x="149"/>
        <n x="86"/>
      </t>
    </mdx>
    <mdx n="0" f="v">
      <t c="8">
        <n x="1" s="1"/>
        <n x="2" s="1"/>
        <n x="5" s="1"/>
        <n x="3" s="1"/>
        <n x="4" s="1"/>
        <n x="104"/>
        <n x="156"/>
        <n x="116"/>
      </t>
    </mdx>
    <mdx n="0" f="v">
      <t c="8">
        <n x="1" s="1"/>
        <n x="2" s="1"/>
        <n x="5" s="1"/>
        <n x="3" s="1"/>
        <n x="4" s="1"/>
        <n x="104"/>
        <n x="158"/>
        <n x="43"/>
      </t>
    </mdx>
    <mdx n="0" f="v">
      <t c="8">
        <n x="1" s="1"/>
        <n x="2" s="1"/>
        <n x="5" s="1"/>
        <n x="3" s="1"/>
        <n x="4" s="1"/>
        <n x="104"/>
        <n x="158"/>
        <n x="86"/>
      </t>
    </mdx>
    <mdx n="0" f="v">
      <t c="8">
        <n x="1" s="1"/>
        <n x="2" s="1"/>
        <n x="5" s="1"/>
        <n x="3" s="1"/>
        <n x="4" s="1"/>
        <n x="104"/>
        <n x="161"/>
        <n x="33"/>
      </t>
    </mdx>
    <mdx n="0" f="v">
      <t c="8">
        <n x="1" s="1"/>
        <n x="2" s="1"/>
        <n x="5" s="1"/>
        <n x="3" s="1"/>
        <n x="4" s="1"/>
        <n x="104"/>
        <n x="66"/>
        <n x="29"/>
      </t>
    </mdx>
    <mdx n="0" f="v">
      <t c="8">
        <n x="1" s="1"/>
        <n x="2" s="1"/>
        <n x="5" s="1"/>
        <n x="3" s="1"/>
        <n x="4" s="1"/>
        <n x="104"/>
        <n x="37"/>
        <n x="13"/>
      </t>
    </mdx>
    <mdx n="0" f="v">
      <t c="8">
        <n x="1" s="1"/>
        <n x="2" s="1"/>
        <n x="5" s="1"/>
        <n x="3" s="1"/>
        <n x="4" s="1"/>
        <n x="104"/>
        <n x="37"/>
        <n x="95"/>
      </t>
    </mdx>
    <mdx n="0" f="v">
      <t c="8">
        <n x="1" s="1"/>
        <n x="2" s="1"/>
        <n x="5" s="1"/>
        <n x="3" s="1"/>
        <n x="4" s="1"/>
        <n x="104"/>
        <n x="71"/>
        <n x="119"/>
      </t>
    </mdx>
    <mdx n="0" f="v">
      <t c="8">
        <n x="1" s="1"/>
        <n x="2" s="1"/>
        <n x="5" s="1"/>
        <n x="3" s="1"/>
        <n x="4" s="1"/>
        <n x="104"/>
        <n x="80"/>
        <n x="128"/>
      </t>
    </mdx>
    <mdx n="0" f="v">
      <t c="8">
        <n x="1" s="1"/>
        <n x="2" s="1"/>
        <n x="5" s="1"/>
        <n x="3" s="1"/>
        <n x="4" s="1"/>
        <n x="104"/>
        <n x="80"/>
        <n x="95"/>
      </t>
    </mdx>
    <mdx n="0" f="v">
      <t c="8">
        <n x="1" s="1"/>
        <n x="2" s="1"/>
        <n x="5" s="1"/>
        <n x="3" s="1"/>
        <n x="4" s="1"/>
        <n x="104"/>
        <n x="89"/>
        <n x="155"/>
      </t>
    </mdx>
    <mdx n="0" f="v">
      <t c="8">
        <n x="1" s="1"/>
        <n x="2" s="1"/>
        <n x="5" s="1"/>
        <n x="3" s="1"/>
        <n x="4" s="1"/>
        <n x="104"/>
        <n x="98"/>
        <n x="20"/>
      </t>
    </mdx>
    <mdx n="0" f="v">
      <t c="8">
        <n x="1" s="1"/>
        <n x="2" s="1"/>
        <n x="5" s="1"/>
        <n x="3" s="1"/>
        <n x="4" s="1"/>
        <n x="104"/>
        <n x="111"/>
        <n x="28"/>
      </t>
    </mdx>
    <mdx n="0" f="v">
      <t c="8">
        <n x="1" s="1"/>
        <n x="2" s="1"/>
        <n x="5" s="1"/>
        <n x="3" s="1"/>
        <n x="4" s="1"/>
        <n x="104"/>
        <n x="117"/>
        <n x="164" s="1"/>
      </t>
    </mdx>
    <mdx n="0" f="v">
      <t c="8">
        <n x="1" s="1"/>
        <n x="2" s="1"/>
        <n x="5" s="1"/>
        <n x="3" s="1"/>
        <n x="4" s="1"/>
        <n x="104"/>
        <n x="117"/>
        <n x="122"/>
      </t>
    </mdx>
    <mdx n="0" f="v">
      <t c="8">
        <n x="1" s="1"/>
        <n x="2" s="1"/>
        <n x="5" s="1"/>
        <n x="3" s="1"/>
        <n x="4" s="1"/>
        <n x="104"/>
        <n x="130"/>
        <n x="147"/>
      </t>
    </mdx>
    <mdx n="0" f="v">
      <t c="8">
        <n x="1" s="1"/>
        <n x="2" s="1"/>
        <n x="5" s="1"/>
        <n x="3" s="1"/>
        <n x="4" s="1"/>
        <n x="104"/>
        <n x="8"/>
        <n x="164" s="1"/>
      </t>
    </mdx>
    <mdx n="0" f="v">
      <t c="8">
        <n x="1" s="1"/>
        <n x="2" s="1"/>
        <n x="5" s="1"/>
        <n x="3" s="1"/>
        <n x="4" s="1"/>
        <n x="104"/>
        <n x="8"/>
        <n x="49"/>
      </t>
    </mdx>
    <mdx n="0" f="v">
      <t c="8">
        <n x="1" s="1"/>
        <n x="2" s="1"/>
        <n x="5" s="1"/>
        <n x="3" s="1"/>
        <n x="4" s="1"/>
        <n x="104"/>
        <n x="23"/>
        <n x="58"/>
      </t>
    </mdx>
    <mdx n="0" f="v">
      <t c="8">
        <n x="1" s="1"/>
        <n x="2" s="1"/>
        <n x="5" s="1"/>
        <n x="3" s="1"/>
        <n x="4" s="1"/>
        <n x="104"/>
        <n x="17"/>
        <n x="19"/>
      </t>
    </mdx>
    <mdx n="0" f="v">
      <t c="8">
        <n x="1" s="1"/>
        <n x="2" s="1"/>
        <n x="5" s="1"/>
        <n x="3" s="1"/>
        <n x="4" s="1"/>
        <n x="104"/>
        <n x="126"/>
        <n x="56"/>
      </t>
    </mdx>
    <mdx n="0" f="v">
      <t c="8">
        <n x="1" s="1"/>
        <n x="2" s="1"/>
        <n x="5" s="1"/>
        <n x="3" s="1"/>
        <n x="4" s="1"/>
        <n x="104"/>
        <n x="126"/>
        <n x="127"/>
      </t>
    </mdx>
    <mdx n="0" f="v">
      <t c="8">
        <n x="1" s="1"/>
        <n x="2" s="1"/>
        <n x="5" s="1"/>
        <n x="3" s="1"/>
        <n x="4" s="1"/>
        <n x="104"/>
        <n x="138"/>
        <n x="59"/>
      </t>
    </mdx>
    <mdx n="0" f="v">
      <t c="8">
        <n x="1" s="1"/>
        <n x="2" s="1"/>
        <n x="5" s="1"/>
        <n x="3" s="1"/>
        <n x="4" s="1"/>
        <n x="104"/>
        <n x="143"/>
        <n x="56"/>
      </t>
    </mdx>
    <mdx n="0" f="v">
      <t c="8">
        <n x="1" s="1"/>
        <n x="2" s="1"/>
        <n x="5" s="1"/>
        <n x="3" s="1"/>
        <n x="4" s="1"/>
        <n x="104"/>
        <n x="143"/>
        <n x="122"/>
      </t>
    </mdx>
    <mdx n="0" f="v">
      <t c="8">
        <n x="1" s="1"/>
        <n x="2" s="1"/>
        <n x="5" s="1"/>
        <n x="3" s="1"/>
        <n x="4" s="1"/>
        <n x="104"/>
        <n x="64"/>
        <n x="93"/>
      </t>
    </mdx>
    <mdx n="0" f="v">
      <t c="8">
        <n x="1" s="1"/>
        <n x="2" s="1"/>
        <n x="5" s="1"/>
        <n x="3" s="1"/>
        <n x="4" s="1"/>
        <n x="104"/>
        <n x="64"/>
        <n x="162"/>
      </t>
    </mdx>
    <mdx n="0" f="v">
      <t c="8">
        <n x="1" s="1"/>
        <n x="2" s="1"/>
        <n x="5" s="1"/>
        <n x="3" s="1"/>
        <n x="4" s="1"/>
        <n x="104"/>
        <n x="64"/>
        <n x="87"/>
      </t>
    </mdx>
    <mdx n="0" f="v">
      <t c="8">
        <n x="1" s="1"/>
        <n x="2" s="1"/>
        <n x="5" s="1"/>
        <n x="3" s="1"/>
        <n x="4" s="1"/>
        <n x="104"/>
        <n x="150"/>
        <n x="63"/>
      </t>
    </mdx>
    <mdx n="0" f="v">
      <t c="8">
        <n x="1" s="1"/>
        <n x="2" s="1"/>
        <n x="5" s="1"/>
        <n x="3" s="1"/>
        <n x="4" s="1"/>
        <n x="104"/>
        <n x="150"/>
        <n x="154"/>
      </t>
    </mdx>
    <mdx n="0" f="v">
      <t c="8">
        <n x="1" s="1"/>
        <n x="2" s="1"/>
        <n x="5" s="1"/>
        <n x="3" s="1"/>
        <n x="4" s="1"/>
        <n x="104"/>
        <n x="150"/>
        <n x="127"/>
      </t>
    </mdx>
    <mdx n="0" f="v">
      <t c="8">
        <n x="1" s="1"/>
        <n x="2" s="1"/>
        <n x="5" s="1"/>
        <n x="3" s="1"/>
        <n x="4" s="1"/>
        <n x="104"/>
        <n x="38"/>
        <n x="164" s="1"/>
      </t>
    </mdx>
    <mdx n="0" f="v">
      <t c="8">
        <n x="1" s="1"/>
        <n x="2" s="1"/>
        <n x="5" s="1"/>
        <n x="3" s="1"/>
        <n x="4" s="1"/>
        <n x="104"/>
        <n x="38"/>
        <n x="128"/>
      </t>
    </mdx>
    <mdx n="0" f="v">
      <t c="8">
        <n x="1" s="1"/>
        <n x="2" s="1"/>
        <n x="5" s="1"/>
        <n x="3" s="1"/>
        <n x="4" s="1"/>
        <n x="104"/>
        <n x="38"/>
        <n x="116"/>
      </t>
    </mdx>
    <mdx n="0" f="v">
      <t c="8">
        <n x="1" s="1"/>
        <n x="2" s="1"/>
        <n x="5" s="1"/>
        <n x="3" s="1"/>
        <n x="4" s="1"/>
        <n x="104"/>
        <n x="38"/>
        <n x="77"/>
      </t>
    </mdx>
    <mdx n="0" f="v">
      <t c="8">
        <n x="1" s="1"/>
        <n x="2" s="1"/>
        <n x="5" s="1"/>
        <n x="3" s="1"/>
        <n x="4" s="1"/>
        <n x="104"/>
        <n x="46"/>
        <n x="108"/>
      </t>
    </mdx>
    <mdx n="0" f="v">
      <t c="8">
        <n x="1" s="1"/>
        <n x="2" s="1"/>
        <n x="5" s="1"/>
        <n x="3" s="1"/>
        <n x="4" s="1"/>
        <n x="104"/>
        <n x="46"/>
        <n x="94"/>
      </t>
    </mdx>
    <mdx n="0" f="v">
      <t c="8">
        <n x="1" s="1"/>
        <n x="2" s="1"/>
        <n x="5" s="1"/>
        <n x="3" s="1"/>
        <n x="4" s="1"/>
        <n x="104"/>
        <n x="163" s="1"/>
        <n x="160"/>
      </t>
    </mdx>
    <mdx n="0" f="v">
      <t c="8">
        <n x="1" s="1"/>
        <n x="2" s="1"/>
        <n x="5" s="1"/>
        <n x="3" s="1"/>
        <n x="4" s="1"/>
        <n x="104"/>
        <n x="60"/>
        <n x="128"/>
      </t>
    </mdx>
    <mdx n="0" f="v">
      <t c="8">
        <n x="1" s="1"/>
        <n x="2" s="1"/>
        <n x="5" s="1"/>
        <n x="3" s="1"/>
        <n x="4" s="1"/>
        <n x="104"/>
        <n x="6"/>
        <n x="115"/>
      </t>
    </mdx>
    <mdx n="0" f="v">
      <t c="8">
        <n x="1" s="1"/>
        <n x="2" s="1"/>
        <n x="5" s="1"/>
        <n x="3" s="1"/>
        <n x="4" s="1"/>
        <n x="104"/>
        <n x="6"/>
        <n x="45"/>
      </t>
    </mdx>
    <mdx n="0" f="v">
      <t c="8">
        <n x="1" s="1"/>
        <n x="2" s="1"/>
        <n x="5" s="1"/>
        <n x="3" s="1"/>
        <n x="4" s="1"/>
        <n x="104"/>
        <n x="21"/>
        <n x="155"/>
      </t>
    </mdx>
    <mdx n="0" f="v">
      <t c="8">
        <n x="1" s="1"/>
        <n x="2" s="1"/>
        <n x="5" s="1"/>
        <n x="3" s="1"/>
        <n x="4" s="1"/>
        <n x="104"/>
        <n x="34"/>
        <n x="148"/>
      </t>
    </mdx>
    <mdx n="0" f="v">
      <t c="8">
        <n x="1" s="1"/>
        <n x="2" s="1"/>
        <n x="5" s="1"/>
        <n x="3" s="1"/>
        <n x="4" s="1"/>
        <n x="104"/>
        <n x="65"/>
        <n x="162"/>
      </t>
    </mdx>
    <mdx n="0" f="v">
      <t c="8">
        <n x="1" s="1"/>
        <n x="2" s="1"/>
        <n x="5" s="1"/>
        <n x="3" s="1"/>
        <n x="4" s="1"/>
        <n x="104"/>
        <n x="70"/>
        <n x="147"/>
      </t>
    </mdx>
    <mdx n="0" f="v">
      <t c="8">
        <n x="1" s="1"/>
        <n x="2" s="1"/>
        <n x="5" s="1"/>
        <n x="3" s="1"/>
        <n x="4" s="1"/>
        <n x="104"/>
        <n x="79"/>
        <n x="107"/>
      </t>
    </mdx>
    <mdx n="0" f="v">
      <t c="8">
        <n x="1" s="1"/>
        <n x="2" s="1"/>
        <n x="5" s="1"/>
        <n x="3" s="1"/>
        <n x="4" s="1"/>
        <n x="104"/>
        <n x="79"/>
        <n x="77"/>
      </t>
    </mdx>
    <mdx n="0" f="v">
      <t c="8">
        <n x="1" s="1"/>
        <n x="2" s="1"/>
        <n x="5" s="1"/>
        <n x="3" s="1"/>
        <n x="4" s="1"/>
        <n x="104"/>
        <n x="88"/>
        <n x="49"/>
      </t>
    </mdx>
    <mdx n="0" f="v">
      <t c="8">
        <n x="1" s="1"/>
        <n x="2" s="1"/>
        <n x="5" s="1"/>
        <n x="3" s="1"/>
        <n x="4" s="1"/>
        <n x="104"/>
        <n x="97"/>
        <n x="87"/>
      </t>
    </mdx>
    <mdx n="0" f="v">
      <t c="8">
        <n x="1" s="1"/>
        <n x="2" s="1"/>
        <n x="5" s="1"/>
        <n x="3" s="1"/>
        <n x="4" s="1"/>
        <n x="104"/>
        <n x="36"/>
        <n x="14"/>
      </t>
    </mdx>
    <mdx n="0" f="v">
      <t c="8">
        <n x="1" s="1"/>
        <n x="2" s="1"/>
        <n x="5" s="1"/>
        <n x="3" s="1"/>
        <n x="4" s="1"/>
        <n x="104"/>
        <n x="110"/>
        <n x="59"/>
      </t>
    </mdx>
    <mdx n="0" f="v">
      <t c="8">
        <n x="1" s="1"/>
        <n x="2" s="1"/>
        <n x="5" s="1"/>
        <n x="3" s="1"/>
        <n x="4" s="1"/>
        <n x="104"/>
        <n x="105"/>
        <n x="108"/>
      </t>
    </mdx>
    <mdx n="0" f="v">
      <t c="8">
        <n x="1" s="1"/>
        <n x="2" s="1"/>
        <n x="5" s="1"/>
        <n x="3" s="1"/>
        <n x="4" s="1"/>
        <n x="104"/>
        <n x="105"/>
        <n x="86"/>
      </t>
    </mdx>
    <mdx n="0" f="v">
      <t c="8">
        <n x="1" s="1"/>
        <n x="2" s="1"/>
        <n x="5" s="1"/>
        <n x="3" s="1"/>
        <n x="4" s="1"/>
        <n x="104"/>
        <n x="120"/>
        <n x="52"/>
      </t>
    </mdx>
    <mdx n="0" f="v">
      <t c="8">
        <n x="1" s="1"/>
        <n x="2" s="1"/>
        <n x="5" s="1"/>
        <n x="3" s="1"/>
        <n x="4" s="1"/>
        <n x="104"/>
        <n x="133"/>
        <n x="15"/>
      </t>
    </mdx>
    <mdx n="0" f="v">
      <t c="8">
        <n x="1" s="1"/>
        <n x="2" s="1"/>
        <n x="5" s="1"/>
        <n x="3" s="1"/>
        <n x="4" s="1"/>
        <n x="104"/>
        <n x="137"/>
        <n x="29"/>
      </t>
    </mdx>
    <mdx n="0" f="v">
      <t c="8">
        <n x="1" s="1"/>
        <n x="2" s="1"/>
        <n x="5" s="1"/>
        <n x="3" s="1"/>
        <n x="4" s="1"/>
        <n x="104"/>
        <n x="142"/>
        <n x="154"/>
      </t>
    </mdx>
    <mdx n="0" f="v">
      <t c="8">
        <n x="1" s="1"/>
        <n x="2" s="1"/>
        <n x="5" s="1"/>
        <n x="3" s="1"/>
        <n x="4" s="1"/>
        <n x="104"/>
        <n x="78"/>
        <n x="109"/>
      </t>
    </mdx>
    <mdx n="0" f="v">
      <t c="8">
        <n x="1" s="1"/>
        <n x="2" s="1"/>
        <n x="5" s="1"/>
        <n x="3" s="1"/>
        <n x="4" s="1"/>
        <n x="104"/>
        <n x="78"/>
        <n x="95"/>
      </t>
    </mdx>
    <mdx n="0" f="v">
      <t c="8">
        <n x="1" s="1"/>
        <n x="2" s="1"/>
        <n x="5" s="1"/>
        <n x="3" s="1"/>
        <n x="4" s="1"/>
        <n x="104"/>
        <n x="7"/>
        <n x="54"/>
      </t>
    </mdx>
    <mdx n="0" f="v">
      <t c="8">
        <n x="1" s="1"/>
        <n x="2" s="1"/>
        <n x="5" s="1"/>
        <n x="3" s="1"/>
        <n x="4" s="1"/>
        <n x="104"/>
        <n x="22"/>
        <n x="16"/>
      </t>
    </mdx>
    <mdx n="0" f="v">
      <t c="8">
        <n x="1" s="1"/>
        <n x="2" s="1"/>
        <n x="5" s="1"/>
        <n x="3" s="1"/>
        <n x="4" s="1"/>
        <n x="104"/>
        <n x="30"/>
        <n x="29"/>
      </t>
    </mdx>
    <mdx n="0" f="v">
      <t c="8">
        <n x="1" s="1"/>
        <n x="2" s="1"/>
        <n x="5" s="1"/>
        <n x="3" s="1"/>
        <n x="4" s="1"/>
        <n x="104"/>
        <n x="149"/>
        <n x="13"/>
      </t>
    </mdx>
    <mdx n="0" f="v">
      <t c="8">
        <n x="1" s="1"/>
        <n x="2" s="1"/>
        <n x="5" s="1"/>
        <n x="3" s="1"/>
        <n x="4" s="1"/>
        <n x="104"/>
        <n x="149"/>
        <n x="95"/>
      </t>
    </mdx>
    <mdx n="0" f="v">
      <t c="8">
        <n x="1" s="1"/>
        <n x="2" s="1"/>
        <n x="5" s="1"/>
        <n x="3" s="1"/>
        <n x="4" s="1"/>
        <n x="104"/>
        <n x="156"/>
        <n x="119"/>
      </t>
    </mdx>
    <mdx n="0" f="v">
      <t c="8">
        <n x="1" s="1"/>
        <n x="2" s="1"/>
        <n x="5" s="1"/>
        <n x="3" s="1"/>
        <n x="4" s="1"/>
        <n x="104"/>
        <n x="158"/>
        <n x="128"/>
      </t>
    </mdx>
    <mdx n="0" f="v">
      <t c="8">
        <n x="1" s="1"/>
        <n x="2" s="1"/>
        <n x="5" s="1"/>
        <n x="3" s="1"/>
        <n x="4" s="1"/>
        <n x="104"/>
        <n x="161"/>
        <n x="28"/>
      </t>
    </mdx>
    <mdx n="0" f="v">
      <t c="8">
        <n x="1" s="1"/>
        <n x="2" s="1"/>
        <n x="5" s="1"/>
        <n x="3" s="1"/>
        <n x="4" s="1"/>
        <n x="104"/>
        <n x="161"/>
        <n x="155"/>
      </t>
    </mdx>
    <mdx n="0" f="v">
      <t c="8">
        <n x="1" s="1"/>
        <n x="2" s="1"/>
        <n x="5" s="1"/>
        <n x="3" s="1"/>
        <n x="4" s="1"/>
        <n x="104"/>
        <n x="66"/>
        <n x="20"/>
      </t>
    </mdx>
    <mdx n="0" f="v">
      <t c="8">
        <n x="1" s="1"/>
        <n x="2" s="1"/>
        <n x="5" s="1"/>
        <n x="3" s="1"/>
        <n x="4" s="1"/>
        <n x="104"/>
        <n x="37"/>
        <n x="28"/>
      </t>
    </mdx>
    <mdx n="0" f="v">
      <t c="8">
        <n x="1" s="1"/>
        <n x="2" s="1"/>
        <n x="5" s="1"/>
        <n x="3" s="1"/>
        <n x="4" s="1"/>
        <n x="104"/>
        <n x="71"/>
        <n x="164" s="1"/>
      </t>
    </mdx>
    <mdx n="0" f="v">
      <t c="8">
        <n x="1" s="1"/>
        <n x="2" s="1"/>
        <n x="5" s="1"/>
        <n x="3" s="1"/>
        <n x="4" s="1"/>
        <n x="104"/>
        <n x="71"/>
        <n x="122"/>
      </t>
    </mdx>
    <mdx n="0" f="v">
      <t c="8">
        <n x="1" s="1"/>
        <n x="2" s="1"/>
        <n x="5" s="1"/>
        <n x="3" s="1"/>
        <n x="4" s="1"/>
        <n x="104"/>
        <n x="80"/>
        <n x="147"/>
      </t>
    </mdx>
    <mdx n="0" f="v">
      <t c="8">
        <n x="1" s="1"/>
        <n x="2" s="1"/>
        <n x="5" s="1"/>
        <n x="3" s="1"/>
        <n x="4" s="1"/>
        <n x="104"/>
        <n x="89"/>
        <n x="19"/>
      </t>
    </mdx>
    <mdx n="0" f="v">
      <t c="8">
        <n x="1" s="1"/>
        <n x="2" s="1"/>
        <n x="5" s="1"/>
        <n x="3" s="1"/>
        <n x="4" s="1"/>
        <n x="104"/>
        <n x="89"/>
        <n x="49"/>
      </t>
    </mdx>
    <mdx n="0" f="v">
      <t c="8">
        <n x="1" s="1"/>
        <n x="2" s="1"/>
        <n x="5" s="1"/>
        <n x="3" s="1"/>
        <n x="4" s="1"/>
        <n x="104"/>
        <n x="98"/>
        <n x="58"/>
      </t>
    </mdx>
    <mdx n="0" f="v">
      <t c="8">
        <n x="1" s="1"/>
        <n x="2" s="1"/>
        <n x="5" s="1"/>
        <n x="3" s="1"/>
        <n x="4" s="1"/>
        <n x="104"/>
        <n x="111"/>
        <n x="19"/>
      </t>
    </mdx>
    <mdx n="0" f="v">
      <t c="8">
        <n x="1" s="1"/>
        <n x="2" s="1"/>
        <n x="5" s="1"/>
        <n x="3" s="1"/>
        <n x="4" s="1"/>
        <n x="104"/>
        <n x="117"/>
        <n x="56"/>
      </t>
    </mdx>
    <mdx n="0" f="v">
      <t c="8">
        <n x="1" s="1"/>
        <n x="2" s="1"/>
        <n x="5" s="1"/>
        <n x="3" s="1"/>
        <n x="4" s="1"/>
        <n x="104"/>
        <n x="117"/>
        <n x="127"/>
      </t>
    </mdx>
    <mdx n="0" f="v">
      <t c="8">
        <n x="1" s="1"/>
        <n x="2" s="1"/>
        <n x="5" s="1"/>
        <n x="3" s="1"/>
        <n x="4" s="1"/>
        <n x="104"/>
        <n x="130"/>
        <n x="59"/>
      </t>
    </mdx>
    <mdx n="0" f="v">
      <t c="8">
        <n x="1" s="1"/>
        <n x="2" s="1"/>
        <n x="5" s="1"/>
        <n x="3" s="1"/>
        <n x="4" s="1"/>
        <n x="104"/>
        <n x="8"/>
        <n x="102"/>
      </t>
    </mdx>
    <mdx n="0" f="v">
      <t c="8">
        <n x="1" s="1"/>
        <n x="2" s="1"/>
        <n x="5" s="1"/>
        <n x="3" s="1"/>
        <n x="4" s="1"/>
        <n x="104"/>
        <n x="8"/>
        <n x="52"/>
      </t>
    </mdx>
    <mdx n="0" f="v">
      <t c="8">
        <n x="1" s="1"/>
        <n x="2" s="1"/>
        <n x="5" s="1"/>
        <n x="3" s="1"/>
        <n x="4" s="1"/>
        <n x="104"/>
        <n x="23"/>
        <n x="76"/>
      </t>
    </mdx>
    <mdx n="0" f="v">
      <t c="8">
        <n x="1" s="1"/>
        <n x="2" s="1"/>
        <n x="5" s="1"/>
        <n x="3" s="1"/>
        <n x="4" s="1"/>
        <n x="104"/>
        <n x="17"/>
        <n x="102"/>
      </t>
    </mdx>
    <mdx n="0" f="v">
      <t c="8">
        <n x="1" s="1"/>
        <n x="2" s="1"/>
        <n x="5" s="1"/>
        <n x="3" s="1"/>
        <n x="4" s="1"/>
        <n x="104"/>
        <n x="126"/>
        <n x="62"/>
      </t>
    </mdx>
    <mdx n="0" f="v">
      <t c="8">
        <n x="1" s="1"/>
        <n x="2" s="1"/>
        <n x="5" s="1"/>
        <n x="3" s="1"/>
        <n x="4" s="1"/>
        <n x="104"/>
        <n x="126"/>
        <n x="141"/>
      </t>
    </mdx>
    <mdx n="0" f="v">
      <t c="8">
        <n x="1" s="1"/>
        <n x="2" s="1"/>
        <n x="5" s="1"/>
        <n x="3" s="1"/>
        <n x="4" s="1"/>
        <n x="104"/>
        <n x="138"/>
        <n x="154"/>
      </t>
    </mdx>
    <mdx n="0" f="v">
      <t c="8">
        <n x="1" s="1"/>
        <n x="2" s="1"/>
        <n x="5" s="1"/>
        <n x="3" s="1"/>
        <n x="4" s="1"/>
        <n x="104"/>
        <n x="143"/>
        <n x="115"/>
      </t>
    </mdx>
    <mdx n="0" f="v">
      <t c="8">
        <n x="1" s="1"/>
        <n x="2" s="1"/>
        <n x="5" s="1"/>
        <n x="3" s="1"/>
        <n x="4" s="1"/>
        <n x="104"/>
        <n x="143"/>
        <n x="33"/>
      </t>
    </mdx>
    <mdx n="0" f="v">
      <t c="8">
        <n x="1" s="1"/>
        <n x="2" s="1"/>
        <n x="5" s="1"/>
        <n x="3" s="1"/>
        <n x="4" s="1"/>
        <n x="104"/>
        <n x="64"/>
        <n x="13"/>
      </t>
    </mdx>
    <mdx n="0" f="v">
      <t c="8">
        <n x="1" s="1"/>
        <n x="2" s="1"/>
        <n x="5" s="1"/>
        <n x="3" s="1"/>
        <n x="4" s="1"/>
        <n x="104"/>
        <n x="64"/>
        <n x="14"/>
      </t>
    </mdx>
    <mdx n="0" f="v">
      <t c="8">
        <n x="1" s="1"/>
        <n x="2" s="1"/>
        <n x="5" s="1"/>
        <n x="3" s="1"/>
        <n x="4" s="1"/>
        <n x="104"/>
        <n x="64"/>
        <n x="15"/>
      </t>
    </mdx>
    <mdx n="0" f="v">
      <t c="8">
        <n x="1" s="1"/>
        <n x="2" s="1"/>
        <n x="5" s="1"/>
        <n x="3" s="1"/>
        <n x="4" s="1"/>
        <n x="104"/>
        <n x="150"/>
        <n x="75"/>
      </t>
    </mdx>
    <mdx n="0" f="v">
      <t c="8">
        <n x="1" s="1"/>
        <n x="2" s="1"/>
        <n x="5" s="1"/>
        <n x="3" s="1"/>
        <n x="4" s="1"/>
        <n x="104"/>
        <n x="150"/>
        <n x="48"/>
      </t>
    </mdx>
    <mdx n="0" f="v">
      <t c="8">
        <n x="1" s="1"/>
        <n x="2" s="1"/>
        <n x="5" s="1"/>
        <n x="3" s="1"/>
        <n x="4" s="1"/>
        <n x="104"/>
        <n x="150"/>
        <n x="141"/>
      </t>
    </mdx>
    <mdx n="0" f="v">
      <t c="8">
        <n x="1" s="1"/>
        <n x="2" s="1"/>
        <n x="5" s="1"/>
        <n x="3" s="1"/>
        <n x="4" s="1"/>
        <n x="104"/>
        <n x="38"/>
        <n x="56"/>
      </t>
    </mdx>
    <mdx n="0" f="v">
      <t c="8">
        <n x="1" s="1"/>
        <n x="2" s="1"/>
        <n x="5" s="1"/>
        <n x="3" s="1"/>
        <n x="4" s="1"/>
        <n x="104"/>
        <n x="38"/>
        <n x="147"/>
      </t>
    </mdx>
    <mdx n="0" f="v">
      <t c="8">
        <n x="1" s="1"/>
        <n x="2" s="1"/>
        <n x="5" s="1"/>
        <n x="3" s="1"/>
        <n x="4" s="1"/>
        <n x="104"/>
        <n x="38"/>
        <n x="119"/>
      </t>
    </mdx>
    <mdx n="0" f="v">
      <t c="8">
        <n x="1" s="1"/>
        <n x="2" s="1"/>
        <n x="5" s="1"/>
        <n x="3" s="1"/>
        <n x="4" s="1"/>
        <n x="104"/>
        <n x="38"/>
        <n x="86"/>
      </t>
    </mdx>
    <mdx n="0" f="v">
      <t c="8">
        <n x="1" s="1"/>
        <n x="2" s="1"/>
        <n x="5" s="1"/>
        <n x="3" s="1"/>
        <n x="4" s="1"/>
        <n x="104"/>
        <n x="46"/>
        <n x="109"/>
      </t>
    </mdx>
    <mdx n="0" f="v">
      <t c="8">
        <n x="1" s="1"/>
        <n x="2" s="1"/>
        <n x="5" s="1"/>
        <n x="3" s="1"/>
        <n x="4" s="1"/>
        <n x="104"/>
        <n x="46"/>
        <n x="103"/>
      </t>
    </mdx>
    <mdx n="0" f="v">
      <t c="8">
        <n x="1" s="1"/>
        <n x="2" s="1"/>
        <n x="5" s="1"/>
        <n x="3" s="1"/>
        <n x="4" s="1"/>
        <n x="104"/>
        <n x="46"/>
        <n x="69"/>
      </t>
    </mdx>
    <mdx n="0" f="v">
      <t c="8">
        <n x="1" s="1"/>
        <n x="2" s="1"/>
        <n x="5" s="1"/>
        <n x="3" s="1"/>
        <n x="4" s="1"/>
        <n x="104"/>
        <n x="50"/>
        <n x="115"/>
      </t>
    </mdx>
    <mdx n="0" f="v">
      <t c="8">
        <n x="1" s="1"/>
        <n x="2" s="1"/>
        <n x="5" s="1"/>
        <n x="3" s="1"/>
        <n x="4" s="1"/>
        <n x="104"/>
        <n x="50"/>
        <n x="76"/>
      </t>
    </mdx>
    <mdx n="0" f="v">
      <t c="8">
        <n x="1" s="1"/>
        <n x="2" s="1"/>
        <n x="5" s="1"/>
        <n x="3" s="1"/>
        <n x="4" s="1"/>
        <n x="104"/>
        <n x="50"/>
        <n x="49"/>
      </t>
    </mdx>
    <mdx n="0" f="v">
      <t c="8">
        <n x="1" s="1"/>
        <n x="2" s="1"/>
        <n x="5" s="1"/>
        <n x="3" s="1"/>
        <n x="4" s="1"/>
        <n x="104"/>
        <n x="61"/>
        <n x="28"/>
      </t>
    </mdx>
    <mdx n="0" f="v">
      <t c="8">
        <n x="1" s="1"/>
        <n x="2" s="1"/>
        <n x="5" s="1"/>
        <n x="3" s="1"/>
        <n x="4" s="1"/>
        <n x="104"/>
        <n x="61"/>
        <n x="29"/>
      </t>
    </mdx>
    <mdx n="0" f="v">
      <t c="8">
        <n x="1" s="1"/>
        <n x="2" s="1"/>
        <n x="5" s="1"/>
        <n x="3" s="1"/>
        <n x="4" s="1"/>
        <n x="104"/>
        <n x="61"/>
        <n x="16"/>
      </t>
    </mdx>
    <mdx n="0" f="v">
      <t c="8">
        <n x="1" s="1"/>
        <n x="2" s="1"/>
        <n x="5" s="1"/>
        <n x="3" s="1"/>
        <n x="4" s="1"/>
        <n x="104"/>
        <n x="67"/>
        <n x="84"/>
      </t>
    </mdx>
    <mdx n="0" f="v">
      <t c="8">
        <n x="1" s="1"/>
        <n x="2" s="1"/>
        <n x="5" s="1"/>
        <n x="3" s="1"/>
        <n x="4" s="1"/>
        <n x="104"/>
        <n x="67"/>
        <n x="160"/>
      </t>
    </mdx>
    <mdx n="0" f="v">
      <t c="8">
        <n x="1" s="1"/>
        <n x="2" s="1"/>
        <n x="5" s="1"/>
        <n x="3" s="1"/>
        <n x="4" s="1"/>
        <n x="104"/>
        <n x="67"/>
        <n x="148"/>
      </t>
    </mdx>
    <mdx n="0" f="v">
      <t c="8">
        <n x="1" s="1"/>
        <n x="2" s="1"/>
        <n x="5" s="1"/>
        <n x="3" s="1"/>
        <n x="4" s="1"/>
        <n x="104"/>
        <n x="72"/>
        <n x="62"/>
      </t>
    </mdx>
    <mdx n="0" f="v">
      <t c="8">
        <n x="1" s="1"/>
        <n x="2" s="1"/>
        <n x="5" s="1"/>
        <n x="3" s="1"/>
        <n x="4" s="1"/>
        <n x="104"/>
        <n x="72"/>
        <n x="59"/>
      </t>
    </mdx>
    <mdx n="0" f="v">
      <t c="8">
        <n x="1" s="1"/>
        <n x="2" s="1"/>
        <n x="5" s="1"/>
        <n x="3" s="1"/>
        <n x="4" s="1"/>
        <n x="104"/>
        <n x="72"/>
        <n x="122"/>
      </t>
    </mdx>
    <mdx n="0" f="v">
      <t c="8">
        <n x="1" s="1"/>
        <n x="2" s="1"/>
        <n x="5" s="1"/>
        <n x="3" s="1"/>
        <n x="4" s="1"/>
        <n x="104"/>
        <n x="72"/>
        <n x="95"/>
      </t>
    </mdx>
    <mdx n="0" f="v">
      <t c="8">
        <n x="1" s="1"/>
        <n x="2" s="1"/>
        <n x="5" s="1"/>
        <n x="3" s="1"/>
        <n x="4" s="1"/>
        <n x="104"/>
        <n x="81"/>
        <n x="43"/>
      </t>
    </mdx>
    <mdx n="0" f="v">
      <t c="8">
        <n x="1" s="1"/>
        <n x="2" s="1"/>
        <n x="5" s="1"/>
        <n x="3" s="1"/>
        <n x="4" s="1"/>
        <n x="104"/>
        <n x="81"/>
        <n x="44"/>
      </t>
    </mdx>
    <mdx n="0" f="v">
      <t c="8">
        <n x="1" s="1"/>
        <n x="2" s="1"/>
        <n x="5" s="1"/>
        <n x="3" s="1"/>
        <n x="4" s="1"/>
        <n x="104"/>
        <n x="81"/>
        <n x="45"/>
      </t>
    </mdx>
    <mdx n="0" f="v">
      <t c="8">
        <n x="1" s="1"/>
        <n x="2" s="1"/>
        <n x="5" s="1"/>
        <n x="3" s="1"/>
        <n x="4" s="1"/>
        <n x="104"/>
        <n x="90"/>
        <n x="107"/>
      </t>
    </mdx>
    <mdx n="0" f="v">
      <t c="8">
        <n x="1" s="1"/>
        <n x="2" s="1"/>
        <n x="5" s="1"/>
        <n x="3" s="1"/>
        <n x="4" s="1"/>
        <n x="104"/>
        <n x="90"/>
        <n x="85"/>
      </t>
    </mdx>
    <mdx n="0" f="v">
      <t c="8">
        <n x="1" s="1"/>
        <n x="2" s="1"/>
        <n x="5" s="1"/>
        <n x="3" s="1"/>
        <n x="4" s="1"/>
        <n x="104"/>
        <n x="90"/>
        <n x="52"/>
      </t>
    </mdx>
    <mdx n="0" f="v">
      <t c="8">
        <n x="1" s="1"/>
        <n x="2" s="1"/>
        <n x="5" s="1"/>
        <n x="3" s="1"/>
        <n x="4" s="1"/>
        <n x="104"/>
        <n x="9"/>
        <n x="19"/>
      </t>
    </mdx>
    <mdx n="0" f="v">
      <t c="8">
        <n x="1" s="1"/>
        <n x="2" s="1"/>
        <n x="5" s="1"/>
        <n x="3" s="1"/>
        <n x="4" s="1"/>
        <n x="104"/>
        <n x="9"/>
        <n x="20"/>
      </t>
    </mdx>
    <mdx n="0" f="v">
      <t c="8">
        <n x="1" s="1"/>
        <n x="2" s="1"/>
        <n x="5" s="1"/>
        <n x="3" s="1"/>
        <n x="4" s="1"/>
        <n x="104"/>
        <n x="9"/>
        <n x="33"/>
      </t>
    </mdx>
    <mdx n="0" f="v">
      <t c="8">
        <n x="1" s="1"/>
        <n x="2" s="1"/>
        <n x="5" s="1"/>
        <n x="3" s="1"/>
        <n x="4" s="1"/>
        <n x="104"/>
        <n x="24"/>
        <n x="93"/>
      </t>
    </mdx>
    <mdx n="0" f="v">
      <t c="8">
        <n x="1" s="1"/>
        <n x="2" s="1"/>
        <n x="5" s="1"/>
        <n x="3" s="1"/>
        <n x="4" s="1"/>
        <n x="104"/>
        <n x="24"/>
        <n x="162"/>
      </t>
    </mdx>
    <mdx n="0" f="v">
      <t c="8">
        <n x="1" s="1"/>
        <n x="2" s="1"/>
        <n x="5" s="1"/>
        <n x="3" s="1"/>
        <n x="4" s="1"/>
        <n x="104"/>
        <n x="24"/>
        <n x="87"/>
      </t>
    </mdx>
    <mdx n="0" f="v">
      <t c="8">
        <n x="1" s="1"/>
        <n x="2" s="1"/>
        <n x="5" s="1"/>
        <n x="3" s="1"/>
        <n x="4" s="1"/>
        <n x="104"/>
        <n x="31"/>
        <n x="63"/>
      </t>
    </mdx>
    <mdx n="0" f="v">
      <t c="8">
        <n x="1" s="1"/>
        <n x="2" s="1"/>
        <n x="5" s="1"/>
        <n x="3" s="1"/>
        <n x="4" s="1"/>
        <n x="104"/>
        <n x="31"/>
        <n x="154"/>
      </t>
    </mdx>
    <mdx n="0" f="v">
      <t c="8">
        <n x="1" s="1"/>
        <n x="2" s="1"/>
        <n x="5" s="1"/>
        <n x="3" s="1"/>
        <n x="4" s="1"/>
        <n x="104"/>
        <n x="31"/>
        <n x="127"/>
      </t>
    </mdx>
    <mdx n="0" f="v">
      <t c="8">
        <n x="1" s="1"/>
        <n x="2" s="1"/>
        <n x="5" s="1"/>
        <n x="3" s="1"/>
        <n x="4" s="1"/>
        <n x="104"/>
        <n x="99"/>
        <n x="164" s="1"/>
      </t>
    </mdx>
    <mdx n="0" f="v">
      <t c="8">
        <n x="1" s="1"/>
        <n x="2" s="1"/>
        <n x="5" s="1"/>
        <n x="3" s="1"/>
        <n x="4" s="1"/>
        <n x="104"/>
        <n x="99"/>
        <n x="128"/>
      </t>
    </mdx>
    <mdx n="0" f="v">
      <t c="8">
        <n x="1" s="1"/>
        <n x="2" s="1"/>
        <n x="5" s="1"/>
        <n x="3" s="1"/>
        <n x="4" s="1"/>
        <n x="104"/>
        <n x="99"/>
        <n x="116"/>
      </t>
    </mdx>
    <mdx n="0" f="v">
      <t c="8">
        <n x="1" s="1"/>
        <n x="2" s="1"/>
        <n x="5" s="1"/>
        <n x="3" s="1"/>
        <n x="4" s="1"/>
        <n x="104"/>
        <n x="99"/>
        <n x="77"/>
      </t>
    </mdx>
    <mdx n="0" f="v">
      <t c="8">
        <n x="1" s="1"/>
        <n x="2" s="1"/>
        <n x="5" s="1"/>
        <n x="3" s="1"/>
        <n x="4" s="1"/>
        <n x="104"/>
        <n x="112"/>
        <n x="108"/>
      </t>
    </mdx>
    <mdx n="0" f="v">
      <t c="8">
        <n x="1" s="1"/>
        <n x="2" s="1"/>
        <n x="5" s="1"/>
        <n x="3" s="1"/>
        <n x="4" s="1"/>
        <n x="104"/>
        <n x="112"/>
        <n x="94"/>
      </t>
    </mdx>
    <mdx n="0" f="v">
      <t c="8">
        <n x="1" s="1"/>
        <n x="2" s="1"/>
        <n x="5" s="1"/>
        <n x="3" s="1"/>
        <n x="4" s="1"/>
        <n x="104"/>
        <n x="112"/>
        <n x="54"/>
      </t>
    </mdx>
    <mdx n="0" f="v">
      <t c="8">
        <n x="1" s="1"/>
        <n x="2" s="1"/>
        <n x="5" s="1"/>
        <n x="3" s="1"/>
        <n x="4" s="1"/>
        <n x="104"/>
        <n x="106"/>
        <n x="102"/>
      </t>
    </mdx>
    <mdx n="0" f="v">
      <t c="8">
        <n x="1" s="1"/>
        <n x="2" s="1"/>
        <n x="5" s="1"/>
        <n x="3" s="1"/>
        <n x="4" s="1"/>
        <n x="104"/>
        <n x="106"/>
        <n x="58"/>
      </t>
    </mdx>
    <mdx n="0" f="v">
      <t c="8">
        <n x="1" s="1"/>
        <n x="2" s="1"/>
        <n x="5" s="1"/>
        <n x="3" s="1"/>
        <n x="4" s="1"/>
        <n x="104"/>
        <n x="106"/>
        <n x="155"/>
      </t>
    </mdx>
    <mdx n="0" f="v">
      <t c="8">
        <n x="1" s="1"/>
        <n x="2" s="1"/>
        <n x="5" s="1"/>
        <n x="3" s="1"/>
        <n x="4" s="1"/>
        <n x="104"/>
        <n x="125"/>
        <n x="13"/>
      </t>
    </mdx>
    <mdx n="0" f="v">
      <t c="8">
        <n x="1" s="1"/>
        <n x="2" s="1"/>
        <n x="5" s="1"/>
        <n x="3" s="1"/>
        <n x="4" s="1"/>
        <n x="104"/>
        <n x="125"/>
        <n x="14"/>
      </t>
    </mdx>
    <mdx n="0" f="v">
      <t c="8">
        <n x="1" s="1"/>
        <n x="2" s="1"/>
        <n x="5" s="1"/>
        <n x="3" s="1"/>
        <n x="4" s="1"/>
        <n x="104"/>
        <n x="125"/>
        <n x="15"/>
      </t>
    </mdx>
    <mdx n="0" f="v">
      <t c="8">
        <n x="1" s="1"/>
        <n x="2" s="1"/>
        <n x="5" s="1"/>
        <n x="3" s="1"/>
        <n x="4" s="1"/>
        <n x="104"/>
        <n x="123"/>
        <n x="75"/>
      </t>
    </mdx>
    <mdx n="0" f="v">
      <t c="8">
        <n x="1" s="1"/>
        <n x="2" s="1"/>
        <n x="5" s="1"/>
        <n x="3" s="1"/>
        <n x="4" s="1"/>
        <n x="104"/>
        <n x="123"/>
        <n x="48"/>
      </t>
    </mdx>
    <mdx n="0" f="v">
      <t c="8">
        <n x="1" s="1"/>
        <n x="2" s="1"/>
        <n x="5" s="1"/>
        <n x="3" s="1"/>
        <n x="4" s="1"/>
        <n x="104"/>
        <n x="123"/>
        <n x="141"/>
      </t>
    </mdx>
    <mdx n="0" f="v">
      <t c="8">
        <n x="1" s="1"/>
        <n x="2" s="1"/>
        <n x="5" s="1"/>
        <n x="3" s="1"/>
        <n x="4" s="1"/>
        <n x="104"/>
        <n x="39"/>
        <n x="56"/>
      </t>
    </mdx>
    <mdx n="0" f="v">
      <t c="8">
        <n x="1" s="1"/>
        <n x="2" s="1"/>
        <n x="5" s="1"/>
        <n x="3" s="1"/>
        <n x="4" s="1"/>
        <n x="104"/>
        <n x="39"/>
        <n x="147"/>
      </t>
    </mdx>
    <mdx n="0" f="v">
      <t c="8">
        <n x="1" s="1"/>
        <n x="2" s="1"/>
        <n x="5" s="1"/>
        <n x="3" s="1"/>
        <n x="4" s="1"/>
        <n x="104"/>
        <n x="39"/>
        <n x="119"/>
      </t>
    </mdx>
    <mdx n="0" f="v">
      <t c="8">
        <n x="1" s="1"/>
        <n x="2" s="1"/>
        <n x="5" s="1"/>
        <n x="3" s="1"/>
        <n x="4" s="1"/>
        <n x="104"/>
        <n x="39"/>
        <n x="86"/>
      </t>
    </mdx>
    <mdx n="0" f="v">
      <t c="8">
        <n x="1" s="1"/>
        <n x="2" s="1"/>
        <n x="5" s="1"/>
        <n x="3" s="1"/>
        <n x="4" s="1"/>
        <n x="104"/>
        <n x="139"/>
        <n x="109"/>
      </t>
    </mdx>
    <mdx n="0" f="v">
      <t c="8">
        <n x="1" s="1"/>
        <n x="2" s="1"/>
        <n x="5" s="1"/>
        <n x="3" s="1"/>
        <n x="4" s="1"/>
        <n x="104"/>
        <n x="139"/>
        <n x="103"/>
      </t>
    </mdx>
    <mdx n="0" f="v">
      <t c="8">
        <n x="1" s="1"/>
        <n x="2" s="1"/>
        <n x="5" s="1"/>
        <n x="3" s="1"/>
        <n x="4" s="1"/>
        <n x="104"/>
        <n x="139"/>
        <n x="69"/>
      </t>
    </mdx>
    <mdx n="0" f="v">
      <t c="8">
        <n x="1" s="1"/>
        <n x="2" s="1"/>
        <n x="5" s="1"/>
        <n x="3" s="1"/>
        <n x="4" s="1"/>
        <n x="104"/>
        <n x="144"/>
        <n x="115"/>
      </t>
    </mdx>
    <mdx n="0" f="v">
      <t c="8">
        <n x="1" s="1"/>
        <n x="2" s="1"/>
        <n x="5" s="1"/>
        <n x="3" s="1"/>
        <n x="4" s="1"/>
        <n x="104"/>
        <n x="144"/>
        <n x="76"/>
      </t>
    </mdx>
    <mdx n="0" f="v">
      <t c="8">
        <n x="1" s="1"/>
        <n x="2" s="1"/>
        <n x="5" s="1"/>
        <n x="3" s="1"/>
        <n x="4" s="1"/>
        <n x="104"/>
        <n x="144"/>
        <n x="49"/>
      </t>
    </mdx>
    <mdx n="0" f="v">
      <t c="8">
        <n x="1" s="1"/>
        <n x="2" s="1"/>
        <n x="5" s="1"/>
        <n x="3" s="1"/>
        <n x="4" s="1"/>
        <n x="104"/>
        <n x="96"/>
        <n x="28"/>
      </t>
    </mdx>
    <mdx n="0" f="v">
      <t c="8">
        <n x="1" s="1"/>
        <n x="2" s="1"/>
        <n x="5" s="1"/>
        <n x="3" s="1"/>
        <n x="4" s="1"/>
        <n x="104"/>
        <n x="96"/>
        <n x="29"/>
      </t>
    </mdx>
    <mdx n="0" f="v">
      <t c="8">
        <n x="1" s="1"/>
        <n x="2" s="1"/>
        <n x="5" s="1"/>
        <n x="3" s="1"/>
        <n x="4" s="1"/>
        <n x="104"/>
        <n x="96"/>
        <n x="16"/>
      </t>
    </mdx>
    <mdx n="0" f="v">
      <t c="8">
        <n x="1" s="1"/>
        <n x="2" s="1"/>
        <n x="5" s="1"/>
        <n x="3" s="1"/>
        <n x="4" s="1"/>
        <n x="104"/>
        <n x="151"/>
        <n x="84"/>
      </t>
    </mdx>
    <mdx n="0" f="v">
      <t c="8">
        <n x="1" s="1"/>
        <n x="2" s="1"/>
        <n x="5" s="1"/>
        <n x="3" s="1"/>
        <n x="4" s="1"/>
        <n x="104"/>
        <n x="151"/>
        <n x="160"/>
      </t>
    </mdx>
    <mdx n="0" f="v">
      <t c="8">
        <n x="1" s="1"/>
        <n x="2" s="1"/>
        <n x="5" s="1"/>
        <n x="3" s="1"/>
        <n x="4" s="1"/>
        <n x="104"/>
        <n x="151"/>
        <n x="148"/>
      </t>
    </mdx>
    <mdx n="0" f="v">
      <t c="8">
        <n x="1" s="1"/>
        <n x="2" s="1"/>
        <n x="5" s="1"/>
        <n x="3" s="1"/>
        <n x="4" s="1"/>
        <n x="104"/>
        <n x="157"/>
        <n x="62"/>
      </t>
    </mdx>
    <mdx n="0" f="v">
      <t c="8">
        <n x="1" s="1"/>
        <n x="2" s="1"/>
        <n x="5" s="1"/>
        <n x="3" s="1"/>
        <n x="4" s="1"/>
        <n x="104"/>
        <n x="157"/>
        <n x="59"/>
      </t>
    </mdx>
    <mdx n="0" f="v">
      <t c="8">
        <n x="1" s="1"/>
        <n x="2" s="1"/>
        <n x="5" s="1"/>
        <n x="3" s="1"/>
        <n x="4" s="1"/>
        <n x="104"/>
        <n x="163" s="1"/>
        <n x="116"/>
      </t>
    </mdx>
    <mdx n="0" f="v">
      <t c="8">
        <n x="1" s="1"/>
        <n x="2" s="1"/>
        <n x="5" s="1"/>
        <n x="3" s="1"/>
        <n x="4" s="1"/>
        <n x="104"/>
        <n x="60"/>
        <n x="147"/>
      </t>
    </mdx>
    <mdx n="0" f="v">
      <t c="8">
        <n x="1" s="1"/>
        <n x="2" s="1"/>
        <n x="5" s="1"/>
        <n x="3" s="1"/>
        <n x="4" s="1"/>
        <n x="104"/>
        <n x="6"/>
        <n x="107"/>
      </t>
    </mdx>
    <mdx n="0" f="v">
      <t c="8">
        <n x="1" s="1"/>
        <n x="2" s="1"/>
        <n x="5" s="1"/>
        <n x="3" s="1"/>
        <n x="4" s="1"/>
        <n x="104"/>
        <n x="21"/>
        <n x="13"/>
      </t>
    </mdx>
    <mdx n="0" f="v">
      <t c="8">
        <n x="1" s="1"/>
        <n x="2" s="1"/>
        <n x="5" s="1"/>
        <n x="3" s="1"/>
        <n x="4" s="1"/>
        <n x="104"/>
        <n x="21"/>
        <n x="49"/>
      </t>
    </mdx>
    <mdx n="0" f="v">
      <t c="8">
        <n x="1" s="1"/>
        <n x="2" s="1"/>
        <n x="5" s="1"/>
        <n x="3" s="1"/>
        <n x="4" s="1"/>
        <n x="104"/>
        <n x="34"/>
        <n x="87"/>
      </t>
    </mdx>
    <mdx n="0" f="v">
      <t c="8">
        <n x="1" s="1"/>
        <n x="2" s="1"/>
        <n x="5" s="1"/>
        <n x="3" s="1"/>
        <n x="4" s="1"/>
        <n x="104"/>
        <n x="65"/>
        <n x="119"/>
      </t>
    </mdx>
    <mdx n="0" f="v">
      <t c="8">
        <n x="1" s="1"/>
        <n x="2" s="1"/>
        <n x="5" s="1"/>
        <n x="3" s="1"/>
        <n x="4" s="1"/>
        <n x="104"/>
        <n x="70"/>
        <n x="59"/>
      </t>
    </mdx>
    <mdx n="0" f="v">
      <t c="8">
        <n x="1" s="1"/>
        <n x="2" s="1"/>
        <n x="5" s="1"/>
        <n x="3" s="1"/>
        <n x="4" s="1"/>
        <n x="104"/>
        <n x="79"/>
        <n x="108"/>
      </t>
    </mdx>
    <mdx n="0" f="v">
      <t c="8">
        <n x="1" s="1"/>
        <n x="2" s="1"/>
        <n x="5" s="1"/>
        <n x="3" s="1"/>
        <n x="4" s="1"/>
        <n x="104"/>
        <n x="88"/>
        <n x="28"/>
      </t>
    </mdx>
    <mdx n="0" f="v">
      <t c="8">
        <n x="1" s="1"/>
        <n x="2" s="1"/>
        <n x="5" s="1"/>
        <n x="3" s="1"/>
        <n x="4" s="1"/>
        <n x="104"/>
        <n x="88"/>
        <n x="52"/>
      </t>
    </mdx>
    <mdx n="0" f="v">
      <t c="8">
        <n x="1" s="1"/>
        <n x="2" s="1"/>
        <n x="5" s="1"/>
        <n x="3" s="1"/>
        <n x="4" s="1"/>
        <n x="104"/>
        <n x="97"/>
        <n x="15"/>
      </t>
    </mdx>
    <mdx n="0" f="v">
      <t c="8">
        <n x="1" s="1"/>
        <n x="2" s="1"/>
        <n x="5" s="1"/>
        <n x="3" s="1"/>
        <n x="4" s="1"/>
        <n x="104"/>
        <n x="36"/>
        <n x="122"/>
      </t>
    </mdx>
    <mdx n="0" f="v">
      <t c="8">
        <n x="1" s="1"/>
        <n x="2" s="1"/>
        <n x="5" s="1"/>
        <n x="3" s="1"/>
        <n x="4" s="1"/>
        <n x="104"/>
        <n x="110"/>
        <n x="154"/>
      </t>
    </mdx>
    <mdx n="0" f="v">
      <t c="8">
        <n x="1" s="1"/>
        <n x="2" s="1"/>
        <n x="5" s="1"/>
        <n x="3" s="1"/>
        <n x="4" s="1"/>
        <n x="104"/>
        <n x="105"/>
        <n x="109"/>
      </t>
    </mdx>
    <mdx n="0" f="v">
      <t c="8">
        <n x="1" s="1"/>
        <n x="2" s="1"/>
        <n x="5" s="1"/>
        <n x="3" s="1"/>
        <n x="4" s="1"/>
        <n x="104"/>
        <n x="120"/>
        <n x="19"/>
      </t>
    </mdx>
    <mdx n="0" f="v">
      <t c="8">
        <n x="1" s="1"/>
        <n x="2" s="1"/>
        <n x="5" s="1"/>
        <n x="3" s="1"/>
        <n x="4" s="1"/>
        <n x="104"/>
        <n x="120"/>
        <n x="54"/>
      </t>
    </mdx>
    <mdx n="0" f="v">
      <t c="8">
        <n x="1" s="1"/>
        <n x="2" s="1"/>
        <n x="5" s="1"/>
        <n x="3" s="1"/>
        <n x="4" s="1"/>
        <n x="104"/>
        <n x="133"/>
        <n x="16"/>
      </t>
    </mdx>
    <mdx n="0" f="v">
      <t c="8">
        <n x="1" s="1"/>
        <n x="2" s="1"/>
        <n x="5" s="1"/>
        <n x="3" s="1"/>
        <n x="4" s="1"/>
        <n x="104"/>
        <n x="137"/>
        <n x="127"/>
      </t>
    </mdx>
    <mdx n="0" f="v">
      <t c="8">
        <n x="1" s="1"/>
        <n x="2" s="1"/>
        <n x="5" s="1"/>
        <n x="3" s="1"/>
        <n x="4" s="1"/>
        <n x="104"/>
        <n x="142"/>
        <n x="48"/>
      </t>
    </mdx>
    <mdx n="0" f="v">
      <t c="8">
        <n x="1" s="1"/>
        <n x="2" s="1"/>
        <n x="5" s="1"/>
        <n x="3" s="1"/>
        <n x="4" s="1"/>
        <n x="104"/>
        <n x="78"/>
        <n x="43"/>
      </t>
    </mdx>
    <mdx n="0" f="v">
      <t c="8">
        <n x="1" s="1"/>
        <n x="2" s="1"/>
        <n x="5" s="1"/>
        <n x="3" s="1"/>
        <n x="4" s="1"/>
        <n x="104"/>
        <n x="7"/>
        <n x="102"/>
      </t>
    </mdx>
    <mdx n="0" f="v">
      <t c="8">
        <n x="1" s="1"/>
        <n x="2" s="1"/>
        <n x="5" s="1"/>
        <n x="3" s="1"/>
        <n x="4" s="1"/>
        <n x="104"/>
        <n x="7"/>
        <n x="69"/>
      </t>
    </mdx>
    <mdx n="0" f="v">
      <t c="8">
        <n x="1" s="1"/>
        <n x="2" s="1"/>
        <n x="5" s="1"/>
        <n x="3" s="1"/>
        <n x="4" s="1"/>
        <n x="104"/>
        <n x="22"/>
        <n x="33"/>
      </t>
    </mdx>
    <mdx n="0" f="v">
      <t c="8">
        <n x="1" s="1"/>
        <n x="2" s="1"/>
        <n x="5" s="1"/>
        <n x="3" s="1"/>
        <n x="4" s="1"/>
        <n x="104"/>
        <n x="30"/>
        <n x="20"/>
      </t>
    </mdx>
    <mdx n="0" f="v">
      <t c="8">
        <n x="1" s="1"/>
        <n x="2" s="1"/>
        <n x="5" s="1"/>
        <n x="3" s="1"/>
        <n x="4" s="1"/>
        <n x="104"/>
        <n x="149"/>
        <n x="147"/>
      </t>
    </mdx>
    <mdx n="0" f="v">
      <t c="8">
        <n x="1" s="1"/>
        <n x="2" s="1"/>
        <n x="5" s="1"/>
        <n x="3" s="1"/>
        <n x="4" s="1"/>
        <n x="104"/>
        <n x="156"/>
        <n x="164" s="1"/>
      </t>
    </mdx>
    <mdx n="0" f="v">
      <t c="8">
        <n x="1" s="1"/>
        <n x="2" s="1"/>
        <n x="5" s="1"/>
        <n x="3" s="1"/>
        <n x="4" s="1"/>
        <n x="104"/>
        <n x="156"/>
        <n x="122"/>
      </t>
    </mdx>
    <mdx n="0" f="v">
      <t c="8">
        <n x="1" s="1"/>
        <n x="2" s="1"/>
        <n x="5" s="1"/>
        <n x="3" s="1"/>
        <n x="4" s="1"/>
        <n x="104"/>
        <n x="158"/>
        <n x="147"/>
      </t>
    </mdx>
    <mdx n="0" f="v">
      <t c="8">
        <n x="1" s="1"/>
        <n x="2" s="1"/>
        <n x="5" s="1"/>
        <n x="3" s="1"/>
        <n x="4" s="1"/>
        <n x="104"/>
        <n x="161"/>
        <n x="19"/>
      </t>
    </mdx>
    <mdx n="0" f="v">
      <t c="8">
        <n x="1" s="1"/>
        <n x="2" s="1"/>
        <n x="5" s="1"/>
        <n x="3" s="1"/>
        <n x="4" s="1"/>
        <n x="104"/>
        <n x="161"/>
        <n x="49"/>
      </t>
    </mdx>
    <mdx n="0" f="v">
      <t c="8">
        <n x="1" s="1"/>
        <n x="2" s="1"/>
        <n x="5" s="1"/>
        <n x="3" s="1"/>
        <n x="4" s="1"/>
        <n x="104"/>
        <n x="66"/>
        <n x="58"/>
      </t>
    </mdx>
    <mdx n="0" f="v">
      <t c="8">
        <n x="1" s="1"/>
        <n x="2" s="1"/>
        <n x="5" s="1"/>
        <n x="3" s="1"/>
        <n x="4" s="1"/>
        <n x="104"/>
        <n x="37"/>
        <n x="59"/>
      </t>
    </mdx>
    <mdx n="0" f="v">
      <t c="8">
        <n x="1" s="1"/>
        <n x="2" s="1"/>
        <n x="5" s="1"/>
        <n x="3" s="1"/>
        <n x="4" s="1"/>
        <n x="104"/>
        <n x="71"/>
        <n x="56"/>
      </t>
    </mdx>
    <mdx n="0" f="v">
      <t c="8">
        <n x="1" s="1"/>
        <n x="2" s="1"/>
        <n x="5" s="1"/>
        <n x="3" s="1"/>
        <n x="4" s="1"/>
        <n x="104"/>
        <n x="71"/>
        <n x="127"/>
      </t>
    </mdx>
    <mdx n="0" f="v">
      <t c="8">
        <n x="1" s="1"/>
        <n x="2" s="1"/>
        <n x="5" s="1"/>
        <n x="3" s="1"/>
        <n x="4" s="1"/>
        <n x="104"/>
        <n x="80"/>
        <n x="59"/>
      </t>
    </mdx>
    <mdx n="0" f="v">
      <t c="8">
        <n x="1" s="1"/>
        <n x="2" s="1"/>
        <n x="5" s="1"/>
        <n x="3" s="1"/>
        <n x="4" s="1"/>
        <n x="104"/>
        <n x="89"/>
        <n x="102"/>
      </t>
    </mdx>
    <mdx n="0" f="v">
      <t c="8">
        <n x="1" s="1"/>
        <n x="2" s="1"/>
        <n x="5" s="1"/>
        <n x="3" s="1"/>
        <n x="4" s="1"/>
        <n x="104"/>
        <n x="89"/>
        <n x="52"/>
      </t>
    </mdx>
    <mdx n="0" f="v">
      <t c="8">
        <n x="1" s="1"/>
        <n x="2" s="1"/>
        <n x="5" s="1"/>
        <n x="3" s="1"/>
        <n x="4" s="1"/>
        <n x="104"/>
        <n x="98"/>
        <n x="76"/>
      </t>
    </mdx>
    <mdx n="0" f="v">
      <t c="8">
        <n x="1" s="1"/>
        <n x="2" s="1"/>
        <n x="5" s="1"/>
        <n x="3" s="1"/>
        <n x="4" s="1"/>
        <n x="104"/>
        <n x="111"/>
        <n x="154"/>
      </t>
    </mdx>
    <mdx n="0" f="v">
      <t c="8">
        <n x="1" s="1"/>
        <n x="2" s="1"/>
        <n x="5" s="1"/>
        <n x="3" s="1"/>
        <n x="4" s="1"/>
        <n x="104"/>
        <n x="117"/>
        <n x="62"/>
      </t>
    </mdx>
    <mdx n="0" f="v">
      <t c="8">
        <n x="1" s="1"/>
        <n x="2" s="1"/>
        <n x="5" s="1"/>
        <n x="3" s="1"/>
        <n x="4" s="1"/>
        <n x="104"/>
        <n x="117"/>
        <n x="141"/>
      </t>
    </mdx>
    <mdx n="0" f="v">
      <t c="8">
        <n x="1" s="1"/>
        <n x="2" s="1"/>
        <n x="5" s="1"/>
        <n x="3" s="1"/>
        <n x="4" s="1"/>
        <n x="104"/>
        <n x="130"/>
        <n x="154"/>
      </t>
    </mdx>
    <mdx n="0" f="v">
      <t c="8">
        <n x="1" s="1"/>
        <n x="2" s="1"/>
        <n x="5" s="1"/>
        <n x="3" s="1"/>
        <n x="4" s="1"/>
        <n x="104"/>
        <n x="8"/>
        <n x="115"/>
      </t>
    </mdx>
    <mdx n="0" f="v">
      <t c="8">
        <n x="1" s="1"/>
        <n x="2" s="1"/>
        <n x="5" s="1"/>
        <n x="3" s="1"/>
        <n x="4" s="1"/>
        <n x="104"/>
        <n x="8"/>
        <n x="54"/>
      </t>
    </mdx>
    <mdx n="0" f="v">
      <t c="8">
        <n x="1" s="1"/>
        <n x="2" s="1"/>
        <n x="5" s="1"/>
        <n x="3" s="1"/>
        <n x="4" s="1"/>
        <n x="104"/>
        <n x="23"/>
        <n x="85"/>
      </t>
    </mdx>
    <mdx n="0" f="v">
      <t c="8">
        <n x="1" s="1"/>
        <n x="2" s="1"/>
        <n x="5" s="1"/>
        <n x="3" s="1"/>
        <n x="4" s="1"/>
        <n x="104"/>
        <n x="17"/>
        <n x="48"/>
      </t>
    </mdx>
    <mdx n="0" f="v">
      <t c="8">
        <n x="1" s="1"/>
        <n x="2" s="1"/>
        <n x="5" s="1"/>
        <n x="3" s="1"/>
        <n x="4" s="1"/>
        <n x="104"/>
        <n x="126"/>
        <n x="63"/>
      </t>
    </mdx>
    <mdx n="0" f="v">
      <t c="8">
        <n x="1" s="1"/>
        <n x="2" s="1"/>
        <n x="5" s="1"/>
        <n x="3" s="1"/>
        <n x="4" s="1"/>
        <n x="104"/>
        <n x="126"/>
        <n x="148"/>
      </t>
    </mdx>
    <mdx n="0" f="v">
      <t c="8">
        <n x="1" s="1"/>
        <n x="2" s="1"/>
        <n x="5" s="1"/>
        <n x="3" s="1"/>
        <n x="4" s="1"/>
        <n x="104"/>
        <n x="138"/>
        <n x="48"/>
      </t>
    </mdx>
    <mdx n="0" f="v">
      <t c="8">
        <n x="1" s="1"/>
        <n x="2" s="1"/>
        <n x="5" s="1"/>
        <n x="3" s="1"/>
        <n x="4" s="1"/>
        <n x="104"/>
        <n x="143"/>
        <n x="107"/>
      </t>
    </mdx>
    <mdx n="0" f="v">
      <t c="8">
        <n x="1" s="1"/>
        <n x="2" s="1"/>
        <n x="5" s="1"/>
        <n x="3" s="1"/>
        <n x="4" s="1"/>
        <n x="104"/>
        <n x="143"/>
        <n x="49"/>
      </t>
    </mdx>
    <mdx n="0" f="v">
      <t c="8">
        <n x="1" s="1"/>
        <n x="2" s="1"/>
        <n x="5" s="1"/>
        <n x="3" s="1"/>
        <n x="4" s="1"/>
        <n x="104"/>
        <n x="64"/>
        <n x="28"/>
      </t>
    </mdx>
    <mdx n="0" f="v">
      <t c="8">
        <n x="1" s="1"/>
        <n x="2" s="1"/>
        <n x="5" s="1"/>
        <n x="3" s="1"/>
        <n x="4" s="1"/>
        <n x="104"/>
        <n x="64"/>
        <n x="29"/>
      </t>
    </mdx>
    <mdx n="0" f="v">
      <t c="8">
        <n x="1" s="1"/>
        <n x="2" s="1"/>
        <n x="5" s="1"/>
        <n x="3" s="1"/>
        <n x="4" s="1"/>
        <n x="104"/>
        <n x="64"/>
        <n x="16"/>
      </t>
    </mdx>
    <mdx n="0" f="v">
      <t c="8">
        <n x="1" s="1"/>
        <n x="2" s="1"/>
        <n x="5" s="1"/>
        <n x="3" s="1"/>
        <n x="4" s="1"/>
        <n x="104"/>
        <n x="150"/>
        <n x="84"/>
      </t>
    </mdx>
    <mdx n="0" f="v">
      <t c="8">
        <n x="1" s="1"/>
        <n x="2" s="1"/>
        <n x="5" s="1"/>
        <n x="3" s="1"/>
        <n x="4" s="1"/>
        <n x="104"/>
        <n x="150"/>
        <n x="160"/>
      </t>
    </mdx>
    <mdx n="0" f="v">
      <t c="8">
        <n x="1" s="1"/>
        <n x="2" s="1"/>
        <n x="5" s="1"/>
        <n x="3" s="1"/>
        <n x="4" s="1"/>
        <n x="104"/>
        <n x="150"/>
        <n x="148"/>
      </t>
    </mdx>
    <mdx n="0" f="v">
      <t c="8">
        <n x="1" s="1"/>
        <n x="2" s="1"/>
        <n x="5" s="1"/>
        <n x="3" s="1"/>
        <n x="4" s="1"/>
        <n x="104"/>
        <n x="38"/>
        <n x="62"/>
      </t>
    </mdx>
    <mdx n="0" f="v">
      <t c="8">
        <n x="1" s="1"/>
        <n x="2" s="1"/>
        <n x="5" s="1"/>
        <n x="3" s="1"/>
        <n x="4" s="1"/>
        <n x="104"/>
        <n x="38"/>
        <n x="59"/>
      </t>
    </mdx>
    <mdx n="0" f="v">
      <t c="8">
        <n x="1" s="1"/>
        <n x="2" s="1"/>
        <n x="5" s="1"/>
        <n x="3" s="1"/>
        <n x="4" s="1"/>
        <n x="104"/>
        <n x="38"/>
        <n x="122"/>
      </t>
    </mdx>
    <mdx n="0" f="v">
      <t c="8">
        <n x="1" s="1"/>
        <n x="2" s="1"/>
        <n x="5" s="1"/>
        <n x="3" s="1"/>
        <n x="4" s="1"/>
        <n x="104"/>
        <n x="38"/>
        <n x="95"/>
      </t>
    </mdx>
    <mdx n="0" f="v">
      <t c="8">
        <n x="1" s="1"/>
        <n x="2" s="1"/>
        <n x="5" s="1"/>
        <n x="3" s="1"/>
        <n x="4" s="1"/>
        <n x="104"/>
        <n x="46"/>
        <n x="43"/>
      </t>
    </mdx>
    <mdx n="0" f="v">
      <t c="8">
        <n x="1" s="1"/>
        <n x="2" s="1"/>
        <n x="5" s="1"/>
        <n x="3" s="1"/>
        <n x="4" s="1"/>
        <n x="104"/>
        <n x="46"/>
        <n x="44"/>
      </t>
    </mdx>
    <mdx n="0" f="v">
      <t c="8">
        <n x="1" s="1"/>
        <n x="2" s="1"/>
        <n x="5" s="1"/>
        <n x="3" s="1"/>
        <n x="4" s="1"/>
        <n x="104"/>
        <n x="46"/>
        <n x="45"/>
      </t>
    </mdx>
    <mdx n="0" f="v">
      <t c="8">
        <n x="1" s="1"/>
        <n x="2" s="1"/>
        <n x="5" s="1"/>
        <n x="3" s="1"/>
        <n x="4" s="1"/>
        <n x="104"/>
        <n x="50"/>
        <n x="107"/>
      </t>
    </mdx>
    <mdx n="0" f="v">
      <t c="8">
        <n x="1" s="1"/>
        <n x="2" s="1"/>
        <n x="5" s="1"/>
        <n x="3" s="1"/>
        <n x="4" s="1"/>
        <n x="104"/>
        <n x="50"/>
        <n x="85"/>
      </t>
    </mdx>
    <mdx n="0" f="v">
      <t c="8">
        <n x="1" s="1"/>
        <n x="2" s="1"/>
        <n x="5" s="1"/>
        <n x="3" s="1"/>
        <n x="4" s="1"/>
        <n x="104"/>
        <n x="50"/>
        <n x="52"/>
      </t>
    </mdx>
    <mdx n="0" f="v">
      <t c="8">
        <n x="1" s="1"/>
        <n x="2" s="1"/>
        <n x="5" s="1"/>
        <n x="3" s="1"/>
        <n x="4" s="1"/>
        <n x="104"/>
        <n x="61"/>
        <n x="19"/>
      </t>
    </mdx>
    <mdx n="0" f="v">
      <t c="8">
        <n x="1" s="1"/>
        <n x="2" s="1"/>
        <n x="5" s="1"/>
        <n x="3" s="1"/>
        <n x="4" s="1"/>
        <n x="104"/>
        <n x="61"/>
        <n x="20"/>
      </t>
    </mdx>
    <mdx n="0" f="v">
      <t c="8">
        <n x="1" s="1"/>
        <n x="2" s="1"/>
        <n x="5" s="1"/>
        <n x="3" s="1"/>
        <n x="4" s="1"/>
        <n x="104"/>
        <n x="61"/>
        <n x="33"/>
      </t>
    </mdx>
    <mdx n="0" f="v">
      <t c="8">
        <n x="1" s="1"/>
        <n x="2" s="1"/>
        <n x="5" s="1"/>
        <n x="3" s="1"/>
        <n x="4" s="1"/>
        <n x="104"/>
        <n x="67"/>
        <n x="93"/>
      </t>
    </mdx>
    <mdx n="0" f="v">
      <t c="8">
        <n x="1" s="1"/>
        <n x="2" s="1"/>
        <n x="5" s="1"/>
        <n x="3" s="1"/>
        <n x="4" s="1"/>
        <n x="104"/>
        <n x="67"/>
        <n x="162"/>
      </t>
    </mdx>
    <mdx n="0" f="v">
      <t c="8">
        <n x="1" s="1"/>
        <n x="2" s="1"/>
        <n x="5" s="1"/>
        <n x="3" s="1"/>
        <n x="4" s="1"/>
        <n x="104"/>
        <n x="67"/>
        <n x="87"/>
      </t>
    </mdx>
    <mdx n="0" f="v">
      <t c="8">
        <n x="1" s="1"/>
        <n x="2" s="1"/>
        <n x="5" s="1"/>
        <n x="3" s="1"/>
        <n x="4" s="1"/>
        <n x="104"/>
        <n x="72"/>
        <n x="63"/>
      </t>
    </mdx>
    <mdx n="0" f="v">
      <t c="8">
        <n x="1" s="1"/>
        <n x="2" s="1"/>
        <n x="5" s="1"/>
        <n x="3" s="1"/>
        <n x="4" s="1"/>
        <n x="104"/>
        <n x="72"/>
        <n x="154"/>
      </t>
    </mdx>
    <mdx n="0" f="v">
      <t c="8">
        <n x="1" s="1"/>
        <n x="2" s="1"/>
        <n x="5" s="1"/>
        <n x="3" s="1"/>
        <n x="4" s="1"/>
        <n x="104"/>
        <n x="72"/>
        <n x="127"/>
      </t>
    </mdx>
    <mdx n="0" f="v">
      <t c="8">
        <n x="1" s="1"/>
        <n x="2" s="1"/>
        <n x="5" s="1"/>
        <n x="3" s="1"/>
        <n x="4" s="1"/>
        <n x="104"/>
        <n x="81"/>
        <n x="164" s="1"/>
      </t>
    </mdx>
    <mdx n="0" f="v">
      <t c="8">
        <n x="1" s="1"/>
        <n x="2" s="1"/>
        <n x="5" s="1"/>
        <n x="3" s="1"/>
        <n x="4" s="1"/>
        <n x="104"/>
        <n x="81"/>
        <n x="128"/>
      </t>
    </mdx>
    <mdx n="0" f="v">
      <t c="8">
        <n x="1" s="1"/>
        <n x="2" s="1"/>
        <n x="5" s="1"/>
        <n x="3" s="1"/>
        <n x="4" s="1"/>
        <n x="104"/>
        <n x="81"/>
        <n x="116"/>
      </t>
    </mdx>
    <mdx n="0" f="v">
      <t c="8">
        <n x="1" s="1"/>
        <n x="2" s="1"/>
        <n x="5" s="1"/>
        <n x="3" s="1"/>
        <n x="4" s="1"/>
        <n x="104"/>
        <n x="81"/>
        <n x="77"/>
      </t>
    </mdx>
    <mdx n="0" f="v">
      <t c="8">
        <n x="1" s="1"/>
        <n x="2" s="1"/>
        <n x="5" s="1"/>
        <n x="3" s="1"/>
        <n x="4" s="1"/>
        <n x="104"/>
        <n x="90"/>
        <n x="108"/>
      </t>
    </mdx>
    <mdx n="0" f="v">
      <t c="8">
        <n x="1" s="1"/>
        <n x="2" s="1"/>
        <n x="5" s="1"/>
        <n x="3" s="1"/>
        <n x="4" s="1"/>
        <n x="104"/>
        <n x="90"/>
        <n x="94"/>
      </t>
    </mdx>
    <mdx n="0" f="v">
      <t c="8">
        <n x="1" s="1"/>
        <n x="2" s="1"/>
        <n x="5" s="1"/>
        <n x="3" s="1"/>
        <n x="4" s="1"/>
        <n x="104"/>
        <n x="90"/>
        <n x="54"/>
      </t>
    </mdx>
    <mdx n="0" f="v">
      <t c="8">
        <n x="1" s="1"/>
        <n x="2" s="1"/>
        <n x="5" s="1"/>
        <n x="3" s="1"/>
        <n x="4" s="1"/>
        <n x="104"/>
        <n x="9"/>
        <n x="102"/>
      </t>
    </mdx>
    <mdx n="0" f="v">
      <t c="8">
        <n x="1" s="1"/>
        <n x="2" s="1"/>
        <n x="5" s="1"/>
        <n x="3" s="1"/>
        <n x="4" s="1"/>
        <n x="104"/>
        <n x="9"/>
        <n x="58"/>
      </t>
    </mdx>
    <mdx n="0" f="v">
      <t c="8">
        <n x="1" s="1"/>
        <n x="2" s="1"/>
        <n x="5" s="1"/>
        <n x="3" s="1"/>
        <n x="4" s="1"/>
        <n x="104"/>
        <n x="9"/>
        <n x="155"/>
      </t>
    </mdx>
    <mdx n="0" f="v">
      <t c="8">
        <n x="1" s="1"/>
        <n x="2" s="1"/>
        <n x="5" s="1"/>
        <n x="3" s="1"/>
        <n x="4" s="1"/>
        <n x="104"/>
        <n x="24"/>
        <n x="13"/>
      </t>
    </mdx>
    <mdx n="0" f="v">
      <t c="8">
        <n x="1" s="1"/>
        <n x="2" s="1"/>
        <n x="5" s="1"/>
        <n x="3" s="1"/>
        <n x="4" s="1"/>
        <n x="104"/>
        <n x="24"/>
        <n x="14"/>
      </t>
    </mdx>
    <mdx n="0" f="v">
      <t c="8">
        <n x="1" s="1"/>
        <n x="2" s="1"/>
        <n x="5" s="1"/>
        <n x="3" s="1"/>
        <n x="4" s="1"/>
        <n x="104"/>
        <n x="24"/>
        <n x="15"/>
      </t>
    </mdx>
    <mdx n="0" f="v">
      <t c="8">
        <n x="1" s="1"/>
        <n x="2" s="1"/>
        <n x="5" s="1"/>
        <n x="3" s="1"/>
        <n x="4" s="1"/>
        <n x="104"/>
        <n x="31"/>
        <n x="75"/>
      </t>
    </mdx>
    <mdx n="0" f="v">
      <t c="8">
        <n x="1" s="1"/>
        <n x="2" s="1"/>
        <n x="5" s="1"/>
        <n x="3" s="1"/>
        <n x="4" s="1"/>
        <n x="104"/>
        <n x="31"/>
        <n x="48"/>
      </t>
    </mdx>
    <mdx n="0" f="v">
      <t c="8">
        <n x="1" s="1"/>
        <n x="2" s="1"/>
        <n x="5" s="1"/>
        <n x="3" s="1"/>
        <n x="4" s="1"/>
        <n x="104"/>
        <n x="31"/>
        <n x="141"/>
      </t>
    </mdx>
    <mdx n="0" f="v">
      <t c="8">
        <n x="1" s="1"/>
        <n x="2" s="1"/>
        <n x="5" s="1"/>
        <n x="3" s="1"/>
        <n x="4" s="1"/>
        <n x="104"/>
        <n x="99"/>
        <n x="56"/>
      </t>
    </mdx>
    <mdx n="0" f="v">
      <t c="8">
        <n x="1" s="1"/>
        <n x="2" s="1"/>
        <n x="5" s="1"/>
        <n x="3" s="1"/>
        <n x="4" s="1"/>
        <n x="104"/>
        <n x="99"/>
        <n x="147"/>
      </t>
    </mdx>
    <mdx n="0" f="v">
      <t c="8">
        <n x="1" s="1"/>
        <n x="2" s="1"/>
        <n x="5" s="1"/>
        <n x="3" s="1"/>
        <n x="4" s="1"/>
        <n x="104"/>
        <n x="99"/>
        <n x="119"/>
      </t>
    </mdx>
    <mdx n="0" f="v">
      <t c="8">
        <n x="1" s="1"/>
        <n x="2" s="1"/>
        <n x="5" s="1"/>
        <n x="3" s="1"/>
        <n x="4" s="1"/>
        <n x="104"/>
        <n x="99"/>
        <n x="86"/>
      </t>
    </mdx>
    <mdx n="0" f="v">
      <t c="8">
        <n x="1" s="1"/>
        <n x="2" s="1"/>
        <n x="5" s="1"/>
        <n x="3" s="1"/>
        <n x="4" s="1"/>
        <n x="104"/>
        <n x="112"/>
        <n x="109"/>
      </t>
    </mdx>
    <mdx n="0" f="v">
      <t c="8">
        <n x="1" s="1"/>
        <n x="2" s="1"/>
        <n x="5" s="1"/>
        <n x="3" s="1"/>
        <n x="4" s="1"/>
        <n x="104"/>
        <n x="112"/>
        <n x="103"/>
      </t>
    </mdx>
    <mdx n="0" f="v">
      <t c="8">
        <n x="1" s="1"/>
        <n x="2" s="1"/>
        <n x="5" s="1"/>
        <n x="3" s="1"/>
        <n x="4" s="1"/>
        <n x="104"/>
        <n x="112"/>
        <n x="69"/>
      </t>
    </mdx>
    <mdx n="0" f="v">
      <t c="8">
        <n x="1" s="1"/>
        <n x="2" s="1"/>
        <n x="5" s="1"/>
        <n x="3" s="1"/>
        <n x="4" s="1"/>
        <n x="104"/>
        <n x="106"/>
        <n x="115"/>
      </t>
    </mdx>
    <mdx n="0" f="v">
      <t c="8">
        <n x="1" s="1"/>
        <n x="2" s="1"/>
        <n x="5" s="1"/>
        <n x="3" s="1"/>
        <n x="4" s="1"/>
        <n x="104"/>
        <n x="106"/>
        <n x="76"/>
      </t>
    </mdx>
    <mdx n="0" f="v">
      <t c="8">
        <n x="1" s="1"/>
        <n x="2" s="1"/>
        <n x="5" s="1"/>
        <n x="3" s="1"/>
        <n x="4" s="1"/>
        <n x="104"/>
        <n x="106"/>
        <n x="49"/>
      </t>
    </mdx>
    <mdx n="0" f="v">
      <t c="8">
        <n x="1" s="1"/>
        <n x="2" s="1"/>
        <n x="5" s="1"/>
        <n x="3" s="1"/>
        <n x="4" s="1"/>
        <n x="104"/>
        <n x="125"/>
        <n x="28"/>
      </t>
    </mdx>
    <mdx n="0" f="v">
      <t c="8">
        <n x="1" s="1"/>
        <n x="2" s="1"/>
        <n x="5" s="1"/>
        <n x="3" s="1"/>
        <n x="4" s="1"/>
        <n x="104"/>
        <n x="125"/>
        <n x="29"/>
      </t>
    </mdx>
    <mdx n="0" f="v">
      <t c="8">
        <n x="1" s="1"/>
        <n x="2" s="1"/>
        <n x="5" s="1"/>
        <n x="3" s="1"/>
        <n x="4" s="1"/>
        <n x="104"/>
        <n x="125"/>
        <n x="16"/>
      </t>
    </mdx>
    <mdx n="0" f="v">
      <t c="8">
        <n x="1" s="1"/>
        <n x="2" s="1"/>
        <n x="5" s="1"/>
        <n x="3" s="1"/>
        <n x="4" s="1"/>
        <n x="104"/>
        <n x="123"/>
        <n x="84"/>
      </t>
    </mdx>
    <mdx n="0" f="v">
      <t c="8">
        <n x="1" s="1"/>
        <n x="2" s="1"/>
        <n x="5" s="1"/>
        <n x="3" s="1"/>
        <n x="4" s="1"/>
        <n x="104"/>
        <n x="123"/>
        <n x="160"/>
      </t>
    </mdx>
    <mdx n="0" f="v">
      <t c="8">
        <n x="1" s="1"/>
        <n x="2" s="1"/>
        <n x="5" s="1"/>
        <n x="3" s="1"/>
        <n x="4" s="1"/>
        <n x="104"/>
        <n x="123"/>
        <n x="148"/>
      </t>
    </mdx>
    <mdx n="0" f="v">
      <t c="8">
        <n x="1" s="1"/>
        <n x="2" s="1"/>
        <n x="5" s="1"/>
        <n x="3" s="1"/>
        <n x="4" s="1"/>
        <n x="104"/>
        <n x="39"/>
        <n x="62"/>
      </t>
    </mdx>
    <mdx n="0" f="v">
      <t c="8">
        <n x="1" s="1"/>
        <n x="2" s="1"/>
        <n x="5" s="1"/>
        <n x="3" s="1"/>
        <n x="4" s="1"/>
        <n x="104"/>
        <n x="39"/>
        <n x="59"/>
      </t>
    </mdx>
    <mdx n="0" f="v">
      <t c="8">
        <n x="1" s="1"/>
        <n x="2" s="1"/>
        <n x="5" s="1"/>
        <n x="3" s="1"/>
        <n x="4" s="1"/>
        <n x="104"/>
        <n x="39"/>
        <n x="122"/>
      </t>
    </mdx>
    <mdx n="0" f="v">
      <t c="8">
        <n x="1" s="1"/>
        <n x="2" s="1"/>
        <n x="5" s="1"/>
        <n x="3" s="1"/>
        <n x="4" s="1"/>
        <n x="104"/>
        <n x="39"/>
        <n x="95"/>
      </t>
    </mdx>
    <mdx n="0" f="v">
      <t c="8">
        <n x="1" s="1"/>
        <n x="2" s="1"/>
        <n x="5" s="1"/>
        <n x="3" s="1"/>
        <n x="4" s="1"/>
        <n x="104"/>
        <n x="139"/>
        <n x="43"/>
      </t>
    </mdx>
    <mdx n="0" f="v">
      <t c="8">
        <n x="1" s="1"/>
        <n x="2" s="1"/>
        <n x="5" s="1"/>
        <n x="3" s="1"/>
        <n x="4" s="1"/>
        <n x="104"/>
        <n x="139"/>
        <n x="44"/>
      </t>
    </mdx>
    <mdx n="0" f="v">
      <t c="8">
        <n x="1" s="1"/>
        <n x="2" s="1"/>
        <n x="5" s="1"/>
        <n x="3" s="1"/>
        <n x="4" s="1"/>
        <n x="104"/>
        <n x="139"/>
        <n x="45"/>
      </t>
    </mdx>
    <mdx n="0" f="v">
      <t c="8">
        <n x="1" s="1"/>
        <n x="2" s="1"/>
        <n x="5" s="1"/>
        <n x="3" s="1"/>
        <n x="4" s="1"/>
        <n x="104"/>
        <n x="144"/>
        <n x="107"/>
      </t>
    </mdx>
    <mdx n="0" f="v">
      <t c="8">
        <n x="1" s="1"/>
        <n x="2" s="1"/>
        <n x="5" s="1"/>
        <n x="3" s="1"/>
        <n x="4" s="1"/>
        <n x="104"/>
        <n x="144"/>
        <n x="85"/>
      </t>
    </mdx>
    <mdx n="0" f="v">
      <t c="8">
        <n x="1" s="1"/>
        <n x="2" s="1"/>
        <n x="5" s="1"/>
        <n x="3" s="1"/>
        <n x="4" s="1"/>
        <n x="104"/>
        <n x="144"/>
        <n x="52"/>
      </t>
    </mdx>
    <mdx n="0" f="v">
      <t c="8">
        <n x="1" s="1"/>
        <n x="2" s="1"/>
        <n x="5" s="1"/>
        <n x="3" s="1"/>
        <n x="4" s="1"/>
        <n x="104"/>
        <n x="96"/>
        <n x="19"/>
      </t>
    </mdx>
    <mdx n="0" f="v">
      <t c="8">
        <n x="1" s="1"/>
        <n x="2" s="1"/>
        <n x="5" s="1"/>
        <n x="3" s="1"/>
        <n x="4" s="1"/>
        <n x="104"/>
        <n x="96"/>
        <n x="20"/>
      </t>
    </mdx>
    <mdx n="0" f="v">
      <t c="8">
        <n x="1" s="1"/>
        <n x="2" s="1"/>
        <n x="5" s="1"/>
        <n x="3" s="1"/>
        <n x="4" s="1"/>
        <n x="104"/>
        <n x="163" s="1"/>
        <n x="119"/>
      </t>
    </mdx>
    <mdx n="0" f="v">
      <t c="8">
        <n x="1" s="1"/>
        <n x="2" s="1"/>
        <n x="5" s="1"/>
        <n x="3" s="1"/>
        <n x="4" s="1"/>
        <n x="104"/>
        <n x="60"/>
        <n x="59"/>
      </t>
    </mdx>
    <mdx n="0" f="v">
      <t c="8">
        <n x="1" s="1"/>
        <n x="2" s="1"/>
        <n x="5" s="1"/>
        <n x="3" s="1"/>
        <n x="4" s="1"/>
        <n x="104"/>
        <n x="6"/>
        <n x="108"/>
      </t>
    </mdx>
    <mdx n="0" f="v">
      <t c="8">
        <n x="1" s="1"/>
        <n x="2" s="1"/>
        <n x="5" s="1"/>
        <n x="3" s="1"/>
        <n x="4" s="1"/>
        <n x="104"/>
        <n x="21"/>
        <n x="28"/>
      </t>
    </mdx>
    <mdx n="0" f="v">
      <t c="8">
        <n x="1" s="1"/>
        <n x="2" s="1"/>
        <n x="5" s="1"/>
        <n x="3" s="1"/>
        <n x="4" s="1"/>
        <n x="104"/>
        <n x="21"/>
        <n x="52"/>
      </t>
    </mdx>
    <mdx n="0" f="v">
      <t c="8">
        <n x="1" s="1"/>
        <n x="2" s="1"/>
        <n x="5" s="1"/>
        <n x="3" s="1"/>
        <n x="4" s="1"/>
        <n x="104"/>
        <n x="34"/>
        <n x="15"/>
      </t>
    </mdx>
    <mdx n="0" f="v">
      <t c="8">
        <n x="1" s="1"/>
        <n x="2" s="1"/>
        <n x="5" s="1"/>
        <n x="3" s="1"/>
        <n x="4" s="1"/>
        <n x="104"/>
        <n x="65"/>
        <n x="122"/>
      </t>
    </mdx>
    <mdx n="0" f="v">
      <t c="8">
        <n x="1" s="1"/>
        <n x="2" s="1"/>
        <n x="5" s="1"/>
        <n x="3" s="1"/>
        <n x="4" s="1"/>
        <n x="104"/>
        <n x="70"/>
        <n x="154"/>
      </t>
    </mdx>
    <mdx n="0" f="v">
      <t c="8">
        <n x="1" s="1"/>
        <n x="2" s="1"/>
        <n x="5" s="1"/>
        <n x="3" s="1"/>
        <n x="4" s="1"/>
        <n x="104"/>
        <n x="79"/>
        <n x="109"/>
      </t>
    </mdx>
    <mdx n="0" f="v">
      <t c="8">
        <n x="1" s="1"/>
        <n x="2" s="1"/>
        <n x="5" s="1"/>
        <n x="3" s="1"/>
        <n x="4" s="1"/>
        <n x="104"/>
        <n x="88"/>
        <n x="19"/>
      </t>
    </mdx>
    <mdx n="0" f="v">
      <t c="8">
        <n x="1" s="1"/>
        <n x="2" s="1"/>
        <n x="5" s="1"/>
        <n x="3" s="1"/>
        <n x="4" s="1"/>
        <n x="104"/>
        <n x="88"/>
        <n x="54"/>
      </t>
    </mdx>
    <mdx n="0" f="v">
      <t c="8">
        <n x="1" s="1"/>
        <n x="2" s="1"/>
        <n x="5" s="1"/>
        <n x="3" s="1"/>
        <n x="4" s="1"/>
        <n x="104"/>
        <n x="97"/>
        <n x="16"/>
      </t>
    </mdx>
    <mdx n="0" f="v">
      <t c="8">
        <n x="1" s="1"/>
        <n x="2" s="1"/>
        <n x="5" s="1"/>
        <n x="3" s="1"/>
        <n x="4" s="1"/>
        <n x="104"/>
        <n x="36"/>
        <n x="127"/>
      </t>
    </mdx>
    <mdx n="0" f="v">
      <t c="8">
        <n x="1" s="1"/>
        <n x="2" s="1"/>
        <n x="5" s="1"/>
        <n x="3" s="1"/>
        <n x="4" s="1"/>
        <n x="104"/>
        <n x="110"/>
        <n x="48"/>
      </t>
    </mdx>
    <mdx n="0" f="v">
      <t c="8">
        <n x="1" s="1"/>
        <n x="2" s="1"/>
        <n x="5" s="1"/>
        <n x="3" s="1"/>
        <n x="4" s="1"/>
        <n x="104"/>
        <n x="105"/>
        <n x="43"/>
      </t>
    </mdx>
    <mdx n="0" f="v">
      <t c="8">
        <n x="1" s="1"/>
        <n x="2" s="1"/>
        <n x="5" s="1"/>
        <n x="3" s="1"/>
        <n x="4" s="1"/>
        <n x="104"/>
        <n x="120"/>
        <n x="102"/>
      </t>
    </mdx>
    <mdx n="0" f="v">
      <t c="8">
        <n x="1" s="1"/>
        <n x="2" s="1"/>
        <n x="5" s="1"/>
        <n x="3" s="1"/>
        <n x="4" s="1"/>
        <n x="104"/>
        <n x="120"/>
        <n x="69"/>
      </t>
    </mdx>
    <mdx n="0" f="v">
      <t c="8">
        <n x="1" s="1"/>
        <n x="2" s="1"/>
        <n x="5" s="1"/>
        <n x="3" s="1"/>
        <n x="4" s="1"/>
        <n x="104"/>
        <n x="133"/>
        <n x="33"/>
      </t>
    </mdx>
    <mdx n="0" f="v">
      <t c="8">
        <n x="1" s="1"/>
        <n x="2" s="1"/>
        <n x="5" s="1"/>
        <n x="3" s="1"/>
        <n x="4" s="1"/>
        <n x="104"/>
        <n x="137"/>
        <n x="141"/>
      </t>
    </mdx>
    <mdx n="0" f="v">
      <t c="8">
        <n x="1" s="1"/>
        <n x="2" s="1"/>
        <n x="5" s="1"/>
        <n x="3" s="1"/>
        <n x="4" s="1"/>
        <n x="104"/>
        <n x="142"/>
        <n x="160"/>
      </t>
    </mdx>
    <mdx n="0" f="v">
      <t c="8">
        <n x="1" s="1"/>
        <n x="2" s="1"/>
        <n x="5" s="1"/>
        <n x="3" s="1"/>
        <n x="4" s="1"/>
        <n x="104"/>
        <n x="78"/>
        <n x="128"/>
      </t>
    </mdx>
    <mdx n="0" f="v">
      <t c="8">
        <n x="1" s="1"/>
        <n x="2" s="1"/>
        <n x="5" s="1"/>
        <n x="3" s="1"/>
        <n x="4" s="1"/>
        <n x="104"/>
        <n x="7"/>
        <n x="115"/>
      </t>
    </mdx>
    <mdx n="0" f="v">
      <t c="8">
        <n x="1" s="1"/>
        <n x="2" s="1"/>
        <n x="5" s="1"/>
        <n x="3" s="1"/>
        <n x="4" s="1"/>
        <n x="104"/>
        <n x="7"/>
        <n x="45"/>
      </t>
    </mdx>
    <mdx n="0" f="v">
      <t c="8">
        <n x="1" s="1"/>
        <n x="2" s="1"/>
        <n x="5" s="1"/>
        <n x="3" s="1"/>
        <n x="4" s="1"/>
        <n x="104"/>
        <n x="22"/>
        <n x="155"/>
      </t>
    </mdx>
    <mdx n="0" f="v">
      <t c="8">
        <n x="1" s="1"/>
        <n x="2" s="1"/>
        <n x="5" s="1"/>
        <n x="3" s="1"/>
        <n x="4" s="1"/>
        <n x="104"/>
        <n x="30"/>
        <n x="58"/>
      </t>
    </mdx>
    <mdx n="0" f="v">
      <t c="8">
        <n x="1" s="1"/>
        <n x="2" s="1"/>
        <n x="5" s="1"/>
        <n x="3" s="1"/>
        <n x="4" s="1"/>
        <n x="104"/>
        <n x="149"/>
        <n x="59"/>
      </t>
    </mdx>
    <mdx n="0" f="v">
      <t c="8">
        <n x="1" s="1"/>
        <n x="2" s="1"/>
        <n x="5" s="1"/>
        <n x="3" s="1"/>
        <n x="4" s="1"/>
        <n x="104"/>
        <n x="156"/>
        <n x="56"/>
      </t>
    </mdx>
    <mdx n="0" f="v">
      <t c="8">
        <n x="1" s="1"/>
        <n x="2" s="1"/>
        <n x="5" s="1"/>
        <n x="3" s="1"/>
        <n x="4" s="1"/>
        <n x="104"/>
        <n x="156"/>
        <n x="127"/>
      </t>
    </mdx>
    <mdx n="0" f="v">
      <t c="8">
        <n x="1" s="1"/>
        <n x="2" s="1"/>
        <n x="5" s="1"/>
        <n x="3" s="1"/>
        <n x="4" s="1"/>
        <n x="104"/>
        <n x="158"/>
        <n x="76"/>
      </t>
    </mdx>
    <mdx n="0" f="v">
      <t c="8">
        <n x="1" s="1"/>
        <n x="2" s="1"/>
        <n x="5" s="1"/>
        <n x="3" s="1"/>
        <n x="4" s="1"/>
        <n x="104"/>
        <n x="161"/>
        <n x="102"/>
      </t>
    </mdx>
    <mdx n="0" f="v">
      <t c="8">
        <n x="1" s="1"/>
        <n x="2" s="1"/>
        <n x="5" s="1"/>
        <n x="3" s="1"/>
        <n x="4" s="1"/>
        <n x="104"/>
        <n x="161"/>
        <n x="52"/>
      </t>
    </mdx>
    <mdx n="0" f="v">
      <t c="8">
        <n x="1" s="1"/>
        <n x="2" s="1"/>
        <n x="5" s="1"/>
        <n x="3" s="1"/>
        <n x="4" s="1"/>
        <n x="104"/>
        <n x="66"/>
        <n x="76"/>
      </t>
    </mdx>
    <mdx n="0" f="v">
      <t c="8">
        <n x="1" s="1"/>
        <n x="2" s="1"/>
        <n x="5" s="1"/>
        <n x="3" s="1"/>
        <n x="4" s="1"/>
        <n x="104"/>
        <n x="37"/>
        <n x="154"/>
      </t>
    </mdx>
    <mdx n="0" f="v">
      <t c="8">
        <n x="1" s="1"/>
        <n x="2" s="1"/>
        <n x="5" s="1"/>
        <n x="3" s="1"/>
        <n x="4" s="1"/>
        <n x="104"/>
        <n x="71"/>
        <n x="62"/>
      </t>
    </mdx>
    <mdx n="0" f="v">
      <t c="8">
        <n x="1" s="1"/>
        <n x="2" s="1"/>
        <n x="5" s="1"/>
        <n x="3" s="1"/>
        <n x="4" s="1"/>
        <n x="104"/>
        <n x="71"/>
        <n x="141"/>
      </t>
    </mdx>
    <mdx n="0" f="v">
      <t c="8">
        <n x="1" s="1"/>
        <n x="2" s="1"/>
        <n x="5" s="1"/>
        <n x="3" s="1"/>
        <n x="4" s="1"/>
        <n x="104"/>
        <n x="80"/>
        <n x="85"/>
      </t>
    </mdx>
    <mdx n="0" f="v">
      <t c="8">
        <n x="1" s="1"/>
        <n x="2" s="1"/>
        <n x="5" s="1"/>
        <n x="3" s="1"/>
        <n x="4" s="1"/>
        <n x="104"/>
        <n x="89"/>
        <n x="115"/>
      </t>
    </mdx>
    <mdx n="0" f="v">
      <t c="8">
        <n x="1" s="1"/>
        <n x="2" s="1"/>
        <n x="5" s="1"/>
        <n x="3" s="1"/>
        <n x="4" s="1"/>
        <n x="104"/>
        <n x="89"/>
        <n x="54"/>
      </t>
    </mdx>
    <mdx n="0" f="v">
      <t c="8">
        <n x="1" s="1"/>
        <n x="2" s="1"/>
        <n x="5" s="1"/>
        <n x="3" s="1"/>
        <n x="4" s="1"/>
        <n x="104"/>
        <n x="98"/>
        <n x="85"/>
      </t>
    </mdx>
    <mdx n="0" f="v">
      <t c="8">
        <n x="1" s="1"/>
        <n x="2" s="1"/>
        <n x="5" s="1"/>
        <n x="3" s="1"/>
        <n x="4" s="1"/>
        <n x="104"/>
        <n x="111"/>
        <n x="48"/>
      </t>
    </mdx>
    <mdx n="0" f="v">
      <t c="8">
        <n x="1" s="1"/>
        <n x="2" s="1"/>
        <n x="5" s="1"/>
        <n x="3" s="1"/>
        <n x="4" s="1"/>
        <n x="104"/>
        <n x="117"/>
        <n x="63"/>
      </t>
    </mdx>
    <mdx n="0" f="v">
      <t c="8">
        <n x="1" s="1"/>
        <n x="2" s="1"/>
        <n x="5" s="1"/>
        <n x="3" s="1"/>
        <n x="4" s="1"/>
        <n x="104"/>
        <n x="117"/>
        <n x="148"/>
      </t>
    </mdx>
    <mdx n="0" f="v">
      <t c="8">
        <n x="1" s="1"/>
        <n x="2" s="1"/>
        <n x="5" s="1"/>
        <n x="3" s="1"/>
        <n x="4" s="1"/>
        <n x="104"/>
        <n x="130"/>
        <n x="94"/>
      </t>
    </mdx>
    <mdx n="0" f="v">
      <t c="8">
        <n x="1" s="1"/>
        <n x="2" s="1"/>
        <n x="5" s="1"/>
        <n x="3" s="1"/>
        <n x="4" s="1"/>
        <n x="104"/>
        <n x="8"/>
        <n x="107"/>
      </t>
    </mdx>
    <mdx n="0" f="v">
      <t c="8">
        <n x="1" s="1"/>
        <n x="2" s="1"/>
        <n x="5" s="1"/>
        <n x="3" s="1"/>
        <n x="4" s="1"/>
        <n x="104"/>
        <n x="8"/>
        <n x="69"/>
      </t>
    </mdx>
    <mdx n="0" f="v">
      <t c="8">
        <n x="1" s="1"/>
        <n x="2" s="1"/>
        <n x="5" s="1"/>
        <n x="3" s="1"/>
        <n x="4" s="1"/>
        <n x="104"/>
        <n x="23"/>
        <n x="94"/>
      </t>
    </mdx>
    <mdx n="0" f="v">
      <t c="8">
        <n x="1" s="1"/>
        <n x="2" s="1"/>
        <n x="5" s="1"/>
        <n x="3" s="1"/>
        <n x="4" s="1"/>
        <n x="104"/>
        <n x="17"/>
        <n x="160"/>
      </t>
    </mdx>
    <mdx n="0" f="v">
      <t c="8">
        <n x="1" s="1"/>
        <n x="2" s="1"/>
        <n x="5" s="1"/>
        <n x="3" s="1"/>
        <n x="4" s="1"/>
        <n x="104"/>
        <n x="126"/>
        <n x="75"/>
      </t>
    </mdx>
    <mdx n="0" f="v">
      <t c="8">
        <n x="1" s="1"/>
        <n x="2" s="1"/>
        <n x="5" s="1"/>
        <n x="3" s="1"/>
        <n x="4" s="1"/>
        <n x="104"/>
        <n x="126"/>
        <n x="87"/>
      </t>
    </mdx>
    <mdx n="0" f="v">
      <t c="8">
        <n x="1" s="1"/>
        <n x="2" s="1"/>
        <n x="5" s="1"/>
        <n x="3" s="1"/>
        <n x="4" s="1"/>
        <n x="104"/>
        <n x="138"/>
        <n x="103"/>
      </t>
    </mdx>
    <mdx n="0" f="v">
      <t c="8">
        <n x="1" s="1"/>
        <n x="2" s="1"/>
        <n x="5" s="1"/>
        <n x="3" s="1"/>
        <n x="4" s="1"/>
        <n x="104"/>
        <n x="143"/>
        <n x="108"/>
      </t>
    </mdx>
    <mdx n="0" f="v">
      <t c="8">
        <n x="1" s="1"/>
        <n x="2" s="1"/>
        <n x="5" s="1"/>
        <n x="3" s="1"/>
        <n x="4" s="1"/>
        <n x="104"/>
        <n x="143"/>
        <n x="52"/>
      </t>
    </mdx>
    <mdx n="0" f="v">
      <t c="8">
        <n x="1" s="1"/>
        <n x="2" s="1"/>
        <n x="5" s="1"/>
        <n x="3" s="1"/>
        <n x="4" s="1"/>
        <n x="104"/>
        <n x="64"/>
        <n x="19"/>
      </t>
    </mdx>
    <mdx n="0" f="v">
      <t c="8">
        <n x="1" s="1"/>
        <n x="2" s="1"/>
        <n x="5" s="1"/>
        <n x="3" s="1"/>
        <n x="4" s="1"/>
        <n x="104"/>
        <n x="64"/>
        <n x="20"/>
      </t>
    </mdx>
    <mdx n="0" f="v">
      <t c="8">
        <n x="1" s="1"/>
        <n x="2" s="1"/>
        <n x="5" s="1"/>
        <n x="3" s="1"/>
        <n x="4" s="1"/>
        <n x="104"/>
        <n x="64"/>
        <n x="33"/>
      </t>
    </mdx>
    <mdx n="0" f="v">
      <t c="8">
        <n x="1" s="1"/>
        <n x="2" s="1"/>
        <n x="5" s="1"/>
        <n x="3" s="1"/>
        <n x="4" s="1"/>
        <n x="104"/>
        <n x="150"/>
        <n x="93"/>
      </t>
    </mdx>
    <mdx n="0" f="v">
      <t c="8">
        <n x="1" s="1"/>
        <n x="2" s="1"/>
        <n x="5" s="1"/>
        <n x="3" s="1"/>
        <n x="4" s="1"/>
        <n x="104"/>
        <n x="150"/>
        <n x="162"/>
      </t>
    </mdx>
    <mdx n="0" f="v">
      <t c="8">
        <n x="1" s="1"/>
        <n x="2" s="1"/>
        <n x="5" s="1"/>
        <n x="3" s="1"/>
        <n x="4" s="1"/>
        <n x="104"/>
        <n x="150"/>
        <n x="87"/>
      </t>
    </mdx>
    <mdx n="0" f="v">
      <t c="8">
        <n x="1" s="1"/>
        <n x="2" s="1"/>
        <n x="5" s="1"/>
        <n x="3" s="1"/>
        <n x="4" s="1"/>
        <n x="104"/>
        <n x="38"/>
        <n x="63"/>
      </t>
    </mdx>
    <mdx n="0" f="v">
      <t c="8">
        <n x="1" s="1"/>
        <n x="2" s="1"/>
        <n x="5" s="1"/>
        <n x="3" s="1"/>
        <n x="4" s="1"/>
        <n x="104"/>
        <n x="38"/>
        <n x="154"/>
      </t>
    </mdx>
    <mdx n="0" f="v">
      <t c="8">
        <n x="1" s="1"/>
        <n x="2" s="1"/>
        <n x="5" s="1"/>
        <n x="3" s="1"/>
        <n x="4" s="1"/>
        <n x="104"/>
        <n x="38"/>
        <n x="127"/>
      </t>
    </mdx>
    <mdx n="0" f="v">
      <t c="8">
        <n x="1" s="1"/>
        <n x="2" s="1"/>
        <n x="5" s="1"/>
        <n x="3" s="1"/>
        <n x="4" s="1"/>
        <n x="104"/>
        <n x="46"/>
        <n x="164" s="1"/>
      </t>
    </mdx>
    <mdx n="0" f="v">
      <t c="8">
        <n x="1" s="1"/>
        <n x="2" s="1"/>
        <n x="5" s="1"/>
        <n x="3" s="1"/>
        <n x="4" s="1"/>
        <n x="104"/>
        <n x="46"/>
        <n x="128"/>
      </t>
    </mdx>
    <mdx n="0" f="v">
      <t c="8">
        <n x="1" s="1"/>
        <n x="2" s="1"/>
        <n x="5" s="1"/>
        <n x="3" s="1"/>
        <n x="4" s="1"/>
        <n x="104"/>
        <n x="46"/>
        <n x="116"/>
      </t>
    </mdx>
    <mdx n="0" f="v">
      <t c="8">
        <n x="1" s="1"/>
        <n x="2" s="1"/>
        <n x="5" s="1"/>
        <n x="3" s="1"/>
        <n x="4" s="1"/>
        <n x="104"/>
        <n x="46"/>
        <n x="77"/>
      </t>
    </mdx>
    <mdx n="0" f="v">
      <t c="8">
        <n x="1" s="1"/>
        <n x="2" s="1"/>
        <n x="5" s="1"/>
        <n x="3" s="1"/>
        <n x="4" s="1"/>
        <n x="104"/>
        <n x="50"/>
        <n x="108"/>
      </t>
    </mdx>
    <mdx n="0" f="v">
      <t c="8">
        <n x="1" s="1"/>
        <n x="2" s="1"/>
        <n x="5" s="1"/>
        <n x="3" s="1"/>
        <n x="4" s="1"/>
        <n x="104"/>
        <n x="50"/>
        <n x="94"/>
      </t>
    </mdx>
    <mdx n="0" f="v">
      <t c="8">
        <n x="1" s="1"/>
        <n x="2" s="1"/>
        <n x="5" s="1"/>
        <n x="3" s="1"/>
        <n x="4" s="1"/>
        <n x="104"/>
        <n x="50"/>
        <n x="54"/>
      </t>
    </mdx>
    <mdx n="0" f="v">
      <t c="8">
        <n x="1" s="1"/>
        <n x="2" s="1"/>
        <n x="5" s="1"/>
        <n x="3" s="1"/>
        <n x="4" s="1"/>
        <n x="104"/>
        <n x="61"/>
        <n x="102"/>
      </t>
    </mdx>
    <mdx n="0" f="v">
      <t c="8">
        <n x="1" s="1"/>
        <n x="2" s="1"/>
        <n x="5" s="1"/>
        <n x="3" s="1"/>
        <n x="4" s="1"/>
        <n x="104"/>
        <n x="61"/>
        <n x="58"/>
      </t>
    </mdx>
    <mdx n="0" f="v">
      <t c="8">
        <n x="1" s="1"/>
        <n x="2" s="1"/>
        <n x="5" s="1"/>
        <n x="3" s="1"/>
        <n x="4" s="1"/>
        <n x="104"/>
        <n x="61"/>
        <n x="155"/>
      </t>
    </mdx>
    <mdx n="0" f="v">
      <t c="8">
        <n x="1" s="1"/>
        <n x="2" s="1"/>
        <n x="5" s="1"/>
        <n x="3" s="1"/>
        <n x="4" s="1"/>
        <n x="104"/>
        <n x="67"/>
        <n x="13"/>
      </t>
    </mdx>
    <mdx n="0" f="v">
      <t c="8">
        <n x="1" s="1"/>
        <n x="2" s="1"/>
        <n x="5" s="1"/>
        <n x="3" s="1"/>
        <n x="4" s="1"/>
        <n x="104"/>
        <n x="67"/>
        <n x="14"/>
      </t>
    </mdx>
    <mdx n="0" f="v">
      <t c="8">
        <n x="1" s="1"/>
        <n x="2" s="1"/>
        <n x="5" s="1"/>
        <n x="3" s="1"/>
        <n x="4" s="1"/>
        <n x="104"/>
        <n x="67"/>
        <n x="15"/>
      </t>
    </mdx>
    <mdx n="0" f="v">
      <t c="8">
        <n x="1" s="1"/>
        <n x="2" s="1"/>
        <n x="5" s="1"/>
        <n x="3" s="1"/>
        <n x="4" s="1"/>
        <n x="104"/>
        <n x="72"/>
        <n x="75"/>
      </t>
    </mdx>
    <mdx n="0" f="v">
      <t c="8">
        <n x="1" s="1"/>
        <n x="2" s="1"/>
        <n x="5" s="1"/>
        <n x="3" s="1"/>
        <n x="4" s="1"/>
        <n x="104"/>
        <n x="72"/>
        <n x="48"/>
      </t>
    </mdx>
    <mdx n="0" f="v">
      <t c="8">
        <n x="1" s="1"/>
        <n x="2" s="1"/>
        <n x="5" s="1"/>
        <n x="3" s="1"/>
        <n x="4" s="1"/>
        <n x="104"/>
        <n x="72"/>
        <n x="141"/>
      </t>
    </mdx>
    <mdx n="0" f="v">
      <t c="8">
        <n x="1" s="1"/>
        <n x="2" s="1"/>
        <n x="5" s="1"/>
        <n x="3" s="1"/>
        <n x="4" s="1"/>
        <n x="104"/>
        <n x="81"/>
        <n x="56"/>
      </t>
    </mdx>
    <mdx n="0" f="v">
      <t c="8">
        <n x="1" s="1"/>
        <n x="2" s="1"/>
        <n x="5" s="1"/>
        <n x="3" s="1"/>
        <n x="4" s="1"/>
        <n x="104"/>
        <n x="81"/>
        <n x="147"/>
      </t>
    </mdx>
    <mdx n="0" f="v">
      <t c="8">
        <n x="1" s="1"/>
        <n x="2" s="1"/>
        <n x="5" s="1"/>
        <n x="3" s="1"/>
        <n x="4" s="1"/>
        <n x="104"/>
        <n x="81"/>
        <n x="119"/>
      </t>
    </mdx>
    <mdx n="0" f="v">
      <t c="8">
        <n x="1" s="1"/>
        <n x="2" s="1"/>
        <n x="5" s="1"/>
        <n x="3" s="1"/>
        <n x="4" s="1"/>
        <n x="104"/>
        <n x="81"/>
        <n x="86"/>
      </t>
    </mdx>
    <mdx n="0" f="v">
      <t c="8">
        <n x="1" s="1"/>
        <n x="2" s="1"/>
        <n x="5" s="1"/>
        <n x="3" s="1"/>
        <n x="4" s="1"/>
        <n x="104"/>
        <n x="90"/>
        <n x="109"/>
      </t>
    </mdx>
    <mdx n="0" f="v">
      <t c="8">
        <n x="1" s="1"/>
        <n x="2" s="1"/>
        <n x="5" s="1"/>
        <n x="3" s="1"/>
        <n x="4" s="1"/>
        <n x="104"/>
        <n x="90"/>
        <n x="103"/>
      </t>
    </mdx>
    <mdx n="0" f="v">
      <t c="8">
        <n x="1" s="1"/>
        <n x="2" s="1"/>
        <n x="5" s="1"/>
        <n x="3" s="1"/>
        <n x="4" s="1"/>
        <n x="104"/>
        <n x="90"/>
        <n x="69"/>
      </t>
    </mdx>
    <mdx n="0" f="v">
      <t c="8">
        <n x="1" s="1"/>
        <n x="2" s="1"/>
        <n x="5" s="1"/>
        <n x="3" s="1"/>
        <n x="4" s="1"/>
        <n x="104"/>
        <n x="9"/>
        <n x="115"/>
      </t>
    </mdx>
    <mdx n="0" f="v">
      <t c="8">
        <n x="1" s="1"/>
        <n x="2" s="1"/>
        <n x="5" s="1"/>
        <n x="3" s="1"/>
        <n x="4" s="1"/>
        <n x="104"/>
        <n x="163" s="1"/>
        <n x="122"/>
      </t>
    </mdx>
    <mdx n="0" f="v">
      <t c="8">
        <n x="1" s="1"/>
        <n x="2" s="1"/>
        <n x="5" s="1"/>
        <n x="3" s="1"/>
        <n x="4" s="1"/>
        <n x="104"/>
        <n x="60"/>
        <n x="94"/>
      </t>
    </mdx>
    <mdx n="0" f="v">
      <t c="8">
        <n x="1" s="1"/>
        <n x="2" s="1"/>
        <n x="5" s="1"/>
        <n x="3" s="1"/>
        <n x="4" s="1"/>
        <n x="104"/>
        <n x="6"/>
        <n x="109"/>
      </t>
    </mdx>
    <mdx n="0" f="v">
      <t c="8">
        <n x="1" s="1"/>
        <n x="2" s="1"/>
        <n x="5" s="1"/>
        <n x="3" s="1"/>
        <n x="4" s="1"/>
        <n x="104"/>
        <n x="21"/>
        <n x="19"/>
      </t>
    </mdx>
    <mdx n="0" f="v">
      <t c="8">
        <n x="1" s="1"/>
        <n x="2" s="1"/>
        <n x="5" s="1"/>
        <n x="3" s="1"/>
        <n x="4" s="1"/>
        <n x="104"/>
        <n x="34"/>
        <n x="75"/>
      </t>
    </mdx>
    <mdx n="0" f="v">
      <t c="8">
        <n x="1" s="1"/>
        <n x="2" s="1"/>
        <n x="5" s="1"/>
        <n x="3" s="1"/>
        <n x="4" s="1"/>
        <n x="104"/>
        <n x="34"/>
        <n x="16"/>
      </t>
    </mdx>
    <mdx n="0" f="v">
      <t c="8">
        <n x="1" s="1"/>
        <n x="2" s="1"/>
        <n x="5" s="1"/>
        <n x="3" s="1"/>
        <n x="4" s="1"/>
        <n x="104"/>
        <n x="65"/>
        <n x="127"/>
      </t>
    </mdx>
    <mdx n="0" f="v">
      <t c="8">
        <n x="1" s="1"/>
        <n x="2" s="1"/>
        <n x="5" s="1"/>
        <n x="3" s="1"/>
        <n x="4" s="1"/>
        <n x="104"/>
        <n x="70"/>
        <n x="103"/>
      </t>
    </mdx>
    <mdx n="0" f="v">
      <t c="8">
        <n x="1" s="1"/>
        <n x="2" s="1"/>
        <n x="5" s="1"/>
        <n x="3" s="1"/>
        <n x="4" s="1"/>
        <n x="104"/>
        <n x="79"/>
        <n x="43"/>
      </t>
    </mdx>
    <mdx n="0" f="v">
      <t c="8">
        <n x="1" s="1"/>
        <n x="2" s="1"/>
        <n x="5" s="1"/>
        <n x="3" s="1"/>
        <n x="4" s="1"/>
        <n x="104"/>
        <n x="88"/>
        <n x="102"/>
      </t>
    </mdx>
    <mdx n="0" f="v">
      <t c="8">
        <n x="1" s="1"/>
        <n x="2" s="1"/>
        <n x="5" s="1"/>
        <n x="3" s="1"/>
        <n x="4" s="1"/>
        <n x="104"/>
        <n x="97"/>
        <n x="84"/>
      </t>
    </mdx>
    <mdx n="0" f="v">
      <t c="8">
        <n x="1" s="1"/>
        <n x="2" s="1"/>
        <n x="5" s="1"/>
        <n x="3" s="1"/>
        <n x="4" s="1"/>
        <n x="104"/>
        <n x="97"/>
        <n x="33"/>
      </t>
    </mdx>
    <mdx n="0" f="v">
      <t c="8">
        <n x="1" s="1"/>
        <n x="2" s="1"/>
        <n x="5" s="1"/>
        <n x="3" s="1"/>
        <n x="4" s="1"/>
        <n x="104"/>
        <n x="36"/>
        <n x="141"/>
      </t>
    </mdx>
    <mdx n="0" f="v">
      <t c="8">
        <n x="1" s="1"/>
        <n x="2" s="1"/>
        <n x="5" s="1"/>
        <n x="3" s="1"/>
        <n x="4" s="1"/>
        <n x="104"/>
        <n x="110"/>
        <n x="44"/>
      </t>
    </mdx>
    <mdx n="0" f="v">
      <t c="8">
        <n x="1" s="1"/>
        <n x="2" s="1"/>
        <n x="5" s="1"/>
        <n x="3" s="1"/>
        <n x="4" s="1"/>
        <n x="104"/>
        <n x="105"/>
        <n x="128"/>
      </t>
    </mdx>
    <mdx n="0" f="v">
      <t c="8">
        <n x="1" s="1"/>
        <n x="2" s="1"/>
        <n x="5" s="1"/>
        <n x="3" s="1"/>
        <n x="4" s="1"/>
        <n x="104"/>
        <n x="120"/>
        <n x="115"/>
      </t>
    </mdx>
    <mdx n="0" f="v">
      <t c="8">
        <n x="1" s="1"/>
        <n x="2" s="1"/>
        <n x="5" s="1"/>
        <n x="3" s="1"/>
        <n x="4" s="1"/>
        <n x="104"/>
        <n x="133"/>
        <n x="93"/>
      </t>
    </mdx>
    <mdx n="0" f="v">
      <t c="8">
        <n x="1" s="1"/>
        <n x="2" s="1"/>
        <n x="5" s="1"/>
        <n x="3" s="1"/>
        <n x="4" s="1"/>
        <n x="104"/>
        <n x="133"/>
        <n x="155"/>
      </t>
    </mdx>
    <mdx n="0" f="v">
      <t c="8">
        <n x="1" s="1"/>
        <n x="2" s="1"/>
        <n x="5" s="1"/>
        <n x="3" s="1"/>
        <n x="4" s="1"/>
        <n x="104"/>
        <n x="137"/>
        <n x="148"/>
      </t>
    </mdx>
    <mdx n="0" f="v">
      <t c="8">
        <n x="1" s="1"/>
        <n x="2" s="1"/>
        <n x="5" s="1"/>
        <n x="3" s="1"/>
        <n x="4" s="1"/>
        <n x="104"/>
        <n x="142"/>
        <n x="116"/>
      </t>
    </mdx>
    <mdx n="0" f="v">
      <t c="8">
        <n x="1" s="1"/>
        <n x="2" s="1"/>
        <n x="5" s="1"/>
        <n x="3" s="1"/>
        <n x="4" s="1"/>
        <n x="104"/>
        <n x="78"/>
        <n x="147"/>
      </t>
    </mdx>
    <mdx n="0" f="v">
      <t c="8">
        <n x="1" s="1"/>
        <n x="2" s="1"/>
        <n x="5" s="1"/>
        <n x="3" s="1"/>
        <n x="4" s="1"/>
        <n x="104"/>
        <n x="7"/>
        <n x="107"/>
      </t>
    </mdx>
    <mdx n="0" f="v">
      <t c="8">
        <n x="1" s="1"/>
        <n x="2" s="1"/>
        <n x="5" s="1"/>
        <n x="3" s="1"/>
        <n x="4" s="1"/>
        <n x="104"/>
        <n x="22"/>
        <n x="13"/>
      </t>
    </mdx>
    <mdx n="0" f="v">
      <t c="8">
        <n x="1" s="1"/>
        <n x="2" s="1"/>
        <n x="5" s="1"/>
        <n x="3" s="1"/>
        <n x="4" s="1"/>
        <n x="104"/>
        <n x="22"/>
        <n x="49"/>
      </t>
    </mdx>
    <mdx n="0" f="v">
      <t c="8">
        <n x="1" s="1"/>
        <n x="2" s="1"/>
        <n x="5" s="1"/>
        <n x="3" s="1"/>
        <n x="4" s="1"/>
        <n x="104"/>
        <n x="30"/>
        <n x="141"/>
      </t>
    </mdx>
    <mdx n="0" f="v">
      <t c="8">
        <n x="1" s="1"/>
        <n x="2" s="1"/>
        <n x="5" s="1"/>
        <n x="3" s="1"/>
        <n x="4" s="1"/>
        <n x="104"/>
        <n x="149"/>
        <n x="154"/>
      </t>
    </mdx>
    <mdx n="0" f="v">
      <t c="8">
        <n x="1" s="1"/>
        <n x="2" s="1"/>
        <n x="5" s="1"/>
        <n x="3" s="1"/>
        <n x="4" s="1"/>
        <n x="104"/>
        <n x="156"/>
        <n x="62"/>
      </t>
    </mdx>
    <mdx n="0" f="v">
      <t c="8">
        <n x="1" s="1"/>
        <n x="2" s="1"/>
        <n x="5" s="1"/>
        <n x="3" s="1"/>
        <n x="4" s="1"/>
        <n x="104"/>
        <n x="156"/>
        <n x="141"/>
      </t>
    </mdx>
    <mdx n="0" f="v">
      <t c="8">
        <n x="1" s="1"/>
        <n x="2" s="1"/>
        <n x="5" s="1"/>
        <n x="3" s="1"/>
        <n x="4" s="1"/>
        <n x="104"/>
        <n x="158"/>
        <n x="85"/>
      </t>
    </mdx>
    <mdx n="0" f="v">
      <t c="8">
        <n x="1" s="1"/>
        <n x="2" s="1"/>
        <n x="5" s="1"/>
        <n x="3" s="1"/>
        <n x="4" s="1"/>
        <n x="104"/>
        <n x="161"/>
        <n x="115"/>
      </t>
    </mdx>
    <mdx n="0" f="v">
      <t c="8">
        <n x="1" s="1"/>
        <n x="2" s="1"/>
        <n x="5" s="1"/>
        <n x="3" s="1"/>
        <n x="4" s="1"/>
        <n x="104"/>
        <n x="161"/>
        <n x="54"/>
      </t>
    </mdx>
    <mdx n="0" f="v">
      <t c="8">
        <n x="1" s="1"/>
        <n x="2" s="1"/>
        <n x="5" s="1"/>
        <n x="3" s="1"/>
        <n x="4" s="1"/>
        <n x="104"/>
        <n x="66"/>
        <n x="148"/>
      </t>
    </mdx>
    <mdx n="0" f="v">
      <t c="8">
        <n x="1" s="1"/>
        <n x="2" s="1"/>
        <n x="5" s="1"/>
        <n x="3" s="1"/>
        <n x="4" s="1"/>
        <n x="104"/>
        <n x="37"/>
        <n x="48"/>
      </t>
    </mdx>
    <mdx n="0" f="v">
      <t c="8">
        <n x="1" s="1"/>
        <n x="2" s="1"/>
        <n x="5" s="1"/>
        <n x="3" s="1"/>
        <n x="4" s="1"/>
        <n x="104"/>
        <n x="71"/>
        <n x="63"/>
      </t>
    </mdx>
    <mdx n="0" f="v">
      <t c="8">
        <n x="1" s="1"/>
        <n x="2" s="1"/>
        <n x="5" s="1"/>
        <n x="3" s="1"/>
        <n x="4" s="1"/>
        <n x="104"/>
        <n x="71"/>
        <n x="148"/>
      </t>
    </mdx>
    <mdx n="0" f="v">
      <t c="8">
        <n x="1" s="1"/>
        <n x="2" s="1"/>
        <n x="5" s="1"/>
        <n x="3" s="1"/>
        <n x="4" s="1"/>
        <n x="104"/>
        <n x="80"/>
        <n x="94"/>
      </t>
    </mdx>
    <mdx n="0" f="v">
      <t c="8">
        <n x="1" s="1"/>
        <n x="2" s="1"/>
        <n x="5" s="1"/>
        <n x="3" s="1"/>
        <n x="4" s="1"/>
        <n x="104"/>
        <n x="89"/>
        <n x="107"/>
      </t>
    </mdx>
    <mdx n="0" f="v">
      <t c="8">
        <n x="1" s="1"/>
        <n x="2" s="1"/>
        <n x="5" s="1"/>
        <n x="3" s="1"/>
        <n x="4" s="1"/>
        <n x="104"/>
        <n x="89"/>
        <n x="69"/>
      </t>
    </mdx>
    <mdx n="0" f="v">
      <t c="8">
        <n x="1" s="1"/>
        <n x="2" s="1"/>
        <n x="5" s="1"/>
        <n x="3" s="1"/>
        <n x="4" s="1"/>
        <n x="104"/>
        <n x="98"/>
        <n x="87"/>
      </t>
    </mdx>
    <mdx n="0" f="v">
      <t c="8">
        <n x="1" s="1"/>
        <n x="2" s="1"/>
        <n x="5" s="1"/>
        <n x="3" s="1"/>
        <n x="4" s="1"/>
        <n x="104"/>
        <n x="111"/>
        <n x="160"/>
      </t>
    </mdx>
    <mdx n="0" f="v">
      <t c="8">
        <n x="1" s="1"/>
        <n x="2" s="1"/>
        <n x="5" s="1"/>
        <n x="3" s="1"/>
        <n x="4" s="1"/>
        <n x="104"/>
        <n x="117"/>
        <n x="75"/>
      </t>
    </mdx>
    <mdx n="0" f="v">
      <t c="8">
        <n x="1" s="1"/>
        <n x="2" s="1"/>
        <n x="5" s="1"/>
        <n x="3" s="1"/>
        <n x="4" s="1"/>
        <n x="104"/>
        <n x="117"/>
        <n x="87"/>
      </t>
    </mdx>
    <mdx n="0" f="v">
      <t c="8">
        <n x="1" s="1"/>
        <n x="2" s="1"/>
        <n x="5" s="1"/>
        <n x="3" s="1"/>
        <n x="4" s="1"/>
        <n x="104"/>
        <n x="130"/>
        <n x="103"/>
      </t>
    </mdx>
    <mdx n="0" f="v">
      <t c="8">
        <n x="1" s="1"/>
        <n x="2" s="1"/>
        <n x="5" s="1"/>
        <n x="3" s="1"/>
        <n x="4" s="1"/>
        <n x="104"/>
        <n x="8"/>
        <n x="108"/>
      </t>
    </mdx>
    <mdx n="0" f="v">
      <t c="8">
        <n x="1" s="1"/>
        <n x="2" s="1"/>
        <n x="5" s="1"/>
        <n x="3" s="1"/>
        <n x="4" s="1"/>
        <n x="104"/>
        <n x="8"/>
        <n x="45"/>
      </t>
    </mdx>
    <mdx n="0" f="v">
      <t c="8">
        <n x="1" s="1"/>
        <n x="2" s="1"/>
        <n x="5" s="1"/>
        <n x="3" s="1"/>
        <n x="4" s="1"/>
        <n x="104"/>
        <n x="23"/>
        <n x="15"/>
      </t>
    </mdx>
    <mdx n="0" f="v">
      <t c="8">
        <n x="1" s="1"/>
        <n x="2" s="1"/>
        <n x="5" s="1"/>
        <n x="3" s="1"/>
        <n x="4" s="1"/>
        <n x="104"/>
        <n x="17"/>
        <n x="162"/>
      </t>
    </mdx>
    <mdx n="0" f="v">
      <t c="8">
        <n x="1" s="1"/>
        <n x="2" s="1"/>
        <n x="5" s="1"/>
        <n x="3" s="1"/>
        <n x="4" s="1"/>
        <n x="104"/>
        <n x="126"/>
        <n x="84"/>
      </t>
    </mdx>
    <mdx n="0" f="v">
      <t c="8">
        <n x="1" s="1"/>
        <n x="2" s="1"/>
        <n x="5" s="1"/>
        <n x="3" s="1"/>
        <n x="4" s="1"/>
        <n x="104"/>
        <n x="126"/>
        <n x="15"/>
      </t>
    </mdx>
    <mdx n="0" f="v">
      <t c="8">
        <n x="1" s="1"/>
        <n x="2" s="1"/>
        <n x="5" s="1"/>
        <n x="3" s="1"/>
        <n x="4" s="1"/>
        <n x="104"/>
        <n x="138"/>
        <n x="44"/>
      </t>
    </mdx>
    <mdx n="0" f="v">
      <t c="8">
        <n x="1" s="1"/>
        <n x="2" s="1"/>
        <n x="5" s="1"/>
        <n x="3" s="1"/>
        <n x="4" s="1"/>
        <n x="104"/>
        <n x="143"/>
        <n x="109"/>
      </t>
    </mdx>
    <mdx n="0" f="v">
      <t c="8">
        <n x="1" s="1"/>
        <n x="2" s="1"/>
        <n x="5" s="1"/>
        <n x="3" s="1"/>
        <n x="4" s="1"/>
        <n x="104"/>
        <n x="143"/>
        <n x="54"/>
      </t>
    </mdx>
    <mdx n="0" f="v">
      <t c="8">
        <n x="1" s="1"/>
        <n x="2" s="1"/>
        <n x="5" s="1"/>
        <n x="3" s="1"/>
        <n x="4" s="1"/>
        <n x="104"/>
        <n x="163" s="1"/>
        <n x="127"/>
      </t>
    </mdx>
    <mdx n="0" f="v">
      <t c="8">
        <n x="1" s="1"/>
        <n x="2" s="1"/>
        <n x="5" s="1"/>
        <n x="3" s="1"/>
        <n x="4" s="1"/>
        <n x="104"/>
        <n x="60"/>
        <n x="103"/>
      </t>
    </mdx>
    <mdx n="0" f="v">
      <t c="8">
        <n x="1" s="1"/>
        <n x="2" s="1"/>
        <n x="5" s="1"/>
        <n x="3" s="1"/>
        <n x="4" s="1"/>
        <n x="104"/>
        <n x="6"/>
        <n x="43"/>
      </t>
    </mdx>
    <mdx n="0" f="v">
      <t c="8">
        <n x="1" s="1"/>
        <n x="2" s="1"/>
        <n x="5" s="1"/>
        <n x="3" s="1"/>
        <n x="4" s="1"/>
        <n x="104"/>
        <n x="21"/>
        <n x="102"/>
      </t>
    </mdx>
    <mdx n="0" f="v">
      <t c="8">
        <n x="1" s="1"/>
        <n x="2" s="1"/>
        <n x="5" s="1"/>
        <n x="3" s="1"/>
        <n x="4" s="1"/>
        <n x="104"/>
        <n x="34"/>
        <n x="84"/>
      </t>
    </mdx>
    <mdx n="0" f="v">
      <t c="8">
        <n x="1" s="1"/>
        <n x="2" s="1"/>
        <n x="5" s="1"/>
        <n x="3" s="1"/>
        <n x="4" s="1"/>
        <n x="104"/>
        <n x="34"/>
        <n x="33"/>
      </t>
    </mdx>
    <mdx n="0" f="v">
      <t c="8">
        <n x="1" s="1"/>
        <n x="2" s="1"/>
        <n x="5" s="1"/>
        <n x="3" s="1"/>
        <n x="4" s="1"/>
        <n x="104"/>
        <n x="65"/>
        <n x="141"/>
      </t>
    </mdx>
    <mdx n="0" f="v">
      <t c="8">
        <n x="1" s="1"/>
        <n x="2" s="1"/>
        <n x="5" s="1"/>
        <n x="3" s="1"/>
        <n x="4" s="1"/>
        <n x="104"/>
        <n x="70"/>
        <n x="44"/>
      </t>
    </mdx>
    <mdx n="0" f="v">
      <t c="8">
        <n x="1" s="1"/>
        <n x="2" s="1"/>
        <n x="5" s="1"/>
        <n x="3" s="1"/>
        <n x="4" s="1"/>
        <n x="104"/>
        <n x="79"/>
        <n x="128"/>
      </t>
    </mdx>
    <mdx n="0" f="v">
      <t c="8">
        <n x="1" s="1"/>
        <n x="2" s="1"/>
        <n x="5" s="1"/>
        <n x="3" s="1"/>
        <n x="4" s="1"/>
        <n x="104"/>
        <n x="88"/>
        <n x="115"/>
      </t>
    </mdx>
    <mdx n="0" f="v">
      <t c="8">
        <n x="1" s="1"/>
        <n x="2" s="1"/>
        <n x="5" s="1"/>
        <n x="3" s="1"/>
        <n x="4" s="1"/>
        <n x="104"/>
        <n x="97"/>
        <n x="93"/>
      </t>
    </mdx>
    <mdx n="0" f="v">
      <t c="8">
        <n x="1" s="1"/>
        <n x="2" s="1"/>
        <n x="5" s="1"/>
        <n x="3" s="1"/>
        <n x="4" s="1"/>
        <n x="104"/>
        <n x="97"/>
        <n x="155"/>
      </t>
    </mdx>
    <mdx n="0" f="v">
      <t c="8">
        <n x="1" s="1"/>
        <n x="2" s="1"/>
        <n x="5" s="1"/>
        <n x="3" s="1"/>
        <n x="4" s="1"/>
        <n x="104"/>
        <n x="36"/>
        <n x="148"/>
      </t>
    </mdx>
    <mdx n="0" f="v">
      <t c="8">
        <n x="1" s="1"/>
        <n x="2" s="1"/>
        <n x="5" s="1"/>
        <n x="3" s="1"/>
        <n x="4" s="1"/>
        <n x="104"/>
        <n x="110"/>
        <n x="116"/>
      </t>
    </mdx>
    <mdx n="0" f="v">
      <t c="8">
        <n x="1" s="1"/>
        <n x="2" s="1"/>
        <n x="5" s="1"/>
        <n x="3" s="1"/>
        <n x="4" s="1"/>
        <n x="104"/>
        <n x="105"/>
        <n x="147"/>
      </t>
    </mdx>
    <mdx n="0" f="v">
      <t c="8">
        <n x="1" s="1"/>
        <n x="2" s="1"/>
        <n x="5" s="1"/>
        <n x="3" s="1"/>
        <n x="4" s="1"/>
        <n x="104"/>
        <n x="120"/>
        <n x="107"/>
      </t>
    </mdx>
    <mdx n="0" f="v">
      <t c="8">
        <n x="1" s="1"/>
        <n x="2" s="1"/>
        <n x="5" s="1"/>
        <n x="3" s="1"/>
        <n x="4" s="1"/>
        <n x="104"/>
        <n x="133"/>
        <n x="13"/>
      </t>
    </mdx>
    <mdx n="0" f="v">
      <t c="8">
        <n x="1" s="1"/>
        <n x="2" s="1"/>
        <n x="5" s="1"/>
        <n x="3" s="1"/>
        <n x="4" s="1"/>
        <n x="104"/>
        <n x="133"/>
        <n x="49"/>
      </t>
    </mdx>
    <mdx n="0" f="v">
      <t c="8">
        <n x="1" s="1"/>
        <n x="2" s="1"/>
        <n x="5" s="1"/>
        <n x="3" s="1"/>
        <n x="4" s="1"/>
        <n x="104"/>
        <n x="137"/>
        <n x="87"/>
      </t>
    </mdx>
    <mdx n="0" f="v">
      <t c="8">
        <n x="1" s="1"/>
        <n x="2" s="1"/>
        <n x="5" s="1"/>
        <n x="3" s="1"/>
        <n x="4" s="1"/>
        <n x="104"/>
        <n x="142"/>
        <n x="119"/>
      </t>
    </mdx>
    <mdx n="0" f="v">
      <t c="8">
        <n x="1" s="1"/>
        <n x="2" s="1"/>
        <n x="5" s="1"/>
        <n x="3" s="1"/>
        <n x="4" s="1"/>
        <n x="104"/>
        <n x="78"/>
        <n x="59"/>
      </t>
    </mdx>
    <mdx n="0" f="v">
      <t c="8">
        <n x="1" s="1"/>
        <n x="2" s="1"/>
        <n x="5" s="1"/>
        <n x="3" s="1"/>
        <n x="4" s="1"/>
        <n x="104"/>
        <n x="7"/>
        <n x="108"/>
      </t>
    </mdx>
    <mdx n="0" f="v">
      <t c="8">
        <n x="1" s="1"/>
        <n x="2" s="1"/>
        <n x="5" s="1"/>
        <n x="3" s="1"/>
        <n x="4" s="1"/>
        <n x="104"/>
        <n x="22"/>
        <n x="28"/>
      </t>
    </mdx>
    <mdx n="0" f="v">
      <t c="8">
        <n x="1" s="1"/>
        <n x="2" s="1"/>
        <n x="5" s="1"/>
        <n x="3" s="1"/>
        <n x="4" s="1"/>
        <n x="104"/>
        <n x="22"/>
        <n x="52"/>
      </t>
    </mdx>
    <mdx n="0" f="v">
      <t c="8">
        <n x="1" s="1"/>
        <n x="2" s="1"/>
        <n x="5" s="1"/>
        <n x="3" s="1"/>
        <n x="4" s="1"/>
        <n x="104"/>
        <n x="30"/>
        <n x="148"/>
      </t>
    </mdx>
    <mdx n="0" f="v">
      <t c="8">
        <n x="1" s="1"/>
        <n x="2" s="1"/>
        <n x="5" s="1"/>
        <n x="3" s="1"/>
        <n x="4" s="1"/>
        <n x="104"/>
        <n x="149"/>
        <n x="48"/>
      </t>
    </mdx>
    <mdx n="0" f="v">
      <t c="8">
        <n x="1" s="1"/>
        <n x="2" s="1"/>
        <n x="5" s="1"/>
        <n x="3" s="1"/>
        <n x="4" s="1"/>
        <n x="104"/>
        <n x="156"/>
        <n x="63"/>
      </t>
    </mdx>
    <mdx n="0" f="v">
      <t c="8">
        <n x="1" s="1"/>
        <n x="2" s="1"/>
        <n x="5" s="1"/>
        <n x="3" s="1"/>
        <n x="4" s="1"/>
        <n x="104"/>
        <n x="156"/>
        <n x="69"/>
      </t>
    </mdx>
    <mdx n="0" f="v">
      <t c="8">
        <n x="1" s="1"/>
        <n x="2" s="1"/>
        <n x="5" s="1"/>
        <n x="3" s="1"/>
        <n x="4" s="1"/>
        <n x="104"/>
        <n x="158"/>
        <n x="94"/>
      </t>
    </mdx>
    <mdx n="0" f="v">
      <t c="8">
        <n x="1" s="1"/>
        <n x="2" s="1"/>
        <n x="5" s="1"/>
        <n x="3" s="1"/>
        <n x="4" s="1"/>
        <n x="104"/>
        <n x="161"/>
        <n x="107"/>
      </t>
    </mdx>
    <mdx n="0" f="v">
      <t c="8">
        <n x="1" s="1"/>
        <n x="2" s="1"/>
        <n x="5" s="1"/>
        <n x="3" s="1"/>
        <n x="4" s="1"/>
        <n x="104"/>
        <n x="161"/>
        <n x="69"/>
      </t>
    </mdx>
    <mdx n="0" f="v">
      <t c="8">
        <n x="1" s="1"/>
        <n x="2" s="1"/>
        <n x="5" s="1"/>
        <n x="3" s="1"/>
        <n x="4" s="1"/>
        <n x="104"/>
        <n x="66"/>
        <n x="87"/>
      </t>
    </mdx>
    <mdx n="0" f="v">
      <t c="8">
        <n x="1" s="1"/>
        <n x="2" s="1"/>
        <n x="5" s="1"/>
        <n x="3" s="1"/>
        <n x="4" s="1"/>
        <n x="104"/>
        <n x="37"/>
        <n x="160"/>
      </t>
    </mdx>
    <mdx n="0" f="v">
      <t c="8">
        <n x="1" s="1"/>
        <n x="2" s="1"/>
        <n x="5" s="1"/>
        <n x="3" s="1"/>
        <n x="4" s="1"/>
        <n x="104"/>
        <n x="71"/>
        <n x="75"/>
      </t>
    </mdx>
    <mdx n="0" f="v">
      <t c="8">
        <n x="1" s="1"/>
        <n x="2" s="1"/>
        <n x="5" s="1"/>
        <n x="3" s="1"/>
        <n x="4" s="1"/>
        <n x="104"/>
        <n x="71"/>
        <n x="45"/>
      </t>
    </mdx>
    <mdx n="0" f="v">
      <t c="8">
        <n x="1" s="1"/>
        <n x="2" s="1"/>
        <n x="5" s="1"/>
        <n x="3" s="1"/>
        <n x="4" s="1"/>
        <n x="104"/>
        <n x="80"/>
        <n x="103"/>
      </t>
    </mdx>
    <mdx n="0" f="v">
      <t c="8">
        <n x="1" s="1"/>
        <n x="2" s="1"/>
        <n x="5" s="1"/>
        <n x="3" s="1"/>
        <n x="4" s="1"/>
        <n x="104"/>
        <n x="89"/>
        <n x="108"/>
      </t>
    </mdx>
    <mdx n="0" f="v">
      <t c="8">
        <n x="1" s="1"/>
        <n x="2" s="1"/>
        <n x="5" s="1"/>
        <n x="3" s="1"/>
        <n x="4" s="1"/>
        <n x="104"/>
        <n x="89"/>
        <n x="45"/>
      </t>
    </mdx>
    <mdx n="0" f="v">
      <t c="8">
        <n x="1" s="1"/>
        <n x="2" s="1"/>
        <n x="5" s="1"/>
        <n x="3" s="1"/>
        <n x="4" s="1"/>
        <n x="104"/>
        <n x="98"/>
        <n x="15"/>
      </t>
    </mdx>
    <mdx n="0" f="v">
      <t c="8">
        <n x="1" s="1"/>
        <n x="2" s="1"/>
        <n x="5" s="1"/>
        <n x="3" s="1"/>
        <n x="4" s="1"/>
        <n x="104"/>
        <n x="111"/>
        <n x="162"/>
      </t>
    </mdx>
    <mdx n="0" f="v">
      <t c="8">
        <n x="1" s="1"/>
        <n x="2" s="1"/>
        <n x="5" s="1"/>
        <n x="3" s="1"/>
        <n x="4" s="1"/>
        <n x="104"/>
        <n x="117"/>
        <n x="84"/>
      </t>
    </mdx>
    <mdx n="0" f="v">
      <t c="8">
        <n x="1" s="1"/>
        <n x="2" s="1"/>
        <n x="5" s="1"/>
        <n x="3" s="1"/>
        <n x="4" s="1"/>
        <n x="104"/>
        <n x="117"/>
        <n x="77"/>
      </t>
    </mdx>
    <mdx n="0" f="v">
      <t c="8">
        <n x="1" s="1"/>
        <n x="2" s="1"/>
        <n x="5" s="1"/>
        <n x="3" s="1"/>
        <n x="4" s="1"/>
        <n x="104"/>
        <n x="130"/>
        <n x="44"/>
      </t>
    </mdx>
    <mdx n="0" f="v">
      <t c="8">
        <n x="1" s="1"/>
        <n x="2" s="1"/>
        <n x="5" s="1"/>
        <n x="3" s="1"/>
        <n x="4" s="1"/>
        <n x="104"/>
        <n x="8"/>
        <n x="109"/>
      </t>
    </mdx>
    <mdx n="0" f="v">
      <t c="8">
        <n x="1" s="1"/>
        <n x="2" s="1"/>
        <n x="5" s="1"/>
        <n x="3" s="1"/>
        <n x="4" s="1"/>
        <n x="104"/>
        <n x="8"/>
        <n x="77"/>
      </t>
    </mdx>
    <mdx n="0" f="v">
      <t c="8">
        <n x="1" s="1"/>
        <n x="2" s="1"/>
        <n x="5" s="1"/>
        <n x="3" s="1"/>
        <n x="4" s="1"/>
        <n x="104"/>
        <n x="23"/>
        <n x="16"/>
      </t>
    </mdx>
    <mdx n="0" f="v">
      <t c="8">
        <n x="1" s="1"/>
        <n x="2" s="1"/>
        <n x="5" s="1"/>
        <n x="3" s="1"/>
        <n x="4" s="1"/>
        <n x="104"/>
        <n x="17"/>
        <n x="14"/>
      </t>
    </mdx>
    <mdx n="0" f="v">
      <t c="8">
        <n x="1" s="1"/>
        <n x="2" s="1"/>
        <n x="5" s="1"/>
        <n x="3" s="1"/>
        <n x="4" s="1"/>
        <n x="104"/>
        <n x="126"/>
        <n x="93"/>
      </t>
    </mdx>
    <mdx n="0" f="v">
      <t c="8">
        <n x="1" s="1"/>
        <n x="2" s="1"/>
        <n x="5" s="1"/>
        <n x="3" s="1"/>
        <n x="4" s="1"/>
        <n x="104"/>
        <n x="126"/>
        <n x="86"/>
      </t>
    </mdx>
    <mdx n="0" f="v">
      <t c="8">
        <n x="1" s="1"/>
        <n x="2" s="1"/>
        <n x="5" s="1"/>
        <n x="3" s="1"/>
        <n x="4" s="1"/>
        <n x="104"/>
        <n x="138"/>
        <n x="116"/>
      </t>
    </mdx>
    <mdx n="0" f="v">
      <t c="8">
        <n x="1" s="1"/>
        <n x="2" s="1"/>
        <n x="5" s="1"/>
        <n x="3" s="1"/>
        <n x="4" s="1"/>
        <n x="104"/>
        <n x="143"/>
        <n x="43"/>
      </t>
    </mdx>
    <mdx n="0" f="v">
      <t c="8">
        <n x="1" s="1"/>
        <n x="2" s="1"/>
        <n x="5" s="1"/>
        <n x="3" s="1"/>
        <n x="4" s="1"/>
        <n x="104"/>
        <n x="163" s="1"/>
        <n x="141"/>
      </t>
    </mdx>
    <mdx n="0" f="v">
      <t c="8">
        <n x="1" s="1"/>
        <n x="2" s="1"/>
        <n x="5" s="1"/>
        <n x="3" s="1"/>
        <n x="4" s="1"/>
        <n x="104"/>
        <n x="60"/>
        <n x="44"/>
      </t>
    </mdx>
    <mdx n="0" f="v">
      <t c="8">
        <n x="1" s="1"/>
        <n x="2" s="1"/>
        <n x="5" s="1"/>
        <n x="3" s="1"/>
        <n x="4" s="1"/>
        <n x="104"/>
        <n x="6"/>
        <n x="58"/>
      </t>
    </mdx>
    <mdx n="0" f="v">
      <t c="8">
        <n x="1" s="1"/>
        <n x="2" s="1"/>
        <n x="5" s="1"/>
        <n x="3" s="1"/>
        <n x="4" s="1"/>
        <n x="104"/>
        <n x="21"/>
        <n x="115"/>
      </t>
    </mdx>
    <mdx n="0" f="v">
      <t c="8">
        <n x="1" s="1"/>
        <n x="2" s="1"/>
        <n x="5" s="1"/>
        <n x="3" s="1"/>
        <n x="4" s="1"/>
        <n x="104"/>
        <n x="34"/>
        <n x="93"/>
      </t>
    </mdx>
    <mdx n="0" f="v">
      <t c="8">
        <n x="1" s="1"/>
        <n x="2" s="1"/>
        <n x="5" s="1"/>
        <n x="3" s="1"/>
        <n x="4" s="1"/>
        <n x="104"/>
        <n x="65"/>
        <n x="56"/>
      </t>
    </mdx>
    <mdx n="0" f="v">
      <t c="8">
        <n x="1" s="1"/>
        <n x="2" s="1"/>
        <n x="5" s="1"/>
        <n x="3" s="1"/>
        <n x="4" s="1"/>
        <n x="104"/>
        <n x="65"/>
        <n x="148"/>
      </t>
    </mdx>
    <mdx n="0" f="v">
      <t c="8">
        <n x="1" s="1"/>
        <n x="2" s="1"/>
        <n x="5" s="1"/>
        <n x="3" s="1"/>
        <n x="4" s="1"/>
        <n x="104"/>
        <n x="70"/>
        <n x="116"/>
      </t>
    </mdx>
    <mdx n="0" f="v">
      <t c="8">
        <n x="1" s="1"/>
        <n x="2" s="1"/>
        <n x="5" s="1"/>
        <n x="3" s="1"/>
        <n x="4" s="1"/>
        <n x="104"/>
        <n x="79"/>
        <n x="76"/>
      </t>
    </mdx>
    <mdx n="0" f="v">
      <t c="8">
        <n x="1" s="1"/>
        <n x="2" s="1"/>
        <n x="5" s="1"/>
        <n x="3" s="1"/>
        <n x="4" s="1"/>
        <n x="104"/>
        <n x="88"/>
        <n x="107"/>
      </t>
    </mdx>
    <mdx n="0" f="v">
      <t c="8">
        <n x="1" s="1"/>
        <n x="2" s="1"/>
        <n x="5" s="1"/>
        <n x="3" s="1"/>
        <n x="4" s="1"/>
        <n x="104"/>
        <n x="97"/>
        <n x="13"/>
      </t>
    </mdx>
    <mdx n="0" f="v">
      <t c="8">
        <n x="1" s="1"/>
        <n x="2" s="1"/>
        <n x="5" s="1"/>
        <n x="3" s="1"/>
        <n x="4" s="1"/>
        <n x="104"/>
        <n x="36"/>
        <n x="62"/>
      </t>
    </mdx>
    <mdx n="0" f="v">
      <t c="8">
        <n x="1" s="1"/>
        <n x="2" s="1"/>
        <n x="5" s="1"/>
        <n x="3" s="1"/>
        <n x="4" s="1"/>
        <n x="104"/>
        <n x="36"/>
        <n x="87"/>
      </t>
    </mdx>
    <mdx n="0" f="v">
      <t c="8">
        <n x="1" s="1"/>
        <n x="2" s="1"/>
        <n x="5" s="1"/>
        <n x="3" s="1"/>
        <n x="4" s="1"/>
        <n x="104"/>
        <n x="110"/>
        <n x="119"/>
      </t>
    </mdx>
    <mdx n="0" f="v">
      <t c="8">
        <n x="1" s="1"/>
        <n x="2" s="1"/>
        <n x="5" s="1"/>
        <n x="3" s="1"/>
        <n x="4" s="1"/>
        <n x="104"/>
        <n x="105"/>
        <n x="85"/>
      </t>
    </mdx>
    <mdx n="0" f="v">
      <t c="8">
        <n x="1" s="1"/>
        <n x="2" s="1"/>
        <n x="5" s="1"/>
        <n x="3" s="1"/>
        <n x="4" s="1"/>
        <n x="104"/>
        <n x="120"/>
        <n x="108"/>
      </t>
    </mdx>
    <mdx n="0" f="v">
      <t c="8">
        <n x="1" s="1"/>
        <n x="2" s="1"/>
        <n x="5" s="1"/>
        <n x="3" s="1"/>
        <n x="4" s="1"/>
        <n x="104"/>
        <n x="133"/>
        <n x="28"/>
      </t>
    </mdx>
    <mdx n="0" f="v">
      <t c="8">
        <n x="1" s="1"/>
        <n x="2" s="1"/>
        <n x="5" s="1"/>
        <n x="3" s="1"/>
        <n x="4" s="1"/>
        <n x="104"/>
        <n x="137"/>
        <n x="63"/>
      </t>
    </mdx>
    <mdx n="0" f="v">
      <t c="8">
        <n x="1" s="1"/>
        <n x="2" s="1"/>
        <n x="5" s="1"/>
        <n x="3" s="1"/>
        <n x="4" s="1"/>
        <n x="104"/>
        <n x="137"/>
        <n x="15"/>
      </t>
    </mdx>
    <mdx n="0" f="v">
      <t c="8">
        <n x="1" s="1"/>
        <n x="2" s="1"/>
        <n x="5" s="1"/>
        <n x="3" s="1"/>
        <n x="4" s="1"/>
        <n x="104"/>
        <n x="142"/>
        <n x="122"/>
      </t>
    </mdx>
    <mdx n="0" f="v">
      <t c="8">
        <n x="1" s="1"/>
        <n x="2" s="1"/>
        <n x="5" s="1"/>
        <n x="3" s="1"/>
        <n x="4" s="1"/>
        <n x="104"/>
        <n x="78"/>
        <n x="94"/>
      </t>
    </mdx>
    <mdx n="0" f="v">
      <t c="8">
        <n x="1" s="1"/>
        <n x="2" s="1"/>
        <n x="5" s="1"/>
        <n x="3" s="1"/>
        <n x="4" s="1"/>
        <n x="104"/>
        <n x="7"/>
        <n x="109"/>
      </t>
    </mdx>
    <mdx n="0" f="v">
      <t c="8">
        <n x="1" s="1"/>
        <n x="2" s="1"/>
        <n x="5" s="1"/>
        <n x="3" s="1"/>
        <n x="4" s="1"/>
        <n x="104"/>
        <n x="22"/>
        <n x="19"/>
      </t>
    </mdx>
    <mdx n="0" f="v">
      <t c="8">
        <n x="1" s="1"/>
        <n x="2" s="1"/>
        <n x="5" s="1"/>
        <n x="3" s="1"/>
        <n x="4" s="1"/>
        <n x="104"/>
        <n x="30"/>
        <n x="75"/>
      </t>
    </mdx>
    <mdx n="0" f="v">
      <t c="8">
        <n x="1" s="1"/>
        <n x="2" s="1"/>
        <n x="5" s="1"/>
        <n x="3" s="1"/>
        <n x="4" s="1"/>
        <n x="104"/>
        <n x="30"/>
        <n x="87"/>
      </t>
    </mdx>
    <mdx n="0" f="v">
      <t c="8">
        <n x="1" s="1"/>
        <n x="2" s="1"/>
        <n x="5" s="1"/>
        <n x="3" s="1"/>
        <n x="4" s="1"/>
        <n x="104"/>
        <n x="149"/>
        <n x="160"/>
      </t>
    </mdx>
    <mdx n="0" f="v">
      <t c="8">
        <n x="1" s="1"/>
        <n x="2" s="1"/>
        <n x="5" s="1"/>
        <n x="3" s="1"/>
        <n x="4" s="1"/>
        <n x="104"/>
        <n x="156"/>
        <n x="75"/>
      </t>
    </mdx>
    <mdx n="0" f="v">
      <t c="8">
        <n x="1" s="1"/>
        <n x="2" s="1"/>
        <n x="5" s="1"/>
        <n x="3" s="1"/>
        <n x="4" s="1"/>
        <n x="104"/>
        <n x="156"/>
        <n x="45"/>
      </t>
    </mdx>
    <mdx n="0" f="v">
      <t c="8">
        <n x="1" s="1"/>
        <n x="2" s="1"/>
        <n x="5" s="1"/>
        <n x="3" s="1"/>
        <n x="4" s="1"/>
        <n x="104"/>
        <n x="158"/>
        <n x="103"/>
      </t>
    </mdx>
    <mdx n="0" f="v">
      <t c="8">
        <n x="1" s="1"/>
        <n x="2" s="1"/>
        <n x="5" s="1"/>
        <n x="3" s="1"/>
        <n x="4" s="1"/>
        <n x="104"/>
        <n x="161"/>
        <n x="108"/>
      </t>
    </mdx>
    <mdx n="0" f="v">
      <t c="8">
        <n x="1" s="1"/>
        <n x="2" s="1"/>
        <n x="5" s="1"/>
        <n x="3" s="1"/>
        <n x="4" s="1"/>
        <n x="104"/>
        <n x="66"/>
        <n x="84"/>
      </t>
    </mdx>
    <mdx n="0" f="v">
      <t c="8">
        <n x="1" s="1"/>
        <n x="2" s="1"/>
        <n x="5" s="1"/>
        <n x="3" s="1"/>
        <n x="4" s="1"/>
        <n x="104"/>
        <n x="66"/>
        <n x="15"/>
      </t>
    </mdx>
    <mdx n="0" f="v">
      <t c="8">
        <n x="1" s="1"/>
        <n x="2" s="1"/>
        <n x="5" s="1"/>
        <n x="3" s="1"/>
        <n x="4" s="1"/>
        <n x="104"/>
        <n x="37"/>
        <n x="162"/>
      </t>
    </mdx>
    <mdx n="0" f="v">
      <t c="8">
        <n x="1" s="1"/>
        <n x="2" s="1"/>
        <n x="5" s="1"/>
        <n x="3" s="1"/>
        <n x="4" s="1"/>
        <n x="104"/>
        <n x="71"/>
        <n x="84"/>
      </t>
    </mdx>
    <mdx n="0" f="v">
      <t c="8">
        <n x="1" s="1"/>
        <n x="2" s="1"/>
        <n x="5" s="1"/>
        <n x="3" s="1"/>
        <n x="4" s="1"/>
        <n x="104"/>
        <n x="71"/>
        <n x="77"/>
      </t>
    </mdx>
    <mdx n="0" f="v">
      <t c="8">
        <n x="1" s="1"/>
        <n x="2" s="1"/>
        <n x="5" s="1"/>
        <n x="3" s="1"/>
        <n x="4" s="1"/>
        <n x="104"/>
        <n x="80"/>
        <n x="44"/>
      </t>
    </mdx>
    <mdx n="0" f="v">
      <t c="8">
        <n x="1" s="1"/>
        <n x="2" s="1"/>
        <n x="5" s="1"/>
        <n x="3" s="1"/>
        <n x="4" s="1"/>
        <n x="104"/>
        <n x="89"/>
        <n x="109"/>
      </t>
    </mdx>
    <mdx n="0" f="v">
      <t c="8">
        <n x="1" s="1"/>
        <n x="2" s="1"/>
        <n x="5" s="1"/>
        <n x="3" s="1"/>
        <n x="4" s="1"/>
        <n x="104"/>
        <n x="98"/>
        <n x="93"/>
      </t>
    </mdx>
    <mdx n="0" f="v">
      <t c="8">
        <n x="1" s="1"/>
        <n x="2" s="1"/>
        <n x="5" s="1"/>
        <n x="3" s="1"/>
        <n x="4" s="1"/>
        <n x="104"/>
        <n x="98"/>
        <n x="16"/>
      </t>
    </mdx>
    <mdx n="0" f="v">
      <t c="8">
        <n x="1" s="1"/>
        <n x="2" s="1"/>
        <n x="5" s="1"/>
        <n x="3" s="1"/>
        <n x="4" s="1"/>
        <n x="104"/>
        <n x="111"/>
        <n x="14"/>
      </t>
    </mdx>
    <mdx n="0" f="v">
      <t c="8">
        <n x="1" s="1"/>
        <n x="2" s="1"/>
        <n x="5" s="1"/>
        <n x="3" s="1"/>
        <n x="4" s="1"/>
        <n x="104"/>
        <n x="117"/>
        <n x="93"/>
      </t>
    </mdx>
    <mdx n="0" f="v">
      <t c="8">
        <n x="1" s="1"/>
        <n x="2" s="1"/>
        <n x="5" s="1"/>
        <n x="3" s="1"/>
        <n x="4" s="1"/>
        <n x="104"/>
        <n x="117"/>
        <n x="86"/>
      </t>
    </mdx>
    <mdx n="0" f="v">
      <t c="8">
        <n x="1" s="1"/>
        <n x="2" s="1"/>
        <n x="5" s="1"/>
        <n x="3" s="1"/>
        <n x="4" s="1"/>
        <n x="104"/>
        <n x="130"/>
        <n x="116"/>
      </t>
    </mdx>
    <mdx n="0" f="v">
      <t c="8">
        <n x="1" s="1"/>
        <n x="2" s="1"/>
        <n x="5" s="1"/>
        <n x="3" s="1"/>
        <n x="4" s="1"/>
        <n x="104"/>
        <n x="8"/>
        <n x="43"/>
      </t>
    </mdx>
    <mdx n="0" f="v">
      <t c="8">
        <n x="1" s="1"/>
        <n x="2" s="1"/>
        <n x="5" s="1"/>
        <n x="3" s="1"/>
        <n x="4" s="1"/>
        <n x="104"/>
        <n x="23"/>
        <n x="13"/>
      </t>
    </mdx>
    <mdx n="0" f="v">
      <t c="8">
        <n x="1" s="1"/>
        <n x="2" s="1"/>
        <n x="5" s="1"/>
        <n x="3" s="1"/>
        <n x="4" s="1"/>
        <n x="104"/>
        <n x="23"/>
        <n x="33"/>
      </t>
    </mdx>
    <mdx n="0" f="v">
      <t c="8">
        <n x="1" s="1"/>
        <n x="2" s="1"/>
        <n x="5" s="1"/>
        <n x="3" s="1"/>
        <n x="4" s="1"/>
        <n x="104"/>
        <n x="17"/>
        <n x="29"/>
      </t>
    </mdx>
    <mdx n="0" f="v">
      <t c="8">
        <n x="1" s="1"/>
        <n x="2" s="1"/>
        <n x="5" s="1"/>
        <n x="3" s="1"/>
        <n x="4" s="1"/>
        <n x="104"/>
        <n x="126"/>
        <n x="13"/>
      </t>
    </mdx>
    <mdx n="0" f="v">
      <t c="8">
        <n x="1" s="1"/>
        <n x="2" s="1"/>
        <n x="5" s="1"/>
        <n x="3" s="1"/>
        <n x="4" s="1"/>
        <n x="104"/>
        <n x="126"/>
        <n x="95"/>
      </t>
    </mdx>
    <mdx n="0" f="v">
      <t c="8">
        <n x="1" s="1"/>
        <n x="2" s="1"/>
        <n x="5" s="1"/>
        <n x="3" s="1"/>
        <n x="4" s="1"/>
        <n x="104"/>
        <n x="138"/>
        <n x="119"/>
      </t>
    </mdx>
    <mdx n="0" f="v">
      <t c="8">
        <n x="1" s="1"/>
        <n x="2" s="1"/>
        <n x="5" s="1"/>
        <n x="3" s="1"/>
        <n x="4" s="1"/>
        <n x="104"/>
        <n x="143"/>
        <n x="128"/>
      </t>
    </mdx>
    <mdx n="0" f="v">
      <t c="8">
        <n x="1" s="1"/>
        <n x="2" s="1"/>
        <n x="5" s="1"/>
        <n x="3" s="1"/>
        <n x="4" s="1"/>
        <n x="104"/>
        <n x="143"/>
        <n x="45"/>
      </t>
    </mdx>
    <mdx n="0" f="v">
      <t c="8">
        <n x="1" s="1"/>
        <n x="2" s="1"/>
        <n x="5" s="1"/>
        <n x="3" s="1"/>
        <n x="4" s="1"/>
        <n x="104"/>
        <n x="163" s="1"/>
        <n x="148"/>
      </t>
    </mdx>
    <mdx n="0" f="v">
      <t c="8">
        <n x="1" s="1"/>
        <n x="2" s="1"/>
        <n x="5" s="1"/>
        <n x="3" s="1"/>
        <n x="4" s="1"/>
        <n x="104"/>
        <n x="60"/>
        <n x="116"/>
      </t>
    </mdx>
    <mdx n="0" f="v">
      <t c="8">
        <n x="1" s="1"/>
        <n x="2" s="1"/>
        <n x="5" s="1"/>
        <n x="3" s="1"/>
        <n x="4" s="1"/>
        <n x="104"/>
        <n x="6"/>
        <n x="76"/>
      </t>
    </mdx>
    <mdx n="0" f="v">
      <t c="8">
        <n x="1" s="1"/>
        <n x="2" s="1"/>
        <n x="5" s="1"/>
        <n x="3" s="1"/>
        <n x="4" s="1"/>
        <n x="104"/>
        <n x="21"/>
        <n x="107"/>
      </t>
    </mdx>
    <mdx n="0" f="v">
      <t c="8">
        <n x="1" s="1"/>
        <n x="2" s="1"/>
        <n x="5" s="1"/>
        <n x="3" s="1"/>
        <n x="4" s="1"/>
        <n x="104"/>
        <n x="34"/>
        <n x="13"/>
      </t>
    </mdx>
    <mdx n="0" f="v">
      <t c="8">
        <n x="1" s="1"/>
        <n x="2" s="1"/>
        <n x="5" s="1"/>
        <n x="3" s="1"/>
        <n x="4" s="1"/>
        <n x="104"/>
        <n x="65"/>
        <n x="62"/>
      </t>
    </mdx>
    <mdx n="0" f="v">
      <t c="8">
        <n x="1" s="1"/>
        <n x="2" s="1"/>
        <n x="5" s="1"/>
        <n x="3" s="1"/>
        <n x="4" s="1"/>
        <n x="104"/>
        <n x="65"/>
        <n x="87"/>
      </t>
    </mdx>
    <mdx n="0" f="v">
      <t c="8">
        <n x="1" s="1"/>
        <n x="2" s="1"/>
        <n x="5" s="1"/>
        <n x="3" s="1"/>
        <n x="4" s="1"/>
        <n x="104"/>
        <n x="70"/>
        <n x="119"/>
      </t>
    </mdx>
    <mdx n="0" f="v">
      <t c="8">
        <n x="1" s="1"/>
        <n x="2" s="1"/>
        <n x="5" s="1"/>
        <n x="3" s="1"/>
        <n x="4" s="1"/>
        <n x="104"/>
        <n x="79"/>
        <n x="85"/>
      </t>
    </mdx>
    <mdx n="0" f="v">
      <t c="8">
        <n x="1" s="1"/>
        <n x="2" s="1"/>
        <n x="5" s="1"/>
        <n x="3" s="1"/>
        <n x="4" s="1"/>
        <n x="104"/>
        <n x="88"/>
        <n x="108"/>
      </t>
    </mdx>
    <mdx n="0" f="v">
      <t c="8">
        <n x="1" s="1"/>
        <n x="2" s="1"/>
        <n x="5" s="1"/>
        <n x="3" s="1"/>
        <n x="4" s="1"/>
        <n x="104"/>
        <n x="97"/>
        <n x="28"/>
      </t>
    </mdx>
    <mdx n="0" f="v">
      <t c="8">
        <n x="1" s="1"/>
        <n x="2" s="1"/>
        <n x="5" s="1"/>
        <n x="3" s="1"/>
        <n x="4" s="1"/>
        <n x="104"/>
        <n x="36"/>
        <n x="63"/>
      </t>
    </mdx>
    <mdx n="0" f="v">
      <t c="8">
        <n x="1" s="1"/>
        <n x="2" s="1"/>
        <n x="5" s="1"/>
        <n x="3" s="1"/>
        <n x="4" s="1"/>
        <n x="104"/>
        <n x="36"/>
        <n x="15"/>
      </t>
    </mdx>
    <mdx n="0" f="v">
      <t c="8">
        <n x="1" s="1"/>
        <n x="2" s="1"/>
        <n x="5" s="1"/>
        <n x="3" s="1"/>
        <n x="4" s="1"/>
        <n x="104"/>
        <n x="110"/>
        <n x="122"/>
      </t>
    </mdx>
    <mdx n="0" f="v">
      <t c="8">
        <n x="1" s="1"/>
        <n x="2" s="1"/>
        <n x="5" s="1"/>
        <n x="3" s="1"/>
        <n x="4" s="1"/>
        <n x="104"/>
        <n x="105"/>
        <n x="94"/>
      </t>
    </mdx>
    <mdx n="0" f="v">
      <t c="8">
        <n x="1" s="1"/>
        <n x="2" s="1"/>
        <n x="5" s="1"/>
        <n x="3" s="1"/>
        <n x="4" s="1"/>
        <n x="104"/>
        <n x="120"/>
        <n x="109"/>
      </t>
    </mdx>
    <mdx n="0" f="v">
      <t c="8">
        <n x="1" s="1"/>
        <n x="2" s="1"/>
        <n x="5" s="1"/>
        <n x="3" s="1"/>
        <n x="4" s="1"/>
        <n x="104"/>
        <n x="133"/>
        <n x="19"/>
      </t>
    </mdx>
    <mdx n="0" f="v">
      <t c="8">
        <n x="1" s="1"/>
        <n x="2" s="1"/>
        <n x="5" s="1"/>
        <n x="3" s="1"/>
        <n x="4" s="1"/>
        <n x="104"/>
        <n x="137"/>
        <n x="75"/>
      </t>
    </mdx>
    <mdx n="0" f="v">
      <t c="8">
        <n x="1" s="1"/>
        <n x="2" s="1"/>
        <n x="5" s="1"/>
        <n x="3" s="1"/>
        <n x="4" s="1"/>
        <n x="104"/>
        <n x="137"/>
        <n x="16"/>
      </t>
    </mdx>
    <mdx n="0" f="v">
      <t c="8">
        <n x="1" s="1"/>
        <n x="2" s="1"/>
        <n x="5" s="1"/>
        <n x="3" s="1"/>
        <n x="4" s="1"/>
        <n x="104"/>
        <n x="142"/>
        <n x="127"/>
      </t>
    </mdx>
    <mdx n="0" f="v">
      <t c="8">
        <n x="1" s="1"/>
        <n x="2" s="1"/>
        <n x="5" s="1"/>
        <n x="3" s="1"/>
        <n x="4" s="1"/>
        <n x="104"/>
        <n x="78"/>
        <n x="103"/>
      </t>
    </mdx>
    <mdx n="0" f="v">
      <t c="8">
        <n x="1" s="1"/>
        <n x="2" s="1"/>
        <n x="5" s="1"/>
        <n x="3" s="1"/>
        <n x="4" s="1"/>
        <n x="104"/>
        <n x="7"/>
        <n x="43"/>
      </t>
    </mdx>
    <mdx n="0" f="v">
      <t c="8">
        <n x="1" s="1"/>
        <n x="2" s="1"/>
        <n x="5" s="1"/>
        <n x="3" s="1"/>
        <n x="4" s="1"/>
        <n x="104"/>
        <n x="22"/>
        <n x="102"/>
      </t>
    </mdx>
    <mdx n="0" f="v">
      <t c="8">
        <n x="1" s="1"/>
        <n x="2" s="1"/>
        <n x="5" s="1"/>
        <n x="3" s="1"/>
        <n x="4" s="1"/>
        <n x="104"/>
        <n x="30"/>
        <n x="84"/>
      </t>
    </mdx>
    <mdx n="0" f="v">
      <t c="8">
        <n x="1" s="1"/>
        <n x="2" s="1"/>
        <n x="5" s="1"/>
        <n x="3" s="1"/>
        <n x="4" s="1"/>
        <n x="104"/>
        <n x="30"/>
        <n x="15"/>
      </t>
    </mdx>
    <mdx n="0" f="v">
      <t c="8">
        <n x="1" s="1"/>
        <n x="2" s="1"/>
        <n x="5" s="1"/>
        <n x="3" s="1"/>
        <n x="4" s="1"/>
        <n x="104"/>
        <n x="149"/>
        <n x="162"/>
      </t>
    </mdx>
    <mdx n="0" f="v">
      <t c="8">
        <n x="1" s="1"/>
        <n x="2" s="1"/>
        <n x="5" s="1"/>
        <n x="3" s="1"/>
        <n x="4" s="1"/>
        <n x="104"/>
        <n x="156"/>
        <n x="109"/>
      </t>
    </mdx>
    <mdx n="0" f="v">
      <t c="8">
        <n x="1" s="1"/>
        <n x="2" s="1"/>
        <n x="5" s="1"/>
        <n x="3" s="1"/>
        <n x="4" s="1"/>
        <n x="104"/>
        <n x="156"/>
        <n x="77"/>
      </t>
    </mdx>
    <mdx n="0" f="v">
      <t c="8">
        <n x="1" s="1"/>
        <n x="2" s="1"/>
        <n x="5" s="1"/>
        <n x="3" s="1"/>
        <n x="4" s="1"/>
        <n x="104"/>
        <n x="158"/>
        <n x="44"/>
      </t>
    </mdx>
    <mdx n="0" f="v">
      <t c="8">
        <n x="1" s="1"/>
        <n x="2" s="1"/>
        <n x="5" s="1"/>
        <n x="3" s="1"/>
        <n x="4" s="1"/>
        <n x="104"/>
        <n x="161"/>
        <n x="109"/>
      </t>
    </mdx>
    <mdx n="0" f="v">
      <t c="8">
        <n x="1" s="1"/>
        <n x="2" s="1"/>
        <n x="5" s="1"/>
        <n x="3" s="1"/>
        <n x="4" s="1"/>
        <n x="104"/>
        <n x="66"/>
        <n x="93"/>
      </t>
    </mdx>
    <mdx n="0" f="v">
      <t c="8">
        <n x="1" s="1"/>
        <n x="2" s="1"/>
        <n x="5" s="1"/>
        <n x="3" s="1"/>
        <n x="4" s="1"/>
        <n x="104"/>
        <n x="66"/>
        <n x="16"/>
      </t>
    </mdx>
    <mdx n="0" f="v">
      <t c="8">
        <n x="1" s="1"/>
        <n x="2" s="1"/>
        <n x="5" s="1"/>
        <n x="3" s="1"/>
        <n x="4" s="1"/>
        <n x="104"/>
        <n x="37"/>
        <n x="14"/>
      </t>
    </mdx>
    <mdx n="0" f="v">
      <t c="8">
        <n x="1" s="1"/>
        <n x="2" s="1"/>
        <n x="5" s="1"/>
        <n x="3" s="1"/>
        <n x="4" s="1"/>
        <n x="104"/>
        <n x="71"/>
        <n x="43"/>
      </t>
    </mdx>
    <mdx n="0" f="v">
      <t c="8">
        <n x="1" s="1"/>
        <n x="2" s="1"/>
        <n x="5" s="1"/>
        <n x="3" s="1"/>
        <n x="4" s="1"/>
        <n x="104"/>
        <n x="71"/>
        <n x="86"/>
      </t>
    </mdx>
    <mdx n="0" f="v">
      <t c="8">
        <n x="1" s="1"/>
        <n x="2" s="1"/>
        <n x="5" s="1"/>
        <n x="3" s="1"/>
        <n x="4" s="1"/>
        <n x="104"/>
        <n x="80"/>
        <n x="116"/>
      </t>
    </mdx>
    <mdx n="0" f="v">
      <t c="8">
        <n x="1" s="1"/>
        <n x="2" s="1"/>
        <n x="5" s="1"/>
        <n x="3" s="1"/>
        <n x="4" s="1"/>
        <n x="104"/>
        <n x="89"/>
        <n x="43"/>
      </t>
    </mdx>
    <mdx n="0" f="v">
      <t c="8">
        <n x="1" s="1"/>
        <n x="2" s="1"/>
        <n x="5" s="1"/>
        <n x="3" s="1"/>
        <n x="4" s="1"/>
        <n x="104"/>
        <n x="98"/>
        <n x="13"/>
      </t>
    </mdx>
    <mdx n="0" f="v">
      <t c="8">
        <n x="1" s="1"/>
        <n x="2" s="1"/>
        <n x="5" s="1"/>
        <n x="3" s="1"/>
        <n x="4" s="1"/>
        <n x="104"/>
        <n x="98"/>
        <n x="33"/>
      </t>
    </mdx>
    <mdx n="0" f="v">
      <t c="8">
        <n x="1" s="1"/>
        <n x="2" s="1"/>
        <n x="5" s="1"/>
        <n x="3" s="1"/>
        <n x="4" s="1"/>
        <n x="104"/>
        <n x="111"/>
        <n x="29"/>
      </t>
    </mdx>
    <mdx n="0" f="v">
      <t c="8">
        <n x="1" s="1"/>
        <n x="2" s="1"/>
        <n x="5" s="1"/>
        <n x="3" s="1"/>
        <n x="4" s="1"/>
        <n x="104"/>
        <n x="117"/>
        <n x="128"/>
      </t>
    </mdx>
    <mdx n="0" f="v">
      <t c="8">
        <n x="1" s="1"/>
        <n x="2" s="1"/>
        <n x="5" s="1"/>
        <n x="3" s="1"/>
        <n x="4" s="1"/>
        <n x="104"/>
        <n x="117"/>
        <n x="95"/>
      </t>
    </mdx>
    <mdx n="0" f="v">
      <t c="8">
        <n x="1" s="1"/>
        <n x="2" s="1"/>
        <n x="5" s="1"/>
        <n x="3" s="1"/>
        <n x="4" s="1"/>
        <n x="104"/>
        <n x="130"/>
        <n x="119"/>
      </t>
    </mdx>
    <mdx n="0" f="v">
      <t c="8">
        <n x="1" s="1"/>
        <n x="2" s="1"/>
        <n x="5" s="1"/>
        <n x="3" s="1"/>
        <n x="4" s="1"/>
        <n x="104"/>
        <n x="8"/>
        <n x="128"/>
      </t>
    </mdx>
    <mdx n="0" f="v">
      <t c="8">
        <n x="1" s="1"/>
        <n x="2" s="1"/>
        <n x="5" s="1"/>
        <n x="3" s="1"/>
        <n x="4" s="1"/>
        <n x="104"/>
        <n x="23"/>
        <n x="28"/>
      </t>
    </mdx>
    <mdx n="0" f="v">
      <t c="8">
        <n x="1" s="1"/>
        <n x="2" s="1"/>
        <n x="5" s="1"/>
        <n x="3" s="1"/>
        <n x="4" s="1"/>
        <n x="104"/>
        <n x="23"/>
        <n x="155"/>
      </t>
    </mdx>
    <mdx n="0" f="v">
      <t c="8">
        <n x="1" s="1"/>
        <n x="2" s="1"/>
        <n x="5" s="1"/>
        <n x="3" s="1"/>
        <n x="4" s="1"/>
        <n x="104"/>
        <n x="17"/>
        <n x="20"/>
      </t>
    </mdx>
    <mdx n="0" f="v">
      <t c="8">
        <n x="1" s="1"/>
        <n x="2" s="1"/>
        <n x="5" s="1"/>
        <n x="3" s="1"/>
        <n x="4" s="1"/>
        <n x="104"/>
        <n x="126"/>
        <n x="147"/>
      </t>
    </mdx>
    <mdx n="0" f="v">
      <t c="8">
        <n x="1" s="1"/>
        <n x="2" s="1"/>
        <n x="5" s="1"/>
        <n x="3" s="1"/>
        <n x="4" s="1"/>
        <n x="104"/>
        <n x="138"/>
        <n x="164" s="1"/>
      </t>
    </mdx>
    <mdx n="0" f="v">
      <t c="8">
        <n x="1" s="1"/>
        <n x="2" s="1"/>
        <n x="5" s="1"/>
        <n x="3" s="1"/>
        <n x="4" s="1"/>
        <n x="104"/>
        <n x="138"/>
        <n x="122"/>
      </t>
    </mdx>
    <mdx n="0" f="v">
      <t c="8">
        <n x="1" s="1"/>
        <n x="2" s="1"/>
        <n x="5" s="1"/>
        <n x="3" s="1"/>
        <n x="4" s="1"/>
        <n x="104"/>
        <n x="143"/>
        <n x="147"/>
      </t>
    </mdx>
    <mdx n="0" f="v">
      <t c="8">
        <n x="1" s="1"/>
        <n x="2" s="1"/>
        <n x="5" s="1"/>
        <n x="3" s="1"/>
        <n x="4" s="1"/>
        <n x="104"/>
        <n x="143"/>
        <n x="77"/>
      </t>
    </mdx>
    <mdx n="0" f="v">
      <t c="8">
        <n x="1" s="1"/>
        <n x="2" s="1"/>
        <n x="5" s="1"/>
        <n x="3" s="1"/>
        <n x="4" s="1"/>
        <n x="104"/>
        <n x="163" s="1"/>
        <n x="77"/>
      </t>
    </mdx>
    <mdx n="0" f="v">
      <t c="8">
        <n x="1" s="1"/>
        <n x="2" s="1"/>
        <n x="5" s="1"/>
        <n x="3" s="1"/>
        <n x="4" s="1"/>
        <n x="104"/>
        <n x="60"/>
        <n x="119"/>
      </t>
    </mdx>
    <mdx n="0" f="v">
      <t c="8">
        <n x="1" s="1"/>
        <n x="2" s="1"/>
        <n x="5" s="1"/>
        <n x="3" s="1"/>
        <n x="4" s="1"/>
        <n x="104"/>
        <n x="6"/>
        <n x="85"/>
      </t>
    </mdx>
    <mdx n="0" f="v">
      <t c="8">
        <n x="1" s="1"/>
        <n x="2" s="1"/>
        <n x="5" s="1"/>
        <n x="3" s="1"/>
        <n x="4" s="1"/>
        <n x="104"/>
        <n x="21"/>
        <n x="14"/>
      </t>
    </mdx>
    <mdx n="0" f="v">
      <t c="8">
        <n x="1" s="1"/>
        <n x="2" s="1"/>
        <n x="5" s="1"/>
        <n x="3" s="1"/>
        <n x="4" s="1"/>
        <n x="104"/>
        <n x="34"/>
        <n x="28"/>
      </t>
    </mdx>
    <mdx n="0" f="v">
      <t c="8">
        <n x="1" s="1"/>
        <n x="2" s="1"/>
        <n x="5" s="1"/>
        <n x="3" s="1"/>
        <n x="4" s="1"/>
        <n x="104"/>
        <n x="65"/>
        <n x="63"/>
      </t>
    </mdx>
    <mdx n="0" f="v">
      <t c="8">
        <n x="1" s="1"/>
        <n x="2" s="1"/>
        <n x="5" s="1"/>
        <n x="3" s="1"/>
        <n x="4" s="1"/>
        <n x="104"/>
        <n x="65"/>
        <n x="86"/>
      </t>
    </mdx>
    <mdx n="0" f="v">
      <t c="8">
        <n x="1" s="1"/>
        <n x="2" s="1"/>
        <n x="5" s="1"/>
        <n x="3" s="1"/>
        <n x="4" s="1"/>
        <n x="104"/>
        <n x="70"/>
        <n x="122"/>
      </t>
    </mdx>
    <mdx n="0" f="v">
      <t c="8">
        <n x="1" s="1"/>
        <n x="2" s="1"/>
        <n x="5" s="1"/>
        <n x="3" s="1"/>
        <n x="4" s="1"/>
        <n x="104"/>
        <n x="79"/>
        <n x="94"/>
      </t>
    </mdx>
    <mdx n="0" f="v">
      <t c="8">
        <n x="1" s="1"/>
        <n x="2" s="1"/>
        <n x="5" s="1"/>
        <n x="3" s="1"/>
        <n x="4" s="1"/>
        <n x="104"/>
        <n x="88"/>
        <n x="29"/>
      </t>
    </mdx>
    <mdx n="0" f="v">
      <t c="8">
        <n x="1" s="1"/>
        <n x="2" s="1"/>
        <n x="5" s="1"/>
        <n x="3" s="1"/>
        <n x="4" s="1"/>
        <n x="104"/>
        <n x="97"/>
        <n x="19"/>
      </t>
    </mdx>
    <mdx n="0" f="v">
      <t c="8">
        <n x="1" s="1"/>
        <n x="2" s="1"/>
        <n x="5" s="1"/>
        <n x="3" s="1"/>
        <n x="4" s="1"/>
        <n x="104"/>
        <n x="36"/>
        <n x="75"/>
      </t>
    </mdx>
    <mdx n="0" f="v">
      <t c="8">
        <n x="1" s="1"/>
        <n x="2" s="1"/>
        <n x="5" s="1"/>
        <n x="3" s="1"/>
        <n x="4" s="1"/>
        <n x="104"/>
        <n x="36"/>
        <n x="95"/>
      </t>
    </mdx>
    <mdx n="0" f="v">
      <t c="8">
        <n x="1" s="1"/>
        <n x="2" s="1"/>
        <n x="5" s="1"/>
        <n x="3" s="1"/>
        <n x="4" s="1"/>
        <n x="104"/>
        <n x="110"/>
        <n x="127"/>
      </t>
    </mdx>
    <mdx n="0" f="v">
      <t c="8">
        <n x="1" s="1"/>
        <n x="2" s="1"/>
        <n x="5" s="1"/>
        <n x="3" s="1"/>
        <n x="4" s="1"/>
        <n x="104"/>
        <n x="105"/>
        <n x="103"/>
      </t>
    </mdx>
    <mdx n="0" f="v">
      <t c="8">
        <n x="1" s="1"/>
        <n x="2" s="1"/>
        <n x="5" s="1"/>
        <n x="3" s="1"/>
        <n x="4" s="1"/>
        <n x="104"/>
        <n x="120"/>
        <n x="20"/>
      </t>
    </mdx>
    <mdx n="0" f="v">
      <t c="8">
        <n x="1" s="1"/>
        <n x="2" s="1"/>
        <n x="5" s="1"/>
        <n x="3" s="1"/>
        <n x="4" s="1"/>
        <n x="104"/>
        <n x="133"/>
        <n x="102"/>
      </t>
    </mdx>
    <mdx n="0" f="v">
      <t c="8">
        <n x="1" s="1"/>
        <n x="2" s="1"/>
        <n x="5" s="1"/>
        <n x="3" s="1"/>
        <n x="4" s="1"/>
        <n x="104"/>
        <n x="137"/>
        <n x="84"/>
      </t>
    </mdx>
    <mdx n="0" f="v">
      <t c="8">
        <n x="1" s="1"/>
        <n x="2" s="1"/>
        <n x="5" s="1"/>
        <n x="3" s="1"/>
        <n x="4" s="1"/>
        <n x="104"/>
        <n x="142"/>
        <n x="164" s="1"/>
      </t>
    </mdx>
    <mdx n="0" f="v">
      <t c="8">
        <n x="1" s="1"/>
        <n x="2" s="1"/>
        <n x="5" s="1"/>
        <n x="3" s="1"/>
        <n x="4" s="1"/>
        <n x="104"/>
        <n x="142"/>
        <n x="141"/>
      </t>
    </mdx>
    <mdx n="0" f="v">
      <t c="8">
        <n x="1" s="1"/>
        <n x="2" s="1"/>
        <n x="5" s="1"/>
        <n x="3" s="1"/>
        <n x="4" s="1"/>
        <n x="104"/>
        <n x="78"/>
        <n x="44"/>
      </t>
    </mdx>
    <mdx n="0" f="v">
      <t c="8">
        <n x="1" s="1"/>
        <n x="2" s="1"/>
        <n x="5" s="1"/>
        <n x="3" s="1"/>
        <n x="4" s="1"/>
        <n x="104"/>
        <n x="7"/>
        <n x="58"/>
      </t>
    </mdx>
    <mdx n="0" f="v">
      <t c="8">
        <n x="1" s="1"/>
        <n x="2" s="1"/>
        <n x="5" s="1"/>
        <n x="3" s="1"/>
        <n x="4" s="1"/>
        <n x="104"/>
        <n x="22"/>
        <n x="115"/>
      </t>
    </mdx>
    <mdx n="0" f="v">
      <t c="8">
        <n x="1" s="1"/>
        <n x="2" s="1"/>
        <n x="5" s="1"/>
        <n x="3" s="1"/>
        <n x="4" s="1"/>
        <n x="104"/>
        <n x="30"/>
        <n x="93"/>
      </t>
    </mdx>
    <mdx n="0" f="v">
      <t c="8">
        <n x="1" s="1"/>
        <n x="2" s="1"/>
        <n x="5" s="1"/>
        <n x="3" s="1"/>
        <n x="4" s="1"/>
        <n x="104"/>
        <n x="30"/>
        <n x="16"/>
      </t>
    </mdx>
    <mdx n="0" f="v">
      <t c="8">
        <n x="1" s="1"/>
        <n x="2" s="1"/>
        <n x="5" s="1"/>
        <n x="3" s="1"/>
        <n x="4" s="1"/>
        <n x="104"/>
        <n x="149"/>
        <n x="14"/>
      </t>
    </mdx>
    <mdx n="0" f="v">
      <t c="8">
        <n x="1" s="1"/>
        <n x="2" s="1"/>
        <n x="5" s="1"/>
        <n x="3" s="1"/>
        <n x="4" s="1"/>
        <n x="104"/>
        <n x="156"/>
        <n x="43"/>
      </t>
    </mdx>
    <mdx n="0" f="v">
      <t c="8">
        <n x="1" s="1"/>
        <n x="2" s="1"/>
        <n x="5" s="1"/>
        <n x="3" s="1"/>
        <n x="4" s="1"/>
        <n x="104"/>
        <n x="156"/>
        <n x="86"/>
      </t>
    </mdx>
    <mdx n="0" f="v">
      <t c="8">
        <n x="1" s="1"/>
        <n x="2" s="1"/>
        <n x="5" s="1"/>
        <n x="3" s="1"/>
        <n x="4" s="1"/>
        <n x="104"/>
        <n x="158"/>
        <n x="116"/>
      </t>
    </mdx>
    <mdx n="0" f="v">
      <t c="8">
        <n x="1" s="1"/>
        <n x="2" s="1"/>
        <n x="5" s="1"/>
        <n x="3" s="1"/>
        <n x="4" s="1"/>
        <n x="104"/>
        <n x="161"/>
        <n x="29"/>
      </t>
    </mdx>
    <mdx n="0" f="v">
      <t c="8">
        <n x="1" s="1"/>
        <n x="2" s="1"/>
        <n x="5" s="1"/>
        <n x="3" s="1"/>
        <n x="4" s="1"/>
        <n x="104"/>
        <n x="66"/>
        <n x="13"/>
      </t>
    </mdx>
    <mdx n="0" f="v">
      <t c="8">
        <n x="1" s="1"/>
        <n x="2" s="1"/>
        <n x="5" s="1"/>
        <n x="3" s="1"/>
        <n x="4" s="1"/>
        <n x="104"/>
        <n x="66"/>
        <n x="33"/>
      </t>
    </mdx>
    <mdx n="0" f="v">
      <t c="8">
        <n x="1" s="1"/>
        <n x="2" s="1"/>
        <n x="5" s="1"/>
        <n x="3" s="1"/>
        <n x="4" s="1"/>
        <n x="104"/>
        <n x="37"/>
        <n x="29"/>
      </t>
    </mdx>
    <mdx n="0" f="v">
      <t c="8">
        <n x="1" s="1"/>
        <n x="2" s="1"/>
        <n x="5" s="1"/>
        <n x="3" s="1"/>
        <n x="4" s="1"/>
        <n x="104"/>
        <n x="71"/>
        <n x="128"/>
      </t>
    </mdx>
    <mdx n="0" f="v">
      <t c="8">
        <n x="1" s="1"/>
        <n x="2" s="1"/>
        <n x="5" s="1"/>
        <n x="3" s="1"/>
        <n x="4" s="1"/>
        <n x="104"/>
        <n x="71"/>
        <n x="95"/>
      </t>
    </mdx>
    <mdx n="0" f="v">
      <t c="8">
        <n x="1" s="1"/>
        <n x="2" s="1"/>
        <n x="5" s="1"/>
        <n x="3" s="1"/>
        <n x="4" s="1"/>
        <n x="104"/>
        <n x="80"/>
        <n x="119"/>
      </t>
    </mdx>
    <mdx n="0" f="v">
      <t c="8">
        <n x="1" s="1"/>
        <n x="2" s="1"/>
        <n x="5" s="1"/>
        <n x="3" s="1"/>
        <n x="4" s="1"/>
        <n x="104"/>
        <n x="89"/>
        <n x="20"/>
      </t>
    </mdx>
    <mdx n="0" f="v">
      <t c="8">
        <n x="1" s="1"/>
        <n x="2" s="1"/>
        <n x="5" s="1"/>
        <n x="3" s="1"/>
        <n x="4" s="1"/>
        <n x="104"/>
        <n x="98"/>
        <n x="28"/>
      </t>
    </mdx>
    <mdx n="0" f="v">
      <t c="8">
        <n x="1" s="1"/>
        <n x="2" s="1"/>
        <n x="5" s="1"/>
        <n x="3" s="1"/>
        <n x="4" s="1"/>
        <n x="104"/>
        <n x="98"/>
        <n x="155"/>
      </t>
    </mdx>
    <mdx n="0" f="v">
      <t c="8">
        <n x="1" s="1"/>
        <n x="2" s="1"/>
        <n x="5" s="1"/>
        <n x="3" s="1"/>
        <n x="4" s="1"/>
        <n x="104"/>
        <n x="111"/>
        <n x="20"/>
      </t>
    </mdx>
    <mdx n="0" f="v">
      <t c="8">
        <n x="1" s="1"/>
        <n x="2" s="1"/>
        <n x="5" s="1"/>
        <n x="3" s="1"/>
        <n x="4" s="1"/>
        <n x="104"/>
        <n x="117"/>
        <n x="147"/>
      </t>
    </mdx>
    <mdx n="0" f="v">
      <t c="8">
        <n x="1" s="1"/>
        <n x="2" s="1"/>
        <n x="5" s="1"/>
        <n x="3" s="1"/>
        <n x="4" s="1"/>
        <n x="104"/>
        <n x="130"/>
        <n x="164" s="1"/>
      </t>
    </mdx>
    <mdx n="0" f="v">
      <t c="8">
        <n x="1" s="1"/>
        <n x="2" s="1"/>
        <n x="5" s="1"/>
        <n x="3" s="1"/>
        <n x="4" s="1"/>
        <n x="104"/>
        <n x="130"/>
        <n x="122"/>
      </t>
    </mdx>
    <mdx n="0" f="v">
      <t c="8">
        <n x="1" s="1"/>
        <n x="2" s="1"/>
        <n x="5" s="1"/>
        <n x="3" s="1"/>
        <n x="4" s="1"/>
        <n x="104"/>
        <n x="8"/>
        <n x="58"/>
      </t>
    </mdx>
    <mdx n="0" f="v">
      <t c="8">
        <n x="1" s="1"/>
        <n x="2" s="1"/>
        <n x="5" s="1"/>
        <n x="3" s="1"/>
        <n x="4" s="1"/>
        <n x="104"/>
        <n x="23"/>
        <n x="19"/>
      </t>
    </mdx>
    <mdx n="0" f="v">
      <t c="8">
        <n x="1" s="1"/>
        <n x="2" s="1"/>
        <n x="5" s="1"/>
        <n x="3" s="1"/>
        <n x="4" s="1"/>
        <n x="104"/>
        <n x="23"/>
        <n x="49"/>
      </t>
    </mdx>
    <mdx n="0" f="v">
      <t c="8">
        <n x="1" s="1"/>
        <n x="2" s="1"/>
        <n x="5" s="1"/>
        <n x="3" s="1"/>
        <n x="4" s="1"/>
        <n x="104"/>
        <n x="17"/>
        <n x="58"/>
      </t>
    </mdx>
    <mdx n="0" f="v">
      <t c="8">
        <n x="1" s="1"/>
        <n x="2" s="1"/>
        <n x="5" s="1"/>
        <n x="3" s="1"/>
        <n x="4" s="1"/>
        <n x="104"/>
        <n x="126"/>
        <n x="59"/>
      </t>
    </mdx>
    <mdx n="0" f="v">
      <t c="8">
        <n x="1" s="1"/>
        <n x="2" s="1"/>
        <n x="5" s="1"/>
        <n x="3" s="1"/>
        <n x="4" s="1"/>
        <n x="104"/>
        <n x="138"/>
        <n x="56"/>
      </t>
    </mdx>
    <mdx n="0" f="v">
      <t c="8">
        <n x="1" s="1"/>
        <n x="2" s="1"/>
        <n x="5" s="1"/>
        <n x="3" s="1"/>
        <n x="4" s="1"/>
        <n x="104"/>
        <n x="138"/>
        <n x="127"/>
      </t>
    </mdx>
    <mdx n="0" f="v">
      <t c="8">
        <n x="1" s="1"/>
        <n x="2" s="1"/>
        <n x="5" s="1"/>
        <n x="3" s="1"/>
        <n x="4" s="1"/>
        <n x="104"/>
        <n x="143"/>
        <n x="59"/>
      </t>
    </mdx>
    <mdx n="0" f="v">
      <t c="8">
        <n x="1" s="1"/>
        <n x="2" s="1"/>
        <n x="5" s="1"/>
        <n x="3" s="1"/>
        <n x="4" s="1"/>
        <n x="104"/>
        <n x="143"/>
        <n x="86"/>
      </t>
    </mdx>
    <mdx n="0" f="v">
      <t c="8">
        <n x="1" s="1"/>
        <n x="2" s="1"/>
        <n x="5" s="1"/>
        <n x="3" s="1"/>
        <n x="4" s="1"/>
        <n x="104"/>
        <n x="64"/>
        <n x="109"/>
      </t>
    </mdx>
    <mdx n="0" f="v">
      <t c="8">
        <n x="1" s="1"/>
        <n x="2" s="1"/>
        <n x="5" s="1"/>
        <n x="3" s="1"/>
        <n x="4" s="1"/>
        <n x="104"/>
        <n x="64"/>
        <n x="103"/>
      </t>
    </mdx>
    <mdx n="0" f="v">
      <t c="8">
        <n x="1" s="1"/>
        <n x="2" s="1"/>
        <n x="5" s="1"/>
        <n x="3" s="1"/>
        <n x="4" s="1"/>
        <n x="104"/>
        <n x="64"/>
        <n x="69"/>
      </t>
    </mdx>
    <mdx n="0" f="v">
      <t c="8">
        <n x="1" s="1"/>
        <n x="2" s="1"/>
        <n x="5" s="1"/>
        <n x="3" s="1"/>
        <n x="4" s="1"/>
        <n x="104"/>
        <n x="150"/>
        <n x="115"/>
      </t>
    </mdx>
    <mdx n="0" f="v">
      <t c="8">
        <n x="1" s="1"/>
        <n x="2" s="1"/>
        <n x="5" s="1"/>
        <n x="3" s="1"/>
        <n x="4" s="1"/>
        <n x="104"/>
        <n x="150"/>
        <n x="76"/>
      </t>
    </mdx>
    <mdx n="0" f="v">
      <t c="8">
        <n x="1" s="1"/>
        <n x="2" s="1"/>
        <n x="5" s="1"/>
        <n x="3" s="1"/>
        <n x="4" s="1"/>
        <n x="104"/>
        <n x="150"/>
        <n x="49"/>
      </t>
    </mdx>
    <mdx n="0" f="v">
      <t c="8">
        <n x="1" s="1"/>
        <n x="2" s="1"/>
        <n x="5" s="1"/>
        <n x="3" s="1"/>
        <n x="4" s="1"/>
        <n x="104"/>
        <n x="38"/>
        <n x="28"/>
      </t>
    </mdx>
    <mdx n="0" f="v">
      <t c="8">
        <n x="1" s="1"/>
        <n x="2" s="1"/>
        <n x="5" s="1"/>
        <n x="3" s="1"/>
        <n x="4" s="1"/>
        <n x="104"/>
        <n x="38"/>
        <n x="29"/>
      </t>
    </mdx>
    <mdx n="0" f="v">
      <t c="8">
        <n x="1" s="1"/>
        <n x="2" s="1"/>
        <n x="5" s="1"/>
        <n x="3" s="1"/>
        <n x="4" s="1"/>
        <n x="104"/>
        <n x="38"/>
        <n x="16"/>
      </t>
    </mdx>
    <mdx n="0" f="v">
      <t c="8">
        <n x="1" s="1"/>
        <n x="2" s="1"/>
        <n x="5" s="1"/>
        <n x="3" s="1"/>
        <n x="4" s="1"/>
        <n x="104"/>
        <n x="46"/>
        <n x="84"/>
      </t>
    </mdx>
    <mdx n="0" f="v">
      <t c="8">
        <n x="1" s="1"/>
        <n x="2" s="1"/>
        <n x="5" s="1"/>
        <n x="3" s="1"/>
        <n x="4" s="1"/>
        <n x="104"/>
        <n x="46"/>
        <n x="160"/>
      </t>
    </mdx>
    <mdx n="0" f="v">
      <t c="8">
        <n x="1" s="1"/>
        <n x="2" s="1"/>
        <n x="5" s="1"/>
        <n x="3" s="1"/>
        <n x="4" s="1"/>
        <n x="104"/>
        <n x="46"/>
        <n x="148"/>
      </t>
    </mdx>
    <mdx n="0" f="v">
      <t c="8">
        <n x="1" s="1"/>
        <n x="2" s="1"/>
        <n x="5" s="1"/>
        <n x="3" s="1"/>
        <n x="4" s="1"/>
        <n x="104"/>
        <n x="163" s="1"/>
        <n x="86"/>
      </t>
    </mdx>
    <mdx n="0" f="v">
      <t c="8">
        <n x="1" s="1"/>
        <n x="2" s="1"/>
        <n x="5" s="1"/>
        <n x="3" s="1"/>
        <n x="4" s="1"/>
        <n x="104"/>
        <n x="60"/>
        <n x="122"/>
      </t>
    </mdx>
    <mdx n="0" f="v">
      <t c="8">
        <n x="1" s="1"/>
        <n x="2" s="1"/>
        <n x="5" s="1"/>
        <n x="3" s="1"/>
        <n x="4" s="1"/>
        <n x="104"/>
        <n x="6"/>
        <n x="94"/>
      </t>
    </mdx>
    <mdx n="0" f="v">
      <t c="8">
        <n x="1" s="1"/>
        <n x="2" s="1"/>
        <n x="5" s="1"/>
        <n x="3" s="1"/>
        <n x="4" s="1"/>
        <n x="104"/>
        <n x="21"/>
        <n x="29"/>
      </t>
    </mdx>
    <mdx n="0" f="v">
      <t c="8">
        <n x="1" s="1"/>
        <n x="2" s="1"/>
        <n x="5" s="1"/>
        <n x="3" s="1"/>
        <n x="4" s="1"/>
        <n x="104"/>
        <n x="34"/>
        <n x="19"/>
      </t>
    </mdx>
    <mdx n="0" f="v">
      <t c="8">
        <n x="1" s="1"/>
        <n x="2" s="1"/>
        <n x="5" s="1"/>
        <n x="3" s="1"/>
        <n x="4" s="1"/>
        <n x="104"/>
        <n x="65"/>
        <n x="75"/>
      </t>
    </mdx>
    <mdx n="0" f="v">
      <t c="8">
        <n x="1" s="1"/>
        <n x="2" s="1"/>
        <n x="5" s="1"/>
        <n x="3" s="1"/>
        <n x="4" s="1"/>
        <n x="104"/>
        <n x="65"/>
        <n x="95"/>
      </t>
    </mdx>
    <mdx n="0" f="v">
      <t c="8">
        <n x="1" s="1"/>
        <n x="2" s="1"/>
        <n x="5" s="1"/>
        <n x="3" s="1"/>
        <n x="4" s="1"/>
        <n x="104"/>
        <n x="70"/>
        <n x="127"/>
      </t>
    </mdx>
    <mdx n="0" f="v">
      <t c="8">
        <n x="1" s="1"/>
        <n x="2" s="1"/>
        <n x="5" s="1"/>
        <n x="3" s="1"/>
        <n x="4" s="1"/>
        <n x="104"/>
        <n x="79"/>
        <n x="103"/>
      </t>
    </mdx>
    <mdx n="0" f="v">
      <t c="8">
        <n x="1" s="1"/>
        <n x="2" s="1"/>
        <n x="5" s="1"/>
        <n x="3" s="1"/>
        <n x="4" s="1"/>
        <n x="104"/>
        <n x="88"/>
        <n x="20"/>
      </t>
    </mdx>
    <mdx n="0" f="v">
      <t c="8">
        <n x="1" s="1"/>
        <n x="2" s="1"/>
        <n x="5" s="1"/>
        <n x="3" s="1"/>
        <n x="4" s="1"/>
        <n x="104"/>
        <n x="97"/>
        <n x="102"/>
      </t>
    </mdx>
    <mdx n="0" f="v">
      <t c="8">
        <n x="1" s="1"/>
        <n x="2" s="1"/>
        <n x="5" s="1"/>
        <n x="3" s="1"/>
        <n x="4" s="1"/>
        <n x="104"/>
        <n x="36"/>
        <n x="84"/>
      </t>
    </mdx>
    <mdx n="0" f="v">
      <t c="8">
        <n x="1" s="1"/>
        <n x="2" s="1"/>
        <n x="5" s="1"/>
        <n x="3" s="1"/>
        <n x="4" s="1"/>
        <n x="104"/>
        <n x="110"/>
        <n x="164" s="1"/>
      </t>
    </mdx>
    <mdx n="0" f="v">
      <t c="8">
        <n x="1" s="1"/>
        <n x="2" s="1"/>
        <n x="5" s="1"/>
        <n x="3" s="1"/>
        <n x="4" s="1"/>
        <n x="104"/>
        <n x="110"/>
        <n x="141"/>
      </t>
    </mdx>
    <mdx n="0" f="v">
      <t c="8">
        <n x="1" s="1"/>
        <n x="2" s="1"/>
        <n x="5" s="1"/>
        <n x="3" s="1"/>
        <n x="4" s="1"/>
        <n x="104"/>
        <n x="105"/>
        <n x="44"/>
      </t>
    </mdx>
    <mdx n="0" f="v">
      <t c="8">
        <n x="1" s="1"/>
        <n x="2" s="1"/>
        <n x="5" s="1"/>
        <n x="3" s="1"/>
        <n x="4" s="1"/>
        <n x="104"/>
        <n x="120"/>
        <n x="58"/>
      </t>
    </mdx>
    <mdx n="0" f="v">
      <t c="8">
        <n x="1" s="1"/>
        <n x="2" s="1"/>
        <n x="5" s="1"/>
        <n x="3" s="1"/>
        <n x="4" s="1"/>
        <n x="104"/>
        <n x="133"/>
        <n x="115"/>
      </t>
    </mdx>
    <mdx n="0" f="v">
      <t c="8">
        <n x="1" s="1"/>
        <n x="2" s="1"/>
        <n x="5" s="1"/>
        <n x="3" s="1"/>
        <n x="4" s="1"/>
        <n x="104"/>
        <n x="137"/>
        <n x="93"/>
      </t>
    </mdx>
    <mdx n="0" f="v">
      <t c="8">
        <n x="1" s="1"/>
        <n x="2" s="1"/>
        <n x="5" s="1"/>
        <n x="3" s="1"/>
        <n x="4" s="1"/>
        <n x="104"/>
        <n x="142"/>
        <n x="56"/>
      </t>
    </mdx>
    <mdx n="0" f="v">
      <t c="8">
        <n x="1" s="1"/>
        <n x="2" s="1"/>
        <n x="5" s="1"/>
        <n x="3" s="1"/>
        <n x="4" s="1"/>
        <n x="104"/>
        <n x="142"/>
        <n x="148"/>
      </t>
    </mdx>
    <mdx n="0" f="v">
      <t c="8">
        <n x="1" s="1"/>
        <n x="2" s="1"/>
        <n x="5" s="1"/>
        <n x="3" s="1"/>
        <n x="4" s="1"/>
        <n x="104"/>
        <n x="78"/>
        <n x="116"/>
      </t>
    </mdx>
    <mdx n="0" f="v">
      <t c="8">
        <n x="1" s="1"/>
        <n x="2" s="1"/>
        <n x="5" s="1"/>
        <n x="3" s="1"/>
        <n x="4" s="1"/>
        <n x="104"/>
        <n x="7"/>
        <n x="76"/>
      </t>
    </mdx>
    <mdx n="0" f="v">
      <t c="8">
        <n x="1" s="1"/>
        <n x="2" s="1"/>
        <n x="5" s="1"/>
        <n x="3" s="1"/>
        <n x="4" s="1"/>
        <n x="104"/>
        <n x="22"/>
        <n x="107"/>
      </t>
    </mdx>
    <mdx n="0" f="v">
      <t c="8">
        <n x="1" s="1"/>
        <n x="2" s="1"/>
        <n x="5" s="1"/>
        <n x="3" s="1"/>
        <n x="4" s="1"/>
        <n x="104"/>
        <n x="30"/>
        <n x="13"/>
      </t>
    </mdx>
    <mdx n="0" f="v">
      <t c="8">
        <n x="1" s="1"/>
        <n x="2" s="1"/>
        <n x="5" s="1"/>
        <n x="3" s="1"/>
        <n x="4" s="1"/>
        <n x="104"/>
        <n x="30"/>
        <n x="33"/>
      </t>
    </mdx>
    <mdx n="0" f="v">
      <t c="8">
        <n x="1" s="1"/>
        <n x="2" s="1"/>
        <n x="5" s="1"/>
        <n x="3" s="1"/>
        <n x="4" s="1"/>
        <n x="104"/>
        <n x="149"/>
        <n x="119"/>
      </t>
    </mdx>
    <mdx n="0" f="v">
      <t c="8">
        <n x="1" s="1"/>
        <n x="2" s="1"/>
        <n x="5" s="1"/>
        <n x="3" s="1"/>
        <n x="4" s="1"/>
        <n x="104"/>
        <n x="156"/>
        <n x="128"/>
      </t>
    </mdx>
    <mdx n="0" f="v">
      <t c="8">
        <n x="1" s="1"/>
        <n x="2" s="1"/>
        <n x="5" s="1"/>
        <n x="3" s="1"/>
        <n x="4" s="1"/>
        <n x="104"/>
        <n x="156"/>
        <n x="95"/>
      </t>
    </mdx>
    <mdx n="0" f="v">
      <t c="8">
        <n x="1" s="1"/>
        <n x="2" s="1"/>
        <n x="5" s="1"/>
        <n x="3" s="1"/>
        <n x="4" s="1"/>
        <n x="104"/>
        <n x="158"/>
        <n x="119"/>
      </t>
    </mdx>
    <mdx n="0" f="v">
      <t c="8">
        <n x="1" s="1"/>
        <n x="2" s="1"/>
        <n x="5" s="1"/>
        <n x="3" s="1"/>
        <n x="4" s="1"/>
        <n x="104"/>
        <n x="161"/>
        <n x="20"/>
      </t>
    </mdx>
    <mdx n="0" f="v">
      <t c="8">
        <n x="1" s="1"/>
        <n x="2" s="1"/>
        <n x="5" s="1"/>
        <n x="3" s="1"/>
        <n x="4" s="1"/>
        <n x="104"/>
        <n x="66"/>
        <n x="28"/>
      </t>
    </mdx>
    <mdx n="0" f="v">
      <t c="8">
        <n x="1" s="1"/>
        <n x="2" s="1"/>
        <n x="5" s="1"/>
        <n x="3" s="1"/>
        <n x="4" s="1"/>
        <n x="104"/>
        <n x="66"/>
        <n x="155"/>
      </t>
    </mdx>
    <mdx n="0" f="v">
      <t c="8">
        <n x="1" s="1"/>
        <n x="2" s="1"/>
        <n x="5" s="1"/>
        <n x="3" s="1"/>
        <n x="4" s="1"/>
        <n x="104"/>
        <n x="37"/>
        <n x="122"/>
      </t>
    </mdx>
    <mdx n="0" f="v">
      <t c="8">
        <n x="1" s="1"/>
        <n x="2" s="1"/>
        <n x="5" s="1"/>
        <n x="3" s="1"/>
        <n x="4" s="1"/>
        <n x="104"/>
        <n x="71"/>
        <n x="147"/>
      </t>
    </mdx>
    <mdx n="0" f="v">
      <t c="8">
        <n x="1" s="1"/>
        <n x="2" s="1"/>
        <n x="5" s="1"/>
        <n x="3" s="1"/>
        <n x="4" s="1"/>
        <n x="104"/>
        <n x="80"/>
        <n x="164" s="1"/>
      </t>
    </mdx>
    <mdx n="0" f="v">
      <t c="8">
        <n x="1" s="1"/>
        <n x="2" s="1"/>
        <n x="5" s="1"/>
        <n x="3" s="1"/>
        <n x="4" s="1"/>
        <n x="104"/>
        <n x="80"/>
        <n x="122"/>
      </t>
    </mdx>
    <mdx n="0" f="v">
      <t c="8">
        <n x="1" s="1"/>
        <n x="2" s="1"/>
        <n x="5" s="1"/>
        <n x="3" s="1"/>
        <n x="4" s="1"/>
        <n x="104"/>
        <n x="89"/>
        <n x="58"/>
      </t>
    </mdx>
    <mdx n="0" f="v">
      <t c="8">
        <n x="1" s="1"/>
        <n x="2" s="1"/>
        <n x="5" s="1"/>
        <n x="3" s="1"/>
        <n x="4" s="1"/>
        <n x="104"/>
        <n x="98"/>
        <n x="19"/>
      </t>
    </mdx>
    <mdx n="0" f="v">
      <t c="8">
        <n x="1" s="1"/>
        <n x="2" s="1"/>
        <n x="5" s="1"/>
        <n x="3" s="1"/>
        <n x="4" s="1"/>
        <n x="104"/>
        <n x="98"/>
        <n x="49"/>
      </t>
    </mdx>
    <mdx n="0" f="v">
      <t c="8">
        <n x="1" s="1"/>
        <n x="2" s="1"/>
        <n x="5" s="1"/>
        <n x="3" s="1"/>
        <n x="4" s="1"/>
        <n x="104"/>
        <n x="111"/>
        <n x="127"/>
      </t>
    </mdx>
    <mdx n="0" f="v">
      <t c="8">
        <n x="1" s="1"/>
        <n x="2" s="1"/>
        <n x="5" s="1"/>
        <n x="3" s="1"/>
        <n x="4" s="1"/>
        <n x="104"/>
        <n x="117"/>
        <n x="59"/>
      </t>
    </mdx>
    <mdx n="0" f="v">
      <t c="8">
        <n x="1" s="1"/>
        <n x="2" s="1"/>
        <n x="5" s="1"/>
        <n x="3" s="1"/>
        <n x="4" s="1"/>
        <n x="104"/>
        <n x="130"/>
        <n x="56"/>
      </t>
    </mdx>
    <mdx n="0" f="v">
      <t c="8">
        <n x="1" s="1"/>
        <n x="2" s="1"/>
        <n x="5" s="1"/>
        <n x="3" s="1"/>
        <n x="4" s="1"/>
        <n x="104"/>
        <n x="130"/>
        <n x="127"/>
      </t>
    </mdx>
    <mdx n="0" f="v">
      <t c="8">
        <n x="1" s="1"/>
        <n x="2" s="1"/>
        <n x="5" s="1"/>
        <n x="3" s="1"/>
        <n x="4" s="1"/>
        <n x="104"/>
        <n x="8"/>
        <n x="76"/>
      </t>
    </mdx>
    <mdx n="0" f="v">
      <t c="8">
        <n x="1" s="1"/>
        <n x="2" s="1"/>
        <n x="5" s="1"/>
        <n x="3" s="1"/>
        <n x="4" s="1"/>
        <n x="104"/>
        <n x="23"/>
        <n x="102"/>
      </t>
    </mdx>
    <mdx n="0" f="v">
      <t c="8">
        <n x="1" s="1"/>
        <n x="2" s="1"/>
        <n x="5" s="1"/>
        <n x="3" s="1"/>
        <n x="4" s="1"/>
        <n x="104"/>
        <n x="23"/>
        <n x="52"/>
      </t>
    </mdx>
    <mdx n="0" f="v">
      <t c="8">
        <n x="1" s="1"/>
        <n x="2" s="1"/>
        <n x="5" s="1"/>
        <n x="3" s="1"/>
        <n x="4" s="1"/>
        <n x="104"/>
        <n x="17"/>
        <n x="141"/>
      </t>
    </mdx>
    <mdx n="0" f="v">
      <t c="8">
        <n x="1" s="1"/>
        <n x="2" s="1"/>
        <n x="5" s="1"/>
        <n x="3" s="1"/>
        <n x="4" s="1"/>
        <n x="104"/>
        <n x="126"/>
        <n x="154"/>
      </t>
    </mdx>
    <mdx n="0" f="v">
      <t c="8">
        <n x="1" s="1"/>
        <n x="2" s="1"/>
        <n x="5" s="1"/>
        <n x="3" s="1"/>
        <n x="4" s="1"/>
        <n x="104"/>
        <n x="138"/>
        <n x="62"/>
      </t>
    </mdx>
    <mdx n="0" f="v">
      <t c="8">
        <n x="1" s="1"/>
        <n x="2" s="1"/>
        <n x="5" s="1"/>
        <n x="3" s="1"/>
        <n x="4" s="1"/>
        <n x="104"/>
        <n x="138"/>
        <n x="141"/>
      </t>
    </mdx>
    <mdx n="0" f="v">
      <t c="8">
        <n x="1" s="1"/>
        <n x="2" s="1"/>
        <n x="5" s="1"/>
        <n x="3" s="1"/>
        <n x="4" s="1"/>
        <n x="104"/>
        <n x="143"/>
        <n x="76"/>
      </t>
    </mdx>
    <mdx n="0" f="v">
      <t c="8">
        <n x="1" s="1"/>
        <n x="2" s="1"/>
        <n x="5" s="1"/>
        <n x="3" s="1"/>
        <n x="4" s="1"/>
        <n x="104"/>
        <n x="143"/>
        <n x="95"/>
      </t>
    </mdx>
    <mdx n="0" f="v">
      <t c="8">
        <n x="1" s="1"/>
        <n x="2" s="1"/>
        <n x="5" s="1"/>
        <n x="3" s="1"/>
        <n x="4" s="1"/>
        <n x="104"/>
        <n x="64"/>
        <n x="43"/>
      </t>
    </mdx>
    <mdx n="0" f="v">
      <t c="8">
        <n x="1" s="1"/>
        <n x="2" s="1"/>
        <n x="5" s="1"/>
        <n x="3" s="1"/>
        <n x="4" s="1"/>
        <n x="104"/>
        <n x="64"/>
        <n x="44"/>
      </t>
    </mdx>
    <mdx n="0" f="v">
      <t c="8">
        <n x="1" s="1"/>
        <n x="2" s="1"/>
        <n x="5" s="1"/>
        <n x="3" s="1"/>
        <n x="4" s="1"/>
        <n x="104"/>
        <n x="64"/>
        <n x="45"/>
      </t>
    </mdx>
    <mdx n="0" f="v">
      <t c="8">
        <n x="1" s="1"/>
        <n x="2" s="1"/>
        <n x="5" s="1"/>
        <n x="3" s="1"/>
        <n x="4" s="1"/>
        <n x="104"/>
        <n x="150"/>
        <n x="107"/>
      </t>
    </mdx>
    <mdx n="0" f="v">
      <t c="8">
        <n x="1" s="1"/>
        <n x="2" s="1"/>
        <n x="5" s="1"/>
        <n x="3" s="1"/>
        <n x="4" s="1"/>
        <n x="104"/>
        <n x="150"/>
        <n x="85"/>
      </t>
    </mdx>
    <mdx n="0" f="v">
      <t c="8">
        <n x="1" s="1"/>
        <n x="2" s="1"/>
        <n x="5" s="1"/>
        <n x="3" s="1"/>
        <n x="4" s="1"/>
        <n x="104"/>
        <n x="150"/>
        <n x="52"/>
      </t>
    </mdx>
    <mdx n="0" f="v">
      <t c="8">
        <n x="1" s="1"/>
        <n x="2" s="1"/>
        <n x="5" s="1"/>
        <n x="3" s="1"/>
        <n x="4" s="1"/>
        <n x="104"/>
        <n x="38"/>
        <n x="19"/>
      </t>
    </mdx>
    <mdx n="0" f="v">
      <t c="8">
        <n x="1" s="1"/>
        <n x="2" s="1"/>
        <n x="5" s="1"/>
        <n x="3" s="1"/>
        <n x="4" s="1"/>
        <n x="104"/>
        <n x="38"/>
        <n x="20"/>
      </t>
    </mdx>
    <mdx n="0" f="v">
      <t c="8">
        <n x="1" s="1"/>
        <n x="2" s="1"/>
        <n x="5" s="1"/>
        <n x="3" s="1"/>
        <n x="4" s="1"/>
        <n x="104"/>
        <n x="38"/>
        <n x="33"/>
      </t>
    </mdx>
    <mdx n="0" f="v">
      <t c="8">
        <n x="1" s="1"/>
        <n x="2" s="1"/>
        <n x="5" s="1"/>
        <n x="3" s="1"/>
        <n x="4" s="1"/>
        <n x="104"/>
        <n x="46"/>
        <n x="93"/>
      </t>
    </mdx>
    <mdx n="0" f="v">
      <t c="8">
        <n x="1" s="1"/>
        <n x="2" s="1"/>
        <n x="5" s="1"/>
        <n x="3" s="1"/>
        <n x="4" s="1"/>
        <n x="104"/>
        <n x="46"/>
        <n x="162"/>
      </t>
    </mdx>
    <mdx n="0" f="v">
      <t c="8">
        <n x="1" s="1"/>
        <n x="2" s="1"/>
        <n x="5" s="1"/>
        <n x="3" s="1"/>
        <n x="4" s="1"/>
        <n x="104"/>
        <n x="46"/>
        <n x="87"/>
      </t>
    </mdx>
    <mdx n="0" f="v">
      <t c="8">
        <n x="1" s="1"/>
        <n x="2" s="1"/>
        <n x="5" s="1"/>
        <n x="3" s="1"/>
        <n x="4" s="1"/>
        <n x="104"/>
        <n x="50"/>
        <n x="63"/>
      </t>
    </mdx>
    <mdx n="0" f="v">
      <t c="8">
        <n x="1" s="1"/>
        <n x="2" s="1"/>
        <n x="5" s="1"/>
        <n x="3" s="1"/>
        <n x="4" s="1"/>
        <n x="104"/>
        <n x="50"/>
        <n x="154"/>
      </t>
    </mdx>
    <mdx n="0" f="v">
      <t c="8">
        <n x="1" s="1"/>
        <n x="2" s="1"/>
        <n x="5" s="1"/>
        <n x="3" s="1"/>
        <n x="4" s="1"/>
        <n x="104"/>
        <n x="50"/>
        <n x="127"/>
      </t>
    </mdx>
    <mdx n="0" f="v">
      <t c="8">
        <n x="1" s="1"/>
        <n x="2" s="1"/>
        <n x="5" s="1"/>
        <n x="3" s="1"/>
        <n x="4" s="1"/>
        <n x="104"/>
        <n x="61"/>
        <n x="164" s="1"/>
      </t>
    </mdx>
    <mdx n="0" f="v">
      <t c="8">
        <n x="1" s="1"/>
        <n x="2" s="1"/>
        <n x="5" s="1"/>
        <n x="3" s="1"/>
        <n x="4" s="1"/>
        <n x="104"/>
        <n x="61"/>
        <n x="128"/>
      </t>
    </mdx>
    <mdx n="0" f="v">
      <t c="8">
        <n x="1" s="1"/>
        <n x="2" s="1"/>
        <n x="5" s="1"/>
        <n x="3" s="1"/>
        <n x="4" s="1"/>
        <n x="104"/>
        <n x="61"/>
        <n x="116"/>
      </t>
    </mdx>
    <mdx n="0" f="v">
      <t c="8">
        <n x="1" s="1"/>
        <n x="2" s="1"/>
        <n x="5" s="1"/>
        <n x="3" s="1"/>
        <n x="4" s="1"/>
        <n x="104"/>
        <n x="61"/>
        <n x="77"/>
      </t>
    </mdx>
    <mdx n="0" f="v">
      <t c="8">
        <n x="1" s="1"/>
        <n x="2" s="1"/>
        <n x="5" s="1"/>
        <n x="3" s="1"/>
        <n x="4" s="1"/>
        <n x="104"/>
        <n x="67"/>
        <n x="108"/>
      </t>
    </mdx>
    <mdx n="0" f="v">
      <t c="8">
        <n x="1" s="1"/>
        <n x="2" s="1"/>
        <n x="5" s="1"/>
        <n x="3" s="1"/>
        <n x="4" s="1"/>
        <n x="104"/>
        <n x="67"/>
        <n x="94"/>
      </t>
    </mdx>
    <mdx n="0" f="v">
      <t c="8">
        <n x="1" s="1"/>
        <n x="2" s="1"/>
        <n x="5" s="1"/>
        <n x="3" s="1"/>
        <n x="4" s="1"/>
        <n x="104"/>
        <n x="67"/>
        <n x="54"/>
      </t>
    </mdx>
    <mdx n="0" f="v">
      <t c="8">
        <n x="1" s="1"/>
        <n x="2" s="1"/>
        <n x="5" s="1"/>
        <n x="3" s="1"/>
        <n x="4" s="1"/>
        <n x="104"/>
        <n x="72"/>
        <n x="102"/>
      </t>
    </mdx>
    <mdx n="0" f="v">
      <t c="8">
        <n x="1" s="1"/>
        <n x="2" s="1"/>
        <n x="5" s="1"/>
        <n x="3" s="1"/>
        <n x="4" s="1"/>
        <n x="104"/>
        <n x="72"/>
        <n x="58"/>
      </t>
    </mdx>
    <mdx n="0" f="v">
      <t c="8">
        <n x="1" s="1"/>
        <n x="2" s="1"/>
        <n x="5" s="1"/>
        <n x="3" s="1"/>
        <n x="4" s="1"/>
        <n x="104"/>
        <n x="72"/>
        <n x="155"/>
      </t>
    </mdx>
    <mdx n="0" f="v">
      <t c="8">
        <n x="1" s="1"/>
        <n x="2" s="1"/>
        <n x="5" s="1"/>
        <n x="3" s="1"/>
        <n x="4" s="1"/>
        <n x="104"/>
        <n x="81"/>
        <n x="13"/>
      </t>
    </mdx>
    <mdx n="0" f="v">
      <t c="8">
        <n x="1" s="1"/>
        <n x="2" s="1"/>
        <n x="5" s="1"/>
        <n x="3" s="1"/>
        <n x="4" s="1"/>
        <n x="104"/>
        <n x="81"/>
        <n x="14"/>
      </t>
    </mdx>
    <mdx n="0" f="v">
      <t c="8">
        <n x="1" s="1"/>
        <n x="2" s="1"/>
        <n x="5" s="1"/>
        <n x="3" s="1"/>
        <n x="4" s="1"/>
        <n x="104"/>
        <n x="81"/>
        <n x="15"/>
      </t>
    </mdx>
    <mdx n="0" f="v">
      <t c="8">
        <n x="1" s="1"/>
        <n x="2" s="1"/>
        <n x="5" s="1"/>
        <n x="3" s="1"/>
        <n x="4" s="1"/>
        <n x="104"/>
        <n x="90"/>
        <n x="75"/>
      </t>
    </mdx>
    <mdx n="0" f="v">
      <t c="8">
        <n x="1" s="1"/>
        <n x="2" s="1"/>
        <n x="5" s="1"/>
        <n x="3" s="1"/>
        <n x="4" s="1"/>
        <n x="104"/>
        <n x="90"/>
        <n x="48"/>
      </t>
    </mdx>
    <mdx n="0" f="v">
      <t c="8">
        <n x="1" s="1"/>
        <n x="2" s="1"/>
        <n x="5" s="1"/>
        <n x="3" s="1"/>
        <n x="4" s="1"/>
        <n x="104"/>
        <n x="90"/>
        <n x="141"/>
      </t>
    </mdx>
    <mdx n="0" f="v">
      <t c="8">
        <n x="1" s="1"/>
        <n x="2" s="1"/>
        <n x="5" s="1"/>
        <n x="3" s="1"/>
        <n x="4" s="1"/>
        <n x="104"/>
        <n x="9"/>
        <n x="56"/>
      </t>
    </mdx>
    <mdx n="0" f="v">
      <t c="8">
        <n x="1" s="1"/>
        <n x="2" s="1"/>
        <n x="5" s="1"/>
        <n x="3" s="1"/>
        <n x="4" s="1"/>
        <n x="104"/>
        <n x="9"/>
        <n x="147"/>
      </t>
    </mdx>
    <mdx n="0" f="v">
      <t c="8">
        <n x="1" s="1"/>
        <n x="2" s="1"/>
        <n x="5" s="1"/>
        <n x="3" s="1"/>
        <n x="4" s="1"/>
        <n x="104"/>
        <n x="9"/>
        <n x="119"/>
      </t>
    </mdx>
    <mdx n="0" f="v">
      <t c="8">
        <n x="1" s="1"/>
        <n x="2" s="1"/>
        <n x="5" s="1"/>
        <n x="3" s="1"/>
        <n x="4" s="1"/>
        <n x="104"/>
        <n x="9"/>
        <n x="86"/>
      </t>
    </mdx>
    <mdx n="0" f="v">
      <t c="8">
        <n x="1" s="1"/>
        <n x="2" s="1"/>
        <n x="5" s="1"/>
        <n x="3" s="1"/>
        <n x="4" s="1"/>
        <n x="104"/>
        <n x="24"/>
        <n x="109"/>
      </t>
    </mdx>
    <mdx n="0" f="v">
      <t c="8">
        <n x="1" s="1"/>
        <n x="2" s="1"/>
        <n x="5" s="1"/>
        <n x="3" s="1"/>
        <n x="4" s="1"/>
        <n x="104"/>
        <n x="24"/>
        <n x="103"/>
      </t>
    </mdx>
    <mdx n="0" f="v">
      <t c="8">
        <n x="1" s="1"/>
        <n x="2" s="1"/>
        <n x="5" s="1"/>
        <n x="3" s="1"/>
        <n x="4" s="1"/>
        <n x="104"/>
        <n x="24"/>
        <n x="69"/>
      </t>
    </mdx>
    <mdx n="0" f="v">
      <t c="8">
        <n x="1" s="1"/>
        <n x="2" s="1"/>
        <n x="5" s="1"/>
        <n x="3" s="1"/>
        <n x="4" s="1"/>
        <n x="104"/>
        <n x="31"/>
        <n x="115"/>
      </t>
    </mdx>
    <mdx n="0" f="v">
      <t c="8">
        <n x="1" s="1"/>
        <n x="2" s="1"/>
        <n x="5" s="1"/>
        <n x="3" s="1"/>
        <n x="4" s="1"/>
        <n x="104"/>
        <n x="31"/>
        <n x="76"/>
      </t>
    </mdx>
    <mdx n="0" f="v">
      <t c="8">
        <n x="1" s="1"/>
        <n x="2" s="1"/>
        <n x="5" s="1"/>
        <n x="3" s="1"/>
        <n x="4" s="1"/>
        <n x="104"/>
        <n x="31"/>
        <n x="49"/>
      </t>
    </mdx>
    <mdx n="0" f="v">
      <t c="8">
        <n x="1" s="1"/>
        <n x="2" s="1"/>
        <n x="5" s="1"/>
        <n x="3" s="1"/>
        <n x="4" s="1"/>
        <n x="104"/>
        <n x="99"/>
        <n x="28"/>
      </t>
    </mdx>
    <mdx n="0" f="v">
      <t c="8">
        <n x="1" s="1"/>
        <n x="2" s="1"/>
        <n x="5" s="1"/>
        <n x="3" s="1"/>
        <n x="4" s="1"/>
        <n x="104"/>
        <n x="99"/>
        <n x="29"/>
      </t>
    </mdx>
    <mdx n="0" f="v">
      <t c="8">
        <n x="1" s="1"/>
        <n x="2" s="1"/>
        <n x="5" s="1"/>
        <n x="3" s="1"/>
        <n x="4" s="1"/>
        <n x="104"/>
        <n x="99"/>
        <n x="16"/>
      </t>
    </mdx>
    <mdx n="0" f="v">
      <t c="8">
        <n x="1" s="1"/>
        <n x="2" s="1"/>
        <n x="5" s="1"/>
        <n x="3" s="1"/>
        <n x="4" s="1"/>
        <n x="104"/>
        <n x="112"/>
        <n x="84"/>
      </t>
    </mdx>
    <mdx n="0" f="v">
      <t c="8">
        <n x="1" s="1"/>
        <n x="2" s="1"/>
        <n x="5" s="1"/>
        <n x="3" s="1"/>
        <n x="4" s="1"/>
        <n x="104"/>
        <n x="112"/>
        <n x="160"/>
      </t>
    </mdx>
    <mdx n="0" f="v">
      <t c="8">
        <n x="1" s="1"/>
        <n x="2" s="1"/>
        <n x="5" s="1"/>
        <n x="3" s="1"/>
        <n x="4" s="1"/>
        <n x="104"/>
        <n x="112"/>
        <n x="148"/>
      </t>
    </mdx>
    <mdx n="0" f="v">
      <t c="8">
        <n x="1" s="1"/>
        <n x="2" s="1"/>
        <n x="5" s="1"/>
        <n x="3" s="1"/>
        <n x="4" s="1"/>
        <n x="104"/>
        <n x="106"/>
        <n x="62"/>
      </t>
    </mdx>
    <mdx n="0" f="v">
      <t c="8">
        <n x="1" s="1"/>
        <n x="2" s="1"/>
        <n x="5" s="1"/>
        <n x="3" s="1"/>
        <n x="4" s="1"/>
        <n x="104"/>
        <n x="106"/>
        <n x="59"/>
      </t>
    </mdx>
    <mdx n="0" f="v">
      <t c="8">
        <n x="1" s="1"/>
        <n x="2" s="1"/>
        <n x="5" s="1"/>
        <n x="3" s="1"/>
        <n x="4" s="1"/>
        <n x="104"/>
        <n x="106"/>
        <n x="122"/>
      </t>
    </mdx>
    <mdx n="0" f="v">
      <t c="8">
        <n x="1" s="1"/>
        <n x="2" s="1"/>
        <n x="5" s="1"/>
        <n x="3" s="1"/>
        <n x="4" s="1"/>
        <n x="104"/>
        <n x="106"/>
        <n x="95"/>
      </t>
    </mdx>
    <mdx n="0" f="v">
      <t c="8">
        <n x="1" s="1"/>
        <n x="2" s="1"/>
        <n x="5" s="1"/>
        <n x="3" s="1"/>
        <n x="4" s="1"/>
        <n x="104"/>
        <n x="125"/>
        <n x="43"/>
      </t>
    </mdx>
    <mdx n="0" f="v">
      <t c="8">
        <n x="1" s="1"/>
        <n x="2" s="1"/>
        <n x="5" s="1"/>
        <n x="3" s="1"/>
        <n x="4" s="1"/>
        <n x="104"/>
        <n x="125"/>
        <n x="44"/>
      </t>
    </mdx>
    <mdx n="0" f="v">
      <t c="8">
        <n x="1" s="1"/>
        <n x="2" s="1"/>
        <n x="5" s="1"/>
        <n x="3" s="1"/>
        <n x="4" s="1"/>
        <n x="104"/>
        <n x="125"/>
        <n x="45"/>
      </t>
    </mdx>
    <mdx n="0" f="v">
      <t c="8">
        <n x="1" s="1"/>
        <n x="2" s="1"/>
        <n x="5" s="1"/>
        <n x="3" s="1"/>
        <n x="4" s="1"/>
        <n x="104"/>
        <n x="123"/>
        <n x="107"/>
      </t>
    </mdx>
    <mdx n="0" f="v">
      <t c="8">
        <n x="1" s="1"/>
        <n x="2" s="1"/>
        <n x="5" s="1"/>
        <n x="3" s="1"/>
        <n x="4" s="1"/>
        <n x="104"/>
        <n x="123"/>
        <n x="85"/>
      </t>
    </mdx>
    <mdx n="0" f="v">
      <t c="8">
        <n x="1" s="1"/>
        <n x="2" s="1"/>
        <n x="5" s="1"/>
        <n x="3" s="1"/>
        <n x="4" s="1"/>
        <n x="104"/>
        <n x="123"/>
        <n x="52"/>
      </t>
    </mdx>
    <mdx n="0" f="v">
      <t c="8">
        <n x="1" s="1"/>
        <n x="2" s="1"/>
        <n x="5" s="1"/>
        <n x="3" s="1"/>
        <n x="4" s="1"/>
        <n x="104"/>
        <n x="39"/>
        <n x="19"/>
      </t>
    </mdx>
    <mdx n="0" f="v">
      <t c="8">
        <n x="1" s="1"/>
        <n x="2" s="1"/>
        <n x="5" s="1"/>
        <n x="3" s="1"/>
        <n x="4" s="1"/>
        <n x="104"/>
        <n x="39"/>
        <n x="20"/>
      </t>
    </mdx>
    <mdx n="0" f="v">
      <t c="8">
        <n x="1" s="1"/>
        <n x="2" s="1"/>
        <n x="5" s="1"/>
        <n x="3" s="1"/>
        <n x="4" s="1"/>
        <n x="104"/>
        <n x="39"/>
        <n x="33"/>
      </t>
    </mdx>
    <mdx n="0" f="v">
      <t c="8">
        <n x="1" s="1"/>
        <n x="2" s="1"/>
        <n x="5" s="1"/>
        <n x="3" s="1"/>
        <n x="4" s="1"/>
        <n x="104"/>
        <n x="139"/>
        <n x="93"/>
      </t>
    </mdx>
    <mdx n="0" f="v">
      <t c="8">
        <n x="1" s="1"/>
        <n x="2" s="1"/>
        <n x="5" s="1"/>
        <n x="3" s="1"/>
        <n x="4" s="1"/>
        <n x="104"/>
        <n x="139"/>
        <n x="162"/>
      </t>
    </mdx>
    <mdx n="0" f="v">
      <t c="8">
        <n x="1" s="1"/>
        <n x="2" s="1"/>
        <n x="5" s="1"/>
        <n x="3" s="1"/>
        <n x="4" s="1"/>
        <n x="104"/>
        <n x="139"/>
        <n x="87"/>
      </t>
    </mdx>
    <mdx n="0" f="v">
      <t c="8">
        <n x="1" s="1"/>
        <n x="2" s="1"/>
        <n x="5" s="1"/>
        <n x="3" s="1"/>
        <n x="4" s="1"/>
        <n x="104"/>
        <n x="144"/>
        <n x="63"/>
      </t>
    </mdx>
    <mdx n="0" f="v">
      <t c="8">
        <n x="1" s="1"/>
        <n x="2" s="1"/>
        <n x="5" s="1"/>
        <n x="3" s="1"/>
        <n x="4" s="1"/>
        <n x="104"/>
        <n x="144"/>
        <n x="154"/>
      </t>
    </mdx>
    <mdx n="0" f="v">
      <t c="8">
        <n x="1" s="1"/>
        <n x="2" s="1"/>
        <n x="5" s="1"/>
        <n x="3" s="1"/>
        <n x="4" s="1"/>
        <n x="104"/>
        <n x="144"/>
        <n x="127"/>
      </t>
    </mdx>
    <mdx n="0" f="v">
      <t c="8">
        <n x="1" s="1"/>
        <n x="2" s="1"/>
        <n x="5" s="1"/>
        <n x="3" s="1"/>
        <n x="4" s="1"/>
        <n x="104"/>
        <n x="163" s="1"/>
        <n x="95"/>
      </t>
    </mdx>
    <mdx n="0" f="v">
      <t c="8">
        <n x="1" s="1"/>
        <n x="2" s="1"/>
        <n x="5" s="1"/>
        <n x="3" s="1"/>
        <n x="4" s="1"/>
        <n x="104"/>
        <n x="133"/>
        <n x="162"/>
      </t>
    </mdx>
    <mdx n="0" f="v">
      <t c="8">
        <n x="1" s="1"/>
        <n x="2" s="1"/>
        <n x="5" s="1"/>
        <n x="3" s="1"/>
        <n x="4" s="1"/>
        <n x="104"/>
        <n x="37"/>
        <n x="127"/>
      </t>
    </mdx>
    <mdx n="0" f="v">
      <t c="8">
        <n x="1" s="1"/>
        <n x="2" s="1"/>
        <n x="5" s="1"/>
        <n x="3" s="1"/>
        <n x="4" s="1"/>
        <n x="104"/>
        <n x="138"/>
        <n x="63"/>
      </t>
    </mdx>
    <mdx n="0" f="v">
      <t c="8">
        <n x="1" s="1"/>
        <n x="2" s="1"/>
        <n x="5" s="1"/>
        <n x="3" s="1"/>
        <n x="4" s="1"/>
        <n x="104"/>
        <n x="64"/>
        <n x="94"/>
      </t>
    </mdx>
    <mdx n="0" f="v">
      <t c="8">
        <n x="1" s="1"/>
        <n x="2" s="1"/>
        <n x="5" s="1"/>
        <n x="3" s="1"/>
        <n x="4" s="1"/>
        <n x="104"/>
        <n x="150"/>
        <n x="19"/>
      </t>
    </mdx>
    <mdx n="0" f="v">
      <t c="8">
        <n x="1" s="1"/>
        <n x="2" s="1"/>
        <n x="5" s="1"/>
        <n x="3" s="1"/>
        <n x="4" s="1"/>
        <n x="104"/>
        <n x="150"/>
        <n x="15"/>
      </t>
    </mdx>
    <mdx n="0" f="v">
      <t c="8">
        <n x="1" s="1"/>
        <n x="2" s="1"/>
        <n x="5" s="1"/>
        <n x="3" s="1"/>
        <n x="4" s="1"/>
        <n x="104"/>
        <n x="38"/>
        <n x="109"/>
      </t>
    </mdx>
    <mdx n="0" f="v">
      <t c="8">
        <n x="1" s="1"/>
        <n x="2" s="1"/>
        <n x="5" s="1"/>
        <n x="3" s="1"/>
        <n x="4" s="1"/>
        <n x="104"/>
        <n x="38"/>
        <n x="52"/>
      </t>
    </mdx>
    <mdx n="0" f="v">
      <t c="8">
        <n x="1" s="1"/>
        <n x="2" s="1"/>
        <n x="5" s="1"/>
        <n x="3" s="1"/>
        <n x="4" s="1"/>
        <n x="104"/>
        <n x="46"/>
        <n x="48"/>
      </t>
    </mdx>
    <mdx n="0" f="v">
      <t c="8">
        <n x="1" s="1"/>
        <n x="2" s="1"/>
        <n x="5" s="1"/>
        <n x="3" s="1"/>
        <n x="4" s="1"/>
        <n x="104"/>
        <n x="46"/>
        <n x="86"/>
      </t>
    </mdx>
    <mdx n="0" f="v">
      <t c="8">
        <n x="1" s="1"/>
        <n x="2" s="1"/>
        <n x="5" s="1"/>
        <n x="3" s="1"/>
        <n x="4" s="1"/>
        <n x="104"/>
        <n x="50"/>
        <n x="48"/>
      </t>
    </mdx>
    <mdx n="0" f="v">
      <t c="8">
        <n x="1" s="1"/>
        <n x="2" s="1"/>
        <n x="5" s="1"/>
        <n x="3" s="1"/>
        <n x="4" s="1"/>
        <n x="104"/>
        <n x="50"/>
        <n x="155"/>
      </t>
    </mdx>
    <mdx n="0" f="v">
      <t c="8">
        <n x="1" s="1"/>
        <n x="2" s="1"/>
        <n x="5" s="1"/>
        <n x="3" s="1"/>
        <n x="4" s="1"/>
        <n x="104"/>
        <n x="61"/>
        <n x="43"/>
      </t>
    </mdx>
    <mdx n="0" f="v">
      <t c="8">
        <n x="1" s="1"/>
        <n x="2" s="1"/>
        <n x="5" s="1"/>
        <n x="3" s="1"/>
        <n x="4" s="1"/>
        <n x="104"/>
        <n x="61"/>
        <n x="87"/>
      </t>
    </mdx>
    <mdx n="0" f="v">
      <t c="8">
        <n x="1" s="1"/>
        <n x="2" s="1"/>
        <n x="5" s="1"/>
        <n x="3" s="1"/>
        <n x="4" s="1"/>
        <n x="104"/>
        <n x="67"/>
        <n x="115"/>
      </t>
    </mdx>
    <mdx n="0" f="v">
      <t c="8">
        <n x="1" s="1"/>
        <n x="2" s="1"/>
        <n x="5" s="1"/>
        <n x="3" s="1"/>
        <n x="4" s="1"/>
        <n x="104"/>
        <n x="67"/>
        <n x="122"/>
      </t>
    </mdx>
    <mdx n="0" f="v">
      <t c="8">
        <n x="1" s="1"/>
        <n x="2" s="1"/>
        <n x="5" s="1"/>
        <n x="3" s="1"/>
        <n x="4" s="1"/>
        <n x="104"/>
        <n x="72"/>
        <n x="13"/>
      </t>
    </mdx>
    <mdx n="0" f="v">
      <t c="8">
        <n x="1" s="1"/>
        <n x="2" s="1"/>
        <n x="5" s="1"/>
        <n x="3" s="1"/>
        <n x="4" s="1"/>
        <n x="104"/>
        <n x="72"/>
        <n x="103"/>
      </t>
    </mdx>
    <mdx n="0" f="v">
      <t c="8">
        <n x="1" s="1"/>
        <n x="2" s="1"/>
        <n x="5" s="1"/>
        <n x="3" s="1"/>
        <n x="4" s="1"/>
        <n x="104"/>
        <n x="81"/>
        <n x="63"/>
      </t>
    </mdx>
    <mdx n="0" f="v">
      <t c="8">
        <n x="1" s="1"/>
        <n x="2" s="1"/>
        <n x="5" s="1"/>
        <n x="3" s="1"/>
        <n x="4" s="1"/>
        <n x="104"/>
        <n x="81"/>
        <n x="58"/>
      </t>
    </mdx>
    <mdx n="0" f="v">
      <t c="8">
        <n x="1" s="1"/>
        <n x="2" s="1"/>
        <n x="5" s="1"/>
        <n x="3" s="1"/>
        <n x="4" s="1"/>
        <n x="104"/>
        <n x="81"/>
        <n x="95"/>
      </t>
    </mdx>
    <mdx n="0" f="v">
      <t c="8">
        <n x="1" s="1"/>
        <n x="2" s="1"/>
        <n x="5" s="1"/>
        <n x="3" s="1"/>
        <n x="4" s="1"/>
        <n x="104"/>
        <n x="90"/>
        <n x="160"/>
      </t>
    </mdx>
    <mdx n="0" f="v">
      <t c="8">
        <n x="1" s="1"/>
        <n x="2" s="1"/>
        <n x="5" s="1"/>
        <n x="3" s="1"/>
        <n x="4" s="1"/>
        <n x="104"/>
        <n x="90"/>
        <n x="49"/>
      </t>
    </mdx>
    <mdx n="0" f="v">
      <t c="8">
        <n x="1" s="1"/>
        <n x="2" s="1"/>
        <n x="5" s="1"/>
        <n x="3" s="1"/>
        <n x="4" s="1"/>
        <n x="104"/>
        <n x="9"/>
        <n x="128"/>
      </t>
    </mdx>
    <mdx n="0" f="v">
      <t c="8">
        <n x="1" s="1"/>
        <n x="2" s="1"/>
        <n x="5" s="1"/>
        <n x="3" s="1"/>
        <n x="4" s="1"/>
        <n x="104"/>
        <n x="9"/>
        <n x="148"/>
      </t>
    </mdx>
    <mdx n="0" f="v">
      <t c="8">
        <n x="1" s="1"/>
        <n x="2" s="1"/>
        <n x="5" s="1"/>
        <n x="3" s="1"/>
        <n x="4" s="1"/>
        <n x="104"/>
        <n x="24"/>
        <n x="84"/>
      </t>
    </mdx>
    <mdx n="0" f="v">
      <t c="8">
        <n x="1" s="1"/>
        <n x="2" s="1"/>
        <n x="5" s="1"/>
        <n x="3" s="1"/>
        <n x="4" s="1"/>
        <n x="104"/>
        <n x="24"/>
        <n x="58"/>
      </t>
    </mdx>
    <mdx n="0" f="v">
      <t c="8">
        <n x="1" s="1"/>
        <n x="2" s="1"/>
        <n x="5" s="1"/>
        <n x="3" s="1"/>
        <n x="4" s="1"/>
        <n x="104"/>
        <n x="24"/>
        <n x="54"/>
      </t>
    </mdx>
    <mdx n="0" f="v">
      <t c="8">
        <n x="1" s="1"/>
        <n x="2" s="1"/>
        <n x="5" s="1"/>
        <n x="3" s="1"/>
        <n x="4" s="1"/>
        <n x="104"/>
        <n x="31"/>
        <n x="109"/>
      </t>
    </mdx>
    <mdx n="0" f="v">
      <t c="8">
        <n x="1" s="1"/>
        <n x="2" s="1"/>
        <n x="5" s="1"/>
        <n x="3" s="1"/>
        <n x="4" s="1"/>
        <n x="104"/>
        <n x="31"/>
        <n x="119"/>
      </t>
    </mdx>
    <mdx n="0" f="v">
      <t c="8">
        <n x="1" s="1"/>
        <n x="2" s="1"/>
        <n x="5" s="1"/>
        <n x="3" s="1"/>
        <n x="4" s="1"/>
        <n x="104"/>
        <n x="99"/>
        <n x="63"/>
      </t>
    </mdx>
    <mdx n="0" f="v">
      <t c="8">
        <n x="1" s="1"/>
        <n x="2" s="1"/>
        <n x="5" s="1"/>
        <n x="3" s="1"/>
        <n x="4" s="1"/>
        <n x="104"/>
        <n x="99"/>
        <n x="162"/>
      </t>
    </mdx>
    <mdx n="0" f="v">
      <t c="8">
        <n x="1" s="1"/>
        <n x="2" s="1"/>
        <n x="5" s="1"/>
        <n x="3" s="1"/>
        <n x="4" s="1"/>
        <n x="104"/>
        <n x="99"/>
        <n x="155"/>
      </t>
    </mdx>
    <mdx n="0" f="v">
      <t c="8">
        <n x="1" s="1"/>
        <n x="2" s="1"/>
        <n x="5" s="1"/>
        <n x="3" s="1"/>
        <n x="4" s="1"/>
        <n x="104"/>
        <n x="112"/>
        <n x="102"/>
      </t>
    </mdx>
    <mdx n="0" f="v">
      <t c="8">
        <n x="1" s="1"/>
        <n x="2" s="1"/>
        <n x="5" s="1"/>
        <n x="3" s="1"/>
        <n x="4" s="1"/>
        <n x="104"/>
        <n x="112"/>
        <n x="44"/>
      </t>
    </mdx>
    <mdx n="0" f="v">
      <t c="8">
        <n x="1" s="1"/>
        <n x="2" s="1"/>
        <n x="5" s="1"/>
        <n x="3" s="1"/>
        <n x="4" s="1"/>
        <n x="104"/>
        <n x="112"/>
        <n x="95"/>
      </t>
    </mdx>
    <mdx n="0" f="v">
      <t c="8">
        <n x="1" s="1"/>
        <n x="2" s="1"/>
        <n x="5" s="1"/>
        <n x="3" s="1"/>
        <n x="4" s="1"/>
        <n x="104"/>
        <n x="106"/>
        <n x="154"/>
      </t>
    </mdx>
    <mdx n="0" f="v">
      <t c="8">
        <n x="1" s="1"/>
        <n x="2" s="1"/>
        <n x="5" s="1"/>
        <n x="3" s="1"/>
        <n x="4" s="1"/>
        <n x="104"/>
        <n x="106"/>
        <n x="87"/>
      </t>
    </mdx>
    <mdx n="0" f="v">
      <t c="8">
        <n x="1" s="1"/>
        <n x="2" s="1"/>
        <n x="5" s="1"/>
        <n x="3" s="1"/>
        <n x="4" s="1"/>
        <n x="104"/>
        <n x="125"/>
        <n x="93"/>
      </t>
    </mdx>
    <mdx n="0" f="v">
      <t c="8">
        <n x="1" s="1"/>
        <n x="2" s="1"/>
        <n x="5" s="1"/>
        <n x="3" s="1"/>
        <n x="4" s="1"/>
        <n x="104"/>
        <n x="125"/>
        <n x="76"/>
      </t>
    </mdx>
    <mdx n="0" f="v">
      <t c="8">
        <n x="1" s="1"/>
        <n x="2" s="1"/>
        <n x="5" s="1"/>
        <n x="3" s="1"/>
        <n x="4" s="1"/>
        <n x="104"/>
        <n x="125"/>
        <n x="69"/>
      </t>
    </mdx>
    <mdx n="0" f="v">
      <t c="8">
        <n x="1" s="1"/>
        <n x="2" s="1"/>
        <n x="5" s="1"/>
        <n x="3" s="1"/>
        <n x="4" s="1"/>
        <n x="104"/>
        <n x="123"/>
        <n x="43"/>
      </t>
    </mdx>
    <mdx n="0" f="v">
      <t c="8">
        <n x="1" s="1"/>
        <n x="2" s="1"/>
        <n x="5" s="1"/>
        <n x="3" s="1"/>
        <n x="4" s="1"/>
        <n x="104"/>
        <n x="123"/>
        <n x="122"/>
      </t>
    </mdx>
    <mdx n="0" f="v">
      <t c="8">
        <n x="1" s="1"/>
        <n x="2" s="1"/>
        <n x="5" s="1"/>
        <n x="3" s="1"/>
        <n x="4" s="1"/>
        <n x="104"/>
        <n x="39"/>
        <n x="75"/>
      </t>
    </mdx>
    <mdx n="0" f="v">
      <t c="8">
        <n x="1" s="1"/>
        <n x="2" s="1"/>
        <n x="5" s="1"/>
        <n x="3" s="1"/>
        <n x="4" s="1"/>
        <n x="104"/>
        <n x="39"/>
        <n x="14"/>
      </t>
    </mdx>
    <mdx n="0" f="v">
      <t c="8">
        <n x="1" s="1"/>
        <n x="2" s="1"/>
        <n x="5" s="1"/>
        <n x="3" s="1"/>
        <n x="4" s="1"/>
        <n x="104"/>
        <n x="39"/>
        <n x="49"/>
      </t>
    </mdx>
    <mdx n="0" f="v">
      <t c="8">
        <n x="1" s="1"/>
        <n x="2" s="1"/>
        <n x="5" s="1"/>
        <n x="3" s="1"/>
        <n x="4" s="1"/>
        <n x="104"/>
        <n x="139"/>
        <n x="115"/>
      </t>
    </mdx>
    <mdx n="0" f="v">
      <t c="8">
        <n x="1" s="1"/>
        <n x="2" s="1"/>
        <n x="5" s="1"/>
        <n x="3" s="1"/>
        <n x="4" s="1"/>
        <n x="104"/>
        <n x="139"/>
        <n x="116"/>
      </t>
    </mdx>
    <mdx n="0" f="v">
      <t c="8">
        <n x="1" s="1"/>
        <n x="2" s="1"/>
        <n x="5" s="1"/>
        <n x="3" s="1"/>
        <n x="4" s="1"/>
        <n x="104"/>
        <n x="144"/>
        <n x="164" s="1"/>
      </t>
    </mdx>
    <mdx n="0" f="v">
      <t c="8">
        <n x="1" s="1"/>
        <n x="2" s="1"/>
        <n x="5" s="1"/>
        <n x="3" s="1"/>
        <n x="4" s="1"/>
        <n x="104"/>
        <n x="144"/>
        <n x="48"/>
      </t>
    </mdx>
    <mdx n="0" f="v">
      <t c="8">
        <n x="1" s="1"/>
        <n x="2" s="1"/>
        <n x="5" s="1"/>
        <n x="3" s="1"/>
        <n x="4" s="1"/>
        <n x="104"/>
        <n x="144"/>
        <n x="15"/>
      </t>
    </mdx>
    <mdx n="0" f="v">
      <t c="8">
        <n x="1" s="1"/>
        <n x="2" s="1"/>
        <n x="5" s="1"/>
        <n x="3" s="1"/>
        <n x="4" s="1"/>
        <n x="104"/>
        <n x="96"/>
        <n x="93"/>
      </t>
    </mdx>
    <mdx n="0" f="v">
      <t c="8">
        <n x="1" s="1"/>
        <n x="2" s="1"/>
        <n x="5" s="1"/>
        <n x="3" s="1"/>
        <n x="4" s="1"/>
        <n x="104"/>
        <n x="96"/>
        <n x="58"/>
      </t>
    </mdx>
    <mdx n="0" f="v">
      <t c="8">
        <n x="1" s="1"/>
        <n x="2" s="1"/>
        <n x="5" s="1"/>
        <n x="3" s="1"/>
        <n x="4" s="1"/>
        <n x="104"/>
        <n x="96"/>
        <n x="49"/>
      </t>
    </mdx>
    <mdx n="0" f="v">
      <t c="8">
        <n x="1" s="1"/>
        <n x="2" s="1"/>
        <n x="5" s="1"/>
        <n x="3" s="1"/>
        <n x="4" s="1"/>
        <n x="104"/>
        <n x="151"/>
        <n x="19"/>
      </t>
    </mdx>
    <mdx n="0" f="v">
      <t c="8">
        <n x="1" s="1"/>
        <n x="2" s="1"/>
        <n x="5" s="1"/>
        <n x="3" s="1"/>
        <n x="4" s="1"/>
        <n x="104"/>
        <n x="151"/>
        <n x="58"/>
      </t>
    </mdx>
    <mdx n="0" f="v">
      <t c="8">
        <n x="1" s="1"/>
        <n x="2" s="1"/>
        <n x="5" s="1"/>
        <n x="3" s="1"/>
        <n x="4" s="1"/>
        <n x="104"/>
        <n x="151"/>
        <n x="49"/>
      </t>
    </mdx>
    <mdx n="0" f="v">
      <t c="8">
        <n x="1" s="1"/>
        <n x="2" s="1"/>
        <n x="5" s="1"/>
        <n x="3" s="1"/>
        <n x="4" s="1"/>
        <n x="104"/>
        <n x="157"/>
        <n x="19"/>
      </t>
    </mdx>
    <mdx n="0" f="v">
      <t c="8">
        <n x="1" s="1"/>
        <n x="2" s="1"/>
        <n x="5" s="1"/>
        <n x="3" s="1"/>
        <n x="4" s="1"/>
        <n x="104"/>
        <n x="157"/>
        <n x="58"/>
      </t>
    </mdx>
    <mdx n="0" f="v">
      <t c="8">
        <n x="1" s="1"/>
        <n x="2" s="1"/>
        <n x="5" s="1"/>
        <n x="3" s="1"/>
        <n x="4" s="1"/>
        <n x="104"/>
        <n x="157"/>
        <n x="155"/>
      </t>
    </mdx>
    <mdx n="0" f="v">
      <t c="8">
        <n x="1" s="1"/>
        <n x="2" s="1"/>
        <n x="5" s="1"/>
        <n x="3" s="1"/>
        <n x="4" s="1"/>
        <n x="104"/>
        <n x="159"/>
        <n x="13"/>
      </t>
    </mdx>
    <mdx n="0" f="v">
      <t c="8">
        <n x="1" s="1"/>
        <n x="2" s="1"/>
        <n x="5" s="1"/>
        <n x="3" s="1"/>
        <n x="4" s="1"/>
        <n x="104"/>
        <n x="159"/>
        <n x="14"/>
      </t>
    </mdx>
    <mdx n="0" f="v">
      <t c="8">
        <n x="1" s="1"/>
        <n x="2" s="1"/>
        <n x="5" s="1"/>
        <n x="3" s="1"/>
        <n x="4" s="1"/>
        <n x="104"/>
        <n x="159"/>
        <n x="15"/>
      </t>
    </mdx>
    <mdx n="0" f="v">
      <t c="8">
        <n x="1" s="1"/>
        <n x="2" s="1"/>
        <n x="5" s="1"/>
        <n x="3" s="1"/>
        <n x="4" s="1"/>
        <n x="104"/>
        <n x="57"/>
        <n x="75"/>
      </t>
    </mdx>
    <mdx n="0" f="v">
      <t c="8">
        <n x="1" s="1"/>
        <n x="2" s="1"/>
        <n x="5" s="1"/>
        <n x="3" s="1"/>
        <n x="4" s="1"/>
        <n x="104"/>
        <n x="57"/>
        <n x="48"/>
      </t>
    </mdx>
    <mdx n="0" f="v">
      <t c="8">
        <n x="1" s="1"/>
        <n x="2" s="1"/>
        <n x="5" s="1"/>
        <n x="3" s="1"/>
        <n x="4" s="1"/>
        <n x="104"/>
        <n x="57"/>
        <n x="141"/>
      </t>
    </mdx>
    <mdx n="0" f="v">
      <t c="8">
        <n x="1" s="1"/>
        <n x="2" s="1"/>
        <n x="5" s="1"/>
        <n x="3" s="1"/>
        <n x="4" s="1"/>
        <n x="104"/>
        <n x="10"/>
        <n x="56"/>
      </t>
    </mdx>
    <mdx n="0" f="v">
      <t c="8">
        <n x="1" s="1"/>
        <n x="2" s="1"/>
        <n x="5" s="1"/>
        <n x="3" s="1"/>
        <n x="4" s="1"/>
        <n x="104"/>
        <n x="10"/>
        <n x="147"/>
      </t>
    </mdx>
    <mdx n="0" f="v">
      <t c="8">
        <n x="1" s="1"/>
        <n x="2" s="1"/>
        <n x="5" s="1"/>
        <n x="3" s="1"/>
        <n x="4" s="1"/>
        <n x="104"/>
        <n x="10"/>
        <n x="119"/>
      </t>
    </mdx>
    <mdx n="0" f="v">
      <t c="8">
        <n x="1" s="1"/>
        <n x="2" s="1"/>
        <n x="5" s="1"/>
        <n x="3" s="1"/>
        <n x="4" s="1"/>
        <n x="104"/>
        <n x="10"/>
        <n x="86"/>
      </t>
    </mdx>
    <mdx n="0" f="v">
      <t c="8">
        <n x="1" s="1"/>
        <n x="2" s="1"/>
        <n x="5" s="1"/>
        <n x="3" s="1"/>
        <n x="4" s="1"/>
        <n x="104"/>
        <n x="25"/>
        <n x="109"/>
      </t>
    </mdx>
    <mdx n="0" f="v">
      <t c="8">
        <n x="1" s="1"/>
        <n x="2" s="1"/>
        <n x="5" s="1"/>
        <n x="3" s="1"/>
        <n x="4" s="1"/>
        <n x="104"/>
        <n x="25"/>
        <n x="103"/>
      </t>
    </mdx>
    <mdx n="0" f="v">
      <t c="8">
        <n x="1" s="1"/>
        <n x="2" s="1"/>
        <n x="5" s="1"/>
        <n x="3" s="1"/>
        <n x="4" s="1"/>
        <n x="104"/>
        <n x="25"/>
        <n x="69"/>
      </t>
    </mdx>
    <mdx n="0" f="v">
      <t c="8">
        <n x="1" s="1"/>
        <n x="2" s="1"/>
        <n x="5" s="1"/>
        <n x="3" s="1"/>
        <n x="4" s="1"/>
        <n x="104"/>
        <n x="18"/>
        <n x="115"/>
      </t>
    </mdx>
    <mdx n="0" f="v">
      <t c="8">
        <n x="1" s="1"/>
        <n x="2" s="1"/>
        <n x="5" s="1"/>
        <n x="3" s="1"/>
        <n x="4" s="1"/>
        <n x="104"/>
        <n x="18"/>
        <n x="76"/>
      </t>
    </mdx>
    <mdx n="0" f="v">
      <t c="8">
        <n x="1" s="1"/>
        <n x="2" s="1"/>
        <n x="5" s="1"/>
        <n x="3" s="1"/>
        <n x="4" s="1"/>
        <n x="104"/>
        <n x="18"/>
        <n x="49"/>
      </t>
    </mdx>
    <mdx n="0" f="v">
      <t c="8">
        <n x="1" s="1"/>
        <n x="2" s="1"/>
        <n x="5" s="1"/>
        <n x="3" s="1"/>
        <n x="4" s="1"/>
        <n x="104"/>
        <n x="68"/>
        <n x="28"/>
      </t>
    </mdx>
    <mdx n="0" f="v">
      <t c="8">
        <n x="1" s="1"/>
        <n x="2" s="1"/>
        <n x="5" s="1"/>
        <n x="3" s="1"/>
        <n x="4" s="1"/>
        <n x="104"/>
        <n x="68"/>
        <n x="29"/>
      </t>
    </mdx>
    <mdx n="0" f="v">
      <t c="8">
        <n x="1" s="1"/>
        <n x="2" s="1"/>
        <n x="5" s="1"/>
        <n x="3" s="1"/>
        <n x="4" s="1"/>
        <n x="104"/>
        <n x="68"/>
        <n x="16"/>
      </t>
    </mdx>
    <mdx n="0" f="v">
      <t c="8">
        <n x="1" s="1"/>
        <n x="2" s="1"/>
        <n x="5" s="1"/>
        <n x="3" s="1"/>
        <n x="4" s="1"/>
        <n x="104"/>
        <n x="73"/>
        <n x="84"/>
      </t>
    </mdx>
    <mdx n="0" f="v">
      <t c="8">
        <n x="1" s="1"/>
        <n x="2" s="1"/>
        <n x="5" s="1"/>
        <n x="3" s="1"/>
        <n x="4" s="1"/>
        <n x="104"/>
        <n x="73"/>
        <n x="160"/>
      </t>
    </mdx>
    <mdx n="0" f="v">
      <t c="8">
        <n x="1" s="1"/>
        <n x="2" s="1"/>
        <n x="5" s="1"/>
        <n x="3" s="1"/>
        <n x="4" s="1"/>
        <n x="104"/>
        <n x="73"/>
        <n x="148"/>
      </t>
    </mdx>
    <mdx n="0" f="v">
      <t c="8">
        <n x="1" s="1"/>
        <n x="2" s="1"/>
        <n x="5" s="1"/>
        <n x="3" s="1"/>
        <n x="4" s="1"/>
        <n x="104"/>
        <n x="82"/>
        <n x="62"/>
      </t>
    </mdx>
    <mdx n="0" f="v">
      <t c="8">
        <n x="1" s="1"/>
        <n x="2" s="1"/>
        <n x="5" s="1"/>
        <n x="3" s="1"/>
        <n x="4" s="1"/>
        <n x="104"/>
        <n x="82"/>
        <n x="59"/>
      </t>
    </mdx>
    <mdx n="0" f="v">
      <t c="8">
        <n x="1" s="1"/>
        <n x="2" s="1"/>
        <n x="5" s="1"/>
        <n x="3" s="1"/>
        <n x="4" s="1"/>
        <n x="104"/>
        <n x="82"/>
        <n x="122"/>
      </t>
    </mdx>
    <mdx n="0" f="v">
      <t c="8">
        <n x="1" s="1"/>
        <n x="2" s="1"/>
        <n x="5" s="1"/>
        <n x="3" s="1"/>
        <n x="4" s="1"/>
        <n x="104"/>
        <n x="82"/>
        <n x="95"/>
      </t>
    </mdx>
    <mdx n="0" f="v">
      <t c="8">
        <n x="1" s="1"/>
        <n x="2" s="1"/>
        <n x="5" s="1"/>
        <n x="3" s="1"/>
        <n x="4" s="1"/>
        <n x="104"/>
        <n x="91"/>
        <n x="43"/>
      </t>
    </mdx>
    <mdx n="0" f="v">
      <t c="8">
        <n x="1" s="1"/>
        <n x="2" s="1"/>
        <n x="5" s="1"/>
        <n x="3" s="1"/>
        <n x="4" s="1"/>
        <n x="104"/>
        <n x="91"/>
        <n x="44"/>
      </t>
    </mdx>
    <mdx n="0" f="v">
      <t c="8">
        <n x="1" s="1"/>
        <n x="2" s="1"/>
        <n x="5" s="1"/>
        <n x="3" s="1"/>
        <n x="4" s="1"/>
        <n x="104"/>
        <n x="91"/>
        <n x="45"/>
      </t>
    </mdx>
    <mdx n="0" f="v">
      <t c="8">
        <n x="1" s="1"/>
        <n x="2" s="1"/>
        <n x="5" s="1"/>
        <n x="3" s="1"/>
        <n x="4" s="1"/>
        <n x="104"/>
        <n x="60"/>
        <n x="54"/>
      </t>
    </mdx>
    <mdx n="0" f="v">
      <t c="8">
        <n x="1" s="1"/>
        <n x="2" s="1"/>
        <n x="5" s="1"/>
        <n x="3" s="1"/>
        <n x="4" s="1"/>
        <n x="104"/>
        <n x="137"/>
        <n x="13"/>
      </t>
    </mdx>
    <mdx n="0" f="v">
      <t c="8">
        <n x="1" s="1"/>
        <n x="2" s="1"/>
        <n x="5" s="1"/>
        <n x="3" s="1"/>
        <n x="4" s="1"/>
        <n x="104"/>
        <n x="71"/>
        <n x="59"/>
      </t>
    </mdx>
    <mdx n="0" f="v">
      <t c="8">
        <n x="1" s="1"/>
        <n x="2" s="1"/>
        <n x="5" s="1"/>
        <n x="3" s="1"/>
        <n x="4" s="1"/>
        <n x="104"/>
        <n x="138"/>
        <n x="69"/>
      </t>
    </mdx>
    <mdx n="0" f="v">
      <t c="8">
        <n x="1" s="1"/>
        <n x="2" s="1"/>
        <n x="5" s="1"/>
        <n x="3" s="1"/>
        <n x="4" s="1"/>
        <n x="104"/>
        <n x="64"/>
        <n x="116"/>
      </t>
    </mdx>
    <mdx n="0" f="v">
      <t c="8">
        <n x="1" s="1"/>
        <n x="2" s="1"/>
        <n x="5" s="1"/>
        <n x="3" s="1"/>
        <n x="4" s="1"/>
        <n x="104"/>
        <n x="150"/>
        <n x="102"/>
      </t>
    </mdx>
    <mdx n="0" f="v">
      <t c="8">
        <n x="1" s="1"/>
        <n x="2" s="1"/>
        <n x="5" s="1"/>
        <n x="3" s="1"/>
        <n x="4" s="1"/>
        <n x="104"/>
        <n x="150"/>
        <n x="16"/>
      </t>
    </mdx>
    <mdx n="0" f="v">
      <t c="8">
        <n x="1" s="1"/>
        <n x="2" s="1"/>
        <n x="5" s="1"/>
        <n x="3" s="1"/>
        <n x="4" s="1"/>
        <n x="104"/>
        <n x="38"/>
        <n x="43"/>
      </t>
    </mdx>
    <mdx n="0" f="v">
      <t c="8">
        <n x="1" s="1"/>
        <n x="2" s="1"/>
        <n x="5" s="1"/>
        <n x="3" s="1"/>
        <n x="4" s="1"/>
        <n x="104"/>
        <n x="38"/>
        <n x="54"/>
      </t>
    </mdx>
    <mdx n="0" f="v">
      <t c="8">
        <n x="1" s="1"/>
        <n x="2" s="1"/>
        <n x="5" s="1"/>
        <n x="3" s="1"/>
        <n x="4" s="1"/>
        <n x="104"/>
        <n x="46"/>
        <n x="14"/>
      </t>
    </mdx>
    <mdx n="0" f="v">
      <t c="8">
        <n x="1" s="1"/>
        <n x="2" s="1"/>
        <n x="5" s="1"/>
        <n x="3" s="1"/>
        <n x="4" s="1"/>
        <n x="104"/>
        <n x="46"/>
        <n x="95"/>
      </t>
    </mdx>
    <mdx n="0" f="v">
      <t c="8">
        <n x="1" s="1"/>
        <n x="2" s="1"/>
        <n x="5" s="1"/>
        <n x="3" s="1"/>
        <n x="4" s="1"/>
        <n x="104"/>
        <n x="50"/>
        <n x="162"/>
      </t>
    </mdx>
    <mdx n="0" f="v">
      <t c="8">
        <n x="1" s="1"/>
        <n x="2" s="1"/>
        <n x="5" s="1"/>
        <n x="3" s="1"/>
        <n x="4" s="1"/>
        <n x="104"/>
        <n x="50"/>
        <n x="69"/>
      </t>
    </mdx>
    <mdx n="0" f="v">
      <t c="8">
        <n x="1" s="1"/>
        <n x="2" s="1"/>
        <n x="5" s="1"/>
        <n x="3" s="1"/>
        <n x="4" s="1"/>
        <n x="104"/>
        <n x="61"/>
        <n x="147"/>
      </t>
    </mdx>
    <mdx n="0" f="v">
      <t c="8">
        <n x="1" s="1"/>
        <n x="2" s="1"/>
        <n x="5" s="1"/>
        <n x="3" s="1"/>
        <n x="4" s="1"/>
        <n x="104"/>
        <n x="61"/>
        <n x="15"/>
      </t>
    </mdx>
    <mdx n="0" f="v">
      <t c="8">
        <n x="1" s="1"/>
        <n x="2" s="1"/>
        <n x="5" s="1"/>
        <n x="3" s="1"/>
        <n x="4" s="1"/>
        <n x="104"/>
        <n x="67"/>
        <n x="107"/>
      </t>
    </mdx>
    <mdx n="0" f="v">
      <t c="8">
        <n x="1" s="1"/>
        <n x="2" s="1"/>
        <n x="5" s="1"/>
        <n x="3" s="1"/>
        <n x="4" s="1"/>
        <n x="104"/>
        <n x="67"/>
        <n x="127"/>
      </t>
    </mdx>
    <mdx n="0" f="v">
      <t c="8">
        <n x="1" s="1"/>
        <n x="2" s="1"/>
        <n x="5" s="1"/>
        <n x="3" s="1"/>
        <n x="4" s="1"/>
        <n x="104"/>
        <n x="72"/>
        <n x="28"/>
      </t>
    </mdx>
    <mdx n="0" f="v">
      <t c="8">
        <n x="1" s="1"/>
        <n x="2" s="1"/>
        <n x="5" s="1"/>
        <n x="3" s="1"/>
        <n x="4" s="1"/>
        <n x="104"/>
        <n x="72"/>
        <n x="44"/>
      </t>
    </mdx>
    <mdx n="0" f="v">
      <t c="8">
        <n x="1" s="1"/>
        <n x="2" s="1"/>
        <n x="5" s="1"/>
        <n x="3" s="1"/>
        <n x="4" s="1"/>
        <n x="104"/>
        <n x="81"/>
        <n x="75"/>
      </t>
    </mdx>
    <mdx n="0" f="v">
      <t c="8">
        <n x="1" s="1"/>
        <n x="2" s="1"/>
        <n x="5" s="1"/>
        <n x="3" s="1"/>
        <n x="4" s="1"/>
        <n x="104"/>
        <n x="81"/>
        <n x="76"/>
      </t>
    </mdx>
    <mdx n="0" f="v">
      <t c="8">
        <n x="1" s="1"/>
        <n x="2" s="1"/>
        <n x="5" s="1"/>
        <n x="3" s="1"/>
        <n x="4" s="1"/>
        <n x="104"/>
        <n x="90"/>
        <n x="164" s="1"/>
      </t>
    </mdx>
    <mdx n="0" f="v">
      <t c="8">
        <n x="1" s="1"/>
        <n x="2" s="1"/>
        <n x="5" s="1"/>
        <n x="3" s="1"/>
        <n x="4" s="1"/>
        <n x="104"/>
        <n x="90"/>
        <n x="14"/>
      </t>
    </mdx>
    <mdx n="0" f="v">
      <t c="8">
        <n x="1" s="1"/>
        <n x="2" s="1"/>
        <n x="5" s="1"/>
        <n x="3" s="1"/>
        <n x="4" s="1"/>
        <n x="104"/>
        <n x="90"/>
        <n x="45"/>
      </t>
    </mdx>
    <mdx n="0" f="v">
      <t c="8">
        <n x="1" s="1"/>
        <n x="2" s="1"/>
        <n x="5" s="1"/>
        <n x="3" s="1"/>
        <n x="4" s="1"/>
        <n x="104"/>
        <n x="9"/>
        <n x="59"/>
      </t>
    </mdx>
    <mdx n="0" f="v">
      <t c="8">
        <n x="1" s="1"/>
        <n x="2" s="1"/>
        <n x="5" s="1"/>
        <n x="3" s="1"/>
        <n x="4" s="1"/>
        <n x="104"/>
        <n x="9"/>
        <n x="87"/>
      </t>
    </mdx>
    <mdx n="0" f="v">
      <t c="8">
        <n x="1" s="1"/>
        <n x="2" s="1"/>
        <n x="5" s="1"/>
        <n x="3" s="1"/>
        <n x="4" s="1"/>
        <n x="104"/>
        <n x="24"/>
        <n x="28"/>
      </t>
    </mdx>
    <mdx n="0" f="v">
      <t c="8">
        <n x="1" s="1"/>
        <n x="2" s="1"/>
        <n x="5" s="1"/>
        <n x="3" s="1"/>
        <n x="4" s="1"/>
        <n x="104"/>
        <n x="24"/>
        <n x="76"/>
      </t>
    </mdx>
    <mdx n="0" f="v">
      <t c="8">
        <n x="1" s="1"/>
        <n x="2" s="1"/>
        <n x="5" s="1"/>
        <n x="3" s="1"/>
        <n x="4" s="1"/>
        <n x="104"/>
        <n x="24"/>
        <n x="45"/>
      </t>
    </mdx>
    <mdx n="0" f="v">
      <t c="8">
        <n x="1" s="1"/>
        <n x="2" s="1"/>
        <n x="5" s="1"/>
        <n x="3" s="1"/>
        <n x="4" s="1"/>
        <n x="104"/>
        <n x="31"/>
        <n x="43"/>
      </t>
    </mdx>
    <mdx n="0" f="v">
      <t c="8">
        <n x="1" s="1"/>
        <n x="2" s="1"/>
        <n x="5" s="1"/>
        <n x="3" s="1"/>
        <n x="4" s="1"/>
        <n x="104"/>
        <n x="31"/>
        <n x="122"/>
      </t>
    </mdx>
    <mdx n="0" f="v">
      <t c="8">
        <n x="1" s="1"/>
        <n x="2" s="1"/>
        <n x="5" s="1"/>
        <n x="3" s="1"/>
        <n x="4" s="1"/>
        <n x="104"/>
        <n x="99"/>
        <n x="75"/>
      </t>
    </mdx>
    <mdx n="0" f="v">
      <t c="8">
        <n x="1" s="1"/>
        <n x="2" s="1"/>
        <n x="5" s="1"/>
        <n x="3" s="1"/>
        <n x="4" s="1"/>
        <n x="104"/>
        <n x="99"/>
        <n x="14"/>
      </t>
    </mdx>
    <mdx n="0" f="v">
      <t c="8">
        <n x="1" s="1"/>
        <n x="2" s="1"/>
        <n x="5" s="1"/>
        <n x="3" s="1"/>
        <n x="4" s="1"/>
        <n x="104"/>
        <n x="99"/>
        <n x="49"/>
      </t>
    </mdx>
    <mdx n="0" f="v">
      <t c="8">
        <n x="1" s="1"/>
        <n x="2" s="1"/>
        <n x="5" s="1"/>
        <n x="3" s="1"/>
        <n x="4" s="1"/>
        <n x="104"/>
        <n x="112"/>
        <n x="115"/>
      </t>
    </mdx>
    <mdx n="0" f="v">
      <t c="8">
        <n x="1" s="1"/>
        <n x="2" s="1"/>
        <n x="5" s="1"/>
        <n x="3" s="1"/>
        <n x="4" s="1"/>
        <n x="104"/>
        <n x="112"/>
        <n x="116"/>
      </t>
    </mdx>
    <mdx n="0" f="v">
      <t c="8">
        <n x="1" s="1"/>
        <n x="2" s="1"/>
        <n x="5" s="1"/>
        <n x="3" s="1"/>
        <n x="4" s="1"/>
        <n x="104"/>
        <n x="106"/>
        <n x="164" s="1"/>
      </t>
    </mdx>
    <mdx n="0" f="v">
      <t c="8">
        <n x="1" s="1"/>
        <n x="2" s="1"/>
        <n x="5" s="1"/>
        <n x="3" s="1"/>
        <n x="4" s="1"/>
        <n x="104"/>
        <n x="106"/>
        <n x="48"/>
      </t>
    </mdx>
    <mdx n="0" f="v">
      <t c="8">
        <n x="1" s="1"/>
        <n x="2" s="1"/>
        <n x="5" s="1"/>
        <n x="3" s="1"/>
        <n x="4" s="1"/>
        <n x="104"/>
        <n x="106"/>
        <n x="15"/>
      </t>
    </mdx>
    <mdx n="0" f="v">
      <t c="8">
        <n x="1" s="1"/>
        <n x="2" s="1"/>
        <n x="5" s="1"/>
        <n x="3" s="1"/>
        <n x="4" s="1"/>
        <n x="104"/>
        <n x="125"/>
        <n x="19"/>
      </t>
    </mdx>
    <mdx n="0" f="v">
      <t c="8">
        <n x="1" s="1"/>
        <n x="2" s="1"/>
        <n x="5" s="1"/>
        <n x="3" s="1"/>
        <n x="4" s="1"/>
        <n x="104"/>
        <n x="125"/>
        <n x="85"/>
      </t>
    </mdx>
    <mdx n="0" f="v">
      <t c="8">
        <n x="1" s="1"/>
        <n x="2" s="1"/>
        <n x="5" s="1"/>
        <n x="3" s="1"/>
        <n x="4" s="1"/>
        <n x="104"/>
        <n x="125"/>
        <n x="77"/>
      </t>
    </mdx>
    <mdx n="0" f="v">
      <t c="8">
        <n x="1" s="1"/>
        <n x="2" s="1"/>
        <n x="5" s="1"/>
        <n x="3" s="1"/>
        <n x="4" s="1"/>
        <n x="104"/>
        <n x="123"/>
        <n x="128"/>
      </t>
    </mdx>
    <mdx n="0" f="v">
      <t c="8">
        <n x="1" s="1"/>
        <n x="2" s="1"/>
        <n x="5" s="1"/>
        <n x="3" s="1"/>
        <n x="4" s="1"/>
        <n x="104"/>
        <n x="123"/>
        <n x="127"/>
      </t>
    </mdx>
    <mdx n="0" f="v">
      <t c="8">
        <n x="1" s="1"/>
        <n x="2" s="1"/>
        <n x="5" s="1"/>
        <n x="3" s="1"/>
        <n x="4" s="1"/>
        <n x="104"/>
        <n x="39"/>
        <n x="84"/>
      </t>
    </mdx>
    <mdx n="0" f="v">
      <t c="8">
        <n x="1" s="1"/>
        <n x="2" s="1"/>
        <n x="5" s="1"/>
        <n x="3" s="1"/>
        <n x="4" s="1"/>
        <n x="104"/>
        <n x="39"/>
        <n x="29"/>
      </t>
    </mdx>
    <mdx n="0" f="v">
      <t c="8">
        <n x="1" s="1"/>
        <n x="2" s="1"/>
        <n x="5" s="1"/>
        <n x="3" s="1"/>
        <n x="4" s="1"/>
        <n x="104"/>
        <n x="39"/>
        <n x="52"/>
      </t>
    </mdx>
    <mdx n="0" f="v">
      <t c="8">
        <n x="1" s="1"/>
        <n x="2" s="1"/>
        <n x="5" s="1"/>
        <n x="3" s="1"/>
        <n x="4" s="1"/>
        <n x="104"/>
        <n x="139"/>
        <n x="107"/>
      </t>
    </mdx>
    <mdx n="0" f="v">
      <t c="8">
        <n x="1" s="1"/>
        <n x="2" s="1"/>
        <n x="5" s="1"/>
        <n x="3" s="1"/>
        <n x="4" s="1"/>
        <n x="104"/>
        <n x="139"/>
        <n x="119"/>
      </t>
    </mdx>
    <mdx n="0" f="v">
      <t c="8">
        <n x="1" s="1"/>
        <n x="2" s="1"/>
        <n x="5" s="1"/>
        <n x="3" s="1"/>
        <n x="4" s="1"/>
        <n x="104"/>
        <n x="144"/>
        <n x="56"/>
      </t>
    </mdx>
    <mdx n="0" f="v">
      <t c="8">
        <n x="1" s="1"/>
        <n x="2" s="1"/>
        <n x="5" s="1"/>
        <n x="3" s="1"/>
        <n x="4" s="1"/>
        <n x="104"/>
        <n x="144"/>
        <n x="160"/>
      </t>
    </mdx>
    <mdx n="0" f="v">
      <t c="8">
        <n x="1" s="1"/>
        <n x="2" s="1"/>
        <n x="5" s="1"/>
        <n x="3" s="1"/>
        <n x="4" s="1"/>
        <n x="104"/>
        <n x="144"/>
        <n x="16"/>
      </t>
    </mdx>
    <mdx n="0" f="v">
      <t c="8">
        <n x="1" s="1"/>
        <n x="2" s="1"/>
        <n x="5" s="1"/>
        <n x="3" s="1"/>
        <n x="4" s="1"/>
        <n x="104"/>
        <n x="96"/>
        <n x="13"/>
      </t>
    </mdx>
    <mdx n="0" f="v">
      <t c="8">
        <n x="1" s="1"/>
        <n x="2" s="1"/>
        <n x="5" s="1"/>
        <n x="3" s="1"/>
        <n x="4" s="1"/>
        <n x="104"/>
        <n x="96"/>
        <n x="76"/>
      </t>
    </mdx>
    <mdx n="0" f="v">
      <t c="8">
        <n x="1" s="1"/>
        <n x="2" s="1"/>
        <n x="5" s="1"/>
        <n x="3" s="1"/>
        <n x="4" s="1"/>
        <n x="104"/>
        <n x="96"/>
        <n x="52"/>
      </t>
    </mdx>
    <mdx n="0" f="v">
      <t c="8">
        <n x="1" s="1"/>
        <n x="2" s="1"/>
        <n x="5" s="1"/>
        <n x="3" s="1"/>
        <n x="4" s="1"/>
        <n x="104"/>
        <n x="151"/>
        <n x="102"/>
      </t>
    </mdx>
    <mdx n="0" f="v">
      <t c="8">
        <n x="1" s="1"/>
        <n x="2" s="1"/>
        <n x="5" s="1"/>
        <n x="3" s="1"/>
        <n x="4" s="1"/>
        <n x="104"/>
        <n x="151"/>
        <n x="76"/>
      </t>
    </mdx>
    <mdx n="0" f="v">
      <t c="8">
        <n x="1" s="1"/>
        <n x="2" s="1"/>
        <n x="5" s="1"/>
        <n x="3" s="1"/>
        <n x="4" s="1"/>
        <n x="104"/>
        <n x="151"/>
        <n x="52"/>
      </t>
    </mdx>
    <mdx n="0" f="v">
      <t c="8">
        <n x="1" s="1"/>
        <n x="2" s="1"/>
        <n x="5" s="1"/>
        <n x="3" s="1"/>
        <n x="4" s="1"/>
        <n x="104"/>
        <n x="157"/>
        <n x="102"/>
      </t>
    </mdx>
    <mdx n="0" f="v">
      <t c="8">
        <n x="1" s="1"/>
        <n x="2" s="1"/>
        <n x="5" s="1"/>
        <n x="3" s="1"/>
        <n x="4" s="1"/>
        <n x="104"/>
        <n x="157"/>
        <n x="76"/>
      </t>
    </mdx>
    <mdx n="0" f="v">
      <t c="8">
        <n x="1" s="1"/>
        <n x="2" s="1"/>
        <n x="5" s="1"/>
        <n x="3" s="1"/>
        <n x="4" s="1"/>
        <n x="104"/>
        <n x="157"/>
        <n x="49"/>
      </t>
    </mdx>
    <mdx n="0" f="v">
      <t c="8">
        <n x="1" s="1"/>
        <n x="2" s="1"/>
        <n x="5" s="1"/>
        <n x="3" s="1"/>
        <n x="4" s="1"/>
        <n x="104"/>
        <n x="159"/>
        <n x="28"/>
      </t>
    </mdx>
    <mdx n="0" f="v">
      <t c="8">
        <n x="1" s="1"/>
        <n x="2" s="1"/>
        <n x="5" s="1"/>
        <n x="3" s="1"/>
        <n x="4" s="1"/>
        <n x="104"/>
        <n x="159"/>
        <n x="29"/>
      </t>
    </mdx>
    <mdx n="0" f="v">
      <t c="8">
        <n x="1" s="1"/>
        <n x="2" s="1"/>
        <n x="5" s="1"/>
        <n x="3" s="1"/>
        <n x="4" s="1"/>
        <n x="104"/>
        <n x="159"/>
        <n x="16"/>
      </t>
    </mdx>
    <mdx n="0" f="v">
      <t c="8">
        <n x="1" s="1"/>
        <n x="2" s="1"/>
        <n x="5" s="1"/>
        <n x="3" s="1"/>
        <n x="4" s="1"/>
        <n x="104"/>
        <n x="57"/>
        <n x="84"/>
      </t>
    </mdx>
    <mdx n="0" f="v">
      <t c="8">
        <n x="1" s="1"/>
        <n x="2" s="1"/>
        <n x="5" s="1"/>
        <n x="3" s="1"/>
        <n x="4" s="1"/>
        <n x="104"/>
        <n x="57"/>
        <n x="160"/>
      </t>
    </mdx>
    <mdx n="0" f="v">
      <t c="8">
        <n x="1" s="1"/>
        <n x="2" s="1"/>
        <n x="5" s="1"/>
        <n x="3" s="1"/>
        <n x="4" s="1"/>
        <n x="104"/>
        <n x="57"/>
        <n x="148"/>
      </t>
    </mdx>
    <mdx n="0" f="v">
      <t c="8">
        <n x="1" s="1"/>
        <n x="2" s="1"/>
        <n x="5" s="1"/>
        <n x="3" s="1"/>
        <n x="4" s="1"/>
        <n x="104"/>
        <n x="10"/>
        <n x="62"/>
      </t>
    </mdx>
    <mdx n="0" f="v">
      <t c="8">
        <n x="1" s="1"/>
        <n x="2" s="1"/>
        <n x="5" s="1"/>
        <n x="3" s="1"/>
        <n x="4" s="1"/>
        <n x="104"/>
        <n x="10"/>
        <n x="59"/>
      </t>
    </mdx>
    <mdx n="0" f="v">
      <t c="8">
        <n x="1" s="1"/>
        <n x="2" s="1"/>
        <n x="5" s="1"/>
        <n x="3" s="1"/>
        <n x="4" s="1"/>
        <n x="104"/>
        <n x="10"/>
        <n x="122"/>
      </t>
    </mdx>
    <mdx n="0" f="v">
      <t c="8">
        <n x="1" s="1"/>
        <n x="2" s="1"/>
        <n x="5" s="1"/>
        <n x="3" s="1"/>
        <n x="4" s="1"/>
        <n x="104"/>
        <n x="10"/>
        <n x="95"/>
      </t>
    </mdx>
    <mdx n="0" f="v">
      <t c="8">
        <n x="1" s="1"/>
        <n x="2" s="1"/>
        <n x="5" s="1"/>
        <n x="3" s="1"/>
        <n x="4" s="1"/>
        <n x="104"/>
        <n x="25"/>
        <n x="43"/>
      </t>
    </mdx>
    <mdx n="0" f="v">
      <t c="8">
        <n x="1" s="1"/>
        <n x="2" s="1"/>
        <n x="5" s="1"/>
        <n x="3" s="1"/>
        <n x="4" s="1"/>
        <n x="104"/>
        <n x="25"/>
        <n x="44"/>
      </t>
    </mdx>
    <mdx n="0" f="v">
      <t c="8">
        <n x="1" s="1"/>
        <n x="2" s="1"/>
        <n x="5" s="1"/>
        <n x="3" s="1"/>
        <n x="4" s="1"/>
        <n x="104"/>
        <n x="25"/>
        <n x="45"/>
      </t>
    </mdx>
    <mdx n="0" f="v">
      <t c="8">
        <n x="1" s="1"/>
        <n x="2" s="1"/>
        <n x="5" s="1"/>
        <n x="3" s="1"/>
        <n x="4" s="1"/>
        <n x="104"/>
        <n x="18"/>
        <n x="107"/>
      </t>
    </mdx>
    <mdx n="0" f="v">
      <t c="8">
        <n x="1" s="1"/>
        <n x="2" s="1"/>
        <n x="5" s="1"/>
        <n x="3" s="1"/>
        <n x="4" s="1"/>
        <n x="104"/>
        <n x="18"/>
        <n x="85"/>
      </t>
    </mdx>
    <mdx n="0" f="v">
      <t c="8">
        <n x="1" s="1"/>
        <n x="2" s="1"/>
        <n x="5" s="1"/>
        <n x="3" s="1"/>
        <n x="4" s="1"/>
        <n x="104"/>
        <n x="18"/>
        <n x="52"/>
      </t>
    </mdx>
    <mdx n="0" f="v">
      <t c="8">
        <n x="1" s="1"/>
        <n x="2" s="1"/>
        <n x="5" s="1"/>
        <n x="3" s="1"/>
        <n x="4" s="1"/>
        <n x="104"/>
        <n x="68"/>
        <n x="19"/>
      </t>
    </mdx>
    <mdx n="0" f="v">
      <t c="8">
        <n x="1" s="1"/>
        <n x="2" s="1"/>
        <n x="5" s="1"/>
        <n x="3" s="1"/>
        <n x="4" s="1"/>
        <n x="104"/>
        <n x="68"/>
        <n x="20"/>
      </t>
    </mdx>
    <mdx n="0" f="v">
      <t c="8">
        <n x="1" s="1"/>
        <n x="2" s="1"/>
        <n x="5" s="1"/>
        <n x="3" s="1"/>
        <n x="4" s="1"/>
        <n x="104"/>
        <n x="68"/>
        <n x="33"/>
      </t>
    </mdx>
    <mdx n="0" f="v">
      <t c="8">
        <n x="1" s="1"/>
        <n x="2" s="1"/>
        <n x="5" s="1"/>
        <n x="3" s="1"/>
        <n x="4" s="1"/>
        <n x="104"/>
        <n x="6"/>
        <n x="103"/>
      </t>
    </mdx>
    <mdx n="0" f="v">
      <t c="8">
        <n x="1" s="1"/>
        <n x="2" s="1"/>
        <n x="5" s="1"/>
        <n x="3" s="1"/>
        <n x="4" s="1"/>
        <n x="104"/>
        <n x="142"/>
        <n x="62"/>
      </t>
    </mdx>
    <mdx n="0" f="v">
      <t c="8">
        <n x="1" s="1"/>
        <n x="2" s="1"/>
        <n x="5" s="1"/>
        <n x="3" s="1"/>
        <n x="4" s="1"/>
        <n x="104"/>
        <n x="80"/>
        <n x="56"/>
      </t>
    </mdx>
    <mdx n="0" f="v">
      <t c="8">
        <n x="1" s="1"/>
        <n x="2" s="1"/>
        <n x="5" s="1"/>
        <n x="3" s="1"/>
        <n x="4" s="1"/>
        <n x="104"/>
        <n x="143"/>
        <n x="85"/>
      </t>
    </mdx>
    <mdx n="0" f="v">
      <t c="8">
        <n x="1" s="1"/>
        <n x="2" s="1"/>
        <n x="5" s="1"/>
        <n x="3" s="1"/>
        <n x="4" s="1"/>
        <n x="104"/>
        <n x="64"/>
        <n x="122"/>
      </t>
    </mdx>
    <mdx n="0" f="v">
      <t c="8">
        <n x="1" s="1"/>
        <n x="2" s="1"/>
        <n x="5" s="1"/>
        <n x="3" s="1"/>
        <n x="4" s="1"/>
        <n x="104"/>
        <n x="150"/>
        <n x="108"/>
      </t>
    </mdx>
    <mdx n="0" f="v">
      <t c="8">
        <n x="1" s="1"/>
        <n x="2" s="1"/>
        <n x="5" s="1"/>
        <n x="3" s="1"/>
        <n x="4" s="1"/>
        <n x="104"/>
        <n x="150"/>
        <n x="33"/>
      </t>
    </mdx>
    <mdx n="0" f="v">
      <t c="8">
        <n x="1" s="1"/>
        <n x="2" s="1"/>
        <n x="5" s="1"/>
        <n x="3" s="1"/>
        <n x="4" s="1"/>
        <n x="104"/>
        <n x="38"/>
        <n x="48"/>
      </t>
    </mdx>
    <mdx n="0" f="v">
      <t c="8">
        <n x="1" s="1"/>
        <n x="2" s="1"/>
        <n x="5" s="1"/>
        <n x="3" s="1"/>
        <n x="4" s="1"/>
        <n x="104"/>
        <n x="38"/>
        <n x="69"/>
      </t>
    </mdx>
    <mdx n="0" f="v">
      <t c="8">
        <n x="1" s="1"/>
        <n x="2" s="1"/>
        <n x="5" s="1"/>
        <n x="3" s="1"/>
        <n x="4" s="1"/>
        <n x="104"/>
        <n x="46"/>
        <n x="20"/>
      </t>
    </mdx>
    <mdx n="0" f="v">
      <t c="8">
        <n x="1" s="1"/>
        <n x="2" s="1"/>
        <n x="5" s="1"/>
        <n x="3" s="1"/>
        <n x="4" s="1"/>
        <n x="104"/>
        <n x="50"/>
        <n x="164" s="1"/>
      </t>
    </mdx>
    <mdx n="0" f="v">
      <t c="8">
        <n x="1" s="1"/>
        <n x="2" s="1"/>
        <n x="5" s="1"/>
        <n x="3" s="1"/>
        <n x="4" s="1"/>
        <n x="104"/>
        <n x="50"/>
        <n x="14"/>
      </t>
    </mdx>
    <mdx n="0" f="v">
      <t c="8">
        <n x="1" s="1"/>
        <n x="2" s="1"/>
        <n x="5" s="1"/>
        <n x="3" s="1"/>
        <n x="4" s="1"/>
        <n x="104"/>
        <n x="50"/>
        <n x="45"/>
      </t>
    </mdx>
    <mdx n="0" f="v">
      <t c="8">
        <n x="1" s="1"/>
        <n x="2" s="1"/>
        <n x="5" s="1"/>
        <n x="3" s="1"/>
        <n x="4" s="1"/>
        <n x="104"/>
        <n x="61"/>
        <n x="154"/>
      </t>
    </mdx>
    <mdx n="0" f="v">
      <t c="8">
        <n x="1" s="1"/>
        <n x="2" s="1"/>
        <n x="5" s="1"/>
        <n x="3" s="1"/>
        <n x="4" s="1"/>
        <n x="104"/>
        <n x="61"/>
        <n x="49"/>
      </t>
    </mdx>
    <mdx n="0" f="v">
      <t c="8">
        <n x="1" s="1"/>
        <n x="2" s="1"/>
        <n x="5" s="1"/>
        <n x="3" s="1"/>
        <n x="4" s="1"/>
        <n x="104"/>
        <n x="67"/>
        <n x="109"/>
      </t>
    </mdx>
    <mdx n="0" f="v">
      <t c="8">
        <n x="1" s="1"/>
        <n x="2" s="1"/>
        <n x="5" s="1"/>
        <n x="3" s="1"/>
        <n x="4" s="1"/>
        <n x="104"/>
        <n x="67"/>
        <n x="141"/>
      </t>
    </mdx>
    <mdx n="0" f="v">
      <t c="8">
        <n x="1" s="1"/>
        <n x="2" s="1"/>
        <n x="5" s="1"/>
        <n x="3" s="1"/>
        <n x="4" s="1"/>
        <n x="104"/>
        <n x="72"/>
        <n x="19"/>
      </t>
    </mdx>
    <mdx n="0" f="v">
      <t c="8">
        <n x="1" s="1"/>
        <n x="2" s="1"/>
        <n x="5" s="1"/>
        <n x="3" s="1"/>
        <n x="4" s="1"/>
        <n x="104"/>
        <n x="72"/>
        <n x="116"/>
      </t>
    </mdx>
    <mdx n="0" f="v">
      <t c="8">
        <n x="1" s="1"/>
        <n x="2" s="1"/>
        <n x="5" s="1"/>
        <n x="3" s="1"/>
        <n x="4" s="1"/>
        <n x="104"/>
        <n x="81"/>
        <n x="84"/>
      </t>
    </mdx>
    <mdx n="0" f="v">
      <t c="8">
        <n x="1" s="1"/>
        <n x="2" s="1"/>
        <n x="5" s="1"/>
        <n x="3" s="1"/>
        <n x="4" s="1"/>
        <n x="104"/>
        <n x="81"/>
        <n x="85"/>
      </t>
    </mdx>
    <mdx n="0" f="v">
      <t c="8">
        <n x="1" s="1"/>
        <n x="2" s="1"/>
        <n x="5" s="1"/>
        <n x="3" s="1"/>
        <n x="4" s="1"/>
        <n x="104"/>
        <n x="90"/>
        <n x="56"/>
      </t>
    </mdx>
    <mdx n="0" f="v">
      <t c="8">
        <n x="1" s="1"/>
        <n x="2" s="1"/>
        <n x="5" s="1"/>
        <n x="3" s="1"/>
        <n x="4" s="1"/>
        <n x="104"/>
        <n x="90"/>
        <n x="29"/>
      </t>
    </mdx>
    <mdx n="0" f="v">
      <t c="8">
        <n x="1" s="1"/>
        <n x="2" s="1"/>
        <n x="5" s="1"/>
        <n x="3" s="1"/>
        <n x="4" s="1"/>
        <n x="104"/>
        <n x="90"/>
        <n x="77"/>
      </t>
    </mdx>
    <mdx n="0" f="v">
      <t c="8">
        <n x="1" s="1"/>
        <n x="2" s="1"/>
        <n x="5" s="1"/>
        <n x="3" s="1"/>
        <n x="4" s="1"/>
        <n x="104"/>
        <n x="9"/>
        <n x="48"/>
      </t>
    </mdx>
    <mdx n="0" f="v">
      <t c="8">
        <n x="1" s="1"/>
        <n x="2" s="1"/>
        <n x="5" s="1"/>
        <n x="3" s="1"/>
        <n x="4" s="1"/>
        <n x="104"/>
        <n x="9"/>
        <n x="15"/>
      </t>
    </mdx>
    <mdx n="0" f="v">
      <t c="8">
        <n x="1" s="1"/>
        <n x="2" s="1"/>
        <n x="5" s="1"/>
        <n x="3" s="1"/>
        <n x="4" s="1"/>
        <n x="104"/>
        <n x="24"/>
        <n x="19"/>
      </t>
    </mdx>
    <mdx n="0" f="v">
      <t c="8">
        <n x="1" s="1"/>
        <n x="2" s="1"/>
        <n x="5" s="1"/>
        <n x="3" s="1"/>
        <n x="4" s="1"/>
        <n x="104"/>
        <n x="24"/>
        <n x="85"/>
      </t>
    </mdx>
    <mdx n="0" f="v">
      <t c="8">
        <n x="1" s="1"/>
        <n x="2" s="1"/>
        <n x="5" s="1"/>
        <n x="3" s="1"/>
        <n x="4" s="1"/>
        <n x="104"/>
        <n x="24"/>
        <n x="77"/>
      </t>
    </mdx>
    <mdx n="0" f="v">
      <t c="8">
        <n x="1" s="1"/>
        <n x="2" s="1"/>
        <n x="5" s="1"/>
        <n x="3" s="1"/>
        <n x="4" s="1"/>
        <n x="104"/>
        <n x="31"/>
        <n x="128"/>
      </t>
    </mdx>
    <mdx n="0" f="v">
      <t c="8">
        <n x="1" s="1"/>
        <n x="2" s="1"/>
        <n x="5" s="1"/>
        <n x="3" s="1"/>
        <n x="4" s="1"/>
        <n x="104"/>
        <n x="31"/>
        <n x="148"/>
      </t>
    </mdx>
    <mdx n="0" f="v">
      <t c="8">
        <n x="1" s="1"/>
        <n x="2" s="1"/>
        <n x="5" s="1"/>
        <n x="3" s="1"/>
        <n x="4" s="1"/>
        <n x="104"/>
        <n x="99"/>
        <n x="84"/>
      </t>
    </mdx>
    <mdx n="0" f="v">
      <t c="8">
        <n x="1" s="1"/>
        <n x="2" s="1"/>
        <n x="5" s="1"/>
        <n x="3" s="1"/>
        <n x="4" s="1"/>
        <n x="104"/>
        <n x="99"/>
        <n x="20"/>
      </t>
    </mdx>
    <mdx n="0" f="v">
      <t c="8">
        <n x="1" s="1"/>
        <n x="2" s="1"/>
        <n x="5" s="1"/>
        <n x="3" s="1"/>
        <n x="4" s="1"/>
        <n x="104"/>
        <n x="99"/>
        <n x="52"/>
      </t>
    </mdx>
    <mdx n="0" f="v">
      <t c="8">
        <n x="1" s="1"/>
        <n x="2" s="1"/>
        <n x="5" s="1"/>
        <n x="3" s="1"/>
        <n x="4" s="1"/>
        <n x="104"/>
        <n x="112"/>
        <n x="107"/>
      </t>
    </mdx>
    <mdx n="0" f="v">
      <t c="8">
        <n x="1" s="1"/>
        <n x="2" s="1"/>
        <n x="5" s="1"/>
        <n x="3" s="1"/>
        <n x="4" s="1"/>
        <n x="104"/>
        <n x="112"/>
        <n x="119"/>
      </t>
    </mdx>
    <mdx n="0" f="v">
      <t c="8">
        <n x="1" s="1"/>
        <n x="2" s="1"/>
        <n x="5" s="1"/>
        <n x="3" s="1"/>
        <n x="4" s="1"/>
        <n x="104"/>
        <n x="106"/>
        <n x="56"/>
      </t>
    </mdx>
    <mdx n="0" f="v">
      <t c="8">
        <n x="1" s="1"/>
        <n x="2" s="1"/>
        <n x="5" s="1"/>
        <n x="3" s="1"/>
        <n x="4" s="1"/>
        <n x="104"/>
        <n x="106"/>
        <n x="160"/>
      </t>
    </mdx>
    <mdx n="0" f="v">
      <t c="8">
        <n x="1" s="1"/>
        <n x="2" s="1"/>
        <n x="5" s="1"/>
        <n x="3" s="1"/>
        <n x="4" s="1"/>
        <n x="104"/>
        <n x="106"/>
        <n x="16"/>
      </t>
    </mdx>
    <mdx n="0" f="v">
      <t c="8">
        <n x="1" s="1"/>
        <n x="2" s="1"/>
        <n x="5" s="1"/>
        <n x="3" s="1"/>
        <n x="4" s="1"/>
        <n x="104"/>
        <n x="125"/>
        <n x="102"/>
      </t>
    </mdx>
    <mdx n="0" f="v">
      <t c="8">
        <n x="1" s="1"/>
        <n x="2" s="1"/>
        <n x="5" s="1"/>
        <n x="3" s="1"/>
        <n x="4" s="1"/>
        <n x="104"/>
        <n x="125"/>
        <n x="94"/>
      </t>
    </mdx>
    <mdx n="0" f="v">
      <t c="8">
        <n x="1" s="1"/>
        <n x="2" s="1"/>
        <n x="5" s="1"/>
        <n x="3" s="1"/>
        <n x="4" s="1"/>
        <n x="104"/>
        <n x="125"/>
        <n x="86"/>
      </t>
    </mdx>
    <mdx n="0" f="v">
      <t c="8">
        <n x="1" s="1"/>
        <n x="2" s="1"/>
        <n x="5" s="1"/>
        <n x="3" s="1"/>
        <n x="4" s="1"/>
        <n x="104"/>
        <n x="123"/>
        <n x="147"/>
      </t>
    </mdx>
    <mdx n="0" f="v">
      <t c="8">
        <n x="1" s="1"/>
        <n x="2" s="1"/>
        <n x="5" s="1"/>
        <n x="3" s="1"/>
        <n x="4" s="1"/>
        <n x="104"/>
        <n x="123"/>
        <n x="87"/>
      </t>
    </mdx>
    <mdx n="0" f="v">
      <t c="8">
        <n x="1" s="1"/>
        <n x="2" s="1"/>
        <n x="5" s="1"/>
        <n x="3" s="1"/>
        <n x="4" s="1"/>
        <n x="104"/>
        <n x="39"/>
        <n x="93"/>
      </t>
    </mdx>
    <mdx n="0" f="v">
      <t c="8">
        <n x="1" s="1"/>
        <n x="2" s="1"/>
        <n x="5" s="1"/>
        <n x="3" s="1"/>
        <n x="4" s="1"/>
        <n x="104"/>
        <n x="39"/>
        <n x="58"/>
      </t>
    </mdx>
    <mdx n="0" f="v">
      <t c="8">
        <n x="1" s="1"/>
        <n x="2" s="1"/>
        <n x="5" s="1"/>
        <n x="3" s="1"/>
        <n x="4" s="1"/>
        <n x="104"/>
        <n x="39"/>
        <n x="54"/>
      </t>
    </mdx>
    <mdx n="0" f="v">
      <t c="8">
        <n x="1" s="1"/>
        <n x="2" s="1"/>
        <n x="5" s="1"/>
        <n x="3" s="1"/>
        <n x="4" s="1"/>
        <n x="104"/>
        <n x="139"/>
        <n x="108"/>
      </t>
    </mdx>
    <mdx n="0" f="v">
      <t c="8">
        <n x="1" s="1"/>
        <n x="2" s="1"/>
        <n x="5" s="1"/>
        <n x="3" s="1"/>
        <n x="4" s="1"/>
        <n x="104"/>
        <n x="139"/>
        <n x="122"/>
      </t>
    </mdx>
    <mdx n="0" f="v">
      <t c="8">
        <n x="1" s="1"/>
        <n x="2" s="1"/>
        <n x="5" s="1"/>
        <n x="3" s="1"/>
        <n x="4" s="1"/>
        <n x="104"/>
        <n x="144"/>
        <n x="62"/>
      </t>
    </mdx>
    <mdx n="0" f="v">
      <t c="8">
        <n x="1" s="1"/>
        <n x="2" s="1"/>
        <n x="5" s="1"/>
        <n x="3" s="1"/>
        <n x="4" s="1"/>
        <n x="104"/>
        <n x="144"/>
        <n x="162"/>
      </t>
    </mdx>
    <mdx n="0" f="v">
      <t c="8">
        <n x="1" s="1"/>
        <n x="2" s="1"/>
        <n x="5" s="1"/>
        <n x="3" s="1"/>
        <n x="4" s="1"/>
        <n x="104"/>
        <n x="144"/>
        <n x="33"/>
      </t>
    </mdx>
    <mdx n="0" f="v">
      <t c="8">
        <n x="1" s="1"/>
        <n x="2" s="1"/>
        <n x="5" s="1"/>
        <n x="3" s="1"/>
        <n x="4" s="1"/>
        <n x="104"/>
        <n x="96"/>
        <n x="102"/>
      </t>
    </mdx>
    <mdx n="0" f="v">
      <t c="8">
        <n x="1" s="1"/>
        <n x="2" s="1"/>
        <n x="5" s="1"/>
        <n x="3" s="1"/>
        <n x="4" s="1"/>
        <n x="104"/>
        <n x="96"/>
        <n x="85"/>
      </t>
    </mdx>
    <mdx n="0" f="v">
      <t c="8">
        <n x="1" s="1"/>
        <n x="2" s="1"/>
        <n x="5" s="1"/>
        <n x="3" s="1"/>
        <n x="4" s="1"/>
        <n x="104"/>
        <n x="96"/>
        <n x="54"/>
      </t>
    </mdx>
    <mdx n="0" f="v">
      <t c="8">
        <n x="1" s="1"/>
        <n x="2" s="1"/>
        <n x="5" s="1"/>
        <n x="3" s="1"/>
        <n x="4" s="1"/>
        <n x="104"/>
        <n x="151"/>
        <n x="115"/>
      </t>
    </mdx>
    <mdx n="0" f="v">
      <t c="8">
        <n x="1" s="1"/>
        <n x="2" s="1"/>
        <n x="5" s="1"/>
        <n x="3" s="1"/>
        <n x="4" s="1"/>
        <n x="104"/>
        <n x="151"/>
        <n x="85"/>
      </t>
    </mdx>
    <mdx n="0" f="v">
      <t c="8">
        <n x="1" s="1"/>
        <n x="2" s="1"/>
        <n x="5" s="1"/>
        <n x="3" s="1"/>
        <n x="4" s="1"/>
        <n x="104"/>
        <n x="151"/>
        <n x="54"/>
      </t>
    </mdx>
    <mdx n="0" f="v">
      <t c="8">
        <n x="1" s="1"/>
        <n x="2" s="1"/>
        <n x="5" s="1"/>
        <n x="3" s="1"/>
        <n x="4" s="1"/>
        <n x="104"/>
        <n x="157"/>
        <n x="115"/>
      </t>
    </mdx>
    <mdx n="0" f="v">
      <t c="8">
        <n x="1" s="1"/>
        <n x="2" s="1"/>
        <n x="5" s="1"/>
        <n x="3" s="1"/>
        <n x="4" s="1"/>
        <n x="104"/>
        <n x="157"/>
        <n x="85"/>
      </t>
    </mdx>
    <mdx n="0" f="v">
      <t c="8">
        <n x="1" s="1"/>
        <n x="2" s="1"/>
        <n x="5" s="1"/>
        <n x="3" s="1"/>
        <n x="4" s="1"/>
        <n x="104"/>
        <n x="157"/>
        <n x="52"/>
      </t>
    </mdx>
    <mdx n="0" f="v">
      <t c="8">
        <n x="1" s="1"/>
        <n x="2" s="1"/>
        <n x="5" s="1"/>
        <n x="3" s="1"/>
        <n x="4" s="1"/>
        <n x="104"/>
        <n x="159"/>
        <n x="19"/>
      </t>
    </mdx>
    <mdx n="0" f="v">
      <t c="8">
        <n x="1" s="1"/>
        <n x="2" s="1"/>
        <n x="5" s="1"/>
        <n x="3" s="1"/>
        <n x="4" s="1"/>
        <n x="104"/>
        <n x="159"/>
        <n x="20"/>
      </t>
    </mdx>
    <mdx n="0" f="v">
      <t c="8">
        <n x="1" s="1"/>
        <n x="2" s="1"/>
        <n x="5" s="1"/>
        <n x="3" s="1"/>
        <n x="4" s="1"/>
        <n x="104"/>
        <n x="159"/>
        <n x="33"/>
      </t>
    </mdx>
    <mdx n="0" f="v">
      <t c="8">
        <n x="1" s="1"/>
        <n x="2" s="1"/>
        <n x="5" s="1"/>
        <n x="3" s="1"/>
        <n x="4" s="1"/>
        <n x="104"/>
        <n x="57"/>
        <n x="93"/>
      </t>
    </mdx>
    <mdx n="0" f="v">
      <t c="8">
        <n x="1" s="1"/>
        <n x="2" s="1"/>
        <n x="5" s="1"/>
        <n x="3" s="1"/>
        <n x="4" s="1"/>
        <n x="104"/>
        <n x="57"/>
        <n x="162"/>
      </t>
    </mdx>
    <mdx n="0" f="v">
      <t c="8">
        <n x="1" s="1"/>
        <n x="2" s="1"/>
        <n x="5" s="1"/>
        <n x="3" s="1"/>
        <n x="4" s="1"/>
        <n x="104"/>
        <n x="57"/>
        <n x="87"/>
      </t>
    </mdx>
    <mdx n="0" f="v">
      <t c="8">
        <n x="1" s="1"/>
        <n x="2" s="1"/>
        <n x="5" s="1"/>
        <n x="3" s="1"/>
        <n x="4" s="1"/>
        <n x="104"/>
        <n x="10"/>
        <n x="63"/>
      </t>
    </mdx>
    <mdx n="0" f="v">
      <t c="8">
        <n x="1" s="1"/>
        <n x="2" s="1"/>
        <n x="5" s="1"/>
        <n x="3" s="1"/>
        <n x="4" s="1"/>
        <n x="104"/>
        <n x="10"/>
        <n x="154"/>
      </t>
    </mdx>
    <mdx n="0" f="v">
      <t c="8">
        <n x="1" s="1"/>
        <n x="2" s="1"/>
        <n x="5" s="1"/>
        <n x="3" s="1"/>
        <n x="4" s="1"/>
        <n x="104"/>
        <n x="10"/>
        <n x="127"/>
      </t>
    </mdx>
    <mdx n="0" f="v">
      <t c="8">
        <n x="1" s="1"/>
        <n x="2" s="1"/>
        <n x="5" s="1"/>
        <n x="3" s="1"/>
        <n x="4" s="1"/>
        <n x="104"/>
        <n x="25"/>
        <n x="164" s="1"/>
      </t>
    </mdx>
    <mdx n="0" f="v">
      <t c="8">
        <n x="1" s="1"/>
        <n x="2" s="1"/>
        <n x="5" s="1"/>
        <n x="3" s="1"/>
        <n x="4" s="1"/>
        <n x="104"/>
        <n x="25"/>
        <n x="128"/>
      </t>
    </mdx>
    <mdx n="0" f="v">
      <t c="8">
        <n x="1" s="1"/>
        <n x="2" s="1"/>
        <n x="5" s="1"/>
        <n x="3" s="1"/>
        <n x="4" s="1"/>
        <n x="104"/>
        <n x="25"/>
        <n x="116"/>
      </t>
    </mdx>
    <mdx n="0" f="v">
      <t c="8">
        <n x="1" s="1"/>
        <n x="2" s="1"/>
        <n x="5" s="1"/>
        <n x="3" s="1"/>
        <n x="4" s="1"/>
        <n x="104"/>
        <n x="25"/>
        <n x="77"/>
      </t>
    </mdx>
    <mdx n="0" f="v">
      <t c="8">
        <n x="1" s="1"/>
        <n x="2" s="1"/>
        <n x="5" s="1"/>
        <n x="3" s="1"/>
        <n x="4" s="1"/>
        <n x="104"/>
        <n x="18"/>
        <n x="108"/>
      </t>
    </mdx>
    <mdx n="0" f="v">
      <t c="8">
        <n x="1" s="1"/>
        <n x="2" s="1"/>
        <n x="5" s="1"/>
        <n x="3" s="1"/>
        <n x="4" s="1"/>
        <n x="104"/>
        <n x="18"/>
        <n x="94"/>
      </t>
    </mdx>
    <mdx n="0" f="v">
      <t c="8">
        <n x="1" s="1"/>
        <n x="2" s="1"/>
        <n x="5" s="1"/>
        <n x="3" s="1"/>
        <n x="4" s="1"/>
        <n x="104"/>
        <n x="18"/>
        <n x="54"/>
      </t>
    </mdx>
    <mdx n="0" f="v">
      <t c="8">
        <n x="1" s="1"/>
        <n x="2" s="1"/>
        <n x="5" s="1"/>
        <n x="3" s="1"/>
        <n x="4" s="1"/>
        <n x="104"/>
        <n x="68"/>
        <n x="102"/>
      </t>
    </mdx>
    <mdx n="0" f="v">
      <t c="8">
        <n x="1" s="1"/>
        <n x="2" s="1"/>
        <n x="5" s="1"/>
        <n x="3" s="1"/>
        <n x="4" s="1"/>
        <n x="104"/>
        <n x="68"/>
        <n x="58"/>
      </t>
    </mdx>
    <mdx n="0" f="v">
      <t c="8">
        <n x="1" s="1"/>
        <n x="2" s="1"/>
        <n x="5" s="1"/>
        <n x="3" s="1"/>
        <n x="4" s="1"/>
        <n x="104"/>
        <n x="68"/>
        <n x="155"/>
      </t>
    </mdx>
    <mdx n="0" f="v">
      <t c="8">
        <n x="1" s="1"/>
        <n x="2" s="1"/>
        <n x="5" s="1"/>
        <n x="3" s="1"/>
        <n x="4" s="1"/>
        <n x="104"/>
        <n x="21"/>
        <n x="20"/>
      </t>
    </mdx>
    <mdx n="0" f="v">
      <t c="8">
        <n x="1" s="1"/>
        <n x="2" s="1"/>
        <n x="5" s="1"/>
        <n x="3" s="1"/>
        <n x="4" s="1"/>
        <n x="104"/>
        <n x="142"/>
        <n x="77"/>
      </t>
    </mdx>
    <mdx n="0" f="v">
      <t c="8">
        <n x="1" s="1"/>
        <n x="2" s="1"/>
        <n x="5" s="1"/>
        <n x="3" s="1"/>
        <n x="4" s="1"/>
        <n x="104"/>
        <n x="80"/>
        <n x="52"/>
      </t>
    </mdx>
    <mdx n="0" f="v">
      <t c="8">
        <n x="1" s="1"/>
        <n x="2" s="1"/>
        <n x="5" s="1"/>
        <n x="3" s="1"/>
        <n x="4" s="1"/>
        <n x="104"/>
        <n x="143"/>
        <n x="69"/>
      </t>
    </mdx>
    <mdx n="0" f="v">
      <t c="8">
        <n x="1" s="1"/>
        <n x="2" s="1"/>
        <n x="5" s="1"/>
        <n x="3" s="1"/>
        <n x="4" s="1"/>
        <n x="104"/>
        <n x="64"/>
        <n x="127"/>
      </t>
    </mdx>
    <mdx n="0" f="v">
      <t c="8">
        <n x="1" s="1"/>
        <n x="2" s="1"/>
        <n x="5" s="1"/>
        <n x="3" s="1"/>
        <n x="4" s="1"/>
        <n x="104"/>
        <n x="150"/>
        <n x="43"/>
      </t>
    </mdx>
    <mdx n="0" f="v">
      <t c="8">
        <n x="1" s="1"/>
        <n x="2" s="1"/>
        <n x="5" s="1"/>
        <n x="3" s="1"/>
        <n x="4" s="1"/>
        <n x="104"/>
        <n x="150"/>
        <n x="155"/>
      </t>
    </mdx>
    <mdx n="0" f="v">
      <t c="8">
        <n x="1" s="1"/>
        <n x="2" s="1"/>
        <n x="5" s="1"/>
        <n x="3" s="1"/>
        <n x="4" s="1"/>
        <n x="104"/>
        <n x="38"/>
        <n x="160"/>
      </t>
    </mdx>
    <mdx n="0" f="v">
      <t c="8">
        <n x="1" s="1"/>
        <n x="2" s="1"/>
        <n x="5" s="1"/>
        <n x="3" s="1"/>
        <n x="4" s="1"/>
        <n x="104"/>
        <n x="38"/>
        <n x="45"/>
      </t>
    </mdx>
    <mdx n="0" f="v">
      <t c="8">
        <n x="1" s="1"/>
        <n x="2" s="1"/>
        <n x="5" s="1"/>
        <n x="3" s="1"/>
        <n x="4" s="1"/>
        <n x="104"/>
        <n x="46"/>
        <n x="58"/>
      </t>
    </mdx>
    <mdx n="0" f="v">
      <t c="8">
        <n x="1" s="1"/>
        <n x="2" s="1"/>
        <n x="5" s="1"/>
        <n x="3" s="1"/>
        <n x="4" s="1"/>
        <n x="104"/>
        <n x="50"/>
        <n x="56"/>
      </t>
    </mdx>
    <mdx n="0" f="v">
      <t c="8">
        <n x="1" s="1"/>
        <n x="2" s="1"/>
        <n x="5" s="1"/>
        <n x="3" s="1"/>
        <n x="4" s="1"/>
        <n x="104"/>
        <n x="50"/>
        <n x="29"/>
      </t>
    </mdx>
    <mdx n="0" f="v">
      <t c="8">
        <n x="1" s="1"/>
        <n x="2" s="1"/>
        <n x="5" s="1"/>
        <n x="3" s="1"/>
        <n x="4" s="1"/>
        <n x="104"/>
        <n x="50"/>
        <n x="77"/>
      </t>
    </mdx>
    <mdx n="0" f="v">
      <t c="8">
        <n x="1" s="1"/>
        <n x="2" s="1"/>
        <n x="5" s="1"/>
        <n x="3" s="1"/>
        <n x="4" s="1"/>
        <n x="104"/>
        <n x="61"/>
        <n x="48"/>
      </t>
    </mdx>
    <mdx n="0" f="v">
      <t c="8">
        <n x="1" s="1"/>
        <n x="2" s="1"/>
        <n x="5" s="1"/>
        <n x="3" s="1"/>
        <n x="4" s="1"/>
        <n x="104"/>
        <n x="61"/>
        <n x="52"/>
      </t>
    </mdx>
    <mdx n="0" f="v">
      <t c="8">
        <n x="1" s="1"/>
        <n x="2" s="1"/>
        <n x="5" s="1"/>
        <n x="3" s="1"/>
        <n x="4" s="1"/>
        <n x="104"/>
        <n x="67"/>
        <n x="128"/>
      </t>
    </mdx>
    <mdx n="0" f="v">
      <t c="8">
        <n x="1" s="1"/>
        <n x="2" s="1"/>
        <n x="5" s="1"/>
        <n x="3" s="1"/>
        <n x="4" s="1"/>
        <n x="104"/>
        <n x="67"/>
        <n x="16"/>
      </t>
    </mdx>
    <mdx n="0" f="v">
      <t c="8">
        <n x="1" s="1"/>
        <n x="2" s="1"/>
        <n x="5" s="1"/>
        <n x="3" s="1"/>
        <n x="4" s="1"/>
        <n x="104"/>
        <n x="72"/>
        <n x="115"/>
      </t>
    </mdx>
    <mdx n="0" f="v">
      <t c="8">
        <n x="1" s="1"/>
        <n x="2" s="1"/>
        <n x="5" s="1"/>
        <n x="3" s="1"/>
        <n x="4" s="1"/>
        <n x="104"/>
        <n x="72"/>
        <n x="119"/>
      </t>
    </mdx>
    <mdx n="0" f="v">
      <t c="8">
        <n x="1" s="1"/>
        <n x="2" s="1"/>
        <n x="5" s="1"/>
        <n x="3" s="1"/>
        <n x="4" s="1"/>
        <n x="104"/>
        <n x="81"/>
        <n x="93"/>
      </t>
    </mdx>
    <mdx n="0" f="v">
      <t c="8">
        <n x="1" s="1"/>
        <n x="2" s="1"/>
        <n x="5" s="1"/>
        <n x="3" s="1"/>
        <n x="4" s="1"/>
        <n x="104"/>
        <n x="81"/>
        <n x="94"/>
      </t>
    </mdx>
    <mdx n="0" f="v">
      <t c="8">
        <n x="1" s="1"/>
        <n x="2" s="1"/>
        <n x="5" s="1"/>
        <n x="3" s="1"/>
        <n x="4" s="1"/>
        <n x="104"/>
        <n x="90"/>
        <n x="62"/>
      </t>
    </mdx>
    <mdx n="0" f="v">
      <t c="8">
        <n x="1" s="1"/>
        <n x="2" s="1"/>
        <n x="5" s="1"/>
        <n x="3" s="1"/>
        <n x="4" s="1"/>
        <n x="104"/>
        <n x="90"/>
        <n x="20"/>
      </t>
    </mdx>
    <mdx n="0" f="v">
      <t c="8">
        <n x="1" s="1"/>
        <n x="2" s="1"/>
        <n x="5" s="1"/>
        <n x="3" s="1"/>
        <n x="4" s="1"/>
        <n x="104"/>
        <n x="90"/>
        <n x="86"/>
      </t>
    </mdx>
    <mdx n="0" f="v">
      <t c="8">
        <n x="1" s="1"/>
        <n x="2" s="1"/>
        <n x="5" s="1"/>
        <n x="3" s="1"/>
        <n x="4" s="1"/>
        <n x="104"/>
        <n x="9"/>
        <n x="160"/>
      </t>
    </mdx>
    <mdx n="0" f="v">
      <t c="8">
        <n x="1" s="1"/>
        <n x="2" s="1"/>
        <n x="5" s="1"/>
        <n x="3" s="1"/>
        <n x="4" s="1"/>
        <n x="104"/>
        <n x="9"/>
        <n x="16"/>
      </t>
    </mdx>
    <mdx n="0" f="v">
      <t c="8">
        <n x="1" s="1"/>
        <n x="2" s="1"/>
        <n x="5" s="1"/>
        <n x="3" s="1"/>
        <n x="4" s="1"/>
        <n x="104"/>
        <n x="24"/>
        <n x="102"/>
      </t>
    </mdx>
    <mdx n="0" f="v">
      <t c="8">
        <n x="1" s="1"/>
        <n x="2" s="1"/>
        <n x="5" s="1"/>
        <n x="3" s="1"/>
        <n x="4" s="1"/>
        <n x="104"/>
        <n x="24"/>
        <n x="94"/>
      </t>
    </mdx>
    <mdx n="0" f="v">
      <t c="8">
        <n x="1" s="1"/>
        <n x="2" s="1"/>
        <n x="5" s="1"/>
        <n x="3" s="1"/>
        <n x="4" s="1"/>
        <n x="104"/>
        <n x="24"/>
        <n x="86"/>
      </t>
    </mdx>
    <mdx n="0" f="v">
      <t c="8">
        <n x="1" s="1"/>
        <n x="2" s="1"/>
        <n x="5" s="1"/>
        <n x="3" s="1"/>
        <n x="4" s="1"/>
        <n x="104"/>
        <n x="31"/>
        <n x="147"/>
      </t>
    </mdx>
    <mdx n="0" f="v">
      <t c="8">
        <n x="1" s="1"/>
        <n x="2" s="1"/>
        <n x="5" s="1"/>
        <n x="3" s="1"/>
        <n x="4" s="1"/>
        <n x="104"/>
        <n x="31"/>
        <n x="87"/>
      </t>
    </mdx>
    <mdx n="0" f="v">
      <t c="8">
        <n x="1" s="1"/>
        <n x="2" s="1"/>
        <n x="5" s="1"/>
        <n x="3" s="1"/>
        <n x="4" s="1"/>
        <n x="104"/>
        <n x="99"/>
        <n x="93"/>
      </t>
    </mdx>
    <mdx n="0" f="v">
      <t c="8">
        <n x="1" s="1"/>
        <n x="2" s="1"/>
        <n x="5" s="1"/>
        <n x="3" s="1"/>
        <n x="4" s="1"/>
        <n x="104"/>
        <n x="99"/>
        <n x="58"/>
      </t>
    </mdx>
    <mdx n="0" f="v">
      <t c="8">
        <n x="1" s="1"/>
        <n x="2" s="1"/>
        <n x="5" s="1"/>
        <n x="3" s="1"/>
        <n x="4" s="1"/>
        <n x="104"/>
        <n x="99"/>
        <n x="54"/>
      </t>
    </mdx>
    <mdx n="0" f="v">
      <t c="8">
        <n x="1" s="1"/>
        <n x="2" s="1"/>
        <n x="5" s="1"/>
        <n x="3" s="1"/>
        <n x="4" s="1"/>
        <n x="104"/>
        <n x="112"/>
        <n x="43"/>
      </t>
    </mdx>
    <mdx n="0" f="v">
      <t c="8">
        <n x="1" s="1"/>
        <n x="2" s="1"/>
        <n x="5" s="1"/>
        <n x="3" s="1"/>
        <n x="4" s="1"/>
        <n x="104"/>
        <n x="112"/>
        <n x="122"/>
      </t>
    </mdx>
    <mdx n="0" f="v">
      <t c="8">
        <n x="1" s="1"/>
        <n x="2" s="1"/>
        <n x="5" s="1"/>
        <n x="3" s="1"/>
        <n x="4" s="1"/>
        <n x="104"/>
        <n x="106"/>
        <n x="63"/>
      </t>
    </mdx>
    <mdx n="0" f="v">
      <t c="8">
        <n x="1" s="1"/>
        <n x="2" s="1"/>
        <n x="5" s="1"/>
        <n x="3" s="1"/>
        <n x="4" s="1"/>
        <n x="104"/>
        <n x="106"/>
        <n x="162"/>
      </t>
    </mdx>
    <mdx n="0" f="v">
      <t c="8">
        <n x="1" s="1"/>
        <n x="2" s="1"/>
        <n x="5" s="1"/>
        <n x="3" s="1"/>
        <n x="4" s="1"/>
        <n x="104"/>
        <n x="106"/>
        <n x="33"/>
      </t>
    </mdx>
    <mdx n="0" f="v">
      <t c="8">
        <n x="1" s="1"/>
        <n x="2" s="1"/>
        <n x="5" s="1"/>
        <n x="3" s="1"/>
        <n x="4" s="1"/>
        <n x="104"/>
        <n x="125"/>
        <n x="115"/>
      </t>
    </mdx>
    <mdx n="0" f="v">
      <t c="8">
        <n x="1" s="1"/>
        <n x="2" s="1"/>
        <n x="5" s="1"/>
        <n x="3" s="1"/>
        <n x="4" s="1"/>
        <n x="104"/>
        <n x="125"/>
        <n x="103"/>
      </t>
    </mdx>
    <mdx n="0" f="v">
      <t c="8">
        <n x="1" s="1"/>
        <n x="2" s="1"/>
        <n x="5" s="1"/>
        <n x="3" s="1"/>
        <n x="4" s="1"/>
        <n x="104"/>
        <n x="125"/>
        <n x="95"/>
      </t>
    </mdx>
    <mdx n="0" f="v">
      <t c="8">
        <n x="1" s="1"/>
        <n x="2" s="1"/>
        <n x="5" s="1"/>
        <n x="3" s="1"/>
        <n x="4" s="1"/>
        <n x="104"/>
        <n x="123"/>
        <n x="59"/>
      </t>
    </mdx>
    <mdx n="0" f="v">
      <t c="8">
        <n x="1" s="1"/>
        <n x="2" s="1"/>
        <n x="5" s="1"/>
        <n x="3" s="1"/>
        <n x="4" s="1"/>
        <n x="104"/>
        <n x="123"/>
        <n x="15"/>
      </t>
    </mdx>
    <mdx n="0" f="v">
      <t c="8">
        <n x="1" s="1"/>
        <n x="2" s="1"/>
        <n x="5" s="1"/>
        <n x="3" s="1"/>
        <n x="4" s="1"/>
        <n x="104"/>
        <n x="39"/>
        <n x="13"/>
      </t>
    </mdx>
    <mdx n="0" f="v">
      <t c="8">
        <n x="1" s="1"/>
        <n x="2" s="1"/>
        <n x="5" s="1"/>
        <n x="3" s="1"/>
        <n x="4" s="1"/>
        <n x="104"/>
        <n x="39"/>
        <n x="76"/>
      </t>
    </mdx>
    <mdx n="0" f="v">
      <t c="8">
        <n x="1" s="1"/>
        <n x="2" s="1"/>
        <n x="5" s="1"/>
        <n x="3" s="1"/>
        <n x="4" s="1"/>
        <n x="104"/>
        <n x="39"/>
        <n x="69"/>
      </t>
    </mdx>
    <mdx n="0" f="v">
      <t c="8">
        <n x="1" s="1"/>
        <n x="2" s="1"/>
        <n x="5" s="1"/>
        <n x="3" s="1"/>
        <n x="4" s="1"/>
        <n x="104"/>
        <n x="139"/>
        <n x="128"/>
      </t>
    </mdx>
    <mdx n="0" f="v">
      <t c="8">
        <n x="1" s="1"/>
        <n x="2" s="1"/>
        <n x="5" s="1"/>
        <n x="3" s="1"/>
        <n x="4" s="1"/>
        <n x="104"/>
        <n x="139"/>
        <n x="127"/>
      </t>
    </mdx>
    <mdx n="0" f="v">
      <t c="8">
        <n x="1" s="1"/>
        <n x="2" s="1"/>
        <n x="5" s="1"/>
        <n x="3" s="1"/>
        <n x="4" s="1"/>
        <n x="104"/>
        <n x="144"/>
        <n x="75"/>
      </t>
    </mdx>
    <mdx n="0" f="v">
      <t c="8">
        <n x="1" s="1"/>
        <n x="2" s="1"/>
        <n x="5" s="1"/>
        <n x="3" s="1"/>
        <n x="4" s="1"/>
        <n x="104"/>
        <n x="144"/>
        <n x="14"/>
      </t>
    </mdx>
    <mdx n="0" f="v">
      <t c="8">
        <n x="1" s="1"/>
        <n x="2" s="1"/>
        <n x="5" s="1"/>
        <n x="3" s="1"/>
        <n x="4" s="1"/>
        <n x="104"/>
        <n x="144"/>
        <n x="155"/>
      </t>
    </mdx>
    <mdx n="0" f="v">
      <t c="8">
        <n x="1" s="1"/>
        <n x="2" s="1"/>
        <n x="5" s="1"/>
        <n x="3" s="1"/>
        <n x="4" s="1"/>
        <n x="104"/>
        <n x="96"/>
        <n x="115"/>
      </t>
    </mdx>
    <mdx n="0" f="v">
      <t c="8">
        <n x="1" s="1"/>
        <n x="2" s="1"/>
        <n x="5" s="1"/>
        <n x="3" s="1"/>
        <n x="4" s="1"/>
        <n x="104"/>
        <n x="96"/>
        <n x="94"/>
      </t>
    </mdx>
    <mdx n="0" f="v">
      <t c="8">
        <n x="1" s="1"/>
        <n x="2" s="1"/>
        <n x="5" s="1"/>
        <n x="3" s="1"/>
        <n x="4" s="1"/>
        <n x="104"/>
        <n x="96"/>
        <n x="69"/>
      </t>
    </mdx>
    <mdx n="0" f="v">
      <t c="8">
        <n x="1" s="1"/>
        <n x="2" s="1"/>
        <n x="5" s="1"/>
        <n x="3" s="1"/>
        <n x="4" s="1"/>
        <n x="104"/>
        <n x="151"/>
        <n x="107"/>
      </t>
    </mdx>
    <mdx n="0" f="v">
      <t c="8">
        <n x="1" s="1"/>
        <n x="2" s="1"/>
        <n x="5" s="1"/>
        <n x="3" s="1"/>
        <n x="4" s="1"/>
        <n x="104"/>
        <n x="151"/>
        <n x="94"/>
      </t>
    </mdx>
    <mdx n="0" f="v">
      <t c="8">
        <n x="1" s="1"/>
        <n x="2" s="1"/>
        <n x="5" s="1"/>
        <n x="3" s="1"/>
        <n x="4" s="1"/>
        <n x="104"/>
        <n x="151"/>
        <n x="69"/>
      </t>
    </mdx>
    <mdx n="0" f="v">
      <t c="8">
        <n x="1" s="1"/>
        <n x="2" s="1"/>
        <n x="5" s="1"/>
        <n x="3" s="1"/>
        <n x="4" s="1"/>
        <n x="104"/>
        <n x="157"/>
        <n x="107"/>
      </t>
    </mdx>
    <mdx n="0" f="v">
      <t c="8">
        <n x="1" s="1"/>
        <n x="2" s="1"/>
        <n x="5" s="1"/>
        <n x="3" s="1"/>
        <n x="4" s="1"/>
        <n x="104"/>
        <n x="157"/>
        <n x="94"/>
      </t>
    </mdx>
    <mdx n="0" f="v">
      <t c="8">
        <n x="1" s="1"/>
        <n x="2" s="1"/>
        <n x="5" s="1"/>
        <n x="3" s="1"/>
        <n x="4" s="1"/>
        <n x="104"/>
        <n x="157"/>
        <n x="54"/>
      </t>
    </mdx>
    <mdx n="0" f="v">
      <t c="8">
        <n x="1" s="1"/>
        <n x="2" s="1"/>
        <n x="5" s="1"/>
        <n x="3" s="1"/>
        <n x="4" s="1"/>
        <n x="104"/>
        <n x="159"/>
        <n x="102"/>
      </t>
    </mdx>
    <mdx n="0" f="v">
      <t c="8">
        <n x="1" s="1"/>
        <n x="2" s="1"/>
        <n x="5" s="1"/>
        <n x="3" s="1"/>
        <n x="4" s="1"/>
        <n x="104"/>
        <n x="159"/>
        <n x="58"/>
      </t>
    </mdx>
    <mdx n="0" f="v">
      <t c="8">
        <n x="1" s="1"/>
        <n x="2" s="1"/>
        <n x="5" s="1"/>
        <n x="3" s="1"/>
        <n x="4" s="1"/>
        <n x="104"/>
        <n x="159"/>
        <n x="155"/>
      </t>
    </mdx>
    <mdx n="0" f="v">
      <t c="8">
        <n x="1" s="1"/>
        <n x="2" s="1"/>
        <n x="5" s="1"/>
        <n x="3" s="1"/>
        <n x="4" s="1"/>
        <n x="104"/>
        <n x="57"/>
        <n x="13"/>
      </t>
    </mdx>
    <mdx n="0" f="v">
      <t c="8">
        <n x="1" s="1"/>
        <n x="2" s="1"/>
        <n x="5" s="1"/>
        <n x="3" s="1"/>
        <n x="4" s="1"/>
        <n x="104"/>
        <n x="57"/>
        <n x="14"/>
      </t>
    </mdx>
    <mdx n="0" f="v">
      <t c="8">
        <n x="1" s="1"/>
        <n x="2" s="1"/>
        <n x="5" s="1"/>
        <n x="3" s="1"/>
        <n x="4" s="1"/>
        <n x="104"/>
        <n x="57"/>
        <n x="15"/>
      </t>
    </mdx>
    <mdx n="0" f="v">
      <t c="8">
        <n x="1" s="1"/>
        <n x="2" s="1"/>
        <n x="5" s="1"/>
        <n x="3" s="1"/>
        <n x="4" s="1"/>
        <n x="104"/>
        <n x="10"/>
        <n x="75"/>
      </t>
    </mdx>
    <mdx n="0" f="v">
      <t c="8">
        <n x="1" s="1"/>
        <n x="2" s="1"/>
        <n x="5" s="1"/>
        <n x="3" s="1"/>
        <n x="4" s="1"/>
        <n x="104"/>
        <n x="10"/>
        <n x="48"/>
      </t>
    </mdx>
    <mdx n="0" f="v">
      <t c="8">
        <n x="1" s="1"/>
        <n x="2" s="1"/>
        <n x="5" s="1"/>
        <n x="3" s="1"/>
        <n x="4" s="1"/>
        <n x="104"/>
        <n x="10"/>
        <n x="141"/>
      </t>
    </mdx>
    <mdx n="0" f="v">
      <t c="8">
        <n x="1" s="1"/>
        <n x="2" s="1"/>
        <n x="5" s="1"/>
        <n x="3" s="1"/>
        <n x="4" s="1"/>
        <n x="104"/>
        <n x="25"/>
        <n x="56"/>
      </t>
    </mdx>
    <mdx n="0" f="v">
      <t c="8">
        <n x="1" s="1"/>
        <n x="2" s="1"/>
        <n x="5" s="1"/>
        <n x="3" s="1"/>
        <n x="4" s="1"/>
        <n x="104"/>
        <n x="25"/>
        <n x="147"/>
      </t>
    </mdx>
    <mdx n="0" f="v">
      <t c="8">
        <n x="1" s="1"/>
        <n x="2" s="1"/>
        <n x="5" s="1"/>
        <n x="3" s="1"/>
        <n x="4" s="1"/>
        <n x="104"/>
        <n x="25"/>
        <n x="119"/>
      </t>
    </mdx>
    <mdx n="0" f="v">
      <t c="8">
        <n x="1" s="1"/>
        <n x="2" s="1"/>
        <n x="5" s="1"/>
        <n x="3" s="1"/>
        <n x="4" s="1"/>
        <n x="104"/>
        <n x="25"/>
        <n x="86"/>
      </t>
    </mdx>
    <mdx n="0" f="v">
      <t c="8">
        <n x="1" s="1"/>
        <n x="2" s="1"/>
        <n x="5" s="1"/>
        <n x="3" s="1"/>
        <n x="4" s="1"/>
        <n x="104"/>
        <n x="18"/>
        <n x="109"/>
      </t>
    </mdx>
    <mdx n="0" f="v">
      <t c="8">
        <n x="1" s="1"/>
        <n x="2" s="1"/>
        <n x="5" s="1"/>
        <n x="3" s="1"/>
        <n x="4" s="1"/>
        <n x="104"/>
        <n x="18"/>
        <n x="103"/>
      </t>
    </mdx>
    <mdx n="0" f="v">
      <t c="8">
        <n x="1" s="1"/>
        <n x="2" s="1"/>
        <n x="5" s="1"/>
        <n x="3" s="1"/>
        <n x="4" s="1"/>
        <n x="104"/>
        <n x="18"/>
        <n x="69"/>
      </t>
    </mdx>
    <mdx n="0" f="v">
      <t c="8">
        <n x="1" s="1"/>
        <n x="2" s="1"/>
        <n x="5" s="1"/>
        <n x="3" s="1"/>
        <n x="4" s="1"/>
        <n x="104"/>
        <n x="68"/>
        <n x="115"/>
      </t>
    </mdx>
    <mdx n="0" f="v">
      <t c="8">
        <n x="1" s="1"/>
        <n x="2" s="1"/>
        <n x="5" s="1"/>
        <n x="3" s="1"/>
        <n x="4" s="1"/>
        <n x="104"/>
        <n x="68"/>
        <n x="76"/>
      </t>
    </mdx>
    <mdx n="0" f="v">
      <t c="8">
        <n x="1" s="1"/>
        <n x="2" s="1"/>
        <n x="5" s="1"/>
        <n x="3" s="1"/>
        <n x="4" s="1"/>
        <n x="104"/>
        <n x="68"/>
        <n x="49"/>
      </t>
    </mdx>
    <mdx n="0" f="v">
      <t c="8">
        <n x="1" s="1"/>
        <n x="2" s="1"/>
        <n x="5" s="1"/>
        <n x="3" s="1"/>
        <n x="4" s="1"/>
        <n x="104"/>
        <n x="73"/>
        <n x="28"/>
      </t>
    </mdx>
    <mdx n="0" f="v">
      <t c="8">
        <n x="1" s="1"/>
        <n x="2" s="1"/>
        <n x="5" s="1"/>
        <n x="3" s="1"/>
        <n x="4" s="1"/>
        <n x="104"/>
        <n x="73"/>
        <n x="29"/>
      </t>
    </mdx>
    <mdx n="0" f="v">
      <t c="8">
        <n x="1" s="1"/>
        <n x="2" s="1"/>
        <n x="5" s="1"/>
        <n x="3" s="1"/>
        <n x="4" s="1"/>
        <n x="104"/>
        <n x="73"/>
        <n x="16"/>
      </t>
    </mdx>
    <mdx n="0" f="v">
      <t c="8">
        <n x="1" s="1"/>
        <n x="2" s="1"/>
        <n x="5" s="1"/>
        <n x="3" s="1"/>
        <n x="4" s="1"/>
        <n x="104"/>
        <n x="82"/>
        <n x="84"/>
      </t>
    </mdx>
    <mdx n="0" f="v">
      <t c="8">
        <n x="1" s="1"/>
        <n x="2" s="1"/>
        <n x="5" s="1"/>
        <n x="3" s="1"/>
        <n x="4" s="1"/>
        <n x="104"/>
        <n x="82"/>
        <n x="160"/>
      </t>
    </mdx>
    <mdx n="0" f="v">
      <t c="8">
        <n x="1" s="1"/>
        <n x="2" s="1"/>
        <n x="5" s="1"/>
        <n x="3" s="1"/>
        <n x="4" s="1"/>
        <n x="104"/>
        <n x="82"/>
        <n x="148"/>
      </t>
    </mdx>
    <mdx n="0" f="v">
      <t c="8">
        <n x="1" s="1"/>
        <n x="2" s="1"/>
        <n x="5" s="1"/>
        <n x="3" s="1"/>
        <n x="4" s="1"/>
        <n x="104"/>
        <n x="91"/>
        <n x="62"/>
      </t>
    </mdx>
    <mdx n="0" f="v">
      <t c="8">
        <n x="1" s="1"/>
        <n x="2" s="1"/>
        <n x="5" s="1"/>
        <n x="3" s="1"/>
        <n x="4" s="1"/>
        <n x="104"/>
        <n x="91"/>
        <n x="59"/>
      </t>
    </mdx>
    <mdx n="0" f="v">
      <t c="8">
        <n x="1" s="1"/>
        <n x="2" s="1"/>
        <n x="5" s="1"/>
        <n x="3" s="1"/>
        <n x="4" s="1"/>
        <n x="104"/>
        <n x="91"/>
        <n x="122"/>
      </t>
    </mdx>
    <mdx n="0" f="v">
      <t c="8">
        <n x="1" s="1"/>
        <n x="2" s="1"/>
        <n x="5" s="1"/>
        <n x="3" s="1"/>
        <n x="4" s="1"/>
        <n x="104"/>
        <n x="91"/>
        <n x="95"/>
      </t>
    </mdx>
    <mdx n="0" f="v">
      <t c="8">
        <n x="1" s="1"/>
        <n x="2" s="1"/>
        <n x="5" s="1"/>
        <n x="3" s="1"/>
        <n x="4" s="1"/>
        <n x="104"/>
        <n x="100"/>
        <n x="43"/>
      </t>
    </mdx>
    <mdx n="0" f="v">
      <t c="8">
        <n x="1" s="1"/>
        <n x="2" s="1"/>
        <n x="5" s="1"/>
        <n x="3" s="1"/>
        <n x="4" s="1"/>
        <n x="104"/>
        <n x="100"/>
        <n x="44"/>
      </t>
    </mdx>
    <mdx n="0" f="v">
      <t c="8">
        <n x="1" s="1"/>
        <n x="2" s="1"/>
        <n x="5" s="1"/>
        <n x="3" s="1"/>
        <n x="4" s="1"/>
        <n x="104"/>
        <n x="100"/>
        <n x="45"/>
      </t>
    </mdx>
    <mdx n="0" f="v">
      <t c="8">
        <n x="1" s="1"/>
        <n x="2" s="1"/>
        <n x="5" s="1"/>
        <n x="3" s="1"/>
        <n x="4" s="1"/>
        <n x="104"/>
        <n x="40"/>
        <n x="107"/>
      </t>
    </mdx>
    <mdx n="0" f="v">
      <t c="8">
        <n x="1" s="1"/>
        <n x="2" s="1"/>
        <n x="5" s="1"/>
        <n x="3" s="1"/>
        <n x="4" s="1"/>
        <n x="104"/>
        <n x="40"/>
        <n x="85"/>
      </t>
    </mdx>
    <mdx n="0" f="v">
      <t c="8">
        <n x="1" s="1"/>
        <n x="2" s="1"/>
        <n x="5" s="1"/>
        <n x="3" s="1"/>
        <n x="4" s="1"/>
        <n x="104"/>
        <n x="40"/>
        <n x="52"/>
      </t>
    </mdx>
    <mdx n="0" f="v">
      <t c="8">
        <n x="1" s="1"/>
        <n x="2" s="1"/>
        <n x="5" s="1"/>
        <n x="3" s="1"/>
        <n x="4" s="1"/>
        <n x="104"/>
        <n x="113"/>
        <n x="19"/>
      </t>
    </mdx>
    <mdx n="0" f="v">
      <t c="8">
        <n x="1" s="1"/>
        <n x="2" s="1"/>
        <n x="5" s="1"/>
        <n x="3" s="1"/>
        <n x="4" s="1"/>
        <n x="104"/>
        <n x="113"/>
        <n x="20"/>
      </t>
    </mdx>
    <mdx n="0" f="v">
      <t c="8">
        <n x="1" s="1"/>
        <n x="2" s="1"/>
        <n x="5" s="1"/>
        <n x="3" s="1"/>
        <n x="4" s="1"/>
        <n x="104"/>
        <n x="113"/>
        <n x="33"/>
      </t>
    </mdx>
    <mdx n="0" f="v">
      <t c="8">
        <n x="1" s="1"/>
        <n x="2" s="1"/>
        <n x="5" s="1"/>
        <n x="3" s="1"/>
        <n x="4" s="1"/>
        <n x="104"/>
        <n x="131"/>
        <n x="93"/>
      </t>
    </mdx>
    <mdx n="0" f="v">
      <t c="8">
        <n x="1" s="1"/>
        <n x="2" s="1"/>
        <n x="5" s="1"/>
        <n x="3" s="1"/>
        <n x="4" s="1"/>
        <n x="104"/>
        <n x="131"/>
        <n x="162"/>
      </t>
    </mdx>
    <mdx n="0" f="v">
      <t c="8">
        <n x="1" s="1"/>
        <n x="2" s="1"/>
        <n x="5" s="1"/>
        <n x="3" s="1"/>
        <n x="4" s="1"/>
        <n x="104"/>
        <n x="131"/>
        <n x="87"/>
      </t>
    </mdx>
    <mdx n="0" f="v">
      <t c="8">
        <n x="1" s="1"/>
        <n x="2" s="1"/>
        <n x="5" s="1"/>
        <n x="3" s="1"/>
        <n x="4" s="1"/>
        <n x="104"/>
        <n x="134"/>
        <n x="63"/>
      </t>
    </mdx>
    <mdx n="0" f="v">
      <t c="8">
        <n x="1" s="1"/>
        <n x="2" s="1"/>
        <n x="5" s="1"/>
        <n x="3" s="1"/>
        <n x="4" s="1"/>
        <n x="104"/>
        <n x="134"/>
        <n x="154"/>
      </t>
    </mdx>
    <mdx n="0" f="v">
      <t c="8">
        <n x="1" s="1"/>
        <n x="2" s="1"/>
        <n x="5" s="1"/>
        <n x="3" s="1"/>
        <n x="4" s="1"/>
        <n x="104"/>
        <n x="134"/>
        <n x="127"/>
      </t>
    </mdx>
    <mdx n="0" f="v">
      <t c="8">
        <n x="1" s="1"/>
        <n x="2" s="1"/>
        <n x="5" s="1"/>
        <n x="3" s="1"/>
        <n x="4" s="1"/>
        <n x="104"/>
        <n x="140"/>
        <n x="164" s="1"/>
      </t>
    </mdx>
    <mdx n="0" f="v">
      <t c="8">
        <n x="1" s="1"/>
        <n x="2" s="1"/>
        <n x="5" s="1"/>
        <n x="3" s="1"/>
        <n x="4" s="1"/>
        <n x="104"/>
        <n x="140"/>
        <n x="128"/>
      </t>
    </mdx>
    <mdx n="0" f="v">
      <t c="8">
        <n x="1" s="1"/>
        <n x="2" s="1"/>
        <n x="5" s="1"/>
        <n x="3" s="1"/>
        <n x="4" s="1"/>
        <n x="104"/>
        <n x="34"/>
        <n x="48"/>
      </t>
    </mdx>
    <mdx n="0" f="v">
      <t c="8">
        <n x="1" s="1"/>
        <n x="2" s="1"/>
        <n x="5" s="1"/>
        <n x="3" s="1"/>
        <n x="4" s="1"/>
        <n x="104"/>
        <n x="78"/>
        <n x="119"/>
      </t>
    </mdx>
    <mdx n="0" f="v">
      <t c="8">
        <n x="1" s="1"/>
        <n x="2" s="1"/>
        <n x="5" s="1"/>
        <n x="3" s="1"/>
        <n x="4" s="1"/>
        <n x="104"/>
        <n x="89"/>
        <n x="76"/>
      </t>
    </mdx>
    <mdx n="0" f="v">
      <t c="8">
        <n x="1" s="1"/>
        <n x="2" s="1"/>
        <n x="5" s="1"/>
        <n x="3" s="1"/>
        <n x="4" s="1"/>
        <n x="104"/>
        <n x="64"/>
        <n x="164" s="1"/>
      </t>
    </mdx>
    <mdx n="0" f="v">
      <t c="8">
        <n x="1" s="1"/>
        <n x="2" s="1"/>
        <n x="5" s="1"/>
        <n x="3" s="1"/>
        <n x="4" s="1"/>
        <n x="104"/>
        <n x="64"/>
        <n x="141"/>
      </t>
    </mdx>
    <mdx n="0" f="v">
      <t c="8">
        <n x="1" s="1"/>
        <n x="2" s="1"/>
        <n x="5" s="1"/>
        <n x="3" s="1"/>
        <n x="4" s="1"/>
        <n x="104"/>
        <n x="150"/>
        <n x="128"/>
      </t>
    </mdx>
    <mdx n="0" f="v">
      <t c="8">
        <n x="1" s="1"/>
        <n x="2" s="1"/>
        <n x="5" s="1"/>
        <n x="3" s="1"/>
        <n x="4" s="1"/>
        <n x="104"/>
        <n x="150"/>
        <n x="54"/>
      </t>
    </mdx>
    <mdx n="0" f="v">
      <t c="8">
        <n x="1" s="1"/>
        <n x="2" s="1"/>
        <n x="5" s="1"/>
        <n x="3" s="1"/>
        <n x="4" s="1"/>
        <n x="104"/>
        <n x="38"/>
        <n x="162"/>
      </t>
    </mdx>
    <mdx n="0" f="v">
      <t c="8">
        <n x="1" s="1"/>
        <n x="2" s="1"/>
        <n x="5" s="1"/>
        <n x="3" s="1"/>
        <n x="4" s="1"/>
        <n x="104"/>
        <n x="46"/>
        <n x="56"/>
      </t>
    </mdx>
    <mdx n="0" f="v">
      <t c="8">
        <n x="1" s="1"/>
        <n x="2" s="1"/>
        <n x="5" s="1"/>
        <n x="3" s="1"/>
        <n x="4" s="1"/>
        <n x="104"/>
        <n x="46"/>
        <n x="76"/>
      </t>
    </mdx>
    <mdx n="0" f="v">
      <t c="8">
        <n x="1" s="1"/>
        <n x="2" s="1"/>
        <n x="5" s="1"/>
        <n x="3" s="1"/>
        <n x="4" s="1"/>
        <n x="104"/>
        <n x="50"/>
        <n x="62"/>
      </t>
    </mdx>
    <mdx n="0" f="v">
      <t c="8">
        <n x="1" s="1"/>
        <n x="2" s="1"/>
        <n x="5" s="1"/>
        <n x="3" s="1"/>
        <n x="4" s="1"/>
        <n x="104"/>
        <n x="50"/>
        <n x="20"/>
      </t>
    </mdx>
    <mdx n="0" f="v">
      <t c="8">
        <n x="1" s="1"/>
        <n x="2" s="1"/>
        <n x="5" s="1"/>
        <n x="3" s="1"/>
        <n x="4" s="1"/>
        <n x="104"/>
        <n x="50"/>
        <n x="86"/>
      </t>
    </mdx>
    <mdx n="0" f="v">
      <t c="8">
        <n x="1" s="1"/>
        <n x="2" s="1"/>
        <n x="5" s="1"/>
        <n x="3" s="1"/>
        <n x="4" s="1"/>
        <n x="104"/>
        <n x="61"/>
        <n x="160"/>
      </t>
    </mdx>
    <mdx n="0" f="v">
      <t c="8">
        <n x="1" s="1"/>
        <n x="2" s="1"/>
        <n x="5" s="1"/>
        <n x="3" s="1"/>
        <n x="4" s="1"/>
        <n x="104"/>
        <n x="61"/>
        <n x="54"/>
      </t>
    </mdx>
    <mdx n="0" f="v">
      <t c="8">
        <n x="1" s="1"/>
        <n x="2" s="1"/>
        <n x="5" s="1"/>
        <n x="3" s="1"/>
        <n x="4" s="1"/>
        <n x="104"/>
        <n x="67"/>
        <n x="147"/>
      </t>
    </mdx>
    <mdx n="0" f="v">
      <t c="8">
        <n x="1" s="1"/>
        <n x="2" s="1"/>
        <n x="5" s="1"/>
        <n x="3" s="1"/>
        <n x="4" s="1"/>
        <n x="104"/>
        <n x="67"/>
        <n x="33"/>
      </t>
    </mdx>
    <mdx n="0" f="v">
      <t c="8">
        <n x="1" s="1"/>
        <n x="2" s="1"/>
        <n x="5" s="1"/>
        <n x="3" s="1"/>
        <n x="4" s="1"/>
        <n x="104"/>
        <n x="72"/>
        <n x="108"/>
      </t>
    </mdx>
    <mdx n="0" f="v">
      <t c="8">
        <n x="1" s="1"/>
        <n x="2" s="1"/>
        <n x="5" s="1"/>
        <n x="3" s="1"/>
        <n x="4" s="1"/>
        <n x="104"/>
        <n x="72"/>
        <n x="148"/>
      </t>
    </mdx>
    <mdx n="0" f="v">
      <t c="8">
        <n x="1" s="1"/>
        <n x="2" s="1"/>
        <n x="5" s="1"/>
        <n x="3" s="1"/>
        <n x="4" s="1"/>
        <n x="104"/>
        <n x="81"/>
        <n x="28"/>
      </t>
    </mdx>
    <mdx n="0" f="v">
      <t c="8">
        <n x="1" s="1"/>
        <n x="2" s="1"/>
        <n x="5" s="1"/>
        <n x="3" s="1"/>
        <n x="4" s="1"/>
        <n x="104"/>
        <n x="81"/>
        <n x="103"/>
      </t>
    </mdx>
    <mdx n="0" f="v">
      <t c="8">
        <n x="1" s="1"/>
        <n x="2" s="1"/>
        <n x="5" s="1"/>
        <n x="3" s="1"/>
        <n x="4" s="1"/>
        <n x="104"/>
        <n x="90"/>
        <n x="63"/>
      </t>
    </mdx>
    <mdx n="0" f="v">
      <t c="8">
        <n x="1" s="1"/>
        <n x="2" s="1"/>
        <n x="5" s="1"/>
        <n x="3" s="1"/>
        <n x="4" s="1"/>
        <n x="104"/>
        <n x="90"/>
        <n x="58"/>
      </t>
    </mdx>
    <mdx n="0" f="v">
      <t c="8">
        <n x="1" s="1"/>
        <n x="2" s="1"/>
        <n x="5" s="1"/>
        <n x="3" s="1"/>
        <n x="4" s="1"/>
        <n x="104"/>
        <n x="90"/>
        <n x="95"/>
      </t>
    </mdx>
    <mdx n="0" f="v">
      <t c="8">
        <n x="1" s="1"/>
        <n x="2" s="1"/>
        <n x="5" s="1"/>
        <n x="3" s="1"/>
        <n x="4" s="1"/>
        <n x="104"/>
        <n x="9"/>
        <n x="162"/>
      </t>
    </mdx>
    <mdx n="0" f="v">
      <t c="8">
        <n x="1" s="1"/>
        <n x="2" s="1"/>
        <n x="5" s="1"/>
        <n x="3" s="1"/>
        <n x="4" s="1"/>
        <n x="104"/>
        <n x="9"/>
        <n x="49"/>
      </t>
    </mdx>
    <mdx n="0" f="v">
      <t c="8">
        <n x="1" s="1"/>
        <n x="2" s="1"/>
        <n x="5" s="1"/>
        <n x="3" s="1"/>
        <n x="4" s="1"/>
        <n x="104"/>
        <n x="24"/>
        <n x="115"/>
      </t>
    </mdx>
    <mdx n="0" f="v">
      <t c="8">
        <n x="1" s="1"/>
        <n x="2" s="1"/>
        <n x="5" s="1"/>
        <n x="3" s="1"/>
        <n x="4" s="1"/>
        <n x="104"/>
        <n x="24"/>
        <n x="44"/>
      </t>
    </mdx>
    <mdx n="0" f="v">
      <t c="8">
        <n x="1" s="1"/>
        <n x="2" s="1"/>
        <n x="5" s="1"/>
        <n x="3" s="1"/>
        <n x="4" s="1"/>
        <n x="104"/>
        <n x="24"/>
        <n x="95"/>
      </t>
    </mdx>
    <mdx n="0" f="v">
      <t c="8">
        <n x="1" s="1"/>
        <n x="2" s="1"/>
        <n x="5" s="1"/>
        <n x="3" s="1"/>
        <n x="4" s="1"/>
        <n x="104"/>
        <n x="31"/>
        <n x="59"/>
      </t>
    </mdx>
    <mdx n="0" f="v">
      <t c="8">
        <n x="1" s="1"/>
        <n x="2" s="1"/>
        <n x="5" s="1"/>
        <n x="3" s="1"/>
        <n x="4" s="1"/>
        <n x="104"/>
        <n x="31"/>
        <n x="15"/>
      </t>
    </mdx>
    <mdx n="0" f="v">
      <t c="8">
        <n x="1" s="1"/>
        <n x="2" s="1"/>
        <n x="5" s="1"/>
        <n x="3" s="1"/>
        <n x="4" s="1"/>
        <n x="104"/>
        <n x="99"/>
        <n x="13"/>
      </t>
    </mdx>
    <mdx n="0" f="v">
      <t c="8">
        <n x="1" s="1"/>
        <n x="2" s="1"/>
        <n x="5" s="1"/>
        <n x="3" s="1"/>
        <n x="4" s="1"/>
        <n x="104"/>
        <n x="99"/>
        <n x="76"/>
      </t>
    </mdx>
    <mdx n="0" f="v">
      <t c="8">
        <n x="1" s="1"/>
        <n x="2" s="1"/>
        <n x="5" s="1"/>
        <n x="3" s="1"/>
        <n x="4" s="1"/>
        <n x="104"/>
        <n x="99"/>
        <n x="69"/>
      </t>
    </mdx>
    <mdx n="0" f="v">
      <t c="8">
        <n x="1" s="1"/>
        <n x="2" s="1"/>
        <n x="5" s="1"/>
        <n x="3" s="1"/>
        <n x="4" s="1"/>
        <n x="104"/>
        <n x="112"/>
        <n x="128"/>
      </t>
    </mdx>
    <mdx n="0" f="v">
      <t c="8">
        <n x="1" s="1"/>
        <n x="2" s="1"/>
        <n x="5" s="1"/>
        <n x="3" s="1"/>
        <n x="4" s="1"/>
        <n x="104"/>
        <n x="112"/>
        <n x="127"/>
      </t>
    </mdx>
    <mdx n="0" f="v">
      <t c="8">
        <n x="1" s="1"/>
        <n x="2" s="1"/>
        <n x="5" s="1"/>
        <n x="3" s="1"/>
        <n x="4" s="1"/>
        <n x="104"/>
        <n x="106"/>
        <n x="75"/>
      </t>
    </mdx>
    <mdx n="0" f="v">
      <t c="8">
        <n x="1" s="1"/>
        <n x="2" s="1"/>
        <n x="5" s="1"/>
        <n x="3" s="1"/>
        <n x="4" s="1"/>
        <n x="104"/>
        <n x="106"/>
        <n x="14"/>
      </t>
    </mdx>
    <mdx n="0" f="v">
      <t c="8">
        <n x="1" s="1"/>
        <n x="2" s="1"/>
        <n x="5" s="1"/>
        <n x="3" s="1"/>
        <n x="4" s="1"/>
        <n x="104"/>
        <n x="106"/>
        <n x="52"/>
      </t>
    </mdx>
    <mdx n="0" f="v">
      <t c="8">
        <n x="1" s="1"/>
        <n x="2" s="1"/>
        <n x="5" s="1"/>
        <n x="3" s="1"/>
        <n x="4" s="1"/>
        <n x="104"/>
        <n x="125"/>
        <n x="107"/>
      </t>
    </mdx>
    <mdx n="0" f="v">
      <t c="8">
        <n x="1" s="1"/>
        <n x="2" s="1"/>
        <n x="5" s="1"/>
        <n x="3" s="1"/>
        <n x="4" s="1"/>
        <n x="104"/>
        <n x="125"/>
        <n x="116"/>
      </t>
    </mdx>
    <mdx n="0" f="v">
      <t c="8">
        <n x="1" s="1"/>
        <n x="2" s="1"/>
        <n x="5" s="1"/>
        <n x="3" s="1"/>
        <n x="4" s="1"/>
        <n x="104"/>
        <n x="123"/>
        <n x="164" s="1"/>
      </t>
    </mdx>
    <mdx n="0" f="v">
      <t c="8">
        <n x="1" s="1"/>
        <n x="2" s="1"/>
        <n x="5" s="1"/>
        <n x="3" s="1"/>
        <n x="4" s="1"/>
        <n x="104"/>
        <n x="123"/>
        <n x="154"/>
      </t>
    </mdx>
    <mdx n="0" f="v">
      <t c="8">
        <n x="1" s="1"/>
        <n x="2" s="1"/>
        <n x="5" s="1"/>
        <n x="3" s="1"/>
        <n x="4" s="1"/>
        <n x="104"/>
        <n x="123"/>
        <n x="16"/>
      </t>
    </mdx>
    <mdx n="0" f="v">
      <t c="8">
        <n x="1" s="1"/>
        <n x="2" s="1"/>
        <n x="5" s="1"/>
        <n x="3" s="1"/>
        <n x="4" s="1"/>
        <n x="104"/>
        <n x="39"/>
        <n x="28"/>
      </t>
    </mdx>
    <mdx n="0" f="v">
      <t c="8">
        <n x="1" s="1"/>
        <n x="2" s="1"/>
        <n x="5" s="1"/>
        <n x="3" s="1"/>
        <n x="4" s="1"/>
        <n x="104"/>
        <n x="39"/>
        <n x="85"/>
      </t>
    </mdx>
    <mdx n="0" f="v">
      <t c="8">
        <n x="1" s="1"/>
        <n x="2" s="1"/>
        <n x="5" s="1"/>
        <n x="3" s="1"/>
        <n x="4" s="1"/>
        <n x="104"/>
        <n x="39"/>
        <n x="45"/>
      </t>
    </mdx>
    <mdx n="0" f="v">
      <t c="8">
        <n x="1" s="1"/>
        <n x="2" s="1"/>
        <n x="5" s="1"/>
        <n x="3" s="1"/>
        <n x="4" s="1"/>
        <n x="104"/>
        <n x="139"/>
        <n x="147"/>
      </t>
    </mdx>
    <mdx n="0" f="v">
      <t c="8">
        <n x="1" s="1"/>
        <n x="2" s="1"/>
        <n x="5" s="1"/>
        <n x="3" s="1"/>
        <n x="4" s="1"/>
        <n x="104"/>
        <n x="139"/>
        <n x="141"/>
      </t>
    </mdx>
    <mdx n="0" f="v">
      <t c="8">
        <n x="1" s="1"/>
        <n x="2" s="1"/>
        <n x="5" s="1"/>
        <n x="3" s="1"/>
        <n x="4" s="1"/>
        <n x="104"/>
        <n x="144"/>
        <n x="84"/>
      </t>
    </mdx>
    <mdx n="0" f="v">
      <t c="8">
        <n x="1" s="1"/>
        <n x="2" s="1"/>
        <n x="5" s="1"/>
        <n x="3" s="1"/>
        <n x="4" s="1"/>
        <n x="104"/>
        <n x="144"/>
        <n x="29"/>
      </t>
    </mdx>
    <mdx n="0" f="v">
      <t c="8">
        <n x="1" s="1"/>
        <n x="2" s="1"/>
        <n x="5" s="1"/>
        <n x="3" s="1"/>
        <n x="4" s="1"/>
        <n x="104"/>
        <n x="144"/>
        <n x="54"/>
      </t>
    </mdx>
    <mdx n="0" f="v">
      <t c="8">
        <n x="1" s="1"/>
        <n x="2" s="1"/>
        <n x="5" s="1"/>
        <n x="3" s="1"/>
        <n x="4" s="1"/>
        <n x="104"/>
        <n x="96"/>
        <n x="107"/>
      </t>
    </mdx>
    <mdx n="0" f="v">
      <t c="8">
        <n x="1" s="1"/>
        <n x="2" s="1"/>
        <n x="5" s="1"/>
        <n x="3" s="1"/>
        <n x="4" s="1"/>
        <n x="104"/>
        <n x="96"/>
        <n x="103"/>
      </t>
    </mdx>
    <mdx n="0" f="v">
      <t c="8">
        <n x="1" s="1"/>
        <n x="2" s="1"/>
        <n x="5" s="1"/>
        <n x="3" s="1"/>
        <n x="4" s="1"/>
        <n x="104"/>
        <n x="96"/>
        <n x="45"/>
      </t>
    </mdx>
    <mdx n="0" f="v">
      <t c="8">
        <n x="1" s="1"/>
        <n x="2" s="1"/>
        <n x="5" s="1"/>
        <n x="3" s="1"/>
        <n x="4" s="1"/>
        <n x="104"/>
        <n x="151"/>
        <n x="108"/>
      </t>
    </mdx>
    <mdx n="0" f="v">
      <t c="8">
        <n x="1" s="1"/>
        <n x="2" s="1"/>
        <n x="5" s="1"/>
        <n x="3" s="1"/>
        <n x="4" s="1"/>
        <n x="104"/>
        <n x="151"/>
        <n x="103"/>
      </t>
    </mdx>
    <mdx n="0" f="v">
      <t c="8">
        <n x="1" s="1"/>
        <n x="2" s="1"/>
        <n x="5" s="1"/>
        <n x="3" s="1"/>
        <n x="4" s="1"/>
        <n x="104"/>
        <n x="151"/>
        <n x="45"/>
      </t>
    </mdx>
    <mdx n="0" f="v">
      <t c="8">
        <n x="1" s="1"/>
        <n x="2" s="1"/>
        <n x="5" s="1"/>
        <n x="3" s="1"/>
        <n x="4" s="1"/>
        <n x="104"/>
        <n x="157"/>
        <n x="108"/>
      </t>
    </mdx>
    <mdx n="0" f="v">
      <t c="8">
        <n x="1" s="1"/>
        <n x="2" s="1"/>
        <n x="5" s="1"/>
        <n x="3" s="1"/>
        <n x="4" s="1"/>
        <n x="104"/>
        <n x="157"/>
        <n x="103"/>
      </t>
    </mdx>
    <mdx n="0" f="v">
      <t c="8">
        <n x="1" s="1"/>
        <n x="2" s="1"/>
        <n x="5" s="1"/>
        <n x="3" s="1"/>
        <n x="4" s="1"/>
        <n x="104"/>
        <n x="157"/>
        <n x="69"/>
      </t>
    </mdx>
    <mdx n="0" f="v">
      <t c="8">
        <n x="1" s="1"/>
        <n x="2" s="1"/>
        <n x="5" s="1"/>
        <n x="3" s="1"/>
        <n x="4" s="1"/>
        <n x="104"/>
        <n x="159"/>
        <n x="115"/>
      </t>
    </mdx>
    <mdx n="0" f="v">
      <t c="8">
        <n x="1" s="1"/>
        <n x="2" s="1"/>
        <n x="5" s="1"/>
        <n x="3" s="1"/>
        <n x="4" s="1"/>
        <n x="104"/>
        <n x="159"/>
        <n x="76"/>
      </t>
    </mdx>
    <mdx n="0" f="v">
      <t c="8">
        <n x="1" s="1"/>
        <n x="2" s="1"/>
        <n x="5" s="1"/>
        <n x="3" s="1"/>
        <n x="4" s="1"/>
        <n x="104"/>
        <n x="159"/>
        <n x="49"/>
      </t>
    </mdx>
    <mdx n="0" f="v">
      <t c="8">
        <n x="1" s="1"/>
        <n x="2" s="1"/>
        <n x="5" s="1"/>
        <n x="3" s="1"/>
        <n x="4" s="1"/>
        <n x="104"/>
        <n x="57"/>
        <n x="28"/>
      </t>
    </mdx>
    <mdx n="0" f="v">
      <t c="8">
        <n x="1" s="1"/>
        <n x="2" s="1"/>
        <n x="5" s="1"/>
        <n x="3" s="1"/>
        <n x="4" s="1"/>
        <n x="104"/>
        <n x="57"/>
        <n x="29"/>
      </t>
    </mdx>
    <mdx n="0" f="v">
      <t c="8">
        <n x="1" s="1"/>
        <n x="2" s="1"/>
        <n x="5" s="1"/>
        <n x="3" s="1"/>
        <n x="4" s="1"/>
        <n x="104"/>
        <n x="57"/>
        <n x="16"/>
      </t>
    </mdx>
    <mdx n="0" f="v">
      <t c="8">
        <n x="1" s="1"/>
        <n x="2" s="1"/>
        <n x="5" s="1"/>
        <n x="3" s="1"/>
        <n x="4" s="1"/>
        <n x="104"/>
        <n x="10"/>
        <n x="84"/>
      </t>
    </mdx>
    <mdx n="0" f="v">
      <t c="8">
        <n x="1" s="1"/>
        <n x="2" s="1"/>
        <n x="5" s="1"/>
        <n x="3" s="1"/>
        <n x="4" s="1"/>
        <n x="104"/>
        <n x="10"/>
        <n x="160"/>
      </t>
    </mdx>
    <mdx n="0" f="v">
      <t c="8">
        <n x="1" s="1"/>
        <n x="2" s="1"/>
        <n x="5" s="1"/>
        <n x="3" s="1"/>
        <n x="4" s="1"/>
        <n x="104"/>
        <n x="10"/>
        <n x="148"/>
      </t>
    </mdx>
    <mdx n="0" f="v">
      <t c="8">
        <n x="1" s="1"/>
        <n x="2" s="1"/>
        <n x="5" s="1"/>
        <n x="3" s="1"/>
        <n x="4" s="1"/>
        <n x="104"/>
        <n x="25"/>
        <n x="62"/>
      </t>
    </mdx>
    <mdx n="0" f="v">
      <t c="8">
        <n x="1" s="1"/>
        <n x="2" s="1"/>
        <n x="5" s="1"/>
        <n x="3" s="1"/>
        <n x="4" s="1"/>
        <n x="104"/>
        <n x="25"/>
        <n x="59"/>
      </t>
    </mdx>
    <mdx n="0" f="v">
      <t c="8">
        <n x="1" s="1"/>
        <n x="2" s="1"/>
        <n x="5" s="1"/>
        <n x="3" s="1"/>
        <n x="4" s="1"/>
        <n x="104"/>
        <n x="25"/>
        <n x="122"/>
      </t>
    </mdx>
    <mdx n="0" f="v">
      <t c="8">
        <n x="1" s="1"/>
        <n x="2" s="1"/>
        <n x="5" s="1"/>
        <n x="3" s="1"/>
        <n x="4" s="1"/>
        <n x="104"/>
        <n x="25"/>
        <n x="95"/>
      </t>
    </mdx>
    <mdx n="0" f="v">
      <t c="8">
        <n x="1" s="1"/>
        <n x="2" s="1"/>
        <n x="5" s="1"/>
        <n x="3" s="1"/>
        <n x="4" s="1"/>
        <n x="104"/>
        <n x="18"/>
        <n x="43"/>
      </t>
    </mdx>
    <mdx n="0" f="v">
      <t c="8">
        <n x="1" s="1"/>
        <n x="2" s="1"/>
        <n x="5" s="1"/>
        <n x="3" s="1"/>
        <n x="4" s="1"/>
        <n x="104"/>
        <n x="18"/>
        <n x="44"/>
      </t>
    </mdx>
    <mdx n="0" f="v">
      <t c="8">
        <n x="1" s="1"/>
        <n x="2" s="1"/>
        <n x="5" s="1"/>
        <n x="3" s="1"/>
        <n x="4" s="1"/>
        <n x="104"/>
        <n x="18"/>
        <n x="45"/>
      </t>
    </mdx>
    <mdx n="0" f="v">
      <t c="8">
        <n x="1" s="1"/>
        <n x="2" s="1"/>
        <n x="5" s="1"/>
        <n x="3" s="1"/>
        <n x="4" s="1"/>
        <n x="104"/>
        <n x="68"/>
        <n x="107"/>
      </t>
    </mdx>
    <mdx n="0" f="v">
      <t c="8">
        <n x="1" s="1"/>
        <n x="2" s="1"/>
        <n x="5" s="1"/>
        <n x="3" s="1"/>
        <n x="4" s="1"/>
        <n x="104"/>
        <n x="68"/>
        <n x="85"/>
      </t>
    </mdx>
    <mdx n="0" f="v">
      <t c="8">
        <n x="1" s="1"/>
        <n x="2" s="1"/>
        <n x="5" s="1"/>
        <n x="3" s="1"/>
        <n x="4" s="1"/>
        <n x="104"/>
        <n x="68"/>
        <n x="52"/>
      </t>
    </mdx>
    <mdx n="0" f="v">
      <t c="8">
        <n x="1" s="1"/>
        <n x="2" s="1"/>
        <n x="5" s="1"/>
        <n x="3" s="1"/>
        <n x="4" s="1"/>
        <n x="104"/>
        <n x="73"/>
        <n x="19"/>
      </t>
    </mdx>
    <mdx n="0" f="v">
      <t c="8">
        <n x="1" s="1"/>
        <n x="2" s="1"/>
        <n x="5" s="1"/>
        <n x="3" s="1"/>
        <n x="4" s="1"/>
        <n x="104"/>
        <n x="73"/>
        <n x="20"/>
      </t>
    </mdx>
    <mdx n="0" f="v">
      <t c="8">
        <n x="1" s="1"/>
        <n x="2" s="1"/>
        <n x="5" s="1"/>
        <n x="3" s="1"/>
        <n x="4" s="1"/>
        <n x="104"/>
        <n x="73"/>
        <n x="33"/>
      </t>
    </mdx>
    <mdx n="0" f="v">
      <t c="8">
        <n x="1" s="1"/>
        <n x="2" s="1"/>
        <n x="5" s="1"/>
        <n x="3" s="1"/>
        <n x="4" s="1"/>
        <n x="104"/>
        <n x="82"/>
        <n x="93"/>
      </t>
    </mdx>
    <mdx n="0" f="v">
      <t c="8">
        <n x="1" s="1"/>
        <n x="2" s="1"/>
        <n x="5" s="1"/>
        <n x="3" s="1"/>
        <n x="4" s="1"/>
        <n x="104"/>
        <n x="82"/>
        <n x="162"/>
      </t>
    </mdx>
    <mdx n="0" f="v">
      <t c="8">
        <n x="1" s="1"/>
        <n x="2" s="1"/>
        <n x="5" s="1"/>
        <n x="3" s="1"/>
        <n x="4" s="1"/>
        <n x="104"/>
        <n x="82"/>
        <n x="87"/>
      </t>
    </mdx>
    <mdx n="0" f="v">
      <t c="8">
        <n x="1" s="1"/>
        <n x="2" s="1"/>
        <n x="5" s="1"/>
        <n x="3" s="1"/>
        <n x="4" s="1"/>
        <n x="104"/>
        <n x="91"/>
        <n x="63"/>
      </t>
    </mdx>
    <mdx n="0" f="v">
      <t c="8">
        <n x="1" s="1"/>
        <n x="2" s="1"/>
        <n x="5" s="1"/>
        <n x="3" s="1"/>
        <n x="4" s="1"/>
        <n x="104"/>
        <n x="91"/>
        <n x="154"/>
      </t>
    </mdx>
    <mdx n="0" f="v">
      <t c="8">
        <n x="1" s="1"/>
        <n x="2" s="1"/>
        <n x="5" s="1"/>
        <n x="3" s="1"/>
        <n x="4" s="1"/>
        <n x="104"/>
        <n x="91"/>
        <n x="127"/>
      </t>
    </mdx>
    <mdx n="0" f="v">
      <t c="8">
        <n x="1" s="1"/>
        <n x="2" s="1"/>
        <n x="5" s="1"/>
        <n x="3" s="1"/>
        <n x="4" s="1"/>
        <n x="104"/>
        <n x="100"/>
        <n x="164" s="1"/>
      </t>
    </mdx>
    <mdx n="0" f="v">
      <t c="8">
        <n x="1" s="1"/>
        <n x="2" s="1"/>
        <n x="5" s="1"/>
        <n x="3" s="1"/>
        <n x="4" s="1"/>
        <n x="104"/>
        <n x="100"/>
        <n x="128"/>
      </t>
    </mdx>
    <mdx n="0" f="v">
      <t c="8">
        <n x="1" s="1"/>
        <n x="2" s="1"/>
        <n x="5" s="1"/>
        <n x="3" s="1"/>
        <n x="4" s="1"/>
        <n x="104"/>
        <n x="100"/>
        <n x="116"/>
      </t>
    </mdx>
    <mdx n="0" f="v">
      <t c="8">
        <n x="1" s="1"/>
        <n x="2" s="1"/>
        <n x="5" s="1"/>
        <n x="3" s="1"/>
        <n x="4" s="1"/>
        <n x="104"/>
        <n x="100"/>
        <n x="77"/>
      </t>
    </mdx>
    <mdx n="0" f="v">
      <t c="8">
        <n x="1" s="1"/>
        <n x="2" s="1"/>
        <n x="5" s="1"/>
        <n x="3" s="1"/>
        <n x="4" s="1"/>
        <n x="104"/>
        <n x="65"/>
        <n x="84"/>
      </t>
    </mdx>
    <mdx n="0" f="v">
      <t c="8">
        <n x="1" s="1"/>
        <n x="2" s="1"/>
        <n x="5" s="1"/>
        <n x="3" s="1"/>
        <n x="4" s="1"/>
        <n x="104"/>
        <n x="7"/>
        <n x="85"/>
      </t>
    </mdx>
    <mdx n="0" f="v">
      <t c="8">
        <n x="1" s="1"/>
        <n x="2" s="1"/>
        <n x="5" s="1"/>
        <n x="3" s="1"/>
        <n x="4" s="1"/>
        <n x="104"/>
        <n x="98"/>
        <n x="102"/>
      </t>
    </mdx>
    <mdx n="0" f="v">
      <t c="8">
        <n x="1" s="1"/>
        <n x="2" s="1"/>
        <n x="5" s="1"/>
        <n x="3" s="1"/>
        <n x="4" s="1"/>
        <n x="104"/>
        <n x="64"/>
        <n x="102"/>
      </t>
    </mdx>
    <mdx n="0" f="v">
      <t c="8">
        <n x="1" s="1"/>
        <n x="2" s="1"/>
        <n x="5" s="1"/>
        <n x="3" s="1"/>
        <n x="4" s="1"/>
        <n x="104"/>
        <n x="64"/>
        <n x="155"/>
      </t>
    </mdx>
    <mdx n="0" f="v">
      <t c="8">
        <n x="1" s="1"/>
        <n x="2" s="1"/>
        <n x="5" s="1"/>
        <n x="3" s="1"/>
        <n x="4" s="1"/>
        <n x="104"/>
        <n x="150"/>
        <n x="147"/>
      </t>
    </mdx>
    <mdx n="0" f="v">
      <t c="8">
        <n x="1" s="1"/>
        <n x="2" s="1"/>
        <n x="5" s="1"/>
        <n x="3" s="1"/>
        <n x="4" s="1"/>
        <n x="104"/>
        <n x="150"/>
        <n x="45"/>
      </t>
    </mdx>
    <mdx n="0" f="v">
      <t c="8">
        <n x="1" s="1"/>
        <n x="2" s="1"/>
        <n x="5" s="1"/>
        <n x="3" s="1"/>
        <n x="4" s="1"/>
        <n x="104"/>
        <n x="38"/>
        <n x="14"/>
      </t>
    </mdx>
    <mdx n="0" f="v">
      <t c="8">
        <n x="1" s="1"/>
        <n x="2" s="1"/>
        <n x="5" s="1"/>
        <n x="3" s="1"/>
        <n x="4" s="1"/>
        <n x="104"/>
        <n x="46"/>
        <n x="62"/>
      </t>
    </mdx>
    <mdx n="0" f="v">
      <t c="8">
        <n x="1" s="1"/>
        <n x="2" s="1"/>
        <n x="5" s="1"/>
        <n x="3" s="1"/>
        <n x="4" s="1"/>
        <n x="104"/>
        <n x="46"/>
        <n x="85"/>
      </t>
    </mdx>
    <mdx n="0" f="v">
      <t c="8">
        <n x="1" s="1"/>
        <n x="2" s="1"/>
        <n x="5" s="1"/>
        <n x="3" s="1"/>
        <n x="4" s="1"/>
        <n x="104"/>
        <n x="50"/>
        <n x="75"/>
      </t>
    </mdx>
    <mdx n="0" f="v">
      <t c="8">
        <n x="1" s="1"/>
        <n x="2" s="1"/>
        <n x="5" s="1"/>
        <n x="3" s="1"/>
        <n x="4" s="1"/>
        <n x="104"/>
        <n x="50"/>
        <n x="58"/>
      </t>
    </mdx>
    <mdx n="0" f="v">
      <t c="8">
        <n x="1" s="1"/>
        <n x="2" s="1"/>
        <n x="5" s="1"/>
        <n x="3" s="1"/>
        <n x="4" s="1"/>
        <n x="104"/>
        <n x="50"/>
        <n x="95"/>
      </t>
    </mdx>
    <mdx n="0" f="v">
      <t c="8">
        <n x="1" s="1"/>
        <n x="2" s="1"/>
        <n x="5" s="1"/>
        <n x="3" s="1"/>
        <n x="4" s="1"/>
        <n x="104"/>
        <n x="61"/>
        <n x="162"/>
      </t>
    </mdx>
    <mdx n="0" f="v">
      <t c="8">
        <n x="1" s="1"/>
        <n x="2" s="1"/>
        <n x="5" s="1"/>
        <n x="3" s="1"/>
        <n x="4" s="1"/>
        <n x="104"/>
        <n x="61"/>
        <n x="69"/>
      </t>
    </mdx>
    <mdx n="0" f="v">
      <t c="8">
        <n x="1" s="1"/>
        <n x="2" s="1"/>
        <n x="5" s="1"/>
        <n x="3" s="1"/>
        <n x="4" s="1"/>
        <n x="104"/>
        <n x="67"/>
        <n x="59"/>
      </t>
    </mdx>
    <mdx n="0" f="v">
      <t c="8">
        <n x="1" s="1"/>
        <n x="2" s="1"/>
        <n x="5" s="1"/>
        <n x="3" s="1"/>
        <n x="4" s="1"/>
        <n x="104"/>
        <n x="67"/>
        <n x="155"/>
      </t>
    </mdx>
    <mdx n="0" f="v">
      <t c="8">
        <n x="1" s="1"/>
        <n x="2" s="1"/>
        <n x="5" s="1"/>
        <n x="3" s="1"/>
        <n x="4" s="1"/>
        <n x="104"/>
        <n x="72"/>
        <n x="109"/>
      </t>
    </mdx>
    <mdx n="0" f="v">
      <t c="8">
        <n x="1" s="1"/>
        <n x="2" s="1"/>
        <n x="5" s="1"/>
        <n x="3" s="1"/>
        <n x="4" s="1"/>
        <n x="104"/>
        <n x="72"/>
        <n x="87"/>
      </t>
    </mdx>
    <mdx n="0" f="v">
      <t c="8">
        <n x="1" s="1"/>
        <n x="2" s="1"/>
        <n x="5" s="1"/>
        <n x="3" s="1"/>
        <n x="4" s="1"/>
        <n x="104"/>
        <n x="81"/>
        <n x="102"/>
      </t>
    </mdx>
    <mdx n="0" f="v">
      <t c="8">
        <n x="1" s="1"/>
        <n x="2" s="1"/>
        <n x="5" s="1"/>
        <n x="3" s="1"/>
        <n x="4" s="1"/>
        <n x="104"/>
        <n x="81"/>
        <n x="122"/>
      </t>
    </mdx>
    <mdx n="0" f="v">
      <t c="8">
        <n x="1" s="1"/>
        <n x="2" s="1"/>
        <n x="5" s="1"/>
        <n x="3" s="1"/>
        <n x="4" s="1"/>
        <n x="104"/>
        <n x="90"/>
        <n x="84"/>
      </t>
    </mdx>
    <mdx n="0" f="v">
      <t c="8">
        <n x="1" s="1"/>
        <n x="2" s="1"/>
        <n x="5" s="1"/>
        <n x="3" s="1"/>
        <n x="4" s="1"/>
        <n x="104"/>
        <n x="90"/>
        <n x="76"/>
      </t>
    </mdx>
    <mdx n="0" f="v">
      <t c="8">
        <n x="1" s="1"/>
        <n x="2" s="1"/>
        <n x="5" s="1"/>
        <n x="3" s="1"/>
        <n x="4" s="1"/>
        <n x="104"/>
        <n x="9"/>
        <n x="164" s="1"/>
      </t>
    </mdx>
    <mdx n="0" f="v">
      <t c="8">
        <n x="1" s="1"/>
        <n x="2" s="1"/>
        <n x="5" s="1"/>
        <n x="3" s="1"/>
        <n x="4" s="1"/>
        <n x="104"/>
        <n x="9"/>
        <n x="14"/>
      </t>
    </mdx>
    <mdx n="0" f="v">
      <t c="8">
        <n x="1" s="1"/>
        <n x="2" s="1"/>
        <n x="5" s="1"/>
        <n x="3" s="1"/>
        <n x="4" s="1"/>
        <n x="104"/>
        <n x="9"/>
        <n x="52"/>
      </t>
    </mdx>
    <mdx n="0" f="v">
      <t c="8">
        <n x="1" s="1"/>
        <n x="2" s="1"/>
        <n x="5" s="1"/>
        <n x="3" s="1"/>
        <n x="4" s="1"/>
        <n x="104"/>
        <n x="24"/>
        <n x="107"/>
      </t>
    </mdx>
    <mdx n="0" f="v">
      <t c="8">
        <n x="1" s="1"/>
        <n x="2" s="1"/>
        <n x="5" s="1"/>
        <n x="3" s="1"/>
        <n x="4" s="1"/>
        <n x="104"/>
        <n x="24"/>
        <n x="116"/>
      </t>
    </mdx>
    <mdx n="0" f="v">
      <t c="8">
        <n x="1" s="1"/>
        <n x="2" s="1"/>
        <n x="5" s="1"/>
        <n x="3" s="1"/>
        <n x="4" s="1"/>
        <n x="104"/>
        <n x="31"/>
        <n x="164" s="1"/>
      </t>
    </mdx>
    <mdx n="0" f="v">
      <t c="8">
        <n x="1" s="1"/>
        <n x="2" s="1"/>
        <n x="5" s="1"/>
        <n x="3" s="1"/>
        <n x="4" s="1"/>
        <n x="104"/>
        <n x="31"/>
        <n x="160"/>
      </t>
    </mdx>
    <mdx n="0" f="v">
      <t c="8">
        <n x="1" s="1"/>
        <n x="2" s="1"/>
        <n x="5" s="1"/>
        <n x="3" s="1"/>
        <n x="4" s="1"/>
        <n x="104"/>
        <n x="31"/>
        <n x="16"/>
      </t>
    </mdx>
    <mdx n="0" f="v">
      <t c="8">
        <n x="1" s="1"/>
        <n x="2" s="1"/>
        <n x="5" s="1"/>
        <n x="3" s="1"/>
        <n x="4" s="1"/>
        <n x="104"/>
        <n x="99"/>
        <n x="19"/>
      </t>
    </mdx>
    <mdx n="0" f="v">
      <t c="8">
        <n x="1" s="1"/>
        <n x="2" s="1"/>
        <n x="5" s="1"/>
        <n x="3" s="1"/>
        <n x="4" s="1"/>
        <n x="104"/>
        <n x="99"/>
        <n x="85"/>
      </t>
    </mdx>
    <mdx n="0" f="v">
      <t c="8">
        <n x="1" s="1"/>
        <n x="2" s="1"/>
        <n x="5" s="1"/>
        <n x="3" s="1"/>
        <n x="4" s="1"/>
        <n x="104"/>
        <n x="99"/>
        <n x="45"/>
      </t>
    </mdx>
    <mdx n="0" f="v">
      <t c="8">
        <n x="1" s="1"/>
        <n x="2" s="1"/>
        <n x="5" s="1"/>
        <n x="3" s="1"/>
        <n x="4" s="1"/>
        <n x="104"/>
        <n x="112"/>
        <n x="147"/>
      </t>
    </mdx>
    <mdx n="0" f="v">
      <t c="8">
        <n x="1" s="1"/>
        <n x="2" s="1"/>
        <n x="5" s="1"/>
        <n x="3" s="1"/>
        <n x="4" s="1"/>
        <n x="104"/>
        <n x="112"/>
        <n x="141"/>
      </t>
    </mdx>
    <mdx n="0" f="v">
      <t c="8">
        <n x="1" s="1"/>
        <n x="2" s="1"/>
        <n x="5" s="1"/>
        <n x="3" s="1"/>
        <n x="4" s="1"/>
        <n x="104"/>
        <n x="106"/>
        <n x="84"/>
      </t>
    </mdx>
    <mdx n="0" f="v">
      <t c="8">
        <n x="1" s="1"/>
        <n x="2" s="1"/>
        <n x="5" s="1"/>
        <n x="3" s="1"/>
        <n x="4" s="1"/>
        <n x="104"/>
        <n x="106"/>
        <n x="29"/>
      </t>
    </mdx>
    <mdx n="0" f="v">
      <t c="8">
        <n x="1" s="1"/>
        <n x="2" s="1"/>
        <n x="5" s="1"/>
        <n x="3" s="1"/>
        <n x="4" s="1"/>
        <n x="104"/>
        <n x="106"/>
        <n x="54"/>
      </t>
    </mdx>
    <mdx n="0" f="v">
      <t c="8">
        <n x="1" s="1"/>
        <n x="2" s="1"/>
        <n x="5" s="1"/>
        <n x="3" s="1"/>
        <n x="4" s="1"/>
        <n x="104"/>
        <n x="125"/>
        <n x="108"/>
      </t>
    </mdx>
    <mdx n="0" f="v">
      <t c="8">
        <n x="1" s="1"/>
        <n x="2" s="1"/>
        <n x="5" s="1"/>
        <n x="3" s="1"/>
        <n x="4" s="1"/>
        <n x="104"/>
        <n x="125"/>
        <n x="119"/>
      </t>
    </mdx>
    <mdx n="0" f="v">
      <t c="8">
        <n x="1" s="1"/>
        <n x="2" s="1"/>
        <n x="5" s="1"/>
        <n x="3" s="1"/>
        <n x="4" s="1"/>
        <n x="104"/>
        <n x="123"/>
        <n x="56"/>
      </t>
    </mdx>
    <mdx n="0" f="v">
      <t c="8">
        <n x="1" s="1"/>
        <n x="2" s="1"/>
        <n x="5" s="1"/>
        <n x="3" s="1"/>
        <n x="4" s="1"/>
        <n x="104"/>
        <n x="123"/>
        <n x="162"/>
      </t>
    </mdx>
    <mdx n="0" f="v">
      <t c="8">
        <n x="1" s="1"/>
        <n x="2" s="1"/>
        <n x="5" s="1"/>
        <n x="3" s="1"/>
        <n x="4" s="1"/>
        <n x="104"/>
        <n x="123"/>
        <n x="33"/>
      </t>
    </mdx>
    <mdx n="0" f="v">
      <t c="8">
        <n x="1" s="1"/>
        <n x="2" s="1"/>
        <n x="5" s="1"/>
        <n x="3" s="1"/>
        <n x="4" s="1"/>
        <n x="104"/>
        <n x="39"/>
        <n x="102"/>
      </t>
    </mdx>
    <mdx n="0" f="v">
      <t c="8">
        <n x="1" s="1"/>
        <n x="2" s="1"/>
        <n x="5" s="1"/>
        <n x="3" s="1"/>
        <n x="4" s="1"/>
        <n x="104"/>
        <n x="39"/>
        <n x="94"/>
      </t>
    </mdx>
    <mdx n="0" f="v">
      <t c="8">
        <n x="1" s="1"/>
        <n x="2" s="1"/>
        <n x="5" s="1"/>
        <n x="3" s="1"/>
        <n x="4" s="1"/>
        <n x="104"/>
        <n x="39"/>
        <n x="77"/>
      </t>
    </mdx>
    <mdx n="0" f="v">
      <t c="8">
        <n x="1" s="1"/>
        <n x="2" s="1"/>
        <n x="5" s="1"/>
        <n x="3" s="1"/>
        <n x="4" s="1"/>
        <n x="104"/>
        <n x="139"/>
        <n x="59"/>
      </t>
    </mdx>
    <mdx n="0" f="v">
      <t c="8">
        <n x="1" s="1"/>
        <n x="2" s="1"/>
        <n x="5" s="1"/>
        <n x="3" s="1"/>
        <n x="4" s="1"/>
        <n x="104"/>
        <n x="139"/>
        <n x="148"/>
      </t>
    </mdx>
    <mdx n="0" f="v">
      <t c="8">
        <n x="1" s="1"/>
        <n x="2" s="1"/>
        <n x="5" s="1"/>
        <n x="3" s="1"/>
        <n x="4" s="1"/>
        <n x="104"/>
        <n x="144"/>
        <n x="93"/>
      </t>
    </mdx>
    <mdx n="0" f="v">
      <t c="8">
        <n x="1" s="1"/>
        <n x="2" s="1"/>
        <n x="5" s="1"/>
        <n x="3" s="1"/>
        <n x="4" s="1"/>
        <n x="104"/>
        <n x="144"/>
        <n x="20"/>
      </t>
    </mdx>
    <mdx n="0" f="v">
      <t c="8">
        <n x="1" s="1"/>
        <n x="2" s="1"/>
        <n x="5" s="1"/>
        <n x="3" s="1"/>
        <n x="4" s="1"/>
        <n x="104"/>
        <n x="144"/>
        <n x="69"/>
      </t>
    </mdx>
    <mdx n="0" f="v">
      <t c="8">
        <n x="1" s="1"/>
        <n x="2" s="1"/>
        <n x="5" s="1"/>
        <n x="3" s="1"/>
        <n x="4" s="1"/>
        <n x="104"/>
        <n x="96"/>
        <n x="108"/>
      </t>
    </mdx>
    <mdx n="0" f="v">
      <t c="8">
        <n x="1" s="1"/>
        <n x="2" s="1"/>
        <n x="5" s="1"/>
        <n x="3" s="1"/>
        <n x="4" s="1"/>
        <n x="104"/>
        <n x="96"/>
        <n x="44"/>
      </t>
    </mdx>
    <mdx n="0" f="v">
      <t c="8">
        <n x="1" s="1"/>
        <n x="2" s="1"/>
        <n x="5" s="1"/>
        <n x="3" s="1"/>
        <n x="4" s="1"/>
        <n x="104"/>
        <n x="96"/>
        <n x="77"/>
      </t>
    </mdx>
    <mdx n="0" f="v">
      <t c="8">
        <n x="1" s="1"/>
        <n x="2" s="1"/>
        <n x="5" s="1"/>
        <n x="3" s="1"/>
        <n x="4" s="1"/>
        <n x="104"/>
        <n x="151"/>
        <n x="109"/>
      </t>
    </mdx>
    <mdx n="0" f="v">
      <t c="8">
        <n x="1" s="1"/>
        <n x="2" s="1"/>
        <n x="5" s="1"/>
        <n x="3" s="1"/>
        <n x="4" s="1"/>
        <n x="104"/>
        <n x="151"/>
        <n x="44"/>
      </t>
    </mdx>
    <mdx n="0" f="v">
      <t c="8">
        <n x="1" s="1"/>
        <n x="2" s="1"/>
        <n x="5" s="1"/>
        <n x="3" s="1"/>
        <n x="4" s="1"/>
        <n x="104"/>
        <n x="151"/>
        <n x="77"/>
      </t>
    </mdx>
    <mdx n="0" f="v">
      <t c="8">
        <n x="1" s="1"/>
        <n x="2" s="1"/>
        <n x="5" s="1"/>
        <n x="3" s="1"/>
        <n x="4" s="1"/>
        <n x="104"/>
        <n x="157"/>
        <n x="109"/>
      </t>
    </mdx>
    <mdx n="0" f="v">
      <t c="8">
        <n x="1" s="1"/>
        <n x="2" s="1"/>
        <n x="5" s="1"/>
        <n x="3" s="1"/>
        <n x="4" s="1"/>
        <n x="104"/>
        <n x="157"/>
        <n x="44"/>
      </t>
    </mdx>
    <mdx n="0" f="v">
      <t c="8">
        <n x="1" s="1"/>
        <n x="2" s="1"/>
        <n x="5" s="1"/>
        <n x="3" s="1"/>
        <n x="4" s="1"/>
        <n x="104"/>
        <n x="157"/>
        <n x="45"/>
      </t>
    </mdx>
    <mdx n="0" f="v">
      <t c="8">
        <n x="1" s="1"/>
        <n x="2" s="1"/>
        <n x="5" s="1"/>
        <n x="3" s="1"/>
        <n x="4" s="1"/>
        <n x="104"/>
        <n x="159"/>
        <n x="107"/>
      </t>
    </mdx>
    <mdx n="0" f="v">
      <t c="8">
        <n x="1" s="1"/>
        <n x="2" s="1"/>
        <n x="5" s="1"/>
        <n x="3" s="1"/>
        <n x="4" s="1"/>
        <n x="104"/>
        <n x="159"/>
        <n x="85"/>
      </t>
    </mdx>
    <mdx n="0" f="v">
      <t c="8">
        <n x="1" s="1"/>
        <n x="2" s="1"/>
        <n x="5" s="1"/>
        <n x="3" s="1"/>
        <n x="4" s="1"/>
        <n x="104"/>
        <n x="159"/>
        <n x="52"/>
      </t>
    </mdx>
    <mdx n="0" f="v">
      <t c="8">
        <n x="1" s="1"/>
        <n x="2" s="1"/>
        <n x="5" s="1"/>
        <n x="3" s="1"/>
        <n x="4" s="1"/>
        <n x="104"/>
        <n x="57"/>
        <n x="19"/>
      </t>
    </mdx>
    <mdx n="0" f="v">
      <t c="8">
        <n x="1" s="1"/>
        <n x="2" s="1"/>
        <n x="5" s="1"/>
        <n x="3" s="1"/>
        <n x="4" s="1"/>
        <n x="104"/>
        <n x="57"/>
        <n x="20"/>
      </t>
    </mdx>
    <mdx n="0" f="v">
      <t c="8">
        <n x="1" s="1"/>
        <n x="2" s="1"/>
        <n x="5" s="1"/>
        <n x="3" s="1"/>
        <n x="4" s="1"/>
        <n x="104"/>
        <n x="57"/>
        <n x="33"/>
      </t>
    </mdx>
    <mdx n="0" f="v">
      <t c="8">
        <n x="1" s="1"/>
        <n x="2" s="1"/>
        <n x="5" s="1"/>
        <n x="3" s="1"/>
        <n x="4" s="1"/>
        <n x="104"/>
        <n x="10"/>
        <n x="93"/>
      </t>
    </mdx>
    <mdx n="0" f="v">
      <t c="8">
        <n x="1" s="1"/>
        <n x="2" s="1"/>
        <n x="5" s="1"/>
        <n x="3" s="1"/>
        <n x="4" s="1"/>
        <n x="104"/>
        <n x="10"/>
        <n x="162"/>
      </t>
    </mdx>
    <mdx n="0" f="v">
      <t c="8">
        <n x="1" s="1"/>
        <n x="2" s="1"/>
        <n x="5" s="1"/>
        <n x="3" s="1"/>
        <n x="4" s="1"/>
        <n x="104"/>
        <n x="10"/>
        <n x="87"/>
      </t>
    </mdx>
    <mdx n="0" f="v">
      <t c="8">
        <n x="1" s="1"/>
        <n x="2" s="1"/>
        <n x="5" s="1"/>
        <n x="3" s="1"/>
        <n x="4" s="1"/>
        <n x="104"/>
        <n x="25"/>
        <n x="63"/>
      </t>
    </mdx>
    <mdx n="0" f="v">
      <t c="8">
        <n x="1" s="1"/>
        <n x="2" s="1"/>
        <n x="5" s="1"/>
        <n x="3" s="1"/>
        <n x="4" s="1"/>
        <n x="104"/>
        <n x="25"/>
        <n x="154"/>
      </t>
    </mdx>
    <mdx n="0" f="v">
      <t c="8">
        <n x="1" s="1"/>
        <n x="2" s="1"/>
        <n x="5" s="1"/>
        <n x="3" s="1"/>
        <n x="4" s="1"/>
        <n x="104"/>
        <n x="25"/>
        <n x="127"/>
      </t>
    </mdx>
    <mdx n="0" f="v">
      <t c="8">
        <n x="1" s="1"/>
        <n x="2" s="1"/>
        <n x="5" s="1"/>
        <n x="3" s="1"/>
        <n x="4" s="1"/>
        <n x="104"/>
        <n x="18"/>
        <n x="164" s="1"/>
      </t>
    </mdx>
    <mdx n="0" f="v">
      <t c="8">
        <n x="1" s="1"/>
        <n x="2" s="1"/>
        <n x="5" s="1"/>
        <n x="3" s="1"/>
        <n x="4" s="1"/>
        <n x="104"/>
        <n x="18"/>
        <n x="128"/>
      </t>
    </mdx>
    <mdx n="0" f="v">
      <t c="8">
        <n x="1" s="1"/>
        <n x="2" s="1"/>
        <n x="5" s="1"/>
        <n x="3" s="1"/>
        <n x="4" s="1"/>
        <n x="104"/>
        <n x="18"/>
        <n x="116"/>
      </t>
    </mdx>
    <mdx n="0" f="v">
      <t c="8">
        <n x="1" s="1"/>
        <n x="2" s="1"/>
        <n x="5" s="1"/>
        <n x="3" s="1"/>
        <n x="4" s="1"/>
        <n x="104"/>
        <n x="18"/>
        <n x="77"/>
      </t>
    </mdx>
    <mdx n="0" f="v">
      <t c="8">
        <n x="1" s="1"/>
        <n x="2" s="1"/>
        <n x="5" s="1"/>
        <n x="3" s="1"/>
        <n x="4" s="1"/>
        <n x="104"/>
        <n x="68"/>
        <n x="108"/>
      </t>
    </mdx>
    <mdx n="0" f="v">
      <t c="8">
        <n x="1" s="1"/>
        <n x="2" s="1"/>
        <n x="5" s="1"/>
        <n x="3" s="1"/>
        <n x="4" s="1"/>
        <n x="104"/>
        <n x="68"/>
        <n x="94"/>
      </t>
    </mdx>
    <mdx n="0" f="v">
      <t c="8">
        <n x="1" s="1"/>
        <n x="2" s="1"/>
        <n x="5" s="1"/>
        <n x="3" s="1"/>
        <n x="4" s="1"/>
        <n x="104"/>
        <n x="68"/>
        <n x="54"/>
      </t>
    </mdx>
    <mdx n="0" f="v">
      <t c="8">
        <n x="1" s="1"/>
        <n x="2" s="1"/>
        <n x="5" s="1"/>
        <n x="3" s="1"/>
        <n x="4" s="1"/>
        <n x="104"/>
        <n x="73"/>
        <n x="102"/>
      </t>
    </mdx>
    <mdx n="0" f="v">
      <t c="8">
        <n x="1" s="1"/>
        <n x="2" s="1"/>
        <n x="5" s="1"/>
        <n x="3" s="1"/>
        <n x="4" s="1"/>
        <n x="104"/>
        <n x="73"/>
        <n x="58"/>
      </t>
    </mdx>
    <mdx n="0" f="v">
      <t c="8">
        <n x="1" s="1"/>
        <n x="2" s="1"/>
        <n x="5" s="1"/>
        <n x="3" s="1"/>
        <n x="4" s="1"/>
        <n x="104"/>
        <n x="70"/>
        <n x="164" s="1"/>
      </t>
    </mdx>
    <mdx n="0" f="v">
      <t c="8">
        <n x="1" s="1"/>
        <n x="2" s="1"/>
        <n x="5" s="1"/>
        <n x="3" s="1"/>
        <n x="4" s="1"/>
        <n x="104"/>
        <n x="22"/>
        <n x="14"/>
      </t>
    </mdx>
    <mdx n="0" f="v">
      <t c="8">
        <n x="1" s="1"/>
        <n x="2" s="1"/>
        <n x="5" s="1"/>
        <n x="3" s="1"/>
        <n x="4" s="1"/>
        <n x="104"/>
        <n x="98"/>
        <n x="52"/>
      </t>
    </mdx>
    <mdx n="0" f="v">
      <t c="8">
        <n x="1" s="1"/>
        <n x="2" s="1"/>
        <n x="5" s="1"/>
        <n x="3" s="1"/>
        <n x="4" s="1"/>
        <n x="104"/>
        <n x="64"/>
        <n x="115"/>
      </t>
    </mdx>
    <mdx n="0" f="v">
      <t c="8">
        <n x="1" s="1"/>
        <n x="2" s="1"/>
        <n x="5" s="1"/>
        <n x="3" s="1"/>
        <n x="4" s="1"/>
        <n x="104"/>
        <n x="64"/>
        <n x="49"/>
      </t>
    </mdx>
    <mdx n="0" f="v">
      <t c="8">
        <n x="1" s="1"/>
        <n x="2" s="1"/>
        <n x="5" s="1"/>
        <n x="3" s="1"/>
        <n x="4" s="1"/>
        <n x="104"/>
        <n x="150"/>
        <n x="59"/>
      </t>
    </mdx>
    <mdx n="0" f="v">
      <t c="8">
        <n x="1" s="1"/>
        <n x="2" s="1"/>
        <n x="5" s="1"/>
        <n x="3" s="1"/>
        <n x="4" s="1"/>
        <n x="104"/>
        <n x="150"/>
        <n x="77"/>
      </t>
    </mdx>
    <mdx n="0" f="v">
      <t c="8">
        <n x="1" s="1"/>
        <n x="2" s="1"/>
        <n x="5" s="1"/>
        <n x="3" s="1"/>
        <n x="4" s="1"/>
        <n x="104"/>
        <n x="38"/>
        <n x="58"/>
      </t>
    </mdx>
    <mdx n="0" f="v">
      <t c="8">
        <n x="1" s="1"/>
        <n x="2" s="1"/>
        <n x="5" s="1"/>
        <n x="3" s="1"/>
        <n x="4" s="1"/>
        <n x="104"/>
        <n x="46"/>
        <n x="63"/>
      </t>
    </mdx>
    <mdx n="0" f="v">
      <t c="8">
        <n x="1" s="1"/>
        <n x="2" s="1"/>
        <n x="5" s="1"/>
        <n x="3" s="1"/>
        <n x="4" s="1"/>
        <n x="104"/>
        <n x="46"/>
        <n x="119"/>
      </t>
    </mdx>
    <mdx n="0" f="v">
      <t c="8">
        <n x="1" s="1"/>
        <n x="2" s="1"/>
        <n x="5" s="1"/>
        <n x="3" s="1"/>
        <n x="4" s="1"/>
        <n x="104"/>
        <n x="50"/>
        <n x="93"/>
      </t>
    </mdx>
    <mdx n="0" f="v">
      <t c="8">
        <n x="1" s="1"/>
        <n x="2" s="1"/>
        <n x="5" s="1"/>
        <n x="3" s="1"/>
        <n x="4" s="1"/>
        <n x="104"/>
        <n x="50"/>
        <n x="103"/>
      </t>
    </mdx>
    <mdx n="0" f="v">
      <t c="8">
        <n x="1" s="1"/>
        <n x="2" s="1"/>
        <n x="5" s="1"/>
        <n x="3" s="1"/>
        <n x="4" s="1"/>
        <n x="104"/>
        <n x="61"/>
        <n x="56"/>
      </t>
    </mdx>
    <mdx n="0" f="v">
      <t c="8">
        <n x="1" s="1"/>
        <n x="2" s="1"/>
        <n x="5" s="1"/>
        <n x="3" s="1"/>
        <n x="4" s="1"/>
        <n x="104"/>
        <n x="61"/>
        <n x="14"/>
      </t>
    </mdx>
    <mdx n="0" f="v">
      <t c="8">
        <n x="1" s="1"/>
        <n x="2" s="1"/>
        <n x="5" s="1"/>
        <n x="3" s="1"/>
        <n x="4" s="1"/>
        <n x="104"/>
        <n x="61"/>
        <n x="45"/>
      </t>
    </mdx>
    <mdx n="0" f="v">
      <t c="8">
        <n x="1" s="1"/>
        <n x="2" s="1"/>
        <n x="5" s="1"/>
        <n x="3" s="1"/>
        <n x="4" s="1"/>
        <n x="104"/>
        <n x="67"/>
        <n x="154"/>
      </t>
    </mdx>
    <mdx n="0" f="v">
      <t c="8">
        <n x="1" s="1"/>
        <n x="2" s="1"/>
        <n x="5" s="1"/>
        <n x="3" s="1"/>
        <n x="4" s="1"/>
        <n x="104"/>
        <n x="67"/>
        <n x="49"/>
      </t>
    </mdx>
    <mdx n="0" f="v">
      <t c="8">
        <n x="1" s="1"/>
        <n x="2" s="1"/>
        <n x="5" s="1"/>
        <n x="3" s="1"/>
        <n x="4" s="1"/>
        <n x="104"/>
        <n x="72"/>
        <n x="43"/>
      </t>
    </mdx>
    <mdx n="0" f="v">
      <t c="8">
        <n x="1" s="1"/>
        <n x="2" s="1"/>
        <n x="5" s="1"/>
        <n x="3" s="1"/>
        <n x="4" s="1"/>
        <n x="104"/>
        <n x="72"/>
        <n x="15"/>
      </t>
    </mdx>
    <mdx n="0" f="v">
      <t c="8">
        <n x="1" s="1"/>
        <n x="2" s="1"/>
        <n x="5" s="1"/>
        <n x="3" s="1"/>
        <n x="4" s="1"/>
        <n x="104"/>
        <n x="81"/>
        <n x="115"/>
      </t>
    </mdx>
    <mdx n="0" f="v">
      <t c="8">
        <n x="1" s="1"/>
        <n x="2" s="1"/>
        <n x="5" s="1"/>
        <n x="3" s="1"/>
        <n x="4" s="1"/>
        <n x="104"/>
        <n x="81"/>
        <n x="127"/>
      </t>
    </mdx>
    <mdx n="0" f="v">
      <t c="8">
        <n x="1" s="1"/>
        <n x="2" s="1"/>
        <n x="5" s="1"/>
        <n x="3" s="1"/>
        <n x="4" s="1"/>
        <n x="104"/>
        <n x="90"/>
        <n x="13"/>
      </t>
    </mdx>
    <mdx n="0" f="v">
      <t c="8">
        <n x="1" s="1"/>
        <n x="2" s="1"/>
        <n x="5" s="1"/>
        <n x="3" s="1"/>
        <n x="4" s="1"/>
        <n x="104"/>
        <n x="90"/>
        <n x="44"/>
      </t>
    </mdx>
    <mdx n="0" f="v">
      <t c="8">
        <n x="1" s="1"/>
        <n x="2" s="1"/>
        <n x="5" s="1"/>
        <n x="3" s="1"/>
        <n x="4" s="1"/>
        <n x="104"/>
        <n x="9"/>
        <n x="62"/>
      </t>
    </mdx>
    <mdx n="0" f="v">
      <t c="8">
        <n x="1" s="1"/>
        <n x="2" s="1"/>
        <n x="5" s="1"/>
        <n x="3" s="1"/>
        <n x="4" s="1"/>
        <n x="104"/>
        <n x="9"/>
        <n x="29"/>
      </t>
    </mdx>
    <mdx n="0" f="v">
      <t c="8">
        <n x="1" s="1"/>
        <n x="2" s="1"/>
        <n x="5" s="1"/>
        <n x="3" s="1"/>
        <n x="4" s="1"/>
        <n x="104"/>
        <n x="9"/>
        <n x="54"/>
      </t>
    </mdx>
    <mdx n="0" f="v">
      <t c="8">
        <n x="1" s="1"/>
        <n x="2" s="1"/>
        <n x="5" s="1"/>
        <n x="3" s="1"/>
        <n x="4" s="1"/>
        <n x="104"/>
        <n x="24"/>
        <n x="108"/>
      </t>
    </mdx>
    <mdx n="0" f="v">
      <t c="8">
        <n x="1" s="1"/>
        <n x="2" s="1"/>
        <n x="5" s="1"/>
        <n x="3" s="1"/>
        <n x="4" s="1"/>
        <n x="104"/>
        <n x="24"/>
        <n x="119"/>
      </t>
    </mdx>
    <mdx n="0" f="v">
      <t c="8">
        <n x="1" s="1"/>
        <n x="2" s="1"/>
        <n x="5" s="1"/>
        <n x="3" s="1"/>
        <n x="4" s="1"/>
        <n x="104"/>
        <n x="31"/>
        <n x="56"/>
      </t>
    </mdx>
    <mdx n="0" f="v">
      <t c="8">
        <n x="1" s="1"/>
        <n x="2" s="1"/>
        <n x="5" s="1"/>
        <n x="3" s="1"/>
        <n x="4" s="1"/>
        <n x="104"/>
        <n x="31"/>
        <n x="162"/>
      </t>
    </mdx>
    <mdx n="0" f="v">
      <t c="8">
        <n x="1" s="1"/>
        <n x="2" s="1"/>
        <n x="5" s="1"/>
        <n x="3" s="1"/>
        <n x="4" s="1"/>
        <n x="104"/>
        <n x="31"/>
        <n x="33"/>
      </t>
    </mdx>
    <mdx n="0" f="v">
      <t c="8">
        <n x="1" s="1"/>
        <n x="2" s="1"/>
        <n x="5" s="1"/>
        <n x="3" s="1"/>
        <n x="4" s="1"/>
        <n x="104"/>
        <n x="99"/>
        <n x="102"/>
      </t>
    </mdx>
    <mdx n="0" f="v">
      <t c="8">
        <n x="1" s="1"/>
        <n x="2" s="1"/>
        <n x="5" s="1"/>
        <n x="3" s="1"/>
        <n x="4" s="1"/>
        <n x="104"/>
        <n x="99"/>
        <n x="94"/>
      </t>
    </mdx>
    <mdx n="0" f="v">
      <t c="8">
        <n x="1" s="1"/>
        <n x="2" s="1"/>
        <n x="5" s="1"/>
        <n x="3" s="1"/>
        <n x="4" s="1"/>
        <n x="104"/>
        <n x="99"/>
        <n x="95"/>
      </t>
    </mdx>
    <mdx n="0" f="v">
      <t c="8">
        <n x="1" s="1"/>
        <n x="2" s="1"/>
        <n x="5" s="1"/>
        <n x="3" s="1"/>
        <n x="4" s="1"/>
        <n x="104"/>
        <n x="112"/>
        <n x="59"/>
      </t>
    </mdx>
    <mdx n="0" f="v">
      <t c="8">
        <n x="1" s="1"/>
        <n x="2" s="1"/>
        <n x="5" s="1"/>
        <n x="3" s="1"/>
        <n x="4" s="1"/>
        <n x="104"/>
        <n x="112"/>
        <n x="87"/>
      </t>
    </mdx>
    <mdx n="0" f="v">
      <t c="8">
        <n x="1" s="1"/>
        <n x="2" s="1"/>
        <n x="5" s="1"/>
        <n x="3" s="1"/>
        <n x="4" s="1"/>
        <n x="104"/>
        <n x="106"/>
        <n x="93"/>
      </t>
    </mdx>
    <mdx n="0" f="v">
      <t c="8">
        <n x="1" s="1"/>
        <n x="2" s="1"/>
        <n x="5" s="1"/>
        <n x="3" s="1"/>
        <n x="4" s="1"/>
        <n x="104"/>
        <n x="106"/>
        <n x="20"/>
      </t>
    </mdx>
    <mdx n="0" f="v">
      <t c="8">
        <n x="1" s="1"/>
        <n x="2" s="1"/>
        <n x="5" s="1"/>
        <n x="3" s="1"/>
        <n x="4" s="1"/>
        <n x="104"/>
        <n x="106"/>
        <n x="69"/>
      </t>
    </mdx>
    <mdx n="0" f="v">
      <t c="8">
        <n x="1" s="1"/>
        <n x="2" s="1"/>
        <n x="5" s="1"/>
        <n x="3" s="1"/>
        <n x="4" s="1"/>
        <n x="104"/>
        <n x="125"/>
        <n x="109"/>
      </t>
    </mdx>
    <mdx n="0" f="v">
      <t c="8">
        <n x="1" s="1"/>
        <n x="2" s="1"/>
        <n x="5" s="1"/>
        <n x="3" s="1"/>
        <n x="4" s="1"/>
        <n x="104"/>
        <n x="125"/>
        <n x="122"/>
      </t>
    </mdx>
    <mdx n="0" f="v">
      <t c="8">
        <n x="1" s="1"/>
        <n x="2" s="1"/>
        <n x="5" s="1"/>
        <n x="3" s="1"/>
        <n x="4" s="1"/>
        <n x="104"/>
        <n x="123"/>
        <n x="62"/>
      </t>
    </mdx>
    <mdx n="0" f="v">
      <t c="8">
        <n x="1" s="1"/>
        <n x="2" s="1"/>
        <n x="5" s="1"/>
        <n x="3" s="1"/>
        <n x="4" s="1"/>
        <n x="104"/>
        <n x="123"/>
        <n x="14"/>
      </t>
    </mdx>
    <mdx n="0" f="v">
      <t c="8">
        <n x="1" s="1"/>
        <n x="2" s="1"/>
        <n x="5" s="1"/>
        <n x="3" s="1"/>
        <n x="4" s="1"/>
        <n x="104"/>
        <n x="123"/>
        <n x="155"/>
      </t>
    </mdx>
    <mdx n="0" f="v">
      <t c="8">
        <n x="1" s="1"/>
        <n x="2" s="1"/>
        <n x="5" s="1"/>
        <n x="3" s="1"/>
        <n x="4" s="1"/>
        <n x="104"/>
        <n x="39"/>
        <n x="115"/>
      </t>
    </mdx>
    <mdx n="0" f="v">
      <t c="8">
        <n x="1" s="1"/>
        <n x="2" s="1"/>
        <n x="5" s="1"/>
        <n x="3" s="1"/>
        <n x="4" s="1"/>
        <n x="104"/>
        <n x="39"/>
        <n x="103"/>
      </t>
    </mdx>
    <mdx n="0" f="v">
      <t c="8">
        <n x="1" s="1"/>
        <n x="2" s="1"/>
        <n x="5" s="1"/>
        <n x="3" s="1"/>
        <n x="4" s="1"/>
        <n x="104"/>
        <n x="139"/>
        <n x="164" s="1"/>
      </t>
    </mdx>
    <mdx n="0" f="v">
      <t c="8">
        <n x="1" s="1"/>
        <n x="2" s="1"/>
        <n x="5" s="1"/>
        <n x="3" s="1"/>
        <n x="4" s="1"/>
        <n x="104"/>
        <n x="139"/>
        <n x="154"/>
      </t>
    </mdx>
    <mdx n="0" f="v">
      <t c="8">
        <n x="1" s="1"/>
        <n x="2" s="1"/>
        <n x="5" s="1"/>
        <n x="3" s="1"/>
        <n x="4" s="1"/>
        <n x="104"/>
        <n x="139"/>
        <n x="15"/>
      </t>
    </mdx>
    <mdx n="0" f="v">
      <t c="8">
        <n x="1" s="1"/>
        <n x="2" s="1"/>
        <n x="5" s="1"/>
        <n x="3" s="1"/>
        <n x="4" s="1"/>
        <n x="104"/>
        <n x="144"/>
        <n x="13"/>
      </t>
    </mdx>
    <mdx n="0" f="v">
      <t c="8">
        <n x="1" s="1"/>
        <n x="2" s="1"/>
        <n x="5" s="1"/>
        <n x="3" s="1"/>
        <n x="4" s="1"/>
        <n x="104"/>
        <n x="144"/>
        <n x="58"/>
      </t>
    </mdx>
    <mdx n="0" f="v">
      <t c="8">
        <n x="1" s="1"/>
        <n x="2" s="1"/>
        <n x="5" s="1"/>
        <n x="3" s="1"/>
        <n x="4" s="1"/>
        <n x="104"/>
        <n x="144"/>
        <n x="45"/>
      </t>
    </mdx>
    <mdx n="0" f="v">
      <t c="8">
        <n x="1" s="1"/>
        <n x="2" s="1"/>
        <n x="5" s="1"/>
        <n x="3" s="1"/>
        <n x="4" s="1"/>
        <n x="104"/>
        <n x="96"/>
        <n x="109"/>
      </t>
    </mdx>
    <mdx n="0" f="v">
      <t c="8">
        <n x="1" s="1"/>
        <n x="2" s="1"/>
        <n x="5" s="1"/>
        <n x="3" s="1"/>
        <n x="4" s="1"/>
        <n x="104"/>
        <n x="96"/>
        <n x="116"/>
      </t>
    </mdx>
    <mdx n="0" f="v">
      <t c="8">
        <n x="1" s="1"/>
        <n x="2" s="1"/>
        <n x="5" s="1"/>
        <n x="3" s="1"/>
        <n x="4" s="1"/>
        <n x="104"/>
        <n x="96"/>
        <n x="86"/>
      </t>
    </mdx>
    <mdx n="0" f="v">
      <t c="8">
        <n x="1" s="1"/>
        <n x="2" s="1"/>
        <n x="5" s="1"/>
        <n x="3" s="1"/>
        <n x="4" s="1"/>
        <n x="104"/>
        <n x="151"/>
        <n x="43"/>
      </t>
    </mdx>
    <mdx n="0" f="v">
      <t c="8">
        <n x="1" s="1"/>
        <n x="2" s="1"/>
        <n x="5" s="1"/>
        <n x="3" s="1"/>
        <n x="4" s="1"/>
        <n x="104"/>
        <n x="151"/>
        <n x="116"/>
      </t>
    </mdx>
    <mdx n="0" f="v">
      <t c="8">
        <n x="1" s="1"/>
        <n x="2" s="1"/>
        <n x="5" s="1"/>
        <n x="3" s="1"/>
        <n x="4" s="1"/>
        <n x="104"/>
        <n x="151"/>
        <n x="86"/>
      </t>
    </mdx>
    <mdx n="0" f="v">
      <t c="8">
        <n x="1" s="1"/>
        <n x="2" s="1"/>
        <n x="5" s="1"/>
        <n x="3" s="1"/>
        <n x="4" s="1"/>
        <n x="104"/>
        <n x="157"/>
        <n x="43"/>
      </t>
    </mdx>
    <mdx n="0" f="v">
      <t c="8">
        <n x="1" s="1"/>
        <n x="2" s="1"/>
        <n x="5" s="1"/>
        <n x="3" s="1"/>
        <n x="4" s="1"/>
        <n x="104"/>
        <n x="157"/>
        <n x="116"/>
      </t>
    </mdx>
    <mdx n="0" f="v">
      <t c="8">
        <n x="1" s="1"/>
        <n x="2" s="1"/>
        <n x="5" s="1"/>
        <n x="3" s="1"/>
        <n x="4" s="1"/>
        <n x="104"/>
        <n x="157"/>
        <n x="77"/>
      </t>
    </mdx>
    <mdx n="0" f="v">
      <t c="8">
        <n x="1" s="1"/>
        <n x="2" s="1"/>
        <n x="5" s="1"/>
        <n x="3" s="1"/>
        <n x="4" s="1"/>
        <n x="104"/>
        <n x="159"/>
        <n x="108"/>
      </t>
    </mdx>
    <mdx n="0" f="v">
      <t c="8">
        <n x="1" s="1"/>
        <n x="2" s="1"/>
        <n x="5" s="1"/>
        <n x="3" s="1"/>
        <n x="4" s="1"/>
        <n x="104"/>
        <n x="159"/>
        <n x="94"/>
      </t>
    </mdx>
    <mdx n="0" f="v">
      <t c="8">
        <n x="1" s="1"/>
        <n x="2" s="1"/>
        <n x="5" s="1"/>
        <n x="3" s="1"/>
        <n x="4" s="1"/>
        <n x="104"/>
        <n x="159"/>
        <n x="54"/>
      </t>
    </mdx>
    <mdx n="0" f="v">
      <t c="8">
        <n x="1" s="1"/>
        <n x="2" s="1"/>
        <n x="5" s="1"/>
        <n x="3" s="1"/>
        <n x="4" s="1"/>
        <n x="104"/>
        <n x="57"/>
        <n x="102"/>
      </t>
    </mdx>
    <mdx n="0" f="v">
      <t c="8">
        <n x="1" s="1"/>
        <n x="2" s="1"/>
        <n x="5" s="1"/>
        <n x="3" s="1"/>
        <n x="4" s="1"/>
        <n x="104"/>
        <n x="57"/>
        <n x="58"/>
      </t>
    </mdx>
    <mdx n="0" f="v">
      <t c="8">
        <n x="1" s="1"/>
        <n x="2" s="1"/>
        <n x="5" s="1"/>
        <n x="3" s="1"/>
        <n x="4" s="1"/>
        <n x="104"/>
        <n x="57"/>
        <n x="155"/>
      </t>
    </mdx>
    <mdx n="0" f="v">
      <t c="8">
        <n x="1" s="1"/>
        <n x="2" s="1"/>
        <n x="5" s="1"/>
        <n x="3" s="1"/>
        <n x="4" s="1"/>
        <n x="104"/>
        <n x="10"/>
        <n x="13"/>
      </t>
    </mdx>
    <mdx n="0" f="v">
      <t c="8">
        <n x="1" s="1"/>
        <n x="2" s="1"/>
        <n x="5" s="1"/>
        <n x="3" s="1"/>
        <n x="4" s="1"/>
        <n x="104"/>
        <n x="10"/>
        <n x="14"/>
      </t>
    </mdx>
    <mdx n="0" f="v">
      <t c="8">
        <n x="1" s="1"/>
        <n x="2" s="1"/>
        <n x="5" s="1"/>
        <n x="3" s="1"/>
        <n x="4" s="1"/>
        <n x="104"/>
        <n x="10"/>
        <n x="15"/>
      </t>
    </mdx>
    <mdx n="0" f="v">
      <t c="8">
        <n x="1" s="1"/>
        <n x="2" s="1"/>
        <n x="5" s="1"/>
        <n x="3" s="1"/>
        <n x="4" s="1"/>
        <n x="104"/>
        <n x="25"/>
        <n x="75"/>
      </t>
    </mdx>
    <mdx n="0" f="v">
      <t c="8">
        <n x="1" s="1"/>
        <n x="2" s="1"/>
        <n x="5" s="1"/>
        <n x="3" s="1"/>
        <n x="4" s="1"/>
        <n x="104"/>
        <n x="25"/>
        <n x="48"/>
      </t>
    </mdx>
    <mdx n="0" f="v">
      <t c="8">
        <n x="1" s="1"/>
        <n x="2" s="1"/>
        <n x="5" s="1"/>
        <n x="3" s="1"/>
        <n x="4" s="1"/>
        <n x="104"/>
        <n x="25"/>
        <n x="141"/>
      </t>
    </mdx>
    <mdx n="0" f="v">
      <t c="8">
        <n x="1" s="1"/>
        <n x="2" s="1"/>
        <n x="5" s="1"/>
        <n x="3" s="1"/>
        <n x="4" s="1"/>
        <n x="104"/>
        <n x="18"/>
        <n x="56"/>
      </t>
    </mdx>
    <mdx n="0" f="v">
      <t c="8">
        <n x="1" s="1"/>
        <n x="2" s="1"/>
        <n x="5" s="1"/>
        <n x="3" s="1"/>
        <n x="4" s="1"/>
        <n x="104"/>
        <n x="18"/>
        <n x="147"/>
      </t>
    </mdx>
    <mdx n="0" f="v">
      <t c="8">
        <n x="1" s="1"/>
        <n x="2" s="1"/>
        <n x="5" s="1"/>
        <n x="3" s="1"/>
        <n x="4" s="1"/>
        <n x="104"/>
        <n x="18"/>
        <n x="119"/>
      </t>
    </mdx>
    <mdx n="0" f="v">
      <t c="8">
        <n x="1" s="1"/>
        <n x="2" s="1"/>
        <n x="5" s="1"/>
        <n x="3" s="1"/>
        <n x="4" s="1"/>
        <n x="104"/>
        <n x="18"/>
        <n x="86"/>
      </t>
    </mdx>
    <mdx n="0" f="v">
      <t c="8">
        <n x="1" s="1"/>
        <n x="2" s="1"/>
        <n x="5" s="1"/>
        <n x="3" s="1"/>
        <n x="4" s="1"/>
        <n x="104"/>
        <n x="68"/>
        <n x="109"/>
      </t>
    </mdx>
    <mdx n="0" f="v">
      <t c="8">
        <n x="1" s="1"/>
        <n x="2" s="1"/>
        <n x="5" s="1"/>
        <n x="3" s="1"/>
        <n x="4" s="1"/>
        <n x="104"/>
        <n x="68"/>
        <n x="103"/>
      </t>
    </mdx>
    <mdx n="0" f="v">
      <t c="8">
        <n x="1" s="1"/>
        <n x="2" s="1"/>
        <n x="5" s="1"/>
        <n x="3" s="1"/>
        <n x="4" s="1"/>
        <n x="104"/>
        <n x="68"/>
        <n x="69"/>
      </t>
    </mdx>
    <mdx n="0" f="v">
      <t c="8">
        <n x="1" s="1"/>
        <n x="2" s="1"/>
        <n x="5" s="1"/>
        <n x="3" s="1"/>
        <n x="4" s="1"/>
        <n x="104"/>
        <n x="73"/>
        <n x="115"/>
      </t>
    </mdx>
    <mdx n="0" f="v">
      <t c="8">
        <n x="1" s="1"/>
        <n x="2" s="1"/>
        <n x="5" s="1"/>
        <n x="3" s="1"/>
        <n x="4" s="1"/>
        <n x="104"/>
        <n x="73"/>
        <n x="76"/>
      </t>
    </mdx>
    <mdx n="0" f="v">
      <t c="8">
        <n x="1" s="1"/>
        <n x="2" s="1"/>
        <n x="5" s="1"/>
        <n x="3" s="1"/>
        <n x="4" s="1"/>
        <n x="104"/>
        <n x="70"/>
        <n x="69"/>
      </t>
    </mdx>
    <mdx n="0" f="v">
      <t c="8">
        <n x="1" s="1"/>
        <n x="2" s="1"/>
        <n x="5" s="1"/>
        <n x="3" s="1"/>
        <n x="4" s="1"/>
        <n x="104"/>
        <n x="30"/>
        <n x="28"/>
      </t>
    </mdx>
    <mdx n="0" f="v">
      <t c="8">
        <n x="1" s="1"/>
        <n x="2" s="1"/>
        <n x="5" s="1"/>
        <n x="3" s="1"/>
        <n x="4" s="1"/>
        <n x="104"/>
        <n x="111"/>
        <n x="141"/>
      </t>
    </mdx>
    <mdx n="0" f="v">
      <t c="8">
        <n x="1" s="1"/>
        <n x="2" s="1"/>
        <n x="5" s="1"/>
        <n x="3" s="1"/>
        <n x="4" s="1"/>
        <n x="104"/>
        <n x="64"/>
        <n x="107"/>
      </t>
    </mdx>
    <mdx n="0" f="v">
      <t c="8">
        <n x="1" s="1"/>
        <n x="2" s="1"/>
        <n x="5" s="1"/>
        <n x="3" s="1"/>
        <n x="4" s="1"/>
        <n x="104"/>
        <n x="64"/>
        <n x="52"/>
      </t>
    </mdx>
    <mdx n="0" f="v">
      <t c="8">
        <n x="1" s="1"/>
        <n x="2" s="1"/>
        <n x="5" s="1"/>
        <n x="3" s="1"/>
        <n x="4" s="1"/>
        <n x="104"/>
        <n x="150"/>
        <n x="14"/>
      </t>
    </mdx>
    <mdx n="0" f="v">
      <t c="8">
        <n x="1" s="1"/>
        <n x="2" s="1"/>
        <n x="5" s="1"/>
        <n x="3" s="1"/>
        <n x="4" s="1"/>
        <n x="104"/>
        <n x="150"/>
        <n x="86"/>
      </t>
    </mdx>
    <mdx n="0" f="v">
      <t c="8">
        <n x="1" s="1"/>
        <n x="2" s="1"/>
        <n x="5" s="1"/>
        <n x="3" s="1"/>
        <n x="4" s="1"/>
        <n x="104"/>
        <n x="38"/>
        <n x="85"/>
      </t>
    </mdx>
    <mdx n="0" f="v">
      <t c="8">
        <n x="1" s="1"/>
        <n x="2" s="1"/>
        <n x="5" s="1"/>
        <n x="3" s="1"/>
        <n x="4" s="1"/>
        <n x="104"/>
        <n x="46"/>
        <n x="75"/>
      </t>
    </mdx>
    <mdx n="0" f="v">
      <t c="8">
        <n x="1" s="1"/>
        <n x="2" s="1"/>
        <n x="5" s="1"/>
        <n x="3" s="1"/>
        <n x="4" s="1"/>
        <n x="104"/>
        <n x="46"/>
        <n x="122"/>
      </t>
    </mdx>
    <mdx n="0" f="v">
      <t c="8">
        <n x="1" s="1"/>
        <n x="2" s="1"/>
        <n x="5" s="1"/>
        <n x="3" s="1"/>
        <n x="4" s="1"/>
        <n x="104"/>
        <n x="50"/>
        <n x="13"/>
      </t>
    </mdx>
    <mdx n="0" f="v">
      <t c="8">
        <n x="1" s="1"/>
        <n x="2" s="1"/>
        <n x="5" s="1"/>
        <n x="3" s="1"/>
        <n x="4" s="1"/>
        <n x="104"/>
        <n x="50"/>
        <n x="44"/>
      </t>
    </mdx>
    <mdx n="0" f="v">
      <t c="8">
        <n x="1" s="1"/>
        <n x="2" s="1"/>
        <n x="5" s="1"/>
        <n x="3" s="1"/>
        <n x="4" s="1"/>
        <n x="104"/>
        <n x="61"/>
        <n x="63"/>
      </t>
    </mdx>
    <mdx n="0" f="v">
      <t c="8">
        <n x="1" s="1"/>
        <n x="2" s="1"/>
        <n x="5" s="1"/>
        <n x="3" s="1"/>
        <n x="4" s="1"/>
        <n x="104"/>
        <n x="61"/>
        <n x="76"/>
      </t>
    </mdx>
    <mdx n="0" f="v">
      <t c="8">
        <n x="1" s="1"/>
        <n x="2" s="1"/>
        <n x="5" s="1"/>
        <n x="3" s="1"/>
        <n x="4" s="1"/>
        <n x="104"/>
        <n x="61"/>
        <n x="86"/>
      </t>
    </mdx>
    <mdx n="0" f="v">
      <t c="8">
        <n x="1" s="1"/>
        <n x="2" s="1"/>
        <n x="5" s="1"/>
        <n x="3" s="1"/>
        <n x="4" s="1"/>
        <n x="104"/>
        <n x="67"/>
        <n x="48"/>
      </t>
    </mdx>
    <mdx n="0" f="v">
      <t c="8">
        <n x="1" s="1"/>
        <n x="2" s="1"/>
        <n x="5" s="1"/>
        <n x="3" s="1"/>
        <n x="4" s="1"/>
        <n x="104"/>
        <n x="67"/>
        <n x="52"/>
      </t>
    </mdx>
    <mdx n="0" f="v">
      <t c="8">
        <n x="1" s="1"/>
        <n x="2" s="1"/>
        <n x="5" s="1"/>
        <n x="3" s="1"/>
        <n x="4" s="1"/>
        <n x="104"/>
        <n x="72"/>
        <n x="128"/>
      </t>
    </mdx>
    <mdx n="0" f="v">
      <t c="8">
        <n x="1" s="1"/>
        <n x="2" s="1"/>
        <n x="5" s="1"/>
        <n x="3" s="1"/>
        <n x="4" s="1"/>
        <n x="104"/>
        <n x="72"/>
        <n x="16"/>
      </t>
    </mdx>
    <mdx n="0" f="v">
      <t c="8">
        <n x="1" s="1"/>
        <n x="2" s="1"/>
        <n x="5" s="1"/>
        <n x="3" s="1"/>
        <n x="4" s="1"/>
        <n x="104"/>
        <n x="81"/>
        <n x="107"/>
      </t>
    </mdx>
    <mdx n="0" f="v">
      <t c="8">
        <n x="1" s="1"/>
        <n x="2" s="1"/>
        <n x="5" s="1"/>
        <n x="3" s="1"/>
        <n x="4" s="1"/>
        <n x="104"/>
        <n x="81"/>
        <n x="141"/>
      </t>
    </mdx>
    <mdx n="0" f="v">
      <t c="8">
        <n x="1" s="1"/>
        <n x="2" s="1"/>
        <n x="5" s="1"/>
        <n x="3" s="1"/>
        <n x="4" s="1"/>
        <n x="104"/>
        <n x="90"/>
        <n x="28"/>
      </t>
    </mdx>
    <mdx n="0" f="v">
      <t c="8">
        <n x="1" s="1"/>
        <n x="2" s="1"/>
        <n x="5" s="1"/>
        <n x="3" s="1"/>
        <n x="4" s="1"/>
        <n x="104"/>
        <n x="90"/>
        <n x="116"/>
      </t>
    </mdx>
    <mdx n="0" f="v">
      <t c="8">
        <n x="1" s="1"/>
        <n x="2" s="1"/>
        <n x="5" s="1"/>
        <n x="3" s="1"/>
        <n x="4" s="1"/>
        <n x="104"/>
        <n x="9"/>
        <n x="75"/>
      </t>
    </mdx>
    <mdx n="0" f="v">
      <t c="8">
        <n x="1" s="1"/>
        <n x="2" s="1"/>
        <n x="5" s="1"/>
        <n x="3" s="1"/>
        <n x="4" s="1"/>
        <n x="104"/>
        <n x="9"/>
        <n x="76"/>
      </t>
    </mdx>
    <mdx n="0" f="v">
      <t c="8">
        <n x="1" s="1"/>
        <n x="2" s="1"/>
        <n x="5" s="1"/>
        <n x="3" s="1"/>
        <n x="4" s="1"/>
        <n x="104"/>
        <n x="9"/>
        <n x="69"/>
      </t>
    </mdx>
    <mdx n="0" f="v">
      <t c="8">
        <n x="1" s="1"/>
        <n x="2" s="1"/>
        <n x="5" s="1"/>
        <n x="3" s="1"/>
        <n x="4" s="1"/>
        <n x="104"/>
        <n x="24"/>
        <n x="43"/>
      </t>
    </mdx>
    <mdx n="0" f="v">
      <t c="8">
        <n x="1" s="1"/>
        <n x="2" s="1"/>
        <n x="5" s="1"/>
        <n x="3" s="1"/>
        <n x="4" s="1"/>
        <n x="104"/>
        <n x="24"/>
        <n x="122"/>
      </t>
    </mdx>
    <mdx n="0" f="v">
      <t c="8">
        <n x="1" s="1"/>
        <n x="2" s="1"/>
        <n x="5" s="1"/>
        <n x="3" s="1"/>
        <n x="4" s="1"/>
        <n x="104"/>
        <n x="31"/>
        <n x="62"/>
      </t>
    </mdx>
    <mdx n="0" f="v">
      <t c="8">
        <n x="1" s="1"/>
        <n x="2" s="1"/>
        <n x="5" s="1"/>
        <n x="3" s="1"/>
        <n x="4" s="1"/>
        <n x="104"/>
        <n x="31"/>
        <n x="14"/>
      </t>
    </mdx>
    <mdx n="0" f="v">
      <t c="8">
        <n x="1" s="1"/>
        <n x="2" s="1"/>
        <n x="5" s="1"/>
        <n x="3" s="1"/>
        <n x="4" s="1"/>
        <n x="104"/>
        <n x="31"/>
        <n x="155"/>
      </t>
    </mdx>
    <mdx n="0" f="v">
      <t c="8">
        <n x="1" s="1"/>
        <n x="2" s="1"/>
        <n x="5" s="1"/>
        <n x="3" s="1"/>
        <n x="4" s="1"/>
        <n x="104"/>
        <n x="99"/>
        <n x="115"/>
      </t>
    </mdx>
    <mdx n="0" f="v">
      <t c="8">
        <n x="1" s="1"/>
        <n x="2" s="1"/>
        <n x="5" s="1"/>
        <n x="3" s="1"/>
        <n x="4" s="1"/>
        <n x="104"/>
        <n x="99"/>
        <n x="103"/>
      </t>
    </mdx>
    <mdx n="0" f="v">
      <t c="8">
        <n x="1" s="1"/>
        <n x="2" s="1"/>
        <n x="5" s="1"/>
        <n x="3" s="1"/>
        <n x="4" s="1"/>
        <n x="104"/>
        <n x="112"/>
        <n x="164" s="1"/>
      </t>
    </mdx>
    <mdx n="0" f="v">
      <t c="8">
        <n x="1" s="1"/>
        <n x="2" s="1"/>
        <n x="5" s="1"/>
        <n x="3" s="1"/>
        <n x="4" s="1"/>
        <n x="104"/>
        <n x="112"/>
        <n x="154"/>
      </t>
    </mdx>
    <mdx n="0" f="v">
      <t c="8">
        <n x="1" s="1"/>
        <n x="2" s="1"/>
        <n x="5" s="1"/>
        <n x="3" s="1"/>
        <n x="4" s="1"/>
        <n x="104"/>
        <n x="112"/>
        <n x="15"/>
      </t>
    </mdx>
    <mdx n="0" f="v">
      <t c="8">
        <n x="1" s="1"/>
        <n x="2" s="1"/>
        <n x="5" s="1"/>
        <n x="3" s="1"/>
        <n x="4" s="1"/>
        <n x="104"/>
        <n x="106"/>
        <n x="13"/>
      </t>
    </mdx>
    <mdx n="0" f="v">
      <t c="8">
        <n x="1" s="1"/>
        <n x="2" s="1"/>
        <n x="5" s="1"/>
        <n x="3" s="1"/>
        <n x="4" s="1"/>
        <n x="104"/>
        <n x="106"/>
        <n x="85"/>
      </t>
    </mdx>
    <mdx n="0" f="v">
      <t c="8">
        <n x="1" s="1"/>
        <n x="2" s="1"/>
        <n x="5" s="1"/>
        <n x="3" s="1"/>
        <n x="4" s="1"/>
        <n x="104"/>
        <n x="106"/>
        <n x="45"/>
      </t>
    </mdx>
    <mdx n="0" f="v">
      <t c="8">
        <n x="1" s="1"/>
        <n x="2" s="1"/>
        <n x="5" s="1"/>
        <n x="3" s="1"/>
        <n x="4" s="1"/>
        <n x="104"/>
        <n x="125"/>
        <n x="128"/>
      </t>
    </mdx>
    <mdx n="0" f="v">
      <t c="8">
        <n x="1" s="1"/>
        <n x="2" s="1"/>
        <n x="5" s="1"/>
        <n x="3" s="1"/>
        <n x="4" s="1"/>
        <n x="104"/>
        <n x="125"/>
        <n x="127"/>
      </t>
    </mdx>
    <mdx n="0" f="v">
      <t c="8">
        <n x="1" s="1"/>
        <n x="2" s="1"/>
        <n x="5" s="1"/>
        <n x="3" s="1"/>
        <n x="4" s="1"/>
        <n x="104"/>
        <n x="123"/>
        <n x="63"/>
      </t>
    </mdx>
    <mdx n="0" f="v">
      <t c="8">
        <n x="1" s="1"/>
        <n x="2" s="1"/>
        <n x="5" s="1"/>
        <n x="3" s="1"/>
        <n x="4" s="1"/>
        <n x="104"/>
        <n x="123"/>
        <n x="29"/>
      </t>
    </mdx>
    <mdx n="0" f="v">
      <t c="8">
        <n x="1" s="1"/>
        <n x="2" s="1"/>
        <n x="5" s="1"/>
        <n x="3" s="1"/>
        <n x="4" s="1"/>
        <n x="104"/>
        <n x="123"/>
        <n x="49"/>
      </t>
    </mdx>
    <mdx n="0" f="v">
      <t c="8">
        <n x="1" s="1"/>
        <n x="2" s="1"/>
        <n x="5" s="1"/>
        <n x="3" s="1"/>
        <n x="4" s="1"/>
        <n x="104"/>
        <n x="39"/>
        <n x="107"/>
      </t>
    </mdx>
    <mdx n="0" f="v">
      <t c="8">
        <n x="1" s="1"/>
        <n x="2" s="1"/>
        <n x="5" s="1"/>
        <n x="3" s="1"/>
        <n x="4" s="1"/>
        <n x="104"/>
        <n x="39"/>
        <n x="44"/>
      </t>
    </mdx>
    <mdx n="0" f="v">
      <t c="8">
        <n x="1" s="1"/>
        <n x="2" s="1"/>
        <n x="5" s="1"/>
        <n x="3" s="1"/>
        <n x="4" s="1"/>
        <n x="104"/>
        <n x="139"/>
        <n x="56"/>
      </t>
    </mdx>
    <mdx n="0" f="v">
      <t c="8">
        <n x="1" s="1"/>
        <n x="2" s="1"/>
        <n x="5" s="1"/>
        <n x="3" s="1"/>
        <n x="4" s="1"/>
        <n x="104"/>
        <n x="139"/>
        <n x="48"/>
      </t>
    </mdx>
    <mdx n="0" f="v">
      <t c="8">
        <n x="1" s="1"/>
        <n x="2" s="1"/>
        <n x="5" s="1"/>
        <n x="3" s="1"/>
        <n x="4" s="1"/>
        <n x="104"/>
        <n x="139"/>
        <n x="16"/>
      </t>
    </mdx>
    <mdx n="0" f="v">
      <t c="8">
        <n x="1" s="1"/>
        <n x="2" s="1"/>
        <n x="5" s="1"/>
        <n x="3" s="1"/>
        <n x="4" s="1"/>
        <n x="104"/>
        <n x="144"/>
        <n x="28"/>
      </t>
    </mdx>
    <mdx n="0" f="v">
      <t c="8">
        <n x="1" s="1"/>
        <n x="2" s="1"/>
        <n x="5" s="1"/>
        <n x="3" s="1"/>
        <n x="4" s="1"/>
        <n x="104"/>
        <n x="144"/>
        <n x="94"/>
      </t>
    </mdx>
    <mdx n="0" f="v">
      <t c="8">
        <n x="1" s="1"/>
        <n x="2" s="1"/>
        <n x="5" s="1"/>
        <n x="3" s="1"/>
        <n x="4" s="1"/>
        <n x="104"/>
        <n x="144"/>
        <n x="77"/>
      </t>
    </mdx>
    <mdx n="0" f="v">
      <t c="8">
        <n x="1" s="1"/>
        <n x="2" s="1"/>
        <n x="5" s="1"/>
        <n x="3" s="1"/>
        <n x="4" s="1"/>
        <n x="104"/>
        <n x="96"/>
        <n x="43"/>
      </t>
    </mdx>
    <mdx n="0" f="v">
      <t c="8">
        <n x="1" s="1"/>
        <n x="2" s="1"/>
        <n x="5" s="1"/>
        <n x="3" s="1"/>
        <n x="4" s="1"/>
        <n x="104"/>
        <n x="96"/>
        <n x="119"/>
      </t>
    </mdx>
    <mdx n="0" f="v">
      <t c="8">
        <n x="1" s="1"/>
        <n x="2" s="1"/>
        <n x="5" s="1"/>
        <n x="3" s="1"/>
        <n x="4" s="1"/>
        <n x="104"/>
        <n x="96"/>
        <n x="95"/>
      </t>
    </mdx>
    <mdx n="0" f="v">
      <t c="8">
        <n x="1" s="1"/>
        <n x="2" s="1"/>
        <n x="5" s="1"/>
        <n x="3" s="1"/>
        <n x="4" s="1"/>
        <n x="104"/>
        <n x="151"/>
        <n x="128"/>
      </t>
    </mdx>
    <mdx n="0" f="v">
      <t c="8">
        <n x="1" s="1"/>
        <n x="2" s="1"/>
        <n x="5" s="1"/>
        <n x="3" s="1"/>
        <n x="4" s="1"/>
        <n x="104"/>
        <n x="151"/>
        <n x="119"/>
      </t>
    </mdx>
    <mdx n="0" f="v">
      <t c="8">
        <n x="1" s="1"/>
        <n x="2" s="1"/>
        <n x="5" s="1"/>
        <n x="3" s="1"/>
        <n x="4" s="1"/>
        <n x="104"/>
        <n x="151"/>
        <n x="95"/>
      </t>
    </mdx>
    <mdx n="0" f="v">
      <t c="8">
        <n x="1" s="1"/>
        <n x="2" s="1"/>
        <n x="5" s="1"/>
        <n x="3" s="1"/>
        <n x="4" s="1"/>
        <n x="104"/>
        <n x="157"/>
        <n x="128"/>
      </t>
    </mdx>
    <mdx n="0" f="v">
      <t c="8">
        <n x="1" s="1"/>
        <n x="2" s="1"/>
        <n x="5" s="1"/>
        <n x="3" s="1"/>
        <n x="4" s="1"/>
        <n x="104"/>
        <n x="157"/>
        <n x="119"/>
      </t>
    </mdx>
    <mdx n="0" f="v">
      <t c="8">
        <n x="1" s="1"/>
        <n x="2" s="1"/>
        <n x="5" s="1"/>
        <n x="3" s="1"/>
        <n x="4" s="1"/>
        <n x="104"/>
        <n x="157"/>
        <n x="86"/>
      </t>
    </mdx>
    <mdx n="0" f="v">
      <t c="8">
        <n x="1" s="1"/>
        <n x="2" s="1"/>
        <n x="5" s="1"/>
        <n x="3" s="1"/>
        <n x="4" s="1"/>
        <n x="104"/>
        <n x="159"/>
        <n x="109"/>
      </t>
    </mdx>
    <mdx n="0" f="v">
      <t c="8">
        <n x="1" s="1"/>
        <n x="2" s="1"/>
        <n x="5" s="1"/>
        <n x="3" s="1"/>
        <n x="4" s="1"/>
        <n x="104"/>
        <n x="159"/>
        <n x="103"/>
      </t>
    </mdx>
    <mdx n="0" f="v">
      <t c="8">
        <n x="1" s="1"/>
        <n x="2" s="1"/>
        <n x="5" s="1"/>
        <n x="3" s="1"/>
        <n x="4" s="1"/>
        <n x="104"/>
        <n x="159"/>
        <n x="69"/>
      </t>
    </mdx>
    <mdx n="0" f="v">
      <t c="8">
        <n x="1" s="1"/>
        <n x="2" s="1"/>
        <n x="5" s="1"/>
        <n x="3" s="1"/>
        <n x="4" s="1"/>
        <n x="104"/>
        <n x="57"/>
        <n x="115"/>
      </t>
    </mdx>
    <mdx n="0" f="v">
      <t c="8">
        <n x="1" s="1"/>
        <n x="2" s="1"/>
        <n x="5" s="1"/>
        <n x="3" s="1"/>
        <n x="4" s="1"/>
        <n x="104"/>
        <n x="57"/>
        <n x="76"/>
      </t>
    </mdx>
    <mdx n="0" f="v">
      <t c="8">
        <n x="1" s="1"/>
        <n x="2" s="1"/>
        <n x="5" s="1"/>
        <n x="3" s="1"/>
        <n x="4" s="1"/>
        <n x="104"/>
        <n x="57"/>
        <n x="49"/>
      </t>
    </mdx>
    <mdx n="0" f="v">
      <t c="8">
        <n x="1" s="1"/>
        <n x="2" s="1"/>
        <n x="5" s="1"/>
        <n x="3" s="1"/>
        <n x="4" s="1"/>
        <n x="104"/>
        <n x="10"/>
        <n x="28"/>
      </t>
    </mdx>
    <mdx n="0" f="v">
      <t c="8">
        <n x="1" s="1"/>
        <n x="2" s="1"/>
        <n x="5" s="1"/>
        <n x="3" s="1"/>
        <n x="4" s="1"/>
        <n x="104"/>
        <n x="10"/>
        <n x="29"/>
      </t>
    </mdx>
    <mdx n="0" f="v">
      <t c="8">
        <n x="1" s="1"/>
        <n x="2" s="1"/>
        <n x="5" s="1"/>
        <n x="3" s="1"/>
        <n x="4" s="1"/>
        <n x="104"/>
        <n x="10"/>
        <n x="16"/>
      </t>
    </mdx>
    <mdx n="0" f="v">
      <t c="8">
        <n x="1" s="1"/>
        <n x="2" s="1"/>
        <n x="5" s="1"/>
        <n x="3" s="1"/>
        <n x="4" s="1"/>
        <n x="104"/>
        <n x="25"/>
        <n x="84"/>
      </t>
    </mdx>
    <mdx n="0" f="v">
      <t c="8">
        <n x="1" s="1"/>
        <n x="2" s="1"/>
        <n x="5" s="1"/>
        <n x="3" s="1"/>
        <n x="4" s="1"/>
        <n x="104"/>
        <n x="25"/>
        <n x="160"/>
      </t>
    </mdx>
    <mdx n="0" f="v">
      <t c="8">
        <n x="1" s="1"/>
        <n x="2" s="1"/>
        <n x="5" s="1"/>
        <n x="3" s="1"/>
        <n x="4" s="1"/>
        <n x="104"/>
        <n x="25"/>
        <n x="148"/>
      </t>
    </mdx>
    <mdx n="0" f="v">
      <t c="8">
        <n x="1" s="1"/>
        <n x="2" s="1"/>
        <n x="5" s="1"/>
        <n x="3" s="1"/>
        <n x="4" s="1"/>
        <n x="104"/>
        <n x="18"/>
        <n x="62"/>
      </t>
    </mdx>
    <mdx n="0" f="v">
      <t c="8">
        <n x="1" s="1"/>
        <n x="2" s="1"/>
        <n x="5" s="1"/>
        <n x="3" s="1"/>
        <n x="4" s="1"/>
        <n x="104"/>
        <n x="18"/>
        <n x="59"/>
      </t>
    </mdx>
    <mdx n="0" f="v">
      <t c="8">
        <n x="1" s="1"/>
        <n x="2" s="1"/>
        <n x="5" s="1"/>
        <n x="3" s="1"/>
        <n x="4" s="1"/>
        <n x="104"/>
        <n x="18"/>
        <n x="122"/>
      </t>
    </mdx>
    <mdx n="0" f="v">
      <t c="8">
        <n x="1" s="1"/>
        <n x="2" s="1"/>
        <n x="5" s="1"/>
        <n x="3" s="1"/>
        <n x="4" s="1"/>
        <n x="104"/>
        <n x="18"/>
        <n x="95"/>
      </t>
    </mdx>
    <mdx n="0" f="v">
      <t c="8">
        <n x="1" s="1"/>
        <n x="2" s="1"/>
        <n x="5" s="1"/>
        <n x="3" s="1"/>
        <n x="4" s="1"/>
        <n x="104"/>
        <n x="68"/>
        <n x="43"/>
      </t>
    </mdx>
    <mdx n="0" f="v">
      <t c="8">
        <n x="1" s="1"/>
        <n x="2" s="1"/>
        <n x="5" s="1"/>
        <n x="3" s="1"/>
        <n x="4" s="1"/>
        <n x="104"/>
        <n x="68"/>
        <n x="44"/>
      </t>
    </mdx>
    <mdx n="0" f="v">
      <t c="8">
        <n x="1" s="1"/>
        <n x="2" s="1"/>
        <n x="5" s="1"/>
        <n x="3" s="1"/>
        <n x="4" s="1"/>
        <n x="104"/>
        <n x="68"/>
        <n x="45"/>
      </t>
    </mdx>
    <mdx n="0" f="v">
      <t c="8">
        <n x="1" s="1"/>
        <n x="2" s="1"/>
        <n x="5" s="1"/>
        <n x="3" s="1"/>
        <n x="4" s="1"/>
        <n x="104"/>
        <n x="73"/>
        <n x="107"/>
      </t>
    </mdx>
    <mdx n="0" f="v">
      <t c="8">
        <n x="1" s="1"/>
        <n x="2" s="1"/>
        <n x="5" s="1"/>
        <n x="3" s="1"/>
        <n x="4" s="1"/>
        <n x="104"/>
        <n x="73"/>
        <n x="85"/>
      </t>
    </mdx>
    <mdx n="0" f="v">
      <t c="8">
        <n x="1" s="1"/>
        <n x="2" s="1"/>
        <n x="5" s="1"/>
        <n x="3" s="1"/>
        <n x="4" s="1"/>
        <n x="104"/>
        <n x="73"/>
        <n x="52"/>
      </t>
    </mdx>
    <mdx n="0" f="v">
      <t c="8">
        <n x="1" s="1"/>
        <n x="2" s="1"/>
        <n x="5" s="1"/>
        <n x="3" s="1"/>
        <n x="4" s="1"/>
        <n x="104"/>
        <n x="82"/>
        <n x="19"/>
      </t>
    </mdx>
    <mdx n="0" f="v">
      <t c="8">
        <n x="1" s="1"/>
        <n x="2" s="1"/>
        <n x="5" s="1"/>
        <n x="3" s="1"/>
        <n x="4" s="1"/>
        <n x="104"/>
        <n x="82"/>
        <n x="20"/>
      </t>
    </mdx>
    <mdx n="0" f="v">
      <t c="8">
        <n x="1" s="1"/>
        <n x="2" s="1"/>
        <n x="5" s="1"/>
        <n x="3" s="1"/>
        <n x="4" s="1"/>
        <n x="104"/>
        <n x="82"/>
        <n x="33"/>
      </t>
    </mdx>
    <mdx n="0" f="v">
      <t c="8">
        <n x="1" s="1"/>
        <n x="2" s="1"/>
        <n x="5" s="1"/>
        <n x="3" s="1"/>
        <n x="4" s="1"/>
        <n x="104"/>
        <n x="91"/>
        <n x="93"/>
      </t>
    </mdx>
    <mdx n="0" f="v">
      <t c="8">
        <n x="1" s="1"/>
        <n x="2" s="1"/>
        <n x="5" s="1"/>
        <n x="3" s="1"/>
        <n x="4" s="1"/>
        <n x="104"/>
        <n x="91"/>
        <n x="162"/>
      </t>
    </mdx>
    <mdx n="0" f="v">
      <t c="8">
        <n x="1" s="1"/>
        <n x="2" s="1"/>
        <n x="5" s="1"/>
        <n x="3" s="1"/>
        <n x="4" s="1"/>
        <n x="104"/>
        <n x="91"/>
        <n x="87"/>
      </t>
    </mdx>
    <mdx n="0" f="v">
      <t c="8">
        <n x="1" s="1"/>
        <n x="2" s="1"/>
        <n x="5" s="1"/>
        <n x="3" s="1"/>
        <n x="4" s="1"/>
        <n x="104"/>
        <n x="100"/>
        <n x="63"/>
      </t>
    </mdx>
    <mdx n="0" f="v">
      <t c="8">
        <n x="1" s="1"/>
        <n x="2" s="1"/>
        <n x="5" s="1"/>
        <n x="3" s="1"/>
        <n x="4" s="1"/>
        <n x="104"/>
        <n x="100"/>
        <n x="154"/>
      </t>
    </mdx>
    <mdx n="0" f="v">
      <t c="8">
        <n x="1" s="1"/>
        <n x="2" s="1"/>
        <n x="5" s="1"/>
        <n x="3" s="1"/>
        <n x="4" s="1"/>
        <n x="104"/>
        <n x="100"/>
        <n x="127"/>
      </t>
    </mdx>
    <mdx n="0" f="v">
      <t c="8">
        <n x="1" s="1"/>
        <n x="2" s="1"/>
        <n x="5" s="1"/>
        <n x="3" s="1"/>
        <n x="4" s="1"/>
        <n x="104"/>
        <n x="40"/>
        <n x="164" s="1"/>
      </t>
    </mdx>
    <mdx n="0" f="v">
      <t c="8">
        <n x="1" s="1"/>
        <n x="2" s="1"/>
        <n x="5" s="1"/>
        <n x="3" s="1"/>
        <n x="4" s="1"/>
        <n x="104"/>
        <n x="40"/>
        <n x="128"/>
      </t>
    </mdx>
    <mdx n="0" f="v">
      <t c="8">
        <n x="1" s="1"/>
        <n x="2" s="1"/>
        <n x="5" s="1"/>
        <n x="3" s="1"/>
        <n x="4" s="1"/>
        <n x="104"/>
        <n x="40"/>
        <n x="116"/>
      </t>
    </mdx>
    <mdx n="0" f="v">
      <t c="8">
        <n x="1" s="1"/>
        <n x="2" s="1"/>
        <n x="5" s="1"/>
        <n x="3" s="1"/>
        <n x="4" s="1"/>
        <n x="104"/>
        <n x="40"/>
        <n x="77"/>
      </t>
    </mdx>
    <mdx n="0" f="v">
      <t c="8">
        <n x="1" s="1"/>
        <n x="2" s="1"/>
        <n x="5" s="1"/>
        <n x="3" s="1"/>
        <n x="4" s="1"/>
        <n x="104"/>
        <n x="113"/>
        <n x="108"/>
      </t>
    </mdx>
    <mdx n="0" f="v">
      <t c="8">
        <n x="1" s="1"/>
        <n x="2" s="1"/>
        <n x="5" s="1"/>
        <n x="3" s="1"/>
        <n x="4" s="1"/>
        <n x="104"/>
        <n x="113"/>
        <n x="94"/>
      </t>
    </mdx>
    <mdx n="0" f="v">
      <t c="8">
        <n x="1" s="1"/>
        <n x="2" s="1"/>
        <n x="5" s="1"/>
        <n x="3" s="1"/>
        <n x="4" s="1"/>
        <n x="104"/>
        <n x="113"/>
        <n x="54"/>
      </t>
    </mdx>
    <mdx n="0" f="v">
      <t c="8">
        <n x="1" s="1"/>
        <n x="2" s="1"/>
        <n x="5" s="1"/>
        <n x="3" s="1"/>
        <n x="4" s="1"/>
        <n x="104"/>
        <n x="131"/>
        <n x="102"/>
      </t>
    </mdx>
    <mdx n="0" f="v">
      <t c="8">
        <n x="1" s="1"/>
        <n x="2" s="1"/>
        <n x="5" s="1"/>
        <n x="3" s="1"/>
        <n x="4" s="1"/>
        <n x="104"/>
        <n x="131"/>
        <n x="58"/>
      </t>
    </mdx>
    <mdx n="0" f="v">
      <t c="8">
        <n x="1" s="1"/>
        <n x="2" s="1"/>
        <n x="5" s="1"/>
        <n x="3" s="1"/>
        <n x="4" s="1"/>
        <n x="104"/>
        <n x="131"/>
        <n x="155"/>
      </t>
    </mdx>
    <mdx n="0" f="v">
      <t c="8">
        <n x="1" s="1"/>
        <n x="2" s="1"/>
        <n x="5" s="1"/>
        <n x="3" s="1"/>
        <n x="4" s="1"/>
        <n x="104"/>
        <n x="134"/>
        <n x="13"/>
      </t>
    </mdx>
    <mdx n="0" f="v">
      <t c="8">
        <n x="1" s="1"/>
        <n x="2" s="1"/>
        <n x="5" s="1"/>
        <n x="3" s="1"/>
        <n x="4" s="1"/>
        <n x="104"/>
        <n x="134"/>
        <n x="14"/>
      </t>
    </mdx>
    <mdx n="0" f="v">
      <t c="8">
        <n x="1" s="1"/>
        <n x="2" s="1"/>
        <n x="5" s="1"/>
        <n x="3" s="1"/>
        <n x="4" s="1"/>
        <n x="104"/>
        <n x="134"/>
        <n x="15"/>
      </t>
    </mdx>
    <mdx n="0" f="v">
      <t c="8">
        <n x="1" s="1"/>
        <n x="2" s="1"/>
        <n x="5" s="1"/>
        <n x="3" s="1"/>
        <n x="4" s="1"/>
        <n x="104"/>
        <n x="140"/>
        <n x="75"/>
      </t>
    </mdx>
    <mdx n="0" f="v">
      <t c="8">
        <n x="1" s="1"/>
        <n x="2" s="1"/>
        <n x="5" s="1"/>
        <n x="3" s="1"/>
        <n x="4" s="1"/>
        <n x="104"/>
        <n x="140"/>
        <n x="48"/>
      </t>
    </mdx>
    <mdx n="0" f="v">
      <t c="8">
        <n x="1" s="1"/>
        <n x="2" s="1"/>
        <n x="5" s="1"/>
        <n x="3" s="1"/>
        <n x="4" s="1"/>
        <n x="104"/>
        <n x="140"/>
        <n x="141"/>
      </t>
    </mdx>
    <mdx n="0" f="v">
      <t c="8">
        <n x="1" s="1"/>
        <n x="2" s="1"/>
        <n x="5" s="1"/>
        <n x="3" s="1"/>
        <n x="4" s="1"/>
        <n x="104"/>
        <n x="145"/>
        <n x="56"/>
      </t>
    </mdx>
    <mdx n="0" f="v">
      <t c="8">
        <n x="1" s="1"/>
        <n x="2" s="1"/>
        <n x="5" s="1"/>
        <n x="3" s="1"/>
        <n x="4" s="1"/>
        <n x="104"/>
        <n x="145"/>
        <n x="147"/>
      </t>
    </mdx>
    <mdx n="0" f="v">
      <t c="8">
        <n x="1" s="1"/>
        <n x="2" s="1"/>
        <n x="5" s="1"/>
        <n x="3" s="1"/>
        <n x="4" s="1"/>
        <n x="104"/>
        <n x="145"/>
        <n x="119"/>
      </t>
    </mdx>
    <mdx n="0" f="v">
      <t c="8">
        <n x="1" s="1"/>
        <n x="2" s="1"/>
        <n x="5" s="1"/>
        <n x="3" s="1"/>
        <n x="4" s="1"/>
        <n x="104"/>
        <n x="145"/>
        <n x="86"/>
      </t>
    </mdx>
    <mdx n="0" f="v">
      <t c="8">
        <n x="1" s="1"/>
        <n x="2" s="1"/>
        <n x="5" s="1"/>
        <n x="3" s="1"/>
        <n x="4" s="1"/>
        <n x="104"/>
        <n x="129"/>
        <n x="109"/>
      </t>
    </mdx>
    <mdx n="0" f="v">
      <t c="8">
        <n x="1" s="1"/>
        <n x="2" s="1"/>
        <n x="5" s="1"/>
        <n x="3" s="1"/>
        <n x="4" s="1"/>
        <n x="104"/>
        <n x="129"/>
        <n x="103"/>
      </t>
    </mdx>
    <mdx n="0" f="v">
      <t c="8">
        <n x="1" s="1"/>
        <n x="2" s="1"/>
        <n x="5" s="1"/>
        <n x="3" s="1"/>
        <n x="4" s="1"/>
        <n x="104"/>
        <n x="129"/>
        <n x="69"/>
      </t>
    </mdx>
    <mdx n="0" f="v">
      <t c="8">
        <n x="1" s="1"/>
        <n x="2" s="1"/>
        <n x="5" s="1"/>
        <n x="3" s="1"/>
        <n x="4" s="1"/>
        <n x="104"/>
        <n x="11"/>
        <n x="115"/>
      </t>
    </mdx>
    <mdx n="0" f="v">
      <t c="8">
        <n x="1" s="1"/>
        <n x="2" s="1"/>
        <n x="5" s="1"/>
        <n x="3" s="1"/>
        <n x="4" s="1"/>
        <n x="104"/>
        <n x="11"/>
        <n x="76"/>
      </t>
    </mdx>
    <mdx n="0" f="v">
      <t c="8">
        <n x="1" s="1"/>
        <n x="2" s="1"/>
        <n x="5" s="1"/>
        <n x="3" s="1"/>
        <n x="4" s="1"/>
        <n x="104"/>
        <n x="11"/>
        <n x="49"/>
      </t>
    </mdx>
    <mdx n="0" f="v">
      <t c="8">
        <n x="1" s="1"/>
        <n x="2" s="1"/>
        <n x="5" s="1"/>
        <n x="3" s="1"/>
        <n x="4" s="1"/>
        <n x="104"/>
        <n x="26"/>
        <n x="28"/>
      </t>
    </mdx>
    <mdx n="0" f="v">
      <t c="8">
        <n x="1" s="1"/>
        <n x="2" s="1"/>
        <n x="5" s="1"/>
        <n x="3" s="1"/>
        <n x="4" s="1"/>
        <n x="104"/>
        <n x="26"/>
        <n x="29"/>
      </t>
    </mdx>
    <mdx n="0" f="v">
      <t c="8">
        <n x="1" s="1"/>
        <n x="2" s="1"/>
        <n x="5" s="1"/>
        <n x="3" s="1"/>
        <n x="4" s="1"/>
        <n x="104"/>
        <n x="26"/>
        <n x="16"/>
      </t>
    </mdx>
    <mdx n="0" f="v">
      <t c="8">
        <n x="1" s="1"/>
        <n x="2" s="1"/>
        <n x="5" s="1"/>
        <n x="3" s="1"/>
        <n x="4" s="1"/>
        <n x="104"/>
        <n x="35"/>
        <n x="84"/>
      </t>
    </mdx>
    <mdx n="0" f="v">
      <t c="8">
        <n x="1" s="1"/>
        <n x="2" s="1"/>
        <n x="5" s="1"/>
        <n x="3" s="1"/>
        <n x="4" s="1"/>
        <n x="104"/>
        <n x="35"/>
        <n x="160"/>
      </t>
    </mdx>
    <mdx n="0" f="v">
      <t c="8">
        <n x="1" s="1"/>
        <n x="2" s="1"/>
        <n x="5" s="1"/>
        <n x="3" s="1"/>
        <n x="4" s="1"/>
        <n x="104"/>
        <n x="35"/>
        <n x="148"/>
      </t>
    </mdx>
    <mdx n="0" f="v">
      <t c="8">
        <n x="1" s="1"/>
        <n x="2" s="1"/>
        <n x="5" s="1"/>
        <n x="3" s="1"/>
        <n x="4" s="1"/>
        <n x="104"/>
        <n x="79"/>
        <n x="44"/>
      </t>
    </mdx>
    <mdx n="0" f="v">
      <t c="8">
        <n x="1" s="1"/>
        <n x="2" s="1"/>
        <n x="5" s="1"/>
        <n x="3" s="1"/>
        <n x="4" s="1"/>
        <n x="104"/>
        <n x="30"/>
        <n x="155"/>
      </t>
    </mdx>
    <mdx n="0" f="v">
      <t c="8">
        <n x="1" s="1"/>
        <n x="2" s="1"/>
        <n x="5" s="1"/>
        <n x="3" s="1"/>
        <n x="4" s="1"/>
        <n x="104"/>
        <n x="117"/>
        <n x="154"/>
      </t>
    </mdx>
    <mdx n="0" f="v">
      <t c="8">
        <n x="1" s="1"/>
        <n x="2" s="1"/>
        <n x="5" s="1"/>
        <n x="3" s="1"/>
        <n x="4" s="1"/>
        <n x="104"/>
        <n x="64"/>
        <n x="108"/>
      </t>
    </mdx>
    <mdx n="0" f="v">
      <t c="8">
        <n x="1" s="1"/>
        <n x="2" s="1"/>
        <n x="5" s="1"/>
        <n x="3" s="1"/>
        <n x="4" s="1"/>
        <n x="104"/>
        <n x="64"/>
        <n x="54"/>
      </t>
    </mdx>
    <mdx n="0" f="v">
      <t c="8">
        <n x="1" s="1"/>
        <n x="2" s="1"/>
        <n x="5" s="1"/>
        <n x="3" s="1"/>
        <n x="4" s="1"/>
        <n x="104"/>
        <n x="150"/>
        <n x="29"/>
      </t>
    </mdx>
    <mdx n="0" f="v">
      <t c="8">
        <n x="1" s="1"/>
        <n x="2" s="1"/>
        <n x="5" s="1"/>
        <n x="3" s="1"/>
        <n x="4" s="1"/>
        <n x="104"/>
        <n x="150"/>
        <n x="95"/>
      </t>
    </mdx>
    <mdx n="0" f="v">
      <t c="8">
        <n x="1" s="1"/>
        <n x="2" s="1"/>
        <n x="5" s="1"/>
        <n x="3" s="1"/>
        <n x="4" s="1"/>
        <n x="104"/>
        <n x="38"/>
        <n x="94"/>
      </t>
    </mdx>
    <mdx n="0" f="v">
      <t c="8">
        <n x="1" s="1"/>
        <n x="2" s="1"/>
        <n x="5" s="1"/>
        <n x="3" s="1"/>
        <n x="4" s="1"/>
        <n x="104"/>
        <n x="46"/>
        <n x="13"/>
      </t>
    </mdx>
    <mdx n="0" f="v">
      <t c="8">
        <n x="1" s="1"/>
        <n x="2" s="1"/>
        <n x="5" s="1"/>
        <n x="3" s="1"/>
        <n x="4" s="1"/>
        <n x="104"/>
        <n x="46"/>
        <n x="127"/>
      </t>
    </mdx>
    <mdx n="0" f="v">
      <t c="8">
        <n x="1" s="1"/>
        <n x="2" s="1"/>
        <n x="5" s="1"/>
        <n x="3" s="1"/>
        <n x="4" s="1"/>
        <n x="104"/>
        <n x="50"/>
        <n x="28"/>
      </t>
    </mdx>
    <mdx n="0" f="v">
      <t c="8">
        <n x="1" s="1"/>
        <n x="2" s="1"/>
        <n x="5" s="1"/>
        <n x="3" s="1"/>
        <n x="4" s="1"/>
        <n x="104"/>
        <n x="50"/>
        <n x="116"/>
      </t>
    </mdx>
    <mdx n="0" f="v">
      <t c="8">
        <n x="1" s="1"/>
        <n x="2" s="1"/>
        <n x="5" s="1"/>
        <n x="3" s="1"/>
        <n x="4" s="1"/>
        <n x="104"/>
        <n x="61"/>
        <n x="75"/>
      </t>
    </mdx>
    <mdx n="0" f="v">
      <t c="8">
        <n x="1" s="1"/>
        <n x="2" s="1"/>
        <n x="5" s="1"/>
        <n x="3" s="1"/>
        <n x="4" s="1"/>
        <n x="104"/>
        <n x="61"/>
        <n x="85"/>
      </t>
    </mdx>
    <mdx n="0" f="v">
      <t c="8">
        <n x="1" s="1"/>
        <n x="2" s="1"/>
        <n x="5" s="1"/>
        <n x="3" s="1"/>
        <n x="4" s="1"/>
        <n x="104"/>
        <n x="67"/>
        <n x="164" s="1"/>
      </t>
    </mdx>
    <mdx n="0" f="v">
      <t c="8">
        <n x="1" s="1"/>
        <n x="2" s="1"/>
        <n x="5" s="1"/>
        <n x="3" s="1"/>
        <n x="4" s="1"/>
        <n x="104"/>
        <n x="67"/>
        <n x="29"/>
      </t>
    </mdx>
    <mdx n="0" f="v">
      <t c="8">
        <n x="1" s="1"/>
        <n x="2" s="1"/>
        <n x="5" s="1"/>
        <n x="3" s="1"/>
        <n x="4" s="1"/>
        <n x="104"/>
        <n x="67"/>
        <n x="69"/>
      </t>
    </mdx>
    <mdx n="0" f="v">
      <t c="8">
        <n x="1" s="1"/>
        <n x="2" s="1"/>
        <n x="5" s="1"/>
        <n x="3" s="1"/>
        <n x="4" s="1"/>
        <n x="104"/>
        <n x="72"/>
        <n x="147"/>
      </t>
    </mdx>
    <mdx n="0" f="v">
      <t c="8">
        <n x="1" s="1"/>
        <n x="2" s="1"/>
        <n x="5" s="1"/>
        <n x="3" s="1"/>
        <n x="4" s="1"/>
        <n x="104"/>
        <n x="72"/>
        <n x="33"/>
      </t>
    </mdx>
    <mdx n="0" f="v">
      <t c="8">
        <n x="1" s="1"/>
        <n x="2" s="1"/>
        <n x="5" s="1"/>
        <n x="3" s="1"/>
        <n x="4" s="1"/>
        <n x="104"/>
        <n x="81"/>
        <n x="108"/>
      </t>
    </mdx>
    <mdx n="0" f="v">
      <t c="8">
        <n x="1" s="1"/>
        <n x="2" s="1"/>
        <n x="5" s="1"/>
        <n x="3" s="1"/>
        <n x="4" s="1"/>
        <n x="104"/>
        <n x="81"/>
        <n x="148"/>
      </t>
    </mdx>
    <mdx n="0" f="v">
      <t c="8">
        <n x="1" s="1"/>
        <n x="2" s="1"/>
        <n x="5" s="1"/>
        <n x="3" s="1"/>
        <n x="4" s="1"/>
        <n x="104"/>
        <n x="90"/>
        <n x="19"/>
      </t>
    </mdx>
    <mdx n="0" f="v">
      <t c="8">
        <n x="1" s="1"/>
        <n x="2" s="1"/>
        <n x="5" s="1"/>
        <n x="3" s="1"/>
        <n x="4" s="1"/>
        <n x="104"/>
        <n x="90"/>
        <n x="119"/>
      </t>
    </mdx>
    <mdx n="0" f="v">
      <t c="8">
        <n x="1" s="1"/>
        <n x="2" s="1"/>
        <n x="5" s="1"/>
        <n x="3" s="1"/>
        <n x="4" s="1"/>
        <n x="104"/>
        <n x="9"/>
        <n x="84"/>
      </t>
    </mdx>
    <mdx n="0" f="v">
      <t c="8">
        <n x="1" s="1"/>
        <n x="2" s="1"/>
        <n x="5" s="1"/>
        <n x="3" s="1"/>
        <n x="4" s="1"/>
        <n x="104"/>
        <n x="9"/>
        <n x="85"/>
      </t>
    </mdx>
    <mdx n="0" f="v">
      <t c="8">
        <n x="1" s="1"/>
        <n x="2" s="1"/>
        <n x="5" s="1"/>
        <n x="3" s="1"/>
        <n x="4" s="1"/>
        <n x="104"/>
        <n x="9"/>
        <n x="45"/>
      </t>
    </mdx>
    <mdx n="0" f="v">
      <t c="8">
        <n x="1" s="1"/>
        <n x="2" s="1"/>
        <n x="5" s="1"/>
        <n x="3" s="1"/>
        <n x="4" s="1"/>
        <n x="104"/>
        <n x="24"/>
        <n x="128"/>
      </t>
    </mdx>
    <mdx n="0" f="v">
      <t c="8">
        <n x="1" s="1"/>
        <n x="2" s="1"/>
        <n x="5" s="1"/>
        <n x="3" s="1"/>
        <n x="4" s="1"/>
        <n x="104"/>
        <n x="24"/>
        <n x="127"/>
      </t>
    </mdx>
    <mdx n="0" f="v">
      <t c="8">
        <n x="1" s="1"/>
        <n x="2" s="1"/>
        <n x="5" s="1"/>
        <n x="3" s="1"/>
        <n x="4" s="1"/>
        <n x="104"/>
        <n x="31"/>
        <n x="84"/>
      </t>
    </mdx>
    <mdx n="0" f="v">
      <t c="8">
        <n x="1" s="1"/>
        <n x="2" s="1"/>
        <n x="5" s="1"/>
        <n x="3" s="1"/>
        <n x="4" s="1"/>
        <n x="104"/>
        <n x="31"/>
        <n x="29"/>
      </t>
    </mdx>
    <mdx n="0" f="v">
      <t c="8">
        <n x="1" s="1"/>
        <n x="2" s="1"/>
        <n x="5" s="1"/>
        <n x="3" s="1"/>
        <n x="4" s="1"/>
        <n x="104"/>
        <n x="31"/>
        <n x="52"/>
      </t>
    </mdx>
    <mdx n="0" f="v">
      <t c="8">
        <n x="1" s="1"/>
        <n x="2" s="1"/>
        <n x="5" s="1"/>
        <n x="3" s="1"/>
        <n x="4" s="1"/>
        <n x="104"/>
        <n x="99"/>
        <n x="107"/>
      </t>
    </mdx>
    <mdx n="0" f="v">
      <t c="8">
        <n x="1" s="1"/>
        <n x="2" s="1"/>
        <n x="5" s="1"/>
        <n x="3" s="1"/>
        <n x="4" s="1"/>
        <n x="104"/>
        <n x="99"/>
        <n x="44"/>
      </t>
    </mdx>
    <mdx n="0" f="v">
      <t c="8">
        <n x="1" s="1"/>
        <n x="2" s="1"/>
        <n x="5" s="1"/>
        <n x="3" s="1"/>
        <n x="4" s="1"/>
        <n x="104"/>
        <n x="112"/>
        <n x="56"/>
      </t>
    </mdx>
    <mdx n="0" f="v">
      <t c="8">
        <n x="1" s="1"/>
        <n x="2" s="1"/>
        <n x="5" s="1"/>
        <n x="3" s="1"/>
        <n x="4" s="1"/>
        <n x="104"/>
        <n x="112"/>
        <n x="48"/>
      </t>
    </mdx>
    <mdx n="0" f="v">
      <t c="8">
        <n x="1" s="1"/>
        <n x="2" s="1"/>
        <n x="5" s="1"/>
        <n x="3" s="1"/>
        <n x="4" s="1"/>
        <n x="104"/>
        <n x="112"/>
        <n x="16"/>
      </t>
    </mdx>
    <mdx n="0" f="v">
      <t c="8">
        <n x="1" s="1"/>
        <n x="2" s="1"/>
        <n x="5" s="1"/>
        <n x="3" s="1"/>
        <n x="4" s="1"/>
        <n x="104"/>
        <n x="106"/>
        <n x="28"/>
      </t>
    </mdx>
    <mdx n="0" f="v">
      <t c="8">
        <n x="1" s="1"/>
        <n x="2" s="1"/>
        <n x="5" s="1"/>
        <n x="3" s="1"/>
        <n x="4" s="1"/>
        <n x="104"/>
        <n x="106"/>
        <n x="94"/>
      </t>
    </mdx>
    <mdx n="0" f="v">
      <t c="8">
        <n x="1" s="1"/>
        <n x="2" s="1"/>
        <n x="5" s="1"/>
        <n x="3" s="1"/>
        <n x="4" s="1"/>
        <n x="104"/>
        <n x="106"/>
        <n x="77"/>
      </t>
    </mdx>
    <mdx n="0" f="v">
      <t c="8">
        <n x="1" s="1"/>
        <n x="2" s="1"/>
        <n x="5" s="1"/>
        <n x="3" s="1"/>
        <n x="4" s="1"/>
        <n x="104"/>
        <n x="125"/>
        <n x="147"/>
      </t>
    </mdx>
    <mdx n="0" f="v">
      <t c="8">
        <n x="1" s="1"/>
        <n x="2" s="1"/>
        <n x="5" s="1"/>
        <n x="3" s="1"/>
        <n x="4" s="1"/>
        <n x="104"/>
        <n x="125"/>
        <n x="141"/>
      </t>
    </mdx>
    <mdx n="0" f="v">
      <t c="8">
        <n x="1" s="1"/>
        <n x="2" s="1"/>
        <n x="5" s="1"/>
        <n x="3" s="1"/>
        <n x="4" s="1"/>
        <n x="104"/>
        <n x="123"/>
        <n x="93"/>
      </t>
    </mdx>
    <mdx n="0" f="v">
      <t c="8">
        <n x="1" s="1"/>
        <n x="2" s="1"/>
        <n x="5" s="1"/>
        <n x="3" s="1"/>
        <n x="4" s="1"/>
        <n x="104"/>
        <n x="123"/>
        <n x="20"/>
      </t>
    </mdx>
    <mdx n="0" f="v">
      <t c="8">
        <n x="1" s="1"/>
        <n x="2" s="1"/>
        <n x="5" s="1"/>
        <n x="3" s="1"/>
        <n x="4" s="1"/>
        <n x="104"/>
        <n x="123"/>
        <n x="54"/>
      </t>
    </mdx>
    <mdx n="0" f="v">
      <t c="8">
        <n x="1" s="1"/>
        <n x="2" s="1"/>
        <n x="5" s="1"/>
        <n x="3" s="1"/>
        <n x="4" s="1"/>
        <n x="104"/>
        <n x="39"/>
        <n x="108"/>
      </t>
    </mdx>
    <mdx n="0" f="v">
      <t c="8">
        <n x="1" s="1"/>
        <n x="2" s="1"/>
        <n x="5" s="1"/>
        <n x="3" s="1"/>
        <n x="4" s="1"/>
        <n x="104"/>
        <n x="39"/>
        <n x="116"/>
      </t>
    </mdx>
    <mdx n="0" f="v">
      <t c="8">
        <n x="1" s="1"/>
        <n x="2" s="1"/>
        <n x="5" s="1"/>
        <n x="3" s="1"/>
        <n x="4" s="1"/>
        <n x="104"/>
        <n x="139"/>
        <n x="62"/>
      </t>
    </mdx>
    <mdx n="0" f="v">
      <t c="8">
        <n x="1" s="1"/>
        <n x="2" s="1"/>
        <n x="5" s="1"/>
        <n x="3" s="1"/>
        <n x="4" s="1"/>
        <n x="104"/>
        <n x="139"/>
        <n x="160"/>
      </t>
    </mdx>
    <mdx n="0" f="v">
      <t c="8">
        <n x="1" s="1"/>
        <n x="2" s="1"/>
        <n x="5" s="1"/>
        <n x="3" s="1"/>
        <n x="4" s="1"/>
        <n x="104"/>
        <n x="139"/>
        <n x="33"/>
      </t>
    </mdx>
    <mdx n="0" f="v">
      <t c="8">
        <n x="1" s="1"/>
        <n x="2" s="1"/>
        <n x="5" s="1"/>
        <n x="3" s="1"/>
        <n x="4" s="1"/>
        <n x="104"/>
        <n x="144"/>
        <n x="19"/>
      </t>
    </mdx>
    <mdx n="0" f="v">
      <t c="8">
        <n x="1" s="1"/>
        <n x="2" s="1"/>
        <n x="5" s="1"/>
        <n x="3" s="1"/>
        <n x="4" s="1"/>
        <n x="104"/>
        <n x="144"/>
        <n x="103"/>
      </t>
    </mdx>
    <mdx n="0" f="v">
      <t c="8">
        <n x="1" s="1"/>
        <n x="2" s="1"/>
        <n x="5" s="1"/>
        <n x="3" s="1"/>
        <n x="4" s="1"/>
        <n x="104"/>
        <n x="144"/>
        <n x="86"/>
      </t>
    </mdx>
    <mdx n="0" f="v">
      <t c="8">
        <n x="1" s="1"/>
        <n x="2" s="1"/>
        <n x="5" s="1"/>
        <n x="3" s="1"/>
        <n x="4" s="1"/>
        <n x="104"/>
        <n x="96"/>
        <n x="128"/>
      </t>
    </mdx>
    <mdx n="0" f="v">
      <t c="8">
        <n x="1" s="1"/>
        <n x="2" s="1"/>
        <n x="5" s="1"/>
        <n x="3" s="1"/>
        <n x="4" s="1"/>
        <n x="104"/>
        <n x="96"/>
        <n x="122"/>
      </t>
    </mdx>
    <mdx n="0" f="v">
      <t c="8">
        <n x="1" s="1"/>
        <n x="2" s="1"/>
        <n x="5" s="1"/>
        <n x="3" s="1"/>
        <n x="4" s="1"/>
        <n x="104"/>
        <n x="151"/>
        <n x="164" s="1"/>
      </t>
    </mdx>
    <mdx n="0" f="v">
      <t c="8">
        <n x="1" s="1"/>
        <n x="2" s="1"/>
        <n x="5" s="1"/>
        <n x="3" s="1"/>
        <n x="4" s="1"/>
        <n x="104"/>
        <n x="151"/>
        <n x="147"/>
      </t>
    </mdx>
    <mdx n="0" f="v">
      <t c="8">
        <n x="1" s="1"/>
        <n x="2" s="1"/>
        <n x="5" s="1"/>
        <n x="3" s="1"/>
        <n x="4" s="1"/>
        <n x="104"/>
        <n x="151"/>
        <n x="122"/>
      </t>
    </mdx>
    <mdx n="0" f="v">
      <t c="8">
        <n x="1" s="1"/>
        <n x="2" s="1"/>
        <n x="5" s="1"/>
        <n x="3" s="1"/>
        <n x="4" s="1"/>
        <n x="104"/>
        <n x="157"/>
        <n x="164" s="1"/>
      </t>
    </mdx>
    <mdx n="0" f="v">
      <t c="8">
        <n x="1" s="1"/>
        <n x="2" s="1"/>
        <n x="5" s="1"/>
        <n x="3" s="1"/>
        <n x="4" s="1"/>
        <n x="104"/>
        <n x="157"/>
        <n x="147"/>
      </t>
    </mdx>
    <mdx n="0" f="v">
      <t c="8">
        <n x="1" s="1"/>
        <n x="2" s="1"/>
        <n x="5" s="1"/>
        <n x="3" s="1"/>
        <n x="4" s="1"/>
        <n x="104"/>
        <n x="157"/>
        <n x="122"/>
      </t>
    </mdx>
    <mdx n="0" f="v">
      <t c="8">
        <n x="1" s="1"/>
        <n x="2" s="1"/>
        <n x="5" s="1"/>
        <n x="3" s="1"/>
        <n x="4" s="1"/>
        <n x="104"/>
        <n x="157"/>
        <n x="95"/>
      </t>
    </mdx>
    <mdx n="0" f="v">
      <t c="8">
        <n x="1" s="1"/>
        <n x="2" s="1"/>
        <n x="5" s="1"/>
        <n x="3" s="1"/>
        <n x="4" s="1"/>
        <n x="104"/>
        <n x="159"/>
        <n x="43"/>
      </t>
    </mdx>
    <mdx n="0" f="v">
      <t c="8">
        <n x="1" s="1"/>
        <n x="2" s="1"/>
        <n x="5" s="1"/>
        <n x="3" s="1"/>
        <n x="4" s="1"/>
        <n x="104"/>
        <n x="159"/>
        <n x="44"/>
      </t>
    </mdx>
    <mdx n="0" f="v">
      <t c="8">
        <n x="1" s="1"/>
        <n x="2" s="1"/>
        <n x="5" s="1"/>
        <n x="3" s="1"/>
        <n x="4" s="1"/>
        <n x="104"/>
        <n x="159"/>
        <n x="45"/>
      </t>
    </mdx>
    <mdx n="0" f="v">
      <t c="8">
        <n x="1" s="1"/>
        <n x="2" s="1"/>
        <n x="5" s="1"/>
        <n x="3" s="1"/>
        <n x="4" s="1"/>
        <n x="104"/>
        <n x="57"/>
        <n x="107"/>
      </t>
    </mdx>
    <mdx n="0" f="v">
      <t c="8">
        <n x="1" s="1"/>
        <n x="2" s="1"/>
        <n x="5" s="1"/>
        <n x="3" s="1"/>
        <n x="4" s="1"/>
        <n x="104"/>
        <n x="57"/>
        <n x="85"/>
      </t>
    </mdx>
    <mdx n="0" f="v">
      <t c="8">
        <n x="1" s="1"/>
        <n x="2" s="1"/>
        <n x="5" s="1"/>
        <n x="3" s="1"/>
        <n x="4" s="1"/>
        <n x="104"/>
        <n x="57"/>
        <n x="52"/>
      </t>
    </mdx>
    <mdx n="0" f="v">
      <t c="8">
        <n x="1" s="1"/>
        <n x="2" s="1"/>
        <n x="5" s="1"/>
        <n x="3" s="1"/>
        <n x="4" s="1"/>
        <n x="104"/>
        <n x="10"/>
        <n x="19"/>
      </t>
    </mdx>
    <mdx n="0" f="v">
      <t c="8">
        <n x="1" s="1"/>
        <n x="2" s="1"/>
        <n x="5" s="1"/>
        <n x="3" s="1"/>
        <n x="4" s="1"/>
        <n x="104"/>
        <n x="10"/>
        <n x="20"/>
      </t>
    </mdx>
    <mdx n="0" f="v">
      <t c="8">
        <n x="1" s="1"/>
        <n x="2" s="1"/>
        <n x="5" s="1"/>
        <n x="3" s="1"/>
        <n x="4" s="1"/>
        <n x="104"/>
        <n x="10"/>
        <n x="33"/>
      </t>
    </mdx>
    <mdx n="0" f="v">
      <t c="8">
        <n x="1" s="1"/>
        <n x="2" s="1"/>
        <n x="5" s="1"/>
        <n x="3" s="1"/>
        <n x="4" s="1"/>
        <n x="104"/>
        <n x="25"/>
        <n x="93"/>
      </t>
    </mdx>
    <mdx n="0" f="v">
      <t c="8">
        <n x="1" s="1"/>
        <n x="2" s="1"/>
        <n x="5" s="1"/>
        <n x="3" s="1"/>
        <n x="4" s="1"/>
        <n x="104"/>
        <n x="25"/>
        <n x="162"/>
      </t>
    </mdx>
    <mdx n="0" f="v">
      <t c="8">
        <n x="1" s="1"/>
        <n x="2" s="1"/>
        <n x="5" s="1"/>
        <n x="3" s="1"/>
        <n x="4" s="1"/>
        <n x="104"/>
        <n x="25"/>
        <n x="87"/>
      </t>
    </mdx>
    <mdx n="0" f="v">
      <t c="8">
        <n x="1" s="1"/>
        <n x="2" s="1"/>
        <n x="5" s="1"/>
        <n x="3" s="1"/>
        <n x="4" s="1"/>
        <n x="104"/>
        <n x="18"/>
        <n x="63"/>
      </t>
    </mdx>
    <mdx n="0" f="v">
      <t c="8">
        <n x="1" s="1"/>
        <n x="2" s="1"/>
        <n x="5" s="1"/>
        <n x="3" s="1"/>
        <n x="4" s="1"/>
        <n x="104"/>
        <n x="18"/>
        <n x="154"/>
      </t>
    </mdx>
    <mdx n="0" f="v">
      <t c="8">
        <n x="1" s="1"/>
        <n x="2" s="1"/>
        <n x="5" s="1"/>
        <n x="3" s="1"/>
        <n x="4" s="1"/>
        <n x="104"/>
        <n x="18"/>
        <n x="127"/>
      </t>
    </mdx>
    <mdx n="0" f="v">
      <t c="8">
        <n x="1" s="1"/>
        <n x="2" s="1"/>
        <n x="5" s="1"/>
        <n x="3" s="1"/>
        <n x="4" s="1"/>
        <n x="104"/>
        <n x="68"/>
        <n x="164" s="1"/>
      </t>
    </mdx>
    <mdx n="0" f="v">
      <t c="8">
        <n x="1" s="1"/>
        <n x="2" s="1"/>
        <n x="5" s="1"/>
        <n x="3" s="1"/>
        <n x="4" s="1"/>
        <n x="104"/>
        <n x="68"/>
        <n x="128"/>
      </t>
    </mdx>
    <mdx n="0" f="v">
      <t c="8">
        <n x="1" s="1"/>
        <n x="2" s="1"/>
        <n x="5" s="1"/>
        <n x="3" s="1"/>
        <n x="4" s="1"/>
        <n x="104"/>
        <n x="68"/>
        <n x="116"/>
      </t>
    </mdx>
    <mdx n="0" f="v">
      <t c="8">
        <n x="1" s="1"/>
        <n x="2" s="1"/>
        <n x="5" s="1"/>
        <n x="3" s="1"/>
        <n x="4" s="1"/>
        <n x="104"/>
        <n x="68"/>
        <n x="77"/>
      </t>
    </mdx>
    <mdx n="0" f="v">
      <t c="8">
        <n x="1" s="1"/>
        <n x="2" s="1"/>
        <n x="5" s="1"/>
        <n x="3" s="1"/>
        <n x="4" s="1"/>
        <n x="104"/>
        <n x="73"/>
        <n x="108"/>
      </t>
    </mdx>
    <mdx n="0" f="v">
      <t c="8">
        <n x="1" s="1"/>
        <n x="2" s="1"/>
        <n x="5" s="1"/>
        <n x="3" s="1"/>
        <n x="4" s="1"/>
        <n x="104"/>
        <n x="73"/>
        <n x="94"/>
      </t>
    </mdx>
    <mdx n="0" f="v">
      <t c="8">
        <n x="1" s="1"/>
        <n x="2" s="1"/>
        <n x="5" s="1"/>
        <n x="3" s="1"/>
        <n x="4" s="1"/>
        <n x="104"/>
        <n x="73"/>
        <n x="54"/>
      </t>
    </mdx>
    <mdx n="0" f="v">
      <t c="8">
        <n x="1" s="1"/>
        <n x="2" s="1"/>
        <n x="5" s="1"/>
        <n x="3" s="1"/>
        <n x="4" s="1"/>
        <n x="104"/>
        <n x="82"/>
        <n x="102"/>
      </t>
    </mdx>
    <mdx n="0" f="v">
      <t c="8">
        <n x="1" s="1"/>
        <n x="2" s="1"/>
        <n x="5" s="1"/>
        <n x="3" s="1"/>
        <n x="4" s="1"/>
        <n x="104"/>
        <n x="82"/>
        <n x="58"/>
      </t>
    </mdx>
    <mdx n="0" f="v">
      <t c="8">
        <n x="1" s="1"/>
        <n x="2" s="1"/>
        <n x="5" s="1"/>
        <n x="3" s="1"/>
        <n x="4" s="1"/>
        <n x="104"/>
        <n x="82"/>
        <n x="155"/>
      </t>
    </mdx>
    <mdx n="0" f="v">
      <t c="8">
        <n x="1" s="1"/>
        <n x="2" s="1"/>
        <n x="5" s="1"/>
        <n x="3" s="1"/>
        <n x="4" s="1"/>
        <n x="104"/>
        <n x="91"/>
        <n x="13"/>
      </t>
    </mdx>
    <mdx n="0" f="v">
      <t c="8">
        <n x="1" s="1"/>
        <n x="2" s="1"/>
        <n x="5" s="1"/>
        <n x="3" s="1"/>
        <n x="4" s="1"/>
        <n x="104"/>
        <n x="91"/>
        <n x="14"/>
      </t>
    </mdx>
    <mdx n="0" f="v">
      <t c="8">
        <n x="1" s="1"/>
        <n x="2" s="1"/>
        <n x="5" s="1"/>
        <n x="3" s="1"/>
        <n x="4" s="1"/>
        <n x="104"/>
        <n x="91"/>
        <n x="15"/>
      </t>
    </mdx>
    <mdx n="0" f="v">
      <t c="8">
        <n x="1" s="1"/>
        <n x="2" s="1"/>
        <n x="5" s="1"/>
        <n x="3" s="1"/>
        <n x="4" s="1"/>
        <n x="104"/>
        <n x="100"/>
        <n x="75"/>
      </t>
    </mdx>
    <mdx n="0" f="v">
      <t c="8">
        <n x="1" s="1"/>
        <n x="2" s="1"/>
        <n x="5" s="1"/>
        <n x="3" s="1"/>
        <n x="4" s="1"/>
        <n x="104"/>
        <n x="100"/>
        <n x="48"/>
      </t>
    </mdx>
    <mdx n="0" f="v">
      <t c="8">
        <n x="1" s="1"/>
        <n x="2" s="1"/>
        <n x="5" s="1"/>
        <n x="3" s="1"/>
        <n x="4" s="1"/>
        <n x="104"/>
        <n x="100"/>
        <n x="141"/>
      </t>
    </mdx>
    <mdx n="0" f="v">
      <t c="8">
        <n x="1" s="1"/>
        <n x="2" s="1"/>
        <n x="5" s="1"/>
        <n x="3" s="1"/>
        <n x="4" s="1"/>
        <n x="104"/>
        <n x="40"/>
        <n x="56"/>
      </t>
    </mdx>
    <mdx n="0" f="v">
      <t c="8">
        <n x="1" s="1"/>
        <n x="2" s="1"/>
        <n x="5" s="1"/>
        <n x="3" s="1"/>
        <n x="4" s="1"/>
        <n x="104"/>
        <n x="40"/>
        <n x="147"/>
      </t>
    </mdx>
    <mdx n="0" f="v">
      <t c="8">
        <n x="1" s="1"/>
        <n x="2" s="1"/>
        <n x="5" s="1"/>
        <n x="3" s="1"/>
        <n x="4" s="1"/>
        <n x="104"/>
        <n x="40"/>
        <n x="119"/>
      </t>
    </mdx>
    <mdx n="0" f="v">
      <t c="8">
        <n x="1" s="1"/>
        <n x="2" s="1"/>
        <n x="5" s="1"/>
        <n x="3" s="1"/>
        <n x="4" s="1"/>
        <n x="104"/>
        <n x="40"/>
        <n x="86"/>
      </t>
    </mdx>
    <mdx n="0" f="v">
      <t c="8">
        <n x="1" s="1"/>
        <n x="2" s="1"/>
        <n x="5" s="1"/>
        <n x="3" s="1"/>
        <n x="4" s="1"/>
        <n x="104"/>
        <n x="113"/>
        <n x="109"/>
      </t>
    </mdx>
    <mdx n="0" f="v">
      <t c="8">
        <n x="1" s="1"/>
        <n x="2" s="1"/>
        <n x="5" s="1"/>
        <n x="3" s="1"/>
        <n x="4" s="1"/>
        <n x="104"/>
        <n x="113"/>
        <n x="103"/>
      </t>
    </mdx>
    <mdx n="0" f="v">
      <t c="8">
        <n x="1" s="1"/>
        <n x="2" s="1"/>
        <n x="5" s="1"/>
        <n x="3" s="1"/>
        <n x="4" s="1"/>
        <n x="104"/>
        <n x="113"/>
        <n x="69"/>
      </t>
    </mdx>
    <mdx n="0" f="v">
      <t c="8">
        <n x="1" s="1"/>
        <n x="2" s="1"/>
        <n x="5" s="1"/>
        <n x="3" s="1"/>
        <n x="4" s="1"/>
        <n x="104"/>
        <n x="131"/>
        <n x="115"/>
      </t>
    </mdx>
    <mdx n="0" f="v">
      <t c="8">
        <n x="1" s="1"/>
        <n x="2" s="1"/>
        <n x="5" s="1"/>
        <n x="3" s="1"/>
        <n x="4" s="1"/>
        <n x="104"/>
        <n x="131"/>
        <n x="76"/>
      </t>
    </mdx>
    <mdx n="0" f="v">
      <t c="8">
        <n x="1" s="1"/>
        <n x="2" s="1"/>
        <n x="5" s="1"/>
        <n x="3" s="1"/>
        <n x="4" s="1"/>
        <n x="104"/>
        <n x="131"/>
        <n x="49"/>
      </t>
    </mdx>
    <mdx n="0" f="v">
      <t c="8">
        <n x="1" s="1"/>
        <n x="2" s="1"/>
        <n x="5" s="1"/>
        <n x="3" s="1"/>
        <n x="4" s="1"/>
        <n x="104"/>
        <n x="134"/>
        <n x="28"/>
      </t>
    </mdx>
    <mdx n="0" f="v">
      <t c="8">
        <n x="1" s="1"/>
        <n x="2" s="1"/>
        <n x="5" s="1"/>
        <n x="3" s="1"/>
        <n x="4" s="1"/>
        <n x="104"/>
        <n x="134"/>
        <n x="29"/>
      </t>
    </mdx>
    <mdx n="0" f="v">
      <t c="8">
        <n x="1" s="1"/>
        <n x="2" s="1"/>
        <n x="5" s="1"/>
        <n x="3" s="1"/>
        <n x="4" s="1"/>
        <n x="104"/>
        <n x="134"/>
        <n x="16"/>
      </t>
    </mdx>
    <mdx n="0" f="v">
      <t c="8">
        <n x="1" s="1"/>
        <n x="2" s="1"/>
        <n x="5" s="1"/>
        <n x="3" s="1"/>
        <n x="4" s="1"/>
        <n x="104"/>
        <n x="140"/>
        <n x="84"/>
      </t>
    </mdx>
    <mdx n="0" f="v">
      <t c="8">
        <n x="1" s="1"/>
        <n x="2" s="1"/>
        <n x="5" s="1"/>
        <n x="3" s="1"/>
        <n x="4" s="1"/>
        <n x="104"/>
        <n x="140"/>
        <n x="160"/>
      </t>
    </mdx>
    <mdx n="0" f="v">
      <t c="8">
        <n x="1" s="1"/>
        <n x="2" s="1"/>
        <n x="5" s="1"/>
        <n x="3" s="1"/>
        <n x="4" s="1"/>
        <n x="104"/>
        <n x="140"/>
        <n x="148"/>
      </t>
    </mdx>
    <mdx n="0" f="v">
      <t c="8">
        <n x="1" s="1"/>
        <n x="2" s="1"/>
        <n x="5" s="1"/>
        <n x="3" s="1"/>
        <n x="4" s="1"/>
        <n x="104"/>
        <n x="145"/>
        <n x="62"/>
      </t>
    </mdx>
    <mdx n="0" f="v">
      <t c="8">
        <n x="1" s="1"/>
        <n x="2" s="1"/>
        <n x="5" s="1"/>
        <n x="3" s="1"/>
        <n x="4" s="1"/>
        <n x="104"/>
        <n x="145"/>
        <n x="59"/>
      </t>
    </mdx>
    <mdx n="0" f="v">
      <t c="8">
        <n x="1" s="1"/>
        <n x="2" s="1"/>
        <n x="5" s="1"/>
        <n x="3" s="1"/>
        <n x="4" s="1"/>
        <n x="104"/>
        <n x="145"/>
        <n x="122"/>
      </t>
    </mdx>
    <mdx n="0" f="v">
      <t c="8">
        <n x="1" s="1"/>
        <n x="2" s="1"/>
        <n x="5" s="1"/>
        <n x="3" s="1"/>
        <n x="4" s="1"/>
        <n x="104"/>
        <n x="145"/>
        <n x="95"/>
      </t>
    </mdx>
    <mdx n="0" f="v">
      <t c="8">
        <n x="1" s="1"/>
        <n x="2" s="1"/>
        <n x="5" s="1"/>
        <n x="3" s="1"/>
        <n x="4" s="1"/>
        <n x="104"/>
        <n x="129"/>
        <n x="43"/>
      </t>
    </mdx>
    <mdx n="0" f="v">
      <t c="8">
        <n x="1" s="1"/>
        <n x="2" s="1"/>
        <n x="5" s="1"/>
        <n x="3" s="1"/>
        <n x="4" s="1"/>
        <n x="104"/>
        <n x="129"/>
        <n x="44"/>
      </t>
    </mdx>
    <mdx n="0" f="v">
      <t c="8">
        <n x="1" s="1"/>
        <n x="2" s="1"/>
        <n x="5" s="1"/>
        <n x="3" s="1"/>
        <n x="4" s="1"/>
        <n x="104"/>
        <n x="129"/>
        <n x="45"/>
      </t>
    </mdx>
    <mdx n="0" f="v">
      <t c="8">
        <n x="1" s="1"/>
        <n x="2" s="1"/>
        <n x="5" s="1"/>
        <n x="3" s="1"/>
        <n x="4" s="1"/>
        <n x="104"/>
        <n x="11"/>
        <n x="107"/>
      </t>
    </mdx>
    <mdx n="0" f="v">
      <t c="8">
        <n x="1" s="1"/>
        <n x="2" s="1"/>
        <n x="5" s="1"/>
        <n x="3" s="1"/>
        <n x="4" s="1"/>
        <n x="104"/>
        <n x="11"/>
        <n x="85"/>
      </t>
    </mdx>
    <mdx n="0" f="v">
      <t c="8">
        <n x="1" s="1"/>
        <n x="2" s="1"/>
        <n x="5" s="1"/>
        <n x="3" s="1"/>
        <n x="4" s="1"/>
        <n x="104"/>
        <n x="11"/>
        <n x="52"/>
      </t>
    </mdx>
    <mdx n="0" f="v">
      <t c="8">
        <n x="1" s="1"/>
        <n x="2" s="1"/>
        <n x="5" s="1"/>
        <n x="3" s="1"/>
        <n x="4" s="1"/>
        <n x="104"/>
        <n x="26"/>
        <n x="19"/>
      </t>
    </mdx>
    <mdx n="0" f="v">
      <t c="8">
        <n x="1" s="1"/>
        <n x="2" s="1"/>
        <n x="5" s="1"/>
        <n x="3" s="1"/>
        <n x="4" s="1"/>
        <n x="104"/>
        <n x="26"/>
        <n x="20"/>
      </t>
    </mdx>
    <mdx n="0" f="v">
      <t c="8">
        <n x="1" s="1"/>
        <n x="2" s="1"/>
        <n x="5" s="1"/>
        <n x="3" s="1"/>
        <n x="4" s="1"/>
        <n x="104"/>
        <n x="26"/>
        <n x="33"/>
      </t>
    </mdx>
    <mdx n="0" f="v">
      <t c="8">
        <n x="1" s="1"/>
        <n x="2" s="1"/>
        <n x="5" s="1"/>
        <n x="3" s="1"/>
        <n x="4" s="1"/>
        <n x="104"/>
        <n x="35"/>
        <n x="93"/>
      </t>
    </mdx>
    <mdx n="0" f="v">
      <t c="8">
        <n x="1" s="1"/>
        <n x="2" s="1"/>
        <n x="5" s="1"/>
        <n x="3" s="1"/>
        <n x="4" s="1"/>
        <n x="104"/>
        <n x="35"/>
        <n x="162"/>
      </t>
    </mdx>
    <mdx n="0" f="v">
      <t c="8">
        <n x="1" s="1"/>
        <n x="2" s="1"/>
        <n x="5" s="1"/>
        <n x="3" s="1"/>
        <n x="4" s="1"/>
        <n x="104"/>
        <n x="35"/>
        <n x="87"/>
      </t>
    </mdx>
    <mdx n="0" f="v">
      <t c="8">
        <n x="1" s="1"/>
        <n x="2" s="1"/>
        <n x="5" s="1"/>
        <n x="3" s="1"/>
        <n x="4" s="1"/>
        <n x="104"/>
        <n x="152"/>
        <n x="63"/>
      </t>
    </mdx>
    <mdx n="0" f="v">
      <t c="8">
        <n x="1" s="1"/>
        <n x="2" s="1"/>
        <n x="5" s="1"/>
        <n x="3" s="1"/>
        <n x="4" s="1"/>
        <n x="104"/>
        <n x="152"/>
        <n x="154"/>
      </t>
    </mdx>
    <mdx n="0" f="v">
      <t c="8">
        <n x="1" s="1"/>
        <n x="2" s="1"/>
        <n x="5" s="1"/>
        <n x="3" s="1"/>
        <n x="4" s="1"/>
        <n x="104"/>
        <n x="152"/>
        <n x="127"/>
      </t>
    </mdx>
    <mdx n="0" f="v">
      <t c="8">
        <n x="1" s="1"/>
        <n x="2" s="1"/>
        <n x="5" s="1"/>
        <n x="3" s="1"/>
        <n x="4" s="1"/>
        <n x="104"/>
        <n x="88"/>
        <n x="58"/>
      </t>
    </mdx>
    <mdx n="0" f="v">
      <t c="8">
        <n x="1" s="1"/>
        <n x="2" s="1"/>
        <n x="5" s="1"/>
        <n x="3" s="1"/>
        <n x="4" s="1"/>
        <n x="104"/>
        <n x="149"/>
        <n x="122"/>
      </t>
    </mdx>
    <mdx n="0" f="v">
      <t c="8">
        <n x="1" s="1"/>
        <n x="2" s="1"/>
        <n x="5" s="1"/>
        <n x="3" s="1"/>
        <n x="4" s="1"/>
        <n x="104"/>
        <n x="130"/>
        <n x="62"/>
      </t>
    </mdx>
    <mdx n="0" f="v">
      <t c="8">
        <n x="1" s="1"/>
        <n x="2" s="1"/>
        <n x="5" s="1"/>
        <n x="3" s="1"/>
        <n x="4" s="1"/>
        <n x="104"/>
        <n x="64"/>
        <n x="128"/>
      </t>
    </mdx>
    <mdx n="0" f="v">
      <t c="8">
        <n x="1" s="1"/>
        <n x="2" s="1"/>
        <n x="5" s="1"/>
        <n x="3" s="1"/>
        <n x="4" s="1"/>
        <n x="104"/>
        <n x="64"/>
        <n x="77"/>
      </t>
    </mdx>
    <mdx n="0" f="v">
      <t c="8">
        <n x="1" s="1"/>
        <n x="2" s="1"/>
        <n x="5" s="1"/>
        <n x="3" s="1"/>
        <n x="4" s="1"/>
        <n x="104"/>
        <n x="150"/>
        <n x="20"/>
      </t>
    </mdx>
    <mdx n="0" f="v">
      <t c="8">
        <n x="1" s="1"/>
        <n x="2" s="1"/>
        <n x="5" s="1"/>
        <n x="3" s="1"/>
        <n x="4" s="1"/>
        <n x="104"/>
        <n x="38"/>
        <n x="75"/>
      </t>
    </mdx>
    <mdx n="0" f="v">
      <t c="8">
        <n x="1" s="1"/>
        <n x="2" s="1"/>
        <n x="5" s="1"/>
        <n x="3" s="1"/>
        <n x="4" s="1"/>
        <n x="104"/>
        <n x="38"/>
        <n x="103"/>
      </t>
    </mdx>
    <mdx n="0" f="v">
      <t c="8">
        <n x="1" s="1"/>
        <n x="2" s="1"/>
        <n x="5" s="1"/>
        <n x="3" s="1"/>
        <n x="4" s="1"/>
        <n x="104"/>
        <n x="46"/>
        <n x="19"/>
      </t>
    </mdx>
    <mdx n="0" f="v">
      <t c="8">
        <n x="1" s="1"/>
        <n x="2" s="1"/>
        <n x="5" s="1"/>
        <n x="3" s="1"/>
        <n x="4" s="1"/>
        <n x="104"/>
        <n x="46"/>
        <n x="141"/>
      </t>
    </mdx>
    <mdx n="0" f="v">
      <t c="8">
        <n x="1" s="1"/>
        <n x="2" s="1"/>
        <n x="5" s="1"/>
        <n x="3" s="1"/>
        <n x="4" s="1"/>
        <n x="104"/>
        <n x="50"/>
        <n x="19"/>
      </t>
    </mdx>
    <mdx n="0" f="v">
      <t c="8">
        <n x="1" s="1"/>
        <n x="2" s="1"/>
        <n x="5" s="1"/>
        <n x="3" s="1"/>
        <n x="4" s="1"/>
        <n x="104"/>
        <n x="50"/>
        <n x="119"/>
      </t>
    </mdx>
    <mdx n="0" f="v">
      <t c="8">
        <n x="1" s="1"/>
        <n x="2" s="1"/>
        <n x="5" s="1"/>
        <n x="3" s="1"/>
        <n x="4" s="1"/>
        <n x="104"/>
        <n x="61"/>
        <n x="84"/>
      </t>
    </mdx>
    <mdx n="0" f="v">
      <t c="8">
        <n x="1" s="1"/>
        <n x="2" s="1"/>
        <n x="5" s="1"/>
        <n x="3" s="1"/>
        <n x="4" s="1"/>
        <n x="104"/>
        <n x="61"/>
        <n x="94"/>
      </t>
    </mdx>
    <mdx n="0" f="v">
      <t c="8">
        <n x="1" s="1"/>
        <n x="2" s="1"/>
        <n x="5" s="1"/>
        <n x="3" s="1"/>
        <n x="4" s="1"/>
        <n x="104"/>
        <n x="67"/>
        <n x="56"/>
      </t>
    </mdx>
    <mdx n="0" f="v">
      <t c="8">
        <n x="1" s="1"/>
        <n x="2" s="1"/>
        <n x="5" s="1"/>
        <n x="3" s="1"/>
        <n x="4" s="1"/>
        <n x="104"/>
        <n x="67"/>
        <n x="20"/>
      </t>
    </mdx>
    <mdx n="0" f="v">
      <t c="8">
        <n x="1" s="1"/>
        <n x="2" s="1"/>
        <n x="5" s="1"/>
        <n x="3" s="1"/>
        <n x="4" s="1"/>
        <n x="104"/>
        <n x="67"/>
        <n x="77"/>
      </t>
    </mdx>
    <mdx n="0" f="v">
      <t c="8">
        <n x="1" s="1"/>
        <n x="2" s="1"/>
        <n x="5" s="1"/>
        <n x="3" s="1"/>
        <n x="4" s="1"/>
        <n x="104"/>
        <n x="72"/>
        <n x="160"/>
      </t>
    </mdx>
    <mdx n="0" f="v">
      <t c="8">
        <n x="1" s="1"/>
        <n x="2" s="1"/>
        <n x="5" s="1"/>
        <n x="3" s="1"/>
        <n x="4" s="1"/>
        <n x="104"/>
        <n x="72"/>
        <n x="49"/>
      </t>
    </mdx>
    <mdx n="0" f="v">
      <t c="8">
        <n x="1" s="1"/>
        <n x="2" s="1"/>
        <n x="5" s="1"/>
        <n x="3" s="1"/>
        <n x="4" s="1"/>
        <n x="104"/>
        <n x="81"/>
        <n x="109"/>
      </t>
    </mdx>
    <mdx n="0" f="v">
      <t c="8">
        <n x="1" s="1"/>
        <n x="2" s="1"/>
        <n x="5" s="1"/>
        <n x="3" s="1"/>
        <n x="4" s="1"/>
        <n x="104"/>
        <n x="81"/>
        <n x="87"/>
      </t>
    </mdx>
    <mdx n="0" f="v">
      <t c="8">
        <n x="1" s="1"/>
        <n x="2" s="1"/>
        <n x="5" s="1"/>
        <n x="3" s="1"/>
        <n x="4" s="1"/>
        <n x="104"/>
        <n x="90"/>
        <n x="102"/>
      </t>
    </mdx>
    <mdx n="0" f="v">
      <t c="8">
        <n x="1" s="1"/>
        <n x="2" s="1"/>
        <n x="5" s="1"/>
        <n x="3" s="1"/>
        <n x="4" s="1"/>
        <n x="104"/>
        <n x="90"/>
        <n x="122"/>
      </t>
    </mdx>
    <mdx n="0" f="v">
      <t c="8">
        <n x="1" s="1"/>
        <n x="2" s="1"/>
        <n x="5" s="1"/>
        <n x="3" s="1"/>
        <n x="4" s="1"/>
        <n x="104"/>
        <n x="9"/>
        <n x="93"/>
      </t>
    </mdx>
    <mdx n="0" f="v">
      <t c="8">
        <n x="1" s="1"/>
        <n x="2" s="1"/>
        <n x="5" s="1"/>
        <n x="3" s="1"/>
        <n x="4" s="1"/>
        <n x="104"/>
        <n x="9"/>
        <n x="94"/>
      </t>
    </mdx>
    <mdx n="0" f="v">
      <t c="8">
        <n x="1" s="1"/>
        <n x="2" s="1"/>
        <n x="5" s="1"/>
        <n x="3" s="1"/>
        <n x="4" s="1"/>
        <n x="104"/>
        <n x="9"/>
        <n x="77"/>
      </t>
    </mdx>
    <mdx n="0" f="v">
      <t c="8">
        <n x="1" s="1"/>
        <n x="2" s="1"/>
        <n x="5" s="1"/>
        <n x="3" s="1"/>
        <n x="4" s="1"/>
        <n x="104"/>
        <n x="24"/>
        <n x="147"/>
      </t>
    </mdx>
    <mdx n="0" f="v">
      <t c="8">
        <n x="1" s="1"/>
        <n x="2" s="1"/>
        <n x="5" s="1"/>
        <n x="3" s="1"/>
        <n x="4" s="1"/>
        <n x="104"/>
        <n x="24"/>
        <n x="141"/>
      </t>
    </mdx>
    <mdx n="0" f="v">
      <t c="8">
        <n x="1" s="1"/>
        <n x="2" s="1"/>
        <n x="5" s="1"/>
        <n x="3" s="1"/>
        <n x="4" s="1"/>
        <n x="104"/>
        <n x="31"/>
        <n x="93"/>
      </t>
    </mdx>
    <mdx n="0" f="v">
      <t c="8">
        <n x="1" s="1"/>
        <n x="2" s="1"/>
        <n x="5" s="1"/>
        <n x="3" s="1"/>
        <n x="4" s="1"/>
        <n x="104"/>
        <n x="31"/>
        <n x="20"/>
      </t>
    </mdx>
    <mdx n="0" f="v">
      <t c="8">
        <n x="1" s="1"/>
        <n x="2" s="1"/>
        <n x="5" s="1"/>
        <n x="3" s="1"/>
        <n x="4" s="1"/>
        <n x="104"/>
        <n x="31"/>
        <n x="54"/>
      </t>
    </mdx>
    <mdx n="0" f="v">
      <t c="8">
        <n x="1" s="1"/>
        <n x="2" s="1"/>
        <n x="5" s="1"/>
        <n x="3" s="1"/>
        <n x="4" s="1"/>
        <n x="104"/>
        <n x="99"/>
        <n x="108"/>
      </t>
    </mdx>
    <mdx n="0" f="v">
      <t c="8">
        <n x="1" s="1"/>
        <n x="2" s="1"/>
        <n x="5" s="1"/>
        <n x="3" s="1"/>
        <n x="4" s="1"/>
        <n x="104"/>
        <n x="99"/>
        <n x="122"/>
      </t>
    </mdx>
    <mdx n="0" f="v">
      <t c="8">
        <n x="1" s="1"/>
        <n x="2" s="1"/>
        <n x="5" s="1"/>
        <n x="3" s="1"/>
        <n x="4" s="1"/>
        <n x="104"/>
        <n x="112"/>
        <n x="62"/>
      </t>
    </mdx>
    <mdx n="0" f="v">
      <t c="8">
        <n x="1" s="1"/>
        <n x="2" s="1"/>
        <n x="5" s="1"/>
        <n x="3" s="1"/>
        <n x="4" s="1"/>
        <n x="104"/>
        <n x="112"/>
        <n x="162"/>
      </t>
    </mdx>
    <mdx n="0" f="v">
      <t c="8">
        <n x="1" s="1"/>
        <n x="2" s="1"/>
        <n x="5" s="1"/>
        <n x="3" s="1"/>
        <n x="4" s="1"/>
        <n x="104"/>
        <n x="112"/>
        <n x="33"/>
      </t>
    </mdx>
    <mdx n="0" f="v">
      <t c="8">
        <n x="1" s="1"/>
        <n x="2" s="1"/>
        <n x="5" s="1"/>
        <n x="3" s="1"/>
        <n x="4" s="1"/>
        <n x="104"/>
        <n x="106"/>
        <n x="19"/>
      </t>
    </mdx>
    <mdx n="0" f="v">
      <t c="8">
        <n x="1" s="1"/>
        <n x="2" s="1"/>
        <n x="5" s="1"/>
        <n x="3" s="1"/>
        <n x="4" s="1"/>
        <n x="104"/>
        <n x="106"/>
        <n x="103"/>
      </t>
    </mdx>
    <mdx n="0" f="v">
      <t c="8">
        <n x="1" s="1"/>
        <n x="2" s="1"/>
        <n x="5" s="1"/>
        <n x="3" s="1"/>
        <n x="4" s="1"/>
        <n x="104"/>
        <n x="106"/>
        <n x="86"/>
      </t>
    </mdx>
    <mdx n="0" f="v">
      <t c="8">
        <n x="1" s="1"/>
        <n x="2" s="1"/>
        <n x="5" s="1"/>
        <n x="3" s="1"/>
        <n x="4" s="1"/>
        <n x="104"/>
        <n x="125"/>
        <n x="59"/>
      </t>
    </mdx>
    <mdx n="0" f="v">
      <t c="8">
        <n x="1" s="1"/>
        <n x="2" s="1"/>
        <n x="5" s="1"/>
        <n x="3" s="1"/>
        <n x="4" s="1"/>
        <n x="104"/>
        <n x="125"/>
        <n x="148"/>
      </t>
    </mdx>
    <mdx n="0" f="v">
      <t c="8">
        <n x="1" s="1"/>
        <n x="2" s="1"/>
        <n x="5" s="1"/>
        <n x="3" s="1"/>
        <n x="4" s="1"/>
        <n x="104"/>
        <n x="123"/>
        <n x="13"/>
      </t>
    </mdx>
    <mdx n="0" f="v">
      <t c="8">
        <n x="1" s="1"/>
        <n x="2" s="1"/>
        <n x="5" s="1"/>
        <n x="3" s="1"/>
        <n x="4" s="1"/>
        <n x="104"/>
        <n x="123"/>
        <n x="58"/>
      </t>
    </mdx>
    <mdx n="0" f="v">
      <t c="8">
        <n x="1" s="1"/>
        <n x="2" s="1"/>
        <n x="5" s="1"/>
        <n x="3" s="1"/>
        <n x="4" s="1"/>
        <n x="104"/>
        <n x="123"/>
        <n x="69"/>
      </t>
    </mdx>
    <mdx n="0" f="v">
      <t c="8">
        <n x="1" s="1"/>
        <n x="2" s="1"/>
        <n x="5" s="1"/>
        <n x="3" s="1"/>
        <n x="4" s="1"/>
        <n x="104"/>
        <n x="39"/>
        <n x="109"/>
      </t>
    </mdx>
    <mdx n="0" f="v">
      <t c="8">
        <n x="1" s="1"/>
        <n x="2" s="1"/>
        <n x="5" s="1"/>
        <n x="3" s="1"/>
        <n x="4" s="1"/>
        <n x="104"/>
        <n x="39"/>
        <n x="127"/>
      </t>
    </mdx>
    <mdx n="0" f="v">
      <t c="8">
        <n x="1" s="1"/>
        <n x="2" s="1"/>
        <n x="5" s="1"/>
        <n x="3" s="1"/>
        <n x="4" s="1"/>
        <n x="104"/>
        <n x="139"/>
        <n x="63"/>
      </t>
    </mdx>
    <mdx n="0" f="v">
      <t c="8">
        <n x="1" s="1"/>
        <n x="2" s="1"/>
        <n x="5" s="1"/>
        <n x="3" s="1"/>
        <n x="4" s="1"/>
        <n x="104"/>
        <n x="139"/>
        <n x="14"/>
      </t>
    </mdx>
    <mdx n="0" f="v">
      <t c="8">
        <n x="1" s="1"/>
        <n x="2" s="1"/>
        <n x="5" s="1"/>
        <n x="3" s="1"/>
        <n x="4" s="1"/>
        <n x="104"/>
        <n x="139"/>
        <n x="155"/>
      </t>
    </mdx>
    <mdx n="0" f="v">
      <t c="8">
        <n x="1" s="1"/>
        <n x="2" s="1"/>
        <n x="5" s="1"/>
        <n x="3" s="1"/>
        <n x="4" s="1"/>
        <n x="104"/>
        <n x="144"/>
        <n x="102"/>
      </t>
    </mdx>
    <mdx n="0" f="v">
      <t c="8">
        <n x="1" s="1"/>
        <n x="2" s="1"/>
        <n x="5" s="1"/>
        <n x="3" s="1"/>
        <n x="4" s="1"/>
        <n x="104"/>
        <n x="144"/>
        <n x="44"/>
      </t>
    </mdx>
    <mdx n="0" f="v">
      <t c="8">
        <n x="1" s="1"/>
        <n x="2" s="1"/>
        <n x="5" s="1"/>
        <n x="3" s="1"/>
        <n x="4" s="1"/>
        <n x="104"/>
        <n x="144"/>
        <n x="95"/>
      </t>
    </mdx>
    <mdx n="0" f="v">
      <t c="8">
        <n x="1" s="1"/>
        <n x="2" s="1"/>
        <n x="5" s="1"/>
        <n x="3" s="1"/>
        <n x="4" s="1"/>
        <n x="104"/>
        <n x="96"/>
        <n x="147"/>
      </t>
    </mdx>
    <mdx n="0" f="v">
      <t c="8">
        <n x="1" s="1"/>
        <n x="2" s="1"/>
        <n x="5" s="1"/>
        <n x="3" s="1"/>
        <n x="4" s="1"/>
        <n x="104"/>
        <n x="96"/>
        <n x="127"/>
      </t>
    </mdx>
    <mdx n="0" f="v">
      <t c="8">
        <n x="1" s="1"/>
        <n x="2" s="1"/>
        <n x="5" s="1"/>
        <n x="3" s="1"/>
        <n x="4" s="1"/>
        <n x="104"/>
        <n x="151"/>
        <n x="56"/>
      </t>
    </mdx>
    <mdx n="0" f="v">
      <t c="8">
        <n x="1" s="1"/>
        <n x="2" s="1"/>
        <n x="5" s="1"/>
        <n x="3" s="1"/>
        <n x="4" s="1"/>
        <n x="104"/>
        <n x="151"/>
        <n x="59"/>
      </t>
    </mdx>
    <mdx n="0" f="v">
      <t c="8">
        <n x="1" s="1"/>
        <n x="2" s="1"/>
        <n x="5" s="1"/>
        <n x="3" s="1"/>
        <n x="4" s="1"/>
        <n x="104"/>
        <n x="151"/>
        <n x="127"/>
      </t>
    </mdx>
    <mdx n="0" f="v">
      <t c="8">
        <n x="1" s="1"/>
        <n x="2" s="1"/>
        <n x="5" s="1"/>
        <n x="3" s="1"/>
        <n x="4" s="1"/>
        <n x="104"/>
        <n x="157"/>
        <n x="56"/>
      </t>
    </mdx>
    <mdx n="0" f="v">
      <t c="8">
        <n x="1" s="1"/>
        <n x="2" s="1"/>
        <n x="5" s="1"/>
        <n x="3" s="1"/>
        <n x="4" s="1"/>
        <n x="104"/>
        <n x="157"/>
        <n x="154"/>
      </t>
    </mdx>
    <mdx n="0" f="v">
      <t c="8">
        <n x="1" s="1"/>
        <n x="2" s="1"/>
        <n x="5" s="1"/>
        <n x="3" s="1"/>
        <n x="4" s="1"/>
        <n x="104"/>
        <n x="157"/>
        <n x="127"/>
      </t>
    </mdx>
    <mdx n="0" f="v">
      <t c="8">
        <n x="1" s="1"/>
        <n x="2" s="1"/>
        <n x="5" s="1"/>
        <n x="3" s="1"/>
        <n x="4" s="1"/>
        <n x="104"/>
        <n x="159"/>
        <n x="164" s="1"/>
      </t>
    </mdx>
    <mdx n="0" f="v">
      <t c="8">
        <n x="1" s="1"/>
        <n x="2" s="1"/>
        <n x="5" s="1"/>
        <n x="3" s="1"/>
        <n x="4" s="1"/>
        <n x="104"/>
        <n x="159"/>
        <n x="128"/>
      </t>
    </mdx>
    <mdx n="0" f="v">
      <t c="8">
        <n x="1" s="1"/>
        <n x="2" s="1"/>
        <n x="5" s="1"/>
        <n x="3" s="1"/>
        <n x="4" s="1"/>
        <n x="104"/>
        <n x="159"/>
        <n x="116"/>
      </t>
    </mdx>
    <mdx n="0" f="v">
      <t c="8">
        <n x="1" s="1"/>
        <n x="2" s="1"/>
        <n x="5" s="1"/>
        <n x="3" s="1"/>
        <n x="4" s="1"/>
        <n x="104"/>
        <n x="159"/>
        <n x="77"/>
      </t>
    </mdx>
    <mdx n="0" f="v">
      <t c="8">
        <n x="1" s="1"/>
        <n x="2" s="1"/>
        <n x="5" s="1"/>
        <n x="3" s="1"/>
        <n x="4" s="1"/>
        <n x="104"/>
        <n x="57"/>
        <n x="108"/>
      </t>
    </mdx>
    <mdx n="0" f="v">
      <t c="8">
        <n x="1" s="1"/>
        <n x="2" s="1"/>
        <n x="5" s="1"/>
        <n x="3" s="1"/>
        <n x="4" s="1"/>
        <n x="104"/>
        <n x="57"/>
        <n x="94"/>
      </t>
    </mdx>
    <mdx n="0" f="v">
      <t c="8">
        <n x="1" s="1"/>
        <n x="2" s="1"/>
        <n x="5" s="1"/>
        <n x="3" s="1"/>
        <n x="4" s="1"/>
        <n x="104"/>
        <n x="57"/>
        <n x="54"/>
      </t>
    </mdx>
    <mdx n="0" f="v">
      <t c="8">
        <n x="1" s="1"/>
        <n x="2" s="1"/>
        <n x="5" s="1"/>
        <n x="3" s="1"/>
        <n x="4" s="1"/>
        <n x="104"/>
        <n x="10"/>
        <n x="102"/>
      </t>
    </mdx>
    <mdx n="0" f="v">
      <t c="8">
        <n x="1" s="1"/>
        <n x="2" s="1"/>
        <n x="5" s="1"/>
        <n x="3" s="1"/>
        <n x="4" s="1"/>
        <n x="104"/>
        <n x="10"/>
        <n x="58"/>
      </t>
    </mdx>
    <mdx n="0" f="v">
      <t c="8">
        <n x="1" s="1"/>
        <n x="2" s="1"/>
        <n x="5" s="1"/>
        <n x="3" s="1"/>
        <n x="4" s="1"/>
        <n x="104"/>
        <n x="10"/>
        <n x="155"/>
      </t>
    </mdx>
    <mdx n="0" f="v">
      <t c="8">
        <n x="1" s="1"/>
        <n x="2" s="1"/>
        <n x="5" s="1"/>
        <n x="3" s="1"/>
        <n x="4" s="1"/>
        <n x="104"/>
        <n x="25"/>
        <n x="13"/>
      </t>
    </mdx>
    <mdx n="0" f="v">
      <t c="8">
        <n x="1" s="1"/>
        <n x="2" s="1"/>
        <n x="5" s="1"/>
        <n x="3" s="1"/>
        <n x="4" s="1"/>
        <n x="104"/>
        <n x="25"/>
        <n x="14"/>
      </t>
    </mdx>
    <mdx n="0" f="v">
      <t c="8">
        <n x="1" s="1"/>
        <n x="2" s="1"/>
        <n x="5" s="1"/>
        <n x="3" s="1"/>
        <n x="4" s="1"/>
        <n x="104"/>
        <n x="25"/>
        <n x="15"/>
      </t>
    </mdx>
    <mdx n="0" f="v">
      <t c="8">
        <n x="1" s="1"/>
        <n x="2" s="1"/>
        <n x="5" s="1"/>
        <n x="3" s="1"/>
        <n x="4" s="1"/>
        <n x="104"/>
        <n x="18"/>
        <n x="75"/>
      </t>
    </mdx>
    <mdx n="0" f="v">
      <t c="8">
        <n x="1" s="1"/>
        <n x="2" s="1"/>
        <n x="5" s="1"/>
        <n x="3" s="1"/>
        <n x="4" s="1"/>
        <n x="104"/>
        <n x="18"/>
        <n x="48"/>
      </t>
    </mdx>
    <mdx n="0" f="v">
      <t c="8">
        <n x="1" s="1"/>
        <n x="2" s="1"/>
        <n x="5" s="1"/>
        <n x="3" s="1"/>
        <n x="4" s="1"/>
        <n x="104"/>
        <n x="18"/>
        <n x="141"/>
      </t>
    </mdx>
    <mdx n="0" f="v">
      <t c="8">
        <n x="1" s="1"/>
        <n x="2" s="1"/>
        <n x="5" s="1"/>
        <n x="3" s="1"/>
        <n x="4" s="1"/>
        <n x="104"/>
        <n x="68"/>
        <n x="56"/>
      </t>
    </mdx>
    <mdx n="0" f="v">
      <t c="8">
        <n x="1" s="1"/>
        <n x="2" s="1"/>
        <n x="5" s="1"/>
        <n x="3" s="1"/>
        <n x="4" s="1"/>
        <n x="104"/>
        <n x="68"/>
        <n x="147"/>
      </t>
    </mdx>
    <mdx n="0" f="v">
      <t c="8">
        <n x="1" s="1"/>
        <n x="2" s="1"/>
        <n x="5" s="1"/>
        <n x="3" s="1"/>
        <n x="4" s="1"/>
        <n x="104"/>
        <n x="68"/>
        <n x="119"/>
      </t>
    </mdx>
    <mdx n="0" f="v">
      <t c="8">
        <n x="1" s="1"/>
        <n x="2" s="1"/>
        <n x="5" s="1"/>
        <n x="3" s="1"/>
        <n x="4" s="1"/>
        <n x="104"/>
        <n x="68"/>
        <n x="86"/>
      </t>
    </mdx>
    <mdx n="0" f="v">
      <t c="8">
        <n x="1" s="1"/>
        <n x="2" s="1"/>
        <n x="5" s="1"/>
        <n x="3" s="1"/>
        <n x="4" s="1"/>
        <n x="104"/>
        <n x="73"/>
        <n x="109"/>
      </t>
    </mdx>
    <mdx n="0" f="v">
      <t c="8">
        <n x="1" s="1"/>
        <n x="2" s="1"/>
        <n x="5" s="1"/>
        <n x="3" s="1"/>
        <n x="4" s="1"/>
        <n x="104"/>
        <n x="73"/>
        <n x="103"/>
      </t>
    </mdx>
    <mdx n="0" f="v">
      <t c="8">
        <n x="1" s="1"/>
        <n x="2" s="1"/>
        <n x="5" s="1"/>
        <n x="3" s="1"/>
        <n x="4" s="1"/>
        <n x="104"/>
        <n x="73"/>
        <n x="69"/>
      </t>
    </mdx>
    <mdx n="0" f="v">
      <t c="8">
        <n x="1" s="1"/>
        <n x="2" s="1"/>
        <n x="5" s="1"/>
        <n x="3" s="1"/>
        <n x="4" s="1"/>
        <n x="104"/>
        <n x="82"/>
        <n x="115"/>
      </t>
    </mdx>
    <mdx n="0" f="v">
      <t c="8">
        <n x="1" s="1"/>
        <n x="2" s="1"/>
        <n x="5" s="1"/>
        <n x="3" s="1"/>
        <n x="4" s="1"/>
        <n x="104"/>
        <n x="82"/>
        <n x="76"/>
      </t>
    </mdx>
    <mdx n="0" f="v">
      <t c="8">
        <n x="1" s="1"/>
        <n x="2" s="1"/>
        <n x="5" s="1"/>
        <n x="3" s="1"/>
        <n x="4" s="1"/>
        <n x="104"/>
        <n x="82"/>
        <n x="49"/>
      </t>
    </mdx>
    <mdx n="0" f="v">
      <t c="8">
        <n x="1" s="1"/>
        <n x="2" s="1"/>
        <n x="5" s="1"/>
        <n x="3" s="1"/>
        <n x="4" s="1"/>
        <n x="104"/>
        <n x="91"/>
        <n x="28"/>
      </t>
    </mdx>
    <mdx n="0" f="v">
      <t c="8">
        <n x="1" s="1"/>
        <n x="2" s="1"/>
        <n x="5" s="1"/>
        <n x="3" s="1"/>
        <n x="4" s="1"/>
        <n x="104"/>
        <n x="91"/>
        <n x="29"/>
      </t>
    </mdx>
    <mdx n="0" f="v">
      <t c="8">
        <n x="1" s="1"/>
        <n x="2" s="1"/>
        <n x="5" s="1"/>
        <n x="3" s="1"/>
        <n x="4" s="1"/>
        <n x="104"/>
        <n x="97"/>
        <n x="160"/>
      </t>
    </mdx>
    <mdx n="0" f="v">
      <t c="8">
        <n x="1" s="1"/>
        <n x="2" s="1"/>
        <n x="5" s="1"/>
        <n x="3" s="1"/>
        <n x="4" s="1"/>
        <n x="104"/>
        <n x="156"/>
        <n x="147"/>
      </t>
    </mdx>
    <mdx n="0" f="v">
      <t c="8">
        <n x="1" s="1"/>
        <n x="2" s="1"/>
        <n x="5" s="1"/>
        <n x="3" s="1"/>
        <n x="4" s="1"/>
        <n x="104"/>
        <n x="130"/>
        <n x="54"/>
      </t>
    </mdx>
    <mdx n="0" f="v">
      <t c="8">
        <n x="1" s="1"/>
        <n x="2" s="1"/>
        <n x="5" s="1"/>
        <n x="3" s="1"/>
        <n x="4" s="1"/>
        <n x="104"/>
        <n x="64"/>
        <n x="59"/>
      </t>
    </mdx>
    <mdx n="0" f="v">
      <t c="8">
        <n x="1" s="1"/>
        <n x="2" s="1"/>
        <n x="5" s="1"/>
        <n x="3" s="1"/>
        <n x="4" s="1"/>
        <n x="104"/>
        <n x="64"/>
        <n x="95"/>
      </t>
    </mdx>
    <mdx n="0" f="v">
      <t c="8">
        <n x="1" s="1"/>
        <n x="2" s="1"/>
        <n x="5" s="1"/>
        <n x="3" s="1"/>
        <n x="4" s="1"/>
        <n x="104"/>
        <n x="150"/>
        <n x="58"/>
      </t>
    </mdx>
    <mdx n="0" f="v">
      <t c="8">
        <n x="1" s="1"/>
        <n x="2" s="1"/>
        <n x="5" s="1"/>
        <n x="3" s="1"/>
        <n x="4" s="1"/>
        <n x="104"/>
        <n x="38"/>
        <n x="84"/>
      </t>
    </mdx>
    <mdx n="0" f="v">
      <t c="8">
        <n x="1" s="1"/>
        <n x="2" s="1"/>
        <n x="5" s="1"/>
        <n x="3" s="1"/>
        <n x="4" s="1"/>
        <n x="104"/>
        <n x="38"/>
        <n x="44"/>
      </t>
    </mdx>
    <mdx n="0" f="v">
      <t c="8">
        <n x="1" s="1"/>
        <n x="2" s="1"/>
        <n x="5" s="1"/>
        <n x="3" s="1"/>
        <n x="4" s="1"/>
        <n x="104"/>
        <n x="46"/>
        <n x="102"/>
      </t>
    </mdx>
    <mdx n="0" f="v">
      <t c="8">
        <n x="1" s="1"/>
        <n x="2" s="1"/>
        <n x="5" s="1"/>
        <n x="3" s="1"/>
        <n x="4" s="1"/>
        <n x="104"/>
        <n x="46"/>
        <n x="15"/>
      </t>
    </mdx>
    <mdx n="0" f="v">
      <t c="8">
        <n x="1" s="1"/>
        <n x="2" s="1"/>
        <n x="5" s="1"/>
        <n x="3" s="1"/>
        <n x="4" s="1"/>
        <n x="104"/>
        <n x="50"/>
        <n x="102"/>
      </t>
    </mdx>
    <mdx n="0" f="v">
      <t c="8">
        <n x="1" s="1"/>
        <n x="2" s="1"/>
        <n x="5" s="1"/>
        <n x="3" s="1"/>
        <n x="4" s="1"/>
        <n x="104"/>
        <n x="50"/>
        <n x="122"/>
      </t>
    </mdx>
    <mdx n="0" f="v">
      <t c="8">
        <n x="1" s="1"/>
        <n x="2" s="1"/>
        <n x="5" s="1"/>
        <n x="3" s="1"/>
        <n x="4" s="1"/>
        <n x="104"/>
        <n x="61"/>
        <n x="93"/>
      </t>
    </mdx>
    <mdx n="0" f="v">
      <t c="8">
        <n x="1" s="1"/>
        <n x="2" s="1"/>
        <n x="5" s="1"/>
        <n x="3" s="1"/>
        <n x="4" s="1"/>
        <n x="104"/>
        <n x="61"/>
        <n x="103"/>
      </t>
    </mdx>
    <mdx n="0" f="v">
      <t c="8">
        <n x="1" s="1"/>
        <n x="2" s="1"/>
        <n x="5" s="1"/>
        <n x="3" s="1"/>
        <n x="4" s="1"/>
        <n x="104"/>
        <n x="67"/>
        <n x="62"/>
      </t>
    </mdx>
    <mdx n="0" f="v">
      <t c="8">
        <n x="1" s="1"/>
        <n x="2" s="1"/>
        <n x="5" s="1"/>
        <n x="3" s="1"/>
        <n x="4" s="1"/>
        <n x="104"/>
        <n x="67"/>
        <n x="58"/>
      </t>
    </mdx>
    <mdx n="0" f="v">
      <t c="8">
        <n x="1" s="1"/>
        <n x="2" s="1"/>
        <n x="5" s="1"/>
        <n x="3" s="1"/>
        <n x="4" s="1"/>
        <n x="104"/>
        <n x="67"/>
        <n x="86"/>
      </t>
    </mdx>
    <mdx n="0" f="v">
      <t c="8">
        <n x="1" s="1"/>
        <n x="2" s="1"/>
        <n x="5" s="1"/>
        <n x="3" s="1"/>
        <n x="4" s="1"/>
        <n x="104"/>
        <n x="72"/>
        <n x="162"/>
      </t>
    </mdx>
    <mdx n="0" f="v">
      <t c="8">
        <n x="1" s="1"/>
        <n x="2" s="1"/>
        <n x="5" s="1"/>
        <n x="3" s="1"/>
        <n x="4" s="1"/>
        <n x="104"/>
        <n x="72"/>
        <n x="54"/>
      </t>
    </mdx>
    <mdx n="0" f="v">
      <t c="8">
        <n x="1" s="1"/>
        <n x="2" s="1"/>
        <n x="5" s="1"/>
        <n x="3" s="1"/>
        <n x="4" s="1"/>
        <n x="104"/>
        <n x="81"/>
        <n x="59"/>
      </t>
    </mdx>
    <mdx n="0" f="v">
      <t c="8">
        <n x="1" s="1"/>
        <n x="2" s="1"/>
        <n x="5" s="1"/>
        <n x="3" s="1"/>
        <n x="4" s="1"/>
        <n x="104"/>
        <n x="81"/>
        <n x="16"/>
      </t>
    </mdx>
    <mdx n="0" f="v">
      <t c="8">
        <n x="1" s="1"/>
        <n x="2" s="1"/>
        <n x="5" s="1"/>
        <n x="3" s="1"/>
        <n x="4" s="1"/>
        <n x="104"/>
        <n x="90"/>
        <n x="115"/>
      </t>
    </mdx>
    <mdx n="0" f="v">
      <t c="8">
        <n x="1" s="1"/>
        <n x="2" s="1"/>
        <n x="5" s="1"/>
        <n x="3" s="1"/>
        <n x="4" s="1"/>
        <n x="104"/>
        <n x="90"/>
        <n x="127"/>
      </t>
    </mdx>
    <mdx n="0" f="v">
      <t c="8">
        <n x="1" s="1"/>
        <n x="2" s="1"/>
        <n x="5" s="1"/>
        <n x="3" s="1"/>
        <n x="4" s="1"/>
        <n x="104"/>
        <n x="9"/>
        <n x="13"/>
      </t>
    </mdx>
    <mdx n="0" f="v">
      <t c="8">
        <n x="1" s="1"/>
        <n x="2" s="1"/>
        <n x="5" s="1"/>
        <n x="3" s="1"/>
        <n x="4" s="1"/>
        <n x="104"/>
        <n x="9"/>
        <n x="103"/>
      </t>
    </mdx>
    <mdx n="0" f="v">
      <t c="8">
        <n x="1" s="1"/>
        <n x="2" s="1"/>
        <n x="5" s="1"/>
        <n x="3" s="1"/>
        <n x="4" s="1"/>
        <n x="104"/>
        <n x="9"/>
        <n x="95"/>
      </t>
    </mdx>
    <mdx n="0" f="v">
      <t c="8">
        <n x="1" s="1"/>
        <n x="2" s="1"/>
        <n x="5" s="1"/>
        <n x="3" s="1"/>
        <n x="4" s="1"/>
        <n x="104"/>
        <n x="24"/>
        <n x="59"/>
      </t>
    </mdx>
    <mdx n="0" f="v">
      <t c="8">
        <n x="1" s="1"/>
        <n x="2" s="1"/>
        <n x="5" s="1"/>
        <n x="3" s="1"/>
        <n x="4" s="1"/>
        <n x="104"/>
        <n x="24"/>
        <n x="148"/>
      </t>
    </mdx>
    <mdx n="0" f="v">
      <t c="8">
        <n x="1" s="1"/>
        <n x="2" s="1"/>
        <n x="5" s="1"/>
        <n x="3" s="1"/>
        <n x="4" s="1"/>
        <n x="104"/>
        <n x="31"/>
        <n x="13"/>
      </t>
    </mdx>
    <mdx n="0" f="v">
      <t c="8">
        <n x="1" s="1"/>
        <n x="2" s="1"/>
        <n x="5" s="1"/>
        <n x="3" s="1"/>
        <n x="4" s="1"/>
        <n x="104"/>
        <n x="31"/>
        <n x="58"/>
      </t>
    </mdx>
    <mdx n="0" f="v">
      <t c="8">
        <n x="1" s="1"/>
        <n x="2" s="1"/>
        <n x="5" s="1"/>
        <n x="3" s="1"/>
        <n x="4" s="1"/>
        <n x="104"/>
        <n x="31"/>
        <n x="69"/>
      </t>
    </mdx>
    <mdx n="0" f="v">
      <t c="8">
        <n x="1" s="1"/>
        <n x="2" s="1"/>
        <n x="5" s="1"/>
        <n x="3" s="1"/>
        <n x="4" s="1"/>
        <n x="104"/>
        <n x="99"/>
        <n x="109"/>
      </t>
    </mdx>
    <mdx n="0" f="v">
      <t c="8">
        <n x="1" s="1"/>
        <n x="2" s="1"/>
        <n x="5" s="1"/>
        <n x="3" s="1"/>
        <n x="4" s="1"/>
        <n x="104"/>
        <n x="99"/>
        <n x="127"/>
      </t>
    </mdx>
    <mdx n="0" f="v">
      <t c="8">
        <n x="1" s="1"/>
        <n x="2" s="1"/>
        <n x="5" s="1"/>
        <n x="3" s="1"/>
        <n x="4" s="1"/>
        <n x="104"/>
        <n x="112"/>
        <n x="63"/>
      </t>
    </mdx>
    <mdx n="0" f="v">
      <t c="8">
        <n x="1" s="1"/>
        <n x="2" s="1"/>
        <n x="5" s="1"/>
        <n x="3" s="1"/>
        <n x="4" s="1"/>
        <n x="104"/>
        <n x="112"/>
        <n x="14"/>
      </t>
    </mdx>
    <mdx n="0" f="v">
      <t c="8">
        <n x="1" s="1"/>
        <n x="2" s="1"/>
        <n x="5" s="1"/>
        <n x="3" s="1"/>
        <n x="4" s="1"/>
        <n x="104"/>
        <n x="112"/>
        <n x="155"/>
      </t>
    </mdx>
    <mdx n="0" f="v">
      <t c="8">
        <n x="1" s="1"/>
        <n x="2" s="1"/>
        <n x="5" s="1"/>
        <n x="3" s="1"/>
        <n x="4" s="1"/>
        <n x="104"/>
        <n x="106"/>
        <n x="107"/>
      </t>
    </mdx>
    <mdx n="0" f="v">
      <t c="8">
        <n x="1" s="1"/>
        <n x="2" s="1"/>
        <n x="5" s="1"/>
        <n x="3" s="1"/>
        <n x="4" s="1"/>
        <n x="104"/>
        <n x="106"/>
        <n x="44"/>
      </t>
    </mdx>
    <mdx n="0" f="v">
      <t c="8">
        <n x="1" s="1"/>
        <n x="2" s="1"/>
        <n x="5" s="1"/>
        <n x="3" s="1"/>
        <n x="4" s="1"/>
        <n x="104"/>
        <n x="125"/>
        <n x="164" s="1"/>
      </t>
    </mdx>
    <mdx n="0" f="v">
      <t c="8">
        <n x="1" s="1"/>
        <n x="2" s="1"/>
        <n x="5" s="1"/>
        <n x="3" s="1"/>
        <n x="4" s="1"/>
        <n x="104"/>
        <n x="125"/>
        <n x="154"/>
      </t>
    </mdx>
    <mdx n="0" f="v">
      <t c="8">
        <n x="1" s="1"/>
        <n x="2" s="1"/>
        <n x="5" s="1"/>
        <n x="3" s="1"/>
        <n x="4" s="1"/>
        <n x="104"/>
        <n x="125"/>
        <n x="87"/>
      </t>
    </mdx>
    <mdx n="0" f="v">
      <t c="8">
        <n x="1" s="1"/>
        <n x="2" s="1"/>
        <n x="5" s="1"/>
        <n x="3" s="1"/>
        <n x="4" s="1"/>
        <n x="104"/>
        <n x="123"/>
        <n x="28"/>
      </t>
    </mdx>
    <mdx n="0" f="v">
      <t c="8">
        <n x="1" s="1"/>
        <n x="2" s="1"/>
        <n x="5" s="1"/>
        <n x="3" s="1"/>
        <n x="4" s="1"/>
        <n x="104"/>
        <n x="123"/>
        <n x="76"/>
      </t>
    </mdx>
    <mdx n="0" f="v">
      <t c="8">
        <n x="1" s="1"/>
        <n x="2" s="1"/>
        <n x="5" s="1"/>
        <n x="3" s="1"/>
        <n x="4" s="1"/>
        <n x="104"/>
        <n x="123"/>
        <n x="45"/>
      </t>
    </mdx>
    <mdx n="0" f="v">
      <t c="8">
        <n x="1" s="1"/>
        <n x="2" s="1"/>
        <n x="5" s="1"/>
        <n x="3" s="1"/>
        <n x="4" s="1"/>
        <n x="104"/>
        <n x="39"/>
        <n x="43"/>
      </t>
    </mdx>
    <mdx n="0" f="v">
      <t c="8">
        <n x="1" s="1"/>
        <n x="2" s="1"/>
        <n x="5" s="1"/>
        <n x="3" s="1"/>
        <n x="4" s="1"/>
        <n x="104"/>
        <n x="39"/>
        <n x="141"/>
      </t>
    </mdx>
    <mdx n="0" f="v">
      <t c="8">
        <n x="1" s="1"/>
        <n x="2" s="1"/>
        <n x="5" s="1"/>
        <n x="3" s="1"/>
        <n x="4" s="1"/>
        <n x="104"/>
        <n x="139"/>
        <n x="75"/>
      </t>
    </mdx>
    <mdx n="0" f="v">
      <t c="8">
        <n x="1" s="1"/>
        <n x="2" s="1"/>
        <n x="5" s="1"/>
        <n x="3" s="1"/>
        <n x="4" s="1"/>
        <n x="104"/>
        <n x="139"/>
        <n x="29"/>
      </t>
    </mdx>
    <mdx n="0" f="v">
      <t c="8">
        <n x="1" s="1"/>
        <n x="2" s="1"/>
        <n x="5" s="1"/>
        <n x="3" s="1"/>
        <n x="4" s="1"/>
        <n x="104"/>
        <n x="139"/>
        <n x="49"/>
      </t>
    </mdx>
    <mdx n="0" f="v">
      <t c="8">
        <n x="1" s="1"/>
        <n x="2" s="1"/>
        <n x="5" s="1"/>
        <n x="3" s="1"/>
        <n x="4" s="1"/>
        <n x="104"/>
        <n x="144"/>
        <n x="108"/>
      </t>
    </mdx>
    <mdx n="0" f="v">
      <t c="8">
        <n x="1" s="1"/>
        <n x="2" s="1"/>
        <n x="5" s="1"/>
        <n x="3" s="1"/>
        <n x="4" s="1"/>
        <n x="104"/>
        <n x="144"/>
        <n x="116"/>
      </t>
    </mdx>
    <mdx n="0" f="v">
      <t c="8">
        <n x="1" s="1"/>
        <n x="2" s="1"/>
        <n x="5" s="1"/>
        <n x="3" s="1"/>
        <n x="4" s="1"/>
        <n x="104"/>
        <n x="96"/>
        <n x="164" s="1"/>
      </t>
    </mdx>
    <mdx n="0" f="v">
      <t c="8">
        <n x="1" s="1"/>
        <n x="2" s="1"/>
        <n x="5" s="1"/>
        <n x="3" s="1"/>
        <n x="4" s="1"/>
        <n x="104"/>
        <n x="96"/>
        <n x="59"/>
      </t>
    </mdx>
    <mdx n="0" f="v">
      <t c="8">
        <n x="1" s="1"/>
        <n x="2" s="1"/>
        <n x="5" s="1"/>
        <n x="3" s="1"/>
        <n x="4" s="1"/>
        <n x="104"/>
        <n x="96"/>
        <n x="141"/>
      </t>
    </mdx>
    <mdx n="0" f="v">
      <t c="8">
        <n x="1" s="1"/>
        <n x="2" s="1"/>
        <n x="5" s="1"/>
        <n x="3" s="1"/>
        <n x="4" s="1"/>
        <n x="104"/>
        <n x="151"/>
        <n x="62"/>
      </t>
    </mdx>
    <mdx n="0" f="v">
      <t c="8">
        <n x="1" s="1"/>
        <n x="2" s="1"/>
        <n x="5" s="1"/>
        <n x="3" s="1"/>
        <n x="4" s="1"/>
        <n x="104"/>
        <n x="151"/>
        <n x="154"/>
      </t>
    </mdx>
    <mdx n="0" f="v">
      <t c="8">
        <n x="1" s="1"/>
        <n x="2" s="1"/>
        <n x="5" s="1"/>
        <n x="3" s="1"/>
        <n x="4" s="1"/>
        <n x="104"/>
        <n x="151"/>
        <n x="141"/>
      </t>
    </mdx>
    <mdx n="0" f="v">
      <t c="8">
        <n x="1" s="1"/>
        <n x="2" s="1"/>
        <n x="5" s="1"/>
        <n x="3" s="1"/>
        <n x="4" s="1"/>
        <n x="104"/>
        <n x="157"/>
        <n x="63"/>
      </t>
    </mdx>
    <mdx n="0" f="v">
      <t c="8">
        <n x="1" s="1"/>
        <n x="2" s="1"/>
        <n x="5" s="1"/>
        <n x="3" s="1"/>
        <n x="4" s="1"/>
        <n x="104"/>
        <n x="157"/>
        <n x="48"/>
      </t>
    </mdx>
    <mdx n="0" f="v">
      <t c="8">
        <n x="1" s="1"/>
        <n x="2" s="1"/>
        <n x="5" s="1"/>
        <n x="3" s="1"/>
        <n x="4" s="1"/>
        <n x="104"/>
        <n x="157"/>
        <n x="141"/>
      </t>
    </mdx>
    <mdx n="0" f="v">
      <t c="8">
        <n x="1" s="1"/>
        <n x="2" s="1"/>
        <n x="5" s="1"/>
        <n x="3" s="1"/>
        <n x="4" s="1"/>
        <n x="104"/>
        <n x="159"/>
        <n x="56"/>
      </t>
    </mdx>
    <mdx n="0" f="v">
      <t c="8">
        <n x="1" s="1"/>
        <n x="2" s="1"/>
        <n x="5" s="1"/>
        <n x="3" s="1"/>
        <n x="4" s="1"/>
        <n x="104"/>
        <n x="159"/>
        <n x="147"/>
      </t>
    </mdx>
    <mdx n="0" f="v">
      <t c="8">
        <n x="1" s="1"/>
        <n x="2" s="1"/>
        <n x="5" s="1"/>
        <n x="3" s="1"/>
        <n x="4" s="1"/>
        <n x="104"/>
        <n x="159"/>
        <n x="119"/>
      </t>
    </mdx>
    <mdx n="0" f="v">
      <t c="8">
        <n x="1" s="1"/>
        <n x="2" s="1"/>
        <n x="5" s="1"/>
        <n x="3" s="1"/>
        <n x="4" s="1"/>
        <n x="104"/>
        <n x="159"/>
        <n x="86"/>
      </t>
    </mdx>
    <mdx n="0" f="v">
      <t c="8">
        <n x="1" s="1"/>
        <n x="2" s="1"/>
        <n x="5" s="1"/>
        <n x="3" s="1"/>
        <n x="4" s="1"/>
        <n x="104"/>
        <n x="57"/>
        <n x="109"/>
      </t>
    </mdx>
    <mdx n="0" f="v">
      <t c="8">
        <n x="1" s="1"/>
        <n x="2" s="1"/>
        <n x="5" s="1"/>
        <n x="3" s="1"/>
        <n x="4" s="1"/>
        <n x="104"/>
        <n x="57"/>
        <n x="103"/>
      </t>
    </mdx>
    <mdx n="0" f="v">
      <t c="8">
        <n x="1" s="1"/>
        <n x="2" s="1"/>
        <n x="5" s="1"/>
        <n x="3" s="1"/>
        <n x="4" s="1"/>
        <n x="104"/>
        <n x="57"/>
        <n x="69"/>
      </t>
    </mdx>
    <mdx n="0" f="v">
      <t c="8">
        <n x="1" s="1"/>
        <n x="2" s="1"/>
        <n x="5" s="1"/>
        <n x="3" s="1"/>
        <n x="4" s="1"/>
        <n x="104"/>
        <n x="10"/>
        <n x="115"/>
      </t>
    </mdx>
    <mdx n="0" f="v">
      <t c="8">
        <n x="1" s="1"/>
        <n x="2" s="1"/>
        <n x="5" s="1"/>
        <n x="3" s="1"/>
        <n x="4" s="1"/>
        <n x="104"/>
        <n x="10"/>
        <n x="76"/>
      </t>
    </mdx>
    <mdx n="0" f="v">
      <t c="8">
        <n x="1" s="1"/>
        <n x="2" s="1"/>
        <n x="5" s="1"/>
        <n x="3" s="1"/>
        <n x="4" s="1"/>
        <n x="104"/>
        <n x="10"/>
        <n x="49"/>
      </t>
    </mdx>
    <mdx n="0" f="v">
      <t c="8">
        <n x="1" s="1"/>
        <n x="2" s="1"/>
        <n x="5" s="1"/>
        <n x="3" s="1"/>
        <n x="4" s="1"/>
        <n x="104"/>
        <n x="25"/>
        <n x="28"/>
      </t>
    </mdx>
    <mdx n="0" f="v">
      <t c="8">
        <n x="1" s="1"/>
        <n x="2" s="1"/>
        <n x="5" s="1"/>
        <n x="3" s="1"/>
        <n x="4" s="1"/>
        <n x="104"/>
        <n x="25"/>
        <n x="29"/>
      </t>
    </mdx>
    <mdx n="0" f="v">
      <t c="8">
        <n x="1" s="1"/>
        <n x="2" s="1"/>
        <n x="5" s="1"/>
        <n x="3" s="1"/>
        <n x="4" s="1"/>
        <n x="104"/>
        <n x="25"/>
        <n x="16"/>
      </t>
    </mdx>
    <mdx n="0" f="v">
      <t c="8">
        <n x="1" s="1"/>
        <n x="2" s="1"/>
        <n x="5" s="1"/>
        <n x="3" s="1"/>
        <n x="4" s="1"/>
        <n x="104"/>
        <n x="18"/>
        <n x="84"/>
      </t>
    </mdx>
    <mdx n="0" f="v">
      <t c="8">
        <n x="1" s="1"/>
        <n x="2" s="1"/>
        <n x="5" s="1"/>
        <n x="3" s="1"/>
        <n x="4" s="1"/>
        <n x="104"/>
        <n x="18"/>
        <n x="160"/>
      </t>
    </mdx>
    <mdx n="0" f="v">
      <t c="8">
        <n x="1" s="1"/>
        <n x="2" s="1"/>
        <n x="5" s="1"/>
        <n x="3" s="1"/>
        <n x="4" s="1"/>
        <n x="104"/>
        <n x="18"/>
        <n x="148"/>
      </t>
    </mdx>
    <mdx n="0" f="v">
      <t c="8">
        <n x="1" s="1"/>
        <n x="2" s="1"/>
        <n x="5" s="1"/>
        <n x="3" s="1"/>
        <n x="4" s="1"/>
        <n x="104"/>
        <n x="68"/>
        <n x="62"/>
      </t>
    </mdx>
    <mdx n="0" f="v">
      <t c="8">
        <n x="1" s="1"/>
        <n x="2" s="1"/>
        <n x="5" s="1"/>
        <n x="3" s="1"/>
        <n x="4" s="1"/>
        <n x="104"/>
        <n x="36"/>
        <n x="93"/>
      </t>
    </mdx>
    <mdx n="0" f="v">
      <t c="8">
        <n x="1" s="1"/>
        <n x="2" s="1"/>
        <n x="5" s="1"/>
        <n x="3" s="1"/>
        <n x="4" s="1"/>
        <n x="104"/>
        <n x="158"/>
        <n x="164" s="1"/>
      </t>
    </mdx>
    <mdx n="0" f="v">
      <t c="8">
        <n x="1" s="1"/>
        <n x="2" s="1"/>
        <n x="5" s="1"/>
        <n x="3" s="1"/>
        <n x="4" s="1"/>
        <n x="104"/>
        <n x="8"/>
        <n x="85"/>
      </t>
    </mdx>
    <mdx n="0" f="v">
      <t c="8">
        <n x="1" s="1"/>
        <n x="2" s="1"/>
        <n x="5" s="1"/>
        <n x="3" s="1"/>
        <n x="4" s="1"/>
        <n x="104"/>
        <n x="64"/>
        <n x="154"/>
      </t>
    </mdx>
    <mdx n="0" f="v">
      <t c="8">
        <n x="1" s="1"/>
        <n x="2" s="1"/>
        <n x="5" s="1"/>
        <n x="3" s="1"/>
        <n x="4" s="1"/>
        <n x="104"/>
        <n x="150"/>
        <n x="164" s="1"/>
      </t>
    </mdx>
    <mdx n="0" f="v">
      <t c="8">
        <n x="1" s="1"/>
        <n x="2" s="1"/>
        <n x="5" s="1"/>
        <n x="3" s="1"/>
        <n x="4" s="1"/>
        <n x="104"/>
        <n x="150"/>
        <n x="94"/>
      </t>
    </mdx>
    <mdx n="0" f="v">
      <t c="8">
        <n x="1" s="1"/>
        <n x="2" s="1"/>
        <n x="5" s="1"/>
        <n x="3" s="1"/>
        <n x="4" s="1"/>
        <n x="104"/>
        <n x="38"/>
        <n x="93"/>
      </t>
    </mdx>
    <mdx n="0" f="v">
      <t c="8">
        <n x="1" s="1"/>
        <n x="2" s="1"/>
        <n x="5" s="1"/>
        <n x="3" s="1"/>
        <n x="4" s="1"/>
        <n x="104"/>
        <n x="38"/>
        <n x="141"/>
      </t>
    </mdx>
    <mdx n="0" f="v">
      <t c="8">
        <n x="1" s="1"/>
        <n x="2" s="1"/>
        <n x="5" s="1"/>
        <n x="3" s="1"/>
        <n x="4" s="1"/>
        <n x="104"/>
        <n x="46"/>
        <n x="115"/>
      </t>
    </mdx>
    <mdx n="0" f="v">
      <t c="8">
        <n x="1" s="1"/>
        <n x="2" s="1"/>
        <n x="5" s="1"/>
        <n x="3" s="1"/>
        <n x="4" s="1"/>
        <n x="104"/>
        <n x="46"/>
        <n x="33"/>
      </t>
    </mdx>
    <mdx n="0" f="v">
      <t c="8">
        <n x="1" s="1"/>
        <n x="2" s="1"/>
        <n x="5" s="1"/>
        <n x="3" s="1"/>
        <n x="4" s="1"/>
        <n x="104"/>
        <n x="50"/>
        <n x="109"/>
      </t>
    </mdx>
    <mdx n="0" f="v">
      <t c="8">
        <n x="1" s="1"/>
        <n x="2" s="1"/>
        <n x="5" s="1"/>
        <n x="3" s="1"/>
        <n x="4" s="1"/>
        <n x="104"/>
        <n x="50"/>
        <n x="141"/>
      </t>
    </mdx>
    <mdx n="0" f="v">
      <t c="8">
        <n x="1" s="1"/>
        <n x="2" s="1"/>
        <n x="5" s="1"/>
        <n x="3" s="1"/>
        <n x="4" s="1"/>
        <n x="104"/>
        <n x="61"/>
        <n x="13"/>
      </t>
    </mdx>
    <mdx n="0" f="v">
      <t c="8">
        <n x="1" s="1"/>
        <n x="2" s="1"/>
        <n x="5" s="1"/>
        <n x="3" s="1"/>
        <n x="4" s="1"/>
        <n x="104"/>
        <n x="61"/>
        <n x="44"/>
      </t>
    </mdx>
    <mdx n="0" f="v">
      <t c="8">
        <n x="1" s="1"/>
        <n x="2" s="1"/>
        <n x="5" s="1"/>
        <n x="3" s="1"/>
        <n x="4" s="1"/>
        <n x="104"/>
        <n x="67"/>
        <n x="63"/>
      </t>
    </mdx>
    <mdx n="0" f="v">
      <t c="8">
        <n x="1" s="1"/>
        <n x="2" s="1"/>
        <n x="5" s="1"/>
        <n x="3" s="1"/>
        <n x="4" s="1"/>
        <n x="104"/>
        <n x="67"/>
        <n x="76"/>
      </t>
    </mdx>
    <mdx n="0" f="v">
      <t c="8">
        <n x="1" s="1"/>
        <n x="2" s="1"/>
        <n x="5" s="1"/>
        <n x="3" s="1"/>
        <n x="4" s="1"/>
        <n x="104"/>
        <n x="67"/>
        <n x="95"/>
      </t>
    </mdx>
    <mdx n="0" f="v">
      <t c="8">
        <n x="1" s="1"/>
        <n x="2" s="1"/>
        <n x="5" s="1"/>
        <n x="3" s="1"/>
        <n x="4" s="1"/>
        <n x="104"/>
        <n x="72"/>
        <n x="14"/>
      </t>
    </mdx>
    <mdx n="0" f="v">
      <t c="8">
        <n x="1" s="1"/>
        <n x="2" s="1"/>
        <n x="5" s="1"/>
        <n x="3" s="1"/>
        <n x="4" s="1"/>
        <n x="104"/>
        <n x="72"/>
        <n x="69"/>
      </t>
    </mdx>
    <mdx n="0" f="v">
      <t c="8">
        <n x="1" s="1"/>
        <n x="2" s="1"/>
        <n x="5" s="1"/>
        <n x="3" s="1"/>
        <n x="4" s="1"/>
        <n x="104"/>
        <n x="81"/>
        <n x="154"/>
      </t>
    </mdx>
    <mdx n="0" f="v">
      <t c="8">
        <n x="1" s="1"/>
        <n x="2" s="1"/>
        <n x="5" s="1"/>
        <n x="3" s="1"/>
        <n x="4" s="1"/>
        <n x="104"/>
        <n x="81"/>
        <n x="155"/>
      </t>
    </mdx>
    <mdx n="0" f="v">
      <t c="8">
        <n x="1" s="1"/>
        <n x="2" s="1"/>
        <n x="5" s="1"/>
        <n x="3" s="1"/>
        <n x="4" s="1"/>
        <n x="104"/>
        <n x="90"/>
        <n x="43"/>
      </t>
    </mdx>
    <mdx n="0" f="v">
      <t c="8">
        <n x="1" s="1"/>
        <n x="2" s="1"/>
        <n x="5" s="1"/>
        <n x="3" s="1"/>
        <n x="4" s="1"/>
        <n x="104"/>
        <n x="90"/>
        <n x="148"/>
      </t>
    </mdx>
    <mdx n="0" f="v">
      <t c="8">
        <n x="1" s="1"/>
        <n x="2" s="1"/>
        <n x="5" s="1"/>
        <n x="3" s="1"/>
        <n x="4" s="1"/>
        <n x="104"/>
        <n x="9"/>
        <n x="28"/>
      </t>
    </mdx>
    <mdx n="0" f="v">
      <t c="8">
        <n x="1" s="1"/>
        <n x="2" s="1"/>
        <n x="5" s="1"/>
        <n x="3" s="1"/>
        <n x="4" s="1"/>
        <n x="104"/>
        <n x="9"/>
        <n x="44"/>
      </t>
    </mdx>
    <mdx n="0" f="v">
      <t c="8">
        <n x="1" s="1"/>
        <n x="2" s="1"/>
        <n x="5" s="1"/>
        <n x="3" s="1"/>
        <n x="4" s="1"/>
        <n x="104"/>
        <n x="24"/>
        <n x="164" s="1"/>
      </t>
    </mdx>
    <mdx n="0" f="v">
      <t c="8">
        <n x="1" s="1"/>
        <n x="2" s="1"/>
        <n x="5" s="1"/>
        <n x="3" s="1"/>
        <n x="4" s="1"/>
        <n x="104"/>
        <n x="24"/>
        <n x="154"/>
      </t>
    </mdx>
    <mdx n="0" f="v">
      <t c="8">
        <n x="1" s="1"/>
        <n x="2" s="1"/>
        <n x="5" s="1"/>
        <n x="3" s="1"/>
        <n x="4" s="1"/>
        <n x="104"/>
        <n x="24"/>
        <n x="16"/>
      </t>
    </mdx>
    <mdx n="0" f="v">
      <t c="8">
        <n x="1" s="1"/>
        <n x="2" s="1"/>
        <n x="5" s="1"/>
        <n x="3" s="1"/>
        <n x="4" s="1"/>
        <n x="104"/>
        <n x="31"/>
        <n x="28"/>
      </t>
    </mdx>
    <mdx n="0" f="v">
      <t c="8">
        <n x="1" s="1"/>
        <n x="2" s="1"/>
        <n x="5" s="1"/>
        <n x="3" s="1"/>
        <n x="4" s="1"/>
        <n x="104"/>
        <n x="31"/>
        <n x="85"/>
      </t>
    </mdx>
    <mdx n="0" f="v">
      <t c="8">
        <n x="1" s="1"/>
        <n x="2" s="1"/>
        <n x="5" s="1"/>
        <n x="3" s="1"/>
        <n x="4" s="1"/>
        <n x="104"/>
        <n x="31"/>
        <n x="45"/>
      </t>
    </mdx>
    <mdx n="0" f="v">
      <t c="8">
        <n x="1" s="1"/>
        <n x="2" s="1"/>
        <n x="5" s="1"/>
        <n x="3" s="1"/>
        <n x="4" s="1"/>
        <n x="104"/>
        <n x="99"/>
        <n x="43"/>
      </t>
    </mdx>
    <mdx n="0" f="v">
      <t c="8">
        <n x="1" s="1"/>
        <n x="2" s="1"/>
        <n x="5" s="1"/>
        <n x="3" s="1"/>
        <n x="4" s="1"/>
        <n x="104"/>
        <n x="99"/>
        <n x="141"/>
      </t>
    </mdx>
    <mdx n="0" f="v">
      <t c="8">
        <n x="1" s="1"/>
        <n x="2" s="1"/>
        <n x="5" s="1"/>
        <n x="3" s="1"/>
        <n x="4" s="1"/>
        <n x="104"/>
        <n x="112"/>
        <n x="75"/>
      </t>
    </mdx>
    <mdx n="0" f="v">
      <t c="8">
        <n x="1" s="1"/>
        <n x="2" s="1"/>
        <n x="5" s="1"/>
        <n x="3" s="1"/>
        <n x="4" s="1"/>
        <n x="104"/>
        <n x="112"/>
        <n x="29"/>
      </t>
    </mdx>
    <mdx n="0" f="v">
      <t c="8">
        <n x="1" s="1"/>
        <n x="2" s="1"/>
        <n x="5" s="1"/>
        <n x="3" s="1"/>
        <n x="4" s="1"/>
        <n x="104"/>
        <n x="112"/>
        <n x="49"/>
      </t>
    </mdx>
    <mdx n="0" f="v">
      <t c="8">
        <n x="1" s="1"/>
        <n x="2" s="1"/>
        <n x="5" s="1"/>
        <n x="3" s="1"/>
        <n x="4" s="1"/>
        <n x="104"/>
        <n x="106"/>
        <n x="108"/>
      </t>
    </mdx>
    <mdx n="0" f="v">
      <t c="8">
        <n x="1" s="1"/>
        <n x="2" s="1"/>
        <n x="5" s="1"/>
        <n x="3" s="1"/>
        <n x="4" s="1"/>
        <n x="104"/>
        <n x="106"/>
        <n x="116"/>
      </t>
    </mdx>
    <mdx n="0" f="v">
      <t c="8">
        <n x="1" s="1"/>
        <n x="2" s="1"/>
        <n x="5" s="1"/>
        <n x="3" s="1"/>
        <n x="4" s="1"/>
        <n x="104"/>
        <n x="125"/>
        <n x="56"/>
      </t>
    </mdx>
    <mdx n="0" f="v">
      <t c="8">
        <n x="1" s="1"/>
        <n x="2" s="1"/>
        <n x="5" s="1"/>
        <n x="3" s="1"/>
        <n x="4" s="1"/>
        <n x="104"/>
        <n x="125"/>
        <n x="48"/>
      </t>
    </mdx>
    <mdx n="0" f="v">
      <t c="8">
        <n x="1" s="1"/>
        <n x="2" s="1"/>
        <n x="5" s="1"/>
        <n x="3" s="1"/>
        <n x="4" s="1"/>
        <n x="104"/>
        <n x="125"/>
        <n x="33"/>
      </t>
    </mdx>
    <mdx n="0" f="v">
      <t c="8">
        <n x="1" s="1"/>
        <n x="2" s="1"/>
        <n x="5" s="1"/>
        <n x="3" s="1"/>
        <n x="4" s="1"/>
        <n x="104"/>
        <n x="123"/>
        <n x="19"/>
      </t>
    </mdx>
    <mdx n="0" f="v">
      <t c="8">
        <n x="1" s="1"/>
        <n x="2" s="1"/>
        <n x="5" s="1"/>
        <n x="3" s="1"/>
        <n x="4" s="1"/>
        <n x="104"/>
        <n x="123"/>
        <n x="94"/>
      </t>
    </mdx>
    <mdx n="0" f="v">
      <t c="8">
        <n x="1" s="1"/>
        <n x="2" s="1"/>
        <n x="5" s="1"/>
        <n x="3" s="1"/>
        <n x="4" s="1"/>
        <n x="104"/>
        <n x="123"/>
        <n x="77"/>
      </t>
    </mdx>
    <mdx n="0" f="v">
      <t c="8">
        <n x="1" s="1"/>
        <n x="2" s="1"/>
        <n x="5" s="1"/>
        <n x="3" s="1"/>
        <n x="4" s="1"/>
        <n x="104"/>
        <n x="39"/>
        <n x="128"/>
      </t>
    </mdx>
    <mdx n="0" f="v">
      <t c="8">
        <n x="1" s="1"/>
        <n x="2" s="1"/>
        <n x="5" s="1"/>
        <n x="3" s="1"/>
        <n x="4" s="1"/>
        <n x="104"/>
        <n x="39"/>
        <n x="148"/>
      </t>
    </mdx>
    <mdx n="0" f="v">
      <t c="8">
        <n x="1" s="1"/>
        <n x="2" s="1"/>
        <n x="5" s="1"/>
        <n x="3" s="1"/>
        <n x="4" s="1"/>
        <n x="104"/>
        <n x="139"/>
        <n x="84"/>
      </t>
    </mdx>
    <mdx n="0" f="v">
      <t c="8">
        <n x="1" s="1"/>
        <n x="2" s="1"/>
        <n x="5" s="1"/>
        <n x="3" s="1"/>
        <n x="4" s="1"/>
        <n x="104"/>
        <n x="139"/>
        <n x="20"/>
      </t>
    </mdx>
    <mdx n="0" f="v">
      <t c="8">
        <n x="1" s="1"/>
        <n x="2" s="1"/>
        <n x="5" s="1"/>
        <n x="3" s="1"/>
        <n x="4" s="1"/>
        <n x="104"/>
        <n x="139"/>
        <n x="52"/>
      </t>
    </mdx>
    <mdx n="0" f="v">
      <t c="8">
        <n x="1" s="1"/>
        <n x="2" s="1"/>
        <n x="5" s="1"/>
        <n x="3" s="1"/>
        <n x="4" s="1"/>
        <n x="104"/>
        <n x="144"/>
        <n x="109"/>
      </t>
    </mdx>
    <mdx n="0" f="v">
      <t c="8">
        <n x="1" s="1"/>
        <n x="2" s="1"/>
        <n x="5" s="1"/>
        <n x="3" s="1"/>
        <n x="4" s="1"/>
        <n x="104"/>
        <n x="144"/>
        <n x="119"/>
      </t>
    </mdx>
    <mdx n="0" f="v">
      <t c="8">
        <n x="1" s="1"/>
        <n x="2" s="1"/>
        <n x="5" s="1"/>
        <n x="3" s="1"/>
        <n x="4" s="1"/>
        <n x="104"/>
        <n x="96"/>
        <n x="56"/>
      </t>
    </mdx>
    <mdx n="0" f="v">
      <t c="8">
        <n x="1" s="1"/>
        <n x="2" s="1"/>
        <n x="5" s="1"/>
        <n x="3" s="1"/>
        <n x="4" s="1"/>
        <n x="104"/>
        <n x="96"/>
        <n x="154"/>
      </t>
    </mdx>
    <mdx n="0" f="v">
      <t c="8">
        <n x="1" s="1"/>
        <n x="2" s="1"/>
        <n x="5" s="1"/>
        <n x="3" s="1"/>
        <n x="4" s="1"/>
        <n x="104"/>
        <n x="96"/>
        <n x="148"/>
      </t>
    </mdx>
    <mdx n="0" f="v">
      <t c="8">
        <n x="1" s="1"/>
        <n x="2" s="1"/>
        <n x="5" s="1"/>
        <n x="3" s="1"/>
        <n x="4" s="1"/>
        <n x="104"/>
        <n x="151"/>
        <n x="63"/>
      </t>
    </mdx>
    <mdx n="0" f="v">
      <t c="8">
        <n x="1" s="1"/>
        <n x="2" s="1"/>
        <n x="5" s="1"/>
        <n x="3" s="1"/>
        <n x="4" s="1"/>
        <n x="104"/>
        <n x="151"/>
        <n x="48"/>
      </t>
    </mdx>
    <mdx n="0" f="v">
      <t c="8">
        <n x="1" s="1"/>
        <n x="2" s="1"/>
        <n x="5" s="1"/>
        <n x="3" s="1"/>
        <n x="4" s="1"/>
        <n x="104"/>
        <n x="151"/>
        <n x="87"/>
      </t>
    </mdx>
    <mdx n="0" f="v">
      <t c="8">
        <n x="1" s="1"/>
        <n x="2" s="1"/>
        <n x="5" s="1"/>
        <n x="3" s="1"/>
        <n x="4" s="1"/>
        <n x="104"/>
        <n x="157"/>
        <n x="75"/>
      </t>
    </mdx>
    <mdx n="0" f="v">
      <t c="8">
        <n x="1" s="1"/>
        <n x="2" s="1"/>
        <n x="5" s="1"/>
        <n x="3" s="1"/>
        <n x="4" s="1"/>
        <n x="104"/>
        <n x="157"/>
        <n x="160"/>
      </t>
    </mdx>
    <mdx n="0" f="v">
      <t c="8">
        <n x="1" s="1"/>
        <n x="2" s="1"/>
        <n x="5" s="1"/>
        <n x="3" s="1"/>
        <n x="4" s="1"/>
        <n x="104"/>
        <n x="157"/>
        <n x="148"/>
      </t>
    </mdx>
    <mdx n="0" f="v">
      <t c="8">
        <n x="1" s="1"/>
        <n x="2" s="1"/>
        <n x="5" s="1"/>
        <n x="3" s="1"/>
        <n x="4" s="1"/>
        <n x="104"/>
        <n x="159"/>
        <n x="62"/>
      </t>
    </mdx>
    <mdx n="0" f="v">
      <t c="8">
        <n x="1" s="1"/>
        <n x="2" s="1"/>
        <n x="5" s="1"/>
        <n x="3" s="1"/>
        <n x="4" s="1"/>
        <n x="104"/>
        <n x="159"/>
        <n x="59"/>
      </t>
    </mdx>
    <mdx n="0" f="v">
      <t c="8">
        <n x="1" s="1"/>
        <n x="2" s="1"/>
        <n x="5" s="1"/>
        <n x="3" s="1"/>
        <n x="4" s="1"/>
        <n x="104"/>
        <n x="159"/>
        <n x="122"/>
      </t>
    </mdx>
    <mdx n="0" f="v">
      <t c="8">
        <n x="1" s="1"/>
        <n x="2" s="1"/>
        <n x="5" s="1"/>
        <n x="3" s="1"/>
        <n x="4" s="1"/>
        <n x="104"/>
        <n x="159"/>
        <n x="95"/>
      </t>
    </mdx>
    <mdx n="0" f="v">
      <t c="8">
        <n x="1" s="1"/>
        <n x="2" s="1"/>
        <n x="5" s="1"/>
        <n x="3" s="1"/>
        <n x="4" s="1"/>
        <n x="104"/>
        <n x="57"/>
        <n x="43"/>
      </t>
    </mdx>
    <mdx n="0" f="v">
      <t c="8">
        <n x="1" s="1"/>
        <n x="2" s="1"/>
        <n x="5" s="1"/>
        <n x="3" s="1"/>
        <n x="4" s="1"/>
        <n x="104"/>
        <n x="57"/>
        <n x="44"/>
      </t>
    </mdx>
    <mdx n="0" f="v">
      <t c="8">
        <n x="1" s="1"/>
        <n x="2" s="1"/>
        <n x="5" s="1"/>
        <n x="3" s="1"/>
        <n x="4" s="1"/>
        <n x="104"/>
        <n x="57"/>
        <n x="45"/>
      </t>
    </mdx>
    <mdx n="0" f="v">
      <t c="8">
        <n x="1" s="1"/>
        <n x="2" s="1"/>
        <n x="5" s="1"/>
        <n x="3" s="1"/>
        <n x="4" s="1"/>
        <n x="104"/>
        <n x="10"/>
        <n x="107"/>
      </t>
    </mdx>
    <mdx n="0" f="v">
      <t c="8">
        <n x="1" s="1"/>
        <n x="2" s="1"/>
        <n x="5" s="1"/>
        <n x="3" s="1"/>
        <n x="4" s="1"/>
        <n x="104"/>
        <n x="10"/>
        <n x="85"/>
      </t>
    </mdx>
    <mdx n="0" f="v">
      <t c="8">
        <n x="1" s="1"/>
        <n x="2" s="1"/>
        <n x="5" s="1"/>
        <n x="3" s="1"/>
        <n x="4" s="1"/>
        <n x="104"/>
        <n x="10"/>
        <n x="52"/>
      </t>
    </mdx>
    <mdx n="0" f="v">
      <t c="8">
        <n x="1" s="1"/>
        <n x="2" s="1"/>
        <n x="5" s="1"/>
        <n x="3" s="1"/>
        <n x="4" s="1"/>
        <n x="104"/>
        <n x="25"/>
        <n x="19"/>
      </t>
    </mdx>
    <mdx n="0" f="v">
      <t c="8">
        <n x="1" s="1"/>
        <n x="2" s="1"/>
        <n x="5" s="1"/>
        <n x="3" s="1"/>
        <n x="4" s="1"/>
        <n x="104"/>
        <n x="25"/>
        <n x="20"/>
      </t>
    </mdx>
    <mdx n="0" f="v">
      <t c="8">
        <n x="1" s="1"/>
        <n x="2" s="1"/>
        <n x="5" s="1"/>
        <n x="3" s="1"/>
        <n x="4" s="1"/>
        <n x="104"/>
        <n x="25"/>
        <n x="33"/>
      </t>
    </mdx>
    <mdx n="0" f="v">
      <t c="8">
        <n x="1" s="1"/>
        <n x="2" s="1"/>
        <n x="5" s="1"/>
        <n x="3" s="1"/>
        <n x="4" s="1"/>
        <n x="104"/>
        <n x="18"/>
        <n x="93"/>
      </t>
    </mdx>
    <mdx n="0" f="v">
      <t c="8">
        <n x="1" s="1"/>
        <n x="2" s="1"/>
        <n x="5" s="1"/>
        <n x="3" s="1"/>
        <n x="4" s="1"/>
        <n x="104"/>
        <n x="18"/>
        <n x="162"/>
      </t>
    </mdx>
    <mdx n="0" f="v">
      <t c="8">
        <n x="1" s="1"/>
        <n x="2" s="1"/>
        <n x="5" s="1"/>
        <n x="3" s="1"/>
        <n x="4" s="1"/>
        <n x="104"/>
        <n x="18"/>
        <n x="87"/>
      </t>
    </mdx>
    <mdx n="0" f="v">
      <t c="8">
        <n x="1" s="1"/>
        <n x="2" s="1"/>
        <n x="5" s="1"/>
        <n x="3" s="1"/>
        <n x="4" s="1"/>
        <n x="104"/>
        <n x="68"/>
        <n x="63"/>
      </t>
    </mdx>
    <mdx n="0" f="v">
      <t c="8">
        <n x="1" s="1"/>
        <n x="2" s="1"/>
        <n x="5" s="1"/>
        <n x="3" s="1"/>
        <n x="4" s="1"/>
        <n x="104"/>
        <n x="68"/>
        <n x="154"/>
      </t>
    </mdx>
    <mdx n="0" f="v">
      <t c="8">
        <n x="1" s="1"/>
        <n x="2" s="1"/>
        <n x="5" s="1"/>
        <n x="3" s="1"/>
        <n x="4" s="1"/>
        <n x="104"/>
        <n x="68"/>
        <n x="127"/>
      </t>
    </mdx>
    <mdx n="0" f="v">
      <t c="8">
        <n x="1" s="1"/>
        <n x="2" s="1"/>
        <n x="5" s="1"/>
        <n x="3" s="1"/>
        <n x="4" s="1"/>
        <n x="104"/>
        <n x="110"/>
        <n x="56"/>
      </t>
    </mdx>
    <mdx n="0" f="v">
      <t c="8">
        <n x="1" s="1"/>
        <n x="2" s="1"/>
        <n x="5" s="1"/>
        <n x="3" s="1"/>
        <n x="4" s="1"/>
        <n x="104"/>
        <n x="158"/>
        <n x="49"/>
      </t>
    </mdx>
    <mdx n="0" f="v">
      <t c="8">
        <n x="1" s="1"/>
        <n x="2" s="1"/>
        <n x="5" s="1"/>
        <n x="3" s="1"/>
        <n x="4" s="1"/>
        <n x="104"/>
        <n x="23"/>
        <n x="115"/>
      </t>
    </mdx>
    <mdx n="0" f="v">
      <t c="8">
        <n x="1" s="1"/>
        <n x="2" s="1"/>
        <n x="5" s="1"/>
        <n x="3" s="1"/>
        <n x="4" s="1"/>
        <n x="104"/>
        <n x="64"/>
        <n x="48"/>
      </t>
    </mdx>
    <mdx n="0" f="v">
      <t c="8">
        <n x="1" s="1"/>
        <n x="2" s="1"/>
        <n x="5" s="1"/>
        <n x="3" s="1"/>
        <n x="4" s="1"/>
        <n x="104"/>
        <n x="150"/>
        <n x="56"/>
      </t>
    </mdx>
    <mdx n="0" f="v">
      <t c="8">
        <n x="1" s="1"/>
        <n x="2" s="1"/>
        <n x="5" s="1"/>
        <n x="3" s="1"/>
        <n x="4" s="1"/>
        <n x="104"/>
        <n x="150"/>
        <n x="44"/>
      </t>
    </mdx>
    <mdx n="0" f="v">
      <t c="8">
        <n x="1" s="1"/>
        <n x="2" s="1"/>
        <n x="5" s="1"/>
        <n x="3" s="1"/>
        <n x="4" s="1"/>
        <n x="104"/>
        <n x="38"/>
        <n x="13"/>
      </t>
    </mdx>
    <mdx n="0" f="v">
      <t c="8">
        <n x="1" s="1"/>
        <n x="2" s="1"/>
        <n x="5" s="1"/>
        <n x="3" s="1"/>
        <n x="4" s="1"/>
        <n x="104"/>
        <n x="38"/>
        <n x="148"/>
      </t>
    </mdx>
    <mdx n="0" f="v">
      <t c="8">
        <n x="1" s="1"/>
        <n x="2" s="1"/>
        <n x="5" s="1"/>
        <n x="3" s="1"/>
        <n x="4" s="1"/>
        <n x="104"/>
        <n x="46"/>
        <n x="107"/>
      </t>
    </mdx>
    <mdx n="0" f="v">
      <t c="8">
        <n x="1" s="1"/>
        <n x="2" s="1"/>
        <n x="5" s="1"/>
        <n x="3" s="1"/>
        <n x="4" s="1"/>
        <n x="104"/>
        <n x="46"/>
        <n x="155"/>
      </t>
    </mdx>
    <mdx n="0" f="v">
      <t c="8">
        <n x="1" s="1"/>
        <n x="2" s="1"/>
        <n x="5" s="1"/>
        <n x="3" s="1"/>
        <n x="4" s="1"/>
        <n x="104"/>
        <n x="50"/>
        <n x="43"/>
      </t>
    </mdx>
    <mdx n="0" f="v">
      <t c="8">
        <n x="1" s="1"/>
        <n x="2" s="1"/>
        <n x="5" s="1"/>
        <n x="3" s="1"/>
        <n x="4" s="1"/>
        <n x="104"/>
        <n x="50"/>
        <n x="87"/>
      </t>
    </mdx>
    <mdx n="0" f="v">
      <t c="8">
        <n x="1" s="1"/>
        <n x="2" s="1"/>
        <n x="5" s="1"/>
        <n x="3" s="1"/>
        <n x="4" s="1"/>
        <n x="104"/>
        <n x="61"/>
        <n x="115"/>
      </t>
    </mdx>
    <mdx n="0" f="v">
      <t c="8">
        <n x="1" s="1"/>
        <n x="2" s="1"/>
        <n x="5" s="1"/>
        <n x="3" s="1"/>
        <n x="4" s="1"/>
        <n x="104"/>
        <n x="61"/>
        <n x="119"/>
      </t>
    </mdx>
    <mdx n="0" f="v">
      <t c="8">
        <n x="1" s="1"/>
        <n x="2" s="1"/>
        <n x="5" s="1"/>
        <n x="3" s="1"/>
        <n x="4" s="1"/>
        <n x="104"/>
        <n x="67"/>
        <n x="75"/>
      </t>
    </mdx>
    <mdx n="0" f="v">
      <t c="8">
        <n x="1" s="1"/>
        <n x="2" s="1"/>
        <n x="5" s="1"/>
        <n x="3" s="1"/>
        <n x="4" s="1"/>
        <n x="104"/>
        <n x="67"/>
        <n x="85"/>
      </t>
    </mdx>
    <mdx n="0" f="v">
      <t c="8">
        <n x="1" s="1"/>
        <n x="2" s="1"/>
        <n x="5" s="1"/>
        <n x="3" s="1"/>
        <n x="4" s="1"/>
        <n x="104"/>
        <n x="72"/>
        <n x="164" s="1"/>
      </t>
    </mdx>
    <mdx n="0" f="v">
      <t c="8">
        <n x="1" s="1"/>
        <n x="2" s="1"/>
        <n x="5" s="1"/>
        <n x="3" s="1"/>
        <n x="4" s="1"/>
        <n x="104"/>
        <n x="72"/>
        <n x="29"/>
      </t>
    </mdx>
    <mdx n="0" f="v">
      <t c="8">
        <n x="1" s="1"/>
        <n x="2" s="1"/>
        <n x="5" s="1"/>
        <n x="3" s="1"/>
        <n x="4" s="1"/>
        <n x="104"/>
        <n x="72"/>
        <n x="45"/>
      </t>
    </mdx>
    <mdx n="0" f="v">
      <t c="8">
        <n x="1" s="1"/>
        <n x="2" s="1"/>
        <n x="5" s="1"/>
        <n x="3" s="1"/>
        <n x="4" s="1"/>
        <n x="104"/>
        <n x="81"/>
        <n x="48"/>
      </t>
    </mdx>
    <mdx n="0" f="v">
      <t c="8">
        <n x="1" s="1"/>
        <n x="2" s="1"/>
        <n x="5" s="1"/>
        <n x="3" s="1"/>
        <n x="4" s="1"/>
        <n x="104"/>
        <n x="81"/>
        <n x="49"/>
      </t>
    </mdx>
    <mdx n="0" f="v">
      <t c="8">
        <n x="1" s="1"/>
        <n x="2" s="1"/>
        <n x="5" s="1"/>
        <n x="3" s="1"/>
        <n x="4" s="1"/>
        <n x="104"/>
        <n x="90"/>
        <n x="128"/>
      </t>
    </mdx>
    <mdx n="0" f="v">
      <t c="8">
        <n x="1" s="1"/>
        <n x="2" s="1"/>
        <n x="5" s="1"/>
        <n x="3" s="1"/>
        <n x="4" s="1"/>
        <n x="104"/>
        <n x="90"/>
        <n x="15"/>
      </t>
    </mdx>
    <mdx n="0" f="v">
      <t c="8">
        <n x="1" s="1"/>
        <n x="2" s="1"/>
        <n x="5" s="1"/>
        <n x="3" s="1"/>
        <n x="4" s="1"/>
        <n x="104"/>
        <n x="9"/>
        <n x="107"/>
      </t>
    </mdx>
    <mdx n="0" f="v">
      <t c="8">
        <n x="1" s="1"/>
        <n x="2" s="1"/>
        <n x="5" s="1"/>
        <n x="3" s="1"/>
        <n x="4" s="1"/>
        <n x="104"/>
        <n x="9"/>
        <n x="116"/>
      </t>
    </mdx>
    <mdx n="0" f="v">
      <t c="8">
        <n x="1" s="1"/>
        <n x="2" s="1"/>
        <n x="5" s="1"/>
        <n x="3" s="1"/>
        <n x="4" s="1"/>
        <n x="104"/>
        <n x="24"/>
        <n x="56"/>
      </t>
    </mdx>
    <mdx n="0" f="v">
      <t c="8">
        <n x="1" s="1"/>
        <n x="2" s="1"/>
        <n x="5" s="1"/>
        <n x="3" s="1"/>
        <n x="4" s="1"/>
        <n x="104"/>
        <n x="24"/>
        <n x="48"/>
      </t>
    </mdx>
    <mdx n="0" f="v">
      <t c="8">
        <n x="1" s="1"/>
        <n x="2" s="1"/>
        <n x="5" s="1"/>
        <n x="3" s="1"/>
        <n x="4" s="1"/>
        <n x="104"/>
        <n x="24"/>
        <n x="33"/>
      </t>
    </mdx>
    <mdx n="0" f="v">
      <t c="8">
        <n x="1" s="1"/>
        <n x="2" s="1"/>
        <n x="5" s="1"/>
        <n x="3" s="1"/>
        <n x="4" s="1"/>
        <n x="104"/>
        <n x="31"/>
        <n x="19"/>
      </t>
    </mdx>
    <mdx n="0" f="v">
      <t c="8">
        <n x="1" s="1"/>
        <n x="2" s="1"/>
        <n x="5" s="1"/>
        <n x="3" s="1"/>
        <n x="4" s="1"/>
        <n x="104"/>
        <n x="31"/>
        <n x="94"/>
      </t>
    </mdx>
    <mdx n="0" f="v">
      <t c="8">
        <n x="1" s="1"/>
        <n x="2" s="1"/>
        <n x="5" s="1"/>
        <n x="3" s="1"/>
        <n x="4" s="1"/>
        <n x="104"/>
        <n x="31"/>
        <n x="77"/>
      </t>
    </mdx>
    <mdx n="0" f="v">
      <t c="8">
        <n x="1" s="1"/>
        <n x="2" s="1"/>
        <n x="5" s="1"/>
        <n x="3" s="1"/>
        <n x="4" s="1"/>
        <n x="104"/>
        <n x="99"/>
        <n x="59"/>
      </t>
    </mdx>
    <mdx n="0" f="v">
      <t c="8">
        <n x="1" s="1"/>
        <n x="2" s="1"/>
        <n x="5" s="1"/>
        <n x="3" s="1"/>
        <n x="4" s="1"/>
        <n x="104"/>
        <n x="99"/>
        <n x="148"/>
      </t>
    </mdx>
    <mdx n="0" f="v">
      <t c="8">
        <n x="1" s="1"/>
        <n x="2" s="1"/>
        <n x="5" s="1"/>
        <n x="3" s="1"/>
        <n x="4" s="1"/>
        <n x="104"/>
        <n x="112"/>
        <n x="93"/>
      </t>
    </mdx>
    <mdx n="0" f="v">
      <t c="8">
        <n x="1" s="1"/>
        <n x="2" s="1"/>
        <n x="5" s="1"/>
        <n x="3" s="1"/>
        <n x="4" s="1"/>
        <n x="104"/>
        <n x="112"/>
        <n x="20"/>
      </t>
    </mdx>
    <mdx n="0" f="v">
      <t c="8">
        <n x="1" s="1"/>
        <n x="2" s="1"/>
        <n x="5" s="1"/>
        <n x="3" s="1"/>
        <n x="4" s="1"/>
        <n x="104"/>
        <n x="112"/>
        <n x="52"/>
      </t>
    </mdx>
    <mdx n="0" f="v">
      <t c="8">
        <n x="1" s="1"/>
        <n x="2" s="1"/>
        <n x="5" s="1"/>
        <n x="3" s="1"/>
        <n x="4" s="1"/>
        <n x="104"/>
        <n x="106"/>
        <n x="109"/>
      </t>
    </mdx>
    <mdx n="0" f="v">
      <t c="8">
        <n x="1" s="1"/>
        <n x="2" s="1"/>
        <n x="5" s="1"/>
        <n x="3" s="1"/>
        <n x="4" s="1"/>
        <n x="104"/>
        <n x="106"/>
        <n x="119"/>
      </t>
    </mdx>
    <mdx n="0" f="v">
      <t c="8">
        <n x="1" s="1"/>
        <n x="2" s="1"/>
        <n x="5" s="1"/>
        <n x="3" s="1"/>
        <n x="4" s="1"/>
        <n x="104"/>
        <n x="125"/>
        <n x="62"/>
      </t>
    </mdx>
    <mdx n="0" f="v">
      <t c="8">
        <n x="1" s="1"/>
        <n x="2" s="1"/>
        <n x="5" s="1"/>
        <n x="3" s="1"/>
        <n x="4" s="1"/>
        <n x="104"/>
        <n x="125"/>
        <n x="160"/>
      </t>
    </mdx>
    <mdx n="0" f="v">
      <t c="8">
        <n x="1" s="1"/>
        <n x="2" s="1"/>
        <n x="5" s="1"/>
        <n x="3" s="1"/>
        <n x="4" s="1"/>
        <n x="104"/>
        <n x="125"/>
        <n x="155"/>
      </t>
    </mdx>
    <mdx n="0" f="v">
      <t c="8">
        <n x="1" s="1"/>
        <n x="2" s="1"/>
        <n x="5" s="1"/>
        <n x="3" s="1"/>
        <n x="4" s="1"/>
        <n x="104"/>
        <n x="123"/>
        <n x="102"/>
      </t>
    </mdx>
    <mdx n="0" f="v">
      <t c="8">
        <n x="1" s="1"/>
        <n x="2" s="1"/>
        <n x="5" s="1"/>
        <n x="3" s="1"/>
        <n x="4" s="1"/>
        <n x="104"/>
        <n x="123"/>
        <n x="103"/>
      </t>
    </mdx>
    <mdx n="0" f="v">
      <t c="8">
        <n x="1" s="1"/>
        <n x="2" s="1"/>
        <n x="5" s="1"/>
        <n x="3" s="1"/>
        <n x="4" s="1"/>
        <n x="104"/>
        <n x="123"/>
        <n x="86"/>
      </t>
    </mdx>
    <mdx n="0" f="v">
      <t c="8">
        <n x="1" s="1"/>
        <n x="2" s="1"/>
        <n x="5" s="1"/>
        <n x="3" s="1"/>
        <n x="4" s="1"/>
        <n x="104"/>
        <n x="39"/>
        <n x="154"/>
      </t>
    </mdx>
    <mdx n="0" f="v">
      <t c="8">
        <n x="1" s="1"/>
        <n x="2" s="1"/>
        <n x="5" s="1"/>
        <n x="3" s="1"/>
        <n x="4" s="1"/>
        <n x="104"/>
        <n x="39"/>
        <n x="87"/>
      </t>
    </mdx>
    <mdx n="0" f="v">
      <t c="8">
        <n x="1" s="1"/>
        <n x="2" s="1"/>
        <n x="5" s="1"/>
        <n x="3" s="1"/>
        <n x="4" s="1"/>
        <n x="104"/>
        <n x="139"/>
        <n x="13"/>
      </t>
    </mdx>
    <mdx n="0" f="v">
      <t c="8">
        <n x="1" s="1"/>
        <n x="2" s="1"/>
        <n x="5" s="1"/>
        <n x="3" s="1"/>
        <n x="4" s="1"/>
        <n x="104"/>
        <n x="139"/>
        <n x="58"/>
      </t>
    </mdx>
    <mdx n="0" f="v">
      <t c="8">
        <n x="1" s="1"/>
        <n x="2" s="1"/>
        <n x="5" s="1"/>
        <n x="3" s="1"/>
        <n x="4" s="1"/>
        <n x="104"/>
        <n x="139"/>
        <n x="54"/>
      </t>
    </mdx>
    <mdx n="0" f="v">
      <t c="8">
        <n x="1" s="1"/>
        <n x="2" s="1"/>
        <n x="5" s="1"/>
        <n x="3" s="1"/>
        <n x="4" s="1"/>
        <n x="104"/>
        <n x="144"/>
        <n x="43"/>
      </t>
    </mdx>
    <mdx n="0" f="v">
      <t c="8">
        <n x="1" s="1"/>
        <n x="2" s="1"/>
        <n x="5" s="1"/>
        <n x="3" s="1"/>
        <n x="4" s="1"/>
        <n x="104"/>
        <n x="144"/>
        <n x="122"/>
      </t>
    </mdx>
    <mdx n="0" f="v">
      <t c="8">
        <n x="1" s="1"/>
        <n x="2" s="1"/>
        <n x="5" s="1"/>
        <n x="3" s="1"/>
        <n x="4" s="1"/>
        <n x="104"/>
        <n x="96"/>
        <n x="62"/>
      </t>
    </mdx>
    <mdx n="0" f="v">
      <t c="8">
        <n x="1" s="1"/>
        <n x="2" s="1"/>
        <n x="5" s="1"/>
        <n x="3" s="1"/>
        <n x="4" s="1"/>
        <n x="104"/>
        <n x="96"/>
        <n x="48"/>
      </t>
    </mdx>
    <mdx n="0" f="v">
      <t c="8">
        <n x="1" s="1"/>
        <n x="2" s="1"/>
        <n x="5" s="1"/>
        <n x="3" s="1"/>
        <n x="4" s="1"/>
        <n x="104"/>
        <n x="96"/>
        <n x="87"/>
      </t>
    </mdx>
    <mdx n="0" f="v">
      <t c="8">
        <n x="1" s="1"/>
        <n x="2" s="1"/>
        <n x="5" s="1"/>
        <n x="3" s="1"/>
        <n x="4" s="1"/>
        <n x="104"/>
        <n x="151"/>
        <n x="75"/>
      </t>
    </mdx>
    <mdx n="0" f="v">
      <t c="8">
        <n x="1" s="1"/>
        <n x="2" s="1"/>
        <n x="5" s="1"/>
        <n x="3" s="1"/>
        <n x="4" s="1"/>
        <n x="104"/>
        <n x="151"/>
        <n x="162"/>
      </t>
    </mdx>
    <mdx n="0" f="v">
      <t c="8">
        <n x="1" s="1"/>
        <n x="2" s="1"/>
        <n x="5" s="1"/>
        <n x="3" s="1"/>
        <n x="4" s="1"/>
        <n x="104"/>
        <n x="151"/>
        <n x="15"/>
      </t>
    </mdx>
    <mdx n="0" f="v">
      <t c="8">
        <n x="1" s="1"/>
        <n x="2" s="1"/>
        <n x="5" s="1"/>
        <n x="3" s="1"/>
        <n x="4" s="1"/>
        <n x="104"/>
        <n x="157"/>
        <n x="84"/>
      </t>
    </mdx>
    <mdx n="0" f="v">
      <t c="8">
        <n x="1" s="1"/>
        <n x="2" s="1"/>
        <n x="5" s="1"/>
        <n x="3" s="1"/>
        <n x="4" s="1"/>
        <n x="104"/>
        <n x="157"/>
        <n x="162"/>
      </t>
    </mdx>
    <mdx n="0" f="v">
      <t c="8">
        <n x="1" s="1"/>
        <n x="2" s="1"/>
        <n x="5" s="1"/>
        <n x="3" s="1"/>
        <n x="4" s="1"/>
        <n x="104"/>
        <n x="157"/>
        <n x="87"/>
      </t>
    </mdx>
    <mdx n="0" f="v">
      <t c="8">
        <n x="1" s="1"/>
        <n x="2" s="1"/>
        <n x="5" s="1"/>
        <n x="3" s="1"/>
        <n x="4" s="1"/>
        <n x="104"/>
        <n x="159"/>
        <n x="63"/>
      </t>
    </mdx>
    <mdx n="0" f="v">
      <t c="8">
        <n x="1" s="1"/>
        <n x="2" s="1"/>
        <n x="5" s="1"/>
        <n x="3" s="1"/>
        <n x="4" s="1"/>
        <n x="104"/>
        <n x="159"/>
        <n x="154"/>
      </t>
    </mdx>
    <mdx n="0" f="v">
      <t c="8">
        <n x="1" s="1"/>
        <n x="2" s="1"/>
        <n x="5" s="1"/>
        <n x="3" s="1"/>
        <n x="4" s="1"/>
        <n x="104"/>
        <n x="159"/>
        <n x="127"/>
      </t>
    </mdx>
    <mdx n="0" f="v">
      <t c="8">
        <n x="1" s="1"/>
        <n x="2" s="1"/>
        <n x="5" s="1"/>
        <n x="3" s="1"/>
        <n x="4" s="1"/>
        <n x="104"/>
        <n x="57"/>
        <n x="164" s="1"/>
      </t>
    </mdx>
    <mdx n="0" f="v">
      <t c="8">
        <n x="1" s="1"/>
        <n x="2" s="1"/>
        <n x="5" s="1"/>
        <n x="3" s="1"/>
        <n x="4" s="1"/>
        <n x="104"/>
        <n x="57"/>
        <n x="128"/>
      </t>
    </mdx>
    <mdx n="0" f="v">
      <t c="8">
        <n x="1" s="1"/>
        <n x="2" s="1"/>
        <n x="5" s="1"/>
        <n x="3" s="1"/>
        <n x="4" s="1"/>
        <n x="104"/>
        <n x="57"/>
        <n x="116"/>
      </t>
    </mdx>
    <mdx n="0" f="v">
      <t c="8">
        <n x="1" s="1"/>
        <n x="2" s="1"/>
        <n x="5" s="1"/>
        <n x="3" s="1"/>
        <n x="4" s="1"/>
        <n x="104"/>
        <n x="57"/>
        <n x="77"/>
      </t>
    </mdx>
    <mdx n="0" f="v">
      <t c="8">
        <n x="1" s="1"/>
        <n x="2" s="1"/>
        <n x="5" s="1"/>
        <n x="3" s="1"/>
        <n x="4" s="1"/>
        <n x="104"/>
        <n x="10"/>
        <n x="108"/>
      </t>
    </mdx>
    <mdx n="0" f="v">
      <t c="8">
        <n x="1" s="1"/>
        <n x="2" s="1"/>
        <n x="5" s="1"/>
        <n x="3" s="1"/>
        <n x="4" s="1"/>
        <n x="104"/>
        <n x="10"/>
        <n x="94"/>
      </t>
    </mdx>
    <mdx n="0" f="v">
      <t c="8">
        <n x="1" s="1"/>
        <n x="2" s="1"/>
        <n x="5" s="1"/>
        <n x="3" s="1"/>
        <n x="4" s="1"/>
        <n x="104"/>
        <n x="10"/>
        <n x="54"/>
      </t>
    </mdx>
    <mdx n="0" f="v">
      <t c="8">
        <n x="1" s="1"/>
        <n x="2" s="1"/>
        <n x="5" s="1"/>
        <n x="3" s="1"/>
        <n x="4" s="1"/>
        <n x="104"/>
        <n x="25"/>
        <n x="102"/>
      </t>
    </mdx>
    <mdx n="0" f="v">
      <t c="8">
        <n x="1" s="1"/>
        <n x="2" s="1"/>
        <n x="5" s="1"/>
        <n x="3" s="1"/>
        <n x="4" s="1"/>
        <n x="104"/>
        <n x="25"/>
        <n x="58"/>
      </t>
    </mdx>
    <mdx n="0" f="v">
      <t c="8">
        <n x="1" s="1"/>
        <n x="2" s="1"/>
        <n x="5" s="1"/>
        <n x="3" s="1"/>
        <n x="4" s="1"/>
        <n x="104"/>
        <n x="25"/>
        <n x="155"/>
      </t>
    </mdx>
    <mdx n="0" f="v">
      <t c="8">
        <n x="1" s="1"/>
        <n x="2" s="1"/>
        <n x="5" s="1"/>
        <n x="3" s="1"/>
        <n x="4" s="1"/>
        <n x="104"/>
        <n x="18"/>
        <n x="13"/>
      </t>
    </mdx>
    <mdx n="0" f="v">
      <t c="8">
        <n x="1" s="1"/>
        <n x="2" s="1"/>
        <n x="5" s="1"/>
        <n x="3" s="1"/>
        <n x="4" s="1"/>
        <n x="104"/>
        <n x="18"/>
        <n x="14"/>
      </t>
    </mdx>
    <mdx n="0" f="v">
      <t c="8">
        <n x="1" s="1"/>
        <n x="2" s="1"/>
        <n x="5" s="1"/>
        <n x="3" s="1"/>
        <n x="4" s="1"/>
        <n x="104"/>
        <n x="18"/>
        <n x="15"/>
      </t>
    </mdx>
    <mdx n="0" f="v">
      <t c="8">
        <n x="1" s="1"/>
        <n x="2" s="1"/>
        <n x="5" s="1"/>
        <n x="3" s="1"/>
        <n x="4" s="1"/>
        <n x="104"/>
        <n x="68"/>
        <n x="75"/>
      </t>
    </mdx>
    <mdx n="0" f="v">
      <t c="8">
        <n x="1" s="1"/>
        <n x="2" s="1"/>
        <n x="5" s="1"/>
        <n x="3" s="1"/>
        <n x="4" s="1"/>
        <n x="104"/>
        <n x="68"/>
        <n x="48"/>
      </t>
    </mdx>
    <mdx n="0" f="v">
      <t c="8">
        <n x="1" s="1"/>
        <n x="2" s="1"/>
        <n x="5" s="1"/>
        <n x="3" s="1"/>
        <n x="4" s="1"/>
        <n x="104"/>
        <n x="68"/>
        <n x="141"/>
      </t>
    </mdx>
    <mdx n="0" f="v">
      <t c="8">
        <n x="1" s="1"/>
        <n x="2" s="1"/>
        <n x="5" s="1"/>
        <n x="3" s="1"/>
        <n x="4" s="1"/>
        <n x="104"/>
        <n x="73"/>
        <n x="56"/>
      </t>
    </mdx>
    <mdx n="0" f="v">
      <t c="8">
        <n x="1" s="1"/>
        <n x="2" s="1"/>
        <n x="5" s="1"/>
        <n x="3" s="1"/>
        <n x="4" s="1"/>
        <n x="104"/>
        <n x="73"/>
        <n x="147"/>
      </t>
    </mdx>
    <mdx n="0" f="v">
      <t c="8">
        <n x="1" s="1"/>
        <n x="2" s="1"/>
        <n x="5" s="1"/>
        <n x="3" s="1"/>
        <n x="4" s="1"/>
        <n x="104"/>
        <n x="73"/>
        <n x="119"/>
      </t>
    </mdx>
    <mdx n="0" f="v">
      <t c="8">
        <n x="1" s="1"/>
        <n x="2" s="1"/>
        <n x="5" s="1"/>
        <n x="3" s="1"/>
        <n x="4" s="1"/>
        <n x="104"/>
        <n x="73"/>
        <n x="86"/>
      </t>
    </mdx>
    <mdx n="0" f="v">
      <t c="8">
        <n x="1" s="1"/>
        <n x="2" s="1"/>
        <n x="5" s="1"/>
        <n x="3" s="1"/>
        <n x="4" s="1"/>
        <n x="104"/>
        <n x="82"/>
        <n x="109"/>
      </t>
    </mdx>
    <mdx n="0" f="v">
      <t c="8">
        <n x="1" s="1"/>
        <n x="2" s="1"/>
        <n x="5" s="1"/>
        <n x="3" s="1"/>
        <n x="4" s="1"/>
        <n x="104"/>
        <n x="82"/>
        <n x="103"/>
      </t>
    </mdx>
    <mdx n="0" f="v">
      <t c="8">
        <n x="1" s="1"/>
        <n x="2" s="1"/>
        <n x="5" s="1"/>
        <n x="3" s="1"/>
        <n x="4" s="1"/>
        <n x="104"/>
        <n x="82"/>
        <n x="69"/>
      </t>
    </mdx>
    <mdx n="0" f="v">
      <t c="8">
        <n x="1" s="1"/>
        <n x="2" s="1"/>
        <n x="5" s="1"/>
        <n x="3" s="1"/>
        <n x="4" s="1"/>
        <n x="104"/>
        <n x="91"/>
        <n x="115"/>
      </t>
    </mdx>
    <mdx n="0" f="v">
      <t c="8">
        <n x="1" s="1"/>
        <n x="2" s="1"/>
        <n x="5" s="1"/>
        <n x="3" s="1"/>
        <n x="4" s="1"/>
        <n x="104"/>
        <n x="91"/>
        <n x="76"/>
      </t>
    </mdx>
    <mdx n="0" f="v">
      <t c="8">
        <n x="1" s="1"/>
        <n x="2" s="1"/>
        <n x="5" s="1"/>
        <n x="3" s="1"/>
        <n x="4" s="1"/>
        <n x="104"/>
        <n x="91"/>
        <n x="49"/>
      </t>
    </mdx>
    <mdx n="0" f="v">
      <t c="8">
        <n x="1" s="1"/>
        <n x="2" s="1"/>
        <n x="5" s="1"/>
        <n x="3" s="1"/>
        <n x="4" s="1"/>
        <n x="104"/>
        <n x="100"/>
        <n x="28"/>
      </t>
    </mdx>
    <mdx n="0" f="v">
      <t c="8">
        <n x="1" s="1"/>
        <n x="2" s="1"/>
        <n x="5" s="1"/>
        <n x="3" s="1"/>
        <n x="4" s="1"/>
        <n x="104"/>
        <n x="100"/>
        <n x="29"/>
      </t>
    </mdx>
    <mdx n="0" f="v">
      <t c="8">
        <n x="1" s="1"/>
        <n x="2" s="1"/>
        <n x="5" s="1"/>
        <n x="3" s="1"/>
        <n x="4" s="1"/>
        <n x="104"/>
        <n x="100"/>
        <n x="16"/>
      </t>
    </mdx>
    <mdx n="0" f="v">
      <t c="8">
        <n x="1" s="1"/>
        <n x="2" s="1"/>
        <n x="5" s="1"/>
        <n x="3" s="1"/>
        <n x="4" s="1"/>
        <n x="104"/>
        <n x="40"/>
        <n x="84"/>
      </t>
    </mdx>
    <mdx n="0" f="v">
      <t c="8">
        <n x="1" s="1"/>
        <n x="2" s="1"/>
        <n x="5" s="1"/>
        <n x="3" s="1"/>
        <n x="4" s="1"/>
        <n x="104"/>
        <n x="40"/>
        <n x="160"/>
      </t>
    </mdx>
    <mdx n="0" f="v">
      <t c="8">
        <n x="1" s="1"/>
        <n x="2" s="1"/>
        <n x="5" s="1"/>
        <n x="3" s="1"/>
        <n x="4" s="1"/>
        <n x="104"/>
        <n x="40"/>
        <n x="148"/>
      </t>
    </mdx>
    <mdx n="0" f="v">
      <t c="8">
        <n x="1" s="1"/>
        <n x="2" s="1"/>
        <n x="5" s="1"/>
        <n x="3" s="1"/>
        <n x="4" s="1"/>
        <n x="104"/>
        <n x="113"/>
        <n x="62"/>
      </t>
    </mdx>
    <mdx n="0" f="v">
      <t c="8">
        <n x="1" s="1"/>
        <n x="2" s="1"/>
        <n x="5" s="1"/>
        <n x="3" s="1"/>
        <n x="4" s="1"/>
        <n x="104"/>
        <n x="113"/>
        <n x="59"/>
      </t>
    </mdx>
    <mdx n="0" f="v">
      <t c="8">
        <n x="1" s="1"/>
        <n x="2" s="1"/>
        <n x="5" s="1"/>
        <n x="3" s="1"/>
        <n x="4" s="1"/>
        <n x="104"/>
        <n x="113"/>
        <n x="122"/>
      </t>
    </mdx>
    <mdx n="0" f="v">
      <t c="8">
        <n x="1" s="1"/>
        <n x="2" s="1"/>
        <n x="5" s="1"/>
        <n x="3" s="1"/>
        <n x="4" s="1"/>
        <n x="104"/>
        <n x="113"/>
        <n x="95"/>
      </t>
    </mdx>
    <mdx n="0" f="v">
      <t c="8">
        <n x="1" s="1"/>
        <n x="2" s="1"/>
        <n x="5" s="1"/>
        <n x="3" s="1"/>
        <n x="4" s="1"/>
        <n x="104"/>
        <n x="131"/>
        <n x="43"/>
      </t>
    </mdx>
    <mdx n="0" f="v">
      <t c="8">
        <n x="1" s="1"/>
        <n x="2" s="1"/>
        <n x="5" s="1"/>
        <n x="3" s="1"/>
        <n x="4" s="1"/>
        <n x="104"/>
        <n x="131"/>
        <n x="44"/>
      </t>
    </mdx>
    <mdx n="0" f="v">
      <t c="8">
        <n x="1" s="1"/>
        <n x="2" s="1"/>
        <n x="5" s="1"/>
        <n x="3" s="1"/>
        <n x="4" s="1"/>
        <n x="104"/>
        <n x="131"/>
        <n x="45"/>
      </t>
    </mdx>
    <mdx n="0" f="v">
      <t c="8">
        <n x="1" s="1"/>
        <n x="2" s="1"/>
        <n x="5" s="1"/>
        <n x="3" s="1"/>
        <n x="4" s="1"/>
        <n x="104"/>
        <n x="134"/>
        <n x="107"/>
      </t>
    </mdx>
    <mdx n="0" f="v">
      <t c="8">
        <n x="1" s="1"/>
        <n x="2" s="1"/>
        <n x="5" s="1"/>
        <n x="3" s="1"/>
        <n x="4" s="1"/>
        <n x="104"/>
        <n x="134"/>
        <n x="85"/>
      </t>
    </mdx>
    <mdx n="0" f="v">
      <t c="8">
        <n x="1" s="1"/>
        <n x="2" s="1"/>
        <n x="5" s="1"/>
        <n x="3" s="1"/>
        <n x="4" s="1"/>
        <n x="104"/>
        <n x="134"/>
        <n x="52"/>
      </t>
    </mdx>
    <mdx n="0" f="v">
      <t c="8">
        <n x="1" s="1"/>
        <n x="2" s="1"/>
        <n x="5" s="1"/>
        <n x="3" s="1"/>
        <n x="4" s="1"/>
        <n x="104"/>
        <n x="110"/>
        <n x="45"/>
      </t>
    </mdx>
    <mdx n="0" f="v">
      <t c="8">
        <n x="1" s="1"/>
        <n x="2" s="1"/>
        <n x="5" s="1"/>
        <n x="3" s="1"/>
        <n x="4" s="1"/>
        <n x="104"/>
        <n x="161"/>
        <n x="58"/>
      </t>
    </mdx>
    <mdx n="0" f="v">
      <t c="8">
        <n x="1" s="1"/>
        <n x="2" s="1"/>
        <n x="5" s="1"/>
        <n x="3" s="1"/>
        <n x="4" s="1"/>
        <n x="104"/>
        <n x="23"/>
        <n x="54"/>
      </t>
    </mdx>
    <mdx n="0" f="v">
      <t c="8">
        <n x="1" s="1"/>
        <n x="2" s="1"/>
        <n x="5" s="1"/>
        <n x="3" s="1"/>
        <n x="4" s="1"/>
        <n x="104"/>
        <n x="64"/>
        <n x="58"/>
      </t>
    </mdx>
    <mdx n="0" f="v">
      <t c="8">
        <n x="1" s="1"/>
        <n x="2" s="1"/>
        <n x="5" s="1"/>
        <n x="3" s="1"/>
        <n x="4" s="1"/>
        <n x="104"/>
        <n x="150"/>
        <n x="62"/>
      </t>
    </mdx>
    <mdx n="0" f="v">
      <t c="8">
        <n x="1" s="1"/>
        <n x="2" s="1"/>
        <n x="5" s="1"/>
        <n x="3" s="1"/>
        <n x="4" s="1"/>
        <n x="104"/>
        <n x="150"/>
        <n x="116"/>
      </t>
    </mdx>
    <mdx n="0" f="v">
      <t c="8">
        <n x="1" s="1"/>
        <n x="2" s="1"/>
        <n x="5" s="1"/>
        <n x="3" s="1"/>
        <n x="4" s="1"/>
        <n x="104"/>
        <n x="38"/>
        <n x="102"/>
      </t>
    </mdx>
    <mdx n="0" f="v">
      <t c="8">
        <n x="1" s="1"/>
        <n x="2" s="1"/>
        <n x="5" s="1"/>
        <n x="3" s="1"/>
        <n x="4" s="1"/>
        <n x="104"/>
        <n x="38"/>
        <n x="87"/>
      </t>
    </mdx>
    <mdx n="0" f="v">
      <t c="8">
        <n x="1" s="1"/>
        <n x="2" s="1"/>
        <n x="5" s="1"/>
        <n x="3" s="1"/>
        <n x="4" s="1"/>
        <n x="104"/>
        <n x="46"/>
        <n x="147"/>
      </t>
    </mdx>
    <mdx n="0" f="v">
      <t c="8">
        <n x="1" s="1"/>
        <n x="2" s="1"/>
        <n x="5" s="1"/>
        <n x="3" s="1"/>
        <n x="4" s="1"/>
        <n x="104"/>
        <n x="46"/>
        <n x="49"/>
      </t>
    </mdx>
    <mdx n="0" f="v">
      <t c="8">
        <n x="1" s="1"/>
        <n x="2" s="1"/>
        <n x="5" s="1"/>
        <n x="3" s="1"/>
        <n x="4" s="1"/>
        <n x="104"/>
        <n x="50"/>
        <n x="128"/>
      </t>
    </mdx>
    <mdx n="0" f="v">
      <t c="8">
        <n x="1" s="1"/>
        <n x="2" s="1"/>
        <n x="5" s="1"/>
        <n x="3" s="1"/>
        <n x="4" s="1"/>
        <n x="104"/>
        <n x="50"/>
        <n x="15"/>
      </t>
    </mdx>
    <mdx n="0" f="v">
      <t c="8">
        <n x="1" s="1"/>
        <n x="2" s="1"/>
        <n x="5" s="1"/>
        <n x="3" s="1"/>
        <n x="4" s="1"/>
        <n x="104"/>
        <n x="61"/>
        <n x="107"/>
      </t>
    </mdx>
    <mdx n="0" f="v">
      <t c="8">
        <n x="1" s="1"/>
        <n x="2" s="1"/>
        <n x="5" s="1"/>
        <n x="3" s="1"/>
        <n x="4" s="1"/>
        <n x="104"/>
        <n x="61"/>
        <n x="127"/>
      </t>
    </mdx>
    <mdx n="0" f="v">
      <t c="8">
        <n x="1" s="1"/>
        <n x="2" s="1"/>
        <n x="5" s="1"/>
        <n x="3" s="1"/>
        <n x="4" s="1"/>
        <n x="104"/>
        <n x="67"/>
        <n x="28"/>
      </t>
    </mdx>
    <mdx n="0" f="v">
      <t c="8">
        <n x="1" s="1"/>
        <n x="2" s="1"/>
        <n x="5" s="1"/>
        <n x="3" s="1"/>
        <n x="4" s="1"/>
        <n x="104"/>
        <n x="67"/>
        <n x="103"/>
      </t>
    </mdx>
    <mdx n="0" f="v">
      <t c="8">
        <n x="1" s="1"/>
        <n x="2" s="1"/>
        <n x="5" s="1"/>
        <n x="3" s="1"/>
        <n x="4" s="1"/>
        <n x="104"/>
        <n x="72"/>
        <n x="56"/>
      </t>
    </mdx>
    <mdx n="0" f="v">
      <t c="8">
        <n x="1" s="1"/>
        <n x="2" s="1"/>
        <n x="5" s="1"/>
        <n x="3" s="1"/>
        <n x="4" s="1"/>
        <n x="104"/>
        <n x="72"/>
        <n x="20"/>
      </t>
    </mdx>
    <mdx n="0" f="v">
      <t c="8">
        <n x="1" s="1"/>
        <n x="2" s="1"/>
        <n x="5" s="1"/>
        <n x="3" s="1"/>
        <n x="4" s="1"/>
        <n x="104"/>
        <n x="72"/>
        <n x="77"/>
      </t>
    </mdx>
    <mdx n="0" f="v">
      <t c="8">
        <n x="1" s="1"/>
        <n x="2" s="1"/>
        <n x="5" s="1"/>
        <n x="3" s="1"/>
        <n x="4" s="1"/>
        <n x="104"/>
        <n x="81"/>
        <n x="160"/>
      </t>
    </mdx>
    <mdx n="0" f="v">
      <t c="8">
        <n x="1" s="1"/>
        <n x="2" s="1"/>
        <n x="5" s="1"/>
        <n x="3" s="1"/>
        <n x="4" s="1"/>
        <n x="104"/>
        <n x="81"/>
        <n x="52"/>
      </t>
    </mdx>
    <mdx n="0" f="v">
      <t c="8">
        <n x="1" s="1"/>
        <n x="2" s="1"/>
        <n x="5" s="1"/>
        <n x="3" s="1"/>
        <n x="4" s="1"/>
        <n x="104"/>
        <n x="90"/>
        <n x="147"/>
      </t>
    </mdx>
    <mdx n="0" f="v">
      <t c="8">
        <n x="1" s="1"/>
        <n x="2" s="1"/>
        <n x="5" s="1"/>
        <n x="3" s="1"/>
        <n x="4" s="1"/>
        <n x="104"/>
        <n x="90"/>
        <n x="16"/>
      </t>
    </mdx>
    <mdx n="0" f="v">
      <t c="8">
        <n x="1" s="1"/>
        <n x="2" s="1"/>
        <n x="5" s="1"/>
        <n x="3" s="1"/>
        <n x="4" s="1"/>
        <n x="104"/>
        <n x="9"/>
        <n x="108"/>
      </t>
    </mdx>
    <mdx n="0" f="v">
      <t c="8">
        <n x="1" s="1"/>
        <n x="2" s="1"/>
        <n x="5" s="1"/>
        <n x="3" s="1"/>
        <n x="4" s="1"/>
        <n x="104"/>
        <n x="9"/>
        <n x="122"/>
      </t>
    </mdx>
    <mdx n="0" f="v">
      <t c="8">
        <n x="1" s="1"/>
        <n x="2" s="1"/>
        <n x="5" s="1"/>
        <n x="3" s="1"/>
        <n x="4" s="1"/>
        <n x="104"/>
        <n x="24"/>
        <n x="62"/>
      </t>
    </mdx>
    <mdx n="0" f="v">
      <t c="8">
        <n x="1" s="1"/>
        <n x="2" s="1"/>
        <n x="5" s="1"/>
        <n x="3" s="1"/>
        <n x="4" s="1"/>
        <n x="104"/>
        <n x="24"/>
        <n x="160"/>
      </t>
    </mdx>
    <mdx n="0" f="v">
      <t c="8">
        <n x="1" s="1"/>
        <n x="2" s="1"/>
        <n x="5" s="1"/>
        <n x="3" s="1"/>
        <n x="4" s="1"/>
        <n x="104"/>
        <n x="24"/>
        <n x="155"/>
      </t>
    </mdx>
    <mdx n="0" f="v">
      <t c="8">
        <n x="1" s="1"/>
        <n x="2" s="1"/>
        <n x="5" s="1"/>
        <n x="3" s="1"/>
        <n x="4" s="1"/>
        <n x="104"/>
        <n x="31"/>
        <n x="102"/>
      </t>
    </mdx>
    <mdx n="0" f="v">
      <t c="8">
        <n x="1" s="1"/>
        <n x="2" s="1"/>
        <n x="5" s="1"/>
        <n x="3" s="1"/>
        <n x="4" s="1"/>
        <n x="104"/>
        <n x="31"/>
        <n x="103"/>
      </t>
    </mdx>
    <mdx n="0" f="v">
      <t c="8">
        <n x="1" s="1"/>
        <n x="2" s="1"/>
        <n x="5" s="1"/>
        <n x="3" s="1"/>
        <n x="4" s="1"/>
        <n x="104"/>
        <n x="31"/>
        <n x="86"/>
      </t>
    </mdx>
    <mdx n="0" f="v">
      <t c="8">
        <n x="1" s="1"/>
        <n x="2" s="1"/>
        <n x="5" s="1"/>
        <n x="3" s="1"/>
        <n x="4" s="1"/>
        <n x="104"/>
        <n x="99"/>
        <n x="154"/>
      </t>
    </mdx>
    <mdx n="0" f="v">
      <t c="8">
        <n x="1" s="1"/>
        <n x="2" s="1"/>
        <n x="5" s="1"/>
        <n x="3" s="1"/>
        <n x="4" s="1"/>
        <n x="104"/>
        <n x="99"/>
        <n x="87"/>
      </t>
    </mdx>
    <mdx n="0" f="v">
      <t c="8">
        <n x="1" s="1"/>
        <n x="2" s="1"/>
        <n x="5" s="1"/>
        <n x="3" s="1"/>
        <n x="4" s="1"/>
        <n x="104"/>
        <n x="112"/>
        <n x="13"/>
      </t>
    </mdx>
    <mdx n="0" f="v">
      <t c="8">
        <n x="1" s="1"/>
        <n x="2" s="1"/>
        <n x="5" s="1"/>
        <n x="3" s="1"/>
        <n x="4" s="1"/>
        <n x="104"/>
        <n x="112"/>
        <n x="58"/>
      </t>
    </mdx>
    <mdx n="0" f="v">
      <t c="8">
        <n x="1" s="1"/>
        <n x="2" s="1"/>
        <n x="5" s="1"/>
        <n x="3" s="1"/>
        <n x="4" s="1"/>
        <n x="104"/>
        <n x="112"/>
        <n x="45"/>
      </t>
    </mdx>
    <mdx n="0" f="v">
      <t c="8">
        <n x="1" s="1"/>
        <n x="2" s="1"/>
        <n x="5" s="1"/>
        <n x="3" s="1"/>
        <n x="4" s="1"/>
        <n x="104"/>
        <n x="106"/>
        <n x="43"/>
      </t>
    </mdx>
    <mdx n="0" f="v">
      <t c="8">
        <n x="1" s="1"/>
        <n x="2" s="1"/>
        <n x="5" s="1"/>
        <n x="3" s="1"/>
        <n x="4" s="1"/>
        <n x="104"/>
        <n x="106"/>
        <n x="127"/>
      </t>
    </mdx>
    <mdx n="0" f="v">
      <t c="8">
        <n x="1" s="1"/>
        <n x="2" s="1"/>
        <n x="5" s="1"/>
        <n x="3" s="1"/>
        <n x="4" s="1"/>
        <n x="104"/>
        <n x="125"/>
        <n x="63"/>
      </t>
    </mdx>
    <mdx n="0" f="v">
      <t c="8">
        <n x="1" s="1"/>
        <n x="2" s="1"/>
        <n x="5" s="1"/>
        <n x="3" s="1"/>
        <n x="4" s="1"/>
        <n x="104"/>
        <n x="125"/>
        <n x="162"/>
      </t>
    </mdx>
    <mdx n="0" f="v">
      <t c="8">
        <n x="1" s="1"/>
        <n x="2" s="1"/>
        <n x="5" s="1"/>
        <n x="3" s="1"/>
        <n x="4" s="1"/>
        <n x="104"/>
        <n x="125"/>
        <n x="49"/>
      </t>
    </mdx>
    <mdx n="0" f="v">
      <t c="8">
        <n x="1" s="1"/>
        <n x="2" s="1"/>
        <n x="5" s="1"/>
        <n x="3" s="1"/>
        <n x="4" s="1"/>
        <n x="104"/>
        <n x="123"/>
        <n x="115"/>
      </t>
    </mdx>
    <mdx n="0" f="v">
      <t c="8">
        <n x="1" s="1"/>
        <n x="2" s="1"/>
        <n x="5" s="1"/>
        <n x="3" s="1"/>
        <n x="4" s="1"/>
        <n x="104"/>
        <n x="123"/>
        <n x="44"/>
      </t>
    </mdx>
    <mdx n="0" f="v">
      <t c="8">
        <n x="1" s="1"/>
        <n x="2" s="1"/>
        <n x="5" s="1"/>
        <n x="3" s="1"/>
        <n x="4" s="1"/>
        <n x="104"/>
        <n x="123"/>
        <n x="95"/>
      </t>
    </mdx>
    <mdx n="0" f="v">
      <t c="8">
        <n x="1" s="1"/>
        <n x="2" s="1"/>
        <n x="5" s="1"/>
        <n x="3" s="1"/>
        <n x="4" s="1"/>
        <n x="104"/>
        <n x="39"/>
        <n x="48"/>
      </t>
    </mdx>
    <mdx n="0" f="v">
      <t c="8">
        <n x="1" s="1"/>
        <n x="2" s="1"/>
        <n x="5" s="1"/>
        <n x="3" s="1"/>
        <n x="4" s="1"/>
        <n x="104"/>
        <n x="39"/>
        <n x="15"/>
      </t>
    </mdx>
    <mdx n="0" f="v">
      <t c="8">
        <n x="1" s="1"/>
        <n x="2" s="1"/>
        <n x="5" s="1"/>
        <n x="3" s="1"/>
        <n x="4" s="1"/>
        <n x="104"/>
        <n x="139"/>
        <n x="28"/>
      </t>
    </mdx>
    <mdx n="0" f="v">
      <t c="8">
        <n x="1" s="1"/>
        <n x="2" s="1"/>
        <n x="5" s="1"/>
        <n x="3" s="1"/>
        <n x="4" s="1"/>
        <n x="104"/>
        <n x="139"/>
        <n x="76"/>
      </t>
    </mdx>
    <mdx n="0" f="v">
      <t c="8">
        <n x="1" s="1"/>
        <n x="2" s="1"/>
        <n x="5" s="1"/>
        <n x="3" s="1"/>
        <n x="4" s="1"/>
        <n x="104"/>
        <n x="139"/>
        <n x="77"/>
      </t>
    </mdx>
    <mdx n="0" f="v">
      <t c="8">
        <n x="1" s="1"/>
        <n x="2" s="1"/>
        <n x="5" s="1"/>
        <n x="3" s="1"/>
        <n x="4" s="1"/>
        <n x="104"/>
        <n x="144"/>
        <n x="128"/>
      </t>
    </mdx>
    <mdx n="0" f="v">
      <t c="8">
        <n x="1" s="1"/>
        <n x="2" s="1"/>
        <n x="5" s="1"/>
        <n x="3" s="1"/>
        <n x="4" s="1"/>
        <n x="104"/>
        <n x="144"/>
        <n x="141"/>
      </t>
    </mdx>
    <mdx n="0" f="v">
      <t c="8">
        <n x="1" s="1"/>
        <n x="2" s="1"/>
        <n x="5" s="1"/>
        <n x="3" s="1"/>
        <n x="4" s="1"/>
        <n x="104"/>
        <n x="96"/>
        <n x="63"/>
      </t>
    </mdx>
    <mdx n="0" f="v">
      <t c="8">
        <n x="1" s="1"/>
        <n x="2" s="1"/>
        <n x="5" s="1"/>
        <n x="3" s="1"/>
        <n x="4" s="1"/>
        <n x="104"/>
        <n x="96"/>
        <n x="160"/>
      </t>
    </mdx>
    <mdx n="0" f="v">
      <t c="8">
        <n x="1" s="1"/>
        <n x="2" s="1"/>
        <n x="5" s="1"/>
        <n x="3" s="1"/>
        <n x="4" s="1"/>
        <n x="104"/>
        <n x="96"/>
        <n x="15"/>
      </t>
    </mdx>
    <mdx n="0" f="v">
      <t c="8">
        <n x="1" s="1"/>
        <n x="2" s="1"/>
        <n x="5" s="1"/>
        <n x="3" s="1"/>
        <n x="4" s="1"/>
        <n x="104"/>
        <n x="151"/>
        <n x="93"/>
      </t>
    </mdx>
    <mdx n="0" f="v">
      <t c="8">
        <n x="1" s="1"/>
        <n x="2" s="1"/>
        <n x="5" s="1"/>
        <n x="3" s="1"/>
        <n x="4" s="1"/>
        <n x="104"/>
        <n x="151"/>
        <n x="14"/>
      </t>
    </mdx>
    <mdx n="0" f="v">
      <t c="8">
        <n x="1" s="1"/>
        <n x="2" s="1"/>
        <n x="5" s="1"/>
        <n x="3" s="1"/>
        <n x="4" s="1"/>
        <n x="104"/>
        <n x="151"/>
        <n x="16"/>
      </t>
    </mdx>
    <mdx n="0" f="v">
      <t c="8">
        <n x="1" s="1"/>
        <n x="2" s="1"/>
        <n x="5" s="1"/>
        <n x="3" s="1"/>
        <n x="4" s="1"/>
        <n x="104"/>
        <n x="157"/>
        <n x="93"/>
      </t>
    </mdx>
    <mdx n="0" f="v">
      <t c="8">
        <n x="1" s="1"/>
        <n x="2" s="1"/>
        <n x="5" s="1"/>
        <n x="3" s="1"/>
        <n x="4" s="1"/>
        <n x="104"/>
        <n x="157"/>
        <n x="14"/>
      </t>
    </mdx>
    <mdx n="0" f="v">
      <t c="8">
        <n x="1" s="1"/>
        <n x="2" s="1"/>
        <n x="5" s="1"/>
        <n x="3" s="1"/>
        <n x="4" s="1"/>
        <n x="104"/>
        <n x="157"/>
        <n x="15"/>
      </t>
    </mdx>
    <mdx n="0" f="v">
      <t c="8">
        <n x="1" s="1"/>
        <n x="2" s="1"/>
        <n x="5" s="1"/>
        <n x="3" s="1"/>
        <n x="4" s="1"/>
        <n x="104"/>
        <n x="159"/>
        <n x="75"/>
      </t>
    </mdx>
    <mdx n="0" f="v">
      <t c="8">
        <n x="1" s="1"/>
        <n x="2" s="1"/>
        <n x="5" s="1"/>
        <n x="3" s="1"/>
        <n x="4" s="1"/>
        <n x="104"/>
        <n x="159"/>
        <n x="48"/>
      </t>
    </mdx>
    <mdx n="0" f="v">
      <t c="8">
        <n x="1" s="1"/>
        <n x="2" s="1"/>
        <n x="5" s="1"/>
        <n x="3" s="1"/>
        <n x="4" s="1"/>
        <n x="104"/>
        <n x="159"/>
        <n x="141"/>
      </t>
    </mdx>
    <mdx n="0" f="v">
      <t c="8">
        <n x="1" s="1"/>
        <n x="2" s="1"/>
        <n x="5" s="1"/>
        <n x="3" s="1"/>
        <n x="4" s="1"/>
        <n x="104"/>
        <n x="57"/>
        <n x="56"/>
      </t>
    </mdx>
    <mdx n="0" f="v">
      <t c="8">
        <n x="1" s="1"/>
        <n x="2" s="1"/>
        <n x="5" s="1"/>
        <n x="3" s="1"/>
        <n x="4" s="1"/>
        <n x="104"/>
        <n x="57"/>
        <n x="147"/>
      </t>
    </mdx>
    <mdx n="0" f="v">
      <t c="8">
        <n x="1" s="1"/>
        <n x="2" s="1"/>
        <n x="5" s="1"/>
        <n x="3" s="1"/>
        <n x="4" s="1"/>
        <n x="104"/>
        <n x="57"/>
        <n x="119"/>
      </t>
    </mdx>
    <mdx n="0" f="v">
      <t c="8">
        <n x="1" s="1"/>
        <n x="2" s="1"/>
        <n x="5" s="1"/>
        <n x="3" s="1"/>
        <n x="4" s="1"/>
        <n x="104"/>
        <n x="57"/>
        <n x="86"/>
      </t>
    </mdx>
    <mdx n="0" f="v">
      <t c="8">
        <n x="1" s="1"/>
        <n x="2" s="1"/>
        <n x="5" s="1"/>
        <n x="3" s="1"/>
        <n x="4" s="1"/>
        <n x="104"/>
        <n x="10"/>
        <n x="109"/>
      </t>
    </mdx>
    <mdx n="0" f="v">
      <t c="8">
        <n x="1" s="1"/>
        <n x="2" s="1"/>
        <n x="5" s="1"/>
        <n x="3" s="1"/>
        <n x="4" s="1"/>
        <n x="104"/>
        <n x="10"/>
        <n x="103"/>
      </t>
    </mdx>
    <mdx n="0" f="v">
      <t c="8">
        <n x="1" s="1"/>
        <n x="2" s="1"/>
        <n x="5" s="1"/>
        <n x="3" s="1"/>
        <n x="4" s="1"/>
        <n x="104"/>
        <n x="10"/>
        <n x="69"/>
      </t>
    </mdx>
    <mdx n="0" f="v">
      <t c="8">
        <n x="1" s="1"/>
        <n x="2" s="1"/>
        <n x="5" s="1"/>
        <n x="3" s="1"/>
        <n x="4" s="1"/>
        <n x="104"/>
        <n x="25"/>
        <n x="115"/>
      </t>
    </mdx>
    <mdx n="0" f="v">
      <t c="8">
        <n x="1" s="1"/>
        <n x="2" s="1"/>
        <n x="5" s="1"/>
        <n x="3" s="1"/>
        <n x="4" s="1"/>
        <n x="104"/>
        <n x="25"/>
        <n x="76"/>
      </t>
    </mdx>
    <mdx n="0" f="v">
      <t c="8">
        <n x="1" s="1"/>
        <n x="2" s="1"/>
        <n x="5" s="1"/>
        <n x="3" s="1"/>
        <n x="4" s="1"/>
        <n x="104"/>
        <n x="25"/>
        <n x="49"/>
      </t>
    </mdx>
    <mdx n="0" f="v">
      <t c="8">
        <n x="1" s="1"/>
        <n x="2" s="1"/>
        <n x="5" s="1"/>
        <n x="3" s="1"/>
        <n x="4" s="1"/>
        <n x="104"/>
        <n x="18"/>
        <n x="28"/>
      </t>
    </mdx>
    <mdx n="0" f="v">
      <t c="8">
        <n x="1" s="1"/>
        <n x="2" s="1"/>
        <n x="5" s="1"/>
        <n x="3" s="1"/>
        <n x="4" s="1"/>
        <n x="104"/>
        <n x="18"/>
        <n x="29"/>
      </t>
    </mdx>
    <mdx n="0" f="v">
      <t c="8">
        <n x="1" s="1"/>
        <n x="2" s="1"/>
        <n x="5" s="1"/>
        <n x="3" s="1"/>
        <n x="4" s="1"/>
        <n x="104"/>
        <n x="18"/>
        <n x="16"/>
      </t>
    </mdx>
    <mdx n="0" f="v">
      <t c="8">
        <n x="1" s="1"/>
        <n x="2" s="1"/>
        <n x="5" s="1"/>
        <n x="3" s="1"/>
        <n x="4" s="1"/>
        <n x="104"/>
        <n x="68"/>
        <n x="84"/>
      </t>
    </mdx>
    <mdx n="0" f="v">
      <t c="8">
        <n x="1" s="1"/>
        <n x="2" s="1"/>
        <n x="5" s="1"/>
        <n x="3" s="1"/>
        <n x="4" s="1"/>
        <n x="104"/>
        <n x="68"/>
        <n x="160"/>
      </t>
    </mdx>
    <mdx n="0" f="v">
      <t c="8">
        <n x="1" s="1"/>
        <n x="2" s="1"/>
        <n x="5" s="1"/>
        <n x="3" s="1"/>
        <n x="4" s="1"/>
        <n x="104"/>
        <n x="68"/>
        <n x="148"/>
      </t>
    </mdx>
    <mdx n="0" f="v">
      <t c="8">
        <n x="1" s="1"/>
        <n x="2" s="1"/>
        <n x="5" s="1"/>
        <n x="3" s="1"/>
        <n x="4" s="1"/>
        <n x="104"/>
        <n x="73"/>
        <n x="62"/>
      </t>
    </mdx>
    <mdx n="0" f="v">
      <t c="8">
        <n x="1" s="1"/>
        <n x="2" s="1"/>
        <n x="5" s="1"/>
        <n x="3" s="1"/>
        <n x="4" s="1"/>
        <n x="104"/>
        <n x="73"/>
        <n x="59"/>
      </t>
    </mdx>
    <mdx n="0" f="v">
      <t c="8">
        <n x="1" s="1"/>
        <n x="2" s="1"/>
        <n x="5" s="1"/>
        <n x="3" s="1"/>
        <n x="4" s="1"/>
        <n x="104"/>
        <n x="73"/>
        <n x="122"/>
      </t>
    </mdx>
    <mdx n="0" f="v">
      <t c="8">
        <n x="1" s="1"/>
        <n x="2" s="1"/>
        <n x="5" s="1"/>
        <n x="3" s="1"/>
        <n x="4" s="1"/>
        <n x="104"/>
        <n x="73"/>
        <n x="95"/>
      </t>
    </mdx>
    <mdx n="0" f="v">
      <t c="8">
        <n x="1" s="1"/>
        <n x="2" s="1"/>
        <n x="5" s="1"/>
        <n x="3" s="1"/>
        <n x="4" s="1"/>
        <n x="104"/>
        <n x="82"/>
        <n x="43"/>
      </t>
    </mdx>
    <mdx n="0" f="v">
      <t c="8">
        <n x="1" s="1"/>
        <n x="2" s="1"/>
        <n x="5" s="1"/>
        <n x="3" s="1"/>
        <n x="4" s="1"/>
        <n x="104"/>
        <n x="82"/>
        <n x="44"/>
      </t>
    </mdx>
    <mdx n="0" f="v">
      <t c="8">
        <n x="1" s="1"/>
        <n x="2" s="1"/>
        <n x="5" s="1"/>
        <n x="3" s="1"/>
        <n x="4" s="1"/>
        <n x="104"/>
        <n x="82"/>
        <n x="45"/>
      </t>
    </mdx>
    <mdx n="0" f="v">
      <t c="8">
        <n x="1" s="1"/>
        <n x="2" s="1"/>
        <n x="5" s="1"/>
        <n x="3" s="1"/>
        <n x="4" s="1"/>
        <n x="104"/>
        <n x="91"/>
        <n x="107"/>
      </t>
    </mdx>
    <mdx n="0" f="v">
      <t c="8">
        <n x="1" s="1"/>
        <n x="2" s="1"/>
        <n x="5" s="1"/>
        <n x="3" s="1"/>
        <n x="4" s="1"/>
        <n x="104"/>
        <n x="91"/>
        <n x="85"/>
      </t>
    </mdx>
    <mdx n="0" f="v">
      <t c="8">
        <n x="1" s="1"/>
        <n x="2" s="1"/>
        <n x="5" s="1"/>
        <n x="3" s="1"/>
        <n x="4" s="1"/>
        <n x="104"/>
        <n x="91"/>
        <n x="52"/>
      </t>
    </mdx>
    <mdx n="0" f="v">
      <t c="8">
        <n x="1" s="1"/>
        <n x="2" s="1"/>
        <n x="5" s="1"/>
        <n x="3" s="1"/>
        <n x="4" s="1"/>
        <n x="104"/>
        <n x="100"/>
        <n x="19"/>
      </t>
    </mdx>
    <mdx n="0" f="v">
      <t c="8">
        <n x="1" s="1"/>
        <n x="2" s="1"/>
        <n x="5" s="1"/>
        <n x="3" s="1"/>
        <n x="4" s="1"/>
        <n x="104"/>
        <n x="100"/>
        <n x="20"/>
      </t>
    </mdx>
    <mdx n="0" f="v">
      <t c="8">
        <n x="1" s="1"/>
        <n x="2" s="1"/>
        <n x="5" s="1"/>
        <n x="3" s="1"/>
        <n x="4" s="1"/>
        <n x="104"/>
        <n x="100"/>
        <n x="33"/>
      </t>
    </mdx>
    <mdx n="0" f="v">
      <t c="8">
        <n x="1" s="1"/>
        <n x="2" s="1"/>
        <n x="5" s="1"/>
        <n x="3" s="1"/>
        <n x="4" s="1"/>
        <n x="104"/>
        <n x="40"/>
        <n x="93"/>
      </t>
    </mdx>
    <mdx n="0" f="v">
      <t c="8">
        <n x="1" s="1"/>
        <n x="2" s="1"/>
        <n x="5" s="1"/>
        <n x="3" s="1"/>
        <n x="4" s="1"/>
        <n x="104"/>
        <n x="120"/>
        <n x="76"/>
      </t>
    </mdx>
    <mdx n="0" f="v">
      <t c="8">
        <n x="1" s="1"/>
        <n x="2" s="1"/>
        <n x="5" s="1"/>
        <n x="3" s="1"/>
        <n x="4" s="1"/>
        <n x="104"/>
        <n x="66"/>
        <n x="49"/>
      </t>
    </mdx>
    <mdx n="0" f="v">
      <t c="8">
        <n x="1" s="1"/>
        <n x="2" s="1"/>
        <n x="5" s="1"/>
        <n x="3" s="1"/>
        <n x="4" s="1"/>
        <n x="104"/>
        <n x="126"/>
        <n x="48"/>
      </t>
    </mdx>
    <mdx n="0" f="v">
      <t c="8">
        <n x="1" s="1"/>
        <n x="2" s="1"/>
        <n x="5" s="1"/>
        <n x="3" s="1"/>
        <n x="4" s="1"/>
        <n x="104"/>
        <n x="64"/>
        <n x="85"/>
      </t>
    </mdx>
    <mdx n="0" f="v">
      <t c="8">
        <n x="1" s="1"/>
        <n x="2" s="1"/>
        <n x="5" s="1"/>
        <n x="3" s="1"/>
        <n x="4" s="1"/>
        <n x="104"/>
        <n x="150"/>
        <n x="28"/>
      </t>
    </mdx>
    <mdx n="0" f="v">
      <t c="8">
        <n x="1" s="1"/>
        <n x="2" s="1"/>
        <n x="5" s="1"/>
        <n x="3" s="1"/>
        <n x="4" s="1"/>
        <n x="104"/>
        <n x="150"/>
        <n x="122"/>
      </t>
    </mdx>
    <mdx n="0" f="v">
      <t c="8">
        <n x="1" s="1"/>
        <n x="2" s="1"/>
        <n x="5" s="1"/>
        <n x="3" s="1"/>
        <n x="4" s="1"/>
        <n x="104"/>
        <n x="38"/>
        <n x="108"/>
      </t>
    </mdx>
    <mdx n="0" f="v">
      <t c="8">
        <n x="1" s="1"/>
        <n x="2" s="1"/>
        <n x="5" s="1"/>
        <n x="3" s="1"/>
        <n x="4" s="1"/>
        <n x="104"/>
        <n x="38"/>
        <n x="155"/>
      </t>
    </mdx>
    <mdx n="0" f="v">
      <t c="8">
        <n x="1" s="1"/>
        <n x="2" s="1"/>
        <n x="5" s="1"/>
        <n x="3" s="1"/>
        <n x="4" s="1"/>
        <n x="104"/>
        <n x="46"/>
        <n x="154"/>
      </t>
    </mdx>
    <mdx n="0" f="v">
      <t c="8">
        <n x="1" s="1"/>
        <n x="2" s="1"/>
        <n x="5" s="1"/>
        <n x="3" s="1"/>
        <n x="4" s="1"/>
        <n x="104"/>
        <n x="46"/>
        <n x="54"/>
      </t>
    </mdx>
    <mdx n="0" f="v">
      <t c="8">
        <n x="1" s="1"/>
        <n x="2" s="1"/>
        <n x="5" s="1"/>
        <n x="3" s="1"/>
        <n x="4" s="1"/>
        <n x="104"/>
        <n x="50"/>
        <n x="59"/>
      </t>
    </mdx>
    <mdx n="0" f="v">
      <t c="8">
        <n x="1" s="1"/>
        <n x="2" s="1"/>
        <n x="5" s="1"/>
        <n x="3" s="1"/>
        <n x="4" s="1"/>
        <n x="104"/>
        <n x="50"/>
        <n x="33"/>
      </t>
    </mdx>
    <mdx n="0" f="v">
      <t c="8">
        <n x="1" s="1"/>
        <n x="2" s="1"/>
        <n x="5" s="1"/>
        <n x="3" s="1"/>
        <n x="4" s="1"/>
        <n x="104"/>
        <n x="61"/>
        <n x="109"/>
      </t>
    </mdx>
    <mdx n="0" f="v">
      <t c="8">
        <n x="1" s="1"/>
        <n x="2" s="1"/>
        <n x="5" s="1"/>
        <n x="3" s="1"/>
        <n x="4" s="1"/>
        <n x="104"/>
        <n x="61"/>
        <n x="148"/>
      </t>
    </mdx>
    <mdx n="0" f="v">
      <t c="8">
        <n x="1" s="1"/>
        <n x="2" s="1"/>
        <n x="5" s="1"/>
        <n x="3" s="1"/>
        <n x="4" s="1"/>
        <n x="104"/>
        <n x="67"/>
        <n x="102"/>
      </t>
    </mdx>
    <mdx n="0" f="v">
      <t c="8">
        <n x="1" s="1"/>
        <n x="2" s="1"/>
        <n x="5" s="1"/>
        <n x="3" s="1"/>
        <n x="4" s="1"/>
        <n x="104"/>
        <n x="67"/>
        <n x="119"/>
      </t>
    </mdx>
    <mdx n="0" f="v">
      <t c="8">
        <n x="1" s="1"/>
        <n x="2" s="1"/>
        <n x="5" s="1"/>
        <n x="3" s="1"/>
        <n x="4" s="1"/>
        <n x="104"/>
        <n x="72"/>
        <n x="93"/>
      </t>
    </mdx>
    <mdx n="0" f="v">
      <t c="8">
        <n x="1" s="1"/>
        <n x="2" s="1"/>
        <n x="5" s="1"/>
        <n x="3" s="1"/>
        <n x="4" s="1"/>
        <n x="104"/>
        <n x="72"/>
        <n x="94"/>
      </t>
    </mdx>
    <mdx n="0" f="v">
      <t c="8">
        <n x="1" s="1"/>
        <n x="2" s="1"/>
        <n x="5" s="1"/>
        <n x="3" s="1"/>
        <n x="4" s="1"/>
        <n x="104"/>
        <n x="81"/>
        <n x="62"/>
      </t>
    </mdx>
    <mdx n="0" f="v">
      <t c="8">
        <n x="1" s="1"/>
        <n x="2" s="1"/>
        <n x="5" s="1"/>
        <n x="3" s="1"/>
        <n x="4" s="1"/>
        <n x="104"/>
        <n x="81"/>
        <n x="29"/>
      </t>
    </mdx>
    <mdx n="0" f="v">
      <t c="8">
        <n x="1" s="1"/>
        <n x="2" s="1"/>
        <n x="5" s="1"/>
        <n x="3" s="1"/>
        <n x="4" s="1"/>
        <n x="104"/>
        <n x="81"/>
        <n x="69"/>
      </t>
    </mdx>
    <mdx n="0" f="v">
      <t c="8">
        <n x="1" s="1"/>
        <n x="2" s="1"/>
        <n x="5" s="1"/>
        <n x="3" s="1"/>
        <n x="4" s="1"/>
        <n x="104"/>
        <n x="90"/>
        <n x="154"/>
      </t>
    </mdx>
    <mdx n="0" f="v">
      <t c="8">
        <n x="1" s="1"/>
        <n x="2" s="1"/>
        <n x="5" s="1"/>
        <n x="3" s="1"/>
        <n x="4" s="1"/>
        <n x="104"/>
        <n x="90"/>
        <n x="155"/>
      </t>
    </mdx>
    <mdx n="0" f="v">
      <t c="8">
        <n x="1" s="1"/>
        <n x="2" s="1"/>
        <n x="5" s="1"/>
        <n x="3" s="1"/>
        <n x="4" s="1"/>
        <n x="104"/>
        <n x="9"/>
        <n x="43"/>
      </t>
    </mdx>
    <mdx n="0" f="v">
      <t c="8">
        <n x="1" s="1"/>
        <n x="2" s="1"/>
        <n x="5" s="1"/>
        <n x="3" s="1"/>
        <n x="4" s="1"/>
        <n x="104"/>
        <n x="9"/>
        <n x="141"/>
      </t>
    </mdx>
    <mdx n="0" f="v">
      <t c="8">
        <n x="1" s="1"/>
        <n x="2" s="1"/>
        <n x="5" s="1"/>
        <n x="3" s="1"/>
        <n x="4" s="1"/>
        <n x="104"/>
        <n x="24"/>
        <n x="75"/>
      </t>
    </mdx>
    <mdx n="0" f="v">
      <t c="8">
        <n x="1" s="1"/>
        <n x="2" s="1"/>
        <n x="5" s="1"/>
        <n x="3" s="1"/>
        <n x="4" s="1"/>
        <n x="104"/>
        <n x="24"/>
        <n x="20"/>
      </t>
    </mdx>
    <mdx n="0" f="v">
      <t c="8">
        <n x="1" s="1"/>
        <n x="2" s="1"/>
        <n x="5" s="1"/>
        <n x="3" s="1"/>
        <n x="4" s="1"/>
        <n x="104"/>
        <n x="24"/>
        <n x="52"/>
      </t>
    </mdx>
    <mdx n="0" f="v">
      <t c="8">
        <n x="1" s="1"/>
        <n x="2" s="1"/>
        <n x="5" s="1"/>
        <n x="3" s="1"/>
        <n x="4" s="1"/>
        <n x="104"/>
        <n x="31"/>
        <n x="108"/>
      </t>
    </mdx>
    <mdx n="0" f="v">
      <t c="8">
        <n x="1" s="1"/>
        <n x="2" s="1"/>
        <n x="5" s="1"/>
        <n x="3" s="1"/>
        <n x="4" s="1"/>
        <n x="104"/>
        <n x="31"/>
        <n x="116"/>
      </t>
    </mdx>
    <mdx n="0" f="v">
      <t c="8">
        <n x="1" s="1"/>
        <n x="2" s="1"/>
        <n x="5" s="1"/>
        <n x="3" s="1"/>
        <n x="4" s="1"/>
        <n x="104"/>
        <n x="99"/>
        <n x="62"/>
      </t>
    </mdx>
    <mdx n="0" f="v">
      <t c="8">
        <n x="1" s="1"/>
        <n x="2" s="1"/>
        <n x="5" s="1"/>
        <n x="3" s="1"/>
        <n x="4" s="1"/>
        <n x="104"/>
        <n x="99"/>
        <n x="160"/>
      </t>
    </mdx>
    <mdx n="0" f="v">
      <t c="8">
        <n x="1" s="1"/>
        <n x="2" s="1"/>
        <n x="5" s="1"/>
        <n x="3" s="1"/>
        <n x="4" s="1"/>
        <n x="104"/>
        <n x="99"/>
        <n x="33"/>
      </t>
    </mdx>
    <mdx n="0" f="v">
      <t c="8">
        <n x="1" s="1"/>
        <n x="2" s="1"/>
        <n x="5" s="1"/>
        <n x="3" s="1"/>
        <n x="4" s="1"/>
        <n x="104"/>
        <n x="112"/>
        <n x="19"/>
      </t>
    </mdx>
    <mdx n="0" f="v">
      <t c="8">
        <n x="1" s="1"/>
        <n x="2" s="1"/>
        <n x="5" s="1"/>
        <n x="3" s="1"/>
        <n x="4" s="1"/>
        <n x="104"/>
        <n x="112"/>
        <n x="85"/>
      </t>
    </mdx>
    <mdx n="0" f="v">
      <t c="8">
        <n x="1" s="1"/>
        <n x="2" s="1"/>
        <n x="5" s="1"/>
        <n x="3" s="1"/>
        <n x="4" s="1"/>
        <n x="104"/>
        <n x="112"/>
        <n x="86"/>
      </t>
    </mdx>
    <mdx n="0" f="v">
      <t c="8">
        <n x="1" s="1"/>
        <n x="2" s="1"/>
        <n x="5" s="1"/>
        <n x="3" s="1"/>
        <n x="4" s="1"/>
        <n x="104"/>
        <n x="106"/>
        <n x="147"/>
      </t>
    </mdx>
    <mdx n="0" f="v">
      <t c="8">
        <n x="1" s="1"/>
        <n x="2" s="1"/>
        <n x="5" s="1"/>
        <n x="3" s="1"/>
        <n x="4" s="1"/>
        <n x="104"/>
        <n x="106"/>
        <n x="148"/>
      </t>
    </mdx>
    <mdx n="0" f="v">
      <t c="8">
        <n x="1" s="1"/>
        <n x="2" s="1"/>
        <n x="5" s="1"/>
        <n x="3" s="1"/>
        <n x="4" s="1"/>
        <n x="104"/>
        <n x="125"/>
        <n x="84"/>
      </t>
    </mdx>
    <mdx n="0" f="v">
      <t c="8">
        <n x="1" s="1"/>
        <n x="2" s="1"/>
        <n x="5" s="1"/>
        <n x="3" s="1"/>
        <n x="4" s="1"/>
        <n x="104"/>
        <n x="125"/>
        <n x="58"/>
      </t>
    </mdx>
    <mdx n="0" f="v">
      <t c="8">
        <n x="1" s="1"/>
        <n x="2" s="1"/>
        <n x="5" s="1"/>
        <n x="3" s="1"/>
        <n x="4" s="1"/>
        <n x="104"/>
        <n x="125"/>
        <n x="54"/>
      </t>
    </mdx>
    <mdx n="0" f="v">
      <t c="8">
        <n x="1" s="1"/>
        <n x="2" s="1"/>
        <n x="5" s="1"/>
        <n x="3" s="1"/>
        <n x="4" s="1"/>
        <n x="104"/>
        <n x="123"/>
        <n x="109"/>
      </t>
    </mdx>
    <mdx n="0" f="v">
      <t c="8">
        <n x="1" s="1"/>
        <n x="2" s="1"/>
        <n x="5" s="1"/>
        <n x="3" s="1"/>
        <n x="4" s="1"/>
        <n x="104"/>
        <n x="123"/>
        <n x="119"/>
      </t>
    </mdx>
    <mdx n="0" f="v">
      <t c="8">
        <n x="1" s="1"/>
        <n x="2" s="1"/>
        <n x="5" s="1"/>
        <n x="3" s="1"/>
        <n x="4" s="1"/>
        <n x="104"/>
        <n x="39"/>
        <n x="63"/>
      </t>
    </mdx>
    <mdx n="0" f="v">
      <t c="8">
        <n x="1" s="1"/>
        <n x="2" s="1"/>
        <n x="5" s="1"/>
        <n x="3" s="1"/>
        <n x="4" s="1"/>
        <n x="104"/>
        <n x="39"/>
        <n x="162"/>
      </t>
    </mdx>
    <mdx n="0" f="v">
      <t c="8">
        <n x="1" s="1"/>
        <n x="2" s="1"/>
        <n x="5" s="1"/>
        <n x="3" s="1"/>
        <n x="4" s="1"/>
        <n x="104"/>
        <n x="39"/>
        <n x="155"/>
      </t>
    </mdx>
    <mdx n="0" f="v">
      <t c="8">
        <n x="1" s="1"/>
        <n x="2" s="1"/>
        <n x="5" s="1"/>
        <n x="3" s="1"/>
        <n x="4" s="1"/>
        <n x="104"/>
        <n x="139"/>
        <n x="102"/>
      </t>
    </mdx>
    <mdx n="0" f="v">
      <t c="8">
        <n x="1" s="1"/>
        <n x="2" s="1"/>
        <n x="5" s="1"/>
        <n x="3" s="1"/>
        <n x="4" s="1"/>
        <n x="104"/>
        <n x="139"/>
        <n x="94"/>
      </t>
    </mdx>
    <mdx n="0" f="v">
      <t c="8">
        <n x="1" s="1"/>
        <n x="2" s="1"/>
        <n x="5" s="1"/>
        <n x="3" s="1"/>
        <n x="4" s="1"/>
        <n x="104"/>
        <n x="139"/>
        <n x="95"/>
      </t>
    </mdx>
    <mdx n="0" f="v">
      <t c="8">
        <n x="1" s="1"/>
        <n x="2" s="1"/>
        <n x="5" s="1"/>
        <n x="3" s="1"/>
        <n x="4" s="1"/>
        <n x="104"/>
        <n x="144"/>
        <n x="59"/>
      </t>
    </mdx>
    <mdx n="0" f="v">
      <t c="8">
        <n x="1" s="1"/>
        <n x="2" s="1"/>
        <n x="5" s="1"/>
        <n x="3" s="1"/>
        <n x="4" s="1"/>
        <n x="104"/>
        <n x="144"/>
        <n x="87"/>
      </t>
    </mdx>
    <mdx n="0" f="v">
      <t c="8">
        <n x="1" s="1"/>
        <n x="2" s="1"/>
        <n x="5" s="1"/>
        <n x="3" s="1"/>
        <n x="4" s="1"/>
        <n x="104"/>
        <n x="96"/>
        <n x="84"/>
      </t>
    </mdx>
    <mdx n="0" f="v">
      <t c="8">
        <n x="1" s="1"/>
        <n x="2" s="1"/>
        <n x="5" s="1"/>
        <n x="3" s="1"/>
        <n x="4" s="1"/>
        <n x="104"/>
        <n x="96"/>
        <n x="14"/>
      </t>
    </mdx>
    <mdx n="0" f="v">
      <t c="8">
        <n x="1" s="1"/>
        <n x="2" s="1"/>
        <n x="5" s="1"/>
        <n x="3" s="1"/>
        <n x="4" s="1"/>
        <n x="104"/>
        <n x="96"/>
        <n x="155"/>
      </t>
    </mdx>
    <mdx n="0" f="v">
      <t c="8">
        <n x="1" s="1"/>
        <n x="2" s="1"/>
        <n x="5" s="1"/>
        <n x="3" s="1"/>
        <n x="4" s="1"/>
        <n x="104"/>
        <n x="151"/>
        <n x="28"/>
      </t>
    </mdx>
    <mdx n="0" f="v">
      <t c="8">
        <n x="1" s="1"/>
        <n x="2" s="1"/>
        <n x="5" s="1"/>
        <n x="3" s="1"/>
        <n x="4" s="1"/>
        <n x="104"/>
        <n x="151"/>
        <n x="20"/>
      </t>
    </mdx>
    <mdx n="0" f="v">
      <t c="8">
        <n x="1" s="1"/>
        <n x="2" s="1"/>
        <n x="5" s="1"/>
        <n x="3" s="1"/>
        <n x="4" s="1"/>
        <n x="104"/>
        <n x="151"/>
        <n x="155"/>
      </t>
    </mdx>
    <mdx n="0" f="v">
      <t c="8">
        <n x="1" s="1"/>
        <n x="2" s="1"/>
        <n x="5" s="1"/>
        <n x="3" s="1"/>
        <n x="4" s="1"/>
        <n x="104"/>
        <n x="157"/>
        <n x="28"/>
      </t>
    </mdx>
    <mdx n="0" f="v">
      <t c="8">
        <n x="1" s="1"/>
        <n x="2" s="1"/>
        <n x="5" s="1"/>
        <n x="3" s="1"/>
        <n x="4" s="1"/>
        <n x="104"/>
        <n x="157"/>
        <n x="20"/>
      </t>
    </mdx>
    <mdx n="0" f="v">
      <t c="8">
        <n x="1" s="1"/>
        <n x="2" s="1"/>
        <n x="5" s="1"/>
        <n x="3" s="1"/>
        <n x="4" s="1"/>
        <n x="104"/>
        <n x="157"/>
        <n x="33"/>
      </t>
    </mdx>
    <mdx n="0" f="v">
      <t c="8">
        <n x="1" s="1"/>
        <n x="2" s="1"/>
        <n x="5" s="1"/>
        <n x="3" s="1"/>
        <n x="4" s="1"/>
        <n x="104"/>
        <n x="159"/>
        <n x="93"/>
      </t>
    </mdx>
    <mdx n="0" f="v">
      <t c="8">
        <n x="1" s="1"/>
        <n x="2" s="1"/>
        <n x="5" s="1"/>
        <n x="3" s="1"/>
        <n x="4" s="1"/>
        <n x="104"/>
        <n x="159"/>
        <n x="162"/>
      </t>
    </mdx>
    <mdx n="0" f="v">
      <t c="8">
        <n x="1" s="1"/>
        <n x="2" s="1"/>
        <n x="5" s="1"/>
        <n x="3" s="1"/>
        <n x="4" s="1"/>
        <n x="104"/>
        <n x="159"/>
        <n x="87"/>
      </t>
    </mdx>
    <mdx n="0" f="v">
      <t c="8">
        <n x="1" s="1"/>
        <n x="2" s="1"/>
        <n x="5" s="1"/>
        <n x="3" s="1"/>
        <n x="4" s="1"/>
        <n x="104"/>
        <n x="57"/>
        <n x="63"/>
      </t>
    </mdx>
    <mdx n="0" f="v">
      <t c="8">
        <n x="1" s="1"/>
        <n x="2" s="1"/>
        <n x="5" s="1"/>
        <n x="3" s="1"/>
        <n x="4" s="1"/>
        <n x="104"/>
        <n x="57"/>
        <n x="154"/>
      </t>
    </mdx>
    <mdx n="0" f="v">
      <t c="8">
        <n x="1" s="1"/>
        <n x="2" s="1"/>
        <n x="5" s="1"/>
        <n x="3" s="1"/>
        <n x="4" s="1"/>
        <n x="104"/>
        <n x="57"/>
        <n x="127"/>
      </t>
    </mdx>
    <mdx n="0" f="v">
      <t c="8">
        <n x="1" s="1"/>
        <n x="2" s="1"/>
        <n x="5" s="1"/>
        <n x="3" s="1"/>
        <n x="4" s="1"/>
        <n x="104"/>
        <n x="10"/>
        <n x="164" s="1"/>
      </t>
    </mdx>
    <mdx n="0" f="v">
      <t c="8">
        <n x="1" s="1"/>
        <n x="2" s="1"/>
        <n x="5" s="1"/>
        <n x="3" s="1"/>
        <n x="4" s="1"/>
        <n x="104"/>
        <n x="10"/>
        <n x="128"/>
      </t>
    </mdx>
    <mdx n="0" f="v">
      <t c="8">
        <n x="1" s="1"/>
        <n x="2" s="1"/>
        <n x="5" s="1"/>
        <n x="3" s="1"/>
        <n x="4" s="1"/>
        <n x="104"/>
        <n x="10"/>
        <n x="116"/>
      </t>
    </mdx>
    <mdx n="0" f="v">
      <t c="8">
        <n x="1" s="1"/>
        <n x="2" s="1"/>
        <n x="5" s="1"/>
        <n x="3" s="1"/>
        <n x="4" s="1"/>
        <n x="104"/>
        <n x="10"/>
        <n x="77"/>
      </t>
    </mdx>
    <mdx n="0" f="v">
      <t c="8">
        <n x="1" s="1"/>
        <n x="2" s="1"/>
        <n x="5" s="1"/>
        <n x="3" s="1"/>
        <n x="4" s="1"/>
        <n x="104"/>
        <n x="25"/>
        <n x="108"/>
      </t>
    </mdx>
    <mdx n="0" f="v">
      <t c="8">
        <n x="1" s="1"/>
        <n x="2" s="1"/>
        <n x="5" s="1"/>
        <n x="3" s="1"/>
        <n x="4" s="1"/>
        <n x="104"/>
        <n x="25"/>
        <n x="94"/>
      </t>
    </mdx>
    <mdx n="0" f="v">
      <t c="8">
        <n x="1" s="1"/>
        <n x="2" s="1"/>
        <n x="5" s="1"/>
        <n x="3" s="1"/>
        <n x="4" s="1"/>
        <n x="104"/>
        <n x="25"/>
        <n x="54"/>
      </t>
    </mdx>
    <mdx n="0" f="v">
      <t c="8">
        <n x="1" s="1"/>
        <n x="2" s="1"/>
        <n x="5" s="1"/>
        <n x="3" s="1"/>
        <n x="4" s="1"/>
        <n x="104"/>
        <n x="18"/>
        <n x="102"/>
      </t>
    </mdx>
    <mdx n="0" f="v">
      <t c="8">
        <n x="1" s="1"/>
        <n x="2" s="1"/>
        <n x="5" s="1"/>
        <n x="3" s="1"/>
        <n x="4" s="1"/>
        <n x="104"/>
        <n x="18"/>
        <n x="58"/>
      </t>
    </mdx>
    <mdx n="0" f="v">
      <t c="8">
        <n x="1" s="1"/>
        <n x="2" s="1"/>
        <n x="5" s="1"/>
        <n x="3" s="1"/>
        <n x="4" s="1"/>
        <n x="104"/>
        <n x="18"/>
        <n x="155"/>
      </t>
    </mdx>
    <mdx n="0" f="v">
      <t c="8">
        <n x="1" s="1"/>
        <n x="2" s="1"/>
        <n x="5" s="1"/>
        <n x="3" s="1"/>
        <n x="4" s="1"/>
        <n x="104"/>
        <n x="68"/>
        <n x="13"/>
      </t>
    </mdx>
    <mdx n="0" f="v">
      <t c="8">
        <n x="1" s="1"/>
        <n x="2" s="1"/>
        <n x="5" s="1"/>
        <n x="3" s="1"/>
        <n x="4" s="1"/>
        <n x="104"/>
        <n x="68"/>
        <n x="14"/>
      </t>
    </mdx>
    <mdx n="0" f="v">
      <t c="8">
        <n x="1" s="1"/>
        <n x="2" s="1"/>
        <n x="5" s="1"/>
        <n x="3" s="1"/>
        <n x="4" s="1"/>
        <n x="104"/>
        <n x="68"/>
        <n x="15"/>
      </t>
    </mdx>
    <mdx n="0" f="v">
      <t c="8">
        <n x="1" s="1"/>
        <n x="2" s="1"/>
        <n x="5" s="1"/>
        <n x="3" s="1"/>
        <n x="4" s="1"/>
        <n x="104"/>
        <n x="73"/>
        <n x="75"/>
      </t>
    </mdx>
    <mdx n="0" f="v">
      <t c="8">
        <n x="1" s="1"/>
        <n x="2" s="1"/>
        <n x="5" s="1"/>
        <n x="3" s="1"/>
        <n x="4" s="1"/>
        <n x="104"/>
        <n x="73"/>
        <n x="48"/>
      </t>
    </mdx>
    <mdx n="0" f="v">
      <t c="8">
        <n x="1" s="1"/>
        <n x="2" s="1"/>
        <n x="5" s="1"/>
        <n x="3" s="1"/>
        <n x="4" s="1"/>
        <n x="104"/>
        <n x="73"/>
        <n x="141"/>
      </t>
    </mdx>
    <mdx n="0" f="v">
      <t c="8">
        <n x="1" s="1"/>
        <n x="2" s="1"/>
        <n x="5" s="1"/>
        <n x="3" s="1"/>
        <n x="4" s="1"/>
        <n x="104"/>
        <n x="82"/>
        <n x="56"/>
      </t>
    </mdx>
    <mdx n="0" f="v">
      <t c="8">
        <n x="1" s="1"/>
        <n x="2" s="1"/>
        <n x="5" s="1"/>
        <n x="3" s="1"/>
        <n x="4" s="1"/>
        <n x="104"/>
        <n x="82"/>
        <n x="147"/>
      </t>
    </mdx>
    <mdx n="0" f="v">
      <t c="8">
        <n x="1" s="1"/>
        <n x="2" s="1"/>
        <n x="5" s="1"/>
        <n x="3" s="1"/>
        <n x="4" s="1"/>
        <n x="104"/>
        <n x="82"/>
        <n x="119"/>
      </t>
    </mdx>
    <mdx n="0" f="v">
      <t c="8">
        <n x="1" s="1"/>
        <n x="2" s="1"/>
        <n x="5" s="1"/>
        <n x="3" s="1"/>
        <n x="4" s="1"/>
        <n x="104"/>
        <n x="82"/>
        <n x="86"/>
      </t>
    </mdx>
    <mdx n="0" f="v">
      <t c="8">
        <n x="1" s="1"/>
        <n x="2" s="1"/>
        <n x="5" s="1"/>
        <n x="3" s="1"/>
        <n x="4" s="1"/>
        <n x="104"/>
        <n x="91"/>
        <n x="109"/>
      </t>
    </mdx>
    <mdx n="0" f="v">
      <t c="8">
        <n x="1" s="1"/>
        <n x="2" s="1"/>
        <n x="5" s="1"/>
        <n x="3" s="1"/>
        <n x="4" s="1"/>
        <n x="104"/>
        <n x="91"/>
        <n x="103"/>
      </t>
    </mdx>
    <mdx n="0" f="v">
      <t c="8">
        <n x="1" s="1"/>
        <n x="2" s="1"/>
        <n x="5" s="1"/>
        <n x="3" s="1"/>
        <n x="4" s="1"/>
        <n x="104"/>
        <n x="91"/>
        <n x="69"/>
      </t>
    </mdx>
    <mdx n="0" f="v">
      <t c="8">
        <n x="1" s="1"/>
        <n x="2" s="1"/>
        <n x="5" s="1"/>
        <n x="3" s="1"/>
        <n x="4" s="1"/>
        <n x="104"/>
        <n x="100"/>
        <n x="115"/>
      </t>
    </mdx>
    <mdx n="0" f="v">
      <t c="8">
        <n x="1" s="1"/>
        <n x="2" s="1"/>
        <n x="5" s="1"/>
        <n x="3" s="1"/>
        <n x="4" s="1"/>
        <n x="104"/>
        <n x="100"/>
        <n x="76"/>
      </t>
    </mdx>
    <mdx n="0" f="v">
      <t c="8">
        <n x="1" s="1"/>
        <n x="2" s="1"/>
        <n x="5" s="1"/>
        <n x="3" s="1"/>
        <n x="4" s="1"/>
        <n x="104"/>
        <n x="100"/>
        <n x="49"/>
      </t>
    </mdx>
    <mdx n="0" f="v">
      <t c="8">
        <n x="1" s="1"/>
        <n x="2" s="1"/>
        <n x="5" s="1"/>
        <n x="3" s="1"/>
        <n x="4" s="1"/>
        <n x="104"/>
        <n x="40"/>
        <n x="28"/>
      </t>
    </mdx>
    <mdx n="0" f="v">
      <t c="8">
        <n x="1" s="1"/>
        <n x="2" s="1"/>
        <n x="5" s="1"/>
        <n x="3" s="1"/>
        <n x="4" s="1"/>
        <n x="104"/>
        <n x="40"/>
        <n x="29"/>
      </t>
    </mdx>
    <mdx n="0" f="v">
      <t c="8">
        <n x="1" s="1"/>
        <n x="2" s="1"/>
        <n x="5" s="1"/>
        <n x="3" s="1"/>
        <n x="4" s="1"/>
        <n x="104"/>
        <n x="40"/>
        <n x="16"/>
      </t>
    </mdx>
    <mdx n="0" f="v">
      <t c="8">
        <n x="1" s="1"/>
        <n x="2" s="1"/>
        <n x="5" s="1"/>
        <n x="3" s="1"/>
        <n x="4" s="1"/>
        <n x="104"/>
        <n x="113"/>
        <n x="84"/>
      </t>
    </mdx>
    <mdx n="0" f="v">
      <t c="8">
        <n x="1" s="1"/>
        <n x="2" s="1"/>
        <n x="5" s="1"/>
        <n x="3" s="1"/>
        <n x="4" s="1"/>
        <n x="104"/>
        <n x="113"/>
        <n x="160"/>
      </t>
    </mdx>
    <mdx n="0" f="v">
      <t c="8">
        <n x="1" s="1"/>
        <n x="2" s="1"/>
        <n x="5" s="1"/>
        <n x="3" s="1"/>
        <n x="4" s="1"/>
        <n x="104"/>
        <n x="113"/>
        <n x="148"/>
      </t>
    </mdx>
    <mdx n="0" f="v">
      <t c="8">
        <n x="1" s="1"/>
        <n x="2" s="1"/>
        <n x="5" s="1"/>
        <n x="3" s="1"/>
        <n x="4" s="1"/>
        <n x="104"/>
        <n x="131"/>
        <n x="62"/>
      </t>
    </mdx>
    <mdx n="0" f="v">
      <t c="8">
        <n x="1" s="1"/>
        <n x="2" s="1"/>
        <n x="5" s="1"/>
        <n x="3" s="1"/>
        <n x="4" s="1"/>
        <n x="104"/>
        <n x="131"/>
        <n x="59"/>
      </t>
    </mdx>
    <mdx n="0" f="v">
      <t c="8">
        <n x="1" s="1"/>
        <n x="2" s="1"/>
        <n x="5" s="1"/>
        <n x="3" s="1"/>
        <n x="4" s="1"/>
        <n x="104"/>
        <n x="131"/>
        <n x="122"/>
      </t>
    </mdx>
    <mdx n="0" f="v">
      <t c="8">
        <n x="1" s="1"/>
        <n x="2" s="1"/>
        <n x="5" s="1"/>
        <n x="3" s="1"/>
        <n x="4" s="1"/>
        <n x="104"/>
        <n x="131"/>
        <n x="95"/>
      </t>
    </mdx>
    <mdx n="0" f="v">
      <t c="8">
        <n x="1" s="1"/>
        <n x="2" s="1"/>
        <n x="5" s="1"/>
        <n x="3" s="1"/>
        <n x="4" s="1"/>
        <n x="104"/>
        <n x="134"/>
        <n x="43"/>
      </t>
    </mdx>
    <mdx n="0" f="v">
      <t c="8">
        <n x="1" s="1"/>
        <n x="2" s="1"/>
        <n x="5" s="1"/>
        <n x="3" s="1"/>
        <n x="4" s="1"/>
        <n x="104"/>
        <n x="134"/>
        <n x="44"/>
      </t>
    </mdx>
    <mdx n="0" f="v">
      <t c="8">
        <n x="1" s="1"/>
        <n x="2" s="1"/>
        <n x="5" s="1"/>
        <n x="3" s="1"/>
        <n x="4" s="1"/>
        <n x="104"/>
        <n x="134"/>
        <n x="45"/>
      </t>
    </mdx>
    <mdx n="0" f="v">
      <t c="8">
        <n x="1" s="1"/>
        <n x="2" s="1"/>
        <n x="5" s="1"/>
        <n x="3" s="1"/>
        <n x="4" s="1"/>
        <n x="104"/>
        <n x="140"/>
        <n x="107"/>
      </t>
    </mdx>
    <mdx n="0" f="v">
      <t c="8">
        <n x="1" s="1"/>
        <n x="2" s="1"/>
        <n x="5" s="1"/>
        <n x="3" s="1"/>
        <n x="4" s="1"/>
        <n x="104"/>
        <n x="140"/>
        <n x="85"/>
      </t>
    </mdx>
    <mdx n="0" f="v">
      <t c="8">
        <n x="1" s="1"/>
        <n x="2" s="1"/>
        <n x="5" s="1"/>
        <n x="3" s="1"/>
        <n x="4" s="1"/>
        <n x="104"/>
        <n x="140"/>
        <n x="52"/>
      </t>
    </mdx>
    <mdx n="0" f="v">
      <t c="8">
        <n x="1" s="1"/>
        <n x="2" s="1"/>
        <n x="5" s="1"/>
        <n x="3" s="1"/>
        <n x="4" s="1"/>
        <n x="104"/>
        <n x="145"/>
        <n x="19"/>
      </t>
    </mdx>
    <mdx n="0" f="v">
      <t c="8">
        <n x="1" s="1"/>
        <n x="2" s="1"/>
        <n x="5" s="1"/>
        <n x="3" s="1"/>
        <n x="4" s="1"/>
        <n x="104"/>
        <n x="145"/>
        <n x="20"/>
      </t>
    </mdx>
    <mdx n="0" f="v">
      <t c="8">
        <n x="1" s="1"/>
        <n x="2" s="1"/>
        <n x="5" s="1"/>
        <n x="3" s="1"/>
        <n x="4" s="1"/>
        <n x="104"/>
        <n x="145"/>
        <n x="33"/>
      </t>
    </mdx>
    <mdx n="0" f="v">
      <t c="8">
        <n x="1" s="1"/>
        <n x="2" s="1"/>
        <n x="5" s="1"/>
        <n x="3" s="1"/>
        <n x="4" s="1"/>
        <n x="104"/>
        <n x="129"/>
        <n x="93"/>
      </t>
    </mdx>
    <mdx n="0" f="v">
      <t c="8">
        <n x="1" s="1"/>
        <n x="2" s="1"/>
        <n x="5" s="1"/>
        <n x="3" s="1"/>
        <n x="4" s="1"/>
        <n x="104"/>
        <n x="129"/>
        <n x="162"/>
      </t>
    </mdx>
    <mdx n="0" f="v">
      <t c="8">
        <n x="1" s="1"/>
        <n x="2" s="1"/>
        <n x="5" s="1"/>
        <n x="3" s="1"/>
        <n x="4" s="1"/>
        <n x="104"/>
        <n x="129"/>
        <n x="87"/>
      </t>
    </mdx>
    <mdx n="0" f="v">
      <t c="8">
        <n x="1" s="1"/>
        <n x="2" s="1"/>
        <n x="5" s="1"/>
        <n x="3" s="1"/>
        <n x="4" s="1"/>
        <n x="104"/>
        <n x="11"/>
        <n x="63"/>
      </t>
    </mdx>
    <mdx n="0" f="v">
      <t c="8">
        <n x="1" s="1"/>
        <n x="2" s="1"/>
        <n x="5" s="1"/>
        <n x="3" s="1"/>
        <n x="4" s="1"/>
        <n x="104"/>
        <n x="11"/>
        <n x="154"/>
      </t>
    </mdx>
    <mdx n="0" f="v">
      <t c="8">
        <n x="1" s="1"/>
        <n x="2" s="1"/>
        <n x="5" s="1"/>
        <n x="3" s="1"/>
        <n x="4" s="1"/>
        <n x="104"/>
        <n x="11"/>
        <n x="127"/>
      </t>
    </mdx>
    <mdx n="0" f="v">
      <t c="8">
        <n x="1" s="1"/>
        <n x="2" s="1"/>
        <n x="5" s="1"/>
        <n x="3" s="1"/>
        <n x="4" s="1"/>
        <n x="104"/>
        <n x="105"/>
        <n x="116"/>
      </t>
    </mdx>
    <mdx n="0" f="v">
      <t c="8">
        <n x="1" s="1"/>
        <n x="2" s="1"/>
        <n x="5" s="1"/>
        <n x="3" s="1"/>
        <n x="4" s="1"/>
        <n x="104"/>
        <n x="72"/>
        <n x="84"/>
      </t>
    </mdx>
    <mdx n="0" f="v">
      <t c="8">
        <n x="1" s="1"/>
        <n x="2" s="1"/>
        <n x="5" s="1"/>
        <n x="3" s="1"/>
        <n x="4" s="1"/>
        <n x="104"/>
        <n x="99"/>
        <n x="15"/>
      </t>
    </mdx>
    <mdx n="0" f="v">
      <t c="8">
        <n x="1" s="1"/>
        <n x="2" s="1"/>
        <n x="5" s="1"/>
        <n x="3" s="1"/>
        <n x="4" s="1"/>
        <n x="104"/>
        <n x="139"/>
        <n x="86"/>
      </t>
    </mdx>
    <mdx n="0" f="v">
      <t c="8">
        <n x="1" s="1"/>
        <n x="2" s="1"/>
        <n x="5" s="1"/>
        <n x="3" s="1"/>
        <n x="4" s="1"/>
        <n x="104"/>
        <n x="57"/>
        <n x="59"/>
      </t>
    </mdx>
    <mdx n="0" f="v">
      <t c="8">
        <n x="1" s="1"/>
        <n x="2" s="1"/>
        <n x="5" s="1"/>
        <n x="3" s="1"/>
        <n x="4" s="1"/>
        <n x="104"/>
        <n x="68"/>
        <n x="87"/>
      </t>
    </mdx>
    <mdx n="0" f="v">
      <t c="8">
        <n x="1" s="1"/>
        <n x="2" s="1"/>
        <n x="5" s="1"/>
        <n x="3" s="1"/>
        <n x="4" s="1"/>
        <n x="104"/>
        <n x="73"/>
        <n x="155"/>
      </t>
    </mdx>
    <mdx n="0" f="v">
      <t c="8">
        <n x="1" s="1"/>
        <n x="2" s="1"/>
        <n x="5" s="1"/>
        <n x="3" s="1"/>
        <n x="4" s="1"/>
        <n x="104"/>
        <n x="82"/>
        <n x="85"/>
      </t>
    </mdx>
    <mdx n="0" f="v">
      <t c="8">
        <n x="1" s="1"/>
        <n x="2" s="1"/>
        <n x="5" s="1"/>
        <n x="3" s="1"/>
        <n x="4" s="1"/>
        <n x="104"/>
        <n x="91"/>
        <n x="108"/>
      </t>
    </mdx>
    <mdx n="0" f="v">
      <t c="8">
        <n x="1" s="1"/>
        <n x="2" s="1"/>
        <n x="5" s="1"/>
        <n x="3" s="1"/>
        <n x="4" s="1"/>
        <n x="104"/>
        <n x="91"/>
        <n x="77"/>
      </t>
    </mdx>
    <mdx n="0" f="v">
      <t c="8">
        <n x="1" s="1"/>
        <n x="2" s="1"/>
        <n x="5" s="1"/>
        <n x="3" s="1"/>
        <n x="4" s="1"/>
        <n x="104"/>
        <n x="100"/>
        <n x="58"/>
      </t>
    </mdx>
    <mdx n="0" f="v">
      <t c="8">
        <n x="1" s="1"/>
        <n x="2" s="1"/>
        <n x="5" s="1"/>
        <n x="3" s="1"/>
        <n x="4" s="1"/>
        <n x="104"/>
        <n x="40"/>
        <n x="63"/>
      </t>
    </mdx>
    <mdx n="0" f="v">
      <t c="8">
        <n x="1" s="1"/>
        <n x="2" s="1"/>
        <n x="5" s="1"/>
        <n x="3" s="1"/>
        <n x="4" s="1"/>
        <n x="104"/>
        <n x="40"/>
        <n x="76"/>
      </t>
    </mdx>
    <mdx n="0" f="v">
      <t c="8">
        <n x="1" s="1"/>
        <n x="2" s="1"/>
        <n x="5" s="1"/>
        <n x="3" s="1"/>
        <n x="4" s="1"/>
        <n x="104"/>
        <n x="113"/>
        <n x="164" s="1"/>
      </t>
    </mdx>
    <mdx n="0" f="v">
      <t c="8">
        <n x="1" s="1"/>
        <n x="2" s="1"/>
        <n x="5" s="1"/>
        <n x="3" s="1"/>
        <n x="4" s="1"/>
        <n x="104"/>
        <n x="113"/>
        <n x="14"/>
      </t>
    </mdx>
    <mdx n="0" f="v">
      <t c="8">
        <n x="1" s="1"/>
        <n x="2" s="1"/>
        <n x="5" s="1"/>
        <n x="3" s="1"/>
        <n x="4" s="1"/>
        <n x="104"/>
        <n x="113"/>
        <n x="45"/>
      </t>
    </mdx>
    <mdx n="0" f="v">
      <t c="8">
        <n x="1" s="1"/>
        <n x="2" s="1"/>
        <n x="5" s="1"/>
        <n x="3" s="1"/>
        <n x="4" s="1"/>
        <n x="104"/>
        <n x="131"/>
        <n x="154"/>
      </t>
    </mdx>
    <mdx n="0" f="v">
      <t c="8">
        <n x="1" s="1"/>
        <n x="2" s="1"/>
        <n x="5" s="1"/>
        <n x="3" s="1"/>
        <n x="4" s="1"/>
        <n x="104"/>
        <n x="131"/>
        <n x="33"/>
      </t>
    </mdx>
    <mdx n="0" f="v">
      <t c="8">
        <n x="1" s="1"/>
        <n x="2" s="1"/>
        <n x="5" s="1"/>
        <n x="3" s="1"/>
        <n x="4" s="1"/>
        <n x="104"/>
        <n x="134"/>
        <n x="109"/>
      </t>
    </mdx>
    <mdx n="0" f="v">
      <t c="8">
        <n x="1" s="1"/>
        <n x="2" s="1"/>
        <n x="5" s="1"/>
        <n x="3" s="1"/>
        <n x="4" s="1"/>
        <n x="104"/>
        <n x="134"/>
        <n x="148"/>
      </t>
    </mdx>
    <mdx n="0" f="v">
      <t c="8">
        <n x="1" s="1"/>
        <n x="2" s="1"/>
        <n x="5" s="1"/>
        <n x="3" s="1"/>
        <n x="4" s="1"/>
        <n x="104"/>
        <n x="140"/>
        <n x="19"/>
      </t>
    </mdx>
    <mdx n="0" f="v">
      <t c="8">
        <n x="1" s="1"/>
        <n x="2" s="1"/>
        <n x="5" s="1"/>
        <n x="3" s="1"/>
        <n x="4" s="1"/>
        <n x="104"/>
        <n x="140"/>
        <n x="103"/>
      </t>
    </mdx>
    <mdx n="0" f="v">
      <t c="8">
        <n x="1" s="1"/>
        <n x="2" s="1"/>
        <n x="5" s="1"/>
        <n x="3" s="1"/>
        <n x="4" s="1"/>
        <n x="104"/>
        <n x="140"/>
        <n x="86"/>
      </t>
    </mdx>
    <mdx n="0" f="v">
      <t c="8">
        <n x="1" s="1"/>
        <n x="2" s="1"/>
        <n x="5" s="1"/>
        <n x="3" s="1"/>
        <n x="4" s="1"/>
        <n x="104"/>
        <n x="145"/>
        <n x="154"/>
      </t>
    </mdx>
    <mdx n="0" f="v">
      <t c="8">
        <n x="1" s="1"/>
        <n x="2" s="1"/>
        <n x="5" s="1"/>
        <n x="3" s="1"/>
        <n x="4" s="1"/>
        <n x="104"/>
        <n x="145"/>
        <n x="87"/>
      </t>
    </mdx>
    <mdx n="0" f="v">
      <t c="8">
        <n x="1" s="1"/>
        <n x="2" s="1"/>
        <n x="5" s="1"/>
        <n x="3" s="1"/>
        <n x="4" s="1"/>
        <n x="104"/>
        <n x="129"/>
        <n x="13"/>
      </t>
    </mdx>
    <mdx n="0" f="v">
      <t c="8">
        <n x="1" s="1"/>
        <n x="2" s="1"/>
        <n x="5" s="1"/>
        <n x="3" s="1"/>
        <n x="4" s="1"/>
        <n x="104"/>
        <n x="129"/>
        <n x="58"/>
      </t>
    </mdx>
    <mdx n="0" f="v">
      <t c="8">
        <n x="1" s="1"/>
        <n x="2" s="1"/>
        <n x="5" s="1"/>
        <n x="3" s="1"/>
        <n x="4" s="1"/>
        <n x="104"/>
        <n x="129"/>
        <n x="54"/>
      </t>
    </mdx>
    <mdx n="0" f="v">
      <t c="8">
        <n x="1" s="1"/>
        <n x="2" s="1"/>
        <n x="5" s="1"/>
        <n x="3" s="1"/>
        <n x="4" s="1"/>
        <n x="104"/>
        <n x="11"/>
        <n x="43"/>
      </t>
    </mdx>
    <mdx n="0" f="v">
      <t c="8">
        <n x="1" s="1"/>
        <n x="2" s="1"/>
        <n x="5" s="1"/>
        <n x="3" s="1"/>
        <n x="4" s="1"/>
        <n x="104"/>
        <n x="11"/>
        <n x="122"/>
      </t>
    </mdx>
    <mdx n="0" f="v">
      <t c="8">
        <n x="1" s="1"/>
        <n x="2" s="1"/>
        <n x="5" s="1"/>
        <n x="3" s="1"/>
        <n x="4" s="1"/>
        <n x="104"/>
        <n x="26"/>
        <n x="62"/>
      </t>
    </mdx>
    <mdx n="0" f="v">
      <t c="8">
        <n x="1" s="1"/>
        <n x="2" s="1"/>
        <n x="5" s="1"/>
        <n x="3" s="1"/>
        <n x="4" s="1"/>
        <n x="104"/>
        <n x="26"/>
        <n x="48"/>
      </t>
    </mdx>
    <mdx n="0" f="v">
      <t c="8">
        <n x="1" s="1"/>
        <n x="2" s="1"/>
        <n x="5" s="1"/>
        <n x="3" s="1"/>
        <n x="4" s="1"/>
        <n x="104"/>
        <n x="26"/>
        <n x="87"/>
      </t>
    </mdx>
    <mdx n="0" f="v">
      <t c="8">
        <n x="1" s="1"/>
        <n x="2" s="1"/>
        <n x="5" s="1"/>
        <n x="3" s="1"/>
        <n x="4" s="1"/>
        <n x="104"/>
        <n x="35"/>
        <n x="13"/>
      </t>
    </mdx>
    <mdx n="0" f="v">
      <t c="8">
        <n x="1" s="1"/>
        <n x="2" s="1"/>
        <n x="5" s="1"/>
        <n x="3" s="1"/>
        <n x="4" s="1"/>
        <n x="104"/>
        <n x="35"/>
        <n x="20"/>
      </t>
    </mdx>
    <mdx n="0" f="v">
      <t c="8">
        <n x="1" s="1"/>
        <n x="2" s="1"/>
        <n x="5" s="1"/>
        <n x="3" s="1"/>
        <n x="4" s="1"/>
        <n x="104"/>
        <n x="35"/>
        <n x="49"/>
      </t>
    </mdx>
    <mdx n="0" f="v">
      <t c="8">
        <n x="1" s="1"/>
        <n x="2" s="1"/>
        <n x="5" s="1"/>
        <n x="3" s="1"/>
        <n x="4" s="1"/>
        <n x="104"/>
        <n x="152"/>
        <n x="19"/>
      </t>
    </mdx>
    <mdx n="0" f="v">
      <t c="8">
        <n x="1" s="1"/>
        <n x="2" s="1"/>
        <n x="5" s="1"/>
        <n x="3" s="1"/>
        <n x="4" s="1"/>
        <n x="104"/>
        <n x="152"/>
        <n x="58"/>
      </t>
    </mdx>
    <mdx n="0" f="v">
      <t c="8">
        <n x="1" s="1"/>
        <n x="2" s="1"/>
        <n x="5" s="1"/>
        <n x="3" s="1"/>
        <n x="4" s="1"/>
        <n x="104"/>
        <n x="152"/>
        <n x="49"/>
      </t>
    </mdx>
    <mdx n="0" f="v">
      <t c="8">
        <n x="1" s="1"/>
        <n x="2" s="1"/>
        <n x="5" s="1"/>
        <n x="3" s="1"/>
        <n x="4" s="1"/>
        <n x="104"/>
        <n x="47"/>
        <n x="28"/>
      </t>
    </mdx>
    <mdx n="0" f="v">
      <t c="8">
        <n x="1" s="1"/>
        <n x="2" s="1"/>
        <n x="5" s="1"/>
        <n x="3" s="1"/>
        <n x="4" s="1"/>
        <n x="104"/>
        <n x="47"/>
        <n x="29"/>
      </t>
    </mdx>
    <mdx n="0" f="v">
      <t c="8">
        <n x="1" s="1"/>
        <n x="2" s="1"/>
        <n x="5" s="1"/>
        <n x="3" s="1"/>
        <n x="4" s="1"/>
        <n x="104"/>
        <n x="47"/>
        <n x="16"/>
      </t>
    </mdx>
    <mdx n="0" f="v">
      <t c="8">
        <n x="1" s="1"/>
        <n x="2" s="1"/>
        <n x="5" s="1"/>
        <n x="3" s="1"/>
        <n x="4" s="1"/>
        <n x="104"/>
        <n x="51"/>
        <n x="84"/>
      </t>
    </mdx>
    <mdx n="0" f="v">
      <t c="8">
        <n x="1" s="1"/>
        <n x="2" s="1"/>
        <n x="5" s="1"/>
        <n x="3" s="1"/>
        <n x="4" s="1"/>
        <n x="104"/>
        <n x="51"/>
        <n x="160"/>
      </t>
    </mdx>
    <mdx n="0" f="v">
      <t c="8">
        <n x="1" s="1"/>
        <n x="2" s="1"/>
        <n x="5" s="1"/>
        <n x="3" s="1"/>
        <n x="4" s="1"/>
        <n x="104"/>
        <n x="51"/>
        <n x="148"/>
      </t>
    </mdx>
    <mdx n="0" f="v">
      <t c="8">
        <n x="1" s="1"/>
        <n x="2" s="1"/>
        <n x="5" s="1"/>
        <n x="3" s="1"/>
        <n x="4" s="1"/>
        <n x="104"/>
        <n x="53"/>
        <n x="62"/>
      </t>
    </mdx>
    <mdx n="0" f="v">
      <t c="8">
        <n x="1" s="1"/>
        <n x="2" s="1"/>
        <n x="5" s="1"/>
        <n x="3" s="1"/>
        <n x="4" s="1"/>
        <n x="104"/>
        <n x="53"/>
        <n x="59"/>
      </t>
    </mdx>
    <mdx n="0" f="v">
      <t c="8">
        <n x="1" s="1"/>
        <n x="2" s="1"/>
        <n x="5" s="1"/>
        <n x="3" s="1"/>
        <n x="4" s="1"/>
        <n x="104"/>
        <n x="53"/>
        <n x="122"/>
      </t>
    </mdx>
    <mdx n="0" f="v">
      <t c="8">
        <n x="1" s="1"/>
        <n x="2" s="1"/>
        <n x="5" s="1"/>
        <n x="3" s="1"/>
        <n x="4" s="1"/>
        <n x="104"/>
        <n x="53"/>
        <n x="95"/>
      </t>
    </mdx>
    <mdx n="0" f="v">
      <t c="8">
        <n x="1" s="1"/>
        <n x="2" s="1"/>
        <n x="5" s="1"/>
        <n x="3" s="1"/>
        <n x="4" s="1"/>
        <n x="104"/>
        <n x="55"/>
        <n x="43"/>
      </t>
    </mdx>
    <mdx n="0" f="v">
      <t c="8">
        <n x="1" s="1"/>
        <n x="2" s="1"/>
        <n x="5" s="1"/>
        <n x="3" s="1"/>
        <n x="4" s="1"/>
        <n x="104"/>
        <n x="55"/>
        <n x="44"/>
      </t>
    </mdx>
    <mdx n="0" f="v">
      <t c="8">
        <n x="1" s="1"/>
        <n x="2" s="1"/>
        <n x="5" s="1"/>
        <n x="3" s="1"/>
        <n x="4" s="1"/>
        <n x="104"/>
        <n x="55"/>
        <n x="45"/>
      </t>
    </mdx>
    <mdx n="0" f="v">
      <t c="8">
        <n x="1" s="1"/>
        <n x="2" s="1"/>
        <n x="5" s="1"/>
        <n x="3" s="1"/>
        <n x="4" s="1"/>
        <n x="104"/>
        <n x="41"/>
        <n x="107"/>
      </t>
    </mdx>
    <mdx n="0" f="v">
      <t c="8">
        <n x="1" s="1"/>
        <n x="2" s="1"/>
        <n x="5" s="1"/>
        <n x="3" s="1"/>
        <n x="4" s="1"/>
        <n x="104"/>
        <n x="41"/>
        <n x="85"/>
      </t>
    </mdx>
    <mdx n="0" f="v">
      <t c="8">
        <n x="1" s="1"/>
        <n x="2" s="1"/>
        <n x="5" s="1"/>
        <n x="3" s="1"/>
        <n x="4" s="1"/>
        <n x="104"/>
        <n x="41"/>
        <n x="52"/>
      </t>
    </mdx>
    <mdx n="0" f="v">
      <t c="8">
        <n x="1" s="1"/>
        <n x="2" s="1"/>
        <n x="5" s="1"/>
        <n x="3" s="1"/>
        <n x="4" s="1"/>
        <n x="104"/>
        <n x="74"/>
        <n x="19"/>
      </t>
    </mdx>
    <mdx n="0" f="v">
      <t c="8">
        <n x="1" s="1"/>
        <n x="2" s="1"/>
        <n x="5" s="1"/>
        <n x="3" s="1"/>
        <n x="4" s="1"/>
        <n x="104"/>
        <n x="74"/>
        <n x="20"/>
      </t>
    </mdx>
    <mdx n="0" f="v">
      <t c="8">
        <n x="1" s="1"/>
        <n x="2" s="1"/>
        <n x="5" s="1"/>
        <n x="3" s="1"/>
        <n x="4" s="1"/>
        <n x="104"/>
        <n x="74"/>
        <n x="33"/>
      </t>
    </mdx>
    <mdx n="0" f="v">
      <t c="8">
        <n x="1" s="1"/>
        <n x="2" s="1"/>
        <n x="5" s="1"/>
        <n x="3" s="1"/>
        <n x="4" s="1"/>
        <n x="104"/>
        <n x="83"/>
        <n x="93"/>
      </t>
    </mdx>
    <mdx n="0" f="v">
      <t c="8">
        <n x="1" s="1"/>
        <n x="2" s="1"/>
        <n x="5" s="1"/>
        <n x="3" s="1"/>
        <n x="4" s="1"/>
        <n x="104"/>
        <n x="83"/>
        <n x="162"/>
      </t>
    </mdx>
    <mdx n="0" f="v">
      <t c="8">
        <n x="1" s="1"/>
        <n x="2" s="1"/>
        <n x="5" s="1"/>
        <n x="3" s="1"/>
        <n x="4" s="1"/>
        <n x="104"/>
        <n x="83"/>
        <n x="87"/>
      </t>
    </mdx>
    <mdx n="0" f="v">
      <t c="8">
        <n x="1" s="1"/>
        <n x="2" s="1"/>
        <n x="5" s="1"/>
        <n x="3" s="1"/>
        <n x="4" s="1"/>
        <n x="104"/>
        <n x="92"/>
        <n x="63"/>
      </t>
    </mdx>
    <mdx n="0" f="v">
      <t c="8">
        <n x="1" s="1"/>
        <n x="2" s="1"/>
        <n x="5" s="1"/>
        <n x="3" s="1"/>
        <n x="4" s="1"/>
        <n x="104"/>
        <n x="92"/>
        <n x="154"/>
      </t>
    </mdx>
    <mdx n="0" f="v">
      <t c="8">
        <n x="1" s="1"/>
        <n x="2" s="1"/>
        <n x="5" s="1"/>
        <n x="3" s="1"/>
        <n x="4" s="1"/>
        <n x="104"/>
        <n x="92"/>
        <n x="127"/>
      </t>
    </mdx>
    <mdx n="0" f="v">
      <t c="8">
        <n x="1" s="1"/>
        <n x="2" s="1"/>
        <n x="5" s="1"/>
        <n x="3" s="1"/>
        <n x="4" s="1"/>
        <n x="104"/>
        <n x="101"/>
        <n x="164" s="1"/>
      </t>
    </mdx>
    <mdx n="0" f="v">
      <t c="8">
        <n x="1" s="1"/>
        <n x="2" s="1"/>
        <n x="5" s="1"/>
        <n x="3" s="1"/>
        <n x="4" s="1"/>
        <n x="104"/>
        <n x="101"/>
        <n x="128"/>
      </t>
    </mdx>
    <mdx n="0" f="v">
      <t c="8">
        <n x="1" s="1"/>
        <n x="2" s="1"/>
        <n x="5" s="1"/>
        <n x="3" s="1"/>
        <n x="4" s="1"/>
        <n x="104"/>
        <n x="101"/>
        <n x="116"/>
      </t>
    </mdx>
    <mdx n="0" f="v">
      <t c="8">
        <n x="1" s="1"/>
        <n x="2" s="1"/>
        <n x="5" s="1"/>
        <n x="3" s="1"/>
        <n x="4" s="1"/>
        <n x="104"/>
        <n x="101"/>
        <n x="77"/>
      </t>
    </mdx>
    <mdx n="0" f="v">
      <t c="8">
        <n x="1" s="1"/>
        <n x="2" s="1"/>
        <n x="5" s="1"/>
        <n x="3" s="1"/>
        <n x="4" s="1"/>
        <n x="104"/>
        <n x="114"/>
        <n x="108"/>
      </t>
    </mdx>
    <mdx n="0" f="v">
      <t c="8">
        <n x="1" s="1"/>
        <n x="2" s="1"/>
        <n x="5" s="1"/>
        <n x="3" s="1"/>
        <n x="4" s="1"/>
        <n x="104"/>
        <n x="114"/>
        <n x="94"/>
      </t>
    </mdx>
    <mdx n="0" f="v">
      <t c="8">
        <n x="1" s="1"/>
        <n x="2" s="1"/>
        <n x="5" s="1"/>
        <n x="3" s="1"/>
        <n x="4" s="1"/>
        <n x="104"/>
        <n x="114"/>
        <n x="54"/>
      </t>
    </mdx>
    <mdx n="0" f="v">
      <t c="8">
        <n x="1" s="1"/>
        <n x="2" s="1"/>
        <n x="5" s="1"/>
        <n x="3" s="1"/>
        <n x="4" s="1"/>
        <n x="104"/>
        <n x="118"/>
        <n x="102"/>
      </t>
    </mdx>
    <mdx n="0" f="v">
      <t c="8">
        <n x="1" s="1"/>
        <n x="2" s="1"/>
        <n x="5" s="1"/>
        <n x="3" s="1"/>
        <n x="4" s="1"/>
        <n x="104"/>
        <n x="118"/>
        <n x="58"/>
      </t>
    </mdx>
    <mdx n="0" f="v">
      <t c="8">
        <n x="1" s="1"/>
        <n x="2" s="1"/>
        <n x="5" s="1"/>
        <n x="3" s="1"/>
        <n x="4" s="1"/>
        <n x="104"/>
        <n x="118"/>
        <n x="155"/>
      </t>
    </mdx>
    <mdx n="0" f="v">
      <t c="8">
        <n x="1" s="1"/>
        <n x="2" s="1"/>
        <n x="5" s="1"/>
        <n x="3" s="1"/>
        <n x="4" s="1"/>
        <n x="104"/>
        <n x="121"/>
        <n x="13"/>
      </t>
    </mdx>
    <mdx n="0" f="v">
      <t c="8">
        <n x="1" s="1"/>
        <n x="2" s="1"/>
        <n x="5" s="1"/>
        <n x="3" s="1"/>
        <n x="4" s="1"/>
        <n x="104"/>
        <n x="121"/>
        <n x="14"/>
      </t>
    </mdx>
    <mdx n="0" f="v">
      <t c="8">
        <n x="1" s="1"/>
        <n x="2" s="1"/>
        <n x="5" s="1"/>
        <n x="3" s="1"/>
        <n x="4" s="1"/>
        <n x="104"/>
        <n x="121"/>
        <n x="15"/>
      </t>
    </mdx>
    <mdx n="0" f="v">
      <t c="8">
        <n x="1" s="1"/>
        <n x="2" s="1"/>
        <n x="5" s="1"/>
        <n x="3" s="1"/>
        <n x="4" s="1"/>
        <n x="104"/>
        <n x="12"/>
        <n x="75"/>
      </t>
    </mdx>
    <mdx n="0" f="v">
      <t c="8">
        <n x="1" s="1"/>
        <n x="2" s="1"/>
        <n x="5" s="1"/>
        <n x="3" s="1"/>
        <n x="4" s="1"/>
        <n x="104"/>
        <n x="12"/>
        <n x="48"/>
      </t>
    </mdx>
    <mdx n="0" f="v">
      <t c="8">
        <n x="1" s="1"/>
        <n x="2" s="1"/>
        <n x="5" s="1"/>
        <n x="3" s="1"/>
        <n x="4" s="1"/>
        <n x="104"/>
        <n x="12"/>
        <n x="141"/>
      </t>
    </mdx>
    <mdx n="0" f="v">
      <t c="8">
        <n x="1" s="1"/>
        <n x="2" s="1"/>
        <n x="5" s="1"/>
        <n x="3" s="1"/>
        <n x="4" s="1"/>
        <n x="104"/>
        <n x="27"/>
        <n x="56"/>
      </t>
    </mdx>
    <mdx n="0" f="v">
      <t c="8">
        <n x="1" s="1"/>
        <n x="2" s="1"/>
        <n x="5" s="1"/>
        <n x="3" s="1"/>
        <n x="4" s="1"/>
        <n x="104"/>
        <n x="27"/>
        <n x="147"/>
      </t>
    </mdx>
    <mdx n="0" f="v">
      <t c="8">
        <n x="1" s="1"/>
        <n x="2" s="1"/>
        <n x="5" s="1"/>
        <n x="3" s="1"/>
        <n x="4" s="1"/>
        <n x="104"/>
        <n x="27"/>
        <n x="119"/>
      </t>
    </mdx>
    <mdx n="0" f="v">
      <t c="8">
        <n x="1" s="1"/>
        <n x="2" s="1"/>
        <n x="5" s="1"/>
        <n x="3" s="1"/>
        <n x="4" s="1"/>
        <n x="104"/>
        <n x="27"/>
        <n x="86"/>
      </t>
    </mdx>
    <mdx n="0" f="v">
      <t c="8">
        <n x="1" s="1"/>
        <n x="2" s="1"/>
        <n x="5" s="1"/>
        <n x="3" s="1"/>
        <n x="4" s="1"/>
        <n x="104"/>
        <n x="32"/>
        <n x="109"/>
      </t>
    </mdx>
    <mdx n="0" f="v">
      <t c="8">
        <n x="1" s="1"/>
        <n x="2" s="1"/>
        <n x="5" s="1"/>
        <n x="3" s="1"/>
        <n x="4" s="1"/>
        <n x="104"/>
        <n x="32"/>
        <n x="103"/>
      </t>
    </mdx>
    <mdx n="0" f="v">
      <t c="8">
        <n x="1" s="1"/>
        <n x="2" s="1"/>
        <n x="5" s="1"/>
        <n x="3" s="1"/>
        <n x="4" s="1"/>
        <n x="104"/>
        <n x="32"/>
        <n x="69"/>
      </t>
    </mdx>
    <mdx n="0" f="v">
      <t c="8">
        <n x="1" s="1"/>
        <n x="2" s="1"/>
        <n x="5" s="1"/>
        <n x="3" s="1"/>
        <n x="4" s="1"/>
        <n x="104"/>
        <n x="132"/>
        <n x="115"/>
      </t>
    </mdx>
    <mdx n="0" f="v">
      <t c="8">
        <n x="1" s="1"/>
        <n x="2" s="1"/>
        <n x="5" s="1"/>
        <n x="3" s="1"/>
        <n x="4" s="1"/>
        <n x="104"/>
        <n x="132"/>
        <n x="76"/>
      </t>
    </mdx>
    <mdx n="0" f="v">
      <t c="8">
        <n x="1" s="1"/>
        <n x="2" s="1"/>
        <n x="5" s="1"/>
        <n x="3" s="1"/>
        <n x="4" s="1"/>
        <n x="104"/>
        <n x="132"/>
        <n x="49"/>
      </t>
    </mdx>
    <mdx n="0" f="v">
      <t c="8">
        <n x="1" s="1"/>
        <n x="2" s="1"/>
        <n x="5" s="1"/>
        <n x="3" s="1"/>
        <n x="4" s="1"/>
        <n x="104"/>
        <n x="135"/>
        <n x="28"/>
      </t>
    </mdx>
    <mdx n="0" f="v">
      <t c="8">
        <n x="1" s="1"/>
        <n x="2" s="1"/>
        <n x="5" s="1"/>
        <n x="3" s="1"/>
        <n x="4" s="1"/>
        <n x="104"/>
        <n x="135"/>
        <n x="29"/>
      </t>
    </mdx>
    <mdx n="0" f="v">
      <t c="8">
        <n x="1" s="1"/>
        <n x="2" s="1"/>
        <n x="5" s="1"/>
        <n x="3" s="1"/>
        <n x="4" s="1"/>
        <n x="104"/>
        <n x="135"/>
        <n x="16"/>
      </t>
    </mdx>
    <mdx n="0" f="v">
      <t c="8">
        <n x="1" s="1"/>
        <n x="2" s="1"/>
        <n x="5" s="1"/>
        <n x="3" s="1"/>
        <n x="4" s="1"/>
        <n x="104"/>
        <n x="146"/>
        <n x="84"/>
      </t>
    </mdx>
    <mdx n="0" f="v">
      <t c="8">
        <n x="1" s="1"/>
        <n x="2" s="1"/>
        <n x="5" s="1"/>
        <n x="3" s="1"/>
        <n x="4" s="1"/>
        <n x="104"/>
        <n x="146"/>
        <n x="160"/>
      </t>
    </mdx>
    <mdx n="0" f="v">
      <t c="8">
        <n x="1" s="1"/>
        <n x="2" s="1"/>
        <n x="5" s="1"/>
        <n x="3" s="1"/>
        <n x="4" s="1"/>
        <n x="104"/>
        <n x="146"/>
        <n x="148"/>
      </t>
    </mdx>
    <mdx n="0" f="v">
      <t c="8">
        <n x="1" s="1"/>
        <n x="2" s="1"/>
        <n x="5" s="1"/>
        <n x="3" s="1"/>
        <n x="4" s="1"/>
        <n x="104"/>
        <n x="136"/>
        <n x="62"/>
      </t>
    </mdx>
    <mdx n="0" f="v">
      <t c="8">
        <n x="1" s="1"/>
        <n x="2" s="1"/>
        <n x="5" s="1"/>
        <n x="3" s="1"/>
        <n x="4" s="1"/>
        <n x="104"/>
        <n x="136"/>
        <n x="59"/>
      </t>
    </mdx>
    <mdx n="0" f="v">
      <t c="8">
        <n x="1" s="1"/>
        <n x="2" s="1"/>
        <n x="5" s="1"/>
        <n x="3" s="1"/>
        <n x="4" s="1"/>
        <n x="104"/>
        <n x="66"/>
        <n x="19"/>
      </t>
    </mdx>
    <mdx n="0" f="v">
      <t c="8">
        <n x="1" s="1"/>
        <n x="2" s="1"/>
        <n x="5" s="1"/>
        <n x="3" s="1"/>
        <n x="4" s="1"/>
        <n x="104"/>
        <n x="72"/>
        <n x="76"/>
      </t>
    </mdx>
    <mdx n="0" f="v">
      <t c="8">
        <n x="1" s="1"/>
        <n x="2" s="1"/>
        <n x="5" s="1"/>
        <n x="3" s="1"/>
        <n x="4" s="1"/>
        <n x="104"/>
        <n x="112"/>
        <n x="28"/>
      </t>
    </mdx>
    <mdx n="0" f="v">
      <t c="8">
        <n x="1" s="1"/>
        <n x="2" s="1"/>
        <n x="5" s="1"/>
        <n x="3" s="1"/>
        <n x="4" s="1"/>
        <n x="104"/>
        <n x="144"/>
        <n x="147"/>
      </t>
    </mdx>
    <mdx n="0" f="v">
      <t c="8">
        <n x="1" s="1"/>
        <n x="2" s="1"/>
        <n x="5" s="1"/>
        <n x="3" s="1"/>
        <n x="4" s="1"/>
        <n x="104"/>
        <n x="57"/>
        <n x="122"/>
      </t>
    </mdx>
    <mdx n="0" f="v">
      <t c="8">
        <n x="1" s="1"/>
        <n x="2" s="1"/>
        <n x="5" s="1"/>
        <n x="3" s="1"/>
        <n x="4" s="1"/>
        <n x="104"/>
        <n x="68"/>
        <n x="95"/>
      </t>
    </mdx>
    <mdx n="0" f="v">
      <t c="8">
        <n x="1" s="1"/>
        <n x="2" s="1"/>
        <n x="5" s="1"/>
        <n x="3" s="1"/>
        <n x="4" s="1"/>
        <n x="104"/>
        <n x="73"/>
        <n x="49"/>
      </t>
    </mdx>
    <mdx n="0" f="v">
      <t c="8">
        <n x="1" s="1"/>
        <n x="2" s="1"/>
        <n x="5" s="1"/>
        <n x="3" s="1"/>
        <n x="4" s="1"/>
        <n x="104"/>
        <n x="82"/>
        <n x="94"/>
      </t>
    </mdx>
    <mdx n="0" f="v">
      <t c="8">
        <n x="1" s="1"/>
        <n x="2" s="1"/>
        <n x="5" s="1"/>
        <n x="3" s="1"/>
        <n x="4" s="1"/>
        <n x="104"/>
        <n x="91"/>
        <n x="128"/>
      </t>
    </mdx>
    <mdx n="0" f="v">
      <t c="8">
        <n x="1" s="1"/>
        <n x="2" s="1"/>
        <n x="5" s="1"/>
        <n x="3" s="1"/>
        <n x="4" s="1"/>
        <n x="104"/>
        <n x="91"/>
        <n x="86"/>
      </t>
    </mdx>
    <mdx n="0" f="v">
      <t c="8">
        <n x="1" s="1"/>
        <n x="2" s="1"/>
        <n x="5" s="1"/>
        <n x="3" s="1"/>
        <n x="4" s="1"/>
        <n x="104"/>
        <n x="100"/>
        <n x="85"/>
      </t>
    </mdx>
    <mdx n="0" f="v">
      <t c="8">
        <n x="1" s="1"/>
        <n x="2" s="1"/>
        <n x="5" s="1"/>
        <n x="3" s="1"/>
        <n x="4" s="1"/>
        <n x="104"/>
        <n x="40"/>
        <n x="75"/>
      </t>
    </mdx>
    <mdx n="0" f="v">
      <t c="8">
        <n x="1" s="1"/>
        <n x="2" s="1"/>
        <n x="5" s="1"/>
        <n x="3" s="1"/>
        <n x="4" s="1"/>
        <n x="104"/>
        <n x="40"/>
        <n x="94"/>
      </t>
    </mdx>
    <mdx n="0" f="v">
      <t c="8">
        <n x="1" s="1"/>
        <n x="2" s="1"/>
        <n x="5" s="1"/>
        <n x="3" s="1"/>
        <n x="4" s="1"/>
        <n x="104"/>
        <n x="113"/>
        <n x="56"/>
      </t>
    </mdx>
    <mdx n="0" f="v">
      <t c="8">
        <n x="1" s="1"/>
        <n x="2" s="1"/>
        <n x="5" s="1"/>
        <n x="3" s="1"/>
        <n x="4" s="1"/>
        <n x="104"/>
        <n x="113"/>
        <n x="29"/>
      </t>
    </mdx>
    <mdx n="0" f="v">
      <t c="8">
        <n x="1" s="1"/>
        <n x="2" s="1"/>
        <n x="5" s="1"/>
        <n x="3" s="1"/>
        <n x="4" s="1"/>
        <n x="104"/>
        <n x="113"/>
        <n x="77"/>
      </t>
    </mdx>
    <mdx n="0" f="v">
      <t c="8">
        <n x="1" s="1"/>
        <n x="2" s="1"/>
        <n x="5" s="1"/>
        <n x="3" s="1"/>
        <n x="4" s="1"/>
        <n x="104"/>
        <n x="131"/>
        <n x="48"/>
      </t>
    </mdx>
    <mdx n="0" f="v">
      <t c="8">
        <n x="1" s="1"/>
        <n x="2" s="1"/>
        <n x="5" s="1"/>
        <n x="3" s="1"/>
        <n x="4" s="1"/>
        <n x="104"/>
        <n x="131"/>
        <n x="52"/>
      </t>
    </mdx>
    <mdx n="0" f="v">
      <t c="8">
        <n x="1" s="1"/>
        <n x="2" s="1"/>
        <n x="5" s="1"/>
        <n x="3" s="1"/>
        <n x="4" s="1"/>
        <n x="104"/>
        <n x="134"/>
        <n x="128"/>
      </t>
    </mdx>
    <mdx n="0" f="v">
      <t c="8">
        <n x="1" s="1"/>
        <n x="2" s="1"/>
        <n x="5" s="1"/>
        <n x="3" s="1"/>
        <n x="4" s="1"/>
        <n x="104"/>
        <n x="134"/>
        <n x="87"/>
      </t>
    </mdx>
    <mdx n="0" f="v">
      <t c="8">
        <n x="1" s="1"/>
        <n x="2" s="1"/>
        <n x="5" s="1"/>
        <n x="3" s="1"/>
        <n x="4" s="1"/>
        <n x="104"/>
        <n x="140"/>
        <n x="102"/>
      </t>
    </mdx>
    <mdx n="0" f="v">
      <t c="8">
        <n x="1" s="1"/>
        <n x="2" s="1"/>
        <n x="5" s="1"/>
        <n x="3" s="1"/>
        <n x="4" s="1"/>
        <n x="104"/>
        <n x="140"/>
        <n x="44"/>
      </t>
    </mdx>
    <mdx n="0" f="v">
      <t c="8">
        <n x="1" s="1"/>
        <n x="2" s="1"/>
        <n x="5" s="1"/>
        <n x="3" s="1"/>
        <n x="4" s="1"/>
        <n x="104"/>
        <n x="140"/>
        <n x="95"/>
      </t>
    </mdx>
    <mdx n="0" f="v">
      <t c="8">
        <n x="1" s="1"/>
        <n x="2" s="1"/>
        <n x="5" s="1"/>
        <n x="3" s="1"/>
        <n x="4" s="1"/>
        <n x="104"/>
        <n x="145"/>
        <n x="48"/>
      </t>
    </mdx>
    <mdx n="0" f="v">
      <t c="8">
        <n x="1" s="1"/>
        <n x="2" s="1"/>
        <n x="5" s="1"/>
        <n x="3" s="1"/>
        <n x="4" s="1"/>
        <n x="104"/>
        <n x="145"/>
        <n x="15"/>
      </t>
    </mdx>
    <mdx n="0" f="v">
      <t c="8">
        <n x="1" s="1"/>
        <n x="2" s="1"/>
        <n x="5" s="1"/>
        <n x="3" s="1"/>
        <n x="4" s="1"/>
        <n x="104"/>
        <n x="129"/>
        <n x="28"/>
      </t>
    </mdx>
    <mdx n="0" f="v">
      <t c="8">
        <n x="1" s="1"/>
        <n x="2" s="1"/>
        <n x="5" s="1"/>
        <n x="3" s="1"/>
        <n x="4" s="1"/>
        <n x="104"/>
        <n x="129"/>
        <n x="76"/>
      </t>
    </mdx>
    <mdx n="0" f="v">
      <t c="8">
        <n x="1" s="1"/>
        <n x="2" s="1"/>
        <n x="5" s="1"/>
        <n x="3" s="1"/>
        <n x="4" s="1"/>
        <n x="104"/>
        <n x="129"/>
        <n x="77"/>
      </t>
    </mdx>
    <mdx n="0" f="v">
      <t c="8">
        <n x="1" s="1"/>
        <n x="2" s="1"/>
        <n x="5" s="1"/>
        <n x="3" s="1"/>
        <n x="4" s="1"/>
        <n x="104"/>
        <n x="11"/>
        <n x="128"/>
      </t>
    </mdx>
    <mdx n="0" f="v">
      <t c="8">
        <n x="1" s="1"/>
        <n x="2" s="1"/>
        <n x="5" s="1"/>
        <n x="3" s="1"/>
        <n x="4" s="1"/>
        <n x="104"/>
        <n x="11"/>
        <n x="141"/>
      </t>
    </mdx>
    <mdx n="0" f="v">
      <t c="8">
        <n x="1" s="1"/>
        <n x="2" s="1"/>
        <n x="5" s="1"/>
        <n x="3" s="1"/>
        <n x="4" s="1"/>
        <n x="104"/>
        <n x="26"/>
        <n x="63"/>
      </t>
    </mdx>
    <mdx n="0" f="v">
      <t c="8">
        <n x="1" s="1"/>
        <n x="2" s="1"/>
        <n x="5" s="1"/>
        <n x="3" s="1"/>
        <n x="4" s="1"/>
        <n x="104"/>
        <n x="26"/>
        <n x="160"/>
      </t>
    </mdx>
    <mdx n="0" f="v">
      <t c="8">
        <n x="1" s="1"/>
        <n x="2" s="1"/>
        <n x="5" s="1"/>
        <n x="3" s="1"/>
        <n x="4" s="1"/>
        <n x="104"/>
        <n x="26"/>
        <n x="15"/>
      </t>
    </mdx>
    <mdx n="0" f="v">
      <t c="8">
        <n x="1" s="1"/>
        <n x="2" s="1"/>
        <n x="5" s="1"/>
        <n x="3" s="1"/>
        <n x="4" s="1"/>
        <n x="104"/>
        <n x="35"/>
        <n x="28"/>
      </t>
    </mdx>
    <mdx n="0" f="v">
      <t c="8">
        <n x="1" s="1"/>
        <n x="2" s="1"/>
        <n x="5" s="1"/>
        <n x="3" s="1"/>
        <n x="4" s="1"/>
        <n x="104"/>
        <n x="35"/>
        <n x="58"/>
      </t>
    </mdx>
    <mdx n="0" f="v">
      <t c="8">
        <n x="1" s="1"/>
        <n x="2" s="1"/>
        <n x="5" s="1"/>
        <n x="3" s="1"/>
        <n x="4" s="1"/>
        <n x="104"/>
        <n x="35"/>
        <n x="52"/>
      </t>
    </mdx>
    <mdx n="0" f="v">
      <t c="8">
        <n x="1" s="1"/>
        <n x="2" s="1"/>
        <n x="5" s="1"/>
        <n x="3" s="1"/>
        <n x="4" s="1"/>
        <n x="104"/>
        <n x="152"/>
        <n x="102"/>
      </t>
    </mdx>
    <mdx n="0" f="v">
      <t c="8">
        <n x="1" s="1"/>
        <n x="2" s="1"/>
        <n x="5" s="1"/>
        <n x="3" s="1"/>
        <n x="4" s="1"/>
        <n x="104"/>
        <n x="152"/>
        <n x="76"/>
      </t>
    </mdx>
    <mdx n="0" f="v">
      <t c="8">
        <n x="1" s="1"/>
        <n x="2" s="1"/>
        <n x="5" s="1"/>
        <n x="3" s="1"/>
        <n x="4" s="1"/>
        <n x="104"/>
        <n x="152"/>
        <n x="52"/>
      </t>
    </mdx>
    <mdx n="0" f="v">
      <t c="8">
        <n x="1" s="1"/>
        <n x="2" s="1"/>
        <n x="5" s="1"/>
        <n x="3" s="1"/>
        <n x="4" s="1"/>
        <n x="104"/>
        <n x="47"/>
        <n x="19"/>
      </t>
    </mdx>
    <mdx n="0" f="v">
      <t c="8">
        <n x="1" s="1"/>
        <n x="2" s="1"/>
        <n x="5" s="1"/>
        <n x="3" s="1"/>
        <n x="4" s="1"/>
        <n x="104"/>
        <n x="47"/>
        <n x="20"/>
      </t>
    </mdx>
    <mdx n="0" f="v">
      <t c="8">
        <n x="1" s="1"/>
        <n x="2" s="1"/>
        <n x="5" s="1"/>
        <n x="3" s="1"/>
        <n x="4" s="1"/>
        <n x="104"/>
        <n x="47"/>
        <n x="33"/>
      </t>
    </mdx>
    <mdx n="0" f="v">
      <t c="8">
        <n x="1" s="1"/>
        <n x="2" s="1"/>
        <n x="5" s="1"/>
        <n x="3" s="1"/>
        <n x="4" s="1"/>
        <n x="104"/>
        <n x="51"/>
        <n x="93"/>
      </t>
    </mdx>
    <mdx n="0" f="v">
      <t c="8">
        <n x="1" s="1"/>
        <n x="2" s="1"/>
        <n x="5" s="1"/>
        <n x="3" s="1"/>
        <n x="4" s="1"/>
        <n x="104"/>
        <n x="51"/>
        <n x="162"/>
      </t>
    </mdx>
    <mdx n="0" f="v">
      <t c="8">
        <n x="1" s="1"/>
        <n x="2" s="1"/>
        <n x="5" s="1"/>
        <n x="3" s="1"/>
        <n x="4" s="1"/>
        <n x="104"/>
        <n x="51"/>
        <n x="87"/>
      </t>
    </mdx>
    <mdx n="0" f="v">
      <t c="8">
        <n x="1" s="1"/>
        <n x="2" s="1"/>
        <n x="5" s="1"/>
        <n x="3" s="1"/>
        <n x="4" s="1"/>
        <n x="104"/>
        <n x="53"/>
        <n x="63"/>
      </t>
    </mdx>
    <mdx n="0" f="v">
      <t c="8">
        <n x="1" s="1"/>
        <n x="2" s="1"/>
        <n x="5" s="1"/>
        <n x="3" s="1"/>
        <n x="4" s="1"/>
        <n x="104"/>
        <n x="53"/>
        <n x="154"/>
      </t>
    </mdx>
    <mdx n="0" f="v">
      <t c="8">
        <n x="1" s="1"/>
        <n x="2" s="1"/>
        <n x="5" s="1"/>
        <n x="3" s="1"/>
        <n x="4" s="1"/>
        <n x="104"/>
        <n x="53"/>
        <n x="127"/>
      </t>
    </mdx>
    <mdx n="0" f="v">
      <t c="8">
        <n x="1" s="1"/>
        <n x="2" s="1"/>
        <n x="5" s="1"/>
        <n x="3" s="1"/>
        <n x="4" s="1"/>
        <n x="104"/>
        <n x="55"/>
        <n x="164" s="1"/>
      </t>
    </mdx>
    <mdx n="0" f="v">
      <t c="8">
        <n x="1" s="1"/>
        <n x="2" s="1"/>
        <n x="5" s="1"/>
        <n x="3" s="1"/>
        <n x="4" s="1"/>
        <n x="104"/>
        <n x="55"/>
        <n x="128"/>
      </t>
    </mdx>
    <mdx n="0" f="v">
      <t c="8">
        <n x="1" s="1"/>
        <n x="2" s="1"/>
        <n x="5" s="1"/>
        <n x="3" s="1"/>
        <n x="4" s="1"/>
        <n x="104"/>
        <n x="55"/>
        <n x="116"/>
      </t>
    </mdx>
    <mdx n="0" f="v">
      <t c="8">
        <n x="1" s="1"/>
        <n x="2" s="1"/>
        <n x="5" s="1"/>
        <n x="3" s="1"/>
        <n x="4" s="1"/>
        <n x="104"/>
        <n x="55"/>
        <n x="77"/>
      </t>
    </mdx>
    <mdx n="0" f="v">
      <t c="8">
        <n x="1" s="1"/>
        <n x="2" s="1"/>
        <n x="5" s="1"/>
        <n x="3" s="1"/>
        <n x="4" s="1"/>
        <n x="104"/>
        <n x="41"/>
        <n x="108"/>
      </t>
    </mdx>
    <mdx n="0" f="v">
      <t c="8">
        <n x="1" s="1"/>
        <n x="2" s="1"/>
        <n x="5" s="1"/>
        <n x="3" s="1"/>
        <n x="4" s="1"/>
        <n x="104"/>
        <n x="41"/>
        <n x="94"/>
      </t>
    </mdx>
    <mdx n="0" f="v">
      <t c="8">
        <n x="1" s="1"/>
        <n x="2" s="1"/>
        <n x="5" s="1"/>
        <n x="3" s="1"/>
        <n x="4" s="1"/>
        <n x="104"/>
        <n x="41"/>
        <n x="54"/>
      </t>
    </mdx>
    <mdx n="0" f="v">
      <t c="8">
        <n x="1" s="1"/>
        <n x="2" s="1"/>
        <n x="5" s="1"/>
        <n x="3" s="1"/>
        <n x="4" s="1"/>
        <n x="104"/>
        <n x="74"/>
        <n x="102"/>
      </t>
    </mdx>
    <mdx n="0" f="v">
      <t c="8">
        <n x="1" s="1"/>
        <n x="2" s="1"/>
        <n x="5" s="1"/>
        <n x="3" s="1"/>
        <n x="4" s="1"/>
        <n x="104"/>
        <n x="74"/>
        <n x="58"/>
      </t>
    </mdx>
    <mdx n="0" f="v">
      <t c="8">
        <n x="1" s="1"/>
        <n x="2" s="1"/>
        <n x="5" s="1"/>
        <n x="3" s="1"/>
        <n x="4" s="1"/>
        <n x="104"/>
        <n x="74"/>
        <n x="155"/>
      </t>
    </mdx>
    <mdx n="0" f="v">
      <t c="8">
        <n x="1" s="1"/>
        <n x="2" s="1"/>
        <n x="5" s="1"/>
        <n x="3" s="1"/>
        <n x="4" s="1"/>
        <n x="104"/>
        <n x="83"/>
        <n x="13"/>
      </t>
    </mdx>
    <mdx n="0" f="v">
      <t c="8">
        <n x="1" s="1"/>
        <n x="2" s="1"/>
        <n x="5" s="1"/>
        <n x="3" s="1"/>
        <n x="4" s="1"/>
        <n x="104"/>
        <n x="83"/>
        <n x="14"/>
      </t>
    </mdx>
    <mdx n="0" f="v">
      <t c="8">
        <n x="1" s="1"/>
        <n x="2" s="1"/>
        <n x="5" s="1"/>
        <n x="3" s="1"/>
        <n x="4" s="1"/>
        <n x="104"/>
        <n x="83"/>
        <n x="15"/>
      </t>
    </mdx>
    <mdx n="0" f="v">
      <t c="8">
        <n x="1" s="1"/>
        <n x="2" s="1"/>
        <n x="5" s="1"/>
        <n x="3" s="1"/>
        <n x="4" s="1"/>
        <n x="104"/>
        <n x="92"/>
        <n x="75"/>
      </t>
    </mdx>
    <mdx n="0" f="v">
      <t c="8">
        <n x="1" s="1"/>
        <n x="2" s="1"/>
        <n x="5" s="1"/>
        <n x="3" s="1"/>
        <n x="4" s="1"/>
        <n x="104"/>
        <n x="92"/>
        <n x="48"/>
      </t>
    </mdx>
    <mdx n="0" f="v">
      <t c="8">
        <n x="1" s="1"/>
        <n x="2" s="1"/>
        <n x="5" s="1"/>
        <n x="3" s="1"/>
        <n x="4" s="1"/>
        <n x="104"/>
        <n x="92"/>
        <n x="141"/>
      </t>
    </mdx>
    <mdx n="0" f="v">
      <t c="8">
        <n x="1" s="1"/>
        <n x="2" s="1"/>
        <n x="5" s="1"/>
        <n x="3" s="1"/>
        <n x="4" s="1"/>
        <n x="104"/>
        <n x="101"/>
        <n x="56"/>
      </t>
    </mdx>
    <mdx n="0" f="v">
      <t c="8">
        <n x="1" s="1"/>
        <n x="2" s="1"/>
        <n x="5" s="1"/>
        <n x="3" s="1"/>
        <n x="4" s="1"/>
        <n x="104"/>
        <n x="101"/>
        <n x="147"/>
      </t>
    </mdx>
    <mdx n="0" f="v">
      <t c="8">
        <n x="1" s="1"/>
        <n x="2" s="1"/>
        <n x="5" s="1"/>
        <n x="3" s="1"/>
        <n x="4" s="1"/>
        <n x="104"/>
        <n x="101"/>
        <n x="119"/>
      </t>
    </mdx>
    <mdx n="0" f="v">
      <t c="8">
        <n x="1" s="1"/>
        <n x="2" s="1"/>
        <n x="5" s="1"/>
        <n x="3" s="1"/>
        <n x="4" s="1"/>
        <n x="104"/>
        <n x="101"/>
        <n x="86"/>
      </t>
    </mdx>
    <mdx n="0" f="v">
      <t c="8">
        <n x="1" s="1"/>
        <n x="2" s="1"/>
        <n x="5" s="1"/>
        <n x="3" s="1"/>
        <n x="4" s="1"/>
        <n x="104"/>
        <n x="114"/>
        <n x="109"/>
      </t>
    </mdx>
    <mdx n="0" f="v">
      <t c="8">
        <n x="1" s="1"/>
        <n x="2" s="1"/>
        <n x="5" s="1"/>
        <n x="3" s="1"/>
        <n x="4" s="1"/>
        <n x="104"/>
        <n x="114"/>
        <n x="103"/>
      </t>
    </mdx>
    <mdx n="0" f="v">
      <t c="8">
        <n x="1" s="1"/>
        <n x="2" s="1"/>
        <n x="5" s="1"/>
        <n x="3" s="1"/>
        <n x="4" s="1"/>
        <n x="104"/>
        <n x="114"/>
        <n x="69"/>
      </t>
    </mdx>
    <mdx n="0" f="v">
      <t c="8">
        <n x="1" s="1"/>
        <n x="2" s="1"/>
        <n x="5" s="1"/>
        <n x="3" s="1"/>
        <n x="4" s="1"/>
        <n x="104"/>
        <n x="118"/>
        <n x="115"/>
      </t>
    </mdx>
    <mdx n="0" f="v">
      <t c="8">
        <n x="1" s="1"/>
        <n x="2" s="1"/>
        <n x="5" s="1"/>
        <n x="3" s="1"/>
        <n x="4" s="1"/>
        <n x="104"/>
        <n x="118"/>
        <n x="76"/>
      </t>
    </mdx>
    <mdx n="0" f="v">
      <t c="8">
        <n x="1" s="1"/>
        <n x="2" s="1"/>
        <n x="5" s="1"/>
        <n x="3" s="1"/>
        <n x="4" s="1"/>
        <n x="104"/>
        <n x="118"/>
        <n x="49"/>
      </t>
    </mdx>
    <mdx n="0" f="v">
      <t c="8">
        <n x="1" s="1"/>
        <n x="2" s="1"/>
        <n x="5" s="1"/>
        <n x="3" s="1"/>
        <n x="4" s="1"/>
        <n x="104"/>
        <n x="121"/>
        <n x="28"/>
      </t>
    </mdx>
    <mdx n="0" f="v">
      <t c="8">
        <n x="1" s="1"/>
        <n x="2" s="1"/>
        <n x="5" s="1"/>
        <n x="3" s="1"/>
        <n x="4" s="1"/>
        <n x="104"/>
        <n x="121"/>
        <n x="29"/>
      </t>
    </mdx>
    <mdx n="0" f="v">
      <t c="8">
        <n x="1" s="1"/>
        <n x="2" s="1"/>
        <n x="5" s="1"/>
        <n x="3" s="1"/>
        <n x="4" s="1"/>
        <n x="104"/>
        <n x="121"/>
        <n x="16"/>
      </t>
    </mdx>
    <mdx n="0" f="v">
      <t c="8">
        <n x="1" s="1"/>
        <n x="2" s="1"/>
        <n x="5" s="1"/>
        <n x="3" s="1"/>
        <n x="4" s="1"/>
        <n x="104"/>
        <n x="12"/>
        <n x="84"/>
      </t>
    </mdx>
    <mdx n="0" f="v">
      <t c="8">
        <n x="1" s="1"/>
        <n x="2" s="1"/>
        <n x="5" s="1"/>
        <n x="3" s="1"/>
        <n x="4" s="1"/>
        <n x="104"/>
        <n x="12"/>
        <n x="160"/>
      </t>
    </mdx>
    <mdx n="0" f="v">
      <t c="8">
        <n x="1" s="1"/>
        <n x="2" s="1"/>
        <n x="5" s="1"/>
        <n x="3" s="1"/>
        <n x="4" s="1"/>
        <n x="104"/>
        <n x="12"/>
        <n x="148"/>
      </t>
    </mdx>
    <mdx n="0" f="v">
      <t c="8">
        <n x="1" s="1"/>
        <n x="2" s="1"/>
        <n x="5" s="1"/>
        <n x="3" s="1"/>
        <n x="4" s="1"/>
        <n x="104"/>
        <n x="17"/>
        <n x="148"/>
      </t>
    </mdx>
    <mdx n="0" f="v">
      <t c="8">
        <n x="1" s="1"/>
        <n x="2" s="1"/>
        <n x="5" s="1"/>
        <n x="3" s="1"/>
        <n x="4" s="1"/>
        <n x="104"/>
        <n x="72"/>
        <n x="86"/>
      </t>
    </mdx>
    <mdx n="0" f="v">
      <t c="8">
        <n x="1" s="1"/>
        <n x="2" s="1"/>
        <n x="5" s="1"/>
        <n x="3" s="1"/>
        <n x="4" s="1"/>
        <n x="104"/>
        <n x="112"/>
        <n x="76"/>
      </t>
    </mdx>
    <mdx n="0" f="v">
      <t c="8">
        <n x="1" s="1"/>
        <n x="2" s="1"/>
        <n x="5" s="1"/>
        <n x="3" s="1"/>
        <n x="4" s="1"/>
        <n x="104"/>
        <n x="144"/>
        <n x="148"/>
      </t>
    </mdx>
    <mdx n="0" f="v">
      <t c="8">
        <n x="1" s="1"/>
        <n x="2" s="1"/>
        <n x="5" s="1"/>
        <n x="3" s="1"/>
        <n x="4" s="1"/>
        <n x="104"/>
        <n x="57"/>
        <n x="95"/>
      </t>
    </mdx>
    <mdx n="0" f="v">
      <t c="8">
        <n x="1" s="1"/>
        <n x="2" s="1"/>
        <n x="5" s="1"/>
        <n x="3" s="1"/>
        <n x="4" s="1"/>
        <n x="104"/>
        <n x="73"/>
        <n x="164" s="1"/>
      </t>
    </mdx>
    <mdx n="0" f="v">
      <t c="8">
        <n x="1" s="1"/>
        <n x="2" s="1"/>
        <n x="5" s="1"/>
        <n x="3" s="1"/>
        <n x="4" s="1"/>
        <n x="104"/>
        <n x="73"/>
        <n x="45"/>
      </t>
    </mdx>
    <mdx n="0" f="v">
      <t c="8">
        <n x="1" s="1"/>
        <n x="2" s="1"/>
        <n x="5" s="1"/>
        <n x="3" s="1"/>
        <n x="4" s="1"/>
        <n x="104"/>
        <n x="82"/>
        <n x="116"/>
      </t>
    </mdx>
    <mdx n="0" f="v">
      <t c="8">
        <n x="1" s="1"/>
        <n x="2" s="1"/>
        <n x="5" s="1"/>
        <n x="3" s="1"/>
        <n x="4" s="1"/>
        <n x="104"/>
        <n x="91"/>
        <n x="147"/>
      </t>
    </mdx>
    <mdx n="0" f="v">
      <t c="8">
        <n x="1" s="1"/>
        <n x="2" s="1"/>
        <n x="5" s="1"/>
        <n x="3" s="1"/>
        <n x="4" s="1"/>
        <n x="104"/>
        <n x="100"/>
        <n x="56"/>
      </t>
    </mdx>
    <mdx n="0" f="v">
      <t c="8">
        <n x="1" s="1"/>
        <n x="2" s="1"/>
        <n x="5" s="1"/>
        <n x="3" s="1"/>
        <n x="4" s="1"/>
        <n x="104"/>
        <n x="100"/>
        <n x="94"/>
      </t>
    </mdx>
    <mdx n="0" f="v">
      <t c="8">
        <n x="1" s="1"/>
        <n x="2" s="1"/>
        <n x="5" s="1"/>
        <n x="3" s="1"/>
        <n x="4" s="1"/>
        <n x="104"/>
        <n x="40"/>
        <n x="13"/>
      </t>
    </mdx>
    <mdx n="0" f="v">
      <t c="8">
        <n x="1" s="1"/>
        <n x="2" s="1"/>
        <n x="5" s="1"/>
        <n x="3" s="1"/>
        <n x="4" s="1"/>
        <n x="104"/>
        <n x="40"/>
        <n x="103"/>
      </t>
    </mdx>
    <mdx n="0" f="v">
      <t c="8">
        <n x="1" s="1"/>
        <n x="2" s="1"/>
        <n x="5" s="1"/>
        <n x="3" s="1"/>
        <n x="4" s="1"/>
        <n x="104"/>
        <n x="113"/>
        <n x="63"/>
      </t>
    </mdx>
    <mdx n="0" f="v">
      <t c="8">
        <n x="1" s="1"/>
        <n x="2" s="1"/>
        <n x="5" s="1"/>
        <n x="3" s="1"/>
        <n x="4" s="1"/>
        <n x="104"/>
        <n x="113"/>
        <n x="58"/>
      </t>
    </mdx>
    <mdx n="0" f="v">
      <t c="8">
        <n x="1" s="1"/>
        <n x="2" s="1"/>
        <n x="5" s="1"/>
        <n x="3" s="1"/>
        <n x="4" s="1"/>
        <n x="104"/>
        <n x="113"/>
        <n x="86"/>
      </t>
    </mdx>
    <mdx n="0" f="v">
      <t c="8">
        <n x="1" s="1"/>
        <n x="2" s="1"/>
        <n x="5" s="1"/>
        <n x="3" s="1"/>
        <n x="4" s="1"/>
        <n x="104"/>
        <n x="131"/>
        <n x="160"/>
      </t>
    </mdx>
    <mdx n="0" f="v">
      <t c="8">
        <n x="1" s="1"/>
        <n x="2" s="1"/>
        <n x="5" s="1"/>
        <n x="3" s="1"/>
        <n x="4" s="1"/>
        <n x="104"/>
        <n x="131"/>
        <n x="54"/>
      </t>
    </mdx>
    <mdx n="0" f="v">
      <t c="8">
        <n x="1" s="1"/>
        <n x="2" s="1"/>
        <n x="5" s="1"/>
        <n x="3" s="1"/>
        <n x="4" s="1"/>
        <n x="104"/>
        <n x="134"/>
        <n x="147"/>
      </t>
    </mdx>
    <mdx n="0" f="v">
      <t c="8">
        <n x="1" s="1"/>
        <n x="2" s="1"/>
        <n x="5" s="1"/>
        <n x="3" s="1"/>
        <n x="4" s="1"/>
        <n x="104"/>
        <n x="134"/>
        <n x="33"/>
      </t>
    </mdx>
    <mdx n="0" f="v">
      <t c="8">
        <n x="1" s="1"/>
        <n x="2" s="1"/>
        <n x="5" s="1"/>
        <n x="3" s="1"/>
        <n x="4" s="1"/>
        <n x="104"/>
        <n x="140"/>
        <n x="115"/>
      </t>
    </mdx>
    <mdx n="0" f="v">
      <t c="8">
        <n x="1" s="1"/>
        <n x="2" s="1"/>
        <n x="5" s="1"/>
        <n x="3" s="1"/>
        <n x="4" s="1"/>
        <n x="104"/>
        <n x="140"/>
        <n x="116"/>
      </t>
    </mdx>
    <mdx n="0" f="v">
      <t c="8">
        <n x="1" s="1"/>
        <n x="2" s="1"/>
        <n x="5" s="1"/>
        <n x="3" s="1"/>
        <n x="4" s="1"/>
        <n x="104"/>
        <n x="145"/>
        <n x="164" s="1"/>
      </t>
    </mdx>
    <mdx n="0" f="v">
      <t c="8">
        <n x="1" s="1"/>
        <n x="2" s="1"/>
        <n x="5" s="1"/>
        <n x="3" s="1"/>
        <n x="4" s="1"/>
        <n x="104"/>
        <n x="145"/>
        <n x="160"/>
      </t>
    </mdx>
    <mdx n="0" f="v">
      <t c="8">
        <n x="1" s="1"/>
        <n x="2" s="1"/>
        <n x="5" s="1"/>
        <n x="3" s="1"/>
        <n x="4" s="1"/>
        <n x="104"/>
        <n x="145"/>
        <n x="16"/>
      </t>
    </mdx>
    <mdx n="0" f="v">
      <t c="8">
        <n x="1" s="1"/>
        <n x="2" s="1"/>
        <n x="5" s="1"/>
        <n x="3" s="1"/>
        <n x="4" s="1"/>
        <n x="104"/>
        <n x="129"/>
        <n x="19"/>
      </t>
    </mdx>
    <mdx n="0" f="v">
      <t c="8">
        <n x="1" s="1"/>
        <n x="2" s="1"/>
        <n x="5" s="1"/>
        <n x="3" s="1"/>
        <n x="4" s="1"/>
        <n x="104"/>
        <n x="129"/>
        <n x="85"/>
      </t>
    </mdx>
    <mdx n="0" f="v">
      <t c="8">
        <n x="1" s="1"/>
        <n x="2" s="1"/>
        <n x="5" s="1"/>
        <n x="3" s="1"/>
        <n x="4" s="1"/>
        <n x="104"/>
        <n x="129"/>
        <n x="86"/>
      </t>
    </mdx>
    <mdx n="0" f="v">
      <t c="8">
        <n x="1" s="1"/>
        <n x="2" s="1"/>
        <n x="5" s="1"/>
        <n x="3" s="1"/>
        <n x="4" s="1"/>
        <n x="104"/>
        <n x="11"/>
        <n x="147"/>
      </t>
    </mdx>
    <mdx n="0" f="v">
      <t c="8">
        <n x="1" s="1"/>
        <n x="2" s="1"/>
        <n x="5" s="1"/>
        <n x="3" s="1"/>
        <n x="4" s="1"/>
        <n x="104"/>
        <n x="11"/>
        <n x="148"/>
      </t>
    </mdx>
    <mdx n="0" f="v">
      <t c="8">
        <n x="1" s="1"/>
        <n x="2" s="1"/>
        <n x="5" s="1"/>
        <n x="3" s="1"/>
        <n x="4" s="1"/>
        <n x="104"/>
        <n x="26"/>
        <n x="75"/>
      </t>
    </mdx>
    <mdx n="0" f="v">
      <t c="8">
        <n x="1" s="1"/>
        <n x="2" s="1"/>
        <n x="5" s="1"/>
        <n x="3" s="1"/>
        <n x="4" s="1"/>
        <n x="104"/>
        <n x="26"/>
        <n x="162"/>
      </t>
    </mdx>
    <mdx n="0" f="v">
      <t c="8">
        <n x="1" s="1"/>
        <n x="2" s="1"/>
        <n x="5" s="1"/>
        <n x="3" s="1"/>
        <n x="4" s="1"/>
        <n x="104"/>
        <n x="26"/>
        <n x="155"/>
      </t>
    </mdx>
    <mdx n="0" f="v">
      <t c="8">
        <n x="1" s="1"/>
        <n x="2" s="1"/>
        <n x="5" s="1"/>
        <n x="3" s="1"/>
        <n x="4" s="1"/>
        <n x="104"/>
        <n x="35"/>
        <n x="19"/>
      </t>
    </mdx>
    <mdx n="0" f="v">
      <t c="8">
        <n x="1" s="1"/>
        <n x="2" s="1"/>
        <n x="5" s="1"/>
        <n x="3" s="1"/>
        <n x="4" s="1"/>
        <n x="104"/>
        <n x="35"/>
        <n x="76"/>
      </t>
    </mdx>
    <mdx n="0" f="v">
      <t c="8">
        <n x="1" s="1"/>
        <n x="2" s="1"/>
        <n x="5" s="1"/>
        <n x="3" s="1"/>
        <n x="4" s="1"/>
        <n x="104"/>
        <n x="35"/>
        <n x="54"/>
      </t>
    </mdx>
    <mdx n="0" f="v">
      <t c="8">
        <n x="1" s="1"/>
        <n x="2" s="1"/>
        <n x="5" s="1"/>
        <n x="3" s="1"/>
        <n x="4" s="1"/>
        <n x="104"/>
        <n x="152"/>
        <n x="115"/>
      </t>
    </mdx>
    <mdx n="0" f="v">
      <t c="8">
        <n x="1" s="1"/>
        <n x="2" s="1"/>
        <n x="5" s="1"/>
        <n x="3" s="1"/>
        <n x="4" s="1"/>
        <n x="104"/>
        <n x="152"/>
        <n x="85"/>
      </t>
    </mdx>
    <mdx n="0" f="v">
      <t c="8">
        <n x="1" s="1"/>
        <n x="2" s="1"/>
        <n x="5" s="1"/>
        <n x="3" s="1"/>
        <n x="4" s="1"/>
        <n x="104"/>
        <n x="152"/>
        <n x="54"/>
      </t>
    </mdx>
    <mdx n="0" f="v">
      <t c="8">
        <n x="1" s="1"/>
        <n x="2" s="1"/>
        <n x="5" s="1"/>
        <n x="3" s="1"/>
        <n x="4" s="1"/>
        <n x="104"/>
        <n x="47"/>
        <n x="102"/>
      </t>
    </mdx>
    <mdx n="0" f="v">
      <t c="8">
        <n x="1" s="1"/>
        <n x="2" s="1"/>
        <n x="5" s="1"/>
        <n x="3" s="1"/>
        <n x="4" s="1"/>
        <n x="104"/>
        <n x="47"/>
        <n x="58"/>
      </t>
    </mdx>
    <mdx n="0" f="v">
      <t c="8">
        <n x="1" s="1"/>
        <n x="2" s="1"/>
        <n x="5" s="1"/>
        <n x="3" s="1"/>
        <n x="4" s="1"/>
        <n x="104"/>
        <n x="47"/>
        <n x="155"/>
      </t>
    </mdx>
    <mdx n="0" f="v">
      <t c="8">
        <n x="1" s="1"/>
        <n x="2" s="1"/>
        <n x="5" s="1"/>
        <n x="3" s="1"/>
        <n x="4" s="1"/>
        <n x="104"/>
        <n x="51"/>
        <n x="13"/>
      </t>
    </mdx>
    <mdx n="0" f="v">
      <t c="8">
        <n x="1" s="1"/>
        <n x="2" s="1"/>
        <n x="5" s="1"/>
        <n x="3" s="1"/>
        <n x="4" s="1"/>
        <n x="104"/>
        <n x="51"/>
        <n x="14"/>
      </t>
    </mdx>
    <mdx n="0" f="v">
      <t c="8">
        <n x="1" s="1"/>
        <n x="2" s="1"/>
        <n x="5" s="1"/>
        <n x="3" s="1"/>
        <n x="4" s="1"/>
        <n x="104"/>
        <n x="51"/>
        <n x="15"/>
      </t>
    </mdx>
    <mdx n="0" f="v">
      <t c="8">
        <n x="1" s="1"/>
        <n x="2" s="1"/>
        <n x="5" s="1"/>
        <n x="3" s="1"/>
        <n x="4" s="1"/>
        <n x="104"/>
        <n x="53"/>
        <n x="75"/>
      </t>
    </mdx>
    <mdx n="0" f="v">
      <t c="8">
        <n x="1" s="1"/>
        <n x="2" s="1"/>
        <n x="5" s="1"/>
        <n x="3" s="1"/>
        <n x="4" s="1"/>
        <n x="104"/>
        <n x="53"/>
        <n x="48"/>
      </t>
    </mdx>
    <mdx n="0" f="v">
      <t c="8">
        <n x="1" s="1"/>
        <n x="2" s="1"/>
        <n x="5" s="1"/>
        <n x="3" s="1"/>
        <n x="4" s="1"/>
        <n x="104"/>
        <n x="53"/>
        <n x="141"/>
      </t>
    </mdx>
    <mdx n="0" f="v">
      <t c="8">
        <n x="1" s="1"/>
        <n x="2" s="1"/>
        <n x="5" s="1"/>
        <n x="3" s="1"/>
        <n x="4" s="1"/>
        <n x="104"/>
        <n x="55"/>
        <n x="56"/>
      </t>
    </mdx>
    <mdx n="0" f="v">
      <t c="8">
        <n x="1" s="1"/>
        <n x="2" s="1"/>
        <n x="5" s="1"/>
        <n x="3" s="1"/>
        <n x="4" s="1"/>
        <n x="104"/>
        <n x="55"/>
        <n x="147"/>
      </t>
    </mdx>
    <mdx n="0" f="v">
      <t c="8">
        <n x="1" s="1"/>
        <n x="2" s="1"/>
        <n x="5" s="1"/>
        <n x="3" s="1"/>
        <n x="4" s="1"/>
        <n x="104"/>
        <n x="55"/>
        <n x="119"/>
      </t>
    </mdx>
    <mdx n="0" f="v">
      <t c="8">
        <n x="1" s="1"/>
        <n x="2" s="1"/>
        <n x="5" s="1"/>
        <n x="3" s="1"/>
        <n x="4" s="1"/>
        <n x="104"/>
        <n x="55"/>
        <n x="86"/>
      </t>
    </mdx>
    <mdx n="0" f="v">
      <t c="8">
        <n x="1" s="1"/>
        <n x="2" s="1"/>
        <n x="5" s="1"/>
        <n x="3" s="1"/>
        <n x="4" s="1"/>
        <n x="104"/>
        <n x="41"/>
        <n x="109"/>
      </t>
    </mdx>
    <mdx n="0" f="v">
      <t c="8">
        <n x="1" s="1"/>
        <n x="2" s="1"/>
        <n x="5" s="1"/>
        <n x="3" s="1"/>
        <n x="4" s="1"/>
        <n x="104"/>
        <n x="41"/>
        <n x="103"/>
      </t>
    </mdx>
    <mdx n="0" f="v">
      <t c="8">
        <n x="1" s="1"/>
        <n x="2" s="1"/>
        <n x="5" s="1"/>
        <n x="3" s="1"/>
        <n x="4" s="1"/>
        <n x="104"/>
        <n x="41"/>
        <n x="69"/>
      </t>
    </mdx>
    <mdx n="0" f="v">
      <t c="8">
        <n x="1" s="1"/>
        <n x="2" s="1"/>
        <n x="5" s="1"/>
        <n x="3" s="1"/>
        <n x="4" s="1"/>
        <n x="104"/>
        <n x="74"/>
        <n x="115"/>
      </t>
    </mdx>
    <mdx n="0" f="v">
      <t c="8">
        <n x="1" s="1"/>
        <n x="2" s="1"/>
        <n x="5" s="1"/>
        <n x="3" s="1"/>
        <n x="4" s="1"/>
        <n x="104"/>
        <n x="74"/>
        <n x="76"/>
      </t>
    </mdx>
    <mdx n="0" f="v">
      <t c="8">
        <n x="1" s="1"/>
        <n x="2" s="1"/>
        <n x="5" s="1"/>
        <n x="3" s="1"/>
        <n x="4" s="1"/>
        <n x="104"/>
        <n x="74"/>
        <n x="49"/>
      </t>
    </mdx>
    <mdx n="0" f="v">
      <t c="8">
        <n x="1" s="1"/>
        <n x="2" s="1"/>
        <n x="5" s="1"/>
        <n x="3" s="1"/>
        <n x="4" s="1"/>
        <n x="104"/>
        <n x="83"/>
        <n x="28"/>
      </t>
    </mdx>
    <mdx n="0" f="v">
      <t c="8">
        <n x="1" s="1"/>
        <n x="2" s="1"/>
        <n x="5" s="1"/>
        <n x="3" s="1"/>
        <n x="4" s="1"/>
        <n x="104"/>
        <n x="83"/>
        <n x="29"/>
      </t>
    </mdx>
    <mdx n="0" f="v">
      <t c="8">
        <n x="1" s="1"/>
        <n x="2" s="1"/>
        <n x="5" s="1"/>
        <n x="3" s="1"/>
        <n x="4" s="1"/>
        <n x="104"/>
        <n x="83"/>
        <n x="16"/>
      </t>
    </mdx>
    <mdx n="0" f="v">
      <t c="8">
        <n x="1" s="1"/>
        <n x="2" s="1"/>
        <n x="5" s="1"/>
        <n x="3" s="1"/>
        <n x="4" s="1"/>
        <n x="104"/>
        <n x="92"/>
        <n x="84"/>
      </t>
    </mdx>
    <mdx n="0" f="v">
      <t c="8">
        <n x="1" s="1"/>
        <n x="2" s="1"/>
        <n x="5" s="1"/>
        <n x="3" s="1"/>
        <n x="4" s="1"/>
        <n x="104"/>
        <n x="92"/>
        <n x="160"/>
      </t>
    </mdx>
    <mdx n="0" f="v">
      <t c="8">
        <n x="1" s="1"/>
        <n x="2" s="1"/>
        <n x="5" s="1"/>
        <n x="3" s="1"/>
        <n x="4" s="1"/>
        <n x="104"/>
        <n x="92"/>
        <n x="148"/>
      </t>
    </mdx>
    <mdx n="0" f="v">
      <t c="8">
        <n x="1" s="1"/>
        <n x="2" s="1"/>
        <n x="5" s="1"/>
        <n x="3" s="1"/>
        <n x="4" s="1"/>
        <n x="104"/>
        <n x="101"/>
        <n x="62"/>
      </t>
    </mdx>
    <mdx n="0" f="v">
      <t c="8">
        <n x="1" s="1"/>
        <n x="2" s="1"/>
        <n x="5" s="1"/>
        <n x="3" s="1"/>
        <n x="4" s="1"/>
        <n x="104"/>
        <n x="101"/>
        <n x="59"/>
      </t>
    </mdx>
    <mdx n="0" f="v">
      <t c="8">
        <n x="1" s="1"/>
        <n x="2" s="1"/>
        <n x="5" s="1"/>
        <n x="3" s="1"/>
        <n x="4" s="1"/>
        <n x="104"/>
        <n x="101"/>
        <n x="122"/>
      </t>
    </mdx>
    <mdx n="0" f="v">
      <t c="8">
        <n x="1" s="1"/>
        <n x="2" s="1"/>
        <n x="5" s="1"/>
        <n x="3" s="1"/>
        <n x="4" s="1"/>
        <n x="104"/>
        <n x="101"/>
        <n x="95"/>
      </t>
    </mdx>
    <mdx n="0" f="v">
      <t c="8">
        <n x="1" s="1"/>
        <n x="2" s="1"/>
        <n x="5" s="1"/>
        <n x="3" s="1"/>
        <n x="4" s="1"/>
        <n x="104"/>
        <n x="114"/>
        <n x="43"/>
      </t>
    </mdx>
    <mdx n="0" f="v">
      <t c="8">
        <n x="1" s="1"/>
        <n x="2" s="1"/>
        <n x="5" s="1"/>
        <n x="3" s="1"/>
        <n x="4" s="1"/>
        <n x="104"/>
        <n x="114"/>
        <n x="44"/>
      </t>
    </mdx>
    <mdx n="0" f="v">
      <t c="8">
        <n x="1" s="1"/>
        <n x="2" s="1"/>
        <n x="5" s="1"/>
        <n x="3" s="1"/>
        <n x="4" s="1"/>
        <n x="104"/>
        <n x="114"/>
        <n x="45"/>
      </t>
    </mdx>
    <mdx n="0" f="v">
      <t c="8">
        <n x="1" s="1"/>
        <n x="2" s="1"/>
        <n x="5" s="1"/>
        <n x="3" s="1"/>
        <n x="4" s="1"/>
        <n x="104"/>
        <n x="64"/>
        <n x="76"/>
      </t>
    </mdx>
    <mdx n="0" f="v">
      <t c="8">
        <n x="1" s="1"/>
        <n x="2" s="1"/>
        <n x="5" s="1"/>
        <n x="3" s="1"/>
        <n x="4" s="1"/>
        <n x="104"/>
        <n x="81"/>
        <n x="162"/>
      </t>
    </mdx>
    <mdx n="0" f="v">
      <t c="8">
        <n x="1" s="1"/>
        <n x="2" s="1"/>
        <n x="5" s="1"/>
        <n x="3" s="1"/>
        <n x="4" s="1"/>
        <n x="104"/>
        <n x="112"/>
        <n x="77"/>
      </t>
    </mdx>
    <mdx n="0" f="v">
      <t c="8">
        <n x="1" s="1"/>
        <n x="2" s="1"/>
        <n x="5" s="1"/>
        <n x="3" s="1"/>
        <n x="4" s="1"/>
        <n x="104"/>
        <n x="96"/>
        <n x="75"/>
      </t>
    </mdx>
    <mdx n="0" f="v">
      <t c="8">
        <n x="1" s="1"/>
        <n x="2" s="1"/>
        <n x="5" s="1"/>
        <n x="3" s="1"/>
        <n x="4" s="1"/>
        <n x="104"/>
        <n x="10"/>
        <n x="43"/>
      </t>
    </mdx>
    <mdx n="0" f="v">
      <t c="8">
        <n x="1" s="1"/>
        <n x="2" s="1"/>
        <n x="5" s="1"/>
        <n x="3" s="1"/>
        <n x="4" s="1"/>
        <n x="104"/>
        <n x="73"/>
        <n x="63"/>
      </t>
    </mdx>
    <mdx n="0" f="v">
      <t c="8">
        <n x="1" s="1"/>
        <n x="2" s="1"/>
        <n x="5" s="1"/>
        <n x="3" s="1"/>
        <n x="4" s="1"/>
        <n x="104"/>
        <n x="73"/>
        <n x="77"/>
      </t>
    </mdx>
    <mdx n="0" f="v">
      <t c="8">
        <n x="1" s="1"/>
        <n x="2" s="1"/>
        <n x="5" s="1"/>
        <n x="3" s="1"/>
        <n x="4" s="1"/>
        <n x="104"/>
        <n x="82"/>
        <n x="127"/>
      </t>
    </mdx>
    <mdx n="0" f="v">
      <t c="8">
        <n x="1" s="1"/>
        <n x="2" s="1"/>
        <n x="5" s="1"/>
        <n x="3" s="1"/>
        <n x="4" s="1"/>
        <n x="104"/>
        <n x="91"/>
        <n x="48"/>
      </t>
    </mdx>
    <mdx n="0" f="v">
      <t c="8">
        <n x="1" s="1"/>
        <n x="2" s="1"/>
        <n x="5" s="1"/>
        <n x="3" s="1"/>
        <n x="4" s="1"/>
        <n x="104"/>
        <n x="100"/>
        <n x="62"/>
      </t>
    </mdx>
    <mdx n="0" f="v">
      <t c="8">
        <n x="1" s="1"/>
        <n x="2" s="1"/>
        <n x="5" s="1"/>
        <n x="3" s="1"/>
        <n x="4" s="1"/>
        <n x="104"/>
        <n x="100"/>
        <n x="103"/>
      </t>
    </mdx>
    <mdx n="0" f="v">
      <t c="8">
        <n x="1" s="1"/>
        <n x="2" s="1"/>
        <n x="5" s="1"/>
        <n x="3" s="1"/>
        <n x="4" s="1"/>
        <n x="104"/>
        <n x="40"/>
        <n x="19"/>
      </t>
    </mdx>
    <mdx n="0" f="v">
      <t c="8">
        <n x="1" s="1"/>
        <n x="2" s="1"/>
        <n x="5" s="1"/>
        <n x="3" s="1"/>
        <n x="4" s="1"/>
        <n x="104"/>
        <n x="40"/>
        <n x="44"/>
      </t>
    </mdx>
    <mdx n="0" f="v">
      <t c="8">
        <n x="1" s="1"/>
        <n x="2" s="1"/>
        <n x="5" s="1"/>
        <n x="3" s="1"/>
        <n x="4" s="1"/>
        <n x="104"/>
        <n x="113"/>
        <n x="75"/>
      </t>
    </mdx>
    <mdx n="0" f="v">
      <t c="8">
        <n x="1" s="1"/>
        <n x="2" s="1"/>
        <n x="5" s="1"/>
        <n x="3" s="1"/>
        <n x="4" s="1"/>
        <n x="104"/>
        <n x="113"/>
        <n x="76"/>
      </t>
    </mdx>
    <mdx n="0" f="v">
      <t c="8">
        <n x="1" s="1"/>
        <n x="2" s="1"/>
        <n x="5" s="1"/>
        <n x="3" s="1"/>
        <n x="4" s="1"/>
        <n x="104"/>
        <n x="131"/>
        <n x="164" s="1"/>
      </t>
    </mdx>
    <mdx n="0" f="v">
      <t c="8">
        <n x="1" s="1"/>
        <n x="2" s="1"/>
        <n x="5" s="1"/>
        <n x="3" s="1"/>
        <n x="4" s="1"/>
        <n x="104"/>
        <n x="131"/>
        <n x="14"/>
      </t>
    </mdx>
    <mdx n="0" f="v">
      <t c="8">
        <n x="1" s="1"/>
        <n x="2" s="1"/>
        <n x="5" s="1"/>
        <n x="3" s="1"/>
        <n x="4" s="1"/>
        <n x="104"/>
        <n x="131"/>
        <n x="69"/>
      </t>
    </mdx>
    <mdx n="0" f="v">
      <t c="8">
        <n x="1" s="1"/>
        <n x="2" s="1"/>
        <n x="5" s="1"/>
        <n x="3" s="1"/>
        <n x="4" s="1"/>
        <n x="104"/>
        <n x="134"/>
        <n x="59"/>
      </t>
    </mdx>
    <mdx n="0" f="v">
      <t c="8">
        <n x="1" s="1"/>
        <n x="2" s="1"/>
        <n x="5" s="1"/>
        <n x="3" s="1"/>
        <n x="4" s="1"/>
        <n x="104"/>
        <n x="134"/>
        <n x="155"/>
      </t>
    </mdx>
    <mdx n="0" f="v">
      <t c="8">
        <n x="1" s="1"/>
        <n x="2" s="1"/>
        <n x="5" s="1"/>
        <n x="3" s="1"/>
        <n x="4" s="1"/>
        <n x="104"/>
        <n x="140"/>
        <n x="108"/>
      </t>
    </mdx>
    <mdx n="0" f="v">
      <t c="8">
        <n x="1" s="1"/>
        <n x="2" s="1"/>
        <n x="5" s="1"/>
        <n x="3" s="1"/>
        <n x="4" s="1"/>
        <n x="104"/>
        <n x="140"/>
        <n x="119"/>
      </t>
    </mdx>
    <mdx n="0" f="v">
      <t c="8">
        <n x="1" s="1"/>
        <n x="2" s="1"/>
        <n x="5" s="1"/>
        <n x="3" s="1"/>
        <n x="4" s="1"/>
        <n x="104"/>
        <n x="145"/>
        <n x="63"/>
      </t>
    </mdx>
    <mdx n="0" f="v">
      <t c="8">
        <n x="1" s="1"/>
        <n x="2" s="1"/>
        <n x="5" s="1"/>
        <n x="3" s="1"/>
        <n x="4" s="1"/>
        <n x="104"/>
        <n x="145"/>
        <n x="162"/>
      </t>
    </mdx>
    <mdx n="0" f="v">
      <t c="8">
        <n x="1" s="1"/>
        <n x="2" s="1"/>
        <n x="5" s="1"/>
        <n x="3" s="1"/>
        <n x="4" s="1"/>
        <n x="104"/>
        <n x="145"/>
        <n x="155"/>
      </t>
    </mdx>
    <mdx n="0" f="v">
      <t c="8">
        <n x="1" s="1"/>
        <n x="2" s="1"/>
        <n x="5" s="1"/>
        <n x="3" s="1"/>
        <n x="4" s="1"/>
        <n x="104"/>
        <n x="129"/>
        <n x="102"/>
      </t>
    </mdx>
    <mdx n="0" f="v">
      <t c="8">
        <n x="1" s="1"/>
        <n x="2" s="1"/>
        <n x="5" s="1"/>
        <n x="3" s="1"/>
        <n x="4" s="1"/>
        <n x="104"/>
        <n x="129"/>
        <n x="94"/>
      </t>
    </mdx>
    <mdx n="0" f="v">
      <t c="8">
        <n x="1" s="1"/>
        <n x="2" s="1"/>
        <n x="5" s="1"/>
        <n x="3" s="1"/>
        <n x="4" s="1"/>
        <n x="104"/>
        <n x="129"/>
        <n x="95"/>
      </t>
    </mdx>
    <mdx n="0" f="v">
      <t c="8">
        <n x="1" s="1"/>
        <n x="2" s="1"/>
        <n x="5" s="1"/>
        <n x="3" s="1"/>
        <n x="4" s="1"/>
        <n x="104"/>
        <n x="11"/>
        <n x="59"/>
      </t>
    </mdx>
    <mdx n="0" f="v">
      <t c="8">
        <n x="1" s="1"/>
        <n x="2" s="1"/>
        <n x="5" s="1"/>
        <n x="3" s="1"/>
        <n x="4" s="1"/>
        <n x="104"/>
        <n x="11"/>
        <n x="87"/>
      </t>
    </mdx>
    <mdx n="0" f="v">
      <t c="8">
        <n x="1" s="1"/>
        <n x="2" s="1"/>
        <n x="5" s="1"/>
        <n x="3" s="1"/>
        <n x="4" s="1"/>
        <n x="104"/>
        <n x="26"/>
        <n x="84"/>
      </t>
    </mdx>
    <mdx n="0" f="v">
      <t c="8">
        <n x="1" s="1"/>
        <n x="2" s="1"/>
        <n x="5" s="1"/>
        <n x="3" s="1"/>
        <n x="4" s="1"/>
        <n x="104"/>
        <n x="26"/>
        <n x="14"/>
      </t>
    </mdx>
    <mdx n="0" f="v">
      <t c="8">
        <n x="1" s="1"/>
        <n x="2" s="1"/>
        <n x="5" s="1"/>
        <n x="3" s="1"/>
        <n x="4" s="1"/>
        <n x="104"/>
        <n x="26"/>
        <n x="49"/>
      </t>
    </mdx>
    <mdx n="0" f="v">
      <t c="8">
        <n x="1" s="1"/>
        <n x="2" s="1"/>
        <n x="5" s="1"/>
        <n x="3" s="1"/>
        <n x="4" s="1"/>
        <n x="104"/>
        <n x="35"/>
        <n x="102"/>
      </t>
    </mdx>
    <mdx n="0" f="v">
      <t c="8">
        <n x="1" s="1"/>
        <n x="2" s="1"/>
        <n x="5" s="1"/>
        <n x="3" s="1"/>
        <n x="4" s="1"/>
        <n x="104"/>
        <n x="35"/>
        <n x="85"/>
      </t>
    </mdx>
    <mdx n="0" f="v">
      <t c="8">
        <n x="1" s="1"/>
        <n x="2" s="1"/>
        <n x="5" s="1"/>
        <n x="3" s="1"/>
        <n x="4" s="1"/>
        <n x="104"/>
        <n x="35"/>
        <n x="69"/>
      </t>
    </mdx>
    <mdx n="0" f="v">
      <t c="8">
        <n x="1" s="1"/>
        <n x="2" s="1"/>
        <n x="5" s="1"/>
        <n x="3" s="1"/>
        <n x="4" s="1"/>
        <n x="104"/>
        <n x="152"/>
        <n x="107"/>
      </t>
    </mdx>
    <mdx n="0" f="v">
      <t c="8">
        <n x="1" s="1"/>
        <n x="2" s="1"/>
        <n x="5" s="1"/>
        <n x="3" s="1"/>
        <n x="4" s="1"/>
        <n x="104"/>
        <n x="152"/>
        <n x="94"/>
      </t>
    </mdx>
    <mdx n="0" f="v">
      <t c="8">
        <n x="1" s="1"/>
        <n x="2" s="1"/>
        <n x="5" s="1"/>
        <n x="3" s="1"/>
        <n x="4" s="1"/>
        <n x="104"/>
        <n x="152"/>
        <n x="69"/>
      </t>
    </mdx>
    <mdx n="0" f="v">
      <t c="8">
        <n x="1" s="1"/>
        <n x="2" s="1"/>
        <n x="5" s="1"/>
        <n x="3" s="1"/>
        <n x="4" s="1"/>
        <n x="104"/>
        <n x="47"/>
        <n x="115"/>
      </t>
    </mdx>
    <mdx n="0" f="v">
      <t c="8">
        <n x="1" s="1"/>
        <n x="2" s="1"/>
        <n x="5" s="1"/>
        <n x="3" s="1"/>
        <n x="4" s="1"/>
        <n x="104"/>
        <n x="47"/>
        <n x="76"/>
      </t>
    </mdx>
    <mdx n="0" f="v">
      <t c="8">
        <n x="1" s="1"/>
        <n x="2" s="1"/>
        <n x="5" s="1"/>
        <n x="3" s="1"/>
        <n x="4" s="1"/>
        <n x="104"/>
        <n x="47"/>
        <n x="49"/>
      </t>
    </mdx>
    <mdx n="0" f="v">
      <t c="8">
        <n x="1" s="1"/>
        <n x="2" s="1"/>
        <n x="5" s="1"/>
        <n x="3" s="1"/>
        <n x="4" s="1"/>
        <n x="104"/>
        <n x="51"/>
        <n x="28"/>
      </t>
    </mdx>
    <mdx n="0" f="v">
      <t c="8">
        <n x="1" s="1"/>
        <n x="2" s="1"/>
        <n x="5" s="1"/>
        <n x="3" s="1"/>
        <n x="4" s="1"/>
        <n x="104"/>
        <n x="51"/>
        <n x="29"/>
      </t>
    </mdx>
    <mdx n="0" f="v">
      <t c="8">
        <n x="1" s="1"/>
        <n x="2" s="1"/>
        <n x="5" s="1"/>
        <n x="3" s="1"/>
        <n x="4" s="1"/>
        <n x="104"/>
        <n x="51"/>
        <n x="16"/>
      </t>
    </mdx>
    <mdx n="0" f="v">
      <t c="8">
        <n x="1" s="1"/>
        <n x="2" s="1"/>
        <n x="5" s="1"/>
        <n x="3" s="1"/>
        <n x="4" s="1"/>
        <n x="104"/>
        <n x="53"/>
        <n x="84"/>
      </t>
    </mdx>
    <mdx n="0" f="v">
      <t c="8">
        <n x="1" s="1"/>
        <n x="2" s="1"/>
        <n x="5" s="1"/>
        <n x="3" s="1"/>
        <n x="4" s="1"/>
        <n x="104"/>
        <n x="53"/>
        <n x="160"/>
      </t>
    </mdx>
    <mdx n="0" f="v">
      <t c="8">
        <n x="1" s="1"/>
        <n x="2" s="1"/>
        <n x="5" s="1"/>
        <n x="3" s="1"/>
        <n x="4" s="1"/>
        <n x="104"/>
        <n x="53"/>
        <n x="148"/>
      </t>
    </mdx>
    <mdx n="0" f="v">
      <t c="8">
        <n x="1" s="1"/>
        <n x="2" s="1"/>
        <n x="5" s="1"/>
        <n x="3" s="1"/>
        <n x="4" s="1"/>
        <n x="104"/>
        <n x="55"/>
        <n x="62"/>
      </t>
    </mdx>
    <mdx n="0" f="v">
      <t c="8">
        <n x="1" s="1"/>
        <n x="2" s="1"/>
        <n x="5" s="1"/>
        <n x="3" s="1"/>
        <n x="4" s="1"/>
        <n x="104"/>
        <n x="55"/>
        <n x="59"/>
      </t>
    </mdx>
    <mdx n="0" f="v">
      <t c="8">
        <n x="1" s="1"/>
        <n x="2" s="1"/>
        <n x="5" s="1"/>
        <n x="3" s="1"/>
        <n x="4" s="1"/>
        <n x="104"/>
        <n x="55"/>
        <n x="122"/>
      </t>
    </mdx>
    <mdx n="0" f="v">
      <t c="8">
        <n x="1" s="1"/>
        <n x="2" s="1"/>
        <n x="5" s="1"/>
        <n x="3" s="1"/>
        <n x="4" s="1"/>
        <n x="104"/>
        <n x="55"/>
        <n x="95"/>
      </t>
    </mdx>
    <mdx n="0" f="v">
      <t c="8">
        <n x="1" s="1"/>
        <n x="2" s="1"/>
        <n x="5" s="1"/>
        <n x="3" s="1"/>
        <n x="4" s="1"/>
        <n x="104"/>
        <n x="41"/>
        <n x="43"/>
      </t>
    </mdx>
    <mdx n="0" f="v">
      <t c="8">
        <n x="1" s="1"/>
        <n x="2" s="1"/>
        <n x="5" s="1"/>
        <n x="3" s="1"/>
        <n x="4" s="1"/>
        <n x="104"/>
        <n x="41"/>
        <n x="44"/>
      </t>
    </mdx>
    <mdx n="0" f="v">
      <t c="8">
        <n x="1" s="1"/>
        <n x="2" s="1"/>
        <n x="5" s="1"/>
        <n x="3" s="1"/>
        <n x="4" s="1"/>
        <n x="104"/>
        <n x="41"/>
        <n x="45"/>
      </t>
    </mdx>
    <mdx n="0" f="v">
      <t c="8">
        <n x="1" s="1"/>
        <n x="2" s="1"/>
        <n x="5" s="1"/>
        <n x="3" s="1"/>
        <n x="4" s="1"/>
        <n x="104"/>
        <n x="74"/>
        <n x="107"/>
      </t>
    </mdx>
    <mdx n="0" f="v">
      <t c="8">
        <n x="1" s="1"/>
        <n x="2" s="1"/>
        <n x="5" s="1"/>
        <n x="3" s="1"/>
        <n x="4" s="1"/>
        <n x="104"/>
        <n x="74"/>
        <n x="85"/>
      </t>
    </mdx>
    <mdx n="0" f="v">
      <t c="8">
        <n x="1" s="1"/>
        <n x="2" s="1"/>
        <n x="5" s="1"/>
        <n x="3" s="1"/>
        <n x="4" s="1"/>
        <n x="104"/>
        <n x="74"/>
        <n x="52"/>
      </t>
    </mdx>
    <mdx n="0" f="v">
      <t c="8">
        <n x="1" s="1"/>
        <n x="2" s="1"/>
        <n x="5" s="1"/>
        <n x="3" s="1"/>
        <n x="4" s="1"/>
        <n x="104"/>
        <n x="83"/>
        <n x="19"/>
      </t>
    </mdx>
    <mdx n="0" f="v">
      <t c="8">
        <n x="1" s="1"/>
        <n x="2" s="1"/>
        <n x="5" s="1"/>
        <n x="3" s="1"/>
        <n x="4" s="1"/>
        <n x="104"/>
        <n x="83"/>
        <n x="20"/>
      </t>
    </mdx>
    <mdx n="0" f="v">
      <t c="8">
        <n x="1" s="1"/>
        <n x="2" s="1"/>
        <n x="5" s="1"/>
        <n x="3" s="1"/>
        <n x="4" s="1"/>
        <n x="104"/>
        <n x="83"/>
        <n x="33"/>
      </t>
    </mdx>
    <mdx n="0" f="v">
      <t c="8">
        <n x="1" s="1"/>
        <n x="2" s="1"/>
        <n x="5" s="1"/>
        <n x="3" s="1"/>
        <n x="4" s="1"/>
        <n x="104"/>
        <n x="92"/>
        <n x="93"/>
      </t>
    </mdx>
    <mdx n="0" f="v">
      <t c="8">
        <n x="1" s="1"/>
        <n x="2" s="1"/>
        <n x="5" s="1"/>
        <n x="3" s="1"/>
        <n x="4" s="1"/>
        <n x="104"/>
        <n x="92"/>
        <n x="162"/>
      </t>
    </mdx>
    <mdx n="0" f="v">
      <t c="8">
        <n x="1" s="1"/>
        <n x="2" s="1"/>
        <n x="5" s="1"/>
        <n x="3" s="1"/>
        <n x="4" s="1"/>
        <n x="104"/>
        <n x="92"/>
        <n x="87"/>
      </t>
    </mdx>
    <mdx n="0" f="v">
      <t c="8">
        <n x="1" s="1"/>
        <n x="2" s="1"/>
        <n x="5" s="1"/>
        <n x="3" s="1"/>
        <n x="4" s="1"/>
        <n x="104"/>
        <n x="101"/>
        <n x="63"/>
      </t>
    </mdx>
    <mdx n="0" f="v">
      <t c="8">
        <n x="1" s="1"/>
        <n x="2" s="1"/>
        <n x="5" s="1"/>
        <n x="3" s="1"/>
        <n x="4" s="1"/>
        <n x="104"/>
        <n x="101"/>
        <n x="154"/>
      </t>
    </mdx>
    <mdx n="0" f="v">
      <t c="8">
        <n x="1" s="1"/>
        <n x="2" s="1"/>
        <n x="5" s="1"/>
        <n x="3" s="1"/>
        <n x="4" s="1"/>
        <n x="104"/>
        <n x="101"/>
        <n x="127"/>
      </t>
    </mdx>
    <mdx n="0" f="v">
      <t c="8">
        <n x="1" s="1"/>
        <n x="2" s="1"/>
        <n x="5" s="1"/>
        <n x="3" s="1"/>
        <n x="4" s="1"/>
        <n x="104"/>
        <n x="114"/>
        <n x="164" s="1"/>
      </t>
    </mdx>
    <mdx n="0" f="v">
      <t c="8">
        <n x="1" s="1"/>
        <n x="2" s="1"/>
        <n x="5" s="1"/>
        <n x="3" s="1"/>
        <n x="4" s="1"/>
        <n x="104"/>
        <n x="114"/>
        <n x="128"/>
      </t>
    </mdx>
    <mdx n="0" f="v">
      <t c="8">
        <n x="1" s="1"/>
        <n x="2" s="1"/>
        <n x="5" s="1"/>
        <n x="3" s="1"/>
        <n x="4" s="1"/>
        <n x="104"/>
        <n x="114"/>
        <n x="116"/>
      </t>
    </mdx>
    <mdx n="0" f="v">
      <t c="8">
        <n x="1" s="1"/>
        <n x="2" s="1"/>
        <n x="5" s="1"/>
        <n x="3" s="1"/>
        <n x="4" s="1"/>
        <n x="104"/>
        <n x="114"/>
        <n x="77"/>
      </t>
    </mdx>
    <mdx n="0" f="v">
      <t c="8">
        <n x="1" s="1"/>
        <n x="2" s="1"/>
        <n x="5" s="1"/>
        <n x="3" s="1"/>
        <n x="4" s="1"/>
        <n x="104"/>
        <n x="150"/>
        <n x="13"/>
      </t>
    </mdx>
    <mdx n="0" f="v">
      <t c="8">
        <n x="1" s="1"/>
        <n x="2" s="1"/>
        <n x="5" s="1"/>
        <n x="3" s="1"/>
        <n x="4" s="1"/>
        <n x="104"/>
        <n x="81"/>
        <n x="54"/>
      </t>
    </mdx>
    <mdx n="0" f="v">
      <t c="8">
        <n x="1" s="1"/>
        <n x="2" s="1"/>
        <n x="5" s="1"/>
        <n x="3" s="1"/>
        <n x="4" s="1"/>
        <n x="104"/>
        <n x="106"/>
        <n x="128"/>
      </t>
    </mdx>
    <mdx n="0" f="v">
      <t c="8">
        <n x="1" s="1"/>
        <n x="2" s="1"/>
        <n x="5" s="1"/>
        <n x="3" s="1"/>
        <n x="4" s="1"/>
        <n x="104"/>
        <n x="96"/>
        <n x="162"/>
      </t>
    </mdx>
    <mdx n="0" f="v">
      <t c="8">
        <n x="1" s="1"/>
        <n x="2" s="1"/>
        <n x="5" s="1"/>
        <n x="3" s="1"/>
        <n x="4" s="1"/>
        <n x="104"/>
        <n x="10"/>
        <n x="44"/>
      </t>
    </mdx>
    <mdx n="0" f="v">
      <t c="8">
        <n x="1" s="1"/>
        <n x="2" s="1"/>
        <n x="5" s="1"/>
        <n x="3" s="1"/>
        <n x="4" s="1"/>
        <n x="104"/>
        <n x="73"/>
        <n x="93"/>
      </t>
    </mdx>
    <mdx n="0" f="v">
      <t c="8">
        <n x="1" s="1"/>
        <n x="2" s="1"/>
        <n x="5" s="1"/>
        <n x="3" s="1"/>
        <n x="4" s="1"/>
        <n x="104"/>
        <n x="82"/>
        <n x="164" s="1"/>
      </t>
    </mdx>
    <mdx n="0" f="v">
      <t c="8">
        <n x="1" s="1"/>
        <n x="2" s="1"/>
        <n x="5" s="1"/>
        <n x="3" s="1"/>
        <n x="4" s="1"/>
        <n x="104"/>
        <n x="82"/>
        <n x="141"/>
      </t>
    </mdx>
    <mdx n="0" f="v">
      <t c="8">
        <n x="1" s="1"/>
        <n x="2" s="1"/>
        <n x="5" s="1"/>
        <n x="3" s="1"/>
        <n x="4" s="1"/>
        <n x="104"/>
        <n x="91"/>
        <n x="160"/>
      </t>
    </mdx>
    <mdx n="0" f="v">
      <t c="8">
        <n x="1" s="1"/>
        <n x="2" s="1"/>
        <n x="5" s="1"/>
        <n x="3" s="1"/>
        <n x="4" s="1"/>
        <n x="104"/>
        <n x="100"/>
        <n x="84"/>
      </t>
    </mdx>
    <mdx n="0" f="v">
      <t c="8">
        <n x="1" s="1"/>
        <n x="2" s="1"/>
        <n x="5" s="1"/>
        <n x="3" s="1"/>
        <n x="4" s="1"/>
        <n x="104"/>
        <n x="100"/>
        <n x="119"/>
      </t>
    </mdx>
    <mdx n="0" f="v">
      <t c="8">
        <n x="1" s="1"/>
        <n x="2" s="1"/>
        <n x="5" s="1"/>
        <n x="3" s="1"/>
        <n x="4" s="1"/>
        <n x="104"/>
        <n x="40"/>
        <n x="102"/>
      </t>
    </mdx>
    <mdx n="0" f="v">
      <t c="8">
        <n x="1" s="1"/>
        <n x="2" s="1"/>
        <n x="5" s="1"/>
        <n x="3" s="1"/>
        <n x="4" s="1"/>
        <n x="104"/>
        <n x="40"/>
        <n x="122"/>
      </t>
    </mdx>
    <mdx n="0" f="v">
      <t c="8">
        <n x="1" s="1"/>
        <n x="2" s="1"/>
        <n x="5" s="1"/>
        <n x="3" s="1"/>
        <n x="4" s="1"/>
        <n x="104"/>
        <n x="113"/>
        <n x="93"/>
      </t>
    </mdx>
    <mdx n="0" f="v">
      <t c="8">
        <n x="1" s="1"/>
        <n x="2" s="1"/>
        <n x="5" s="1"/>
        <n x="3" s="1"/>
        <n x="4" s="1"/>
        <n x="104"/>
        <n x="113"/>
        <n x="85"/>
      </t>
    </mdx>
    <mdx n="0" f="v">
      <t c="8">
        <n x="1" s="1"/>
        <n x="2" s="1"/>
        <n x="5" s="1"/>
        <n x="3" s="1"/>
        <n x="4" s="1"/>
        <n x="104"/>
        <n x="131"/>
        <n x="56"/>
      </t>
    </mdx>
    <mdx n="0" f="v">
      <t c="8">
        <n x="1" s="1"/>
        <n x="2" s="1"/>
        <n x="5" s="1"/>
        <n x="3" s="1"/>
        <n x="4" s="1"/>
        <n x="104"/>
        <n x="131"/>
        <n x="29"/>
      </t>
    </mdx>
    <mdx n="0" f="v">
      <t c="8">
        <n x="1" s="1"/>
        <n x="2" s="1"/>
        <n x="5" s="1"/>
        <n x="3" s="1"/>
        <n x="4" s="1"/>
        <n x="104"/>
        <n x="131"/>
        <n x="77"/>
      </t>
    </mdx>
    <mdx n="0" f="v">
      <t c="8">
        <n x="1" s="1"/>
        <n x="2" s="1"/>
        <n x="5" s="1"/>
        <n x="3" s="1"/>
        <n x="4" s="1"/>
        <n x="104"/>
        <n x="134"/>
        <n x="48"/>
      </t>
    </mdx>
    <mdx n="0" f="v">
      <t c="8">
        <n x="1" s="1"/>
        <n x="2" s="1"/>
        <n x="5" s="1"/>
        <n x="3" s="1"/>
        <n x="4" s="1"/>
        <n x="104"/>
        <n x="134"/>
        <n x="49"/>
      </t>
    </mdx>
    <mdx n="0" f="v">
      <t c="8">
        <n x="1" s="1"/>
        <n x="2" s="1"/>
        <n x="5" s="1"/>
        <n x="3" s="1"/>
        <n x="4" s="1"/>
        <n x="104"/>
        <n x="140"/>
        <n x="109"/>
      </t>
    </mdx>
    <mdx n="0" f="v">
      <t c="8">
        <n x="1" s="1"/>
        <n x="2" s="1"/>
        <n x="5" s="1"/>
        <n x="3" s="1"/>
        <n x="4" s="1"/>
        <n x="104"/>
        <n x="140"/>
        <n x="122"/>
      </t>
    </mdx>
    <mdx n="0" f="v">
      <t c="8">
        <n x="1" s="1"/>
        <n x="2" s="1"/>
        <n x="5" s="1"/>
        <n x="3" s="1"/>
        <n x="4" s="1"/>
        <n x="104"/>
        <n x="145"/>
        <n x="75"/>
      </t>
    </mdx>
    <mdx n="0" f="v">
      <t c="8">
        <n x="1" s="1"/>
        <n x="2" s="1"/>
        <n x="5" s="1"/>
        <n x="3" s="1"/>
        <n x="4" s="1"/>
        <n x="104"/>
        <n x="145"/>
        <n x="14"/>
      </t>
    </mdx>
    <mdx n="0" f="v">
      <t c="8">
        <n x="1" s="1"/>
        <n x="2" s="1"/>
        <n x="5" s="1"/>
        <n x="3" s="1"/>
        <n x="4" s="1"/>
        <n x="104"/>
        <n x="145"/>
        <n x="49"/>
      </t>
    </mdx>
    <mdx n="0" f="v">
      <t c="8">
        <n x="1" s="1"/>
        <n x="2" s="1"/>
        <n x="5" s="1"/>
        <n x="3" s="1"/>
        <n x="4" s="1"/>
        <n x="104"/>
        <n x="129"/>
        <n x="115"/>
      </t>
    </mdx>
    <mdx n="0" f="v">
      <t c="8">
        <n x="1" s="1"/>
        <n x="2" s="1"/>
        <n x="5" s="1"/>
        <n x="3" s="1"/>
        <n x="4" s="1"/>
        <n x="104"/>
        <n x="129"/>
        <n x="116"/>
      </t>
    </mdx>
    <mdx n="0" f="v">
      <t c="8">
        <n x="1" s="1"/>
        <n x="2" s="1"/>
        <n x="5" s="1"/>
        <n x="3" s="1"/>
        <n x="4" s="1"/>
        <n x="104"/>
        <n x="11"/>
        <n x="164" s="1"/>
      </t>
    </mdx>
    <mdx n="0" f="v">
      <t c="8">
        <n x="1" s="1"/>
        <n x="2" s="1"/>
        <n x="5" s="1"/>
        <n x="3" s="1"/>
        <n x="4" s="1"/>
        <n x="104"/>
        <n x="11"/>
        <n x="48"/>
      </t>
    </mdx>
    <mdx n="0" f="v">
      <t c="8">
        <n x="1" s="1"/>
        <n x="2" s="1"/>
        <n x="5" s="1"/>
        <n x="3" s="1"/>
        <n x="4" s="1"/>
        <n x="104"/>
        <n x="11"/>
        <n x="15"/>
      </t>
    </mdx>
    <mdx n="0" f="v">
      <t c="8">
        <n x="1" s="1"/>
        <n x="2" s="1"/>
        <n x="5" s="1"/>
        <n x="3" s="1"/>
        <n x="4" s="1"/>
        <n x="104"/>
        <n x="26"/>
        <n x="93"/>
      </t>
    </mdx>
    <mdx n="0" f="v">
      <t c="8">
        <n x="1" s="1"/>
        <n x="2" s="1"/>
        <n x="5" s="1"/>
        <n x="3" s="1"/>
        <n x="4" s="1"/>
        <n x="104"/>
        <n x="26"/>
        <n x="58"/>
      </t>
    </mdx>
    <mdx n="0" f="v">
      <t c="8">
        <n x="1" s="1"/>
        <n x="2" s="1"/>
        <n x="5" s="1"/>
        <n x="3" s="1"/>
        <n x="4" s="1"/>
        <n x="104"/>
        <n x="26"/>
        <n x="52"/>
      </t>
    </mdx>
    <mdx n="0" f="v">
      <t c="8">
        <n x="1" s="1"/>
        <n x="2" s="1"/>
        <n x="5" s="1"/>
        <n x="3" s="1"/>
        <n x="4" s="1"/>
        <n x="104"/>
        <n x="35"/>
        <n x="115"/>
      </t>
    </mdx>
    <mdx n="0" f="v">
      <t c="8">
        <n x="1" s="1"/>
        <n x="2" s="1"/>
        <n x="5" s="1"/>
        <n x="3" s="1"/>
        <n x="4" s="1"/>
        <n x="104"/>
        <n x="35"/>
        <n x="94"/>
      </t>
    </mdx>
    <mdx n="0" f="v">
      <t c="8">
        <n x="1" s="1"/>
        <n x="2" s="1"/>
        <n x="5" s="1"/>
        <n x="3" s="1"/>
        <n x="4" s="1"/>
        <n x="104"/>
        <n x="35"/>
        <n x="45"/>
      </t>
    </mdx>
    <mdx n="0" f="v">
      <t c="8">
        <n x="1" s="1"/>
        <n x="2" s="1"/>
        <n x="5" s="1"/>
        <n x="3" s="1"/>
        <n x="4" s="1"/>
        <n x="104"/>
        <n x="152"/>
        <n x="108"/>
      </t>
    </mdx>
    <mdx n="0" f="v">
      <t c="8">
        <n x="1" s="1"/>
        <n x="2" s="1"/>
        <n x="5" s="1"/>
        <n x="3" s="1"/>
        <n x="4" s="1"/>
        <n x="104"/>
        <n x="152"/>
        <n x="103"/>
      </t>
    </mdx>
    <mdx n="0" f="v">
      <t c="8">
        <n x="1" s="1"/>
        <n x="2" s="1"/>
        <n x="5" s="1"/>
        <n x="3" s="1"/>
        <n x="4" s="1"/>
        <n x="104"/>
        <n x="152"/>
        <n x="45"/>
      </t>
    </mdx>
    <mdx n="0" f="v">
      <t c="8">
        <n x="1" s="1"/>
        <n x="2" s="1"/>
        <n x="5" s="1"/>
        <n x="3" s="1"/>
        <n x="4" s="1"/>
        <n x="104"/>
        <n x="47"/>
        <n x="107"/>
      </t>
    </mdx>
    <mdx n="0" f="v">
      <t c="8">
        <n x="1" s="1"/>
        <n x="2" s="1"/>
        <n x="5" s="1"/>
        <n x="3" s="1"/>
        <n x="4" s="1"/>
        <n x="104"/>
        <n x="47"/>
        <n x="85"/>
      </t>
    </mdx>
    <mdx n="0" f="v">
      <t c="8">
        <n x="1" s="1"/>
        <n x="2" s="1"/>
        <n x="5" s="1"/>
        <n x="3" s="1"/>
        <n x="4" s="1"/>
        <n x="104"/>
        <n x="47"/>
        <n x="52"/>
      </t>
    </mdx>
    <mdx n="0" f="v">
      <t c="8">
        <n x="1" s="1"/>
        <n x="2" s="1"/>
        <n x="5" s="1"/>
        <n x="3" s="1"/>
        <n x="4" s="1"/>
        <n x="104"/>
        <n x="51"/>
        <n x="19"/>
      </t>
    </mdx>
    <mdx n="0" f="v">
      <t c="8">
        <n x="1" s="1"/>
        <n x="2" s="1"/>
        <n x="5" s="1"/>
        <n x="3" s="1"/>
        <n x="4" s="1"/>
        <n x="104"/>
        <n x="51"/>
        <n x="20"/>
      </t>
    </mdx>
    <mdx n="0" f="v">
      <t c="8">
        <n x="1" s="1"/>
        <n x="2" s="1"/>
        <n x="5" s="1"/>
        <n x="3" s="1"/>
        <n x="4" s="1"/>
        <n x="104"/>
        <n x="51"/>
        <n x="33"/>
      </t>
    </mdx>
    <mdx n="0" f="v">
      <t c="8">
        <n x="1" s="1"/>
        <n x="2" s="1"/>
        <n x="5" s="1"/>
        <n x="3" s="1"/>
        <n x="4" s="1"/>
        <n x="104"/>
        <n x="53"/>
        <n x="93"/>
      </t>
    </mdx>
    <mdx n="0" f="v">
      <t c="8">
        <n x="1" s="1"/>
        <n x="2" s="1"/>
        <n x="5" s="1"/>
        <n x="3" s="1"/>
        <n x="4" s="1"/>
        <n x="104"/>
        <n x="53"/>
        <n x="162"/>
      </t>
    </mdx>
    <mdx n="0" f="v">
      <t c="8">
        <n x="1" s="1"/>
        <n x="2" s="1"/>
        <n x="5" s="1"/>
        <n x="3" s="1"/>
        <n x="4" s="1"/>
        <n x="104"/>
        <n x="53"/>
        <n x="87"/>
      </t>
    </mdx>
    <mdx n="0" f="v">
      <t c="8">
        <n x="1" s="1"/>
        <n x="2" s="1"/>
        <n x="5" s="1"/>
        <n x="3" s="1"/>
        <n x="4" s="1"/>
        <n x="104"/>
        <n x="55"/>
        <n x="63"/>
      </t>
    </mdx>
    <mdx n="0" f="v">
      <t c="8">
        <n x="1" s="1"/>
        <n x="2" s="1"/>
        <n x="5" s="1"/>
        <n x="3" s="1"/>
        <n x="4" s="1"/>
        <n x="104"/>
        <n x="55"/>
        <n x="154"/>
      </t>
    </mdx>
    <mdx n="0" f="v">
      <t c="8">
        <n x="1" s="1"/>
        <n x="2" s="1"/>
        <n x="5" s="1"/>
        <n x="3" s="1"/>
        <n x="4" s="1"/>
        <n x="104"/>
        <n x="55"/>
        <n x="127"/>
      </t>
    </mdx>
    <mdx n="0" f="v">
      <t c="8">
        <n x="1" s="1"/>
        <n x="2" s="1"/>
        <n x="5" s="1"/>
        <n x="3" s="1"/>
        <n x="4" s="1"/>
        <n x="104"/>
        <n x="41"/>
        <n x="164" s="1"/>
      </t>
    </mdx>
    <mdx n="0" f="v">
      <t c="8">
        <n x="1" s="1"/>
        <n x="2" s="1"/>
        <n x="5" s="1"/>
        <n x="3" s="1"/>
        <n x="4" s="1"/>
        <n x="104"/>
        <n x="41"/>
        <n x="128"/>
      </t>
    </mdx>
    <mdx n="0" f="v">
      <t c="8">
        <n x="1" s="1"/>
        <n x="2" s="1"/>
        <n x="5" s="1"/>
        <n x="3" s="1"/>
        <n x="4" s="1"/>
        <n x="104"/>
        <n x="41"/>
        <n x="116"/>
      </t>
    </mdx>
    <mdx n="0" f="v">
      <t c="8">
        <n x="1" s="1"/>
        <n x="2" s="1"/>
        <n x="5" s="1"/>
        <n x="3" s="1"/>
        <n x="4" s="1"/>
        <n x="104"/>
        <n x="41"/>
        <n x="77"/>
      </t>
    </mdx>
    <mdx n="0" f="v">
      <t c="8">
        <n x="1" s="1"/>
        <n x="2" s="1"/>
        <n x="5" s="1"/>
        <n x="3" s="1"/>
        <n x="4" s="1"/>
        <n x="104"/>
        <n x="74"/>
        <n x="108"/>
      </t>
    </mdx>
    <mdx n="0" f="v">
      <t c="8">
        <n x="1" s="1"/>
        <n x="2" s="1"/>
        <n x="5" s="1"/>
        <n x="3" s="1"/>
        <n x="4" s="1"/>
        <n x="104"/>
        <n x="74"/>
        <n x="94"/>
      </t>
    </mdx>
    <mdx n="0" f="v">
      <t c="8">
        <n x="1" s="1"/>
        <n x="2" s="1"/>
        <n x="5" s="1"/>
        <n x="3" s="1"/>
        <n x="4" s="1"/>
        <n x="104"/>
        <n x="74"/>
        <n x="54"/>
      </t>
    </mdx>
    <mdx n="0" f="v">
      <t c="8">
        <n x="1" s="1"/>
        <n x="2" s="1"/>
        <n x="5" s="1"/>
        <n x="3" s="1"/>
        <n x="4" s="1"/>
        <n x="104"/>
        <n x="83"/>
        <n x="102"/>
      </t>
    </mdx>
    <mdx n="0" f="v">
      <t c="8">
        <n x="1" s="1"/>
        <n x="2" s="1"/>
        <n x="5" s="1"/>
        <n x="3" s="1"/>
        <n x="4" s="1"/>
        <n x="104"/>
        <n x="83"/>
        <n x="58"/>
      </t>
    </mdx>
    <mdx n="0" f="v">
      <t c="8">
        <n x="1" s="1"/>
        <n x="2" s="1"/>
        <n x="5" s="1"/>
        <n x="3" s="1"/>
        <n x="4" s="1"/>
        <n x="104"/>
        <n x="83"/>
        <n x="155"/>
      </t>
    </mdx>
    <mdx n="0" f="v">
      <t c="8">
        <n x="1" s="1"/>
        <n x="2" s="1"/>
        <n x="5" s="1"/>
        <n x="3" s="1"/>
        <n x="4" s="1"/>
        <n x="104"/>
        <n x="92"/>
        <n x="13"/>
      </t>
    </mdx>
    <mdx n="0" f="v">
      <t c="8">
        <n x="1" s="1"/>
        <n x="2" s="1"/>
        <n x="5" s="1"/>
        <n x="3" s="1"/>
        <n x="4" s="1"/>
        <n x="104"/>
        <n x="92"/>
        <n x="14"/>
      </t>
    </mdx>
    <mdx n="0" f="v">
      <t c="8">
        <n x="1" s="1"/>
        <n x="2" s="1"/>
        <n x="5" s="1"/>
        <n x="3" s="1"/>
        <n x="4" s="1"/>
        <n x="104"/>
        <n x="92"/>
        <n x="15"/>
      </t>
    </mdx>
    <mdx n="0" f="v">
      <t c="8">
        <n x="1" s="1"/>
        <n x="2" s="1"/>
        <n x="5" s="1"/>
        <n x="3" s="1"/>
        <n x="4" s="1"/>
        <n x="104"/>
        <n x="101"/>
        <n x="75"/>
      </t>
    </mdx>
    <mdx n="0" f="v">
      <t c="8">
        <n x="1" s="1"/>
        <n x="2" s="1"/>
        <n x="5" s="1"/>
        <n x="3" s="1"/>
        <n x="4" s="1"/>
        <n x="104"/>
        <n x="101"/>
        <n x="48"/>
      </t>
    </mdx>
    <mdx n="0" f="v">
      <t c="8">
        <n x="1" s="1"/>
        <n x="2" s="1"/>
        <n x="5" s="1"/>
        <n x="3" s="1"/>
        <n x="4" s="1"/>
        <n x="104"/>
        <n x="101"/>
        <n x="141"/>
      </t>
    </mdx>
    <mdx n="0" f="v">
      <t c="8">
        <n x="1" s="1"/>
        <n x="2" s="1"/>
        <n x="5" s="1"/>
        <n x="3" s="1"/>
        <n x="4" s="1"/>
        <n x="104"/>
        <n x="114"/>
        <n x="56"/>
      </t>
    </mdx>
    <mdx n="0" f="v">
      <t c="8">
        <n x="1" s="1"/>
        <n x="2" s="1"/>
        <n x="5" s="1"/>
        <n x="3" s="1"/>
        <n x="4" s="1"/>
        <n x="104"/>
        <n x="114"/>
        <n x="147"/>
      </t>
    </mdx>
    <mdx n="0" f="v">
      <t c="8">
        <n x="1" s="1"/>
        <n x="2" s="1"/>
        <n x="5" s="1"/>
        <n x="3" s="1"/>
        <n x="4" s="1"/>
        <n x="104"/>
        <n x="114"/>
        <n x="119"/>
      </t>
    </mdx>
    <mdx n="0" f="v">
      <t c="8">
        <n x="1" s="1"/>
        <n x="2" s="1"/>
        <n x="5" s="1"/>
        <n x="3" s="1"/>
        <n x="4" s="1"/>
        <n x="104"/>
        <n x="114"/>
        <n x="86"/>
      </t>
    </mdx>
    <mdx n="0" f="v">
      <t c="8">
        <n x="1" s="1"/>
        <n x="2" s="1"/>
        <n x="5" s="1"/>
        <n x="3" s="1"/>
        <n x="4" s="1"/>
        <n x="104"/>
        <n x="118"/>
        <n x="109"/>
      </t>
    </mdx>
    <mdx n="0" f="v">
      <t c="8">
        <n x="1" s="1"/>
        <n x="2" s="1"/>
        <n x="5" s="1"/>
        <n x="3" s="1"/>
        <n x="4" s="1"/>
        <n x="104"/>
        <n x="118"/>
        <n x="103"/>
      </t>
    </mdx>
    <mdx n="0" f="v">
      <t c="8">
        <n x="1" s="1"/>
        <n x="2" s="1"/>
        <n x="5" s="1"/>
        <n x="3" s="1"/>
        <n x="4" s="1"/>
        <n x="104"/>
        <n x="118"/>
        <n x="69"/>
      </t>
    </mdx>
    <mdx n="0" f="v">
      <t c="8">
        <n x="1" s="1"/>
        <n x="2" s="1"/>
        <n x="5" s="1"/>
        <n x="3" s="1"/>
        <n x="4" s="1"/>
        <n x="104"/>
        <n x="121"/>
        <n x="115"/>
      </t>
    </mdx>
    <mdx n="0" f="v">
      <t c="8">
        <n x="1" s="1"/>
        <n x="2" s="1"/>
        <n x="5" s="1"/>
        <n x="3" s="1"/>
        <n x="4" s="1"/>
        <n x="104"/>
        <n x="150"/>
        <n x="119"/>
      </t>
    </mdx>
    <mdx n="0" f="v">
      <t c="8">
        <n x="1" s="1"/>
        <n x="2" s="1"/>
        <n x="5" s="1"/>
        <n x="3" s="1"/>
        <n x="4" s="1"/>
        <n x="104"/>
        <n x="90"/>
        <n x="59"/>
      </t>
    </mdx>
    <mdx n="0" f="v">
      <t c="8">
        <n x="1" s="1"/>
        <n x="2" s="1"/>
        <n x="5" s="1"/>
        <n x="3" s="1"/>
        <n x="4" s="1"/>
        <n x="104"/>
        <n x="106"/>
        <n x="141"/>
      </t>
    </mdx>
    <mdx n="0" f="v">
      <t c="8">
        <n x="1" s="1"/>
        <n x="2" s="1"/>
        <n x="5" s="1"/>
        <n x="3" s="1"/>
        <n x="4" s="1"/>
        <n x="104"/>
        <n x="96"/>
        <n x="33"/>
      </t>
    </mdx>
    <mdx n="0" f="v">
      <t c="8">
        <n x="1" s="1"/>
        <n x="2" s="1"/>
        <n x="5" s="1"/>
        <n x="3" s="1"/>
        <n x="4" s="1"/>
        <n x="104"/>
        <n x="10"/>
        <n x="45"/>
      </t>
    </mdx>
    <mdx n="0" f="v">
      <t c="8">
        <n x="1" s="1"/>
        <n x="2" s="1"/>
        <n x="5" s="1"/>
        <n x="3" s="1"/>
        <n x="4" s="1"/>
        <n x="104"/>
        <n x="73"/>
        <n x="13"/>
      </t>
    </mdx>
    <mdx n="0" f="v">
      <t c="8">
        <n x="1" s="1"/>
        <n x="2" s="1"/>
        <n x="5" s="1"/>
        <n x="3" s="1"/>
        <n x="4" s="1"/>
        <n x="104"/>
        <n x="82"/>
        <n x="63"/>
      </t>
    </mdx>
    <mdx n="0" f="v">
      <t c="8">
        <n x="1" s="1"/>
        <n x="2" s="1"/>
        <n x="5" s="1"/>
        <n x="3" s="1"/>
        <n x="4" s="1"/>
        <n x="104"/>
        <n x="82"/>
        <n x="15"/>
      </t>
    </mdx>
    <mdx n="0" f="v">
      <t c="8">
        <n x="1" s="1"/>
        <n x="2" s="1"/>
        <n x="5" s="1"/>
        <n x="3" s="1"/>
        <n x="4" s="1"/>
        <n x="104"/>
        <n x="91"/>
        <n x="20"/>
      </t>
    </mdx>
    <mdx n="0" f="v">
      <t c="8">
        <n x="1" s="1"/>
        <n x="2" s="1"/>
        <n x="5" s="1"/>
        <n x="3" s="1"/>
        <n x="4" s="1"/>
        <n x="104"/>
        <n x="100"/>
        <n x="93"/>
      </t>
    </mdx>
    <mdx n="0" f="v">
      <t c="8">
        <n x="1" s="1"/>
        <n x="2" s="1"/>
        <n x="5" s="1"/>
        <n x="3" s="1"/>
        <n x="4" s="1"/>
        <n x="104"/>
        <n x="100"/>
        <n x="122"/>
      </t>
    </mdx>
    <mdx n="0" f="v">
      <t c="8">
        <n x="1" s="1"/>
        <n x="2" s="1"/>
        <n x="5" s="1"/>
        <n x="3" s="1"/>
        <n x="4" s="1"/>
        <n x="104"/>
        <n x="40"/>
        <n x="115"/>
      </t>
    </mdx>
    <mdx n="0" f="v">
      <t c="8">
        <n x="1" s="1"/>
        <n x="2" s="1"/>
        <n x="5" s="1"/>
        <n x="3" s="1"/>
        <n x="4" s="1"/>
        <n x="104"/>
        <n x="40"/>
        <n x="127"/>
      </t>
    </mdx>
    <mdx n="0" f="v">
      <t c="8">
        <n x="1" s="1"/>
        <n x="2" s="1"/>
        <n x="5" s="1"/>
        <n x="3" s="1"/>
        <n x="4" s="1"/>
        <n x="104"/>
        <n x="113"/>
        <n x="13"/>
      </t>
    </mdx>
    <mdx n="0" f="v">
      <t c="8">
        <n x="1" s="1"/>
        <n x="2" s="1"/>
        <n x="5" s="1"/>
        <n x="3" s="1"/>
        <n x="4" s="1"/>
        <n x="104"/>
        <n x="113"/>
        <n x="44"/>
      </t>
    </mdx>
    <mdx n="0" f="v">
      <t c="8">
        <n x="1" s="1"/>
        <n x="2" s="1"/>
        <n x="5" s="1"/>
        <n x="3" s="1"/>
        <n x="4" s="1"/>
        <n x="104"/>
        <n x="131"/>
        <n x="63"/>
      </t>
    </mdx>
    <mdx n="0" f="v">
      <t c="8">
        <n x="1" s="1"/>
        <n x="2" s="1"/>
        <n x="5" s="1"/>
        <n x="3" s="1"/>
        <n x="4" s="1"/>
        <n x="104"/>
        <n x="131"/>
        <n x="20"/>
      </t>
    </mdx>
    <mdx n="0" f="v">
      <t c="8">
        <n x="1" s="1"/>
        <n x="2" s="1"/>
        <n x="5" s="1"/>
        <n x="3" s="1"/>
        <n x="4" s="1"/>
        <n x="104"/>
        <n x="131"/>
        <n x="86"/>
      </t>
    </mdx>
    <mdx n="0" f="v">
      <t c="8">
        <n x="1" s="1"/>
        <n x="2" s="1"/>
        <n x="5" s="1"/>
        <n x="3" s="1"/>
        <n x="4" s="1"/>
        <n x="104"/>
        <n x="134"/>
        <n x="160"/>
      </t>
    </mdx>
    <mdx n="0" f="v">
      <t c="8">
        <n x="1" s="1"/>
        <n x="2" s="1"/>
        <n x="5" s="1"/>
        <n x="3" s="1"/>
        <n x="4" s="1"/>
        <n x="104"/>
        <n x="134"/>
        <n x="54"/>
      </t>
    </mdx>
    <mdx n="0" f="v">
      <t c="8">
        <n x="1" s="1"/>
        <n x="2" s="1"/>
        <n x="5" s="1"/>
        <n x="3" s="1"/>
        <n x="4" s="1"/>
        <n x="104"/>
        <n x="140"/>
        <n x="43"/>
      </t>
    </mdx>
    <mdx n="0" f="v">
      <t c="8">
        <n x="1" s="1"/>
        <n x="2" s="1"/>
        <n x="5" s="1"/>
        <n x="3" s="1"/>
        <n x="4" s="1"/>
        <n x="104"/>
        <n x="140"/>
        <n x="127"/>
      </t>
    </mdx>
    <mdx n="0" f="v">
      <t c="8">
        <n x="1" s="1"/>
        <n x="2" s="1"/>
        <n x="5" s="1"/>
        <n x="3" s="1"/>
        <n x="4" s="1"/>
        <n x="104"/>
        <n x="145"/>
        <n x="84"/>
      </t>
    </mdx>
    <mdx n="0" f="v">
      <t c="8">
        <n x="1" s="1"/>
        <n x="2" s="1"/>
        <n x="5" s="1"/>
        <n x="3" s="1"/>
        <n x="4" s="1"/>
        <n x="104"/>
        <n x="145"/>
        <n x="29"/>
      </t>
    </mdx>
    <mdx n="0" f="v">
      <t c="8">
        <n x="1" s="1"/>
        <n x="2" s="1"/>
        <n x="5" s="1"/>
        <n x="3" s="1"/>
        <n x="4" s="1"/>
        <n x="104"/>
        <n x="145"/>
        <n x="52"/>
      </t>
    </mdx>
    <mdx n="0" f="v">
      <t c="8">
        <n x="1" s="1"/>
        <n x="2" s="1"/>
        <n x="5" s="1"/>
        <n x="3" s="1"/>
        <n x="4" s="1"/>
        <n x="104"/>
        <n x="129"/>
        <n x="107"/>
      </t>
    </mdx>
    <mdx n="0" f="v">
      <t c="8">
        <n x="1" s="1"/>
        <n x="2" s="1"/>
        <n x="5" s="1"/>
        <n x="3" s="1"/>
        <n x="4" s="1"/>
        <n x="104"/>
        <n x="129"/>
        <n x="119"/>
      </t>
    </mdx>
    <mdx n="0" f="v">
      <t c="8">
        <n x="1" s="1"/>
        <n x="2" s="1"/>
        <n x="5" s="1"/>
        <n x="3" s="1"/>
        <n x="4" s="1"/>
        <n x="104"/>
        <n x="11"/>
        <n x="56"/>
      </t>
    </mdx>
    <mdx n="0" f="v">
      <t c="8">
        <n x="1" s="1"/>
        <n x="2" s="1"/>
        <n x="5" s="1"/>
        <n x="3" s="1"/>
        <n x="4" s="1"/>
        <n x="104"/>
        <n x="11"/>
        <n x="160"/>
      </t>
    </mdx>
    <mdx n="0" f="v">
      <t c="8">
        <n x="1" s="1"/>
        <n x="2" s="1"/>
        <n x="5" s="1"/>
        <n x="3" s="1"/>
        <n x="4" s="1"/>
        <n x="104"/>
        <n x="11"/>
        <n x="16"/>
      </t>
    </mdx>
    <mdx n="0" f="v">
      <t c="8">
        <n x="1" s="1"/>
        <n x="2" s="1"/>
        <n x="5" s="1"/>
        <n x="3" s="1"/>
        <n x="4" s="1"/>
        <n x="104"/>
        <n x="26"/>
        <n x="13"/>
      </t>
    </mdx>
    <mdx n="0" f="v">
      <t c="8">
        <n x="1" s="1"/>
        <n x="2" s="1"/>
        <n x="5" s="1"/>
        <n x="3" s="1"/>
        <n x="4" s="1"/>
        <n x="104"/>
        <n x="26"/>
        <n x="76"/>
      </t>
    </mdx>
    <mdx n="0" f="v">
      <t c="8">
        <n x="1" s="1"/>
        <n x="2" s="1"/>
        <n x="5" s="1"/>
        <n x="3" s="1"/>
        <n x="4" s="1"/>
        <n x="104"/>
        <n x="26"/>
        <n x="54"/>
      </t>
    </mdx>
    <mdx n="0" f="v">
      <t c="8">
        <n x="1" s="1"/>
        <n x="2" s="1"/>
        <n x="5" s="1"/>
        <n x="3" s="1"/>
        <n x="4" s="1"/>
        <n x="104"/>
        <n x="35"/>
        <n x="107"/>
      </t>
    </mdx>
    <mdx n="0" f="v">
      <t c="8">
        <n x="1" s="1"/>
        <n x="2" s="1"/>
        <n x="5" s="1"/>
        <n x="3" s="1"/>
        <n x="4" s="1"/>
        <n x="104"/>
        <n x="35"/>
        <n x="103"/>
      </t>
    </mdx>
    <mdx n="0" f="v">
      <t c="8">
        <n x="1" s="1"/>
        <n x="2" s="1"/>
        <n x="5" s="1"/>
        <n x="3" s="1"/>
        <n x="4" s="1"/>
        <n x="104"/>
        <n x="35"/>
        <n x="77"/>
      </t>
    </mdx>
    <mdx n="0" f="v">
      <t c="8">
        <n x="1" s="1"/>
        <n x="2" s="1"/>
        <n x="5" s="1"/>
        <n x="3" s="1"/>
        <n x="4" s="1"/>
        <n x="104"/>
        <n x="152"/>
        <n x="109"/>
      </t>
    </mdx>
    <mdx n="0" f="v">
      <t c="8">
        <n x="1" s="1"/>
        <n x="2" s="1"/>
        <n x="5" s="1"/>
        <n x="3" s="1"/>
        <n x="4" s="1"/>
        <n x="104"/>
        <n x="152"/>
        <n x="44"/>
      </t>
    </mdx>
    <mdx n="0" f="v">
      <t c="8">
        <n x="1" s="1"/>
        <n x="2" s="1"/>
        <n x="5" s="1"/>
        <n x="3" s="1"/>
        <n x="4" s="1"/>
        <n x="104"/>
        <n x="152"/>
        <n x="77"/>
      </t>
    </mdx>
    <mdx n="0" f="v">
      <t c="8">
        <n x="1" s="1"/>
        <n x="2" s="1"/>
        <n x="5" s="1"/>
        <n x="3" s="1"/>
        <n x="4" s="1"/>
        <n x="104"/>
        <n x="47"/>
        <n x="108"/>
      </t>
    </mdx>
    <mdx n="0" f="v">
      <t c="8">
        <n x="1" s="1"/>
        <n x="2" s="1"/>
        <n x="5" s="1"/>
        <n x="3" s="1"/>
        <n x="4" s="1"/>
        <n x="104"/>
        <n x="47"/>
        <n x="94"/>
      </t>
    </mdx>
    <mdx n="0" f="v">
      <t c="8">
        <n x="1" s="1"/>
        <n x="2" s="1"/>
        <n x="5" s="1"/>
        <n x="3" s="1"/>
        <n x="4" s="1"/>
        <n x="104"/>
        <n x="47"/>
        <n x="54"/>
      </t>
    </mdx>
    <mdx n="0" f="v">
      <t c="8">
        <n x="1" s="1"/>
        <n x="2" s="1"/>
        <n x="5" s="1"/>
        <n x="3" s="1"/>
        <n x="4" s="1"/>
        <n x="104"/>
        <n x="51"/>
        <n x="102"/>
      </t>
    </mdx>
    <mdx n="0" f="v">
      <t c="8">
        <n x="1" s="1"/>
        <n x="2" s="1"/>
        <n x="5" s="1"/>
        <n x="3" s="1"/>
        <n x="4" s="1"/>
        <n x="104"/>
        <n x="51"/>
        <n x="58"/>
      </t>
    </mdx>
    <mdx n="0" f="v">
      <t c="8">
        <n x="1" s="1"/>
        <n x="2" s="1"/>
        <n x="5" s="1"/>
        <n x="3" s="1"/>
        <n x="4" s="1"/>
        <n x="104"/>
        <n x="51"/>
        <n x="155"/>
      </t>
    </mdx>
    <mdx n="0" f="v">
      <t c="8">
        <n x="1" s="1"/>
        <n x="2" s="1"/>
        <n x="5" s="1"/>
        <n x="3" s="1"/>
        <n x="4" s="1"/>
        <n x="104"/>
        <n x="53"/>
        <n x="13"/>
      </t>
    </mdx>
    <mdx n="0" f="v">
      <t c="8">
        <n x="1" s="1"/>
        <n x="2" s="1"/>
        <n x="5" s="1"/>
        <n x="3" s="1"/>
        <n x="4" s="1"/>
        <n x="104"/>
        <n x="53"/>
        <n x="14"/>
      </t>
    </mdx>
    <mdx n="0" f="v">
      <t c="8">
        <n x="1" s="1"/>
        <n x="2" s="1"/>
        <n x="5" s="1"/>
        <n x="3" s="1"/>
        <n x="4" s="1"/>
        <n x="104"/>
        <n x="53"/>
        <n x="15"/>
      </t>
    </mdx>
    <mdx n="0" f="v">
      <t c="8">
        <n x="1" s="1"/>
        <n x="2" s="1"/>
        <n x="5" s="1"/>
        <n x="3" s="1"/>
        <n x="4" s="1"/>
        <n x="104"/>
        <n x="55"/>
        <n x="75"/>
      </t>
    </mdx>
    <mdx n="0" f="v">
      <t c="8">
        <n x="1" s="1"/>
        <n x="2" s="1"/>
        <n x="5" s="1"/>
        <n x="3" s="1"/>
        <n x="4" s="1"/>
        <n x="104"/>
        <n x="55"/>
        <n x="48"/>
      </t>
    </mdx>
    <mdx n="0" f="v">
      <t c="8">
        <n x="1" s="1"/>
        <n x="2" s="1"/>
        <n x="5" s="1"/>
        <n x="3" s="1"/>
        <n x="4" s="1"/>
        <n x="104"/>
        <n x="55"/>
        <n x="141"/>
      </t>
    </mdx>
    <mdx n="0" f="v">
      <t c="8">
        <n x="1" s="1"/>
        <n x="2" s="1"/>
        <n x="5" s="1"/>
        <n x="3" s="1"/>
        <n x="4" s="1"/>
        <n x="104"/>
        <n x="41"/>
        <n x="56"/>
      </t>
    </mdx>
    <mdx n="0" f="v">
      <t c="8">
        <n x="1" s="1"/>
        <n x="2" s="1"/>
        <n x="5" s="1"/>
        <n x="3" s="1"/>
        <n x="4" s="1"/>
        <n x="104"/>
        <n x="41"/>
        <n x="147"/>
      </t>
    </mdx>
    <mdx n="0" f="v">
      <t c="8">
        <n x="1" s="1"/>
        <n x="2" s="1"/>
        <n x="5" s="1"/>
        <n x="3" s="1"/>
        <n x="4" s="1"/>
        <n x="104"/>
        <n x="41"/>
        <n x="119"/>
      </t>
    </mdx>
    <mdx n="0" f="v">
      <t c="8">
        <n x="1" s="1"/>
        <n x="2" s="1"/>
        <n x="5" s="1"/>
        <n x="3" s="1"/>
        <n x="4" s="1"/>
        <n x="104"/>
        <n x="41"/>
        <n x="86"/>
      </t>
    </mdx>
    <mdx n="0" f="v">
      <t c="8">
        <n x="1" s="1"/>
        <n x="2" s="1"/>
        <n x="5" s="1"/>
        <n x="3" s="1"/>
        <n x="4" s="1"/>
        <n x="104"/>
        <n x="74"/>
        <n x="109"/>
      </t>
    </mdx>
    <mdx n="0" f="v">
      <t c="8">
        <n x="1" s="1"/>
        <n x="2" s="1"/>
        <n x="5" s="1"/>
        <n x="3" s="1"/>
        <n x="4" s="1"/>
        <n x="104"/>
        <n x="74"/>
        <n x="103"/>
      </t>
    </mdx>
    <mdx n="0" f="v">
      <t c="8">
        <n x="1" s="1"/>
        <n x="2" s="1"/>
        <n x="5" s="1"/>
        <n x="3" s="1"/>
        <n x="4" s="1"/>
        <n x="104"/>
        <n x="74"/>
        <n x="69"/>
      </t>
    </mdx>
    <mdx n="0" f="v">
      <t c="8">
        <n x="1" s="1"/>
        <n x="2" s="1"/>
        <n x="5" s="1"/>
        <n x="3" s="1"/>
        <n x="4" s="1"/>
        <n x="104"/>
        <n x="83"/>
        <n x="115"/>
      </t>
    </mdx>
    <mdx n="0" f="v">
      <t c="8">
        <n x="1" s="1"/>
        <n x="2" s="1"/>
        <n x="5" s="1"/>
        <n x="3" s="1"/>
        <n x="4" s="1"/>
        <n x="104"/>
        <n x="83"/>
        <n x="76"/>
      </t>
    </mdx>
    <mdx n="0" f="v">
      <t c="8">
        <n x="1" s="1"/>
        <n x="2" s="1"/>
        <n x="5" s="1"/>
        <n x="3" s="1"/>
        <n x="4" s="1"/>
        <n x="104"/>
        <n x="83"/>
        <n x="49"/>
      </t>
    </mdx>
    <mdx n="0" f="v">
      <t c="8">
        <n x="1" s="1"/>
        <n x="2" s="1"/>
        <n x="5" s="1"/>
        <n x="3" s="1"/>
        <n x="4" s="1"/>
        <n x="104"/>
        <n x="92"/>
        <n x="28"/>
      </t>
    </mdx>
    <mdx n="0" f="v">
      <t c="8">
        <n x="1" s="1"/>
        <n x="2" s="1"/>
        <n x="5" s="1"/>
        <n x="3" s="1"/>
        <n x="4" s="1"/>
        <n x="104"/>
        <n x="92"/>
        <n x="29"/>
      </t>
    </mdx>
    <mdx n="0" f="v">
      <t c="8">
        <n x="1" s="1"/>
        <n x="2" s="1"/>
        <n x="5" s="1"/>
        <n x="3" s="1"/>
        <n x="4" s="1"/>
        <n x="104"/>
        <n x="92"/>
        <n x="16"/>
      </t>
    </mdx>
    <mdx n="0" f="v">
      <t c="8">
        <n x="1" s="1"/>
        <n x="2" s="1"/>
        <n x="5" s="1"/>
        <n x="3" s="1"/>
        <n x="4" s="1"/>
        <n x="104"/>
        <n x="101"/>
        <n x="84"/>
      </t>
    </mdx>
    <mdx n="0" f="v">
      <t c="8">
        <n x="1" s="1"/>
        <n x="2" s="1"/>
        <n x="5" s="1"/>
        <n x="3" s="1"/>
        <n x="4" s="1"/>
        <n x="104"/>
        <n x="101"/>
        <n x="160"/>
      </t>
    </mdx>
    <mdx n="0" f="v">
      <t c="8">
        <n x="1" s="1"/>
        <n x="2" s="1"/>
        <n x="5" s="1"/>
        <n x="3" s="1"/>
        <n x="4" s="1"/>
        <n x="104"/>
        <n x="101"/>
        <n x="148"/>
      </t>
    </mdx>
    <mdx n="0" f="v">
      <t c="8">
        <n x="1" s="1"/>
        <n x="2" s="1"/>
        <n x="5" s="1"/>
        <n x="3" s="1"/>
        <n x="4" s="1"/>
        <n x="104"/>
        <n x="114"/>
        <n x="62"/>
      </t>
    </mdx>
    <mdx n="0" f="v">
      <t c="8">
        <n x="1" s="1"/>
        <n x="2" s="1"/>
        <n x="5" s="1"/>
        <n x="3" s="1"/>
        <n x="4" s="1"/>
        <n x="104"/>
        <n x="114"/>
        <n x="59"/>
      </t>
    </mdx>
    <mdx n="0" f="v">
      <t c="8">
        <n x="1" s="1"/>
        <n x="2" s="1"/>
        <n x="5" s="1"/>
        <n x="3" s="1"/>
        <n x="4" s="1"/>
        <n x="104"/>
        <n x="114"/>
        <n x="122"/>
      </t>
    </mdx>
    <mdx n="0" f="v">
      <t c="8">
        <n x="1" s="1"/>
        <n x="2" s="1"/>
        <n x="5" s="1"/>
        <n x="3" s="1"/>
        <n x="4" s="1"/>
        <n x="104"/>
        <n x="114"/>
        <n x="95"/>
      </t>
    </mdx>
    <mdx n="0" f="v">
      <t c="8">
        <n x="1" s="1"/>
        <n x="2" s="1"/>
        <n x="5" s="1"/>
        <n x="3" s="1"/>
        <n x="4" s="1"/>
        <n x="104"/>
        <n x="118"/>
        <n x="43"/>
      </t>
    </mdx>
    <mdx n="0" f="v">
      <t c="8">
        <n x="1" s="1"/>
        <n x="2" s="1"/>
        <n x="5" s="1"/>
        <n x="3" s="1"/>
        <n x="4" s="1"/>
        <n x="104"/>
        <n x="118"/>
        <n x="44"/>
      </t>
    </mdx>
    <mdx n="0" f="v">
      <t c="8">
        <n x="1" s="1"/>
        <n x="2" s="1"/>
        <n x="5" s="1"/>
        <n x="3" s="1"/>
        <n x="4" s="1"/>
        <n x="104"/>
        <n x="118"/>
        <n x="45"/>
      </t>
    </mdx>
    <mdx n="0" f="v">
      <t c="8">
        <n x="1" s="1"/>
        <n x="2" s="1"/>
        <n x="5" s="1"/>
        <n x="3" s="1"/>
        <n x="4" s="1"/>
        <n x="104"/>
        <n x="121"/>
        <n x="107"/>
      </t>
    </mdx>
    <mdx n="0" f="v">
      <t c="8">
        <n x="1" s="1"/>
        <n x="2" s="1"/>
        <n x="5" s="1"/>
        <n x="3" s="1"/>
        <n x="4" s="1"/>
        <n x="104"/>
        <n x="121"/>
        <n x="85"/>
      </t>
    </mdx>
    <mdx n="0" f="v">
      <t c="8">
        <n x="1" s="1"/>
        <n x="2" s="1"/>
        <n x="5" s="1"/>
        <n x="3" s="1"/>
        <n x="4" s="1"/>
        <n x="104"/>
        <n x="121"/>
        <n x="52"/>
      </t>
    </mdx>
    <mdx n="0" f="v">
      <t c="8">
        <n x="1" s="1"/>
        <n x="2" s="1"/>
        <n x="5" s="1"/>
        <n x="3" s="1"/>
        <n x="4" s="1"/>
        <n x="104"/>
        <n x="12"/>
        <n x="19"/>
      </t>
    </mdx>
    <mdx n="0" f="v">
      <t c="8">
        <n x="1" s="1"/>
        <n x="2" s="1"/>
        <n x="5" s="1"/>
        <n x="3" s="1"/>
        <n x="4" s="1"/>
        <n x="104"/>
        <n x="12"/>
        <n x="20"/>
      </t>
    </mdx>
    <mdx n="0" f="v">
      <t c="8">
        <n x="1" s="1"/>
        <n x="2" s="1"/>
        <n x="5" s="1"/>
        <n x="3" s="1"/>
        <n x="4" s="1"/>
        <n x="104"/>
        <n x="12"/>
        <n x="33"/>
      </t>
    </mdx>
    <mdx n="0" f="v">
      <t c="8">
        <n x="1" s="1"/>
        <n x="2" s="1"/>
        <n x="5" s="1"/>
        <n x="3" s="1"/>
        <n x="4" s="1"/>
        <n x="104"/>
        <n x="27"/>
        <n x="93"/>
      </t>
    </mdx>
    <mdx n="0" f="v">
      <t c="8">
        <n x="1" s="1"/>
        <n x="2" s="1"/>
        <n x="5" s="1"/>
        <n x="3" s="1"/>
        <n x="4" s="1"/>
        <n x="104"/>
        <n x="27"/>
        <n x="162"/>
      </t>
    </mdx>
    <mdx n="0" f="v">
      <t c="8">
        <n x="1" s="1"/>
        <n x="2" s="1"/>
        <n x="5" s="1"/>
        <n x="3" s="1"/>
        <n x="4" s="1"/>
        <n x="104"/>
        <n x="27"/>
        <n x="87"/>
      </t>
    </mdx>
    <mdx n="0" f="v">
      <t c="8">
        <n x="1" s="1"/>
        <n x="2" s="1"/>
        <n x="5" s="1"/>
        <n x="3" s="1"/>
        <n x="4" s="1"/>
        <n x="104"/>
        <n x="32"/>
        <n x="63"/>
      </t>
    </mdx>
    <mdx n="0" f="v">
      <t c="8">
        <n x="1" s="1"/>
        <n x="2" s="1"/>
        <n x="5" s="1"/>
        <n x="3" s="1"/>
        <n x="4" s="1"/>
        <n x="104"/>
        <n x="32"/>
        <n x="154"/>
      </t>
    </mdx>
    <mdx n="0" f="v">
      <t c="8">
        <n x="1" s="1"/>
        <n x="2" s="1"/>
        <n x="5" s="1"/>
        <n x="3" s="1"/>
        <n x="4" s="1"/>
        <n x="104"/>
        <n x="32"/>
        <n x="127"/>
      </t>
    </mdx>
    <mdx n="0" f="v">
      <t c="8">
        <n x="1" s="1"/>
        <n x="2" s="1"/>
        <n x="5" s="1"/>
        <n x="3" s="1"/>
        <n x="4" s="1"/>
        <n x="104"/>
        <n x="132"/>
        <n x="164" s="1"/>
      </t>
    </mdx>
    <mdx n="0" f="v">
      <t c="8">
        <n x="1" s="1"/>
        <n x="2" s="1"/>
        <n x="5" s="1"/>
        <n x="3" s="1"/>
        <n x="4" s="1"/>
        <n x="104"/>
        <n x="132"/>
        <n x="128"/>
      </t>
    </mdx>
    <mdx n="0" f="v">
      <t c="8">
        <n x="1" s="1"/>
        <n x="2" s="1"/>
        <n x="5" s="1"/>
        <n x="3" s="1"/>
        <n x="4" s="1"/>
        <n x="104"/>
        <n x="132"/>
        <n x="116"/>
      </t>
    </mdx>
    <mdx n="0" f="v">
      <t c="8">
        <n x="1" s="1"/>
        <n x="2" s="1"/>
        <n x="5" s="1"/>
        <n x="3" s="1"/>
        <n x="4" s="1"/>
        <n x="104"/>
        <n x="38"/>
        <n x="107"/>
      </t>
    </mdx>
    <mdx n="0" f="v">
      <t c="8">
        <n x="1" s="1"/>
        <n x="2" s="1"/>
        <n x="5" s="1"/>
        <n x="3" s="1"/>
        <n x="4" s="1"/>
        <n x="104"/>
        <n x="90"/>
        <n x="33"/>
      </t>
    </mdx>
    <mdx n="0" f="v">
      <t c="8">
        <n x="1" s="1"/>
        <n x="2" s="1"/>
        <n x="5" s="1"/>
        <n x="3" s="1"/>
        <n x="4" s="1"/>
        <n x="104"/>
        <n x="125"/>
        <n x="75"/>
      </t>
    </mdx>
    <mdx n="0" f="v">
      <t c="8">
        <n x="1" s="1"/>
        <n x="2" s="1"/>
        <n x="5" s="1"/>
        <n x="3" s="1"/>
        <n x="4" s="1"/>
        <n x="104"/>
        <n x="151"/>
        <n x="13"/>
      </t>
    </mdx>
    <mdx n="0" f="v">
      <t c="8">
        <n x="1" s="1"/>
        <n x="2" s="1"/>
        <n x="5" s="1"/>
        <n x="3" s="1"/>
        <n x="4" s="1"/>
        <n x="104"/>
        <n x="25"/>
        <n x="107"/>
      </t>
    </mdx>
    <mdx n="0" f="v">
      <t c="8">
        <n x="1" s="1"/>
        <n x="2" s="1"/>
        <n x="5" s="1"/>
        <n x="3" s="1"/>
        <n x="4" s="1"/>
        <n x="104"/>
        <n x="73"/>
        <n x="43"/>
      </t>
    </mdx>
    <mdx n="0" f="v">
      <t c="8">
        <n x="1" s="1"/>
        <n x="2" s="1"/>
        <n x="5" s="1"/>
        <n x="3" s="1"/>
        <n x="4" s="1"/>
        <n x="104"/>
        <n x="82"/>
        <n x="75"/>
      </t>
    </mdx>
    <mdx n="0" f="v">
      <t c="8">
        <n x="1" s="1"/>
        <n x="2" s="1"/>
        <n x="5" s="1"/>
        <n x="3" s="1"/>
        <n x="4" s="1"/>
        <n x="104"/>
        <n x="82"/>
        <n x="16"/>
      </t>
    </mdx>
    <mdx n="0" f="v">
      <t c="8">
        <n x="1" s="1"/>
        <n x="2" s="1"/>
        <n x="5" s="1"/>
        <n x="3" s="1"/>
        <n x="4" s="1"/>
        <n x="104"/>
        <n x="91"/>
        <n x="58"/>
      </t>
    </mdx>
    <mdx n="0" f="v">
      <t c="8">
        <n x="1" s="1"/>
        <n x="2" s="1"/>
        <n x="5" s="1"/>
        <n x="3" s="1"/>
        <n x="4" s="1"/>
        <n x="104"/>
        <n x="100"/>
        <n x="13"/>
      </t>
    </mdx>
    <mdx n="0" f="v">
      <t c="8">
        <n x="1" s="1"/>
        <n x="2" s="1"/>
        <n x="5" s="1"/>
        <n x="3" s="1"/>
        <n x="4" s="1"/>
        <n x="104"/>
        <n x="100"/>
        <n x="148"/>
      </t>
    </mdx>
    <mdx n="0" f="v">
      <t c="8">
        <n x="1" s="1"/>
        <n x="2" s="1"/>
        <n x="5" s="1"/>
        <n x="3" s="1"/>
        <n x="4" s="1"/>
        <n x="104"/>
        <n x="40"/>
        <n x="108"/>
      </t>
    </mdx>
    <mdx n="0" f="v">
      <t c="8">
        <n x="1" s="1"/>
        <n x="2" s="1"/>
        <n x="5" s="1"/>
        <n x="3" s="1"/>
        <n x="4" s="1"/>
        <n x="104"/>
        <n x="40"/>
        <n x="141"/>
      </t>
    </mdx>
    <mdx n="0" f="v">
      <t c="8">
        <n x="1" s="1"/>
        <n x="2" s="1"/>
        <n x="5" s="1"/>
        <n x="3" s="1"/>
        <n x="4" s="1"/>
        <n x="104"/>
        <n x="113"/>
        <n x="28"/>
      </t>
    </mdx>
    <mdx n="0" f="v">
      <t c="8">
        <n x="1" s="1"/>
        <n x="2" s="1"/>
        <n x="5" s="1"/>
        <n x="3" s="1"/>
        <n x="4" s="1"/>
        <n x="104"/>
        <n x="113"/>
        <n x="116"/>
      </t>
    </mdx>
    <mdx n="0" f="v">
      <t c="8">
        <n x="1" s="1"/>
        <n x="2" s="1"/>
        <n x="5" s="1"/>
        <n x="3" s="1"/>
        <n x="4" s="1"/>
        <n x="104"/>
        <n x="131"/>
        <n x="75"/>
      </t>
    </mdx>
    <mdx n="0" f="v">
      <t c="8">
        <n x="1" s="1"/>
        <n x="2" s="1"/>
        <n x="5" s="1"/>
        <n x="3" s="1"/>
        <n x="4" s="1"/>
        <n x="104"/>
        <n x="131"/>
        <n x="85"/>
      </t>
    </mdx>
    <mdx n="0" f="v">
      <t c="8">
        <n x="1" s="1"/>
        <n x="2" s="1"/>
        <n x="5" s="1"/>
        <n x="3" s="1"/>
        <n x="4" s="1"/>
        <n x="104"/>
        <n x="134"/>
        <n x="164" s="1"/>
      </t>
    </mdx>
    <mdx n="0" f="v">
      <t c="8">
        <n x="1" s="1"/>
        <n x="2" s="1"/>
        <n x="5" s="1"/>
        <n x="3" s="1"/>
        <n x="4" s="1"/>
        <n x="104"/>
        <n x="134"/>
        <n x="162"/>
      </t>
    </mdx>
    <mdx n="0" f="v">
      <t c="8">
        <n x="1" s="1"/>
        <n x="2" s="1"/>
        <n x="5" s="1"/>
        <n x="3" s="1"/>
        <n x="4" s="1"/>
        <n x="104"/>
        <n x="134"/>
        <n x="69"/>
      </t>
    </mdx>
    <mdx n="0" f="v">
      <t c="8">
        <n x="1" s="1"/>
        <n x="2" s="1"/>
        <n x="5" s="1"/>
        <n x="3" s="1"/>
        <n x="4" s="1"/>
        <n x="104"/>
        <n x="140"/>
        <n x="147"/>
      </t>
    </mdx>
    <mdx n="0" f="v">
      <t c="8">
        <n x="1" s="1"/>
        <n x="2" s="1"/>
        <n x="5" s="1"/>
        <n x="3" s="1"/>
        <n x="4" s="1"/>
        <n x="104"/>
        <n x="140"/>
        <n x="87"/>
      </t>
    </mdx>
    <mdx n="0" f="v">
      <t c="8">
        <n x="1" s="1"/>
        <n x="2" s="1"/>
        <n x="5" s="1"/>
        <n x="3" s="1"/>
        <n x="4" s="1"/>
        <n x="104"/>
        <n x="145"/>
        <n x="93"/>
      </t>
    </mdx>
    <mdx n="0" f="v">
      <t c="8">
        <n x="1" s="1"/>
        <n x="2" s="1"/>
        <n x="5" s="1"/>
        <n x="3" s="1"/>
        <n x="4" s="1"/>
        <n x="104"/>
        <n x="145"/>
        <n x="58"/>
      </t>
    </mdx>
    <mdx n="0" f="v">
      <t c="8">
        <n x="1" s="1"/>
        <n x="2" s="1"/>
        <n x="5" s="1"/>
        <n x="3" s="1"/>
        <n x="4" s="1"/>
        <n x="104"/>
        <n x="145"/>
        <n x="54"/>
      </t>
    </mdx>
    <mdx n="0" f="v">
      <t c="8">
        <n x="1" s="1"/>
        <n x="2" s="1"/>
        <n x="5" s="1"/>
        <n x="3" s="1"/>
        <n x="4" s="1"/>
        <n x="104"/>
        <n x="129"/>
        <n x="108"/>
      </t>
    </mdx>
    <mdx n="0" f="v">
      <t c="8">
        <n x="1" s="1"/>
        <n x="2" s="1"/>
        <n x="5" s="1"/>
        <n x="3" s="1"/>
        <n x="4" s="1"/>
        <n x="104"/>
        <n x="129"/>
        <n x="122"/>
      </t>
    </mdx>
    <mdx n="0" f="v">
      <t c="8">
        <n x="1" s="1"/>
        <n x="2" s="1"/>
        <n x="5" s="1"/>
        <n x="3" s="1"/>
        <n x="4" s="1"/>
        <n x="104"/>
        <n x="11"/>
        <n x="62"/>
      </t>
    </mdx>
    <mdx n="0" f="v">
      <t c="8">
        <n x="1" s="1"/>
        <n x="2" s="1"/>
        <n x="5" s="1"/>
        <n x="3" s="1"/>
        <n x="4" s="1"/>
        <n x="104"/>
        <n x="11"/>
        <n x="162"/>
      </t>
    </mdx>
    <mdx n="0" f="v">
      <t c="8">
        <n x="1" s="1"/>
        <n x="2" s="1"/>
        <n x="5" s="1"/>
        <n x="3" s="1"/>
        <n x="4" s="1"/>
        <n x="104"/>
        <n x="11"/>
        <n x="33"/>
      </t>
    </mdx>
    <mdx n="0" f="v">
      <t c="8">
        <n x="1" s="1"/>
        <n x="2" s="1"/>
        <n x="5" s="1"/>
        <n x="3" s="1"/>
        <n x="4" s="1"/>
        <n x="104"/>
        <n x="26"/>
        <n x="102"/>
      </t>
    </mdx>
    <mdx n="0" f="v">
      <t c="8">
        <n x="1" s="1"/>
        <n x="2" s="1"/>
        <n x="5" s="1"/>
        <n x="3" s="1"/>
        <n x="4" s="1"/>
        <n x="104"/>
        <n x="26"/>
        <n x="85"/>
      </t>
    </mdx>
    <mdx n="0" f="v">
      <t c="8">
        <n x="1" s="1"/>
        <n x="2" s="1"/>
        <n x="5" s="1"/>
        <n x="3" s="1"/>
        <n x="4" s="1"/>
        <n x="104"/>
        <n x="26"/>
        <n x="69"/>
      </t>
    </mdx>
    <mdx n="0" f="v">
      <t c="8">
        <n x="1" s="1"/>
        <n x="2" s="1"/>
        <n x="5" s="1"/>
        <n x="3" s="1"/>
        <n x="4" s="1"/>
        <n x="104"/>
        <n x="35"/>
        <n x="108"/>
      </t>
    </mdx>
    <mdx n="0" f="v">
      <t c="8">
        <n x="1" s="1"/>
        <n x="2" s="1"/>
        <n x="5" s="1"/>
        <n x="3" s="1"/>
        <n x="4" s="1"/>
        <n x="104"/>
        <n x="35"/>
        <n x="44"/>
      </t>
    </mdx>
    <mdx n="0" f="v">
      <t c="8">
        <n x="1" s="1"/>
        <n x="2" s="1"/>
        <n x="5" s="1"/>
        <n x="3" s="1"/>
        <n x="4" s="1"/>
        <n x="104"/>
        <n x="35"/>
        <n x="86"/>
      </t>
    </mdx>
    <mdx n="0" f="v">
      <t c="8">
        <n x="1" s="1"/>
        <n x="2" s="1"/>
        <n x="5" s="1"/>
        <n x="3" s="1"/>
        <n x="4" s="1"/>
        <n x="104"/>
        <n x="152"/>
        <n x="43"/>
      </t>
    </mdx>
    <mdx n="0" f="v">
      <t c="8">
        <n x="1" s="1"/>
        <n x="2" s="1"/>
        <n x="5" s="1"/>
        <n x="3" s="1"/>
        <n x="4" s="1"/>
        <n x="104"/>
        <n x="152"/>
        <n x="116"/>
      </t>
    </mdx>
    <mdx n="0" f="v">
      <t c="8">
        <n x="1" s="1"/>
        <n x="2" s="1"/>
        <n x="5" s="1"/>
        <n x="3" s="1"/>
        <n x="4" s="1"/>
        <n x="104"/>
        <n x="152"/>
        <n x="86"/>
      </t>
    </mdx>
    <mdx n="0" f="v">
      <t c="8">
        <n x="1" s="1"/>
        <n x="2" s="1"/>
        <n x="5" s="1"/>
        <n x="3" s="1"/>
        <n x="4" s="1"/>
        <n x="104"/>
        <n x="47"/>
        <n x="109"/>
      </t>
    </mdx>
    <mdx n="0" f="v">
      <t c="8">
        <n x="1" s="1"/>
        <n x="2" s="1"/>
        <n x="5" s="1"/>
        <n x="3" s="1"/>
        <n x="4" s="1"/>
        <n x="104"/>
        <n x="47"/>
        <n x="103"/>
      </t>
    </mdx>
    <mdx n="0" f="v">
      <t c="8">
        <n x="1" s="1"/>
        <n x="2" s="1"/>
        <n x="5" s="1"/>
        <n x="3" s="1"/>
        <n x="4" s="1"/>
        <n x="104"/>
        <n x="47"/>
        <n x="69"/>
      </t>
    </mdx>
    <mdx n="0" f="v">
      <t c="8">
        <n x="1" s="1"/>
        <n x="2" s="1"/>
        <n x="5" s="1"/>
        <n x="3" s="1"/>
        <n x="4" s="1"/>
        <n x="104"/>
        <n x="51"/>
        <n x="115"/>
      </t>
    </mdx>
    <mdx n="0" f="v">
      <t c="8">
        <n x="1" s="1"/>
        <n x="2" s="1"/>
        <n x="5" s="1"/>
        <n x="3" s="1"/>
        <n x="4" s="1"/>
        <n x="104"/>
        <n x="51"/>
        <n x="76"/>
      </t>
    </mdx>
    <mdx n="0" f="v">
      <t c="8">
        <n x="1" s="1"/>
        <n x="2" s="1"/>
        <n x="5" s="1"/>
        <n x="3" s="1"/>
        <n x="4" s="1"/>
        <n x="104"/>
        <n x="51"/>
        <n x="49"/>
      </t>
    </mdx>
    <mdx n="0" f="v">
      <t c="8">
        <n x="1" s="1"/>
        <n x="2" s="1"/>
        <n x="5" s="1"/>
        <n x="3" s="1"/>
        <n x="4" s="1"/>
        <n x="104"/>
        <n x="53"/>
        <n x="28"/>
      </t>
    </mdx>
    <mdx n="0" f="v">
      <t c="8">
        <n x="1" s="1"/>
        <n x="2" s="1"/>
        <n x="5" s="1"/>
        <n x="3" s="1"/>
        <n x="4" s="1"/>
        <n x="104"/>
        <n x="53"/>
        <n x="29"/>
      </t>
    </mdx>
    <mdx n="0" f="v">
      <t c="8">
        <n x="1" s="1"/>
        <n x="2" s="1"/>
        <n x="5" s="1"/>
        <n x="3" s="1"/>
        <n x="4" s="1"/>
        <n x="104"/>
        <n x="53"/>
        <n x="16"/>
      </t>
    </mdx>
    <mdx n="0" f="v">
      <t c="8">
        <n x="1" s="1"/>
        <n x="2" s="1"/>
        <n x="5" s="1"/>
        <n x="3" s="1"/>
        <n x="4" s="1"/>
        <n x="104"/>
        <n x="55"/>
        <n x="84"/>
      </t>
    </mdx>
    <mdx n="0" f="v">
      <t c="8">
        <n x="1" s="1"/>
        <n x="2" s="1"/>
        <n x="5" s="1"/>
        <n x="3" s="1"/>
        <n x="4" s="1"/>
        <n x="104"/>
        <n x="55"/>
        <n x="160"/>
      </t>
    </mdx>
    <mdx n="0" f="v">
      <t c="8">
        <n x="1" s="1"/>
        <n x="2" s="1"/>
        <n x="5" s="1"/>
        <n x="3" s="1"/>
        <n x="4" s="1"/>
        <n x="104"/>
        <n x="55"/>
        <n x="148"/>
      </t>
    </mdx>
    <mdx n="0" f="v">
      <t c="8">
        <n x="1" s="1"/>
        <n x="2" s="1"/>
        <n x="5" s="1"/>
        <n x="3" s="1"/>
        <n x="4" s="1"/>
        <n x="104"/>
        <n x="41"/>
        <n x="62"/>
      </t>
    </mdx>
    <mdx n="0" f="v">
      <t c="8">
        <n x="1" s="1"/>
        <n x="2" s="1"/>
        <n x="5" s="1"/>
        <n x="3" s="1"/>
        <n x="4" s="1"/>
        <n x="104"/>
        <n x="41"/>
        <n x="59"/>
      </t>
    </mdx>
    <mdx n="0" f="v">
      <t c="8">
        <n x="1" s="1"/>
        <n x="2" s="1"/>
        <n x="5" s="1"/>
        <n x="3" s="1"/>
        <n x="4" s="1"/>
        <n x="104"/>
        <n x="41"/>
        <n x="122"/>
      </t>
    </mdx>
    <mdx n="0" f="v">
      <t c="8">
        <n x="1" s="1"/>
        <n x="2" s="1"/>
        <n x="5" s="1"/>
        <n x="3" s="1"/>
        <n x="4" s="1"/>
        <n x="104"/>
        <n x="41"/>
        <n x="95"/>
      </t>
    </mdx>
    <mdx n="0" f="v">
      <t c="8">
        <n x="1" s="1"/>
        <n x="2" s="1"/>
        <n x="5" s="1"/>
        <n x="3" s="1"/>
        <n x="4" s="1"/>
        <n x="104"/>
        <n x="74"/>
        <n x="43"/>
      </t>
    </mdx>
    <mdx n="0" f="v">
      <t c="8">
        <n x="1" s="1"/>
        <n x="2" s="1"/>
        <n x="5" s="1"/>
        <n x="3" s="1"/>
        <n x="4" s="1"/>
        <n x="104"/>
        <n x="74"/>
        <n x="44"/>
      </t>
    </mdx>
    <mdx n="0" f="v">
      <t c="8">
        <n x="1" s="1"/>
        <n x="2" s="1"/>
        <n x="5" s="1"/>
        <n x="3" s="1"/>
        <n x="4" s="1"/>
        <n x="104"/>
        <n x="74"/>
        <n x="45"/>
      </t>
    </mdx>
    <mdx n="0" f="v">
      <t c="8">
        <n x="1" s="1"/>
        <n x="2" s="1"/>
        <n x="5" s="1"/>
        <n x="3" s="1"/>
        <n x="4" s="1"/>
        <n x="104"/>
        <n x="83"/>
        <n x="107"/>
      </t>
    </mdx>
    <mdx n="0" f="v">
      <t c="8">
        <n x="1" s="1"/>
        <n x="2" s="1"/>
        <n x="5" s="1"/>
        <n x="3" s="1"/>
        <n x="4" s="1"/>
        <n x="104"/>
        <n x="83"/>
        <n x="85"/>
      </t>
    </mdx>
    <mdx n="0" f="v">
      <t c="8">
        <n x="1" s="1"/>
        <n x="2" s="1"/>
        <n x="5" s="1"/>
        <n x="3" s="1"/>
        <n x="4" s="1"/>
        <n x="104"/>
        <n x="83"/>
        <n x="52"/>
      </t>
    </mdx>
    <mdx n="0" f="v">
      <t c="8">
        <n x="1" s="1"/>
        <n x="2" s="1"/>
        <n x="5" s="1"/>
        <n x="3" s="1"/>
        <n x="4" s="1"/>
        <n x="104"/>
        <n x="92"/>
        <n x="19"/>
      </t>
    </mdx>
    <mdx n="0" f="v">
      <t c="8">
        <n x="1" s="1"/>
        <n x="2" s="1"/>
        <n x="5" s="1"/>
        <n x="3" s="1"/>
        <n x="4" s="1"/>
        <n x="104"/>
        <n x="92"/>
        <n x="20"/>
      </t>
    </mdx>
    <mdx n="0" f="v">
      <t c="8">
        <n x="1" s="1"/>
        <n x="2" s="1"/>
        <n x="5" s="1"/>
        <n x="3" s="1"/>
        <n x="4" s="1"/>
        <n x="104"/>
        <n x="92"/>
        <n x="33"/>
      </t>
    </mdx>
    <mdx n="0" f="v">
      <t c="8">
        <n x="1" s="1"/>
        <n x="2" s="1"/>
        <n x="5" s="1"/>
        <n x="3" s="1"/>
        <n x="4" s="1"/>
        <n x="104"/>
        <n x="101"/>
        <n x="93"/>
      </t>
    </mdx>
    <mdx n="0" f="v">
      <t c="8">
        <n x="1" s="1"/>
        <n x="2" s="1"/>
        <n x="5" s="1"/>
        <n x="3" s="1"/>
        <n x="4" s="1"/>
        <n x="104"/>
        <n x="101"/>
        <n x="162"/>
      </t>
    </mdx>
    <mdx n="0" f="v">
      <t c="8">
        <n x="1" s="1"/>
        <n x="2" s="1"/>
        <n x="5" s="1"/>
        <n x="3" s="1"/>
        <n x="4" s="1"/>
        <n x="104"/>
        <n x="101"/>
        <n x="87"/>
      </t>
    </mdx>
    <mdx n="0" f="v">
      <t c="8">
        <n x="1" s="1"/>
        <n x="2" s="1"/>
        <n x="5" s="1"/>
        <n x="3" s="1"/>
        <n x="4" s="1"/>
        <n x="104"/>
        <n x="114"/>
        <n x="63"/>
      </t>
    </mdx>
    <mdx n="0" f="v">
      <t c="8">
        <n x="1" s="1"/>
        <n x="2" s="1"/>
        <n x="5" s="1"/>
        <n x="3" s="1"/>
        <n x="4" s="1"/>
        <n x="104"/>
        <n x="114"/>
        <n x="154"/>
      </t>
    </mdx>
    <mdx n="0" f="v">
      <t c="8">
        <n x="1" s="1"/>
        <n x="2" s="1"/>
        <n x="5" s="1"/>
        <n x="3" s="1"/>
        <n x="4" s="1"/>
        <n x="104"/>
        <n x="114"/>
        <n x="127"/>
      </t>
    </mdx>
    <mdx n="0" f="v">
      <t c="8">
        <n x="1" s="1"/>
        <n x="2" s="1"/>
        <n x="5" s="1"/>
        <n x="3" s="1"/>
        <n x="4" s="1"/>
        <n x="104"/>
        <n x="118"/>
        <n x="164" s="1"/>
      </t>
    </mdx>
    <mdx n="0" f="v">
      <t c="8">
        <n x="1" s="1"/>
        <n x="2" s="1"/>
        <n x="5" s="1"/>
        <n x="3" s="1"/>
        <n x="4" s="1"/>
        <n x="104"/>
        <n x="118"/>
        <n x="128"/>
      </t>
    </mdx>
    <mdx n="0" f="v">
      <t c="8">
        <n x="1" s="1"/>
        <n x="2" s="1"/>
        <n x="5" s="1"/>
        <n x="3" s="1"/>
        <n x="4" s="1"/>
        <n x="104"/>
        <n x="118"/>
        <n x="116"/>
      </t>
    </mdx>
    <mdx n="0" f="v">
      <t c="8">
        <n x="1" s="1"/>
        <n x="2" s="1"/>
        <n x="5" s="1"/>
        <n x="3" s="1"/>
        <n x="4" s="1"/>
        <n x="104"/>
        <n x="118"/>
        <n x="77"/>
      </t>
    </mdx>
    <mdx n="0" f="v">
      <t c="8">
        <n x="1" s="1"/>
        <n x="2" s="1"/>
        <n x="5" s="1"/>
        <n x="3" s="1"/>
        <n x="4" s="1"/>
        <n x="104"/>
        <n x="121"/>
        <n x="108"/>
      </t>
    </mdx>
    <mdx n="0" f="v">
      <t c="8">
        <n x="1" s="1"/>
        <n x="2" s="1"/>
        <n x="5" s="1"/>
        <n x="3" s="1"/>
        <n x="4" s="1"/>
        <n x="104"/>
        <n x="121"/>
        <n x="94"/>
      </t>
    </mdx>
    <mdx n="0" f="v">
      <t c="8">
        <n x="1" s="1"/>
        <n x="2" s="1"/>
        <n x="5" s="1"/>
        <n x="3" s="1"/>
        <n x="4" s="1"/>
        <n x="104"/>
        <n x="121"/>
        <n x="54"/>
      </t>
    </mdx>
    <mdx n="0" f="v">
      <t c="8">
        <n x="1" s="1"/>
        <n x="2" s="1"/>
        <n x="5" s="1"/>
        <n x="3" s="1"/>
        <n x="4" s="1"/>
        <n x="104"/>
        <n x="12"/>
        <n x="102"/>
      </t>
    </mdx>
    <mdx n="0" f="v">
      <t c="8">
        <n x="1" s="1"/>
        <n x="2" s="1"/>
        <n x="5" s="1"/>
        <n x="3" s="1"/>
        <n x="4" s="1"/>
        <n x="104"/>
        <n x="12"/>
        <n x="58"/>
      </t>
    </mdx>
    <mdx n="0" f="v">
      <t c="8">
        <n x="1" s="1"/>
        <n x="2" s="1"/>
        <n x="5" s="1"/>
        <n x="3" s="1"/>
        <n x="4" s="1"/>
        <n x="104"/>
        <n x="12"/>
        <n x="155"/>
      </t>
    </mdx>
    <mdx n="0" f="v">
      <t c="8">
        <n x="1" s="1"/>
        <n x="2" s="1"/>
        <n x="5" s="1"/>
        <n x="3" s="1"/>
        <n x="4" s="1"/>
        <n x="104"/>
        <n x="27"/>
        <n x="13"/>
      </t>
    </mdx>
    <mdx n="0" f="v">
      <t c="8">
        <n x="1" s="1"/>
        <n x="2" s="1"/>
        <n x="5" s="1"/>
        <n x="3" s="1"/>
        <n x="4" s="1"/>
        <n x="104"/>
        <n x="27"/>
        <n x="14"/>
      </t>
    </mdx>
    <mdx n="0" f="v">
      <t c="8">
        <n x="1" s="1"/>
        <n x="2" s="1"/>
        <n x="5" s="1"/>
        <n x="3" s="1"/>
        <n x="4" s="1"/>
        <n x="104"/>
        <n x="27"/>
        <n x="15"/>
      </t>
    </mdx>
    <mdx n="0" f="v">
      <t c="8">
        <n x="1" s="1"/>
        <n x="2" s="1"/>
        <n x="5" s="1"/>
        <n x="3" s="1"/>
        <n x="4" s="1"/>
        <n x="104"/>
        <n x="32"/>
        <n x="75"/>
      </t>
    </mdx>
    <mdx n="0" f="v">
      <t c="8">
        <n x="1" s="1"/>
        <n x="2" s="1"/>
        <n x="5" s="1"/>
        <n x="3" s="1"/>
        <n x="4" s="1"/>
        <n x="104"/>
        <n x="32"/>
        <n x="48"/>
      </t>
    </mdx>
    <mdx n="0" f="v">
      <t c="8">
        <n x="1" s="1"/>
        <n x="2" s="1"/>
        <n x="5" s="1"/>
        <n x="3" s="1"/>
        <n x="4" s="1"/>
        <n x="104"/>
        <n x="32"/>
        <n x="141"/>
      </t>
    </mdx>
    <mdx n="0" f="v">
      <t c="8">
        <n x="1" s="1"/>
        <n x="2" s="1"/>
        <n x="5" s="1"/>
        <n x="3" s="1"/>
        <n x="4" s="1"/>
        <n x="104"/>
        <n x="132"/>
        <n x="56"/>
      </t>
    </mdx>
    <mdx n="0" f="v">
      <t c="8">
        <n x="1" s="1"/>
        <n x="2" s="1"/>
        <n x="5" s="1"/>
        <n x="3" s="1"/>
        <n x="4" s="1"/>
        <n x="104"/>
        <n x="132"/>
        <n x="147"/>
      </t>
    </mdx>
    <mdx n="0" f="v">
      <t c="8">
        <n x="1" s="1"/>
        <n x="2" s="1"/>
        <n x="5" s="1"/>
        <n x="3" s="1"/>
        <n x="4" s="1"/>
        <n x="104"/>
        <n x="132"/>
        <n x="119"/>
      </t>
    </mdx>
    <mdx n="0" f="v">
      <t c="8">
        <n x="1" s="1"/>
        <n x="2" s="1"/>
        <n x="5" s="1"/>
        <n x="3" s="1"/>
        <n x="4" s="1"/>
        <n x="104"/>
        <n x="132"/>
        <n x="86"/>
      </t>
    </mdx>
    <mdx n="0" f="v">
      <t c="8">
        <n x="1" s="1"/>
        <n x="2" s="1"/>
        <n x="5" s="1"/>
        <n x="3" s="1"/>
        <n x="4" s="1"/>
        <n x="104"/>
        <n x="135"/>
        <n x="109"/>
      </t>
    </mdx>
    <mdx n="0" f="v">
      <t c="8">
        <n x="1" s="1"/>
        <n x="2" s="1"/>
        <n x="5" s="1"/>
        <n x="3" s="1"/>
        <n x="4" s="1"/>
        <n x="104"/>
        <n x="135"/>
        <n x="103"/>
      </t>
    </mdx>
    <mdx n="0" f="v">
      <t c="8">
        <n x="1" s="1"/>
        <n x="2" s="1"/>
        <n x="5" s="1"/>
        <n x="3" s="1"/>
        <n x="4" s="1"/>
        <n x="104"/>
        <n x="135"/>
        <n x="69"/>
      </t>
    </mdx>
    <mdx n="0" f="v">
      <t c="8">
        <n x="1" s="1"/>
        <n x="2" s="1"/>
        <n x="5" s="1"/>
        <n x="3" s="1"/>
        <n x="4" s="1"/>
        <n x="104"/>
        <n x="146"/>
        <n x="115"/>
      </t>
    </mdx>
    <mdx n="0" f="v">
      <t c="8">
        <n x="1" s="1"/>
        <n x="2" s="1"/>
        <n x="5" s="1"/>
        <n x="3" s="1"/>
        <n x="4" s="1"/>
        <n x="104"/>
        <n x="146"/>
        <n x="76"/>
      </t>
    </mdx>
    <mdx n="0" f="v">
      <t c="8">
        <n x="1" s="1"/>
        <n x="2" s="1"/>
        <n x="5" s="1"/>
        <n x="3" s="1"/>
        <n x="4" s="1"/>
        <n x="104"/>
        <n x="146"/>
        <n x="49"/>
      </t>
    </mdx>
    <mdx n="0" f="v">
      <t c="8">
        <n x="1" s="1"/>
        <n x="2" s="1"/>
        <n x="5" s="1"/>
        <n x="3" s="1"/>
        <n x="4" s="1"/>
        <n x="104"/>
        <n x="136"/>
        <n x="28"/>
      </t>
    </mdx>
    <mdx n="0" f="v">
      <t c="8">
        <n x="1" s="1"/>
        <n x="2" s="1"/>
        <n x="5" s="1"/>
        <n x="3" s="1"/>
        <n x="4" s="1"/>
        <n x="104"/>
        <n x="136"/>
        <n x="29"/>
      </t>
    </mdx>
    <mdx n="0" f="v">
      <t c="8">
        <n x="1" s="1"/>
        <n x="2" s="1"/>
        <n x="5" s="1"/>
        <n x="3" s="1"/>
        <n x="4" s="1"/>
        <n x="104"/>
        <n x="136"/>
        <n x="16"/>
      </t>
    </mdx>
    <mdx n="0" f="v">
      <t c="8">
        <n x="1" s="1"/>
        <n x="2" s="1"/>
        <n x="5" s="1"/>
        <n x="3" s="1"/>
        <n x="4" s="1"/>
        <n x="104"/>
        <n x="42"/>
        <n x="84"/>
      </t>
    </mdx>
    <mdx n="0" f="v">
      <t c="8">
        <n x="1" s="1"/>
        <n x="2" s="1"/>
        <n x="5" s="1"/>
        <n x="3" s="1"/>
        <n x="4" s="1"/>
        <n x="104"/>
        <n x="42"/>
        <n x="160"/>
      </t>
    </mdx>
    <mdx n="0" f="v">
      <t c="8">
        <n x="1" s="1"/>
        <n x="2" s="1"/>
        <n x="5" s="1"/>
        <n x="3" s="1"/>
        <n x="4" s="1"/>
        <n x="104"/>
        <n x="42"/>
        <n x="148"/>
      </t>
    </mdx>
    <mdx n="0" f="v">
      <t c="8">
        <n x="1" s="1"/>
        <n x="2" s="1"/>
        <n x="5" s="1"/>
        <n x="3" s="1"/>
        <n x="4" s="1"/>
        <n x="104"/>
        <n x="101"/>
        <n x="29"/>
      </t>
    </mdx>
    <mdx n="0" f="v">
      <t c="8">
        <n x="1" s="1"/>
        <n x="2" s="1"/>
        <n x="5" s="1"/>
        <n x="3" s="1"/>
        <n x="4" s="1"/>
        <n x="104"/>
        <n x="121"/>
        <n x="43"/>
      </t>
    </mdx>
    <mdx n="0" f="v">
      <t c="8">
        <n x="1" s="1"/>
        <n x="2" s="1"/>
        <n x="5" s="1"/>
        <n x="3" s="1"/>
        <n x="4" s="1"/>
        <n x="104"/>
        <n x="12"/>
        <n x="52"/>
      </t>
    </mdx>
    <mdx n="0" f="v">
      <t c="8">
        <n x="1" s="1"/>
        <n x="2" s="1"/>
        <n x="5" s="1"/>
        <n x="3" s="1"/>
        <n x="4" s="1"/>
        <n x="104"/>
        <n x="32"/>
        <n x="93"/>
      </t>
    </mdx>
    <mdx n="0" f="v">
      <t c="8">
        <n x="1" s="1"/>
        <n x="2" s="1"/>
        <n x="5" s="1"/>
        <n x="3" s="1"/>
        <n x="4" s="1"/>
        <n x="104"/>
        <n x="132"/>
        <n x="63"/>
      </t>
    </mdx>
    <mdx n="0" f="v">
      <t c="8">
        <n x="1" s="1"/>
        <n x="2" s="1"/>
        <n x="5" s="1"/>
        <n x="3" s="1"/>
        <n x="4" s="1"/>
        <n x="104"/>
        <n x="135"/>
        <n x="128"/>
      </t>
    </mdx>
    <mdx n="0" f="v">
      <t c="8">
        <n x="1" s="1"/>
        <n x="2" s="1"/>
        <n x="5" s="1"/>
        <n x="3" s="1"/>
        <n x="4" s="1"/>
        <n x="104"/>
        <n x="146"/>
        <n x="94"/>
      </t>
    </mdx>
    <mdx n="0" f="v">
      <t c="8">
        <n x="1" s="1"/>
        <n x="2" s="1"/>
        <n x="5" s="1"/>
        <n x="3" s="1"/>
        <n x="4" s="1"/>
        <n x="104"/>
        <n x="136"/>
        <n x="58"/>
      </t>
    </mdx>
    <mdx n="0" f="v">
      <t c="8">
        <n x="1" s="1"/>
        <n x="2" s="1"/>
        <n x="5" s="1"/>
        <n x="3" s="1"/>
        <n x="4" s="1"/>
        <n x="104"/>
        <n x="42"/>
        <n x="14"/>
      </t>
    </mdx>
    <mdx n="0" f="v">
      <t c="8">
        <n x="1" s="1"/>
        <n x="2" s="1"/>
        <n x="5" s="1"/>
        <n x="3" s="1"/>
        <n x="4" s="1"/>
        <n x="104"/>
        <n x="42"/>
        <n x="15"/>
      </t>
    </mdx>
    <mdx n="0" f="v">
      <t c="8">
        <n x="1" s="1"/>
        <n x="2" s="1"/>
        <n x="5" s="1"/>
        <n x="3" s="1"/>
        <n x="4" s="1"/>
        <n x="104"/>
        <n x="38"/>
        <n x="15"/>
      </t>
    </mdx>
    <mdx n="0" f="v">
      <t c="8">
        <n x="1" s="1"/>
        <n x="2" s="1"/>
        <n x="5" s="1"/>
        <n x="3" s="1"/>
        <n x="4" s="1"/>
        <n x="104"/>
        <n x="9"/>
        <n x="109"/>
      </t>
    </mdx>
    <mdx n="0" f="v">
      <t c="8">
        <n x="1" s="1"/>
        <n x="2" s="1"/>
        <n x="5" s="1"/>
        <n x="3" s="1"/>
        <n x="4" s="1"/>
        <n x="104"/>
        <n x="125"/>
        <n x="20"/>
      </t>
    </mdx>
    <mdx n="0" f="v">
      <t c="8">
        <n x="1" s="1"/>
        <n x="2" s="1"/>
        <n x="5" s="1"/>
        <n x="3" s="1"/>
        <n x="4" s="1"/>
        <n x="104"/>
        <n x="151"/>
        <n x="29"/>
      </t>
    </mdx>
    <mdx n="0" f="v">
      <t c="8">
        <n x="1" s="1"/>
        <n x="2" s="1"/>
        <n x="5" s="1"/>
        <n x="3" s="1"/>
        <n x="4" s="1"/>
        <n x="104"/>
        <n x="25"/>
        <n x="85"/>
      </t>
    </mdx>
    <mdx n="0" f="v">
      <t c="8">
        <n x="1" s="1"/>
        <n x="2" s="1"/>
        <n x="5" s="1"/>
        <n x="3" s="1"/>
        <n x="4" s="1"/>
        <n x="104"/>
        <n x="73"/>
        <n x="128"/>
      </t>
    </mdx>
    <mdx n="0" f="v">
      <t c="8">
        <n x="1" s="1"/>
        <n x="2" s="1"/>
        <n x="5" s="1"/>
        <n x="3" s="1"/>
        <n x="4" s="1"/>
        <n x="104"/>
        <n x="82"/>
        <n x="13"/>
      </t>
    </mdx>
    <mdx n="0" f="v">
      <t c="8">
        <n x="1" s="1"/>
        <n x="2" s="1"/>
        <n x="5" s="1"/>
        <n x="3" s="1"/>
        <n x="4" s="1"/>
        <n x="104"/>
        <n x="82"/>
        <n x="52"/>
      </t>
    </mdx>
    <mdx n="0" f="v">
      <t c="8">
        <n x="1" s="1"/>
        <n x="2" s="1"/>
        <n x="5" s="1"/>
        <n x="3" s="1"/>
        <n x="4" s="1"/>
        <n x="104"/>
        <n x="91"/>
        <n x="94"/>
      </t>
    </mdx>
    <mdx n="0" f="v">
      <t c="8">
        <n x="1" s="1"/>
        <n x="2" s="1"/>
        <n x="5" s="1"/>
        <n x="3" s="1"/>
        <n x="4" s="1"/>
        <n x="104"/>
        <n x="100"/>
        <n x="102"/>
      </t>
    </mdx>
    <mdx n="0" f="v">
      <t c="8">
        <n x="1" s="1"/>
        <n x="2" s="1"/>
        <n x="5" s="1"/>
        <n x="3" s="1"/>
        <n x="4" s="1"/>
        <n x="104"/>
        <n x="100"/>
        <n x="87"/>
      </t>
    </mdx>
    <mdx n="0" f="v">
      <t c="8">
        <n x="1" s="1"/>
        <n x="2" s="1"/>
        <n x="5" s="1"/>
        <n x="3" s="1"/>
        <n x="4" s="1"/>
        <n x="104"/>
        <n x="40"/>
        <n x="109"/>
      </t>
    </mdx>
    <mdx n="0" f="v">
      <t c="8">
        <n x="1" s="1"/>
        <n x="2" s="1"/>
        <n x="5" s="1"/>
        <n x="3" s="1"/>
        <n x="4" s="1"/>
        <n x="104"/>
        <n x="40"/>
        <n x="87"/>
      </t>
    </mdx>
    <mdx n="0" f="v">
      <t c="8">
        <n x="1" s="1"/>
        <n x="2" s="1"/>
        <n x="5" s="1"/>
        <n x="3" s="1"/>
        <n x="4" s="1"/>
        <n x="104"/>
        <n x="113"/>
        <n x="102"/>
      </t>
    </mdx>
    <mdx n="0" f="v">
      <t c="8">
        <n x="1" s="1"/>
        <n x="2" s="1"/>
        <n x="5" s="1"/>
        <n x="3" s="1"/>
        <n x="4" s="1"/>
        <n x="104"/>
        <n x="113"/>
        <n x="119"/>
      </t>
    </mdx>
    <mdx n="0" f="v">
      <t c="8">
        <n x="1" s="1"/>
        <n x="2" s="1"/>
        <n x="5" s="1"/>
        <n x="3" s="1"/>
        <n x="4" s="1"/>
        <n x="104"/>
        <n x="131"/>
        <n x="84"/>
      </t>
    </mdx>
    <mdx n="0" f="v">
      <t c="8">
        <n x="1" s="1"/>
        <n x="2" s="1"/>
        <n x="5" s="1"/>
        <n x="3" s="1"/>
        <n x="4" s="1"/>
        <n x="104"/>
        <n x="131"/>
        <n x="94"/>
      </t>
    </mdx>
    <mdx n="0" f="v">
      <t c="8">
        <n x="1" s="1"/>
        <n x="2" s="1"/>
        <n x="5" s="1"/>
        <n x="3" s="1"/>
        <n x="4" s="1"/>
        <n x="104"/>
        <n x="134"/>
        <n x="56"/>
      </t>
    </mdx>
    <mdx n="0" f="v">
      <t c="8">
        <n x="1" s="1"/>
        <n x="2" s="1"/>
        <n x="5" s="1"/>
        <n x="3" s="1"/>
        <n x="4" s="1"/>
        <n x="104"/>
        <n x="134"/>
        <n x="20"/>
      </t>
    </mdx>
    <mdx n="0" f="v">
      <t c="8">
        <n x="1" s="1"/>
        <n x="2" s="1"/>
        <n x="5" s="1"/>
        <n x="3" s="1"/>
        <n x="4" s="1"/>
        <n x="104"/>
        <n x="134"/>
        <n x="77"/>
      </t>
    </mdx>
    <mdx n="0" f="v">
      <t c="8">
        <n x="1" s="1"/>
        <n x="2" s="1"/>
        <n x="5" s="1"/>
        <n x="3" s="1"/>
        <n x="4" s="1"/>
        <n x="104"/>
        <n x="140"/>
        <n x="59"/>
      </t>
    </mdx>
    <mdx n="0" f="v">
      <t c="8">
        <n x="1" s="1"/>
        <n x="2" s="1"/>
        <n x="5" s="1"/>
        <n x="3" s="1"/>
        <n x="4" s="1"/>
        <n x="104"/>
        <n x="140"/>
        <n x="15"/>
      </t>
    </mdx>
    <mdx n="0" f="v">
      <t c="8">
        <n x="1" s="1"/>
        <n x="2" s="1"/>
        <n x="5" s="1"/>
        <n x="3" s="1"/>
        <n x="4" s="1"/>
        <n x="104"/>
        <n x="145"/>
        <n x="13"/>
      </t>
    </mdx>
    <mdx n="0" f="v">
      <t c="8">
        <n x="1" s="1"/>
        <n x="2" s="1"/>
        <n x="5" s="1"/>
        <n x="3" s="1"/>
        <n x="4" s="1"/>
        <n x="104"/>
        <n x="145"/>
        <n x="76"/>
      </t>
    </mdx>
    <mdx n="0" f="v">
      <t c="8">
        <n x="1" s="1"/>
        <n x="2" s="1"/>
        <n x="5" s="1"/>
        <n x="3" s="1"/>
        <n x="4" s="1"/>
        <n x="104"/>
        <n x="145"/>
        <n x="69"/>
      </t>
    </mdx>
    <mdx n="0" f="v">
      <t c="8">
        <n x="1" s="1"/>
        <n x="2" s="1"/>
        <n x="5" s="1"/>
        <n x="3" s="1"/>
        <n x="4" s="1"/>
        <n x="104"/>
        <n x="129"/>
        <n x="128"/>
      </t>
    </mdx>
    <mdx n="0" f="v">
      <t c="8">
        <n x="1" s="1"/>
        <n x="2" s="1"/>
        <n x="5" s="1"/>
        <n x="3" s="1"/>
        <n x="4" s="1"/>
        <n x="104"/>
        <n x="129"/>
        <n x="127"/>
      </t>
    </mdx>
    <mdx n="0" f="v">
      <t c="8">
        <n x="1" s="1"/>
        <n x="2" s="1"/>
        <n x="5" s="1"/>
        <n x="3" s="1"/>
        <n x="4" s="1"/>
        <n x="104"/>
        <n x="11"/>
        <n x="75"/>
      </t>
    </mdx>
    <mdx n="0" f="v">
      <t c="8">
        <n x="1" s="1"/>
        <n x="2" s="1"/>
        <n x="5" s="1"/>
        <n x="3" s="1"/>
        <n x="4" s="1"/>
        <n x="104"/>
        <n x="11"/>
        <n x="14"/>
      </t>
    </mdx>
    <mdx n="0" f="v">
      <t c="8">
        <n x="1" s="1"/>
        <n x="2" s="1"/>
        <n x="5" s="1"/>
        <n x="3" s="1"/>
        <n x="4" s="1"/>
        <n x="104"/>
        <n x="11"/>
        <n x="155"/>
      </t>
    </mdx>
    <mdx n="0" f="v">
      <t c="8">
        <n x="1" s="1"/>
        <n x="2" s="1"/>
        <n x="5" s="1"/>
        <n x="3" s="1"/>
        <n x="4" s="1"/>
        <n x="104"/>
        <n x="26"/>
        <n x="115"/>
      </t>
    </mdx>
    <mdx n="0" f="v">
      <t c="8">
        <n x="1" s="1"/>
        <n x="2" s="1"/>
        <n x="5" s="1"/>
        <n x="3" s="1"/>
        <n x="4" s="1"/>
        <n x="104"/>
        <n x="26"/>
        <n x="94"/>
      </t>
    </mdx>
    <mdx n="0" f="v">
      <t c="8">
        <n x="1" s="1"/>
        <n x="2" s="1"/>
        <n x="5" s="1"/>
        <n x="3" s="1"/>
        <n x="4" s="1"/>
        <n x="104"/>
        <n x="26"/>
        <n x="45"/>
      </t>
    </mdx>
    <mdx n="0" f="v">
      <t c="8">
        <n x="1" s="1"/>
        <n x="2" s="1"/>
        <n x="5" s="1"/>
        <n x="3" s="1"/>
        <n x="4" s="1"/>
        <n x="104"/>
        <n x="35"/>
        <n x="109"/>
      </t>
    </mdx>
    <mdx n="0" f="v">
      <t c="8">
        <n x="1" s="1"/>
        <n x="2" s="1"/>
        <n x="5" s="1"/>
        <n x="3" s="1"/>
        <n x="4" s="1"/>
        <n x="104"/>
        <n x="35"/>
        <n x="116"/>
      </t>
    </mdx>
    <mdx n="0" f="v">
      <t c="8">
        <n x="1" s="1"/>
        <n x="2" s="1"/>
        <n x="5" s="1"/>
        <n x="3" s="1"/>
        <n x="4" s="1"/>
        <n x="104"/>
        <n x="35"/>
        <n x="95"/>
      </t>
    </mdx>
    <mdx n="0" f="v">
      <t c="8">
        <n x="1" s="1"/>
        <n x="2" s="1"/>
        <n x="5" s="1"/>
        <n x="3" s="1"/>
        <n x="4" s="1"/>
        <n x="104"/>
        <n x="152"/>
        <n x="128"/>
      </t>
    </mdx>
    <mdx n="0" f="v">
      <t c="8">
        <n x="1" s="1"/>
        <n x="2" s="1"/>
        <n x="5" s="1"/>
        <n x="3" s="1"/>
        <n x="4" s="1"/>
        <n x="104"/>
        <n x="152"/>
        <n x="119"/>
      </t>
    </mdx>
    <mdx n="0" f="v">
      <t c="8">
        <n x="1" s="1"/>
        <n x="2" s="1"/>
        <n x="5" s="1"/>
        <n x="3" s="1"/>
        <n x="4" s="1"/>
        <n x="104"/>
        <n x="152"/>
        <n x="95"/>
      </t>
    </mdx>
    <mdx n="0" f="v">
      <t c="8">
        <n x="1" s="1"/>
        <n x="2" s="1"/>
        <n x="5" s="1"/>
        <n x="3" s="1"/>
        <n x="4" s="1"/>
        <n x="104"/>
        <n x="47"/>
        <n x="43"/>
      </t>
    </mdx>
    <mdx n="0" f="v">
      <t c="8">
        <n x="1" s="1"/>
        <n x="2" s="1"/>
        <n x="5" s="1"/>
        <n x="3" s="1"/>
        <n x="4" s="1"/>
        <n x="104"/>
        <n x="47"/>
        <n x="44"/>
      </t>
    </mdx>
    <mdx n="0" f="v">
      <t c="8">
        <n x="1" s="1"/>
        <n x="2" s="1"/>
        <n x="5" s="1"/>
        <n x="3" s="1"/>
        <n x="4" s="1"/>
        <n x="104"/>
        <n x="47"/>
        <n x="45"/>
      </t>
    </mdx>
    <mdx n="0" f="v">
      <t c="8">
        <n x="1" s="1"/>
        <n x="2" s="1"/>
        <n x="5" s="1"/>
        <n x="3" s="1"/>
        <n x="4" s="1"/>
        <n x="104"/>
        <n x="51"/>
        <n x="107"/>
      </t>
    </mdx>
    <mdx n="0" f="v">
      <t c="8">
        <n x="1" s="1"/>
        <n x="2" s="1"/>
        <n x="5" s="1"/>
        <n x="3" s="1"/>
        <n x="4" s="1"/>
        <n x="104"/>
        <n x="51"/>
        <n x="85"/>
      </t>
    </mdx>
    <mdx n="0" f="v">
      <t c="8">
        <n x="1" s="1"/>
        <n x="2" s="1"/>
        <n x="5" s="1"/>
        <n x="3" s="1"/>
        <n x="4" s="1"/>
        <n x="104"/>
        <n x="51"/>
        <n x="52"/>
      </t>
    </mdx>
    <mdx n="0" f="v">
      <t c="8">
        <n x="1" s="1"/>
        <n x="2" s="1"/>
        <n x="5" s="1"/>
        <n x="3" s="1"/>
        <n x="4" s="1"/>
        <n x="104"/>
        <n x="53"/>
        <n x="19"/>
      </t>
    </mdx>
    <mdx n="0" f="v">
      <t c="8">
        <n x="1" s="1"/>
        <n x="2" s="1"/>
        <n x="5" s="1"/>
        <n x="3" s="1"/>
        <n x="4" s="1"/>
        <n x="104"/>
        <n x="53"/>
        <n x="20"/>
      </t>
    </mdx>
    <mdx n="0" f="v">
      <t c="8">
        <n x="1" s="1"/>
        <n x="2" s="1"/>
        <n x="5" s="1"/>
        <n x="3" s="1"/>
        <n x="4" s="1"/>
        <n x="104"/>
        <n x="53"/>
        <n x="33"/>
      </t>
    </mdx>
    <mdx n="0" f="v">
      <t c="8">
        <n x="1" s="1"/>
        <n x="2" s="1"/>
        <n x="5" s="1"/>
        <n x="3" s="1"/>
        <n x="4" s="1"/>
        <n x="104"/>
        <n x="55"/>
        <n x="93"/>
      </t>
    </mdx>
    <mdx n="0" f="v">
      <t c="8">
        <n x="1" s="1"/>
        <n x="2" s="1"/>
        <n x="5" s="1"/>
        <n x="3" s="1"/>
        <n x="4" s="1"/>
        <n x="104"/>
        <n x="55"/>
        <n x="162"/>
      </t>
    </mdx>
    <mdx n="0" f="v">
      <t c="8">
        <n x="1" s="1"/>
        <n x="2" s="1"/>
        <n x="5" s="1"/>
        <n x="3" s="1"/>
        <n x="4" s="1"/>
        <n x="104"/>
        <n x="55"/>
        <n x="87"/>
      </t>
    </mdx>
    <mdx n="0" f="v">
      <t c="8">
        <n x="1" s="1"/>
        <n x="2" s="1"/>
        <n x="5" s="1"/>
        <n x="3" s="1"/>
        <n x="4" s="1"/>
        <n x="104"/>
        <n x="41"/>
        <n x="63"/>
      </t>
    </mdx>
    <mdx n="0" f="v">
      <t c="8">
        <n x="1" s="1"/>
        <n x="2" s="1"/>
        <n x="5" s="1"/>
        <n x="3" s="1"/>
        <n x="4" s="1"/>
        <n x="104"/>
        <n x="41"/>
        <n x="154"/>
      </t>
    </mdx>
    <mdx n="0" f="v">
      <t c="8">
        <n x="1" s="1"/>
        <n x="2" s="1"/>
        <n x="5" s="1"/>
        <n x="3" s="1"/>
        <n x="4" s="1"/>
        <n x="104"/>
        <n x="41"/>
        <n x="127"/>
      </t>
    </mdx>
    <mdx n="0" f="v">
      <t c="8">
        <n x="1" s="1"/>
        <n x="2" s="1"/>
        <n x="5" s="1"/>
        <n x="3" s="1"/>
        <n x="4" s="1"/>
        <n x="104"/>
        <n x="74"/>
        <n x="164" s="1"/>
      </t>
    </mdx>
    <mdx n="0" f="v">
      <t c="8">
        <n x="1" s="1"/>
        <n x="2" s="1"/>
        <n x="5" s="1"/>
        <n x="3" s="1"/>
        <n x="4" s="1"/>
        <n x="104"/>
        <n x="74"/>
        <n x="128"/>
      </t>
    </mdx>
    <mdx n="0" f="v">
      <t c="8">
        <n x="1" s="1"/>
        <n x="2" s="1"/>
        <n x="5" s="1"/>
        <n x="3" s="1"/>
        <n x="4" s="1"/>
        <n x="104"/>
        <n x="74"/>
        <n x="116"/>
      </t>
    </mdx>
    <mdx n="0" f="v">
      <t c="8">
        <n x="1" s="1"/>
        <n x="2" s="1"/>
        <n x="5" s="1"/>
        <n x="3" s="1"/>
        <n x="4" s="1"/>
        <n x="104"/>
        <n x="74"/>
        <n x="77"/>
      </t>
    </mdx>
    <mdx n="0" f="v">
      <t c="8">
        <n x="1" s="1"/>
        <n x="2" s="1"/>
        <n x="5" s="1"/>
        <n x="3" s="1"/>
        <n x="4" s="1"/>
        <n x="104"/>
        <n x="83"/>
        <n x="108"/>
      </t>
    </mdx>
    <mdx n="0" f="v">
      <t c="8">
        <n x="1" s="1"/>
        <n x="2" s="1"/>
        <n x="5" s="1"/>
        <n x="3" s="1"/>
        <n x="4" s="1"/>
        <n x="104"/>
        <n x="83"/>
        <n x="94"/>
      </t>
    </mdx>
    <mdx n="0" f="v">
      <t c="8">
        <n x="1" s="1"/>
        <n x="2" s="1"/>
        <n x="5" s="1"/>
        <n x="3" s="1"/>
        <n x="4" s="1"/>
        <n x="104"/>
        <n x="83"/>
        <n x="54"/>
      </t>
    </mdx>
    <mdx n="0" f="v">
      <t c="8">
        <n x="1" s="1"/>
        <n x="2" s="1"/>
        <n x="5" s="1"/>
        <n x="3" s="1"/>
        <n x="4" s="1"/>
        <n x="104"/>
        <n x="92"/>
        <n x="102"/>
      </t>
    </mdx>
    <mdx n="0" f="v">
      <t c="8">
        <n x="1" s="1"/>
        <n x="2" s="1"/>
        <n x="5" s="1"/>
        <n x="3" s="1"/>
        <n x="4" s="1"/>
        <n x="104"/>
        <n x="92"/>
        <n x="58"/>
      </t>
    </mdx>
    <mdx n="0" f="v">
      <t c="8">
        <n x="1" s="1"/>
        <n x="2" s="1"/>
        <n x="5" s="1"/>
        <n x="3" s="1"/>
        <n x="4" s="1"/>
        <n x="104"/>
        <n x="92"/>
        <n x="155"/>
      </t>
    </mdx>
    <mdx n="0" f="v">
      <t c="8">
        <n x="1" s="1"/>
        <n x="2" s="1"/>
        <n x="5" s="1"/>
        <n x="3" s="1"/>
        <n x="4" s="1"/>
        <n x="104"/>
        <n x="101"/>
        <n x="13"/>
      </t>
    </mdx>
    <mdx n="0" f="v">
      <t c="8">
        <n x="1" s="1"/>
        <n x="2" s="1"/>
        <n x="5" s="1"/>
        <n x="3" s="1"/>
        <n x="4" s="1"/>
        <n x="104"/>
        <n x="101"/>
        <n x="14"/>
      </t>
    </mdx>
    <mdx n="0" f="v">
      <t c="8">
        <n x="1" s="1"/>
        <n x="2" s="1"/>
        <n x="5" s="1"/>
        <n x="3" s="1"/>
        <n x="4" s="1"/>
        <n x="104"/>
        <n x="101"/>
        <n x="15"/>
      </t>
    </mdx>
    <mdx n="0" f="v">
      <t c="8">
        <n x="1" s="1"/>
        <n x="2" s="1"/>
        <n x="5" s="1"/>
        <n x="3" s="1"/>
        <n x="4" s="1"/>
        <n x="104"/>
        <n x="114"/>
        <n x="75"/>
      </t>
    </mdx>
    <mdx n="0" f="v">
      <t c="8">
        <n x="1" s="1"/>
        <n x="2" s="1"/>
        <n x="5" s="1"/>
        <n x="3" s="1"/>
        <n x="4" s="1"/>
        <n x="104"/>
        <n x="114"/>
        <n x="48"/>
      </t>
    </mdx>
    <mdx n="0" f="v">
      <t c="8">
        <n x="1" s="1"/>
        <n x="2" s="1"/>
        <n x="5" s="1"/>
        <n x="3" s="1"/>
        <n x="4" s="1"/>
        <n x="104"/>
        <n x="114"/>
        <n x="141"/>
      </t>
    </mdx>
    <mdx n="0" f="v">
      <t c="8">
        <n x="1" s="1"/>
        <n x="2" s="1"/>
        <n x="5" s="1"/>
        <n x="3" s="1"/>
        <n x="4" s="1"/>
        <n x="104"/>
        <n x="118"/>
        <n x="56"/>
      </t>
    </mdx>
    <mdx n="0" f="v">
      <t c="8">
        <n x="1" s="1"/>
        <n x="2" s="1"/>
        <n x="5" s="1"/>
        <n x="3" s="1"/>
        <n x="4" s="1"/>
        <n x="104"/>
        <n x="118"/>
        <n x="147"/>
      </t>
    </mdx>
    <mdx n="0" f="v">
      <t c="8">
        <n x="1" s="1"/>
        <n x="2" s="1"/>
        <n x="5" s="1"/>
        <n x="3" s="1"/>
        <n x="4" s="1"/>
        <n x="104"/>
        <n x="118"/>
        <n x="119"/>
      </t>
    </mdx>
    <mdx n="0" f="v">
      <t c="8">
        <n x="1" s="1"/>
        <n x="2" s="1"/>
        <n x="5" s="1"/>
        <n x="3" s="1"/>
        <n x="4" s="1"/>
        <n x="104"/>
        <n x="118"/>
        <n x="86"/>
      </t>
    </mdx>
    <mdx n="0" f="v">
      <t c="8">
        <n x="1" s="1"/>
        <n x="2" s="1"/>
        <n x="5" s="1"/>
        <n x="3" s="1"/>
        <n x="4" s="1"/>
        <n x="104"/>
        <n x="121"/>
        <n x="109"/>
      </t>
    </mdx>
    <mdx n="0" f="v">
      <t c="8">
        <n x="1" s="1"/>
        <n x="2" s="1"/>
        <n x="5" s="1"/>
        <n x="3" s="1"/>
        <n x="4" s="1"/>
        <n x="104"/>
        <n x="121"/>
        <n x="103"/>
      </t>
    </mdx>
    <mdx n="0" f="v">
      <t c="8">
        <n x="1" s="1"/>
        <n x="2" s="1"/>
        <n x="5" s="1"/>
        <n x="3" s="1"/>
        <n x="4" s="1"/>
        <n x="104"/>
        <n x="121"/>
        <n x="69"/>
      </t>
    </mdx>
    <mdx n="0" f="v">
      <t c="8">
        <n x="1" s="1"/>
        <n x="2" s="1"/>
        <n x="5" s="1"/>
        <n x="3" s="1"/>
        <n x="4" s="1"/>
        <n x="104"/>
        <n x="12"/>
        <n x="115"/>
      </t>
    </mdx>
    <mdx n="0" f="v">
      <t c="8">
        <n x="1" s="1"/>
        <n x="2" s="1"/>
        <n x="5" s="1"/>
        <n x="3" s="1"/>
        <n x="4" s="1"/>
        <n x="104"/>
        <n x="12"/>
        <n x="76"/>
      </t>
    </mdx>
    <mdx n="0" f="v">
      <t c="8">
        <n x="1" s="1"/>
        <n x="2" s="1"/>
        <n x="5" s="1"/>
        <n x="3" s="1"/>
        <n x="4" s="1"/>
        <n x="104"/>
        <n x="12"/>
        <n x="49"/>
      </t>
    </mdx>
    <mdx n="0" f="v">
      <t c="8">
        <n x="1" s="1"/>
        <n x="2" s="1"/>
        <n x="5" s="1"/>
        <n x="3" s="1"/>
        <n x="4" s="1"/>
        <n x="104"/>
        <n x="27"/>
        <n x="28"/>
      </t>
    </mdx>
    <mdx n="0" f="v">
      <t c="8">
        <n x="1" s="1"/>
        <n x="2" s="1"/>
        <n x="5" s="1"/>
        <n x="3" s="1"/>
        <n x="4" s="1"/>
        <n x="104"/>
        <n x="27"/>
        <n x="29"/>
      </t>
    </mdx>
    <mdx n="0" f="v">
      <t c="8">
        <n x="1" s="1"/>
        <n x="2" s="1"/>
        <n x="5" s="1"/>
        <n x="3" s="1"/>
        <n x="4" s="1"/>
        <n x="104"/>
        <n x="27"/>
        <n x="16"/>
      </t>
    </mdx>
    <mdx n="0" f="v">
      <t c="8">
        <n x="1" s="1"/>
        <n x="2" s="1"/>
        <n x="5" s="1"/>
        <n x="3" s="1"/>
        <n x="4" s="1"/>
        <n x="104"/>
        <n x="32"/>
        <n x="84"/>
      </t>
    </mdx>
    <mdx n="0" f="v">
      <t c="8">
        <n x="1" s="1"/>
        <n x="2" s="1"/>
        <n x="5" s="1"/>
        <n x="3" s="1"/>
        <n x="4" s="1"/>
        <n x="104"/>
        <n x="32"/>
        <n x="160"/>
      </t>
    </mdx>
    <mdx n="0" f="v">
      <t c="8">
        <n x="1" s="1"/>
        <n x="2" s="1"/>
        <n x="5" s="1"/>
        <n x="3" s="1"/>
        <n x="4" s="1"/>
        <n x="104"/>
        <n x="32"/>
        <n x="148"/>
      </t>
    </mdx>
    <mdx n="0" f="v">
      <t c="8">
        <n x="1" s="1"/>
        <n x="2" s="1"/>
        <n x="5" s="1"/>
        <n x="3" s="1"/>
        <n x="4" s="1"/>
        <n x="104"/>
        <n x="132"/>
        <n x="62"/>
      </t>
    </mdx>
    <mdx n="0" f="v">
      <t c="8">
        <n x="1" s="1"/>
        <n x="2" s="1"/>
        <n x="5" s="1"/>
        <n x="3" s="1"/>
        <n x="4" s="1"/>
        <n x="104"/>
        <n x="132"/>
        <n x="59"/>
      </t>
    </mdx>
    <mdx n="0" f="v">
      <t c="8">
        <n x="1" s="1"/>
        <n x="2" s="1"/>
        <n x="5" s="1"/>
        <n x="3" s="1"/>
        <n x="4" s="1"/>
        <n x="104"/>
        <n x="132"/>
        <n x="122"/>
      </t>
    </mdx>
    <mdx n="0" f="v">
      <t c="8">
        <n x="1" s="1"/>
        <n x="2" s="1"/>
        <n x="5" s="1"/>
        <n x="3" s="1"/>
        <n x="4" s="1"/>
        <n x="104"/>
        <n x="132"/>
        <n x="95"/>
      </t>
    </mdx>
    <mdx n="0" f="v">
      <t c="8">
        <n x="1" s="1"/>
        <n x="2" s="1"/>
        <n x="5" s="1"/>
        <n x="3" s="1"/>
        <n x="4" s="1"/>
        <n x="104"/>
        <n x="135"/>
        <n x="43"/>
      </t>
    </mdx>
    <mdx n="0" f="v">
      <t c="8">
        <n x="1" s="1"/>
        <n x="2" s="1"/>
        <n x="5" s="1"/>
        <n x="3" s="1"/>
        <n x="4" s="1"/>
        <n x="104"/>
        <n x="135"/>
        <n x="44"/>
      </t>
    </mdx>
    <mdx n="0" f="v">
      <t c="8">
        <n x="1" s="1"/>
        <n x="2" s="1"/>
        <n x="5" s="1"/>
        <n x="3" s="1"/>
        <n x="4" s="1"/>
        <n x="104"/>
        <n x="135"/>
        <n x="45"/>
      </t>
    </mdx>
    <mdx n="0" f="v">
      <t c="8">
        <n x="1" s="1"/>
        <n x="2" s="1"/>
        <n x="5" s="1"/>
        <n x="3" s="1"/>
        <n x="4" s="1"/>
        <n x="104"/>
        <n x="146"/>
        <n x="107"/>
      </t>
    </mdx>
    <mdx n="0" f="v">
      <t c="8">
        <n x="1" s="1"/>
        <n x="2" s="1"/>
        <n x="5" s="1"/>
        <n x="3" s="1"/>
        <n x="4" s="1"/>
        <n x="104"/>
        <n x="146"/>
        <n x="85"/>
      </t>
    </mdx>
    <mdx n="0" f="v">
      <t c="8">
        <n x="1" s="1"/>
        <n x="2" s="1"/>
        <n x="5" s="1"/>
        <n x="3" s="1"/>
        <n x="4" s="1"/>
        <n x="104"/>
        <n x="146"/>
        <n x="52"/>
      </t>
    </mdx>
    <mdx n="0" f="v">
      <t c="8">
        <n x="1" s="1"/>
        <n x="2" s="1"/>
        <n x="5" s="1"/>
        <n x="3" s="1"/>
        <n x="4" s="1"/>
        <n x="104"/>
        <n x="136"/>
        <n x="19"/>
      </t>
    </mdx>
    <mdx n="0" f="v">
      <t c="8">
        <n x="1" s="1"/>
        <n x="2" s="1"/>
        <n x="5" s="1"/>
        <n x="3" s="1"/>
        <n x="4" s="1"/>
        <n x="104"/>
        <n x="136"/>
        <n x="20"/>
      </t>
    </mdx>
    <mdx n="0" f="v">
      <t c="8">
        <n x="1" s="1"/>
        <n x="2" s="1"/>
        <n x="5" s="1"/>
        <n x="3" s="1"/>
        <n x="4" s="1"/>
        <n x="104"/>
        <n x="136"/>
        <n x="33"/>
      </t>
    </mdx>
    <mdx n="0" f="v">
      <t c="8">
        <n x="1" s="1"/>
        <n x="2" s="1"/>
        <n x="5" s="1"/>
        <n x="3" s="1"/>
        <n x="4" s="1"/>
        <n x="104"/>
        <n x="42"/>
        <n x="93"/>
      </t>
    </mdx>
    <mdx n="0" f="v">
      <t c="8">
        <n x="1" s="1"/>
        <n x="2" s="1"/>
        <n x="5" s="1"/>
        <n x="3" s="1"/>
        <n x="4" s="1"/>
        <n x="104"/>
        <n x="42"/>
        <n x="162"/>
      </t>
    </mdx>
    <mdx n="0" f="v">
      <t c="8">
        <n x="1" s="1"/>
        <n x="2" s="1"/>
        <n x="5" s="1"/>
        <n x="3" s="1"/>
        <n x="4" s="1"/>
        <n x="104"/>
        <n x="42"/>
        <n x="87"/>
      </t>
    </mdx>
    <mdx n="0" f="v">
      <t c="8">
        <n x="1" s="1"/>
        <n x="2" s="1"/>
        <n x="5" s="1"/>
        <n x="3" s="1"/>
        <n x="4" s="1"/>
        <n x="104"/>
        <n x="101"/>
        <n x="16"/>
      </t>
    </mdx>
    <mdx n="0" f="v">
      <t c="8">
        <n x="1" s="1"/>
        <n x="2" s="1"/>
        <n x="5" s="1"/>
        <n x="3" s="1"/>
        <n x="4" s="1"/>
        <n x="104"/>
        <n x="118"/>
        <n x="122"/>
      </t>
    </mdx>
    <mdx n="0" f="v">
      <t c="8">
        <n x="1" s="1"/>
        <n x="2" s="1"/>
        <n x="5" s="1"/>
        <n x="3" s="1"/>
        <n x="4" s="1"/>
        <n x="104"/>
        <n x="121"/>
        <n x="45"/>
      </t>
    </mdx>
    <mdx n="0" f="v">
      <t c="8">
        <n x="1" s="1"/>
        <n x="2" s="1"/>
        <n x="5" s="1"/>
        <n x="3" s="1"/>
        <n x="4" s="1"/>
        <n x="104"/>
        <n x="27"/>
        <n x="19"/>
      </t>
    </mdx>
    <mdx n="0" f="v">
      <t c="8">
        <n x="1" s="1"/>
        <n x="2" s="1"/>
        <n x="5" s="1"/>
        <n x="3" s="1"/>
        <n x="4" s="1"/>
        <n x="104"/>
        <n x="27"/>
        <n x="33"/>
      </t>
    </mdx>
    <mdx n="0" f="v">
      <t c="8">
        <n x="1" s="1"/>
        <n x="2" s="1"/>
        <n x="5" s="1"/>
        <n x="3" s="1"/>
        <n x="4" s="1"/>
        <n x="104"/>
        <n x="32"/>
        <n x="87"/>
      </t>
    </mdx>
    <mdx n="0" f="v">
      <t c="8">
        <n x="1" s="1"/>
        <n x="2" s="1"/>
        <n x="5" s="1"/>
        <n x="3" s="1"/>
        <n x="4" s="1"/>
        <n x="104"/>
        <n x="132"/>
        <n x="127"/>
      </t>
    </mdx>
    <mdx n="0" f="v">
      <t c="8">
        <n x="1" s="1"/>
        <n x="2" s="1"/>
        <n x="5" s="1"/>
        <n x="3" s="1"/>
        <n x="4" s="1"/>
        <n x="104"/>
        <n x="135"/>
        <n x="116"/>
      </t>
    </mdx>
    <mdx n="0" f="v">
      <t c="8">
        <n x="1" s="1"/>
        <n x="2" s="1"/>
        <n x="5" s="1"/>
        <n x="3" s="1"/>
        <n x="4" s="1"/>
        <n x="104"/>
        <n x="146"/>
        <n x="108"/>
      </t>
    </mdx>
    <mdx n="0" f="v">
      <t c="8">
        <n x="1" s="1"/>
        <n x="2" s="1"/>
        <n x="5" s="1"/>
        <n x="3" s="1"/>
        <n x="4" s="1"/>
        <n x="104"/>
        <n x="136"/>
        <n x="102"/>
      </t>
    </mdx>
    <mdx n="0" f="v">
      <t c="8">
        <n x="1" s="1"/>
        <n x="2" s="1"/>
        <n x="5" s="1"/>
        <n x="3" s="1"/>
        <n x="4" s="1"/>
        <n x="104"/>
        <n x="42"/>
        <n x="13"/>
      </t>
    </mdx>
    <mdx n="0" f="v">
      <t c="8">
        <n x="1" s="1"/>
        <n x="2" s="1"/>
        <n x="5" s="1"/>
        <n x="3" s="1"/>
        <n x="4" s="1"/>
        <n x="104"/>
        <n x="121"/>
        <n x="77"/>
      </t>
    </mdx>
    <mdx n="0" f="v">
      <t c="8">
        <n x="1" s="1"/>
        <n x="2" s="1"/>
        <n x="5" s="1"/>
        <n x="3" s="1"/>
        <n x="4" s="1"/>
        <n x="104"/>
        <n x="46"/>
        <n x="59"/>
      </t>
    </mdx>
    <mdx n="0" f="v">
      <t c="8">
        <n x="1" s="1"/>
        <n x="2" s="1"/>
        <n x="5" s="1"/>
        <n x="3" s="1"/>
        <n x="4" s="1"/>
        <n x="104"/>
        <n x="9"/>
        <n x="127"/>
      </t>
    </mdx>
    <mdx n="0" f="v">
      <t c="8">
        <n x="1" s="1"/>
        <n x="2" s="1"/>
        <n x="5" s="1"/>
        <n x="3" s="1"/>
        <n x="4" s="1"/>
        <n x="104"/>
        <n x="125"/>
        <n x="52"/>
      </t>
    </mdx>
    <mdx n="0" f="v">
      <t c="8">
        <n x="1" s="1"/>
        <n x="2" s="1"/>
        <n x="5" s="1"/>
        <n x="3" s="1"/>
        <n x="4" s="1"/>
        <n x="104"/>
        <n x="151"/>
        <n x="33"/>
      </t>
    </mdx>
    <mdx n="0" f="v">
      <t c="8">
        <n x="1" s="1"/>
        <n x="2" s="1"/>
        <n x="5" s="1"/>
        <n x="3" s="1"/>
        <n x="4" s="1"/>
        <n x="104"/>
        <n x="25"/>
        <n x="52"/>
      </t>
    </mdx>
    <mdx n="0" f="v">
      <t c="8">
        <n x="1" s="1"/>
        <n x="2" s="1"/>
        <n x="5" s="1"/>
        <n x="3" s="1"/>
        <n x="4" s="1"/>
        <n x="104"/>
        <n x="73"/>
        <n x="154"/>
      </t>
    </mdx>
    <mdx n="0" f="v">
      <t c="8">
        <n x="1" s="1"/>
        <n x="2" s="1"/>
        <n x="5" s="1"/>
        <n x="3" s="1"/>
        <n x="4" s="1"/>
        <n x="104"/>
        <n x="82"/>
        <n x="28"/>
      </t>
    </mdx>
    <mdx n="0" f="v">
      <t c="8">
        <n x="1" s="1"/>
        <n x="2" s="1"/>
        <n x="5" s="1"/>
        <n x="3" s="1"/>
        <n x="4" s="1"/>
        <n x="104"/>
        <n x="82"/>
        <n x="54"/>
      </t>
    </mdx>
    <mdx n="0" f="v">
      <t c="8">
        <n x="1" s="1"/>
        <n x="2" s="1"/>
        <n x="5" s="1"/>
        <n x="3" s="1"/>
        <n x="4" s="1"/>
        <n x="104"/>
        <n x="91"/>
        <n x="116"/>
      </t>
    </mdx>
    <mdx n="0" f="v">
      <t c="8">
        <n x="1" s="1"/>
        <n x="2" s="1"/>
        <n x="5" s="1"/>
        <n x="3" s="1"/>
        <n x="4" s="1"/>
        <n x="104"/>
        <n x="100"/>
        <n x="107"/>
      </t>
    </mdx>
    <mdx n="0" f="v">
      <t c="8">
        <n x="1" s="1"/>
        <n x="2" s="1"/>
        <n x="5" s="1"/>
        <n x="3" s="1"/>
        <n x="4" s="1"/>
        <n x="104"/>
        <n x="100"/>
        <n x="15"/>
      </t>
    </mdx>
    <mdx n="0" f="v">
      <t c="8">
        <n x="1" s="1"/>
        <n x="2" s="1"/>
        <n x="5" s="1"/>
        <n x="3" s="1"/>
        <n x="4" s="1"/>
        <n x="104"/>
        <n x="40"/>
        <n x="43"/>
      </t>
    </mdx>
    <mdx n="0" f="v">
      <t c="8">
        <n x="1" s="1"/>
        <n x="2" s="1"/>
        <n x="5" s="1"/>
        <n x="3" s="1"/>
        <n x="4" s="1"/>
        <n x="104"/>
        <n x="40"/>
        <n x="15"/>
      </t>
    </mdx>
    <mdx n="0" f="v">
      <t c="8">
        <n x="1" s="1"/>
        <n x="2" s="1"/>
        <n x="5" s="1"/>
        <n x="3" s="1"/>
        <n x="4" s="1"/>
        <n x="104"/>
        <n x="113"/>
        <n x="115"/>
      </t>
    </mdx>
    <mdx n="0" f="v">
      <t c="8">
        <n x="1" s="1"/>
        <n x="2" s="1"/>
        <n x="5" s="1"/>
        <n x="3" s="1"/>
        <n x="4" s="1"/>
        <n x="104"/>
        <n x="113"/>
        <n x="127"/>
      </t>
    </mdx>
    <mdx n="0" f="v">
      <t c="8">
        <n x="1" s="1"/>
        <n x="2" s="1"/>
        <n x="5" s="1"/>
        <n x="3" s="1"/>
        <n x="4" s="1"/>
        <n x="104"/>
        <n x="131"/>
        <n x="13"/>
      </t>
    </mdx>
    <mdx n="0" f="v">
      <t c="8">
        <n x="1" s="1"/>
        <n x="2" s="1"/>
        <n x="5" s="1"/>
        <n x="3" s="1"/>
        <n x="4" s="1"/>
        <n x="104"/>
        <n x="131"/>
        <n x="103"/>
      </t>
    </mdx>
    <mdx n="0" f="v">
      <t c="8">
        <n x="1" s="1"/>
        <n x="2" s="1"/>
        <n x="5" s="1"/>
        <n x="3" s="1"/>
        <n x="4" s="1"/>
        <n x="104"/>
        <n x="134"/>
        <n x="62"/>
      </t>
    </mdx>
    <mdx n="0" f="v">
      <t c="8">
        <n x="1" s="1"/>
        <n x="2" s="1"/>
        <n x="5" s="1"/>
        <n x="3" s="1"/>
        <n x="4" s="1"/>
        <n x="104"/>
        <n x="134"/>
        <n x="58"/>
      </t>
    </mdx>
    <mdx n="0" f="v">
      <t c="8">
        <n x="1" s="1"/>
        <n x="2" s="1"/>
        <n x="5" s="1"/>
        <n x="3" s="1"/>
        <n x="4" s="1"/>
        <n x="104"/>
        <n x="134"/>
        <n x="86"/>
      </t>
    </mdx>
    <mdx n="0" f="v">
      <t c="8">
        <n x="1" s="1"/>
        <n x="2" s="1"/>
        <n x="5" s="1"/>
        <n x="3" s="1"/>
        <n x="4" s="1"/>
        <n x="104"/>
        <n x="140"/>
        <n x="154"/>
      </t>
    </mdx>
    <mdx n="0" f="v">
      <t c="8">
        <n x="1" s="1"/>
        <n x="2" s="1"/>
        <n x="5" s="1"/>
        <n x="3" s="1"/>
        <n x="4" s="1"/>
        <n x="104"/>
        <n x="140"/>
        <n x="16"/>
      </t>
    </mdx>
    <mdx n="0" f="v">
      <t c="8">
        <n x="1" s="1"/>
        <n x="2" s="1"/>
        <n x="5" s="1"/>
        <n x="3" s="1"/>
        <n x="4" s="1"/>
        <n x="104"/>
        <n x="145"/>
        <n x="28"/>
      </t>
    </mdx>
    <mdx n="0" f="v">
      <t c="8">
        <n x="1" s="1"/>
        <n x="2" s="1"/>
        <n x="5" s="1"/>
        <n x="3" s="1"/>
        <n x="4" s="1"/>
        <n x="104"/>
        <n x="145"/>
        <n x="85"/>
      </t>
    </mdx>
    <mdx n="0" f="v">
      <t c="8">
        <n x="1" s="1"/>
        <n x="2" s="1"/>
        <n x="5" s="1"/>
        <n x="3" s="1"/>
        <n x="4" s="1"/>
        <n x="104"/>
        <n x="145"/>
        <n x="45"/>
      </t>
    </mdx>
    <mdx n="0" f="v">
      <t c="8">
        <n x="1" s="1"/>
        <n x="2" s="1"/>
        <n x="5" s="1"/>
        <n x="3" s="1"/>
        <n x="4" s="1"/>
        <n x="104"/>
        <n x="129"/>
        <n x="147"/>
      </t>
    </mdx>
    <mdx n="0" f="v">
      <t c="8">
        <n x="1" s="1"/>
        <n x="2" s="1"/>
        <n x="5" s="1"/>
        <n x="3" s="1"/>
        <n x="4" s="1"/>
        <n x="104"/>
        <n x="129"/>
        <n x="141"/>
      </t>
    </mdx>
    <mdx n="0" f="v">
      <t c="8">
        <n x="1" s="1"/>
        <n x="2" s="1"/>
        <n x="5" s="1"/>
        <n x="3" s="1"/>
        <n x="4" s="1"/>
        <n x="104"/>
        <n x="11"/>
        <n x="84"/>
      </t>
    </mdx>
    <mdx n="0" f="v">
      <t c="8">
        <n x="1" s="1"/>
        <n x="2" s="1"/>
        <n x="5" s="1"/>
        <n x="3" s="1"/>
        <n x="4" s="1"/>
        <n x="104"/>
        <n x="11"/>
        <n x="29"/>
      </t>
    </mdx>
    <mdx n="0" f="v">
      <t c="8">
        <n x="1" s="1"/>
        <n x="2" s="1"/>
        <n x="5" s="1"/>
        <n x="3" s="1"/>
        <n x="4" s="1"/>
        <n x="104"/>
        <n x="11"/>
        <n x="54"/>
      </t>
    </mdx>
    <mdx n="0" f="v">
      <t c="8">
        <n x="1" s="1"/>
        <n x="2" s="1"/>
        <n x="5" s="1"/>
        <n x="3" s="1"/>
        <n x="4" s="1"/>
        <n x="104"/>
        <n x="26"/>
        <n x="107"/>
      </t>
    </mdx>
    <mdx n="0" f="v">
      <t c="8">
        <n x="1" s="1"/>
        <n x="2" s="1"/>
        <n x="5" s="1"/>
        <n x="3" s="1"/>
        <n x="4" s="1"/>
        <n x="104"/>
        <n x="26"/>
        <n x="103"/>
      </t>
    </mdx>
    <mdx n="0" f="v">
      <t c="8">
        <n x="1" s="1"/>
        <n x="2" s="1"/>
        <n x="5" s="1"/>
        <n x="3" s="1"/>
        <n x="4" s="1"/>
        <n x="104"/>
        <n x="26"/>
        <n x="77"/>
      </t>
    </mdx>
    <mdx n="0" f="v">
      <t c="8">
        <n x="1" s="1"/>
        <n x="2" s="1"/>
        <n x="5" s="1"/>
        <n x="3" s="1"/>
        <n x="4" s="1"/>
        <n x="104"/>
        <n x="35"/>
        <n x="43"/>
      </t>
    </mdx>
    <mdx n="0" f="v">
      <t c="8">
        <n x="1" s="1"/>
        <n x="2" s="1"/>
        <n x="5" s="1"/>
        <n x="3" s="1"/>
        <n x="4" s="1"/>
        <n x="104"/>
        <n x="35"/>
        <n x="119"/>
      </t>
    </mdx>
    <mdx n="0" f="v">
      <t c="8">
        <n x="1" s="1"/>
        <n x="2" s="1"/>
        <n x="5" s="1"/>
        <n x="3" s="1"/>
        <n x="4" s="1"/>
        <n x="104"/>
        <n x="152"/>
        <n x="164" s="1"/>
      </t>
    </mdx>
    <mdx n="0" f="v">
      <t c="8">
        <n x="1" s="1"/>
        <n x="2" s="1"/>
        <n x="5" s="1"/>
        <n x="3" s="1"/>
        <n x="4" s="1"/>
        <n x="104"/>
        <n x="152"/>
        <n x="147"/>
      </t>
    </mdx>
    <mdx n="0" f="v">
      <t c="8">
        <n x="1" s="1"/>
        <n x="2" s="1"/>
        <n x="5" s="1"/>
        <n x="3" s="1"/>
        <n x="4" s="1"/>
        <n x="104"/>
        <n x="152"/>
        <n x="122"/>
      </t>
    </mdx>
    <mdx n="0" f="v">
      <t c="8">
        <n x="1" s="1"/>
        <n x="2" s="1"/>
        <n x="5" s="1"/>
        <n x="3" s="1"/>
        <n x="4" s="1"/>
        <n x="104"/>
        <n x="47"/>
        <n x="164" s="1"/>
      </t>
    </mdx>
    <mdx n="0" f="v">
      <t c="8">
        <n x="1" s="1"/>
        <n x="2" s="1"/>
        <n x="5" s="1"/>
        <n x="3" s="1"/>
        <n x="4" s="1"/>
        <n x="104"/>
        <n x="47"/>
        <n x="128"/>
      </t>
    </mdx>
    <mdx n="0" f="v">
      <t c="8">
        <n x="1" s="1"/>
        <n x="2" s="1"/>
        <n x="5" s="1"/>
        <n x="3" s="1"/>
        <n x="4" s="1"/>
        <n x="104"/>
        <n x="47"/>
        <n x="116"/>
      </t>
    </mdx>
    <mdx n="0" f="v">
      <t c="8">
        <n x="1" s="1"/>
        <n x="2" s="1"/>
        <n x="5" s="1"/>
        <n x="3" s="1"/>
        <n x="4" s="1"/>
        <n x="104"/>
        <n x="47"/>
        <n x="77"/>
      </t>
    </mdx>
    <mdx n="0" f="v">
      <t c="8">
        <n x="1" s="1"/>
        <n x="2" s="1"/>
        <n x="5" s="1"/>
        <n x="3" s="1"/>
        <n x="4" s="1"/>
        <n x="104"/>
        <n x="51"/>
        <n x="108"/>
      </t>
    </mdx>
    <mdx n="0" f="v">
      <t c="8">
        <n x="1" s="1"/>
        <n x="2" s="1"/>
        <n x="5" s="1"/>
        <n x="3" s="1"/>
        <n x="4" s="1"/>
        <n x="104"/>
        <n x="51"/>
        <n x="94"/>
      </t>
    </mdx>
    <mdx n="0" f="v">
      <t c="8">
        <n x="1" s="1"/>
        <n x="2" s="1"/>
        <n x="5" s="1"/>
        <n x="3" s="1"/>
        <n x="4" s="1"/>
        <n x="104"/>
        <n x="51"/>
        <n x="54"/>
      </t>
    </mdx>
    <mdx n="0" f="v">
      <t c="8">
        <n x="1" s="1"/>
        <n x="2" s="1"/>
        <n x="5" s="1"/>
        <n x="3" s="1"/>
        <n x="4" s="1"/>
        <n x="104"/>
        <n x="53"/>
        <n x="102"/>
      </t>
    </mdx>
    <mdx n="0" f="v">
      <t c="8">
        <n x="1" s="1"/>
        <n x="2" s="1"/>
        <n x="5" s="1"/>
        <n x="3" s="1"/>
        <n x="4" s="1"/>
        <n x="104"/>
        <n x="53"/>
        <n x="58"/>
      </t>
    </mdx>
    <mdx n="0" f="v">
      <t c="8">
        <n x="1" s="1"/>
        <n x="2" s="1"/>
        <n x="5" s="1"/>
        <n x="3" s="1"/>
        <n x="4" s="1"/>
        <n x="104"/>
        <n x="53"/>
        <n x="155"/>
      </t>
    </mdx>
    <mdx n="0" f="v">
      <t c="8">
        <n x="1" s="1"/>
        <n x="2" s="1"/>
        <n x="5" s="1"/>
        <n x="3" s="1"/>
        <n x="4" s="1"/>
        <n x="104"/>
        <n x="55"/>
        <n x="13"/>
      </t>
    </mdx>
    <mdx n="0" f="v">
      <t c="8">
        <n x="1" s="1"/>
        <n x="2" s="1"/>
        <n x="5" s="1"/>
        <n x="3" s="1"/>
        <n x="4" s="1"/>
        <n x="104"/>
        <n x="55"/>
        <n x="14"/>
      </t>
    </mdx>
    <mdx n="0" f="v">
      <t c="8">
        <n x="1" s="1"/>
        <n x="2" s="1"/>
        <n x="5" s="1"/>
        <n x="3" s="1"/>
        <n x="4" s="1"/>
        <n x="104"/>
        <n x="55"/>
        <n x="15"/>
      </t>
    </mdx>
    <mdx n="0" f="v">
      <t c="8">
        <n x="1" s="1"/>
        <n x="2" s="1"/>
        <n x="5" s="1"/>
        <n x="3" s="1"/>
        <n x="4" s="1"/>
        <n x="104"/>
        <n x="41"/>
        <n x="75"/>
      </t>
    </mdx>
    <mdx n="0" f="v">
      <t c="8">
        <n x="1" s="1"/>
        <n x="2" s="1"/>
        <n x="5" s="1"/>
        <n x="3" s="1"/>
        <n x="4" s="1"/>
        <n x="104"/>
        <n x="41"/>
        <n x="48"/>
      </t>
    </mdx>
    <mdx n="0" f="v">
      <t c="8">
        <n x="1" s="1"/>
        <n x="2" s="1"/>
        <n x="5" s="1"/>
        <n x="3" s="1"/>
        <n x="4" s="1"/>
        <n x="104"/>
        <n x="41"/>
        <n x="141"/>
      </t>
    </mdx>
    <mdx n="0" f="v">
      <t c="8">
        <n x="1" s="1"/>
        <n x="2" s="1"/>
        <n x="5" s="1"/>
        <n x="3" s="1"/>
        <n x="4" s="1"/>
        <n x="104"/>
        <n x="74"/>
        <n x="56"/>
      </t>
    </mdx>
    <mdx n="0" f="v">
      <t c="8">
        <n x="1" s="1"/>
        <n x="2" s="1"/>
        <n x="5" s="1"/>
        <n x="3" s="1"/>
        <n x="4" s="1"/>
        <n x="104"/>
        <n x="74"/>
        <n x="147"/>
      </t>
    </mdx>
    <mdx n="0" f="v">
      <t c="8">
        <n x="1" s="1"/>
        <n x="2" s="1"/>
        <n x="5" s="1"/>
        <n x="3" s="1"/>
        <n x="4" s="1"/>
        <n x="104"/>
        <n x="74"/>
        <n x="119"/>
      </t>
    </mdx>
    <mdx n="0" f="v">
      <t c="8">
        <n x="1" s="1"/>
        <n x="2" s="1"/>
        <n x="5" s="1"/>
        <n x="3" s="1"/>
        <n x="4" s="1"/>
        <n x="104"/>
        <n x="74"/>
        <n x="86"/>
      </t>
    </mdx>
    <mdx n="0" f="v">
      <t c="8">
        <n x="1" s="1"/>
        <n x="2" s="1"/>
        <n x="5" s="1"/>
        <n x="3" s="1"/>
        <n x="4" s="1"/>
        <n x="104"/>
        <n x="83"/>
        <n x="109"/>
      </t>
    </mdx>
    <mdx n="0" f="v">
      <t c="8">
        <n x="1" s="1"/>
        <n x="2" s="1"/>
        <n x="5" s="1"/>
        <n x="3" s="1"/>
        <n x="4" s="1"/>
        <n x="104"/>
        <n x="83"/>
        <n x="103"/>
      </t>
    </mdx>
    <mdx n="0" f="v">
      <t c="8">
        <n x="1" s="1"/>
        <n x="2" s="1"/>
        <n x="5" s="1"/>
        <n x="3" s="1"/>
        <n x="4" s="1"/>
        <n x="104"/>
        <n x="83"/>
        <n x="69"/>
      </t>
    </mdx>
    <mdx n="0" f="v">
      <t c="8">
        <n x="1" s="1"/>
        <n x="2" s="1"/>
        <n x="5" s="1"/>
        <n x="3" s="1"/>
        <n x="4" s="1"/>
        <n x="104"/>
        <n x="92"/>
        <n x="115"/>
      </t>
    </mdx>
    <mdx n="0" f="v">
      <t c="8">
        <n x="1" s="1"/>
        <n x="2" s="1"/>
        <n x="5" s="1"/>
        <n x="3" s="1"/>
        <n x="4" s="1"/>
        <n x="104"/>
        <n x="92"/>
        <n x="76"/>
      </t>
    </mdx>
    <mdx n="0" f="v">
      <t c="8">
        <n x="1" s="1"/>
        <n x="2" s="1"/>
        <n x="5" s="1"/>
        <n x="3" s="1"/>
        <n x="4" s="1"/>
        <n x="104"/>
        <n x="92"/>
        <n x="49"/>
      </t>
    </mdx>
    <mdx n="0" f="v">
      <t c="8">
        <n x="1" s="1"/>
        <n x="2" s="1"/>
        <n x="5" s="1"/>
        <n x="3" s="1"/>
        <n x="4" s="1"/>
        <n x="104"/>
        <n x="101"/>
        <n x="28"/>
      </t>
    </mdx>
    <mdx n="0" f="v">
      <t c="8">
        <n x="1" s="1"/>
        <n x="2" s="1"/>
        <n x="5" s="1"/>
        <n x="3" s="1"/>
        <n x="4" s="1"/>
        <n x="104"/>
        <n x="114"/>
        <n x="84"/>
      </t>
    </mdx>
    <mdx n="0" f="v">
      <t c="8">
        <n x="1" s="1"/>
        <n x="2" s="1"/>
        <n x="5" s="1"/>
        <n x="3" s="1"/>
        <n x="4" s="1"/>
        <n x="104"/>
        <n x="114"/>
        <n x="160"/>
      </t>
    </mdx>
    <mdx n="0" f="v">
      <t c="8">
        <n x="1" s="1"/>
        <n x="2" s="1"/>
        <n x="5" s="1"/>
        <n x="3" s="1"/>
        <n x="4" s="1"/>
        <n x="104"/>
        <n x="114"/>
        <n x="148"/>
      </t>
    </mdx>
    <mdx n="0" f="v">
      <t c="8">
        <n x="1" s="1"/>
        <n x="2" s="1"/>
        <n x="5" s="1"/>
        <n x="3" s="1"/>
        <n x="4" s="1"/>
        <n x="104"/>
        <n x="118"/>
        <n x="62"/>
      </t>
    </mdx>
    <mdx n="0" f="v">
      <t c="8">
        <n x="1" s="1"/>
        <n x="2" s="1"/>
        <n x="5" s="1"/>
        <n x="3" s="1"/>
        <n x="4" s="1"/>
        <n x="104"/>
        <n x="118"/>
        <n x="59"/>
      </t>
    </mdx>
    <mdx n="0" f="v">
      <t c="8">
        <n x="1" s="1"/>
        <n x="2" s="1"/>
        <n x="5" s="1"/>
        <n x="3" s="1"/>
        <n x="4" s="1"/>
        <n x="104"/>
        <n x="118"/>
        <n x="95"/>
      </t>
    </mdx>
    <mdx n="0" f="v">
      <t c="8">
        <n x="1" s="1"/>
        <n x="2" s="1"/>
        <n x="5" s="1"/>
        <n x="3" s="1"/>
        <n x="4" s="1"/>
        <n x="104"/>
        <n x="121"/>
        <n x="44"/>
      </t>
    </mdx>
    <mdx n="0" f="v">
      <t c="8">
        <n x="1" s="1"/>
        <n x="2" s="1"/>
        <n x="5" s="1"/>
        <n x="3" s="1"/>
        <n x="4" s="1"/>
        <n x="104"/>
        <n x="12"/>
        <n x="107"/>
      </t>
    </mdx>
    <mdx n="0" f="v">
      <t c="8">
        <n x="1" s="1"/>
        <n x="2" s="1"/>
        <n x="5" s="1"/>
        <n x="3" s="1"/>
        <n x="4" s="1"/>
        <n x="104"/>
        <n x="12"/>
        <n x="85"/>
      </t>
    </mdx>
    <mdx n="0" f="v">
      <t c="8">
        <n x="1" s="1"/>
        <n x="2" s="1"/>
        <n x="5" s="1"/>
        <n x="3" s="1"/>
        <n x="4" s="1"/>
        <n x="104"/>
        <n x="27"/>
        <n x="20"/>
      </t>
    </mdx>
    <mdx n="0" f="v">
      <t c="8">
        <n x="1" s="1"/>
        <n x="2" s="1"/>
        <n x="5" s="1"/>
        <n x="3" s="1"/>
        <n x="4" s="1"/>
        <n x="104"/>
        <n x="32"/>
        <n x="162"/>
      </t>
    </mdx>
    <mdx n="0" f="v">
      <t c="8">
        <n x="1" s="1"/>
        <n x="2" s="1"/>
        <n x="5" s="1"/>
        <n x="3" s="1"/>
        <n x="4" s="1"/>
        <n x="104"/>
        <n x="132"/>
        <n x="154"/>
      </t>
    </mdx>
    <mdx n="0" f="v">
      <t c="8">
        <n x="1" s="1"/>
        <n x="2" s="1"/>
        <n x="5" s="1"/>
        <n x="3" s="1"/>
        <n x="4" s="1"/>
        <n x="104"/>
        <n x="135"/>
        <n x="164" s="1"/>
      </t>
    </mdx>
    <mdx n="0" f="v">
      <t c="8">
        <n x="1" s="1"/>
        <n x="2" s="1"/>
        <n x="5" s="1"/>
        <n x="3" s="1"/>
        <n x="4" s="1"/>
        <n x="104"/>
        <n x="135"/>
        <n x="77"/>
      </t>
    </mdx>
    <mdx n="0" f="v">
      <t c="8">
        <n x="1" s="1"/>
        <n x="2" s="1"/>
        <n x="5" s="1"/>
        <n x="3" s="1"/>
        <n x="4" s="1"/>
        <n x="104"/>
        <n x="146"/>
        <n x="54"/>
      </t>
    </mdx>
    <mdx n="0" f="v">
      <t c="8">
        <n x="1" s="1"/>
        <n x="2" s="1"/>
        <n x="5" s="1"/>
        <n x="3" s="1"/>
        <n x="4" s="1"/>
        <n x="104"/>
        <n x="136"/>
        <n x="155"/>
      </t>
    </mdx>
    <mdx n="0" f="v">
      <t c="8">
        <n x="1" s="1"/>
        <n x="2" s="1"/>
        <n x="5" s="1"/>
        <n x="3" s="1"/>
        <n x="4" s="1"/>
        <n x="104"/>
        <n x="121"/>
        <n x="116"/>
      </t>
    </mdx>
    <mdx n="0" f="v">
      <t c="8">
        <n x="1" s="1"/>
        <n x="2" s="1"/>
        <n x="5" s="1"/>
        <n x="3" s="1"/>
        <n x="4" s="1"/>
        <n x="104"/>
        <n x="46"/>
        <n x="52"/>
      </t>
    </mdx>
    <mdx n="0" f="v">
      <t c="8">
        <n x="1" s="1"/>
        <n x="2" s="1"/>
        <n x="5" s="1"/>
        <n x="3" s="1"/>
        <n x="4" s="1"/>
        <n x="104"/>
        <n x="24"/>
        <n x="63"/>
      </t>
    </mdx>
    <mdx n="0" f="v">
      <t c="8">
        <n x="1" s="1"/>
        <n x="2" s="1"/>
        <n x="5" s="1"/>
        <n x="3" s="1"/>
        <n x="4" s="1"/>
        <n x="104"/>
        <n x="123"/>
        <n x="108"/>
      </t>
    </mdx>
    <mdx n="0" f="v">
      <t c="8">
        <n x="1" s="1"/>
        <n x="2" s="1"/>
        <n x="5" s="1"/>
        <n x="3" s="1"/>
        <n x="4" s="1"/>
        <n x="104"/>
        <n x="157"/>
        <n x="13"/>
      </t>
    </mdx>
    <mdx n="0" f="v">
      <t c="8">
        <n x="1" s="1"/>
        <n x="2" s="1"/>
        <n x="5" s="1"/>
        <n x="3" s="1"/>
        <n x="4" s="1"/>
        <n x="104"/>
        <n x="18"/>
        <n x="19"/>
      </t>
    </mdx>
    <mdx n="0" f="v">
      <t c="8">
        <n x="1" s="1"/>
        <n x="2" s="1"/>
        <n x="5" s="1"/>
        <n x="3" s="1"/>
        <n x="4" s="1"/>
        <n x="104"/>
        <n x="73"/>
        <n x="162"/>
      </t>
    </mdx>
    <mdx n="0" f="v">
      <t c="8">
        <n x="1" s="1"/>
        <n x="2" s="1"/>
        <n x="5" s="1"/>
        <n x="3" s="1"/>
        <n x="4" s="1"/>
        <n x="104"/>
        <n x="82"/>
        <n x="107"/>
      </t>
    </mdx>
    <mdx n="0" f="v">
      <t c="8">
        <n x="1" s="1"/>
        <n x="2" s="1"/>
        <n x="5" s="1"/>
        <n x="3" s="1"/>
        <n x="4" s="1"/>
        <n x="104"/>
        <n x="82"/>
        <n x="77"/>
      </t>
    </mdx>
    <mdx n="0" f="v">
      <t c="8">
        <n x="1" s="1"/>
        <n x="2" s="1"/>
        <n x="5" s="1"/>
        <n x="3" s="1"/>
        <n x="4" s="1"/>
        <n x="104"/>
        <n x="91"/>
        <n x="119"/>
      </t>
    </mdx>
    <mdx n="0" f="v">
      <t c="8">
        <n x="1" s="1"/>
        <n x="2" s="1"/>
        <n x="5" s="1"/>
        <n x="3" s="1"/>
        <n x="4" s="1"/>
        <n x="104"/>
        <n x="100"/>
        <n x="108"/>
      </t>
    </mdx>
    <mdx n="0" f="v">
      <t c="8">
        <n x="1" s="1"/>
        <n x="2" s="1"/>
        <n x="5" s="1"/>
        <n x="3" s="1"/>
        <n x="4" s="1"/>
        <n x="104"/>
        <n x="100"/>
        <n x="155"/>
      </t>
    </mdx>
    <mdx n="0" f="v">
      <t c="8">
        <n x="1" s="1"/>
        <n x="2" s="1"/>
        <n x="5" s="1"/>
        <n x="3" s="1"/>
        <n x="4" s="1"/>
        <n x="104"/>
        <n x="40"/>
        <n x="59"/>
      </t>
    </mdx>
    <mdx n="0" f="v">
      <t c="8">
        <n x="1" s="1"/>
        <n x="2" s="1"/>
        <n x="5" s="1"/>
        <n x="3" s="1"/>
        <n x="4" s="1"/>
        <n x="104"/>
        <n x="40"/>
        <n x="33"/>
      </t>
    </mdx>
    <mdx n="0" f="v">
      <t c="8">
        <n x="1" s="1"/>
        <n x="2" s="1"/>
        <n x="5" s="1"/>
        <n x="3" s="1"/>
        <n x="4" s="1"/>
        <n x="104"/>
        <n x="113"/>
        <n x="107"/>
      </t>
    </mdx>
    <mdx n="0" f="v">
      <t c="8">
        <n x="1" s="1"/>
        <n x="2" s="1"/>
        <n x="5" s="1"/>
        <n x="3" s="1"/>
        <n x="4" s="1"/>
        <n x="104"/>
        <n x="113"/>
        <n x="141"/>
      </t>
    </mdx>
    <mdx n="0" f="v">
      <t c="8">
        <n x="1" s="1"/>
        <n x="2" s="1"/>
        <n x="5" s="1"/>
        <n x="3" s="1"/>
        <n x="4" s="1"/>
        <n x="104"/>
        <n x="131"/>
        <n x="28"/>
      </t>
    </mdx>
    <mdx n="0" f="v">
      <t c="8">
        <n x="1" s="1"/>
        <n x="2" s="1"/>
        <n x="5" s="1"/>
        <n x="3" s="1"/>
        <n x="4" s="1"/>
        <n x="104"/>
        <n x="131"/>
        <n x="116"/>
      </t>
    </mdx>
    <mdx n="0" f="v">
      <t c="8">
        <n x="1" s="1"/>
        <n x="2" s="1"/>
        <n x="5" s="1"/>
        <n x="3" s="1"/>
        <n x="4" s="1"/>
        <n x="104"/>
        <n x="134"/>
        <n x="75"/>
      </t>
    </mdx>
    <mdx n="0" f="v">
      <t c="8">
        <n x="1" s="1"/>
        <n x="2" s="1"/>
        <n x="5" s="1"/>
        <n x="3" s="1"/>
        <n x="4" s="1"/>
        <n x="104"/>
        <n x="134"/>
        <n x="76"/>
      </t>
    </mdx>
    <mdx n="0" f="v">
      <t c="8">
        <n x="1" s="1"/>
        <n x="2" s="1"/>
        <n x="5" s="1"/>
        <n x="3" s="1"/>
        <n x="4" s="1"/>
        <n x="104"/>
        <n x="134"/>
        <n x="95"/>
      </t>
    </mdx>
    <mdx n="0" f="v">
      <t c="8">
        <n x="1" s="1"/>
        <n x="2" s="1"/>
        <n x="5" s="1"/>
        <n x="3" s="1"/>
        <n x="4" s="1"/>
        <n x="104"/>
        <n x="140"/>
        <n x="162"/>
      </t>
    </mdx>
    <mdx n="0" f="v">
      <t c="8">
        <n x="1" s="1"/>
        <n x="2" s="1"/>
        <n x="5" s="1"/>
        <n x="3" s="1"/>
        <n x="4" s="1"/>
        <n x="104"/>
        <n x="140"/>
        <n x="33"/>
      </t>
    </mdx>
    <mdx n="0" f="v">
      <t c="8">
        <n x="1" s="1"/>
        <n x="2" s="1"/>
        <n x="5" s="1"/>
        <n x="3" s="1"/>
        <n x="4" s="1"/>
        <n x="104"/>
        <n x="145"/>
        <n x="102"/>
      </t>
    </mdx>
    <mdx n="0" f="v">
      <t c="8">
        <n x="1" s="1"/>
        <n x="2" s="1"/>
        <n x="5" s="1"/>
        <n x="3" s="1"/>
        <n x="4" s="1"/>
        <n x="104"/>
        <n x="145"/>
        <n x="94"/>
      </t>
    </mdx>
    <mdx n="0" f="v">
      <t c="8">
        <n x="1" s="1"/>
        <n x="2" s="1"/>
        <n x="5" s="1"/>
        <n x="3" s="1"/>
        <n x="4" s="1"/>
        <n x="104"/>
        <n x="145"/>
        <n x="77"/>
      </t>
    </mdx>
    <mdx n="0" f="v">
      <t c="8">
        <n x="1" s="1"/>
        <n x="2" s="1"/>
        <n x="5" s="1"/>
        <n x="3" s="1"/>
        <n x="4" s="1"/>
        <n x="104"/>
        <n x="129"/>
        <n x="59"/>
      </t>
    </mdx>
    <mdx n="0" f="v">
      <t c="8">
        <n x="1" s="1"/>
        <n x="2" s="1"/>
        <n x="5" s="1"/>
        <n x="3" s="1"/>
        <n x="4" s="1"/>
        <n x="104"/>
        <n x="129"/>
        <n x="148"/>
      </t>
    </mdx>
    <mdx n="0" f="v">
      <t c="8">
        <n x="1" s="1"/>
        <n x="2" s="1"/>
        <n x="5" s="1"/>
        <n x="3" s="1"/>
        <n x="4" s="1"/>
        <n x="104"/>
        <n x="11"/>
        <n x="93"/>
      </t>
    </mdx>
    <mdx n="0" f="v">
      <t c="8">
        <n x="1" s="1"/>
        <n x="2" s="1"/>
        <n x="5" s="1"/>
        <n x="3" s="1"/>
        <n x="4" s="1"/>
        <n x="104"/>
        <n x="11"/>
        <n x="20"/>
      </t>
    </mdx>
    <mdx n="0" f="v">
      <t c="8">
        <n x="1" s="1"/>
        <n x="2" s="1"/>
        <n x="5" s="1"/>
        <n x="3" s="1"/>
        <n x="4" s="1"/>
        <n x="104"/>
        <n x="11"/>
        <n x="69"/>
      </t>
    </mdx>
    <mdx n="0" f="v">
      <t c="8">
        <n x="1" s="1"/>
        <n x="2" s="1"/>
        <n x="5" s="1"/>
        <n x="3" s="1"/>
        <n x="4" s="1"/>
        <n x="104"/>
        <n x="26"/>
        <n x="108"/>
      </t>
    </mdx>
    <mdx n="0" f="v">
      <t c="8">
        <n x="1" s="1"/>
        <n x="2" s="1"/>
        <n x="5" s="1"/>
        <n x="3" s="1"/>
        <n x="4" s="1"/>
        <n x="104"/>
        <n x="26"/>
        <n x="44"/>
      </t>
    </mdx>
    <mdx n="0" f="v">
      <t c="8">
        <n x="1" s="1"/>
        <n x="2" s="1"/>
        <n x="5" s="1"/>
        <n x="3" s="1"/>
        <n x="4" s="1"/>
        <n x="104"/>
        <n x="26"/>
        <n x="86"/>
      </t>
    </mdx>
    <mdx n="0" f="v">
      <t c="8">
        <n x="1" s="1"/>
        <n x="2" s="1"/>
        <n x="5" s="1"/>
        <n x="3" s="1"/>
        <n x="4" s="1"/>
        <n x="104"/>
        <n x="35"/>
        <n x="128"/>
      </t>
    </mdx>
    <mdx n="0" f="v">
      <t c="8">
        <n x="1" s="1"/>
        <n x="2" s="1"/>
        <n x="5" s="1"/>
        <n x="3" s="1"/>
        <n x="4" s="1"/>
        <n x="104"/>
        <n x="35"/>
        <n x="122"/>
      </t>
    </mdx>
    <mdx n="0" f="v">
      <t c="8">
        <n x="1" s="1"/>
        <n x="2" s="1"/>
        <n x="5" s="1"/>
        <n x="3" s="1"/>
        <n x="4" s="1"/>
        <n x="104"/>
        <n x="152"/>
        <n x="56"/>
      </t>
    </mdx>
    <mdx n="0" f="v">
      <t c="8">
        <n x="1" s="1"/>
        <n x="2" s="1"/>
        <n x="5" s="1"/>
        <n x="3" s="1"/>
        <n x="4" s="1"/>
        <n x="104"/>
        <n x="152"/>
        <n x="59"/>
      </t>
    </mdx>
    <mdx n="0" f="v">
      <t c="8">
        <n x="1" s="1"/>
        <n x="2" s="1"/>
        <n x="5" s="1"/>
        <n x="3" s="1"/>
        <n x="4" s="1"/>
        <n x="104"/>
        <n x="152"/>
        <n x="141"/>
      </t>
    </mdx>
    <mdx n="0" f="v">
      <t c="8">
        <n x="1" s="1"/>
        <n x="2" s="1"/>
        <n x="5" s="1"/>
        <n x="3" s="1"/>
        <n x="4" s="1"/>
        <n x="104"/>
        <n x="47"/>
        <n x="56"/>
      </t>
    </mdx>
    <mdx n="0" f="v">
      <t c="8">
        <n x="1" s="1"/>
        <n x="2" s="1"/>
        <n x="5" s="1"/>
        <n x="3" s="1"/>
        <n x="4" s="1"/>
        <n x="104"/>
        <n x="47"/>
        <n x="147"/>
      </t>
    </mdx>
    <mdx n="0" f="v">
      <t c="8">
        <n x="1" s="1"/>
        <n x="2" s="1"/>
        <n x="5" s="1"/>
        <n x="3" s="1"/>
        <n x="4" s="1"/>
        <n x="104"/>
        <n x="47"/>
        <n x="119"/>
      </t>
    </mdx>
    <mdx n="0" f="v">
      <t c="8">
        <n x="1" s="1"/>
        <n x="2" s="1"/>
        <n x="5" s="1"/>
        <n x="3" s="1"/>
        <n x="4" s="1"/>
        <n x="104"/>
        <n x="47"/>
        <n x="86"/>
      </t>
    </mdx>
    <mdx n="0" f="v">
      <t c="8">
        <n x="1" s="1"/>
        <n x="2" s="1"/>
        <n x="5" s="1"/>
        <n x="3" s="1"/>
        <n x="4" s="1"/>
        <n x="104"/>
        <n x="51"/>
        <n x="109"/>
      </t>
    </mdx>
    <mdx n="0" f="v">
      <t c="8">
        <n x="1" s="1"/>
        <n x="2" s="1"/>
        <n x="5" s="1"/>
        <n x="3" s="1"/>
        <n x="4" s="1"/>
        <n x="104"/>
        <n x="51"/>
        <n x="103"/>
      </t>
    </mdx>
    <mdx n="0" f="v">
      <t c="8">
        <n x="1" s="1"/>
        <n x="2" s="1"/>
        <n x="5" s="1"/>
        <n x="3" s="1"/>
        <n x="4" s="1"/>
        <n x="104"/>
        <n x="51"/>
        <n x="69"/>
      </t>
    </mdx>
    <mdx n="0" f="v">
      <t c="8">
        <n x="1" s="1"/>
        <n x="2" s="1"/>
        <n x="5" s="1"/>
        <n x="3" s="1"/>
        <n x="4" s="1"/>
        <n x="104"/>
        <n x="53"/>
        <n x="115"/>
      </t>
    </mdx>
    <mdx n="0" f="v">
      <t c="8">
        <n x="1" s="1"/>
        <n x="2" s="1"/>
        <n x="5" s="1"/>
        <n x="3" s="1"/>
        <n x="4" s="1"/>
        <n x="104"/>
        <n x="53"/>
        <n x="76"/>
      </t>
    </mdx>
    <mdx n="0" f="v">
      <t c="8">
        <n x="1" s="1"/>
        <n x="2" s="1"/>
        <n x="5" s="1"/>
        <n x="3" s="1"/>
        <n x="4" s="1"/>
        <n x="104"/>
        <n x="53"/>
        <n x="49"/>
      </t>
    </mdx>
    <mdx n="0" f="v">
      <t c="8">
        <n x="1" s="1"/>
        <n x="2" s="1"/>
        <n x="5" s="1"/>
        <n x="3" s="1"/>
        <n x="4" s="1"/>
        <n x="104"/>
        <n x="55"/>
        <n x="28"/>
      </t>
    </mdx>
    <mdx n="0" f="v">
      <t c="8">
        <n x="1" s="1"/>
        <n x="2" s="1"/>
        <n x="5" s="1"/>
        <n x="3" s="1"/>
        <n x="4" s="1"/>
        <n x="104"/>
        <n x="55"/>
        <n x="29"/>
      </t>
    </mdx>
    <mdx n="0" f="v">
      <t c="8">
        <n x="1" s="1"/>
        <n x="2" s="1"/>
        <n x="5" s="1"/>
        <n x="3" s="1"/>
        <n x="4" s="1"/>
        <n x="104"/>
        <n x="55"/>
        <n x="16"/>
      </t>
    </mdx>
    <mdx n="0" f="v">
      <t c="8">
        <n x="1" s="1"/>
        <n x="2" s="1"/>
        <n x="5" s="1"/>
        <n x="3" s="1"/>
        <n x="4" s="1"/>
        <n x="104"/>
        <n x="41"/>
        <n x="84"/>
      </t>
    </mdx>
    <mdx n="0" f="v">
      <t c="8">
        <n x="1" s="1"/>
        <n x="2" s="1"/>
        <n x="5" s="1"/>
        <n x="3" s="1"/>
        <n x="4" s="1"/>
        <n x="104"/>
        <n x="41"/>
        <n x="160"/>
      </t>
    </mdx>
    <mdx n="0" f="v">
      <t c="8">
        <n x="1" s="1"/>
        <n x="2" s="1"/>
        <n x="5" s="1"/>
        <n x="3" s="1"/>
        <n x="4" s="1"/>
        <n x="104"/>
        <n x="41"/>
        <n x="148"/>
      </t>
    </mdx>
    <mdx n="0" f="v">
      <t c="8">
        <n x="1" s="1"/>
        <n x="2" s="1"/>
        <n x="5" s="1"/>
        <n x="3" s="1"/>
        <n x="4" s="1"/>
        <n x="104"/>
        <n x="74"/>
        <n x="62"/>
      </t>
    </mdx>
    <mdx n="0" f="v">
      <t c="8">
        <n x="1" s="1"/>
        <n x="2" s="1"/>
        <n x="5" s="1"/>
        <n x="3" s="1"/>
        <n x="4" s="1"/>
        <n x="104"/>
        <n x="74"/>
        <n x="59"/>
      </t>
    </mdx>
    <mdx n="0" f="v">
      <t c="8">
        <n x="1" s="1"/>
        <n x="2" s="1"/>
        <n x="5" s="1"/>
        <n x="3" s="1"/>
        <n x="4" s="1"/>
        <n x="104"/>
        <n x="74"/>
        <n x="122"/>
      </t>
    </mdx>
    <mdx n="0" f="v">
      <t c="8">
        <n x="1" s="1"/>
        <n x="2" s="1"/>
        <n x="5" s="1"/>
        <n x="3" s="1"/>
        <n x="4" s="1"/>
        <n x="104"/>
        <n x="74"/>
        <n x="95"/>
      </t>
    </mdx>
    <mdx n="0" f="v">
      <t c="8">
        <n x="1" s="1"/>
        <n x="2" s="1"/>
        <n x="5" s="1"/>
        <n x="3" s="1"/>
        <n x="4" s="1"/>
        <n x="104"/>
        <n x="83"/>
        <n x="43"/>
      </t>
    </mdx>
    <mdx n="0" f="v">
      <t c="8">
        <n x="1" s="1"/>
        <n x="2" s="1"/>
        <n x="5" s="1"/>
        <n x="3" s="1"/>
        <n x="4" s="1"/>
        <n x="104"/>
        <n x="83"/>
        <n x="44"/>
      </t>
    </mdx>
    <mdx n="0" f="v">
      <t c="8">
        <n x="1" s="1"/>
        <n x="2" s="1"/>
        <n x="5" s="1"/>
        <n x="3" s="1"/>
        <n x="4" s="1"/>
        <n x="104"/>
        <n x="83"/>
        <n x="45"/>
      </t>
    </mdx>
    <mdx n="0" f="v">
      <t c="8">
        <n x="1" s="1"/>
        <n x="2" s="1"/>
        <n x="5" s="1"/>
        <n x="3" s="1"/>
        <n x="4" s="1"/>
        <n x="104"/>
        <n x="92"/>
        <n x="107"/>
      </t>
    </mdx>
    <mdx n="0" f="v">
      <t c="8">
        <n x="1" s="1"/>
        <n x="2" s="1"/>
        <n x="5" s="1"/>
        <n x="3" s="1"/>
        <n x="4" s="1"/>
        <n x="104"/>
        <n x="92"/>
        <n x="85"/>
      </t>
    </mdx>
    <mdx n="0" f="v">
      <t c="8">
        <n x="1" s="1"/>
        <n x="2" s="1"/>
        <n x="5" s="1"/>
        <n x="3" s="1"/>
        <n x="4" s="1"/>
        <n x="104"/>
        <n x="92"/>
        <n x="52"/>
      </t>
    </mdx>
    <mdx n="0" f="v">
      <t c="8">
        <n x="1" s="1"/>
        <n x="2" s="1"/>
        <n x="5" s="1"/>
        <n x="3" s="1"/>
        <n x="4" s="1"/>
        <n x="104"/>
        <n x="101"/>
        <n x="19"/>
      </t>
    </mdx>
    <mdx n="0" f="v">
      <t c="8">
        <n x="1" s="1"/>
        <n x="2" s="1"/>
        <n x="5" s="1"/>
        <n x="3" s="1"/>
        <n x="4" s="1"/>
        <n x="104"/>
        <n x="101"/>
        <n x="20"/>
      </t>
    </mdx>
    <mdx n="0" f="v">
      <t c="8">
        <n x="1" s="1"/>
        <n x="2" s="1"/>
        <n x="5" s="1"/>
        <n x="3" s="1"/>
        <n x="4" s="1"/>
        <n x="104"/>
        <n x="101"/>
        <n x="33"/>
      </t>
    </mdx>
    <mdx n="0" f="v">
      <t c="8">
        <n x="1" s="1"/>
        <n x="2" s="1"/>
        <n x="5" s="1"/>
        <n x="3" s="1"/>
        <n x="4" s="1"/>
        <n x="104"/>
        <n x="114"/>
        <n x="93"/>
      </t>
    </mdx>
    <mdx n="0" f="v">
      <t c="8">
        <n x="1" s="1"/>
        <n x="2" s="1"/>
        <n x="5" s="1"/>
        <n x="3" s="1"/>
        <n x="4" s="1"/>
        <n x="104"/>
        <n x="114"/>
        <n x="162"/>
      </t>
    </mdx>
    <mdx n="0" f="v">
      <t c="8">
        <n x="1" s="1"/>
        <n x="2" s="1"/>
        <n x="5" s="1"/>
        <n x="3" s="1"/>
        <n x="4" s="1"/>
        <n x="104"/>
        <n x="114"/>
        <n x="87"/>
      </t>
    </mdx>
    <mdx n="0" f="v">
      <t c="8">
        <n x="1" s="1"/>
        <n x="2" s="1"/>
        <n x="5" s="1"/>
        <n x="3" s="1"/>
        <n x="4" s="1"/>
        <n x="104"/>
        <n x="118"/>
        <n x="63"/>
      </t>
    </mdx>
    <mdx n="0" f="v">
      <t c="8">
        <n x="1" s="1"/>
        <n x="2" s="1"/>
        <n x="5" s="1"/>
        <n x="3" s="1"/>
        <n x="4" s="1"/>
        <n x="104"/>
        <n x="118"/>
        <n x="154"/>
      </t>
    </mdx>
    <mdx n="0" f="v">
      <t c="8">
        <n x="1" s="1"/>
        <n x="2" s="1"/>
        <n x="5" s="1"/>
        <n x="3" s="1"/>
        <n x="4" s="1"/>
        <n x="104"/>
        <n x="118"/>
        <n x="127"/>
      </t>
    </mdx>
    <mdx n="0" f="v">
      <t c="8">
        <n x="1" s="1"/>
        <n x="2" s="1"/>
        <n x="5" s="1"/>
        <n x="3" s="1"/>
        <n x="4" s="1"/>
        <n x="104"/>
        <n x="121"/>
        <n x="128"/>
      </t>
    </mdx>
    <mdx n="0" f="v">
      <t c="8">
        <n x="1" s="1"/>
        <n x="2" s="1"/>
        <n x="5" s="1"/>
        <n x="3" s="1"/>
        <n x="4" s="1"/>
        <n x="104"/>
        <n x="12"/>
        <n x="108"/>
      </t>
    </mdx>
    <mdx n="0" f="v">
      <t c="8">
        <n x="1" s="1"/>
        <n x="2" s="1"/>
        <n x="5" s="1"/>
        <n x="3" s="1"/>
        <n x="4" s="1"/>
        <n x="104"/>
        <n x="12"/>
        <n x="94"/>
      </t>
    </mdx>
    <mdx n="0" f="v">
      <t c="8">
        <n x="1" s="1"/>
        <n x="2" s="1"/>
        <n x="5" s="1"/>
        <n x="3" s="1"/>
        <n x="4" s="1"/>
        <n x="104"/>
        <n x="12"/>
        <n x="54"/>
      </t>
    </mdx>
    <mdx n="0" f="v">
      <t c="8">
        <n x="1" s="1"/>
        <n x="2" s="1"/>
        <n x="5" s="1"/>
        <n x="3" s="1"/>
        <n x="4" s="1"/>
        <n x="104"/>
        <n x="50"/>
        <n x="147"/>
      </t>
    </mdx>
    <mdx n="0" f="v">
      <t c="8">
        <n x="1" s="1"/>
        <n x="2" s="1"/>
        <n x="5" s="1"/>
        <n x="3" s="1"/>
        <n x="4" s="1"/>
        <n x="104"/>
        <n x="24"/>
        <n x="29"/>
      </t>
    </mdx>
    <mdx n="0" f="v">
      <t c="8">
        <n x="1" s="1"/>
        <n x="2" s="1"/>
        <n x="5" s="1"/>
        <n x="3" s="1"/>
        <n x="4" s="1"/>
        <n x="104"/>
        <n x="123"/>
        <n x="116"/>
      </t>
    </mdx>
    <mdx n="0" f="v">
      <t c="8">
        <n x="1" s="1"/>
        <n x="2" s="1"/>
        <n x="5" s="1"/>
        <n x="3" s="1"/>
        <n x="4" s="1"/>
        <n x="104"/>
        <n x="157"/>
        <n x="29"/>
      </t>
    </mdx>
    <mdx n="0" f="v">
      <t c="8">
        <n x="1" s="1"/>
        <n x="2" s="1"/>
        <n x="5" s="1"/>
        <n x="3" s="1"/>
        <n x="4" s="1"/>
        <n x="104"/>
        <n x="18"/>
        <n x="20"/>
      </t>
    </mdx>
    <mdx n="0" f="v">
      <t c="8">
        <n x="1" s="1"/>
        <n x="2" s="1"/>
        <n x="5" s="1"/>
        <n x="3" s="1"/>
        <n x="4" s="1"/>
        <n x="104"/>
        <n x="73"/>
        <n x="14"/>
      </t>
    </mdx>
    <mdx n="0" f="v">
      <t c="8">
        <n x="1" s="1"/>
        <n x="2" s="1"/>
        <n x="5" s="1"/>
        <n x="3" s="1"/>
        <n x="4" s="1"/>
        <n x="104"/>
        <n x="82"/>
        <n x="108"/>
      </t>
    </mdx>
    <mdx n="0" f="v">
      <t c="8">
        <n x="1" s="1"/>
        <n x="2" s="1"/>
        <n x="5" s="1"/>
        <n x="3" s="1"/>
        <n x="4" s="1"/>
        <n x="104"/>
        <n x="91"/>
        <n x="164" s="1"/>
      </t>
    </mdx>
    <mdx n="0" f="v">
      <t c="8">
        <n x="1" s="1"/>
        <n x="2" s="1"/>
        <n x="5" s="1"/>
        <n x="3" s="1"/>
        <n x="4" s="1"/>
        <n x="104"/>
        <n x="91"/>
        <n x="141"/>
      </t>
    </mdx>
    <mdx n="0" f="v">
      <t c="8">
        <n x="1" s="1"/>
        <n x="2" s="1"/>
        <n x="5" s="1"/>
        <n x="3" s="1"/>
        <n x="4" s="1"/>
        <n x="104"/>
        <n x="100"/>
        <n x="109"/>
      </t>
    </mdx>
    <mdx n="0" f="v">
      <t c="8">
        <n x="1" s="1"/>
        <n x="2" s="1"/>
        <n x="5" s="1"/>
        <n x="3" s="1"/>
        <n x="4" s="1"/>
        <n x="104"/>
        <n x="100"/>
        <n x="52"/>
      </t>
    </mdx>
    <mdx n="0" f="v">
      <t c="8">
        <n x="1" s="1"/>
        <n x="2" s="1"/>
        <n x="5" s="1"/>
        <n x="3" s="1"/>
        <n x="4" s="1"/>
        <n x="104"/>
        <n x="40"/>
        <n x="154"/>
      </t>
    </mdx>
    <mdx n="0" f="v">
      <t c="8">
        <n x="1" s="1"/>
        <n x="2" s="1"/>
        <n x="5" s="1"/>
        <n x="3" s="1"/>
        <n x="4" s="1"/>
        <n x="104"/>
        <n x="40"/>
        <n x="155"/>
      </t>
    </mdx>
    <mdx n="0" f="v">
      <t c="8">
        <n x="1" s="1"/>
        <n x="2" s="1"/>
        <n x="5" s="1"/>
        <n x="3" s="1"/>
        <n x="4" s="1"/>
        <n x="104"/>
        <n x="113"/>
        <n x="43"/>
      </t>
    </mdx>
    <mdx n="0" f="v">
      <t c="8">
        <n x="1" s="1"/>
        <n x="2" s="1"/>
        <n x="5" s="1"/>
        <n x="3" s="1"/>
        <n x="4" s="1"/>
        <n x="104"/>
        <n x="113"/>
        <n x="87"/>
      </t>
    </mdx>
    <mdx n="0" f="v">
      <t c="8">
        <n x="1" s="1"/>
        <n x="2" s="1"/>
        <n x="5" s="1"/>
        <n x="3" s="1"/>
        <n x="4" s="1"/>
        <n x="104"/>
        <n x="131"/>
        <n x="19"/>
      </t>
    </mdx>
    <mdx n="0" f="v">
      <t c="8">
        <n x="1" s="1"/>
        <n x="2" s="1"/>
        <n x="5" s="1"/>
        <n x="3" s="1"/>
        <n x="4" s="1"/>
        <n x="104"/>
        <n x="131"/>
        <n x="119"/>
      </t>
    </mdx>
    <mdx n="0" f="v">
      <t c="8">
        <n x="1" s="1"/>
        <n x="2" s="1"/>
        <n x="5" s="1"/>
        <n x="3" s="1"/>
        <n x="4" s="1"/>
        <n x="104"/>
        <n x="134"/>
        <n x="84"/>
      </t>
    </mdx>
    <mdx n="0" f="v">
      <t c="8">
        <n x="1" s="1"/>
        <n x="2" s="1"/>
        <n x="5" s="1"/>
        <n x="3" s="1"/>
        <n x="4" s="1"/>
        <n x="104"/>
        <n x="134"/>
        <n x="94"/>
      </t>
    </mdx>
    <mdx n="0" f="v">
      <t c="8">
        <n x="1" s="1"/>
        <n x="2" s="1"/>
        <n x="5" s="1"/>
        <n x="3" s="1"/>
        <n x="4" s="1"/>
        <n x="104"/>
        <n x="140"/>
        <n x="56"/>
      </t>
    </mdx>
    <mdx n="0" f="v">
      <t c="8">
        <n x="1" s="1"/>
        <n x="2" s="1"/>
        <n x="5" s="1"/>
        <n x="3" s="1"/>
        <n x="4" s="1"/>
        <n x="104"/>
        <n x="140"/>
        <n x="14"/>
      </t>
    </mdx>
    <mdx n="0" f="v">
      <t c="8">
        <n x="1" s="1"/>
        <n x="2" s="1"/>
        <n x="5" s="1"/>
        <n x="3" s="1"/>
        <n x="4" s="1"/>
        <n x="104"/>
        <n x="140"/>
        <n x="155"/>
      </t>
    </mdx>
    <mdx n="0" f="v">
      <t c="8">
        <n x="1" s="1"/>
        <n x="2" s="1"/>
        <n x="5" s="1"/>
        <n x="3" s="1"/>
        <n x="4" s="1"/>
        <n x="104"/>
        <n x="145"/>
        <n x="115"/>
      </t>
    </mdx>
    <mdx n="0" f="v">
      <t c="8">
        <n x="1" s="1"/>
        <n x="2" s="1"/>
        <n x="5" s="1"/>
        <n x="3" s="1"/>
        <n x="4" s="1"/>
        <n x="104"/>
        <n x="145"/>
        <n x="103"/>
      </t>
    </mdx>
    <mdx n="0" f="v">
      <t c="8">
        <n x="1" s="1"/>
        <n x="2" s="1"/>
        <n x="5" s="1"/>
        <n x="3" s="1"/>
        <n x="4" s="1"/>
        <n x="104"/>
        <n x="129"/>
        <n x="164" s="1"/>
      </t>
    </mdx>
    <mdx n="0" f="v">
      <t c="8">
        <n x="1" s="1"/>
        <n x="2" s="1"/>
        <n x="5" s="1"/>
        <n x="3" s="1"/>
        <n x="4" s="1"/>
        <n x="104"/>
        <n x="129"/>
        <n x="154"/>
      </t>
    </mdx>
    <mdx n="0" f="v">
      <t c="8">
        <n x="1" s="1"/>
        <n x="2" s="1"/>
        <n x="5" s="1"/>
        <n x="3" s="1"/>
        <n x="4" s="1"/>
        <n x="104"/>
        <n x="129"/>
        <n x="15"/>
      </t>
    </mdx>
    <mdx n="0" f="v">
      <t c="8">
        <n x="1" s="1"/>
        <n x="2" s="1"/>
        <n x="5" s="1"/>
        <n x="3" s="1"/>
        <n x="4" s="1"/>
        <n x="104"/>
        <n x="11"/>
        <n x="13"/>
      </t>
    </mdx>
    <mdx n="0" f="v">
      <t c="8">
        <n x="1" s="1"/>
        <n x="2" s="1"/>
        <n x="5" s="1"/>
        <n x="3" s="1"/>
        <n x="4" s="1"/>
        <n x="104"/>
        <n x="11"/>
        <n x="58"/>
      </t>
    </mdx>
    <mdx n="0" f="v">
      <t c="8">
        <n x="1" s="1"/>
        <n x="2" s="1"/>
        <n x="5" s="1"/>
        <n x="3" s="1"/>
        <n x="4" s="1"/>
        <n x="104"/>
        <n x="11"/>
        <n x="45"/>
      </t>
    </mdx>
    <mdx n="0" f="v">
      <t c="8">
        <n x="1" s="1"/>
        <n x="2" s="1"/>
        <n x="5" s="1"/>
        <n x="3" s="1"/>
        <n x="4" s="1"/>
        <n x="104"/>
        <n x="26"/>
        <n x="109"/>
      </t>
    </mdx>
    <mdx n="0" f="v">
      <t c="8">
        <n x="1" s="1"/>
        <n x="2" s="1"/>
        <n x="5" s="1"/>
        <n x="3" s="1"/>
        <n x="4" s="1"/>
        <n x="104"/>
        <n x="26"/>
        <n x="116"/>
      </t>
    </mdx>
    <mdx n="0" f="v">
      <t c="8">
        <n x="1" s="1"/>
        <n x="2" s="1"/>
        <n x="5" s="1"/>
        <n x="3" s="1"/>
        <n x="4" s="1"/>
        <n x="104"/>
        <n x="26"/>
        <n x="95"/>
      </t>
    </mdx>
    <mdx n="0" f="v">
      <t c="8">
        <n x="1" s="1"/>
        <n x="2" s="1"/>
        <n x="5" s="1"/>
        <n x="3" s="1"/>
        <n x="4" s="1"/>
        <n x="104"/>
        <n x="35"/>
        <n x="147"/>
      </t>
    </mdx>
    <mdx n="0" f="v">
      <t c="8">
        <n x="1" s="1"/>
        <n x="2" s="1"/>
        <n x="5" s="1"/>
        <n x="3" s="1"/>
        <n x="4" s="1"/>
        <n x="104"/>
        <n x="35"/>
        <n x="127"/>
      </t>
    </mdx>
    <mdx n="0" f="v">
      <t c="8">
        <n x="1" s="1"/>
        <n x="2" s="1"/>
        <n x="5" s="1"/>
        <n x="3" s="1"/>
        <n x="4" s="1"/>
        <n x="104"/>
        <n x="152"/>
        <n x="62"/>
      </t>
    </mdx>
    <mdx n="0" f="v">
      <t c="8">
        <n x="1" s="1"/>
        <n x="2" s="1"/>
        <n x="5" s="1"/>
        <n x="3" s="1"/>
        <n x="4" s="1"/>
        <n x="104"/>
        <n x="152"/>
        <n x="48"/>
      </t>
    </mdx>
    <mdx n="0" f="v">
      <t c="8">
        <n x="1" s="1"/>
        <n x="2" s="1"/>
        <n x="5" s="1"/>
        <n x="3" s="1"/>
        <n x="4" s="1"/>
        <n x="104"/>
        <n x="152"/>
        <n x="148"/>
      </t>
    </mdx>
    <mdx n="0" f="v">
      <t c="8">
        <n x="1" s="1"/>
        <n x="2" s="1"/>
        <n x="5" s="1"/>
        <n x="3" s="1"/>
        <n x="4" s="1"/>
        <n x="104"/>
        <n x="47"/>
        <n x="62"/>
      </t>
    </mdx>
    <mdx n="0" f="v">
      <t c="8">
        <n x="1" s="1"/>
        <n x="2" s="1"/>
        <n x="5" s="1"/>
        <n x="3" s="1"/>
        <n x="4" s="1"/>
        <n x="104"/>
        <n x="47"/>
        <n x="59"/>
      </t>
    </mdx>
    <mdx n="0" f="v">
      <t c="8">
        <n x="1" s="1"/>
        <n x="2" s="1"/>
        <n x="5" s="1"/>
        <n x="3" s="1"/>
        <n x="4" s="1"/>
        <n x="104"/>
        <n x="47"/>
        <n x="122"/>
      </t>
    </mdx>
    <mdx n="0" f="v">
      <t c="8">
        <n x="1" s="1"/>
        <n x="2" s="1"/>
        <n x="5" s="1"/>
        <n x="3" s="1"/>
        <n x="4" s="1"/>
        <n x="104"/>
        <n x="47"/>
        <n x="95"/>
      </t>
    </mdx>
    <mdx n="0" f="v">
      <t c="8">
        <n x="1" s="1"/>
        <n x="2" s="1"/>
        <n x="5" s="1"/>
        <n x="3" s="1"/>
        <n x="4" s="1"/>
        <n x="104"/>
        <n x="51"/>
        <n x="43"/>
      </t>
    </mdx>
    <mdx n="0" f="v">
      <t c="8">
        <n x="1" s="1"/>
        <n x="2" s="1"/>
        <n x="5" s="1"/>
        <n x="3" s="1"/>
        <n x="4" s="1"/>
        <n x="104"/>
        <n x="51"/>
        <n x="44"/>
      </t>
    </mdx>
    <mdx n="0" f="v">
      <t c="8">
        <n x="1" s="1"/>
        <n x="2" s="1"/>
        <n x="5" s="1"/>
        <n x="3" s="1"/>
        <n x="4" s="1"/>
        <n x="104"/>
        <n x="51"/>
        <n x="45"/>
      </t>
    </mdx>
    <mdx n="0" f="v">
      <t c="8">
        <n x="1" s="1"/>
        <n x="2" s="1"/>
        <n x="5" s="1"/>
        <n x="3" s="1"/>
        <n x="4" s="1"/>
        <n x="104"/>
        <n x="53"/>
        <n x="107"/>
      </t>
    </mdx>
    <mdx n="0" f="v">
      <t c="8">
        <n x="1" s="1"/>
        <n x="2" s="1"/>
        <n x="5" s="1"/>
        <n x="3" s="1"/>
        <n x="4" s="1"/>
        <n x="104"/>
        <n x="53"/>
        <n x="85"/>
      </t>
    </mdx>
    <mdx n="0" f="v">
      <t c="8">
        <n x="1" s="1"/>
        <n x="2" s="1"/>
        <n x="5" s="1"/>
        <n x="3" s="1"/>
        <n x="4" s="1"/>
        <n x="104"/>
        <n x="53"/>
        <n x="52"/>
      </t>
    </mdx>
    <mdx n="0" f="v">
      <t c="8">
        <n x="1" s="1"/>
        <n x="2" s="1"/>
        <n x="5" s="1"/>
        <n x="3" s="1"/>
        <n x="4" s="1"/>
        <n x="104"/>
        <n x="55"/>
        <n x="19"/>
      </t>
    </mdx>
    <mdx n="0" f="v">
      <t c="8">
        <n x="1" s="1"/>
        <n x="2" s="1"/>
        <n x="5" s="1"/>
        <n x="3" s="1"/>
        <n x="4" s="1"/>
        <n x="104"/>
        <n x="55"/>
        <n x="20"/>
      </t>
    </mdx>
    <mdx n="0" f="v">
      <t c="8">
        <n x="1" s="1"/>
        <n x="2" s="1"/>
        <n x="5" s="1"/>
        <n x="3" s="1"/>
        <n x="4" s="1"/>
        <n x="104"/>
        <n x="55"/>
        <n x="33"/>
      </t>
    </mdx>
    <mdx n="0" f="v">
      <t c="8">
        <n x="1" s="1"/>
        <n x="2" s="1"/>
        <n x="5" s="1"/>
        <n x="3" s="1"/>
        <n x="4" s="1"/>
        <n x="104"/>
        <n x="41"/>
        <n x="93"/>
      </t>
    </mdx>
    <mdx n="0" f="v">
      <t c="8">
        <n x="1" s="1"/>
        <n x="2" s="1"/>
        <n x="5" s="1"/>
        <n x="3" s="1"/>
        <n x="4" s="1"/>
        <n x="104"/>
        <n x="41"/>
        <n x="162"/>
      </t>
    </mdx>
    <mdx n="0" f="v">
      <t c="8">
        <n x="1" s="1"/>
        <n x="2" s="1"/>
        <n x="5" s="1"/>
        <n x="3" s="1"/>
        <n x="4" s="1"/>
        <n x="104"/>
        <n x="41"/>
        <n x="87"/>
      </t>
    </mdx>
    <mdx n="0" f="v">
      <t c="8">
        <n x="1" s="1"/>
        <n x="2" s="1"/>
        <n x="5" s="1"/>
        <n x="3" s="1"/>
        <n x="4" s="1"/>
        <n x="104"/>
        <n x="74"/>
        <n x="63"/>
      </t>
    </mdx>
    <mdx n="0" f="v">
      <t c="8">
        <n x="1" s="1"/>
        <n x="2" s="1"/>
        <n x="5" s="1"/>
        <n x="3" s="1"/>
        <n x="4" s="1"/>
        <n x="104"/>
        <n x="74"/>
        <n x="154"/>
      </t>
    </mdx>
    <mdx n="0" f="v">
      <t c="8">
        <n x="1" s="1"/>
        <n x="2" s="1"/>
        <n x="5" s="1"/>
        <n x="3" s="1"/>
        <n x="4" s="1"/>
        <n x="104"/>
        <n x="74"/>
        <n x="127"/>
      </t>
    </mdx>
    <mdx n="0" f="v">
      <t c="8">
        <n x="1" s="1"/>
        <n x="2" s="1"/>
        <n x="5" s="1"/>
        <n x="3" s="1"/>
        <n x="4" s="1"/>
        <n x="104"/>
        <n x="83"/>
        <n x="164" s="1"/>
      </t>
    </mdx>
    <mdx n="0" f="v">
      <t c="8">
        <n x="1" s="1"/>
        <n x="2" s="1"/>
        <n x="5" s="1"/>
        <n x="3" s="1"/>
        <n x="4" s="1"/>
        <n x="104"/>
        <n x="83"/>
        <n x="128"/>
      </t>
    </mdx>
    <mdx n="0" f="v">
      <t c="8">
        <n x="1" s="1"/>
        <n x="2" s="1"/>
        <n x="5" s="1"/>
        <n x="3" s="1"/>
        <n x="4" s="1"/>
        <n x="104"/>
        <n x="83"/>
        <n x="116"/>
      </t>
    </mdx>
    <mdx n="0" f="v">
      <t c="8">
        <n x="1" s="1"/>
        <n x="2" s="1"/>
        <n x="5" s="1"/>
        <n x="3" s="1"/>
        <n x="4" s="1"/>
        <n x="104"/>
        <n x="83"/>
        <n x="77"/>
      </t>
    </mdx>
    <mdx n="0" f="v">
      <t c="8">
        <n x="1" s="1"/>
        <n x="2" s="1"/>
        <n x="5" s="1"/>
        <n x="3" s="1"/>
        <n x="4" s="1"/>
        <n x="104"/>
        <n x="92"/>
        <n x="108"/>
      </t>
    </mdx>
    <mdx n="0" f="v">
      <t c="8">
        <n x="1" s="1"/>
        <n x="2" s="1"/>
        <n x="5" s="1"/>
        <n x="3" s="1"/>
        <n x="4" s="1"/>
        <n x="104"/>
        <n x="92"/>
        <n x="94"/>
      </t>
    </mdx>
    <mdx n="0" f="v">
      <t c="8">
        <n x="1" s="1"/>
        <n x="2" s="1"/>
        <n x="5" s="1"/>
        <n x="3" s="1"/>
        <n x="4" s="1"/>
        <n x="104"/>
        <n x="92"/>
        <n x="54"/>
      </t>
    </mdx>
    <mdx n="0" f="v">
      <t c="8">
        <n x="1" s="1"/>
        <n x="2" s="1"/>
        <n x="5" s="1"/>
        <n x="3" s="1"/>
        <n x="4" s="1"/>
        <n x="104"/>
        <n x="101"/>
        <n x="102"/>
      </t>
    </mdx>
    <mdx n="0" f="v">
      <t c="8">
        <n x="1" s="1"/>
        <n x="2" s="1"/>
        <n x="5" s="1"/>
        <n x="3" s="1"/>
        <n x="4" s="1"/>
        <n x="104"/>
        <n x="101"/>
        <n x="58"/>
      </t>
    </mdx>
    <mdx n="0" f="v">
      <t c="8">
        <n x="1" s="1"/>
        <n x="2" s="1"/>
        <n x="5" s="1"/>
        <n x="3" s="1"/>
        <n x="4" s="1"/>
        <n x="104"/>
        <n x="101"/>
        <n x="155"/>
      </t>
    </mdx>
    <mdx n="0" f="v">
      <t c="8">
        <n x="1" s="1"/>
        <n x="2" s="1"/>
        <n x="5" s="1"/>
        <n x="3" s="1"/>
        <n x="4" s="1"/>
        <n x="104"/>
        <n x="114"/>
        <n x="13"/>
      </t>
    </mdx>
    <mdx n="0" f="v">
      <t c="8">
        <n x="1" s="1"/>
        <n x="2" s="1"/>
        <n x="5" s="1"/>
        <n x="3" s="1"/>
        <n x="4" s="1"/>
        <n x="104"/>
        <n x="114"/>
        <n x="14"/>
      </t>
    </mdx>
    <mdx n="0" f="v">
      <t c="8">
        <n x="1" s="1"/>
        <n x="2" s="1"/>
        <n x="5" s="1"/>
        <n x="3" s="1"/>
        <n x="4" s="1"/>
        <n x="104"/>
        <n x="50"/>
        <n x="16"/>
      </t>
    </mdx>
    <mdx n="0" f="v">
      <t c="8">
        <n x="1" s="1"/>
        <n x="2" s="1"/>
        <n x="5" s="1"/>
        <n x="3" s="1"/>
        <n x="4" s="1"/>
        <n x="104"/>
        <n x="24"/>
        <n x="49"/>
      </t>
    </mdx>
    <mdx n="0" f="v">
      <t c="8">
        <n x="1" s="1"/>
        <n x="2" s="1"/>
        <n x="5" s="1"/>
        <n x="3" s="1"/>
        <n x="4" s="1"/>
        <n x="104"/>
        <n x="39"/>
        <n x="164" s="1"/>
      </t>
    </mdx>
    <mdx n="0" f="v">
      <t c="8">
        <n x="1" s="1"/>
        <n x="2" s="1"/>
        <n x="5" s="1"/>
        <n x="3" s="1"/>
        <n x="4" s="1"/>
        <n x="104"/>
        <n x="157"/>
        <n x="16"/>
      </t>
    </mdx>
    <mdx n="0" f="v">
      <t c="8">
        <n x="1" s="1"/>
        <n x="2" s="1"/>
        <n x="5" s="1"/>
        <n x="3" s="1"/>
        <n x="4" s="1"/>
        <n x="104"/>
        <n x="18"/>
        <n x="33"/>
      </t>
    </mdx>
    <mdx n="0" f="v">
      <t c="8">
        <n x="1" s="1"/>
        <n x="2" s="1"/>
        <n x="5" s="1"/>
        <n x="3" s="1"/>
        <n x="4" s="1"/>
        <n x="104"/>
        <n x="73"/>
        <n x="44"/>
      </t>
    </mdx>
    <mdx n="0" f="v">
      <t c="8">
        <n x="1" s="1"/>
        <n x="2" s="1"/>
        <n x="5" s="1"/>
        <n x="3" s="1"/>
        <n x="4" s="1"/>
        <n x="104"/>
        <n x="82"/>
        <n x="128"/>
      </t>
    </mdx>
    <mdx n="0" f="v">
      <t c="8">
        <n x="1" s="1"/>
        <n x="2" s="1"/>
        <n x="5" s="1"/>
        <n x="3" s="1"/>
        <n x="4" s="1"/>
        <n x="104"/>
        <n x="91"/>
        <n x="56"/>
      </t>
    </mdx>
    <mdx n="0" f="v">
      <t c="8">
        <n x="1" s="1"/>
        <n x="2" s="1"/>
        <n x="5" s="1"/>
        <n x="3" s="1"/>
        <n x="4" s="1"/>
        <n x="104"/>
        <n x="91"/>
        <n x="148"/>
      </t>
    </mdx>
    <mdx n="0" f="v">
      <t c="8">
        <n x="1" s="1"/>
        <n x="2" s="1"/>
        <n x="5" s="1"/>
        <n x="3" s="1"/>
        <n x="4" s="1"/>
        <n x="104"/>
        <n x="100"/>
        <n x="147"/>
      </t>
    </mdx>
    <mdx n="0" f="v">
      <t c="8">
        <n x="1" s="1"/>
        <n x="2" s="1"/>
        <n x="5" s="1"/>
        <n x="3" s="1"/>
        <n x="4" s="1"/>
        <n x="104"/>
        <n x="100"/>
        <n x="54"/>
      </t>
    </mdx>
    <mdx n="0" f="v">
      <t c="8">
        <n x="1" s="1"/>
        <n x="2" s="1"/>
        <n x="5" s="1"/>
        <n x="3" s="1"/>
        <n x="4" s="1"/>
        <n x="104"/>
        <n x="40"/>
        <n x="48"/>
      </t>
    </mdx>
    <mdx n="0" f="v">
      <t c="8">
        <n x="1" s="1"/>
        <n x="2" s="1"/>
        <n x="5" s="1"/>
        <n x="3" s="1"/>
        <n x="4" s="1"/>
        <n x="104"/>
        <n x="40"/>
        <n x="49"/>
      </t>
    </mdx>
    <mdx n="0" f="v">
      <t c="8">
        <n x="1" s="1"/>
        <n x="2" s="1"/>
        <n x="5" s="1"/>
        <n x="3" s="1"/>
        <n x="4" s="1"/>
        <n x="104"/>
        <n x="113"/>
        <n x="128"/>
      </t>
    </mdx>
    <mdx n="0" f="v">
      <t c="8">
        <n x="1" s="1"/>
        <n x="2" s="1"/>
        <n x="5" s="1"/>
        <n x="3" s="1"/>
        <n x="4" s="1"/>
        <n x="104"/>
        <n x="113"/>
        <n x="15"/>
      </t>
    </mdx>
    <mdx n="0" f="v">
      <t c="8">
        <n x="1" s="1"/>
        <n x="2" s="1"/>
        <n x="5" s="1"/>
        <n x="3" s="1"/>
        <n x="4" s="1"/>
        <n x="104"/>
        <n x="131"/>
        <n x="107"/>
      </t>
    </mdx>
    <mdx n="0" f="v">
      <t c="8">
        <n x="1" s="1"/>
        <n x="2" s="1"/>
        <n x="5" s="1"/>
        <n x="3" s="1"/>
        <n x="4" s="1"/>
        <n x="104"/>
        <n x="131"/>
        <n x="127"/>
      </t>
    </mdx>
    <mdx n="0" f="v">
      <t c="8">
        <n x="1" s="1"/>
        <n x="2" s="1"/>
        <n x="5" s="1"/>
        <n x="3" s="1"/>
        <n x="4" s="1"/>
        <n x="104"/>
        <n x="134"/>
        <n x="93"/>
      </t>
    </mdx>
    <mdx n="0" f="v">
      <t c="8">
        <n x="1" s="1"/>
        <n x="2" s="1"/>
        <n x="5" s="1"/>
        <n x="3" s="1"/>
        <n x="4" s="1"/>
        <n x="104"/>
        <n x="134"/>
        <n x="103"/>
      </t>
    </mdx>
    <mdx n="0" f="v">
      <t c="8">
        <n x="1" s="1"/>
        <n x="2" s="1"/>
        <n x="5" s="1"/>
        <n x="3" s="1"/>
        <n x="4" s="1"/>
        <n x="104"/>
        <n x="140"/>
        <n x="62"/>
      </t>
    </mdx>
    <mdx n="0" f="v">
      <t c="8">
        <n x="1" s="1"/>
        <n x="2" s="1"/>
        <n x="5" s="1"/>
        <n x="3" s="1"/>
        <n x="4" s="1"/>
        <n x="104"/>
        <n x="140"/>
        <n x="29"/>
      </t>
    </mdx>
    <mdx n="0" f="v">
      <t c="8">
        <n x="1" s="1"/>
        <n x="2" s="1"/>
        <n x="5" s="1"/>
        <n x="3" s="1"/>
        <n x="4" s="1"/>
        <n x="104"/>
        <n x="140"/>
        <n x="49"/>
      </t>
    </mdx>
    <mdx n="0" f="v">
      <t c="8">
        <n x="1" s="1"/>
        <n x="2" s="1"/>
        <n x="5" s="1"/>
        <n x="3" s="1"/>
        <n x="4" s="1"/>
        <n x="104"/>
        <n x="145"/>
        <n x="107"/>
      </t>
    </mdx>
    <mdx n="0" f="v">
      <t c="8">
        <n x="1" s="1"/>
        <n x="2" s="1"/>
        <n x="5" s="1"/>
        <n x="3" s="1"/>
        <n x="4" s="1"/>
        <n x="104"/>
        <n x="145"/>
        <n x="44"/>
      </t>
    </mdx>
    <mdx n="0" f="v">
      <t c="8">
        <n x="1" s="1"/>
        <n x="2" s="1"/>
        <n x="5" s="1"/>
        <n x="3" s="1"/>
        <n x="4" s="1"/>
        <n x="104"/>
        <n x="129"/>
        <n x="56"/>
      </t>
    </mdx>
    <mdx n="0" f="v">
      <t c="8">
        <n x="1" s="1"/>
        <n x="2" s="1"/>
        <n x="5" s="1"/>
        <n x="3" s="1"/>
        <n x="4" s="1"/>
        <n x="104"/>
        <n x="129"/>
        <n x="48"/>
      </t>
    </mdx>
    <mdx n="0" f="v">
      <t c="8">
        <n x="1" s="1"/>
        <n x="2" s="1"/>
        <n x="5" s="1"/>
        <n x="3" s="1"/>
        <n x="4" s="1"/>
        <n x="104"/>
        <n x="129"/>
        <n x="16"/>
      </t>
    </mdx>
    <mdx n="0" f="v">
      <t c="8">
        <n x="1" s="1"/>
        <n x="2" s="1"/>
        <n x="5" s="1"/>
        <n x="3" s="1"/>
        <n x="4" s="1"/>
        <n x="104"/>
        <n x="11"/>
        <n x="28"/>
      </t>
    </mdx>
    <mdx n="0" f="v">
      <t c="8">
        <n x="1" s="1"/>
        <n x="2" s="1"/>
        <n x="5" s="1"/>
        <n x="3" s="1"/>
        <n x="4" s="1"/>
        <n x="104"/>
        <n x="11"/>
        <n x="94"/>
      </t>
    </mdx>
    <mdx n="0" f="v">
      <t c="8">
        <n x="1" s="1"/>
        <n x="2" s="1"/>
        <n x="5" s="1"/>
        <n x="3" s="1"/>
        <n x="4" s="1"/>
        <n x="104"/>
        <n x="11"/>
        <n x="77"/>
      </t>
    </mdx>
    <mdx n="0" f="v">
      <t c="8">
        <n x="1" s="1"/>
        <n x="2" s="1"/>
        <n x="5" s="1"/>
        <n x="3" s="1"/>
        <n x="4" s="1"/>
        <n x="104"/>
        <n x="26"/>
        <n x="43"/>
      </t>
    </mdx>
    <mdx n="0" f="v">
      <t c="8">
        <n x="1" s="1"/>
        <n x="2" s="1"/>
        <n x="5" s="1"/>
        <n x="3" s="1"/>
        <n x="4" s="1"/>
        <n x="104"/>
        <n x="26"/>
        <n x="119"/>
      </t>
    </mdx>
    <mdx n="0" f="v">
      <t c="8">
        <n x="1" s="1"/>
        <n x="2" s="1"/>
        <n x="5" s="1"/>
        <n x="3" s="1"/>
        <n x="4" s="1"/>
        <n x="104"/>
        <n x="35"/>
        <n x="164" s="1"/>
      </t>
    </mdx>
    <mdx n="0" f="v">
      <t c="8">
        <n x="1" s="1"/>
        <n x="2" s="1"/>
        <n x="5" s="1"/>
        <n x="3" s="1"/>
        <n x="4" s="1"/>
        <n x="104"/>
        <n x="35"/>
        <n x="59"/>
      </t>
    </mdx>
    <mdx n="0" f="v">
      <t c="8">
        <n x="1" s="1"/>
        <n x="2" s="1"/>
        <n x="5" s="1"/>
        <n x="3" s="1"/>
        <n x="4" s="1"/>
        <n x="104"/>
        <n x="35"/>
        <n x="141"/>
      </t>
    </mdx>
    <mdx n="0" f="v">
      <t c="8">
        <n x="1" s="1"/>
        <n x="2" s="1"/>
        <n x="5" s="1"/>
        <n x="3" s="1"/>
        <n x="4" s="1"/>
        <n x="104"/>
        <n x="152"/>
        <n x="75"/>
      </t>
    </mdx>
    <mdx n="0" f="v">
      <t c="8">
        <n x="1" s="1"/>
        <n x="2" s="1"/>
        <n x="5" s="1"/>
        <n x="3" s="1"/>
        <n x="4" s="1"/>
        <n x="104"/>
        <n x="152"/>
        <n x="160"/>
      </t>
    </mdx>
    <mdx n="0" f="v">
      <t c="8">
        <n x="1" s="1"/>
        <n x="2" s="1"/>
        <n x="5" s="1"/>
        <n x="3" s="1"/>
        <n x="4" s="1"/>
        <n x="104"/>
        <n x="152"/>
        <n x="87"/>
      </t>
    </mdx>
    <mdx n="0" f="v">
      <t c="8">
        <n x="1" s="1"/>
        <n x="2" s="1"/>
        <n x="5" s="1"/>
        <n x="3" s="1"/>
        <n x="4" s="1"/>
        <n x="104"/>
        <n x="47"/>
        <n x="63"/>
      </t>
    </mdx>
    <mdx n="0" f="v">
      <t c="8">
        <n x="1" s="1"/>
        <n x="2" s="1"/>
        <n x="5" s="1"/>
        <n x="3" s="1"/>
        <n x="4" s="1"/>
        <n x="104"/>
        <n x="47"/>
        <n x="154"/>
      </t>
    </mdx>
    <mdx n="0" f="v">
      <t c="8">
        <n x="1" s="1"/>
        <n x="2" s="1"/>
        <n x="5" s="1"/>
        <n x="3" s="1"/>
        <n x="4" s="1"/>
        <n x="104"/>
        <n x="47"/>
        <n x="127"/>
      </t>
    </mdx>
    <mdx n="0" f="v">
      <t c="8">
        <n x="1" s="1"/>
        <n x="2" s="1"/>
        <n x="5" s="1"/>
        <n x="3" s="1"/>
        <n x="4" s="1"/>
        <n x="104"/>
        <n x="51"/>
        <n x="164" s="1"/>
      </t>
    </mdx>
    <mdx n="0" f="v">
      <t c="8">
        <n x="1" s="1"/>
        <n x="2" s="1"/>
        <n x="5" s="1"/>
        <n x="3" s="1"/>
        <n x="4" s="1"/>
        <n x="104"/>
        <n x="51"/>
        <n x="128"/>
      </t>
    </mdx>
    <mdx n="0" f="v">
      <t c="8">
        <n x="1" s="1"/>
        <n x="2" s="1"/>
        <n x="5" s="1"/>
        <n x="3" s="1"/>
        <n x="4" s="1"/>
        <n x="104"/>
        <n x="51"/>
        <n x="116"/>
      </t>
    </mdx>
    <mdx n="0" f="v">
      <t c="8">
        <n x="1" s="1"/>
        <n x="2" s="1"/>
        <n x="5" s="1"/>
        <n x="3" s="1"/>
        <n x="4" s="1"/>
        <n x="104"/>
        <n x="51"/>
        <n x="77"/>
      </t>
    </mdx>
    <mdx n="0" f="v">
      <t c="8">
        <n x="1" s="1"/>
        <n x="2" s="1"/>
        <n x="5" s="1"/>
        <n x="3" s="1"/>
        <n x="4" s="1"/>
        <n x="104"/>
        <n x="53"/>
        <n x="108"/>
      </t>
    </mdx>
    <mdx n="0" f="v">
      <t c="8">
        <n x="1" s="1"/>
        <n x="2" s="1"/>
        <n x="5" s="1"/>
        <n x="3" s="1"/>
        <n x="4" s="1"/>
        <n x="104"/>
        <n x="53"/>
        <n x="94"/>
      </t>
    </mdx>
    <mdx n="0" f="v">
      <t c="8">
        <n x="1" s="1"/>
        <n x="2" s="1"/>
        <n x="5" s="1"/>
        <n x="3" s="1"/>
        <n x="4" s="1"/>
        <n x="104"/>
        <n x="53"/>
        <n x="54"/>
      </t>
    </mdx>
    <mdx n="0" f="v">
      <t c="8">
        <n x="1" s="1"/>
        <n x="2" s="1"/>
        <n x="5" s="1"/>
        <n x="3" s="1"/>
        <n x="4" s="1"/>
        <n x="104"/>
        <n x="55"/>
        <n x="102"/>
      </t>
    </mdx>
    <mdx n="0" f="v">
      <t c="8">
        <n x="1" s="1"/>
        <n x="2" s="1"/>
        <n x="5" s="1"/>
        <n x="3" s="1"/>
        <n x="4" s="1"/>
        <n x="104"/>
        <n x="55"/>
        <n x="58"/>
      </t>
    </mdx>
    <mdx n="0" f="v">
      <t c="8">
        <n x="1" s="1"/>
        <n x="2" s="1"/>
        <n x="5" s="1"/>
        <n x="3" s="1"/>
        <n x="4" s="1"/>
        <n x="104"/>
        <n x="55"/>
        <n x="155"/>
      </t>
    </mdx>
    <mdx n="0" f="v">
      <t c="8">
        <n x="1" s="1"/>
        <n x="2" s="1"/>
        <n x="5" s="1"/>
        <n x="3" s="1"/>
        <n x="4" s="1"/>
        <n x="104"/>
        <n x="41"/>
        <n x="13"/>
      </t>
    </mdx>
    <mdx n="0" f="v">
      <t c="8">
        <n x="1" s="1"/>
        <n x="2" s="1"/>
        <n x="5" s="1"/>
        <n x="3" s="1"/>
        <n x="4" s="1"/>
        <n x="104"/>
        <n x="41"/>
        <n x="14"/>
      </t>
    </mdx>
    <mdx n="0" f="v">
      <t c="8">
        <n x="1" s="1"/>
        <n x="2" s="1"/>
        <n x="5" s="1"/>
        <n x="3" s="1"/>
        <n x="4" s="1"/>
        <n x="104"/>
        <n x="41"/>
        <n x="15"/>
      </t>
    </mdx>
    <mdx n="0" f="v">
      <t c="8">
        <n x="1" s="1"/>
        <n x="2" s="1"/>
        <n x="5" s="1"/>
        <n x="3" s="1"/>
        <n x="4" s="1"/>
        <n x="104"/>
        <n x="74"/>
        <n x="75"/>
      </t>
    </mdx>
    <mdx n="0" f="v">
      <t c="8">
        <n x="1" s="1"/>
        <n x="2" s="1"/>
        <n x="5" s="1"/>
        <n x="3" s="1"/>
        <n x="4" s="1"/>
        <n x="104"/>
        <n x="74"/>
        <n x="48"/>
      </t>
    </mdx>
    <mdx n="0" f="v">
      <t c="8">
        <n x="1" s="1"/>
        <n x="2" s="1"/>
        <n x="5" s="1"/>
        <n x="3" s="1"/>
        <n x="4" s="1"/>
        <n x="104"/>
        <n x="74"/>
        <n x="141"/>
      </t>
    </mdx>
    <mdx n="0" f="v">
      <t c="8">
        <n x="1" s="1"/>
        <n x="2" s="1"/>
        <n x="5" s="1"/>
        <n x="3" s="1"/>
        <n x="4" s="1"/>
        <n x="104"/>
        <n x="83"/>
        <n x="56"/>
      </t>
    </mdx>
    <mdx n="0" f="v">
      <t c="8">
        <n x="1" s="1"/>
        <n x="2" s="1"/>
        <n x="5" s="1"/>
        <n x="3" s="1"/>
        <n x="4" s="1"/>
        <n x="104"/>
        <n x="83"/>
        <n x="147"/>
      </t>
    </mdx>
    <mdx n="0" f="v">
      <t c="8">
        <n x="1" s="1"/>
        <n x="2" s="1"/>
        <n x="5" s="1"/>
        <n x="3" s="1"/>
        <n x="4" s="1"/>
        <n x="104"/>
        <n x="83"/>
        <n x="119"/>
      </t>
    </mdx>
    <mdx n="0" f="v">
      <t c="8">
        <n x="1" s="1"/>
        <n x="2" s="1"/>
        <n x="5" s="1"/>
        <n x="3" s="1"/>
        <n x="4" s="1"/>
        <n x="104"/>
        <n x="83"/>
        <n x="86"/>
      </t>
    </mdx>
    <mdx n="0" f="v">
      <t c="8">
        <n x="1" s="1"/>
        <n x="2" s="1"/>
        <n x="5" s="1"/>
        <n x="3" s="1"/>
        <n x="4" s="1"/>
        <n x="104"/>
        <n x="92"/>
        <n x="109"/>
      </t>
    </mdx>
    <mdx n="0" f="v">
      <t c="8">
        <n x="1" s="1"/>
        <n x="2" s="1"/>
        <n x="5" s="1"/>
        <n x="3" s="1"/>
        <n x="4" s="1"/>
        <n x="104"/>
        <n x="92"/>
        <n x="103"/>
      </t>
    </mdx>
    <mdx n="0" f="v">
      <t c="8">
        <n x="1" s="1"/>
        <n x="2" s="1"/>
        <n x="5" s="1"/>
        <n x="3" s="1"/>
        <n x="4" s="1"/>
        <n x="104"/>
        <n x="92"/>
        <n x="69"/>
      </t>
    </mdx>
    <mdx n="0" f="v">
      <t c="8">
        <n x="1" s="1"/>
        <n x="2" s="1"/>
        <n x="5" s="1"/>
        <n x="3" s="1"/>
        <n x="4" s="1"/>
        <n x="104"/>
        <n x="101"/>
        <n x="115"/>
      </t>
    </mdx>
    <mdx n="0" f="v">
      <t c="8">
        <n x="1" s="1"/>
        <n x="2" s="1"/>
        <n x="5" s="1"/>
        <n x="3" s="1"/>
        <n x="4" s="1"/>
        <n x="104"/>
        <n x="101"/>
        <n x="76"/>
      </t>
    </mdx>
    <mdx n="0" f="v">
      <t c="8">
        <n x="1" s="1"/>
        <n x="2" s="1"/>
        <n x="5" s="1"/>
        <n x="3" s="1"/>
        <n x="4" s="1"/>
        <n x="104"/>
        <n x="101"/>
        <n x="49"/>
      </t>
    </mdx>
    <mdx n="0" f="v">
      <t c="8">
        <n x="1" s="1"/>
        <n x="2" s="1"/>
        <n x="5" s="1"/>
        <n x="3" s="1"/>
        <n x="4" s="1"/>
        <n x="104"/>
        <n x="61"/>
        <n x="108"/>
      </t>
    </mdx>
    <mdx n="0" f="v">
      <t c="8">
        <n x="1" s="1"/>
        <n x="2" s="1"/>
        <n x="5" s="1"/>
        <n x="3" s="1"/>
        <n x="4" s="1"/>
        <n x="104"/>
        <n x="31"/>
        <n x="107"/>
      </t>
    </mdx>
    <mdx n="0" f="v">
      <t c="8">
        <n x="1" s="1"/>
        <n x="2" s="1"/>
        <n x="5" s="1"/>
        <n x="3" s="1"/>
        <n x="4" s="1"/>
        <n x="104"/>
        <n x="39"/>
        <n x="160"/>
      </t>
    </mdx>
    <mdx n="0" f="v">
      <t c="8">
        <n x="1" s="1"/>
        <n x="2" s="1"/>
        <n x="5" s="1"/>
        <n x="3" s="1"/>
        <n x="4" s="1"/>
        <n x="104"/>
        <n x="159"/>
        <n x="84"/>
      </t>
    </mdx>
    <mdx n="0" f="v">
      <t c="8">
        <n x="1" s="1"/>
        <n x="2" s="1"/>
        <n x="5" s="1"/>
        <n x="3" s="1"/>
        <n x="4" s="1"/>
        <n x="104"/>
        <n x="68"/>
        <n x="93"/>
      </t>
    </mdx>
    <mdx n="0" f="v">
      <t c="8">
        <n x="1" s="1"/>
        <n x="2" s="1"/>
        <n x="5" s="1"/>
        <n x="3" s="1"/>
        <n x="4" s="1"/>
        <n x="104"/>
        <n x="73"/>
        <n x="116"/>
      </t>
    </mdx>
    <mdx n="0" f="v">
      <t c="8">
        <n x="1" s="1"/>
        <n x="2" s="1"/>
        <n x="5" s="1"/>
        <n x="3" s="1"/>
        <n x="4" s="1"/>
        <n x="104"/>
        <n x="82"/>
        <n x="154"/>
      </t>
    </mdx>
    <mdx n="0" f="v">
      <t c="8">
        <n x="1" s="1"/>
        <n x="2" s="1"/>
        <n x="5" s="1"/>
        <n x="3" s="1"/>
        <n x="4" s="1"/>
        <n x="104"/>
        <n x="91"/>
        <n x="75"/>
      </t>
    </mdx>
    <mdx n="0" f="v">
      <t c="8">
        <n x="1" s="1"/>
        <n x="2" s="1"/>
        <n x="5" s="1"/>
        <n x="3" s="1"/>
        <n x="4" s="1"/>
        <n x="104"/>
        <n x="91"/>
        <n x="16"/>
      </t>
    </mdx>
    <mdx n="0" f="v">
      <t c="8">
        <n x="1" s="1"/>
        <n x="2" s="1"/>
        <n x="5" s="1"/>
        <n x="3" s="1"/>
        <n x="4" s="1"/>
        <n x="104"/>
        <n x="100"/>
        <n x="59"/>
      </t>
    </mdx>
    <mdx n="0" f="v">
      <t c="8">
        <n x="1" s="1"/>
        <n x="2" s="1"/>
        <n x="5" s="1"/>
        <n x="3" s="1"/>
        <n x="4" s="1"/>
        <n x="104"/>
        <n x="100"/>
        <n x="69"/>
      </t>
    </mdx>
    <mdx n="0" f="v">
      <t c="8">
        <n x="1" s="1"/>
        <n x="2" s="1"/>
        <n x="5" s="1"/>
        <n x="3" s="1"/>
        <n x="4" s="1"/>
        <n x="104"/>
        <n x="40"/>
        <n x="162"/>
      </t>
    </mdx>
    <mdx n="0" f="v">
      <t c="8">
        <n x="1" s="1"/>
        <n x="2" s="1"/>
        <n x="5" s="1"/>
        <n x="3" s="1"/>
        <n x="4" s="1"/>
        <n x="104"/>
        <n x="40"/>
        <n x="54"/>
      </t>
    </mdx>
    <mdx n="0" f="v">
      <t c="8">
        <n x="1" s="1"/>
        <n x="2" s="1"/>
        <n x="5" s="1"/>
        <n x="3" s="1"/>
        <n x="4" s="1"/>
        <n x="104"/>
        <n x="113"/>
        <n x="147"/>
      </t>
    </mdx>
    <mdx n="0" f="v">
      <t c="8">
        <n x="1" s="1"/>
        <n x="2" s="1"/>
        <n x="5" s="1"/>
        <n x="3" s="1"/>
        <n x="4" s="1"/>
        <n x="104"/>
        <n x="113"/>
        <n x="16"/>
      </t>
    </mdx>
    <mdx n="0" f="v">
      <t c="8">
        <n x="1" s="1"/>
        <n x="2" s="1"/>
        <n x="5" s="1"/>
        <n x="3" s="1"/>
        <n x="4" s="1"/>
        <n x="104"/>
        <n x="131"/>
        <n x="108"/>
      </t>
    </mdx>
    <mdx n="0" f="v">
      <t c="8">
        <n x="1" s="1"/>
        <n x="2" s="1"/>
        <n x="5" s="1"/>
        <n x="3" s="1"/>
        <n x="4" s="1"/>
        <n x="104"/>
        <n x="131"/>
        <n x="141"/>
      </t>
    </mdx>
    <mdx n="0" f="v">
      <t c="8">
        <n x="1" s="1"/>
        <n x="2" s="1"/>
        <n x="5" s="1"/>
        <n x="3" s="1"/>
        <n x="4" s="1"/>
        <n x="104"/>
        <n x="134"/>
        <n x="19"/>
      </t>
    </mdx>
    <mdx n="0" f="v">
      <t c="8">
        <n x="1" s="1"/>
        <n x="2" s="1"/>
        <n x="5" s="1"/>
        <n x="3" s="1"/>
        <n x="4" s="1"/>
        <n x="104"/>
        <n x="134"/>
        <n x="116"/>
      </t>
    </mdx>
    <mdx n="0" f="v">
      <t c="8">
        <n x="1" s="1"/>
        <n x="2" s="1"/>
        <n x="5" s="1"/>
        <n x="3" s="1"/>
        <n x="4" s="1"/>
        <n x="104"/>
        <n x="140"/>
        <n x="63"/>
      </t>
    </mdx>
    <mdx n="0" f="v">
      <t c="8">
        <n x="1" s="1"/>
        <n x="2" s="1"/>
        <n x="5" s="1"/>
        <n x="3" s="1"/>
        <n x="4" s="1"/>
        <n x="104"/>
        <n x="140"/>
        <n x="20"/>
      </t>
    </mdx>
    <mdx n="0" f="v">
      <t c="8">
        <n x="1" s="1"/>
        <n x="2" s="1"/>
        <n x="5" s="1"/>
        <n x="3" s="1"/>
        <n x="4" s="1"/>
        <n x="104"/>
        <n x="140"/>
        <n x="54"/>
      </t>
    </mdx>
    <mdx n="0" f="v">
      <t c="8">
        <n x="1" s="1"/>
        <n x="2" s="1"/>
        <n x="5" s="1"/>
        <n x="3" s="1"/>
        <n x="4" s="1"/>
        <n x="104"/>
        <n x="145"/>
        <n x="108"/>
      </t>
    </mdx>
    <mdx n="0" f="v">
      <t c="8">
        <n x="1" s="1"/>
        <n x="2" s="1"/>
        <n x="5" s="1"/>
        <n x="3" s="1"/>
        <n x="4" s="1"/>
        <n x="104"/>
        <n x="145"/>
        <n x="116"/>
      </t>
    </mdx>
    <mdx n="0" f="v">
      <t c="8">
        <n x="1" s="1"/>
        <n x="2" s="1"/>
        <n x="5" s="1"/>
        <n x="3" s="1"/>
        <n x="4" s="1"/>
        <n x="104"/>
        <n x="129"/>
        <n x="62"/>
      </t>
    </mdx>
    <mdx n="0" f="v">
      <t c="8">
        <n x="1" s="1"/>
        <n x="2" s="1"/>
        <n x="5" s="1"/>
        <n x="3" s="1"/>
        <n x="4" s="1"/>
        <n x="104"/>
        <n x="129"/>
        <n x="160"/>
      </t>
    </mdx>
    <mdx n="0" f="v">
      <t c="8">
        <n x="1" s="1"/>
        <n x="2" s="1"/>
        <n x="5" s="1"/>
        <n x="3" s="1"/>
        <n x="4" s="1"/>
        <n x="104"/>
        <n x="129"/>
        <n x="33"/>
      </t>
    </mdx>
    <mdx n="0" f="v">
      <t c="8">
        <n x="1" s="1"/>
        <n x="2" s="1"/>
        <n x="5" s="1"/>
        <n x="3" s="1"/>
        <n x="4" s="1"/>
        <n x="104"/>
        <n x="11"/>
        <n x="19"/>
      </t>
    </mdx>
    <mdx n="0" f="v">
      <t c="8">
        <n x="1" s="1"/>
        <n x="2" s="1"/>
        <n x="5" s="1"/>
        <n x="3" s="1"/>
        <n x="4" s="1"/>
        <n x="104"/>
        <n x="11"/>
        <n x="103"/>
      </t>
    </mdx>
    <mdx n="0" f="v">
      <t c="8">
        <n x="1" s="1"/>
        <n x="2" s="1"/>
        <n x="5" s="1"/>
        <n x="3" s="1"/>
        <n x="4" s="1"/>
        <n x="104"/>
        <n x="11"/>
        <n x="86"/>
      </t>
    </mdx>
    <mdx n="0" f="v">
      <t c="8">
        <n x="1" s="1"/>
        <n x="2" s="1"/>
        <n x="5" s="1"/>
        <n x="3" s="1"/>
        <n x="4" s="1"/>
        <n x="104"/>
        <n x="26"/>
        <n x="128"/>
      </t>
    </mdx>
    <mdx n="0" f="v">
      <t c="8">
        <n x="1" s="1"/>
        <n x="2" s="1"/>
        <n x="5" s="1"/>
        <n x="3" s="1"/>
        <n x="4" s="1"/>
        <n x="104"/>
        <n x="26"/>
        <n x="122"/>
      </t>
    </mdx>
    <mdx n="0" f="v">
      <t c="8">
        <n x="1" s="1"/>
        <n x="2" s="1"/>
        <n x="5" s="1"/>
        <n x="3" s="1"/>
        <n x="4" s="1"/>
        <n x="104"/>
        <n x="35"/>
        <n x="56"/>
      </t>
    </mdx>
    <mdx n="0" f="v">
      <t c="8">
        <n x="1" s="1"/>
        <n x="2" s="1"/>
        <n x="5" s="1"/>
        <n x="3" s="1"/>
        <n x="4" s="1"/>
        <n x="104"/>
        <n x="35"/>
        <n x="154"/>
      </t>
    </mdx>
    <mdx n="0" f="v">
      <t c="8">
        <n x="1" s="1"/>
        <n x="2" s="1"/>
        <n x="5" s="1"/>
        <n x="3" s="1"/>
        <n x="4" s="1"/>
        <n x="104"/>
        <n x="35"/>
        <n x="15"/>
      </t>
    </mdx>
    <mdx n="0" f="v">
      <t c="8">
        <n x="1" s="1"/>
        <n x="2" s="1"/>
        <n x="5" s="1"/>
        <n x="3" s="1"/>
        <n x="4" s="1"/>
        <n x="104"/>
        <n x="152"/>
        <n x="84"/>
      </t>
    </mdx>
    <mdx n="0" f="v">
      <t c="8">
        <n x="1" s="1"/>
        <n x="2" s="1"/>
        <n x="5" s="1"/>
        <n x="3" s="1"/>
        <n x="4" s="1"/>
        <n x="104"/>
        <n x="152"/>
        <n x="162"/>
      </t>
    </mdx>
    <mdx n="0" f="v">
      <t c="8">
        <n x="1" s="1"/>
        <n x="2" s="1"/>
        <n x="5" s="1"/>
        <n x="3" s="1"/>
        <n x="4" s="1"/>
        <n x="104"/>
        <n x="152"/>
        <n x="15"/>
      </t>
    </mdx>
    <mdx n="0" f="v">
      <t c="8">
        <n x="1" s="1"/>
        <n x="2" s="1"/>
        <n x="5" s="1"/>
        <n x="3" s="1"/>
        <n x="4" s="1"/>
        <n x="104"/>
        <n x="47"/>
        <n x="75"/>
      </t>
    </mdx>
    <mdx n="0" f="v">
      <t c="8">
        <n x="1" s="1"/>
        <n x="2" s="1"/>
        <n x="5" s="1"/>
        <n x="3" s="1"/>
        <n x="4" s="1"/>
        <n x="104"/>
        <n x="47"/>
        <n x="48"/>
      </t>
    </mdx>
    <mdx n="0" f="v">
      <t c="8">
        <n x="1" s="1"/>
        <n x="2" s="1"/>
        <n x="5" s="1"/>
        <n x="3" s="1"/>
        <n x="4" s="1"/>
        <n x="104"/>
        <n x="47"/>
        <n x="141"/>
      </t>
    </mdx>
    <mdx n="0" f="v">
      <t c="8">
        <n x="1" s="1"/>
        <n x="2" s="1"/>
        <n x="5" s="1"/>
        <n x="3" s="1"/>
        <n x="4" s="1"/>
        <n x="104"/>
        <n x="51"/>
        <n x="56"/>
      </t>
    </mdx>
    <mdx n="0" f="v">
      <t c="8">
        <n x="1" s="1"/>
        <n x="2" s="1"/>
        <n x="5" s="1"/>
        <n x="3" s="1"/>
        <n x="4" s="1"/>
        <n x="104"/>
        <n x="51"/>
        <n x="147"/>
      </t>
    </mdx>
    <mdx n="0" f="v">
      <t c="8">
        <n x="1" s="1"/>
        <n x="2" s="1"/>
        <n x="5" s="1"/>
        <n x="3" s="1"/>
        <n x="4" s="1"/>
        <n x="104"/>
        <n x="51"/>
        <n x="119"/>
      </t>
    </mdx>
    <mdx n="0" f="v">
      <t c="8">
        <n x="1" s="1"/>
        <n x="2" s="1"/>
        <n x="5" s="1"/>
        <n x="3" s="1"/>
        <n x="4" s="1"/>
        <n x="104"/>
        <n x="51"/>
        <n x="86"/>
      </t>
    </mdx>
    <mdx n="0" f="v">
      <t c="8">
        <n x="1" s="1"/>
        <n x="2" s="1"/>
        <n x="5" s="1"/>
        <n x="3" s="1"/>
        <n x="4" s="1"/>
        <n x="104"/>
        <n x="53"/>
        <n x="109"/>
      </t>
    </mdx>
    <mdx n="0" f="v">
      <t c="8">
        <n x="1" s="1"/>
        <n x="2" s="1"/>
        <n x="5" s="1"/>
        <n x="3" s="1"/>
        <n x="4" s="1"/>
        <n x="104"/>
        <n x="53"/>
        <n x="103"/>
      </t>
    </mdx>
    <mdx n="0" f="v">
      <t c="8">
        <n x="1" s="1"/>
        <n x="2" s="1"/>
        <n x="5" s="1"/>
        <n x="3" s="1"/>
        <n x="4" s="1"/>
        <n x="104"/>
        <n x="53"/>
        <n x="69"/>
      </t>
    </mdx>
    <mdx n="0" f="v">
      <t c="8">
        <n x="1" s="1"/>
        <n x="2" s="1"/>
        <n x="5" s="1"/>
        <n x="3" s="1"/>
        <n x="4" s="1"/>
        <n x="104"/>
        <n x="55"/>
        <n x="115"/>
      </t>
    </mdx>
    <mdx n="0" f="v">
      <t c="8">
        <n x="1" s="1"/>
        <n x="2" s="1"/>
        <n x="5" s="1"/>
        <n x="3" s="1"/>
        <n x="4" s="1"/>
        <n x="104"/>
        <n x="55"/>
        <n x="76"/>
      </t>
    </mdx>
    <mdx n="0" f="v">
      <t c="8">
        <n x="1" s="1"/>
        <n x="2" s="1"/>
        <n x="5" s="1"/>
        <n x="3" s="1"/>
        <n x="4" s="1"/>
        <n x="104"/>
        <n x="55"/>
        <n x="49"/>
      </t>
    </mdx>
    <mdx n="0" f="v">
      <t c="8">
        <n x="1" s="1"/>
        <n x="2" s="1"/>
        <n x="5" s="1"/>
        <n x="3" s="1"/>
        <n x="4" s="1"/>
        <n x="104"/>
        <n x="41"/>
        <n x="28"/>
      </t>
    </mdx>
    <mdx n="0" f="v">
      <t c="8">
        <n x="1" s="1"/>
        <n x="2" s="1"/>
        <n x="5" s="1"/>
        <n x="3" s="1"/>
        <n x="4" s="1"/>
        <n x="104"/>
        <n x="41"/>
        <n x="29"/>
      </t>
    </mdx>
    <mdx n="0" f="v">
      <t c="8">
        <n x="1" s="1"/>
        <n x="2" s="1"/>
        <n x="5" s="1"/>
        <n x="3" s="1"/>
        <n x="4" s="1"/>
        <n x="104"/>
        <n x="41"/>
        <n x="16"/>
      </t>
    </mdx>
    <mdx n="0" f="v">
      <t c="8">
        <n x="1" s="1"/>
        <n x="2" s="1"/>
        <n x="5" s="1"/>
        <n x="3" s="1"/>
        <n x="4" s="1"/>
        <n x="104"/>
        <n x="74"/>
        <n x="84"/>
      </t>
    </mdx>
    <mdx n="0" f="v">
      <t c="8">
        <n x="1" s="1"/>
        <n x="2" s="1"/>
        <n x="5" s="1"/>
        <n x="3" s="1"/>
        <n x="4" s="1"/>
        <n x="104"/>
        <n x="74"/>
        <n x="160"/>
      </t>
    </mdx>
    <mdx n="0" f="v">
      <t c="8">
        <n x="1" s="1"/>
        <n x="2" s="1"/>
        <n x="5" s="1"/>
        <n x="3" s="1"/>
        <n x="4" s="1"/>
        <n x="104"/>
        <n x="74"/>
        <n x="148"/>
      </t>
    </mdx>
    <mdx n="0" f="v">
      <t c="8">
        <n x="1" s="1"/>
        <n x="2" s="1"/>
        <n x="5" s="1"/>
        <n x="3" s="1"/>
        <n x="4" s="1"/>
        <n x="104"/>
        <n x="83"/>
        <n x="62"/>
      </t>
    </mdx>
    <mdx n="0" f="v">
      <t c="8">
        <n x="1" s="1"/>
        <n x="2" s="1"/>
        <n x="5" s="1"/>
        <n x="3" s="1"/>
        <n x="4" s="1"/>
        <n x="104"/>
        <n x="83"/>
        <n x="59"/>
      </t>
    </mdx>
    <mdx n="0" f="v">
      <t c="8">
        <n x="1" s="1"/>
        <n x="2" s="1"/>
        <n x="5" s="1"/>
        <n x="3" s="1"/>
        <n x="4" s="1"/>
        <n x="104"/>
        <n x="83"/>
        <n x="122"/>
      </t>
    </mdx>
    <mdx n="0" f="v">
      <t c="8">
        <n x="1" s="1"/>
        <n x="2" s="1"/>
        <n x="5" s="1"/>
        <n x="3" s="1"/>
        <n x="4" s="1"/>
        <n x="104"/>
        <n x="83"/>
        <n x="95"/>
      </t>
    </mdx>
    <mdx n="0" f="v">
      <t c="8">
        <n x="1" s="1"/>
        <n x="2" s="1"/>
        <n x="5" s="1"/>
        <n x="3" s="1"/>
        <n x="4" s="1"/>
        <n x="104"/>
        <n x="92"/>
        <n x="43"/>
      </t>
    </mdx>
    <mdx n="0" f="v">
      <t c="8">
        <n x="1" s="1"/>
        <n x="2" s="1"/>
        <n x="5" s="1"/>
        <n x="3" s="1"/>
        <n x="4" s="1"/>
        <n x="104"/>
        <n x="92"/>
        <n x="44"/>
      </t>
    </mdx>
    <mdx n="0" f="v">
      <t c="8">
        <n x="1" s="1"/>
        <n x="2" s="1"/>
        <n x="5" s="1"/>
        <n x="3" s="1"/>
        <n x="4" s="1"/>
        <n x="104"/>
        <n x="92"/>
        <n x="45"/>
      </t>
    </mdx>
    <mdx n="0" f="v">
      <t c="8">
        <n x="1" s="1"/>
        <n x="2" s="1"/>
        <n x="5" s="1"/>
        <n x="3" s="1"/>
        <n x="4" s="1"/>
        <n x="104"/>
        <n x="101"/>
        <n x="107"/>
      </t>
    </mdx>
    <mdx n="0" f="v">
      <t c="8">
        <n x="1" s="1"/>
        <n x="2" s="1"/>
        <n x="5" s="1"/>
        <n x="3" s="1"/>
        <n x="4" s="1"/>
        <n x="104"/>
        <n x="101"/>
        <n x="85"/>
      </t>
    </mdx>
    <mdx n="0" f="v">
      <t c="8">
        <n x="1" s="1"/>
        <n x="2" s="1"/>
        <n x="5" s="1"/>
        <n x="3" s="1"/>
        <n x="4" s="1"/>
        <n x="104"/>
        <n x="101"/>
        <n x="52"/>
      </t>
    </mdx>
    <mdx n="0" f="v">
      <t c="8">
        <n x="1" s="1"/>
        <n x="2" s="1"/>
        <n x="5" s="1"/>
        <n x="3" s="1"/>
        <n x="4" s="1"/>
        <n x="104"/>
        <n x="114"/>
        <n x="19"/>
      </t>
    </mdx>
    <mdx n="0" f="v">
      <t c="8">
        <n x="1" s="1"/>
        <n x="2" s="1"/>
        <n x="5" s="1"/>
        <n x="3" s="1"/>
        <n x="4" s="1"/>
        <n x="104"/>
        <n x="114"/>
        <n x="20"/>
      </t>
    </mdx>
    <mdx n="0" f="v">
      <t c="8">
        <n x="1" s="1"/>
        <n x="2" s="1"/>
        <n x="5" s="1"/>
        <n x="3" s="1"/>
        <n x="4" s="1"/>
        <n x="104"/>
        <n x="114"/>
        <n x="33"/>
      </t>
    </mdx>
    <mdx n="0" f="v">
      <t c="8">
        <n x="1" s="1"/>
        <n x="2" s="1"/>
        <n x="5" s="1"/>
        <n x="3" s="1"/>
        <n x="4" s="1"/>
        <n x="104"/>
        <n x="118"/>
        <n x="93"/>
      </t>
    </mdx>
    <mdx n="0" f="v">
      <t c="8">
        <n x="1" s="1"/>
        <n x="2" s="1"/>
        <n x="5" s="1"/>
        <n x="3" s="1"/>
        <n x="4" s="1"/>
        <n x="104"/>
        <n x="118"/>
        <n x="162"/>
      </t>
    </mdx>
    <mdx n="0" f="v">
      <t c="8">
        <n x="1" s="1"/>
        <n x="2" s="1"/>
        <n x="5" s="1"/>
        <n x="3" s="1"/>
        <n x="4" s="1"/>
        <n x="104"/>
        <n x="118"/>
        <n x="87"/>
      </t>
    </mdx>
    <mdx n="0" f="v">
      <t c="8">
        <n x="1" s="1"/>
        <n x="2" s="1"/>
        <n x="5" s="1"/>
        <n x="3" s="1"/>
        <n x="4" s="1"/>
        <n x="104"/>
        <n x="61"/>
        <n x="141"/>
      </t>
    </mdx>
    <mdx n="0" f="v">
      <t c="8">
        <n x="1" s="1"/>
        <n x="2" s="1"/>
        <n x="5" s="1"/>
        <n x="3" s="1"/>
        <n x="4" s="1"/>
        <n x="104"/>
        <n x="31"/>
        <n x="44"/>
      </t>
    </mdx>
    <mdx n="0" f="v">
      <t c="8">
        <n x="1" s="1"/>
        <n x="2" s="1"/>
        <n x="5" s="1"/>
        <n x="3" s="1"/>
        <n x="4" s="1"/>
        <n x="104"/>
        <n x="39"/>
        <n x="16"/>
      </t>
    </mdx>
    <mdx n="0" f="v">
      <t c="8">
        <n x="1" s="1"/>
        <n x="2" s="1"/>
        <n x="5" s="1"/>
        <n x="3" s="1"/>
        <n x="4" s="1"/>
        <n x="104"/>
        <n x="159"/>
        <n x="160"/>
      </t>
    </mdx>
    <mdx n="0" f="v">
      <t c="8">
        <n x="1" s="1"/>
        <n x="2" s="1"/>
        <n x="5" s="1"/>
        <n x="3" s="1"/>
        <n x="4" s="1"/>
        <n x="104"/>
        <n x="68"/>
        <n x="59"/>
      </t>
    </mdx>
    <mdx n="0" f="v">
      <t c="8">
        <n x="1" s="1"/>
        <n x="2" s="1"/>
        <n x="5" s="1"/>
        <n x="3" s="1"/>
        <n x="4" s="1"/>
        <n x="104"/>
        <n x="73"/>
        <n x="127"/>
      </t>
    </mdx>
    <mdx n="0" f="v">
      <t c="8">
        <n x="1" s="1"/>
        <n x="2" s="1"/>
        <n x="5" s="1"/>
        <n x="3" s="1"/>
        <n x="4" s="1"/>
        <n x="104"/>
        <n x="82"/>
        <n x="48"/>
      </t>
    </mdx>
    <mdx n="0" f="v">
      <t c="8">
        <n x="1" s="1"/>
        <n x="2" s="1"/>
        <n x="5" s="1"/>
        <n x="3" s="1"/>
        <n x="4" s="1"/>
        <n x="104"/>
        <n x="91"/>
        <n x="84"/>
      </t>
    </mdx>
    <mdx n="0" f="v">
      <t c="8">
        <n x="1" s="1"/>
        <n x="2" s="1"/>
        <n x="5" s="1"/>
        <n x="3" s="1"/>
        <n x="4" s="1"/>
        <n x="104"/>
        <n x="91"/>
        <n x="33"/>
      </t>
    </mdx>
    <mdx n="0" f="v">
      <t c="8">
        <n x="1" s="1"/>
        <n x="2" s="1"/>
        <n x="5" s="1"/>
        <n x="3" s="1"/>
        <n x="4" s="1"/>
        <n x="104"/>
        <n x="100"/>
        <n x="160"/>
      </t>
    </mdx>
    <mdx n="0" f="v">
      <t c="8">
        <n x="1" s="1"/>
        <n x="2" s="1"/>
        <n x="5" s="1"/>
        <n x="3" s="1"/>
        <n x="4" s="1"/>
        <n x="104"/>
        <n x="100"/>
        <n x="86"/>
      </t>
    </mdx>
    <mdx n="0" f="v">
      <t c="8">
        <n x="1" s="1"/>
        <n x="2" s="1"/>
        <n x="5" s="1"/>
        <n x="3" s="1"/>
        <n x="4" s="1"/>
        <n x="104"/>
        <n x="40"/>
        <n x="14"/>
      </t>
    </mdx>
    <mdx n="0" f="v">
      <t c="8">
        <n x="1" s="1"/>
        <n x="2" s="1"/>
        <n x="5" s="1"/>
        <n x="3" s="1"/>
        <n x="4" s="1"/>
        <n x="104"/>
        <n x="40"/>
        <n x="69"/>
      </t>
    </mdx>
    <mdx n="0" f="v">
      <t c="8">
        <n x="1" s="1"/>
        <n x="2" s="1"/>
        <n x="5" s="1"/>
        <n x="3" s="1"/>
        <n x="4" s="1"/>
        <n x="104"/>
        <n x="113"/>
        <n x="154"/>
      </t>
    </mdx>
    <mdx n="0" f="v">
      <t c="8">
        <n x="1" s="1"/>
        <n x="2" s="1"/>
        <n x="5" s="1"/>
        <n x="3" s="1"/>
        <n x="4" s="1"/>
        <n x="104"/>
        <n x="113"/>
        <n x="155"/>
      </t>
    </mdx>
    <mdx n="0" f="v">
      <t c="8">
        <n x="1" s="1"/>
        <n x="2" s="1"/>
        <n x="5" s="1"/>
        <n x="3" s="1"/>
        <n x="4" s="1"/>
        <n x="104"/>
        <n x="131"/>
        <n x="109"/>
      </t>
    </mdx>
    <mdx n="0" f="v">
      <t c="8">
        <n x="1" s="1"/>
        <n x="2" s="1"/>
        <n x="5" s="1"/>
        <n x="3" s="1"/>
        <n x="4" s="1"/>
        <n x="104"/>
        <n x="131"/>
        <n x="148"/>
      </t>
    </mdx>
    <mdx n="0" f="v">
      <t c="8">
        <n x="1" s="1"/>
        <n x="2" s="1"/>
        <n x="5" s="1"/>
        <n x="3" s="1"/>
        <n x="4" s="1"/>
        <n x="104"/>
        <n x="134"/>
        <n x="102"/>
      </t>
    </mdx>
    <mdx n="0" f="v">
      <t c="8">
        <n x="1" s="1"/>
        <n x="2" s="1"/>
        <n x="5" s="1"/>
        <n x="3" s="1"/>
        <n x="4" s="1"/>
        <n x="104"/>
        <n x="134"/>
        <n x="119"/>
      </t>
    </mdx>
    <mdx n="0" f="v">
      <t c="8">
        <n x="1" s="1"/>
        <n x="2" s="1"/>
        <n x="5" s="1"/>
        <n x="3" s="1"/>
        <n x="4" s="1"/>
        <n x="104"/>
        <n x="140"/>
        <n x="93"/>
      </t>
    </mdx>
    <mdx n="0" f="v">
      <t c="8">
        <n x="1" s="1"/>
        <n x="2" s="1"/>
        <n x="5" s="1"/>
        <n x="3" s="1"/>
        <n x="4" s="1"/>
        <n x="104"/>
        <n x="140"/>
        <n x="58"/>
      </t>
    </mdx>
    <mdx n="0" f="v">
      <t c="8">
        <n x="1" s="1"/>
        <n x="2" s="1"/>
        <n x="5" s="1"/>
        <n x="3" s="1"/>
        <n x="4" s="1"/>
        <n x="104"/>
        <n x="140"/>
        <n x="69"/>
      </t>
    </mdx>
    <mdx n="0" f="v">
      <t c="8">
        <n x="1" s="1"/>
        <n x="2" s="1"/>
        <n x="5" s="1"/>
        <n x="3" s="1"/>
        <n x="4" s="1"/>
        <n x="104"/>
        <n x="145"/>
        <n x="109"/>
      </t>
    </mdx>
    <mdx n="0" f="v">
      <t c="8">
        <n x="1" s="1"/>
        <n x="2" s="1"/>
        <n x="5" s="1"/>
        <n x="3" s="1"/>
        <n x="4" s="1"/>
        <n x="104"/>
        <n x="145"/>
        <n x="127"/>
      </t>
    </mdx>
    <mdx n="0" f="v">
      <t c="8">
        <n x="1" s="1"/>
        <n x="2" s="1"/>
        <n x="5" s="1"/>
        <n x="3" s="1"/>
        <n x="4" s="1"/>
        <n x="104"/>
        <n x="129"/>
        <n x="63"/>
      </t>
    </mdx>
    <mdx n="0" f="v">
      <t c="8">
        <n x="1" s="1"/>
        <n x="2" s="1"/>
        <n x="5" s="1"/>
        <n x="3" s="1"/>
        <n x="4" s="1"/>
        <n x="104"/>
        <n x="129"/>
        <n x="14"/>
      </t>
    </mdx>
    <mdx n="0" f="v">
      <t c="8">
        <n x="1" s="1"/>
        <n x="2" s="1"/>
        <n x="5" s="1"/>
        <n x="3" s="1"/>
        <n x="4" s="1"/>
        <n x="104"/>
        <n x="129"/>
        <n x="155"/>
      </t>
    </mdx>
    <mdx n="0" f="v">
      <t c="8">
        <n x="1" s="1"/>
        <n x="2" s="1"/>
        <n x="5" s="1"/>
        <n x="3" s="1"/>
        <n x="4" s="1"/>
        <n x="104"/>
        <n x="11"/>
        <n x="102"/>
      </t>
    </mdx>
    <mdx n="0" f="v">
      <t c="8">
        <n x="1" s="1"/>
        <n x="2" s="1"/>
        <n x="5" s="1"/>
        <n x="3" s="1"/>
        <n x="4" s="1"/>
        <n x="104"/>
        <n x="11"/>
        <n x="44"/>
      </t>
    </mdx>
    <mdx n="0" f="v">
      <t c="8">
        <n x="1" s="1"/>
        <n x="2" s="1"/>
        <n x="5" s="1"/>
        <n x="3" s="1"/>
        <n x="4" s="1"/>
        <n x="104"/>
        <n x="11"/>
        <n x="95"/>
      </t>
    </mdx>
    <mdx n="0" f="v">
      <t c="8">
        <n x="1" s="1"/>
        <n x="2" s="1"/>
        <n x="5" s="1"/>
        <n x="3" s="1"/>
        <n x="4" s="1"/>
        <n x="104"/>
        <n x="26"/>
        <n x="147"/>
      </t>
    </mdx>
    <mdx n="0" f="v">
      <t c="8">
        <n x="1" s="1"/>
        <n x="2" s="1"/>
        <n x="5" s="1"/>
        <n x="3" s="1"/>
        <n x="4" s="1"/>
        <n x="104"/>
        <n x="26"/>
        <n x="127"/>
      </t>
    </mdx>
    <mdx n="0" f="v">
      <t c="8">
        <n x="1" s="1"/>
        <n x="2" s="1"/>
        <n x="5" s="1"/>
        <n x="3" s="1"/>
        <n x="4" s="1"/>
        <n x="104"/>
        <n x="35"/>
        <n x="62"/>
      </t>
    </mdx>
    <mdx n="0" f="v">
      <t c="8">
        <n x="1" s="1"/>
        <n x="2" s="1"/>
        <n x="5" s="1"/>
        <n x="3" s="1"/>
        <n x="4" s="1"/>
        <n x="104"/>
        <n x="35"/>
        <n x="48"/>
      </t>
    </mdx>
    <mdx n="0" f="v">
      <t c="8">
        <n x="1" s="1"/>
        <n x="2" s="1"/>
        <n x="5" s="1"/>
        <n x="3" s="1"/>
        <n x="4" s="1"/>
        <n x="104"/>
        <n x="35"/>
        <n x="16"/>
      </t>
    </mdx>
    <mdx n="0" f="v">
      <t c="8">
        <n x="1" s="1"/>
        <n x="2" s="1"/>
        <n x="5" s="1"/>
        <n x="3" s="1"/>
        <n x="4" s="1"/>
        <n x="104"/>
        <n x="152"/>
        <n x="93"/>
      </t>
    </mdx>
    <mdx n="0" f="v">
      <t c="8">
        <n x="1" s="1"/>
        <n x="2" s="1"/>
        <n x="5" s="1"/>
        <n x="3" s="1"/>
        <n x="4" s="1"/>
        <n x="104"/>
        <n x="152"/>
        <n x="14"/>
      </t>
    </mdx>
    <mdx n="0" f="v">
      <t c="8">
        <n x="1" s="1"/>
        <n x="2" s="1"/>
        <n x="5" s="1"/>
        <n x="3" s="1"/>
        <n x="4" s="1"/>
        <n x="104"/>
        <n x="152"/>
        <n x="16"/>
      </t>
    </mdx>
    <mdx n="0" f="v">
      <t c="8">
        <n x="1" s="1"/>
        <n x="2" s="1"/>
        <n x="5" s="1"/>
        <n x="3" s="1"/>
        <n x="4" s="1"/>
        <n x="104"/>
        <n x="47"/>
        <n x="84"/>
      </t>
    </mdx>
    <mdx n="0" f="v">
      <t c="8">
        <n x="1" s="1"/>
        <n x="2" s="1"/>
        <n x="5" s="1"/>
        <n x="3" s="1"/>
        <n x="4" s="1"/>
        <n x="104"/>
        <n x="47"/>
        <n x="160"/>
      </t>
    </mdx>
    <mdx n="0" f="v">
      <t c="8">
        <n x="1" s="1"/>
        <n x="2" s="1"/>
        <n x="5" s="1"/>
        <n x="3" s="1"/>
        <n x="4" s="1"/>
        <n x="104"/>
        <n x="47"/>
        <n x="148"/>
      </t>
    </mdx>
    <mdx n="0" f="v">
      <t c="8">
        <n x="1" s="1"/>
        <n x="2" s="1"/>
        <n x="5" s="1"/>
        <n x="3" s="1"/>
        <n x="4" s="1"/>
        <n x="104"/>
        <n x="51"/>
        <n x="62"/>
      </t>
    </mdx>
    <mdx n="0" f="v">
      <t c="8">
        <n x="1" s="1"/>
        <n x="2" s="1"/>
        <n x="5" s="1"/>
        <n x="3" s="1"/>
        <n x="4" s="1"/>
        <n x="104"/>
        <n x="51"/>
        <n x="59"/>
      </t>
    </mdx>
    <mdx n="0" f="v">
      <t c="8">
        <n x="1" s="1"/>
        <n x="2" s="1"/>
        <n x="5" s="1"/>
        <n x="3" s="1"/>
        <n x="4" s="1"/>
        <n x="104"/>
        <n x="51"/>
        <n x="122"/>
      </t>
    </mdx>
    <mdx n="0" f="v">
      <t c="8">
        <n x="1" s="1"/>
        <n x="2" s="1"/>
        <n x="5" s="1"/>
        <n x="3" s="1"/>
        <n x="4" s="1"/>
        <n x="104"/>
        <n x="51"/>
        <n x="95"/>
      </t>
    </mdx>
    <mdx n="0" f="v">
      <t c="8">
        <n x="1" s="1"/>
        <n x="2" s="1"/>
        <n x="5" s="1"/>
        <n x="3" s="1"/>
        <n x="4" s="1"/>
        <n x="104"/>
        <n x="53"/>
        <n x="43"/>
      </t>
    </mdx>
    <mdx n="0" f="v">
      <t c="8">
        <n x="1" s="1"/>
        <n x="2" s="1"/>
        <n x="5" s="1"/>
        <n x="3" s="1"/>
        <n x="4" s="1"/>
        <n x="104"/>
        <n x="53"/>
        <n x="44"/>
      </t>
    </mdx>
    <mdx n="0" f="v">
      <t c="8">
        <n x="1" s="1"/>
        <n x="2" s="1"/>
        <n x="5" s="1"/>
        <n x="3" s="1"/>
        <n x="4" s="1"/>
        <n x="104"/>
        <n x="53"/>
        <n x="45"/>
      </t>
    </mdx>
    <mdx n="0" f="v">
      <t c="8">
        <n x="1" s="1"/>
        <n x="2" s="1"/>
        <n x="5" s="1"/>
        <n x="3" s="1"/>
        <n x="4" s="1"/>
        <n x="104"/>
        <n x="55"/>
        <n x="107"/>
      </t>
    </mdx>
    <mdx n="0" f="v">
      <t c="8">
        <n x="1" s="1"/>
        <n x="2" s="1"/>
        <n x="5" s="1"/>
        <n x="3" s="1"/>
        <n x="4" s="1"/>
        <n x="104"/>
        <n x="55"/>
        <n x="85"/>
      </t>
    </mdx>
    <mdx n="0" f="v">
      <t c="8">
        <n x="1" s="1"/>
        <n x="2" s="1"/>
        <n x="5" s="1"/>
        <n x="3" s="1"/>
        <n x="4" s="1"/>
        <n x="104"/>
        <n x="55"/>
        <n x="52"/>
      </t>
    </mdx>
    <mdx n="0" f="v">
      <t c="8">
        <n x="1" s="1"/>
        <n x="2" s="1"/>
        <n x="5" s="1"/>
        <n x="3" s="1"/>
        <n x="4" s="1"/>
        <n x="104"/>
        <n x="41"/>
        <n x="19"/>
      </t>
    </mdx>
    <mdx n="0" f="v">
      <t c="8">
        <n x="1" s="1"/>
        <n x="2" s="1"/>
        <n x="5" s="1"/>
        <n x="3" s="1"/>
        <n x="4" s="1"/>
        <n x="104"/>
        <n x="41"/>
        <n x="20"/>
      </t>
    </mdx>
    <mdx n="0" f="v">
      <t c="8">
        <n x="1" s="1"/>
        <n x="2" s="1"/>
        <n x="5" s="1"/>
        <n x="3" s="1"/>
        <n x="4" s="1"/>
        <n x="104"/>
        <n x="41"/>
        <n x="33"/>
      </t>
    </mdx>
    <mdx n="0" f="v">
      <t c="8">
        <n x="1" s="1"/>
        <n x="2" s="1"/>
        <n x="5" s="1"/>
        <n x="3" s="1"/>
        <n x="4" s="1"/>
        <n x="104"/>
        <n x="74"/>
        <n x="93"/>
      </t>
    </mdx>
    <mdx n="0" f="v">
      <t c="8">
        <n x="1" s="1"/>
        <n x="2" s="1"/>
        <n x="5" s="1"/>
        <n x="3" s="1"/>
        <n x="4" s="1"/>
        <n x="104"/>
        <n x="74"/>
        <n x="162"/>
      </t>
    </mdx>
    <mdx n="0" f="v">
      <t c="8">
        <n x="1" s="1"/>
        <n x="2" s="1"/>
        <n x="5" s="1"/>
        <n x="3" s="1"/>
        <n x="4" s="1"/>
        <n x="104"/>
        <n x="74"/>
        <n x="87"/>
      </t>
    </mdx>
    <mdx n="0" f="v">
      <t c="8">
        <n x="1" s="1"/>
        <n x="2" s="1"/>
        <n x="5" s="1"/>
        <n x="3" s="1"/>
        <n x="4" s="1"/>
        <n x="104"/>
        <n x="83"/>
        <n x="63"/>
      </t>
    </mdx>
    <mdx n="0" f="v">
      <t c="8">
        <n x="1" s="1"/>
        <n x="2" s="1"/>
        <n x="5" s="1"/>
        <n x="3" s="1"/>
        <n x="4" s="1"/>
        <n x="104"/>
        <n x="83"/>
        <n x="154"/>
      </t>
    </mdx>
    <mdx n="0" f="v">
      <t c="8">
        <n x="1" s="1"/>
        <n x="2" s="1"/>
        <n x="5" s="1"/>
        <n x="3" s="1"/>
        <n x="4" s="1"/>
        <n x="104"/>
        <n x="83"/>
        <n x="127"/>
      </t>
    </mdx>
    <mdx n="0" f="v">
      <t c="8">
        <n x="1" s="1"/>
        <n x="2" s="1"/>
        <n x="5" s="1"/>
        <n x="3" s="1"/>
        <n x="4" s="1"/>
        <n x="104"/>
        <n x="92"/>
        <n x="164" s="1"/>
      </t>
    </mdx>
    <mdx n="0" f="v">
      <t c="8">
        <n x="1" s="1"/>
        <n x="2" s="1"/>
        <n x="5" s="1"/>
        <n x="3" s="1"/>
        <n x="4" s="1"/>
        <n x="104"/>
        <n x="92"/>
        <n x="128"/>
      </t>
    </mdx>
    <mdx n="0" f="v">
      <t c="8">
        <n x="1" s="1"/>
        <n x="2" s="1"/>
        <n x="5" s="1"/>
        <n x="3" s="1"/>
        <n x="4" s="1"/>
        <n x="104"/>
        <n x="92"/>
        <n x="116"/>
      </t>
    </mdx>
    <mdx n="0" f="v">
      <t c="8">
        <n x="1" s="1"/>
        <n x="2" s="1"/>
        <n x="5" s="1"/>
        <n x="3" s="1"/>
        <n x="4" s="1"/>
        <n x="104"/>
        <n x="92"/>
        <n x="77"/>
      </t>
    </mdx>
    <mdx n="0" f="v">
      <t c="8">
        <n x="1" s="1"/>
        <n x="2" s="1"/>
        <n x="5" s="1"/>
        <n x="3" s="1"/>
        <n x="4" s="1"/>
        <n x="104"/>
        <n x="101"/>
        <n x="108"/>
      </t>
    </mdx>
    <mdx n="0" f="v">
      <t c="8">
        <n x="1" s="1"/>
        <n x="2" s="1"/>
        <n x="5" s="1"/>
        <n x="3" s="1"/>
        <n x="4" s="1"/>
        <n x="104"/>
        <n x="101"/>
        <n x="94"/>
      </t>
    </mdx>
    <mdx n="0" f="v">
      <t c="8">
        <n x="1" s="1"/>
        <n x="2" s="1"/>
        <n x="5" s="1"/>
        <n x="3" s="1"/>
        <n x="4" s="1"/>
        <n x="104"/>
        <n x="101"/>
        <n x="54"/>
      </t>
    </mdx>
    <mdx n="0" f="v">
      <t c="8">
        <n x="1" s="1"/>
        <n x="2" s="1"/>
        <n x="5" s="1"/>
        <n x="3" s="1"/>
        <n x="4" s="1"/>
        <n x="104"/>
        <n x="114"/>
        <n x="102"/>
      </t>
    </mdx>
    <mdx n="0" f="v">
      <t c="8">
        <n x="1" s="1"/>
        <n x="2" s="1"/>
        <n x="5" s="1"/>
        <n x="3" s="1"/>
        <n x="4" s="1"/>
        <n x="104"/>
        <n x="114"/>
        <n x="58"/>
      </t>
    </mdx>
    <mdx n="0" f="v">
      <t c="8">
        <n x="1" s="1"/>
        <n x="2" s="1"/>
        <n x="5" s="1"/>
        <n x="3" s="1"/>
        <n x="4" s="1"/>
        <n x="104"/>
        <n x="114"/>
        <n x="155"/>
      </t>
    </mdx>
    <mdx n="0" f="v">
      <t c="8">
        <n x="1" s="1"/>
        <n x="2" s="1"/>
        <n x="5" s="1"/>
        <n x="3" s="1"/>
        <n x="4" s="1"/>
        <n x="104"/>
        <n x="118"/>
        <n x="13"/>
      </t>
    </mdx>
    <mdx n="0" f="v">
      <t c="8">
        <n x="1" s="1"/>
        <n x="2" s="1"/>
        <n x="5" s="1"/>
        <n x="3" s="1"/>
        <n x="4" s="1"/>
        <n x="104"/>
        <n x="118"/>
        <n x="14"/>
      </t>
    </mdx>
    <mdx n="0" f="v">
      <t c="8">
        <n x="1" s="1"/>
        <n x="2" s="1"/>
        <n x="5" s="1"/>
        <n x="3" s="1"/>
        <n x="4" s="1"/>
        <n x="104"/>
        <n x="118"/>
        <n x="15"/>
      </t>
    </mdx>
    <mdx n="0" f="v">
      <t c="8">
        <n x="1" s="1"/>
        <n x="2" s="1"/>
        <n x="5" s="1"/>
        <n x="3" s="1"/>
        <n x="4" s="1"/>
        <n x="104"/>
        <n x="121"/>
        <n x="75"/>
      </t>
    </mdx>
    <mdx n="0" f="v">
      <t c="8">
        <n x="1" s="1"/>
        <n x="2" s="1"/>
        <n x="5" s="1"/>
        <n x="3" s="1"/>
        <n x="4" s="1"/>
        <n x="104"/>
        <n x="121"/>
        <n x="48"/>
      </t>
    </mdx>
    <mdx n="0" f="v">
      <t c="8">
        <n x="1" s="1"/>
        <n x="2" s="1"/>
        <n x="5" s="1"/>
        <n x="3" s="1"/>
        <n x="4" s="1"/>
        <n x="104"/>
        <n x="121"/>
        <n x="141"/>
      </t>
    </mdx>
    <mdx n="0" f="v">
      <t c="8">
        <n x="1" s="1"/>
        <n x="2" s="1"/>
        <n x="5" s="1"/>
        <n x="3" s="1"/>
        <n x="4" s="1"/>
        <n x="104"/>
        <n x="12"/>
        <n x="56"/>
      </t>
    </mdx>
    <mdx n="0" f="v">
      <t c="8">
        <n x="1" s="1"/>
        <n x="2" s="1"/>
        <n x="5" s="1"/>
        <n x="3" s="1"/>
        <n x="4" s="1"/>
        <n x="104"/>
        <n x="12"/>
        <n x="147"/>
      </t>
    </mdx>
    <mdx n="0" f="v">
      <t c="8">
        <n x="1" s="1"/>
        <n x="2" s="1"/>
        <n x="5" s="1"/>
        <n x="3" s="1"/>
        <n x="4" s="1"/>
        <n x="104"/>
        <n x="12"/>
        <n x="119"/>
      </t>
    </mdx>
    <mdx n="0" f="v">
      <t c="8">
        <n x="1" s="1"/>
        <n x="2" s="1"/>
        <n x="5" s="1"/>
        <n x="3" s="1"/>
        <n x="4" s="1"/>
        <n x="104"/>
        <n x="12"/>
        <n x="86"/>
      </t>
    </mdx>
    <mdx n="0" f="v">
      <t c="8">
        <n x="1" s="1"/>
        <n x="2" s="1"/>
        <n x="5" s="1"/>
        <n x="3" s="1"/>
        <n x="4" s="1"/>
        <n x="104"/>
        <n x="27"/>
        <n x="109"/>
      </t>
    </mdx>
    <mdx n="0" f="v">
      <t c="8">
        <n x="1" s="1"/>
        <n x="2" s="1"/>
        <n x="5" s="1"/>
        <n x="3" s="1"/>
        <n x="4" s="1"/>
        <n x="104"/>
        <n x="27"/>
        <n x="103"/>
      </t>
    </mdx>
    <mdx n="0" f="v">
      <t c="8">
        <n x="1" s="1"/>
        <n x="2" s="1"/>
        <n x="5" s="1"/>
        <n x="3" s="1"/>
        <n x="4" s="1"/>
        <n x="104"/>
        <n x="27"/>
        <n x="69"/>
      </t>
    </mdx>
    <mdx n="0" f="v">
      <t c="8">
        <n x="1" s="1"/>
        <n x="2" s="1"/>
        <n x="5" s="1"/>
        <n x="3" s="1"/>
        <n x="4" s="1"/>
        <n x="104"/>
        <n x="32"/>
        <n x="115"/>
      </t>
    </mdx>
    <mdx n="0" f="v">
      <t c="8">
        <n x="1" s="1"/>
        <n x="2" s="1"/>
        <n x="5" s="1"/>
        <n x="3" s="1"/>
        <n x="4" s="1"/>
        <n x="104"/>
        <n x="32"/>
        <n x="76"/>
      </t>
    </mdx>
    <mdx n="0" f="v">
      <t c="8">
        <n x="1" s="1"/>
        <n x="2" s="1"/>
        <n x="5" s="1"/>
        <n x="3" s="1"/>
        <n x="4" s="1"/>
        <n x="104"/>
        <n x="32"/>
        <n x="49"/>
      </t>
    </mdx>
    <mdx n="0" f="v">
      <t c="8">
        <n x="1" s="1"/>
        <n x="2" s="1"/>
        <n x="5" s="1"/>
        <n x="3" s="1"/>
        <n x="4" s="1"/>
        <n x="104"/>
        <n x="132"/>
        <n x="28"/>
      </t>
    </mdx>
    <mdx n="0" f="v">
      <t c="8">
        <n x="1" s="1"/>
        <n x="2" s="1"/>
        <n x="5" s="1"/>
        <n x="3" s="1"/>
        <n x="4" s="1"/>
        <n x="104"/>
        <n x="132"/>
        <n x="29"/>
      </t>
    </mdx>
    <mdx n="0" f="v">
      <t c="8">
        <n x="1" s="1"/>
        <n x="2" s="1"/>
        <n x="5" s="1"/>
        <n x="3" s="1"/>
        <n x="4" s="1"/>
        <n x="104"/>
        <n x="67"/>
        <n x="19"/>
      </t>
    </mdx>
    <mdx n="0" f="v">
      <t c="8">
        <n x="1" s="1"/>
        <n x="2" s="1"/>
        <n x="5" s="1"/>
        <n x="3" s="1"/>
        <n x="4" s="1"/>
        <n x="104"/>
        <n x="31"/>
        <n x="95"/>
      </t>
    </mdx>
    <mdx n="0" f="v">
      <t c="8">
        <n x="1" s="1"/>
        <n x="2" s="1"/>
        <n x="5" s="1"/>
        <n x="3" s="1"/>
        <n x="4" s="1"/>
        <n x="104"/>
        <n x="139"/>
        <n x="19"/>
      </t>
    </mdx>
    <mdx n="0" f="v">
      <t c="8">
        <n x="1" s="1"/>
        <n x="2" s="1"/>
        <n x="5" s="1"/>
        <n x="3" s="1"/>
        <n x="4" s="1"/>
        <n x="104"/>
        <n x="159"/>
        <n x="148"/>
      </t>
    </mdx>
    <mdx n="0" f="v">
      <t c="8">
        <n x="1" s="1"/>
        <n x="2" s="1"/>
        <n x="5" s="1"/>
        <n x="3" s="1"/>
        <n x="4" s="1"/>
        <n x="104"/>
        <n x="68"/>
        <n x="162"/>
      </t>
    </mdx>
    <mdx n="0" f="v">
      <t c="8">
        <n x="1" s="1"/>
        <n x="2" s="1"/>
        <n x="5" s="1"/>
        <n x="3" s="1"/>
        <n x="4" s="1"/>
        <n x="104"/>
        <n x="73"/>
        <n x="87"/>
      </t>
    </mdx>
    <mdx n="0" f="v">
      <t c="8">
        <n x="1" s="1"/>
        <n x="2" s="1"/>
        <n x="5" s="1"/>
        <n x="3" s="1"/>
        <n x="4" s="1"/>
        <n x="104"/>
        <n x="82"/>
        <n x="14"/>
      </t>
    </mdx>
    <mdx n="0" f="v">
      <t c="8">
        <n x="1" s="1"/>
        <n x="2" s="1"/>
        <n x="5" s="1"/>
        <n x="3" s="1"/>
        <n x="4" s="1"/>
        <n x="104"/>
        <n x="91"/>
        <n x="19"/>
      </t>
    </mdx>
    <mdx n="0" f="v">
      <t c="8">
        <n x="1" s="1"/>
        <n x="2" s="1"/>
        <n x="5" s="1"/>
        <n x="3" s="1"/>
        <n x="4" s="1"/>
        <n x="104"/>
        <n x="91"/>
        <n x="155"/>
      </t>
    </mdx>
    <mdx n="0" f="v">
      <t c="8">
        <n x="1" s="1"/>
        <n x="2" s="1"/>
        <n x="5" s="1"/>
        <n x="3" s="1"/>
        <n x="4" s="1"/>
        <n x="104"/>
        <n x="100"/>
        <n x="162"/>
      </t>
    </mdx>
    <mdx n="0" f="v">
      <t c="8">
        <n x="1" s="1"/>
        <n x="2" s="1"/>
        <n x="5" s="1"/>
        <n x="3" s="1"/>
        <n x="4" s="1"/>
        <n x="104"/>
        <n x="100"/>
        <n x="95"/>
      </t>
    </mdx>
    <mdx n="0" f="v">
      <t c="8">
        <n x="1" s="1"/>
        <n x="2" s="1"/>
        <n x="5" s="1"/>
        <n x="3" s="1"/>
        <n x="4" s="1"/>
        <n x="104"/>
        <n x="40"/>
        <n x="20"/>
      </t>
    </mdx>
    <mdx n="0" f="v">
      <t c="8">
        <n x="1" s="1"/>
        <n x="2" s="1"/>
        <n x="5" s="1"/>
        <n x="3" s="1"/>
        <n x="4" s="1"/>
        <n x="104"/>
        <n x="40"/>
        <n x="45"/>
      </t>
    </mdx>
    <mdx n="0" f="v">
      <t c="8">
        <n x="1" s="1"/>
        <n x="2" s="1"/>
        <n x="5" s="1"/>
        <n x="3" s="1"/>
        <n x="4" s="1"/>
        <n x="104"/>
        <n x="113"/>
        <n x="48"/>
      </t>
    </mdx>
    <mdx n="0" f="v">
      <t c="8">
        <n x="1" s="1"/>
        <n x="2" s="1"/>
        <n x="5" s="1"/>
        <n x="3" s="1"/>
        <n x="4" s="1"/>
        <n x="104"/>
        <n x="113"/>
        <n x="49"/>
      </t>
    </mdx>
    <mdx n="0" f="v">
      <t c="8">
        <n x="1" s="1"/>
        <n x="2" s="1"/>
        <n x="5" s="1"/>
        <n x="3" s="1"/>
        <n x="4" s="1"/>
        <n x="104"/>
        <n x="131"/>
        <n x="128"/>
      </t>
    </mdx>
    <mdx n="0" f="v">
      <t c="8">
        <n x="1" s="1"/>
        <n x="2" s="1"/>
        <n x="5" s="1"/>
        <n x="3" s="1"/>
        <n x="4" s="1"/>
        <n x="104"/>
        <n x="131"/>
        <n x="15"/>
      </t>
    </mdx>
    <mdx n="0" f="v">
      <t c="8">
        <n x="1" s="1"/>
        <n x="2" s="1"/>
        <n x="5" s="1"/>
        <n x="3" s="1"/>
        <n x="4" s="1"/>
        <n x="104"/>
        <n x="134"/>
        <n x="115"/>
      </t>
    </mdx>
    <mdx n="0" f="v">
      <t c="8">
        <n x="1" s="1"/>
        <n x="2" s="1"/>
        <n x="5" s="1"/>
        <n x="3" s="1"/>
        <n x="4" s="1"/>
        <n x="104"/>
        <n x="134"/>
        <n x="122"/>
      </t>
    </mdx>
    <mdx n="0" f="v">
      <t c="8">
        <n x="1" s="1"/>
        <n x="2" s="1"/>
        <n x="5" s="1"/>
        <n x="3" s="1"/>
        <n x="4" s="1"/>
        <n x="104"/>
        <n x="140"/>
        <n x="13"/>
      </t>
    </mdx>
    <mdx n="0" f="v">
      <t c="8">
        <n x="1" s="1"/>
        <n x="2" s="1"/>
        <n x="5" s="1"/>
        <n x="3" s="1"/>
        <n x="4" s="1"/>
        <n x="104"/>
        <n x="140"/>
        <n x="76"/>
      </t>
    </mdx>
    <mdx n="0" f="v">
      <t c="8">
        <n x="1" s="1"/>
        <n x="2" s="1"/>
        <n x="5" s="1"/>
        <n x="3" s="1"/>
        <n x="4" s="1"/>
        <n x="104"/>
        <n x="140"/>
        <n x="45"/>
      </t>
    </mdx>
    <mdx n="0" f="v">
      <t c="8">
        <n x="1" s="1"/>
        <n x="2" s="1"/>
        <n x="5" s="1"/>
        <n x="3" s="1"/>
        <n x="4" s="1"/>
        <n x="104"/>
        <n x="145"/>
        <n x="43"/>
      </t>
    </mdx>
    <mdx n="0" f="v">
      <t c="8">
        <n x="1" s="1"/>
        <n x="2" s="1"/>
        <n x="5" s="1"/>
        <n x="3" s="1"/>
        <n x="4" s="1"/>
        <n x="104"/>
        <n x="145"/>
        <n x="141"/>
      </t>
    </mdx>
    <mdx n="0" f="v">
      <t c="8">
        <n x="1" s="1"/>
        <n x="2" s="1"/>
        <n x="5" s="1"/>
        <n x="3" s="1"/>
        <n x="4" s="1"/>
        <n x="104"/>
        <n x="129"/>
        <n x="75"/>
      </t>
    </mdx>
    <mdx n="0" f="v">
      <t c="8">
        <n x="1" s="1"/>
        <n x="2" s="1"/>
        <n x="5" s="1"/>
        <n x="3" s="1"/>
        <n x="4" s="1"/>
        <n x="104"/>
        <n x="129"/>
        <n x="29"/>
      </t>
    </mdx>
    <mdx n="0" f="v">
      <t c="8">
        <n x="1" s="1"/>
        <n x="2" s="1"/>
        <n x="5" s="1"/>
        <n x="3" s="1"/>
        <n x="4" s="1"/>
        <n x="104"/>
        <n x="129"/>
        <n x="49"/>
      </t>
    </mdx>
    <mdx n="0" f="v">
      <t c="8">
        <n x="1" s="1"/>
        <n x="2" s="1"/>
        <n x="5" s="1"/>
        <n x="3" s="1"/>
        <n x="4" s="1"/>
        <n x="104"/>
        <n x="11"/>
        <n x="108"/>
      </t>
    </mdx>
    <mdx n="0" f="v">
      <t c="8">
        <n x="1" s="1"/>
        <n x="2" s="1"/>
        <n x="5" s="1"/>
        <n x="3" s="1"/>
        <n x="4" s="1"/>
        <n x="104"/>
        <n x="11"/>
        <n x="116"/>
      </t>
    </mdx>
    <mdx n="0" f="v">
      <t c="8">
        <n x="1" s="1"/>
        <n x="2" s="1"/>
        <n x="5" s="1"/>
        <n x="3" s="1"/>
        <n x="4" s="1"/>
        <n x="104"/>
        <n x="26"/>
        <n x="164" s="1"/>
      </t>
    </mdx>
    <mdx n="0" f="v">
      <t c="8">
        <n x="1" s="1"/>
        <n x="2" s="1"/>
        <n x="5" s="1"/>
        <n x="3" s="1"/>
        <n x="4" s="1"/>
        <n x="104"/>
        <n x="26"/>
        <n x="59"/>
      </t>
    </mdx>
    <mdx n="0" f="v">
      <t c="8">
        <n x="1" s="1"/>
        <n x="2" s="1"/>
        <n x="5" s="1"/>
        <n x="3" s="1"/>
        <n x="4" s="1"/>
        <n x="104"/>
        <n x="26"/>
        <n x="141"/>
      </t>
    </mdx>
    <mdx n="0" f="v">
      <t c="8">
        <n x="1" s="1"/>
        <n x="2" s="1"/>
        <n x="5" s="1"/>
        <n x="3" s="1"/>
        <n x="4" s="1"/>
        <n x="104"/>
        <n x="35"/>
        <n x="63"/>
      </t>
    </mdx>
    <mdx n="0" f="v">
      <t c="8">
        <n x="1" s="1"/>
        <n x="2" s="1"/>
        <n x="5" s="1"/>
        <n x="3" s="1"/>
        <n x="4" s="1"/>
        <n x="104"/>
        <n x="35"/>
        <n x="14"/>
      </t>
    </mdx>
    <mdx n="0" f="v">
      <t c="8">
        <n x="1" s="1"/>
        <n x="2" s="1"/>
        <n x="5" s="1"/>
        <n x="3" s="1"/>
        <n x="4" s="1"/>
        <n x="104"/>
        <n x="35"/>
        <n x="33"/>
      </t>
    </mdx>
    <mdx n="0" f="v">
      <t c="8">
        <n x="1" s="1"/>
        <n x="2" s="1"/>
        <n x="5" s="1"/>
        <n x="3" s="1"/>
        <n x="4" s="1"/>
        <n x="104"/>
        <n x="152"/>
        <n x="13"/>
      </t>
    </mdx>
    <mdx n="0" f="v">
      <t c="8">
        <n x="1" s="1"/>
        <n x="2" s="1"/>
        <n x="5" s="1"/>
        <n x="3" s="1"/>
        <n x="4" s="1"/>
        <n x="104"/>
        <n x="152"/>
        <n x="29"/>
      </t>
    </mdx>
    <mdx n="0" f="v">
      <t c="8">
        <n x="1" s="1"/>
        <n x="2" s="1"/>
        <n x="5" s="1"/>
        <n x="3" s="1"/>
        <n x="4" s="1"/>
        <n x="104"/>
        <n x="152"/>
        <n x="33"/>
      </t>
    </mdx>
    <mdx n="0" f="v">
      <t c="8">
        <n x="1" s="1"/>
        <n x="2" s="1"/>
        <n x="5" s="1"/>
        <n x="3" s="1"/>
        <n x="4" s="1"/>
        <n x="104"/>
        <n x="47"/>
        <n x="93"/>
      </t>
    </mdx>
    <mdx n="0" f="v">
      <t c="8">
        <n x="1" s="1"/>
        <n x="2" s="1"/>
        <n x="5" s="1"/>
        <n x="3" s="1"/>
        <n x="4" s="1"/>
        <n x="104"/>
        <n x="47"/>
        <n x="162"/>
      </t>
    </mdx>
    <mdx n="0" f="v">
      <t c="8">
        <n x="1" s="1"/>
        <n x="2" s="1"/>
        <n x="5" s="1"/>
        <n x="3" s="1"/>
        <n x="4" s="1"/>
        <n x="104"/>
        <n x="47"/>
        <n x="87"/>
      </t>
    </mdx>
    <mdx n="0" f="v">
      <t c="8">
        <n x="1" s="1"/>
        <n x="2" s="1"/>
        <n x="5" s="1"/>
        <n x="3" s="1"/>
        <n x="4" s="1"/>
        <n x="104"/>
        <n x="51"/>
        <n x="63"/>
      </t>
    </mdx>
    <mdx n="0" f="v">
      <t c="8">
        <n x="1" s="1"/>
        <n x="2" s="1"/>
        <n x="5" s="1"/>
        <n x="3" s="1"/>
        <n x="4" s="1"/>
        <n x="104"/>
        <n x="51"/>
        <n x="154"/>
      </t>
    </mdx>
    <mdx n="0" f="v">
      <t c="8">
        <n x="1" s="1"/>
        <n x="2" s="1"/>
        <n x="5" s="1"/>
        <n x="3" s="1"/>
        <n x="4" s="1"/>
        <n x="104"/>
        <n x="51"/>
        <n x="127"/>
      </t>
    </mdx>
    <mdx n="0" f="v">
      <t c="8">
        <n x="1" s="1"/>
        <n x="2" s="1"/>
        <n x="5" s="1"/>
        <n x="3" s="1"/>
        <n x="4" s="1"/>
        <n x="104"/>
        <n x="53"/>
        <n x="164" s="1"/>
      </t>
    </mdx>
    <mdx n="0" f="v">
      <t c="8">
        <n x="1" s="1"/>
        <n x="2" s="1"/>
        <n x="5" s="1"/>
        <n x="3" s="1"/>
        <n x="4" s="1"/>
        <n x="104"/>
        <n x="53"/>
        <n x="128"/>
      </t>
    </mdx>
    <mdx n="0" f="v">
      <t c="8">
        <n x="1" s="1"/>
        <n x="2" s="1"/>
        <n x="5" s="1"/>
        <n x="3" s="1"/>
        <n x="4" s="1"/>
        <n x="104"/>
        <n x="53"/>
        <n x="116"/>
      </t>
    </mdx>
    <mdx n="0" f="v">
      <t c="8">
        <n x="1" s="1"/>
        <n x="2" s="1"/>
        <n x="5" s="1"/>
        <n x="3" s="1"/>
        <n x="4" s="1"/>
        <n x="104"/>
        <n x="53"/>
        <n x="77"/>
      </t>
    </mdx>
    <mdx n="0" f="v">
      <t c="8">
        <n x="1" s="1"/>
        <n x="2" s="1"/>
        <n x="5" s="1"/>
        <n x="3" s="1"/>
        <n x="4" s="1"/>
        <n x="104"/>
        <n x="55"/>
        <n x="108"/>
      </t>
    </mdx>
    <mdx n="0" f="v">
      <t c="8">
        <n x="1" s="1"/>
        <n x="2" s="1"/>
        <n x="5" s="1"/>
        <n x="3" s="1"/>
        <n x="4" s="1"/>
        <n x="104"/>
        <n x="55"/>
        <n x="94"/>
      </t>
    </mdx>
    <mdx n="0" f="v">
      <t c="8">
        <n x="1" s="1"/>
        <n x="2" s="1"/>
        <n x="5" s="1"/>
        <n x="3" s="1"/>
        <n x="4" s="1"/>
        <n x="104"/>
        <n x="55"/>
        <n x="54"/>
      </t>
    </mdx>
    <mdx n="0" f="v">
      <t c="8">
        <n x="1" s="1"/>
        <n x="2" s="1"/>
        <n x="5" s="1"/>
        <n x="3" s="1"/>
        <n x="4" s="1"/>
        <n x="104"/>
        <n x="41"/>
        <n x="102"/>
      </t>
    </mdx>
    <mdx n="0" f="v">
      <t c="8">
        <n x="1" s="1"/>
        <n x="2" s="1"/>
        <n x="5" s="1"/>
        <n x="3" s="1"/>
        <n x="4" s="1"/>
        <n x="104"/>
        <n x="41"/>
        <n x="58"/>
      </t>
    </mdx>
    <mdx n="0" f="v">
      <t c="8">
        <n x="1" s="1"/>
        <n x="2" s="1"/>
        <n x="5" s="1"/>
        <n x="3" s="1"/>
        <n x="4" s="1"/>
        <n x="104"/>
        <n x="41"/>
        <n x="155"/>
      </t>
    </mdx>
    <mdx n="0" f="v">
      <t c="8">
        <n x="1" s="1"/>
        <n x="2" s="1"/>
        <n x="5" s="1"/>
        <n x="3" s="1"/>
        <n x="4" s="1"/>
        <n x="104"/>
        <n x="74"/>
        <n x="13"/>
      </t>
    </mdx>
    <mdx n="0" f="v">
      <t c="8">
        <n x="1" s="1"/>
        <n x="2" s="1"/>
        <n x="5" s="1"/>
        <n x="3" s="1"/>
        <n x="4" s="1"/>
        <n x="104"/>
        <n x="74"/>
        <n x="14"/>
      </t>
    </mdx>
    <mdx n="0" f="v">
      <t c="8">
        <n x="1" s="1"/>
        <n x="2" s="1"/>
        <n x="5" s="1"/>
        <n x="3" s="1"/>
        <n x="4" s="1"/>
        <n x="104"/>
        <n x="74"/>
        <n x="15"/>
      </t>
    </mdx>
    <mdx n="0" f="v">
      <t c="8">
        <n x="1" s="1"/>
        <n x="2" s="1"/>
        <n x="5" s="1"/>
        <n x="3" s="1"/>
        <n x="4" s="1"/>
        <n x="104"/>
        <n x="83"/>
        <n x="75"/>
      </t>
    </mdx>
    <mdx n="0" f="v">
      <t c="8">
        <n x="1" s="1"/>
        <n x="2" s="1"/>
        <n x="5" s="1"/>
        <n x="3" s="1"/>
        <n x="4" s="1"/>
        <n x="104"/>
        <n x="83"/>
        <n x="48"/>
      </t>
    </mdx>
    <mdx n="0" f="v">
      <t c="8">
        <n x="1" s="1"/>
        <n x="2" s="1"/>
        <n x="5" s="1"/>
        <n x="3" s="1"/>
        <n x="4" s="1"/>
        <n x="104"/>
        <n x="83"/>
        <n x="141"/>
      </t>
    </mdx>
    <mdx n="0" f="v">
      <t c="8">
        <n x="1" s="1"/>
        <n x="2" s="1"/>
        <n x="5" s="1"/>
        <n x="3" s="1"/>
        <n x="4" s="1"/>
        <n x="104"/>
        <n x="92"/>
        <n x="56"/>
      </t>
    </mdx>
    <mdx n="0" f="v">
      <t c="8">
        <n x="1" s="1"/>
        <n x="2" s="1"/>
        <n x="5" s="1"/>
        <n x="3" s="1"/>
        <n x="4" s="1"/>
        <n x="104"/>
        <n x="92"/>
        <n x="147"/>
      </t>
    </mdx>
    <mdx n="0" f="v">
      <t c="8">
        <n x="1" s="1"/>
        <n x="2" s="1"/>
        <n x="5" s="1"/>
        <n x="3" s="1"/>
        <n x="4" s="1"/>
        <n x="104"/>
        <n x="92"/>
        <n x="119"/>
      </t>
    </mdx>
    <mdx n="0" f="v">
      <t c="8">
        <n x="1" s="1"/>
        <n x="2" s="1"/>
        <n x="5" s="1"/>
        <n x="3" s="1"/>
        <n x="4" s="1"/>
        <n x="104"/>
        <n x="92"/>
        <n x="86"/>
      </t>
    </mdx>
    <mdx n="0" f="v">
      <t c="8">
        <n x="1" s="1"/>
        <n x="2" s="1"/>
        <n x="5" s="1"/>
        <n x="3" s="1"/>
        <n x="4" s="1"/>
        <n x="104"/>
        <n x="101"/>
        <n x="109"/>
      </t>
    </mdx>
    <mdx n="0" f="v">
      <t c="8">
        <n x="1" s="1"/>
        <n x="2" s="1"/>
        <n x="5" s="1"/>
        <n x="3" s="1"/>
        <n x="4" s="1"/>
        <n x="104"/>
        <n x="101"/>
        <n x="103"/>
      </t>
    </mdx>
    <mdx n="0" f="v">
      <t c="8">
        <n x="1" s="1"/>
        <n x="2" s="1"/>
        <n x="5" s="1"/>
        <n x="3" s="1"/>
        <n x="4" s="1"/>
        <n x="104"/>
        <n x="101"/>
        <n x="69"/>
      </t>
    </mdx>
    <mdx n="0" f="v">
      <t c="8">
        <n x="1" s="1"/>
        <n x="2" s="1"/>
        <n x="5" s="1"/>
        <n x="3" s="1"/>
        <n x="4" s="1"/>
        <n x="104"/>
        <n x="114"/>
        <n x="115"/>
      </t>
    </mdx>
    <mdx n="0" f="v">
      <t c="8">
        <n x="1" s="1"/>
        <n x="2" s="1"/>
        <n x="5" s="1"/>
        <n x="3" s="1"/>
        <n x="4" s="1"/>
        <n x="104"/>
        <n x="114"/>
        <n x="76"/>
      </t>
    </mdx>
    <mdx n="0" f="v">
      <t c="8">
        <n x="1" s="1"/>
        <n x="2" s="1"/>
        <n x="5" s="1"/>
        <n x="3" s="1"/>
        <n x="4" s="1"/>
        <n x="104"/>
        <n x="114"/>
        <n x="49"/>
      </t>
    </mdx>
    <mdx n="0" f="v">
      <t c="8">
        <n x="1" s="1"/>
        <n x="2" s="1"/>
        <n x="5" s="1"/>
        <n x="3" s="1"/>
        <n x="4" s="1"/>
        <n x="104"/>
        <n x="118"/>
        <n x="28"/>
      </t>
    </mdx>
    <mdx n="0" f="v">
      <t c="8">
        <n x="1" s="1"/>
        <n x="2" s="1"/>
        <n x="5" s="1"/>
        <n x="3" s="1"/>
        <n x="4" s="1"/>
        <n x="104"/>
        <n x="118"/>
        <n x="29"/>
      </t>
    </mdx>
    <mdx n="0" f="v">
      <t c="8">
        <n x="1" s="1"/>
        <n x="2" s="1"/>
        <n x="5" s="1"/>
        <n x="3" s="1"/>
        <n x="4" s="1"/>
        <n x="104"/>
        <n x="118"/>
        <n x="16"/>
      </t>
    </mdx>
    <mdx n="0" f="v">
      <t c="8">
        <n x="1" s="1"/>
        <n x="2" s="1"/>
        <n x="5" s="1"/>
        <n x="3" s="1"/>
        <n x="4" s="1"/>
        <n x="104"/>
        <n x="121"/>
        <n x="84"/>
      </t>
    </mdx>
    <mdx n="0" f="v">
      <t c="8">
        <n x="1" s="1"/>
        <n x="2" s="1"/>
        <n x="5" s="1"/>
        <n x="3" s="1"/>
        <n x="4" s="1"/>
        <n x="104"/>
        <n x="121"/>
        <n x="160"/>
      </t>
    </mdx>
    <mdx n="0" f="v">
      <t c="8">
        <n x="1" s="1"/>
        <n x="2" s="1"/>
        <n x="5" s="1"/>
        <n x="3" s="1"/>
        <n x="4" s="1"/>
        <n x="104"/>
        <n x="121"/>
        <n x="148"/>
      </t>
    </mdx>
    <mdx n="0" f="v">
      <t c="8">
        <n x="1" s="1"/>
        <n x="2" s="1"/>
        <n x="5" s="1"/>
        <n x="3" s="1"/>
        <n x="4" s="1"/>
        <n x="104"/>
        <n x="12"/>
        <n x="62"/>
      </t>
    </mdx>
    <mdx n="0" f="v">
      <t c="8">
        <n x="1" s="1"/>
        <n x="2" s="1"/>
        <n x="5" s="1"/>
        <n x="3" s="1"/>
        <n x="4" s="1"/>
        <n x="104"/>
        <n x="12"/>
        <n x="59"/>
      </t>
    </mdx>
    <mdx n="0" f="v">
      <t c="8">
        <n x="1" s="1"/>
        <n x="2" s="1"/>
        <n x="5" s="1"/>
        <n x="3" s="1"/>
        <n x="4" s="1"/>
        <n x="104"/>
        <n x="12"/>
        <n x="122"/>
      </t>
    </mdx>
    <mdx n="0" f="v">
      <t c="8">
        <n x="1" s="1"/>
        <n x="2" s="1"/>
        <n x="5" s="1"/>
        <n x="3" s="1"/>
        <n x="4" s="1"/>
        <n x="104"/>
        <n x="12"/>
        <n x="95"/>
      </t>
    </mdx>
    <mdx n="0" f="v">
      <t c="8">
        <n x="1" s="1"/>
        <n x="2" s="1"/>
        <n x="5" s="1"/>
        <n x="3" s="1"/>
        <n x="4" s="1"/>
        <n x="104"/>
        <n x="27"/>
        <n x="43"/>
      </t>
    </mdx>
    <mdx n="0" f="v">
      <t c="8">
        <n x="1" s="1"/>
        <n x="2" s="1"/>
        <n x="5" s="1"/>
        <n x="3" s="1"/>
        <n x="4" s="1"/>
        <n x="104"/>
        <n x="27"/>
        <n x="44"/>
      </t>
    </mdx>
    <mdx n="0" f="v">
      <t c="8">
        <n x="1" s="1"/>
        <n x="2" s="1"/>
        <n x="5" s="1"/>
        <n x="3" s="1"/>
        <n x="4" s="1"/>
        <n x="104"/>
        <n x="27"/>
        <n x="45"/>
      </t>
    </mdx>
    <mdx n="0" f="v">
      <t c="8">
        <n x="1" s="1"/>
        <n x="2" s="1"/>
        <n x="5" s="1"/>
        <n x="3" s="1"/>
        <n x="4" s="1"/>
        <n x="104"/>
        <n x="32"/>
        <n x="107"/>
      </t>
    </mdx>
    <mdx n="0" f="v">
      <t c="8">
        <n x="1" s="1"/>
        <n x="2" s="1"/>
        <n x="5" s="1"/>
        <n x="3" s="1"/>
        <n x="4" s="1"/>
        <n x="104"/>
        <n x="32"/>
        <n x="85"/>
      </t>
    </mdx>
    <mdx n="0" f="v">
      <t c="8">
        <n x="1" s="1"/>
        <n x="2" s="1"/>
        <n x="5" s="1"/>
        <n x="3" s="1"/>
        <n x="4" s="1"/>
        <n x="104"/>
        <n x="32"/>
        <n x="52"/>
      </t>
    </mdx>
    <mdx n="0" f="v">
      <t c="8">
        <n x="1" s="1"/>
        <n x="2" s="1"/>
        <n x="5" s="1"/>
        <n x="3" s="1"/>
        <n x="4" s="1"/>
        <n x="104"/>
        <n x="132"/>
        <n x="19"/>
      </t>
    </mdx>
    <mdx n="0" f="v">
      <t c="8">
        <n x="1" s="1"/>
        <n x="2" s="1"/>
        <n x="5" s="1"/>
        <n x="3" s="1"/>
        <n x="4" s="1"/>
        <n x="104"/>
        <n x="132"/>
        <n x="20"/>
      </t>
    </mdx>
    <mdx n="0" f="v">
      <t c="8">
        <n x="1" s="1"/>
        <n x="2" s="1"/>
        <n x="5" s="1"/>
        <n x="3" s="1"/>
        <n x="4" s="1"/>
        <n x="104"/>
        <n x="132"/>
        <n x="33"/>
      </t>
    </mdx>
    <mdx n="0" f="v">
      <t c="8">
        <n x="1" s="1"/>
        <n x="2" s="1"/>
        <n x="5" s="1"/>
        <n x="3" s="1"/>
        <n x="4" s="1"/>
        <n x="104"/>
        <n x="135"/>
        <n x="93"/>
      </t>
    </mdx>
    <mdx n="0" f="v">
      <t c="8">
        <n x="1" s="1"/>
        <n x="2" s="1"/>
        <n x="5" s="1"/>
        <n x="3" s="1"/>
        <n x="4" s="1"/>
        <n x="104"/>
        <n x="135"/>
        <n x="162"/>
      </t>
    </mdx>
    <mdx n="0" f="v">
      <t c="8">
        <n x="1" s="1"/>
        <n x="2" s="1"/>
        <n x="5" s="1"/>
        <n x="3" s="1"/>
        <n x="4" s="1"/>
        <n x="104"/>
        <n x="135"/>
        <n x="87"/>
      </t>
    </mdx>
    <mdx n="0" f="v">
      <t c="8">
        <n x="1" s="1"/>
        <n x="2" s="1"/>
        <n x="5" s="1"/>
        <n x="3" s="1"/>
        <n x="4" s="1"/>
        <n x="104"/>
        <n x="146"/>
        <n x="63"/>
      </t>
    </mdx>
    <mdx n="0" f="v">
      <t c="8">
        <n x="1" s="1"/>
        <n x="2" s="1"/>
        <n x="5" s="1"/>
        <n x="3" s="1"/>
        <n x="4" s="1"/>
        <n x="104"/>
        <n x="146"/>
        <n x="154"/>
      </t>
    </mdx>
    <mdx n="0" f="v">
      <t c="8">
        <n x="1" s="1"/>
        <n x="2" s="1"/>
        <n x="5" s="1"/>
        <n x="3" s="1"/>
        <n x="4" s="1"/>
        <n x="104"/>
        <n x="146"/>
        <n x="127"/>
      </t>
    </mdx>
    <mdx n="0" f="v">
      <t c="8">
        <n x="1" s="1"/>
        <n x="2" s="1"/>
        <n x="5" s="1"/>
        <n x="3" s="1"/>
        <n x="4" s="1"/>
        <n x="104"/>
        <n x="136"/>
        <n x="164" s="1"/>
      </t>
    </mdx>
    <mdx n="0" f="v">
      <t c="8">
        <n x="1" s="1"/>
        <n x="2" s="1"/>
        <n x="5" s="1"/>
        <n x="3" s="1"/>
        <n x="4" s="1"/>
        <n x="104"/>
        <n x="136"/>
        <n x="128"/>
      </t>
    </mdx>
    <mdx n="0" f="v">
      <t c="8">
        <n x="1" s="1"/>
        <n x="2" s="1"/>
        <n x="5" s="1"/>
        <n x="3" s="1"/>
        <n x="4" s="1"/>
        <n x="104"/>
        <n x="136"/>
        <n x="116"/>
      </t>
    </mdx>
    <mdx n="0" f="v">
      <t c="8">
        <n x="1" s="1"/>
        <n x="2" s="1"/>
        <n x="5" s="1"/>
        <n x="3" s="1"/>
        <n x="4" s="1"/>
        <n x="104"/>
        <n x="136"/>
        <n x="77"/>
      </t>
    </mdx>
    <mdx n="0" f="v">
      <t c="8">
        <n x="1" s="1"/>
        <n x="2" s="1"/>
        <n x="5" s="1"/>
        <n x="3" s="1"/>
        <n x="4" s="1"/>
        <n x="104"/>
        <n x="42"/>
        <n x="108"/>
      </t>
    </mdx>
    <mdx n="0" f="v">
      <t c="8">
        <n x="1" s="1"/>
        <n x="2" s="1"/>
        <n x="5" s="1"/>
        <n x="3" s="1"/>
        <n x="4" s="1"/>
        <n x="104"/>
        <n x="42"/>
        <n x="94"/>
      </t>
    </mdx>
    <mdx n="0" f="v">
      <t c="8">
        <n x="1" s="1"/>
        <n x="2" s="1"/>
        <n x="5" s="1"/>
        <n x="3" s="1"/>
        <n x="4" s="1"/>
        <n x="104"/>
        <n x="42"/>
        <n x="54"/>
      </t>
    </mdx>
    <mdx n="0" f="v">
      <t c="8">
        <n x="1" s="1"/>
        <n x="2" s="1"/>
        <n x="5" s="1"/>
        <n x="3" s="1"/>
        <n x="4" s="1"/>
        <n x="104"/>
        <n x="67"/>
        <n x="116"/>
      </t>
    </mdx>
    <mdx n="0" f="v">
      <t c="8">
        <n x="1" s="1"/>
        <n x="2" s="1"/>
        <n x="5" s="1"/>
        <n x="3" s="1"/>
        <n x="4" s="1"/>
        <n x="104"/>
        <n x="99"/>
        <n x="48"/>
      </t>
    </mdx>
    <mdx n="0" f="v">
      <t c="8">
        <n x="1" s="1"/>
        <n x="2" s="1"/>
        <n x="5" s="1"/>
        <n x="3" s="1"/>
        <n x="4" s="1"/>
        <n x="104"/>
        <n x="139"/>
        <n x="85"/>
      </t>
    </mdx>
    <mdx n="0" f="v">
      <t c="8">
        <n x="1" s="1"/>
        <n x="2" s="1"/>
        <n x="5" s="1"/>
        <n x="3" s="1"/>
        <n x="4" s="1"/>
        <n x="104"/>
        <n x="57"/>
        <n x="62"/>
      </t>
    </mdx>
    <mdx n="0" f="v">
      <t c="8">
        <n x="1" s="1"/>
        <n x="2" s="1"/>
        <n x="5" s="1"/>
        <n x="3" s="1"/>
        <n x="4" s="1"/>
        <n x="104"/>
        <n x="68"/>
        <n x="122"/>
      </t>
    </mdx>
    <mdx n="0" f="v">
      <t c="8">
        <n x="1" s="1"/>
        <n x="2" s="1"/>
        <n x="5" s="1"/>
        <n x="3" s="1"/>
        <n x="4" s="1"/>
        <n x="104"/>
        <n x="73"/>
        <n x="15"/>
      </t>
    </mdx>
    <mdx n="0" f="v">
      <t c="8">
        <n x="1" s="1"/>
        <n x="2" s="1"/>
        <n x="5" s="1"/>
        <n x="3" s="1"/>
        <n x="4" s="1"/>
        <n x="104"/>
        <n x="82"/>
        <n x="29"/>
      </t>
    </mdx>
    <mdx n="0" f="v">
      <t c="8">
        <n x="1" s="1"/>
        <n x="2" s="1"/>
        <n x="5" s="1"/>
        <n x="3" s="1"/>
        <n x="4" s="1"/>
        <n x="104"/>
        <n x="91"/>
        <n x="102"/>
      </t>
    </mdx>
    <mdx n="0" f="v">
      <t c="8">
        <n x="1" s="1"/>
        <n x="2" s="1"/>
        <n x="5" s="1"/>
        <n x="3" s="1"/>
        <n x="4" s="1"/>
        <n x="104"/>
        <n x="91"/>
        <n x="54"/>
      </t>
    </mdx>
    <mdx n="0" f="v">
      <t c="8">
        <n x="1" s="1"/>
        <n x="2" s="1"/>
        <n x="5" s="1"/>
        <n x="3" s="1"/>
        <n x="4" s="1"/>
        <n x="104"/>
        <n x="100"/>
        <n x="14"/>
      </t>
    </mdx>
    <mdx n="0" f="v">
      <t c="8">
        <n x="1" s="1"/>
        <n x="2" s="1"/>
        <n x="5" s="1"/>
        <n x="3" s="1"/>
        <n x="4" s="1"/>
        <n x="104"/>
        <n x="40"/>
        <n x="62"/>
      </t>
    </mdx>
    <mdx n="0" f="v">
      <t c="8">
        <n x="1" s="1"/>
        <n x="2" s="1"/>
        <n x="5" s="1"/>
        <n x="3" s="1"/>
        <n x="4" s="1"/>
        <n x="104"/>
        <n x="40"/>
        <n x="58"/>
      </t>
    </mdx>
    <mdx n="0" f="v">
      <t c="8">
        <n x="1" s="1"/>
        <n x="2" s="1"/>
        <n x="5" s="1"/>
        <n x="3" s="1"/>
        <n x="4" s="1"/>
        <n x="104"/>
        <n x="40"/>
        <n x="95"/>
      </t>
    </mdx>
    <mdx n="0" f="v">
      <t c="8">
        <n x="1" s="1"/>
        <n x="2" s="1"/>
        <n x="5" s="1"/>
        <n x="3" s="1"/>
        <n x="4" s="1"/>
        <n x="104"/>
        <n x="113"/>
        <n x="162"/>
      </t>
    </mdx>
    <mdx n="0" f="v">
      <t c="8">
        <n x="1" s="1"/>
        <n x="2" s="1"/>
        <n x="5" s="1"/>
        <n x="3" s="1"/>
        <n x="4" s="1"/>
        <n x="104"/>
        <n x="113"/>
        <n x="52"/>
      </t>
    </mdx>
    <mdx n="0" f="v">
      <t c="8">
        <n x="1" s="1"/>
        <n x="2" s="1"/>
        <n x="5" s="1"/>
        <n x="3" s="1"/>
        <n x="4" s="1"/>
        <n x="104"/>
        <n x="26"/>
        <n x="148"/>
      </t>
    </mdx>
    <mdx n="0" f="v">
      <t c="8">
        <n x="1" s="1"/>
        <n x="2" s="1"/>
        <n x="5" s="1"/>
        <n x="3" s="1"/>
        <n x="4" s="1"/>
        <n x="104"/>
        <n x="92"/>
        <n x="95"/>
      </t>
    </mdx>
    <mdx n="0" f="v">
      <t c="8">
        <n x="1" s="1"/>
        <n x="2" s="1"/>
        <n x="5" s="1"/>
        <n x="3" s="1"/>
        <n x="4" s="1"/>
        <n x="104"/>
        <n x="121"/>
        <n x="102"/>
      </t>
    </mdx>
    <mdx n="0" f="v">
      <t c="8">
        <n x="1" s="1"/>
        <n x="2" s="1"/>
        <n x="5" s="1"/>
        <n x="3" s="1"/>
        <n x="4" s="1"/>
        <n x="104"/>
        <n x="27"/>
        <n x="128"/>
      </t>
    </mdx>
    <mdx n="0" f="v">
      <t c="8">
        <n x="1" s="1"/>
        <n x="2" s="1"/>
        <n x="5" s="1"/>
        <n x="3" s="1"/>
        <n x="4" s="1"/>
        <n x="104"/>
        <n x="32"/>
        <n x="14"/>
      </t>
    </mdx>
    <mdx n="0" f="v">
      <t c="8">
        <n x="1" s="1"/>
        <n x="2" s="1"/>
        <n x="5" s="1"/>
        <n x="3" s="1"/>
        <n x="4" s="1"/>
        <n x="104"/>
        <n x="132"/>
        <n x="85"/>
      </t>
    </mdx>
    <mdx n="0" f="v">
      <t c="8">
        <n x="1" s="1"/>
        <n x="2" s="1"/>
        <n x="5" s="1"/>
        <n x="3" s="1"/>
        <n x="4" s="1"/>
        <n x="104"/>
        <n x="135"/>
        <n x="86"/>
      </t>
    </mdx>
    <mdx n="0" f="v">
      <t c="8">
        <n x="1" s="1"/>
        <n x="2" s="1"/>
        <n x="5" s="1"/>
        <n x="3" s="1"/>
        <n x="4" s="1"/>
        <n x="104"/>
        <n x="136"/>
        <n x="43"/>
      </t>
    </mdx>
    <mdx n="0" f="v">
      <t c="8">
        <n x="1" s="1"/>
        <n x="2" s="1"/>
        <n x="5" s="1"/>
        <n x="3" s="1"/>
        <n x="4" s="1"/>
        <n x="104"/>
        <n x="42"/>
        <n x="19"/>
      </t>
    </mdx>
    <mdx n="0" f="v">
      <t c="8">
        <n x="1" s="1"/>
        <n x="2" s="1"/>
        <n x="5" s="1"/>
        <n x="3" s="1"/>
        <n x="4" s="1"/>
        <n x="104"/>
        <n x="136"/>
        <n x="87"/>
      </t>
    </mdx>
    <mdx n="0" f="v">
      <t c="8">
        <n x="1" s="1"/>
        <n x="2" s="1"/>
        <n x="5" s="1"/>
        <n x="3" s="1"/>
        <n x="4" s="1"/>
        <n x="104"/>
        <n x="42"/>
        <n x="44"/>
      </t>
    </mdx>
    <mdx n="0" f="v">
      <t c="8">
        <n x="1" s="1"/>
        <n x="2" s="1"/>
        <n x="5" s="1"/>
        <n x="3" s="1"/>
        <n x="4" s="1"/>
        <n x="104"/>
        <n x="135"/>
        <n x="52"/>
      </t>
    </mdx>
    <mdx n="0" f="v">
      <t c="8">
        <n x="1" s="1"/>
        <n x="2" s="1"/>
        <n x="5" s="1"/>
        <n x="3" s="1"/>
        <n x="4" s="1"/>
        <n x="104"/>
        <n x="131"/>
        <n x="16"/>
      </t>
    </mdx>
    <mdx n="0" f="v">
      <t c="8">
        <n x="1" s="1"/>
        <n x="2" s="1"/>
        <n x="5" s="1"/>
        <n x="3" s="1"/>
        <n x="4" s="1"/>
        <n x="104"/>
        <n x="35"/>
        <n x="75"/>
      </t>
    </mdx>
    <mdx n="0" f="v">
      <t c="8">
        <n x="1" s="1"/>
        <n x="2" s="1"/>
        <n x="5" s="1"/>
        <n x="3" s="1"/>
        <n x="4" s="1"/>
        <n x="104"/>
        <n x="55"/>
        <n x="109"/>
      </t>
    </mdx>
    <mdx n="0" f="v">
      <t c="8">
        <n x="1" s="1"/>
        <n x="2" s="1"/>
        <n x="5" s="1"/>
        <n x="3" s="1"/>
        <n x="4" s="1"/>
        <n x="104"/>
        <n x="101"/>
        <n x="43"/>
      </t>
    </mdx>
    <mdx n="0" f="v">
      <t c="8">
        <n x="1" s="1"/>
        <n x="2" s="1"/>
        <n x="5" s="1"/>
        <n x="3" s="1"/>
        <n x="4" s="1"/>
        <n x="104"/>
        <n x="118"/>
        <n x="160"/>
      </t>
    </mdx>
    <mdx n="0" f="v">
      <t c="8">
        <n x="1" s="1"/>
        <n x="2" s="1"/>
        <n x="5" s="1"/>
        <n x="3" s="1"/>
        <n x="4" s="1"/>
        <n x="104"/>
        <n x="121"/>
        <n x="147"/>
      </t>
    </mdx>
    <mdx n="0" f="v">
      <t c="8">
        <n x="1" s="1"/>
        <n x="2" s="1"/>
        <n x="5" s="1"/>
        <n x="3" s="1"/>
        <n x="4" s="1"/>
        <n x="104"/>
        <n x="12"/>
        <n x="164" s="1"/>
      </t>
    </mdx>
    <mdx n="0" f="v">
      <t c="8">
        <n x="1" s="1"/>
        <n x="2" s="1"/>
        <n x="5" s="1"/>
        <n x="3" s="1"/>
        <n x="4" s="1"/>
        <n x="104"/>
        <n x="12"/>
        <n x="87"/>
      </t>
    </mdx>
    <mdx n="0" f="v">
      <t c="8">
        <n x="1" s="1"/>
        <n x="2" s="1"/>
        <n x="5" s="1"/>
        <n x="3" s="1"/>
        <n x="4" s="1"/>
        <n x="104"/>
        <n x="27"/>
        <n x="59"/>
      </t>
    </mdx>
    <mdx n="0" f="v">
      <t c="8">
        <n x="1" s="1"/>
        <n x="2" s="1"/>
        <n x="5" s="1"/>
        <n x="3" s="1"/>
        <n x="4" s="1"/>
        <n x="104"/>
        <n x="27"/>
        <n x="54"/>
      </t>
    </mdx>
    <mdx n="0" f="v">
      <t c="8">
        <n x="1" s="1"/>
        <n x="2" s="1"/>
        <n x="5" s="1"/>
        <n x="3" s="1"/>
        <n x="4" s="1"/>
        <n x="104"/>
        <n x="32"/>
        <n x="29"/>
      </t>
    </mdx>
    <mdx n="0" f="v">
      <t c="8">
        <n x="1" s="1"/>
        <n x="2" s="1"/>
        <n x="5" s="1"/>
        <n x="3" s="1"/>
        <n x="4" s="1"/>
        <n x="104"/>
        <n x="32"/>
        <n x="95"/>
      </t>
    </mdx>
    <mdx n="0" f="v">
      <t c="8">
        <n x="1" s="1"/>
        <n x="2" s="1"/>
        <n x="5" s="1"/>
        <n x="3" s="1"/>
        <n x="4" s="1"/>
        <n x="104"/>
        <n x="132"/>
        <n x="94"/>
      </t>
    </mdx>
    <mdx n="0" f="v">
      <t c="8">
        <n x="1" s="1"/>
        <n x="2" s="1"/>
        <n x="5" s="1"/>
        <n x="3" s="1"/>
        <n x="4" s="1"/>
        <n x="104"/>
        <n x="135"/>
        <n x="63"/>
      </t>
    </mdx>
    <mdx n="0" f="v">
      <t c="8">
        <n x="1" s="1"/>
        <n x="2" s="1"/>
        <n x="5" s="1"/>
        <n x="3" s="1"/>
        <n x="4" s="1"/>
        <n x="104"/>
        <n x="135"/>
        <n x="58"/>
      </t>
    </mdx>
    <mdx n="0" f="v">
      <t c="8">
        <n x="1" s="1"/>
        <n x="2" s="1"/>
        <n x="5" s="1"/>
        <n x="3" s="1"/>
        <n x="4" s="1"/>
        <n x="104"/>
        <n x="135"/>
        <n x="95"/>
      </t>
    </mdx>
    <mdx n="0" f="v">
      <t c="8">
        <n x="1" s="1"/>
        <n x="2" s="1"/>
        <n x="5" s="1"/>
        <n x="3" s="1"/>
        <n x="4" s="1"/>
        <n x="104"/>
        <n x="146"/>
        <n x="162"/>
      </t>
    </mdx>
    <mdx n="0" f="v">
      <t c="8">
        <n x="1" s="1"/>
        <n x="2" s="1"/>
        <n x="5" s="1"/>
        <n x="3" s="1"/>
        <n x="4" s="1"/>
        <n x="104"/>
        <n x="146"/>
        <n x="69"/>
      </t>
    </mdx>
    <mdx n="0" f="v">
      <t c="8">
        <n x="1" s="1"/>
        <n x="2" s="1"/>
        <n x="5" s="1"/>
        <n x="3" s="1"/>
        <n x="4" s="1"/>
        <n x="104"/>
        <n x="136"/>
        <n x="147"/>
      </t>
    </mdx>
    <mdx n="0" f="v">
      <t c="8">
        <n x="1" s="1"/>
        <n x="2" s="1"/>
        <n x="5" s="1"/>
        <n x="3" s="1"/>
        <n x="4" s="1"/>
        <n x="104"/>
        <n x="42"/>
        <n x="102"/>
      </t>
    </mdx>
    <mdx n="0" f="v">
      <t c="8">
        <n x="1" s="1"/>
        <n x="2" s="1"/>
        <n x="5" s="1"/>
        <n x="3" s="1"/>
        <n x="4" s="1"/>
        <n x="104"/>
        <n x="132"/>
        <n x="14"/>
      </t>
    </mdx>
    <mdx n="0" f="v">
      <t c="8">
        <n x="1" s="1"/>
        <n x="2" s="1"/>
        <n x="5" s="1"/>
        <n x="3" s="1"/>
        <n x="4" s="1"/>
        <n x="104"/>
        <n x="134"/>
        <n x="108"/>
      </t>
    </mdx>
    <mdx n="0" f="v">
      <t c="8">
        <n x="1" s="1"/>
        <n x="2" s="1"/>
        <n x="5" s="1"/>
        <n x="3" s="1"/>
        <n x="4" s="1"/>
        <n x="104"/>
        <n x="35"/>
        <n x="29"/>
      </t>
    </mdx>
    <mdx n="0" f="v">
      <t c="8">
        <n x="1" s="1"/>
        <n x="2" s="1"/>
        <n x="5" s="1"/>
        <n x="3" s="1"/>
        <n x="4" s="1"/>
        <n x="104"/>
        <n x="55"/>
        <n x="103"/>
      </t>
    </mdx>
    <mdx n="0" f="v">
      <t c="8">
        <n x="1" s="1"/>
        <n x="2" s="1"/>
        <n x="5" s="1"/>
        <n x="3" s="1"/>
        <n x="4" s="1"/>
        <n x="104"/>
        <n x="101"/>
        <n x="44"/>
      </t>
    </mdx>
    <mdx n="0" f="v">
      <t c="8">
        <n x="1" s="1"/>
        <n x="2" s="1"/>
        <n x="5" s="1"/>
        <n x="3" s="1"/>
        <n x="4" s="1"/>
        <n x="104"/>
        <n x="118"/>
        <n x="20"/>
      </t>
    </mdx>
    <mdx n="0" f="v">
      <t c="8">
        <n x="1" s="1"/>
        <n x="2" s="1"/>
        <n x="5" s="1"/>
        <n x="3" s="1"/>
        <n x="4" s="1"/>
        <n x="104"/>
        <n x="121"/>
        <n x="59"/>
      </t>
    </mdx>
    <mdx n="0" f="v">
      <t c="8">
        <n x="1" s="1"/>
        <n x="2" s="1"/>
        <n x="5" s="1"/>
        <n x="3" s="1"/>
        <n x="4" s="1"/>
        <n x="104"/>
        <n x="12"/>
        <n x="63"/>
      </t>
    </mdx>
    <mdx n="0" f="v">
      <t c="8">
        <n x="1" s="1"/>
        <n x="2" s="1"/>
        <n x="5" s="1"/>
        <n x="3" s="1"/>
        <n x="4" s="1"/>
        <n x="104"/>
        <n x="12"/>
        <n x="15"/>
      </t>
    </mdx>
    <mdx n="0" f="v">
      <t c="8">
        <n x="1" s="1"/>
        <n x="2" s="1"/>
        <n x="5" s="1"/>
        <n x="3" s="1"/>
        <n x="4" s="1"/>
        <n x="104"/>
        <n x="27"/>
        <n x="154"/>
      </t>
    </mdx>
    <mdx n="0" f="v">
      <t c="8">
        <n x="1" s="1"/>
        <n x="2" s="1"/>
        <n x="5" s="1"/>
        <n x="3" s="1"/>
        <n x="4" s="1"/>
        <n x="104"/>
        <n x="27"/>
        <n x="77"/>
      </t>
    </mdx>
    <mdx n="0" f="v">
      <t c="8">
        <n x="1" s="1"/>
        <n x="2" s="1"/>
        <n x="5" s="1"/>
        <n x="3" s="1"/>
        <n x="4" s="1"/>
        <n x="104"/>
        <n x="32"/>
        <n x="20"/>
      </t>
    </mdx>
    <mdx n="0" f="v">
      <t c="8">
        <n x="1" s="1"/>
        <n x="2" s="1"/>
        <n x="5" s="1"/>
        <n x="3" s="1"/>
        <n x="4" s="1"/>
        <n x="104"/>
        <n x="132"/>
        <n x="75"/>
      </t>
    </mdx>
    <mdx n="0" f="v">
      <t c="8">
        <n x="1" s="1"/>
        <n x="2" s="1"/>
        <n x="5" s="1"/>
        <n x="3" s="1"/>
        <n x="4" s="1"/>
        <n x="104"/>
        <n x="132"/>
        <n x="103"/>
      </t>
    </mdx>
    <mdx n="0" f="v">
      <t c="8">
        <n x="1" s="1"/>
        <n x="2" s="1"/>
        <n x="5" s="1"/>
        <n x="3" s="1"/>
        <n x="4" s="1"/>
        <n x="104"/>
        <n x="135"/>
        <n x="75"/>
      </t>
    </mdx>
    <mdx n="0" f="v">
      <t c="8">
        <n x="1" s="1"/>
        <n x="2" s="1"/>
        <n x="5" s="1"/>
        <n x="3" s="1"/>
        <n x="4" s="1"/>
        <n x="104"/>
        <n x="135"/>
        <n x="76"/>
      </t>
    </mdx>
    <mdx n="0" f="v">
      <t c="8">
        <n x="1" s="1"/>
        <n x="2" s="1"/>
        <n x="5" s="1"/>
        <n x="3" s="1"/>
        <n x="4" s="1"/>
        <n x="104"/>
        <n x="146"/>
        <n x="164" s="1"/>
      </t>
    </mdx>
    <mdx n="0" f="v">
      <t c="8">
        <n x="1" s="1"/>
        <n x="2" s="1"/>
        <n x="5" s="1"/>
        <n x="3" s="1"/>
        <n x="4" s="1"/>
        <n x="104"/>
        <n x="146"/>
        <n x="14"/>
      </t>
    </mdx>
    <mdx n="0" f="v">
      <t c="8">
        <n x="1" s="1"/>
        <n x="2" s="1"/>
        <n x="5" s="1"/>
        <n x="3" s="1"/>
        <n x="4" s="1"/>
        <n x="104"/>
        <n x="146"/>
        <n x="45"/>
      </t>
    </mdx>
    <mdx n="0" f="v">
      <t c="8">
        <n x="1" s="1"/>
        <n x="2" s="1"/>
        <n x="5" s="1"/>
        <n x="3" s="1"/>
        <n x="4" s="1"/>
        <n x="104"/>
        <n x="136"/>
        <n x="154"/>
      </t>
    </mdx>
    <mdx n="0" f="v">
      <t c="8">
        <n x="1" s="1"/>
        <n x="2" s="1"/>
        <n x="5" s="1"/>
        <n x="3" s="1"/>
        <n x="4" s="1"/>
        <n x="104"/>
        <n x="136"/>
        <n x="15"/>
      </t>
    </mdx>
    <mdx n="0" f="v">
      <t c="8">
        <n x="1" s="1"/>
        <n x="2" s="1"/>
        <n x="5" s="1"/>
        <n x="3" s="1"/>
        <n x="4" s="1"/>
        <n x="104"/>
        <n x="42"/>
        <n x="115"/>
      </t>
    </mdx>
    <mdx n="0" f="v">
      <t c="8">
        <n x="1" s="1"/>
        <n x="2" s="1"/>
        <n x="5" s="1"/>
        <n x="3" s="1"/>
        <n x="4" s="1"/>
        <n x="104"/>
        <n x="42"/>
        <n x="116"/>
      </t>
    </mdx>
    <mdx n="0" f="v">
      <t c="8">
        <n x="1" s="1"/>
        <n x="2" s="1"/>
        <n x="5" s="1"/>
        <n x="3" s="1"/>
        <n x="4" s="1"/>
        <n x="104"/>
        <n x="132"/>
        <n x="77"/>
      </t>
    </mdx>
    <mdx n="0" f="v">
      <t c="8">
        <n x="1" s="1"/>
        <n x="2" s="1"/>
        <n x="5" s="1"/>
        <n x="3" s="1"/>
        <n x="4" s="1"/>
        <n x="104"/>
        <n x="134"/>
        <n x="141"/>
      </t>
    </mdx>
    <mdx n="0" f="v">
      <t c="8">
        <n x="1" s="1"/>
        <n x="2" s="1"/>
        <n x="5" s="1"/>
        <n x="3" s="1"/>
        <n x="4" s="1"/>
        <n x="104"/>
        <n x="35"/>
        <n x="155"/>
      </t>
    </mdx>
    <mdx n="0" f="v">
      <t c="8">
        <n x="1" s="1"/>
        <n x="2" s="1"/>
        <n x="5" s="1"/>
        <n x="3" s="1"/>
        <n x="4" s="1"/>
        <n x="104"/>
        <n x="55"/>
        <n x="69"/>
      </t>
    </mdx>
    <mdx n="0" f="v">
      <t c="8">
        <n x="1" s="1"/>
        <n x="2" s="1"/>
        <n x="5" s="1"/>
        <n x="3" s="1"/>
        <n x="4" s="1"/>
        <n x="104"/>
        <n x="101"/>
        <n x="45"/>
      </t>
    </mdx>
    <mdx n="0" f="v">
      <t c="8">
        <n x="1" s="1"/>
        <n x="2" s="1"/>
        <n x="5" s="1"/>
        <n x="3" s="1"/>
        <n x="4" s="1"/>
        <n x="104"/>
        <n x="118"/>
        <n x="85"/>
      </t>
    </mdx>
    <mdx n="0" f="v">
      <t c="8">
        <n x="1" s="1"/>
        <n x="2" s="1"/>
        <n x="5" s="1"/>
        <n x="3" s="1"/>
        <n x="4" s="1"/>
        <n x="104"/>
        <n x="121"/>
        <n x="154"/>
      </t>
    </mdx>
    <mdx n="0" f="v">
      <t c="8">
        <n x="1" s="1"/>
        <n x="2" s="1"/>
        <n x="5" s="1"/>
        <n x="3" s="1"/>
        <n x="4" s="1"/>
        <n x="104"/>
        <n x="12"/>
        <n x="93"/>
      </t>
    </mdx>
    <mdx n="0" f="v">
      <t c="8">
        <n x="1" s="1"/>
        <n x="2" s="1"/>
        <n x="5" s="1"/>
        <n x="3" s="1"/>
        <n x="4" s="1"/>
        <n x="104"/>
        <n x="12"/>
        <n x="16"/>
      </t>
    </mdx>
    <mdx n="0" f="v">
      <t c="8">
        <n x="1" s="1"/>
        <n x="2" s="1"/>
        <n x="5" s="1"/>
        <n x="3" s="1"/>
        <n x="4" s="1"/>
        <n x="104"/>
        <n x="27"/>
        <n x="48"/>
      </t>
    </mdx>
    <mdx n="0" f="v">
      <t c="8">
        <n x="1" s="1"/>
        <n x="2" s="1"/>
        <n x="5" s="1"/>
        <n x="3" s="1"/>
        <n x="4" s="1"/>
        <n x="104"/>
        <n x="27"/>
        <n x="95"/>
      </t>
    </mdx>
    <mdx n="0" f="v">
      <t c="8">
        <n x="1" s="1"/>
        <n x="2" s="1"/>
        <n x="5" s="1"/>
        <n x="3" s="1"/>
        <n x="4" s="1"/>
        <n x="104"/>
        <n x="32"/>
        <n x="58"/>
      </t>
    </mdx>
    <mdx n="0" f="v">
      <t c="8">
        <n x="1" s="1"/>
        <n x="2" s="1"/>
        <n x="5" s="1"/>
        <n x="3" s="1"/>
        <n x="4" s="1"/>
        <n x="104"/>
        <n x="132"/>
        <n x="84"/>
      </t>
    </mdx>
    <mdx n="0" f="v">
      <t c="8">
        <n x="1" s="1"/>
        <n x="2" s="1"/>
        <n x="5" s="1"/>
        <n x="3" s="1"/>
        <n x="4" s="1"/>
        <n x="104"/>
        <n x="132"/>
        <n x="44"/>
      </t>
    </mdx>
    <mdx n="0" f="v">
      <t c="8">
        <n x="1" s="1"/>
        <n x="2" s="1"/>
        <n x="5" s="1"/>
        <n x="3" s="1"/>
        <n x="4" s="1"/>
        <n x="104"/>
        <n x="135"/>
        <n x="84"/>
      </t>
    </mdx>
    <mdx n="0" f="v">
      <t c="8">
        <n x="1" s="1"/>
        <n x="2" s="1"/>
        <n x="5" s="1"/>
        <n x="3" s="1"/>
        <n x="4" s="1"/>
        <n x="104"/>
        <n x="135"/>
        <n x="85"/>
      </t>
    </mdx>
    <mdx n="0" f="v">
      <t c="8">
        <n x="1" s="1"/>
        <n x="2" s="1"/>
        <n x="5" s="1"/>
        <n x="3" s="1"/>
        <n x="4" s="1"/>
        <n x="104"/>
        <n x="146"/>
        <n x="56"/>
      </t>
    </mdx>
    <mdx n="0" f="v">
      <t c="8">
        <n x="1" s="1"/>
        <n x="2" s="1"/>
        <n x="5" s="1"/>
        <n x="3" s="1"/>
        <n x="4" s="1"/>
        <n x="104"/>
        <n x="146"/>
        <n x="29"/>
      </t>
    </mdx>
    <mdx n="0" f="v">
      <t c="8">
        <n x="1" s="1"/>
        <n x="2" s="1"/>
        <n x="5" s="1"/>
        <n x="3" s="1"/>
        <n x="4" s="1"/>
        <n x="104"/>
        <n x="146"/>
        <n x="77"/>
      </t>
    </mdx>
    <mdx n="0" f="v">
      <t c="8">
        <n x="1" s="1"/>
        <n x="2" s="1"/>
        <n x="5" s="1"/>
        <n x="3" s="1"/>
        <n x="4" s="1"/>
        <n x="104"/>
        <n x="136"/>
        <n x="48"/>
      </t>
    </mdx>
    <mdx n="0" f="v">
      <t c="8">
        <n x="1" s="1"/>
        <n x="2" s="1"/>
        <n x="5" s="1"/>
        <n x="3" s="1"/>
        <n x="4" s="1"/>
        <n x="104"/>
        <n x="136"/>
        <n x="49"/>
      </t>
    </mdx>
    <mdx n="0" f="v">
      <t c="8">
        <n x="1" s="1"/>
        <n x="2" s="1"/>
        <n x="5" s="1"/>
        <n x="3" s="1"/>
        <n x="4" s="1"/>
        <n x="104"/>
        <n x="42"/>
        <n x="107"/>
      </t>
    </mdx>
    <mdx n="0" f="v">
      <t c="8">
        <n x="1" s="1"/>
        <n x="2" s="1"/>
        <n x="5" s="1"/>
        <n x="3" s="1"/>
        <n x="4" s="1"/>
        <n x="104"/>
        <n x="42"/>
        <n x="119"/>
      </t>
    </mdx>
    <mdx n="0" f="v">
      <t c="8">
        <n x="1" s="1"/>
        <n x="2" s="1"/>
        <n x="5" s="1"/>
        <n x="3" s="1"/>
        <n x="4" s="1"/>
        <n x="104"/>
        <n x="135"/>
        <n x="160"/>
      </t>
    </mdx>
    <mdx n="0" f="v">
      <t c="8">
        <n x="1" s="1"/>
        <n x="2" s="1"/>
        <n x="5" s="1"/>
        <n x="3" s="1"/>
        <n x="4" s="1"/>
        <n x="104"/>
        <n x="140"/>
        <n x="28"/>
      </t>
    </mdx>
    <mdx n="0" f="v">
      <t c="8">
        <n x="1" s="1"/>
        <n x="2" s="1"/>
        <n x="5" s="1"/>
        <n x="3" s="1"/>
        <n x="4" s="1"/>
        <n x="104"/>
        <n x="152"/>
        <n x="28"/>
      </t>
    </mdx>
    <mdx n="0" f="v">
      <t c="8">
        <n x="1" s="1"/>
        <n x="2" s="1"/>
        <n x="5" s="1"/>
        <n x="3" s="1"/>
        <n x="4" s="1"/>
        <n x="104"/>
        <n x="41"/>
        <n x="115"/>
      </t>
    </mdx>
    <mdx n="0" f="v">
      <t c="8">
        <n x="1" s="1"/>
        <n x="2" s="1"/>
        <n x="5" s="1"/>
        <n x="3" s="1"/>
        <n x="4" s="1"/>
        <n x="104"/>
        <n x="114"/>
        <n x="28"/>
      </t>
    </mdx>
    <mdx n="0" f="v">
      <t c="8">
        <n x="1" s="1"/>
        <n x="2" s="1"/>
        <n x="5" s="1"/>
        <n x="3" s="1"/>
        <n x="4" s="1"/>
        <n x="104"/>
        <n x="118"/>
        <n x="94"/>
      </t>
    </mdx>
    <mdx n="0" f="v">
      <t c="8">
        <n x="1" s="1"/>
        <n x="2" s="1"/>
        <n x="5" s="1"/>
        <n x="3" s="1"/>
        <n x="4" s="1"/>
        <n x="104"/>
        <n x="121"/>
        <n x="162"/>
      </t>
    </mdx>
    <mdx n="0" f="v">
      <t c="8">
        <n x="1" s="1"/>
        <n x="2" s="1"/>
        <n x="5" s="1"/>
        <n x="3" s="1"/>
        <n x="4" s="1"/>
        <n x="104"/>
        <n x="12"/>
        <n x="13"/>
      </t>
    </mdx>
    <mdx n="0" f="v">
      <t c="8">
        <n x="1" s="1"/>
        <n x="2" s="1"/>
        <n x="5" s="1"/>
        <n x="3" s="1"/>
        <n x="4" s="1"/>
        <n x="104"/>
        <n x="12"/>
        <n x="69"/>
      </t>
    </mdx>
    <mdx n="0" f="v">
      <t c="8">
        <n x="1" s="1"/>
        <n x="2" s="1"/>
        <n x="5" s="1"/>
        <n x="3" s="1"/>
        <n x="4" s="1"/>
        <n x="104"/>
        <n x="27"/>
        <n x="160"/>
      </t>
    </mdx>
    <mdx n="0" f="v">
      <t c="8">
        <n x="1" s="1"/>
        <n x="2" s="1"/>
        <n x="5" s="1"/>
        <n x="3" s="1"/>
        <n x="4" s="1"/>
        <n x="104"/>
        <n x="32"/>
        <n x="164" s="1"/>
      </t>
    </mdx>
    <mdx n="0" f="v">
      <t c="8">
        <n x="1" s="1"/>
        <n x="2" s="1"/>
        <n x="5" s="1"/>
        <n x="3" s="1"/>
        <n x="4" s="1"/>
        <n x="104"/>
        <n x="32"/>
        <n x="94"/>
      </t>
    </mdx>
    <mdx n="0" f="v">
      <t c="8">
        <n x="1" s="1"/>
        <n x="2" s="1"/>
        <n x="5" s="1"/>
        <n x="3" s="1"/>
        <n x="4" s="1"/>
        <n x="104"/>
        <n x="132"/>
        <n x="93"/>
      </t>
    </mdx>
    <mdx n="0" f="v">
      <t c="8">
        <n x="1" s="1"/>
        <n x="2" s="1"/>
        <n x="5" s="1"/>
        <n x="3" s="1"/>
        <n x="4" s="1"/>
        <n x="104"/>
        <n x="132"/>
        <n x="141"/>
      </t>
    </mdx>
    <mdx n="0" f="v">
      <t c="8">
        <n x="1" s="1"/>
        <n x="2" s="1"/>
        <n x="5" s="1"/>
        <n x="3" s="1"/>
        <n x="4" s="1"/>
        <n x="104"/>
        <n x="135"/>
        <n x="13"/>
      </t>
    </mdx>
    <mdx n="0" f="v">
      <t c="8">
        <n x="1" s="1"/>
        <n x="2" s="1"/>
        <n x="5" s="1"/>
        <n x="3" s="1"/>
        <n x="4" s="1"/>
        <n x="104"/>
        <n x="135"/>
        <n x="94"/>
      </t>
    </mdx>
    <mdx n="0" f="v">
      <t c="8">
        <n x="1" s="1"/>
        <n x="2" s="1"/>
        <n x="5" s="1"/>
        <n x="3" s="1"/>
        <n x="4" s="1"/>
        <n x="104"/>
        <n x="146"/>
        <n x="62"/>
      </t>
    </mdx>
    <mdx n="0" f="v">
      <t c="8">
        <n x="1" s="1"/>
        <n x="2" s="1"/>
        <n x="5" s="1"/>
        <n x="3" s="1"/>
        <n x="4" s="1"/>
        <n x="104"/>
        <n x="146"/>
        <n x="20"/>
      </t>
    </mdx>
    <mdx n="0" f="v">
      <t c="8">
        <n x="1" s="1"/>
        <n x="2" s="1"/>
        <n x="5" s="1"/>
        <n x="3" s="1"/>
        <n x="4" s="1"/>
        <n x="104"/>
        <n x="146"/>
        <n x="86"/>
      </t>
    </mdx>
    <mdx n="0" f="v">
      <t c="8">
        <n x="1" s="1"/>
        <n x="2" s="1"/>
        <n x="5" s="1"/>
        <n x="3" s="1"/>
        <n x="4" s="1"/>
        <n x="104"/>
        <n x="136"/>
        <n x="160"/>
      </t>
    </mdx>
    <mdx n="0" f="v">
      <t c="8">
        <n x="1" s="1"/>
        <n x="2" s="1"/>
        <n x="5" s="1"/>
        <n x="3" s="1"/>
        <n x="4" s="1"/>
        <n x="104"/>
        <n x="136"/>
        <n x="52"/>
      </t>
    </mdx>
    <mdx n="0" f="v">
      <t c="8">
        <n x="1" s="1"/>
        <n x="2" s="1"/>
        <n x="5" s="1"/>
        <n x="3" s="1"/>
        <n x="4" s="1"/>
        <n x="104"/>
        <n x="42"/>
        <n x="109"/>
      </t>
    </mdx>
    <mdx n="0" f="v">
      <t c="8">
        <n x="1" s="1"/>
        <n x="2" s="1"/>
        <n x="5" s="1"/>
        <n x="3" s="1"/>
        <n x="4" s="1"/>
        <n x="104"/>
        <n x="42"/>
        <n x="122"/>
      </t>
    </mdx>
    <mdx n="0" f="v">
      <t c="8">
        <n x="1" s="1"/>
        <n x="2" s="1"/>
        <n x="5" s="1"/>
        <n x="3" s="1"/>
        <n x="4" s="1"/>
        <n x="104"/>
        <n x="32"/>
        <n x="45"/>
      </t>
    </mdx>
    <mdx n="0" f="v">
      <t c="8">
        <n x="1" s="1"/>
        <n x="2" s="1"/>
        <n x="5" s="1"/>
        <n x="3" s="1"/>
        <n x="4" s="1"/>
        <n x="104"/>
        <n x="140"/>
        <n x="94"/>
      </t>
    </mdx>
    <mdx n="0" f="v">
      <t c="8">
        <n x="1" s="1"/>
        <n x="2" s="1"/>
        <n x="5" s="1"/>
        <n x="3" s="1"/>
        <n x="4" s="1"/>
        <n x="104"/>
        <n x="152"/>
        <n x="20"/>
      </t>
    </mdx>
    <mdx n="0" f="v">
      <t c="8">
        <n x="1" s="1"/>
        <n x="2" s="1"/>
        <n x="5" s="1"/>
        <n x="3" s="1"/>
        <n x="4" s="1"/>
        <n x="104"/>
        <n x="41"/>
        <n x="76"/>
      </t>
    </mdx>
    <mdx n="0" f="v">
      <t c="8">
        <n x="1" s="1"/>
        <n x="2" s="1"/>
        <n x="5" s="1"/>
        <n x="3" s="1"/>
        <n x="4" s="1"/>
        <n x="104"/>
        <n x="114"/>
        <n x="107"/>
      </t>
    </mdx>
    <mdx n="0" f="v">
      <t c="8">
        <n x="1" s="1"/>
        <n x="2" s="1"/>
        <n x="5" s="1"/>
        <n x="3" s="1"/>
        <n x="4" s="1"/>
        <n x="104"/>
        <n x="118"/>
        <n x="141"/>
      </t>
    </mdx>
    <mdx n="0" f="v">
      <t c="8">
        <n x="1" s="1"/>
        <n x="2" s="1"/>
        <n x="5" s="1"/>
        <n x="3" s="1"/>
        <n x="4" s="1"/>
        <n x="104"/>
        <n x="121"/>
        <n x="20"/>
      </t>
    </mdx>
    <mdx n="0" f="v">
      <t c="8">
        <n x="1" s="1"/>
        <n x="2" s="1"/>
        <n x="5" s="1"/>
        <n x="3" s="1"/>
        <n x="4" s="1"/>
        <n x="104"/>
        <n x="12"/>
        <n x="28"/>
      </t>
    </mdx>
    <mdx n="0" f="v">
      <t c="8">
        <n x="1" s="1"/>
        <n x="2" s="1"/>
        <n x="5" s="1"/>
        <n x="3" s="1"/>
        <n x="4" s="1"/>
        <n x="104"/>
        <n x="12"/>
        <n x="45"/>
      </t>
    </mdx>
    <mdx n="0" f="v">
      <t c="8">
        <n x="1" s="1"/>
        <n x="2" s="1"/>
        <n x="5" s="1"/>
        <n x="3" s="1"/>
        <n x="4" s="1"/>
        <n x="104"/>
        <n x="27"/>
        <n x="58"/>
      </t>
    </mdx>
    <mdx n="0" f="v">
      <t c="8">
        <n x="1" s="1"/>
        <n x="2" s="1"/>
        <n x="5" s="1"/>
        <n x="3" s="1"/>
        <n x="4" s="1"/>
        <n x="104"/>
        <n x="32"/>
        <n x="56"/>
      </t>
    </mdx>
    <mdx n="0" f="v">
      <t c="8">
        <n x="1" s="1"/>
        <n x="2" s="1"/>
        <n x="5" s="1"/>
        <n x="3" s="1"/>
        <n x="4" s="1"/>
        <n x="104"/>
        <n x="32"/>
        <n x="44"/>
      </t>
    </mdx>
    <mdx n="0" f="v">
      <t c="8">
        <n x="1" s="1"/>
        <n x="2" s="1"/>
        <n x="5" s="1"/>
        <n x="3" s="1"/>
        <n x="4" s="1"/>
        <n x="104"/>
        <n x="132"/>
        <n x="13"/>
      </t>
    </mdx>
    <mdx n="0" f="v">
      <t c="8">
        <n x="1" s="1"/>
        <n x="2" s="1"/>
        <n x="5" s="1"/>
        <n x="3" s="1"/>
        <n x="4" s="1"/>
        <n x="104"/>
        <n x="132"/>
        <n x="148"/>
      </t>
    </mdx>
    <mdx n="0" f="v">
      <t c="8">
        <n x="1" s="1"/>
        <n x="2" s="1"/>
        <n x="5" s="1"/>
        <n x="3" s="1"/>
        <n x="4" s="1"/>
        <n x="104"/>
        <n x="135"/>
        <n x="19"/>
      </t>
    </mdx>
    <mdx n="0" f="v">
      <t c="8">
        <n x="1" s="1"/>
        <n x="2" s="1"/>
        <n x="5" s="1"/>
        <n x="3" s="1"/>
        <n x="4" s="1"/>
        <n x="104"/>
        <n x="135"/>
        <n x="119"/>
      </t>
    </mdx>
    <mdx n="0" f="v">
      <t c="8">
        <n x="1" s="1"/>
        <n x="2" s="1"/>
        <n x="5" s="1"/>
        <n x="3" s="1"/>
        <n x="4" s="1"/>
        <n x="104"/>
        <n x="146"/>
        <n x="75"/>
      </t>
    </mdx>
    <mdx n="0" f="v">
      <t c="8">
        <n x="1" s="1"/>
        <n x="2" s="1"/>
        <n x="5" s="1"/>
        <n x="3" s="1"/>
        <n x="4" s="1"/>
        <n x="104"/>
        <n x="146"/>
        <n x="58"/>
      </t>
    </mdx>
    <mdx n="0" f="v">
      <t c="8">
        <n x="1" s="1"/>
        <n x="2" s="1"/>
        <n x="5" s="1"/>
        <n x="3" s="1"/>
        <n x="4" s="1"/>
        <n x="104"/>
        <n x="146"/>
        <n x="95"/>
      </t>
    </mdx>
    <mdx n="0" f="v">
      <t c="8">
        <n x="1" s="1"/>
        <n x="2" s="1"/>
        <n x="5" s="1"/>
        <n x="3" s="1"/>
        <n x="4" s="1"/>
        <n x="104"/>
        <n x="136"/>
        <n x="162"/>
      </t>
    </mdx>
    <mdx n="0" f="v">
      <t c="8">
        <n x="1" s="1"/>
        <n x="2" s="1"/>
        <n x="5" s="1"/>
        <n x="3" s="1"/>
        <n x="4" s="1"/>
        <n x="104"/>
        <n x="136"/>
        <n x="54"/>
      </t>
    </mdx>
    <mdx n="0" f="v">
      <t c="8">
        <n x="1" s="1"/>
        <n x="2" s="1"/>
        <n x="5" s="1"/>
        <n x="3" s="1"/>
        <n x="4" s="1"/>
        <n x="104"/>
        <n x="42"/>
        <n x="43"/>
      </t>
    </mdx>
    <mdx n="0" f="v">
      <t c="8">
        <n x="1" s="1"/>
        <n x="2" s="1"/>
        <n x="5" s="1"/>
        <n x="3" s="1"/>
        <n x="4" s="1"/>
        <n x="104"/>
        <n x="42"/>
        <n x="127"/>
      </t>
    </mdx>
    <mdx n="0" f="v">
      <t c="8">
        <n x="1" s="1"/>
        <n x="2" s="1"/>
        <n x="5" s="1"/>
        <n x="3" s="1"/>
        <n x="4" s="1"/>
        <n x="104"/>
        <n x="27"/>
        <n x="107"/>
      </t>
    </mdx>
    <mdx n="0" f="v">
      <t c="8">
        <n x="1" s="1"/>
        <n x="2" s="1"/>
        <n x="5" s="1"/>
        <n x="3" s="1"/>
        <n x="4" s="1"/>
        <n x="104"/>
        <n x="140"/>
        <n x="77"/>
      </t>
    </mdx>
    <mdx n="0" f="v">
      <t c="8">
        <n x="1" s="1"/>
        <n x="2" s="1"/>
        <n x="5" s="1"/>
        <n x="3" s="1"/>
        <n x="4" s="1"/>
        <n x="104"/>
        <n x="152"/>
        <n x="155"/>
      </t>
    </mdx>
    <mdx n="0" f="v">
      <t c="8">
        <n x="1" s="1"/>
        <n x="2" s="1"/>
        <n x="5" s="1"/>
        <n x="3" s="1"/>
        <n x="4" s="1"/>
        <n x="104"/>
        <n x="41"/>
        <n x="49"/>
      </t>
    </mdx>
    <mdx n="0" f="v">
      <t c="8">
        <n x="1" s="1"/>
        <n x="2" s="1"/>
        <n x="5" s="1"/>
        <n x="3" s="1"/>
        <n x="4" s="1"/>
        <n x="104"/>
        <n x="114"/>
        <n x="29"/>
      </t>
    </mdx>
    <mdx n="0" f="v">
      <t c="8">
        <n x="1" s="1"/>
        <n x="2" s="1"/>
        <n x="5" s="1"/>
        <n x="3" s="1"/>
        <n x="4" s="1"/>
        <n x="104"/>
        <n x="118"/>
        <n x="148"/>
      </t>
    </mdx>
    <mdx n="0" f="v">
      <t c="8">
        <n x="1" s="1"/>
        <n x="2" s="1"/>
        <n x="5" s="1"/>
        <n x="3" s="1"/>
        <n x="4" s="1"/>
        <n x="104"/>
        <n x="121"/>
        <n x="58"/>
      </t>
    </mdx>
    <mdx n="0" f="v">
      <t c="8">
        <n x="1" s="1"/>
        <n x="2" s="1"/>
        <n x="5" s="1"/>
        <n x="3" s="1"/>
        <n x="4" s="1"/>
        <n x="104"/>
        <n x="12"/>
        <n x="109"/>
      </t>
    </mdx>
    <mdx n="0" f="v">
      <t c="8">
        <n x="1" s="1"/>
        <n x="2" s="1"/>
        <n x="5" s="1"/>
        <n x="3" s="1"/>
        <n x="4" s="1"/>
        <n x="104"/>
        <n x="12"/>
        <n x="77"/>
      </t>
    </mdx>
    <mdx n="0" f="v">
      <t c="8">
        <n x="1" s="1"/>
        <n x="2" s="1"/>
        <n x="5" s="1"/>
        <n x="3" s="1"/>
        <n x="4" s="1"/>
        <n x="104"/>
        <n x="27"/>
        <n x="76"/>
      </t>
    </mdx>
    <mdx n="0" f="v">
      <t c="8">
        <n x="1" s="1"/>
        <n x="2" s="1"/>
        <n x="5" s="1"/>
        <n x="3" s="1"/>
        <n x="4" s="1"/>
        <n x="104"/>
        <n x="32"/>
        <n x="62"/>
      </t>
    </mdx>
    <mdx n="0" f="v">
      <t c="8">
        <n x="1" s="1"/>
        <n x="2" s="1"/>
        <n x="5" s="1"/>
        <n x="3" s="1"/>
        <n x="4" s="1"/>
        <n x="104"/>
        <n x="32"/>
        <n x="116"/>
      </t>
    </mdx>
    <mdx n="0" f="v">
      <t c="8">
        <n x="1" s="1"/>
        <n x="2" s="1"/>
        <n x="5" s="1"/>
        <n x="3" s="1"/>
        <n x="4" s="1"/>
        <n x="104"/>
        <n x="132"/>
        <n x="102"/>
      </t>
    </mdx>
    <mdx n="0" f="v">
      <t c="8">
        <n x="1" s="1"/>
        <n x="2" s="1"/>
        <n x="5" s="1"/>
        <n x="3" s="1"/>
        <n x="4" s="1"/>
        <n x="104"/>
        <n x="132"/>
        <n x="87"/>
      </t>
    </mdx>
    <mdx n="0" f="v">
      <t c="8">
        <n x="1" s="1"/>
        <n x="2" s="1"/>
        <n x="5" s="1"/>
        <n x="3" s="1"/>
        <n x="4" s="1"/>
        <n x="104"/>
        <n x="135"/>
        <n x="102"/>
      </t>
    </mdx>
    <mdx n="0" f="v">
      <t c="8">
        <n x="1" s="1"/>
        <n x="2" s="1"/>
        <n x="5" s="1"/>
        <n x="3" s="1"/>
        <n x="4" s="1"/>
        <n x="104"/>
        <n x="135"/>
        <n x="122"/>
      </t>
    </mdx>
    <mdx n="0" f="v">
      <t c="8">
        <n x="1" s="1"/>
        <n x="2" s="1"/>
        <n x="5" s="1"/>
        <n x="3" s="1"/>
        <n x="4" s="1"/>
        <n x="104"/>
        <n x="146"/>
        <n x="93"/>
      </t>
    </mdx>
    <mdx n="0" f="v">
      <t c="8">
        <n x="1" s="1"/>
        <n x="2" s="1"/>
        <n x="5" s="1"/>
        <n x="3" s="1"/>
        <n x="4" s="1"/>
        <n x="104"/>
        <n x="146"/>
        <n x="103"/>
      </t>
    </mdx>
    <mdx n="0" f="v">
      <t c="8">
        <n x="1" s="1"/>
        <n x="2" s="1"/>
        <n x="5" s="1"/>
        <n x="3" s="1"/>
        <n x="4" s="1"/>
        <n x="104"/>
        <n x="136"/>
        <n x="56"/>
      </t>
    </mdx>
    <mdx n="0" f="v">
      <t c="8">
        <n x="1" s="1"/>
        <n x="2" s="1"/>
        <n x="5" s="1"/>
        <n x="3" s="1"/>
        <n x="4" s="1"/>
        <n x="104"/>
        <n x="136"/>
        <n x="14"/>
      </t>
    </mdx>
    <mdx n="0" f="v">
      <t c="8">
        <n x="1" s="1"/>
        <n x="2" s="1"/>
        <n x="5" s="1"/>
        <n x="3" s="1"/>
        <n x="4" s="1"/>
        <n x="104"/>
        <n x="136"/>
        <n x="69"/>
      </t>
    </mdx>
    <mdx n="0" f="v">
      <t c="8">
        <n x="1" s="1"/>
        <n x="2" s="1"/>
        <n x="5" s="1"/>
        <n x="3" s="1"/>
        <n x="4" s="1"/>
        <n x="104"/>
        <n x="42"/>
        <n x="128"/>
      </t>
    </mdx>
    <mdx n="0" f="v">
      <t c="8">
        <n x="1" s="1"/>
        <n x="2" s="1"/>
        <n x="5" s="1"/>
        <n x="3" s="1"/>
        <n x="4" s="1"/>
        <n x="104"/>
        <n x="42"/>
        <n x="141"/>
      </t>
    </mdx>
    <mdx n="0" f="v">
      <t c="8">
        <n x="1" s="1"/>
        <n x="2" s="1"/>
        <n x="5" s="1"/>
        <n x="3" s="1"/>
        <n x="4" s="1"/>
        <n x="104"/>
        <n x="32"/>
        <n x="147"/>
      </t>
    </mdx>
    <mdx n="0" f="v">
      <t c="8">
        <n x="1" s="1"/>
        <n x="2" s="1"/>
        <n x="5" s="1"/>
        <n x="3" s="1"/>
        <n x="4" s="1"/>
        <n x="104"/>
        <n x="145"/>
        <n x="128"/>
      </t>
    </mdx>
    <mdx n="0" f="v">
      <t c="8">
        <n x="1" s="1"/>
        <n x="2" s="1"/>
        <n x="5" s="1"/>
        <n x="3" s="1"/>
        <n x="4" s="1"/>
        <n x="104"/>
        <n x="47"/>
        <n x="13"/>
      </t>
    </mdx>
    <mdx n="0" f="v">
      <t c="8">
        <n x="1" s="1"/>
        <n x="2" s="1"/>
        <n x="5" s="1"/>
        <n x="3" s="1"/>
        <n x="4" s="1"/>
        <n x="104"/>
        <n x="74"/>
        <n x="28"/>
      </t>
    </mdx>
    <mdx n="0" f="v">
      <t c="8">
        <n x="1" s="1"/>
        <n x="2" s="1"/>
        <n x="5" s="1"/>
        <n x="3" s="1"/>
        <n x="4" s="1"/>
        <n x="104"/>
        <n x="114"/>
        <n x="85"/>
      </t>
    </mdx>
    <mdx n="0" f="v">
      <t c="8">
        <n x="1" s="1"/>
        <n x="2" s="1"/>
        <n x="5" s="1"/>
        <n x="3" s="1"/>
        <n x="4" s="1"/>
        <n x="104"/>
        <n x="118"/>
        <n x="33"/>
      </t>
    </mdx>
    <mdx n="0" f="v">
      <t c="8">
        <n x="1" s="1"/>
        <n x="2" s="1"/>
        <n x="5" s="1"/>
        <n x="3" s="1"/>
        <n x="4" s="1"/>
        <n x="104"/>
        <n x="121"/>
        <n x="76"/>
      </t>
    </mdx>
    <mdx n="0" f="v">
      <t c="8">
        <n x="1" s="1"/>
        <n x="2" s="1"/>
        <n x="5" s="1"/>
        <n x="3" s="1"/>
        <n x="4" s="1"/>
        <n x="104"/>
        <n x="12"/>
        <n x="43"/>
      </t>
    </mdx>
    <mdx n="0" f="v">
      <t c="8">
        <n x="1" s="1"/>
        <n x="2" s="1"/>
        <n x="5" s="1"/>
        <n x="3" s="1"/>
        <n x="4" s="1"/>
        <n x="104"/>
        <n x="27"/>
        <n x="164" s="1"/>
      </t>
    </mdx>
    <mdx n="0" f="v">
      <t c="8">
        <n x="1" s="1"/>
        <n x="2" s="1"/>
        <n x="5" s="1"/>
        <n x="3" s="1"/>
        <n x="4" s="1"/>
        <n x="104"/>
        <n x="27"/>
        <n x="85"/>
      </t>
    </mdx>
    <mdx n="0" f="v">
      <t c="8">
        <n x="1" s="1"/>
        <n x="2" s="1"/>
        <n x="5" s="1"/>
        <n x="3" s="1"/>
        <n x="4" s="1"/>
        <n x="104"/>
        <n x="32"/>
        <n x="13"/>
      </t>
    </mdx>
    <mdx n="0" f="v">
      <t c="8">
        <n x="1" s="1"/>
        <n x="2" s="1"/>
        <n x="5" s="1"/>
        <n x="3" s="1"/>
        <n x="4" s="1"/>
        <n x="104"/>
        <n x="32"/>
        <n x="119"/>
      </t>
    </mdx>
    <mdx n="0" f="v">
      <t c="8">
        <n x="1" s="1"/>
        <n x="2" s="1"/>
        <n x="5" s="1"/>
        <n x="3" s="1"/>
        <n x="4" s="1"/>
        <n x="104"/>
        <n x="132"/>
        <n x="107"/>
      </t>
    </mdx>
    <mdx n="0" f="v">
      <t c="8">
        <n x="1" s="1"/>
        <n x="2" s="1"/>
        <n x="5" s="1"/>
        <n x="3" s="1"/>
        <n x="4" s="1"/>
        <n x="104"/>
        <n x="132"/>
        <n x="15"/>
      </t>
    </mdx>
    <mdx n="0" f="v">
      <t c="8">
        <n x="1" s="1"/>
        <n x="2" s="1"/>
        <n x="5" s="1"/>
        <n x="3" s="1"/>
        <n x="4" s="1"/>
        <n x="104"/>
        <n x="135"/>
        <n x="115"/>
      </t>
    </mdx>
    <mdx n="0" f="v">
      <t c="8">
        <n x="1" s="1"/>
        <n x="2" s="1"/>
        <n x="5" s="1"/>
        <n x="3" s="1"/>
        <n x="4" s="1"/>
        <n x="104"/>
        <n x="135"/>
        <n x="127"/>
      </t>
    </mdx>
    <mdx n="0" f="v">
      <t c="8">
        <n x="1" s="1"/>
        <n x="2" s="1"/>
        <n x="5" s="1"/>
        <n x="3" s="1"/>
        <n x="4" s="1"/>
        <n x="104"/>
        <n x="146"/>
        <n x="13"/>
      </t>
    </mdx>
    <mdx n="0" f="v">
      <t c="8">
        <n x="1" s="1"/>
        <n x="2" s="1"/>
        <n x="5" s="1"/>
        <n x="3" s="1"/>
        <n x="4" s="1"/>
        <n x="104"/>
        <n x="146"/>
        <n x="44"/>
      </t>
    </mdx>
    <mdx n="0" f="v">
      <t c="8">
        <n x="1" s="1"/>
        <n x="2" s="1"/>
        <n x="5" s="1"/>
        <n x="3" s="1"/>
        <n x="4" s="1"/>
        <n x="104"/>
        <n x="136"/>
        <n x="63"/>
      </t>
    </mdx>
    <mdx n="0" f="v">
      <t c="8">
        <n x="1" s="1"/>
        <n x="2" s="1"/>
        <n x="5" s="1"/>
        <n x="3" s="1"/>
        <n x="4" s="1"/>
        <n x="104"/>
        <n x="136"/>
        <n x="76"/>
      </t>
    </mdx>
    <mdx n="0" f="v">
      <t c="8">
        <n x="1" s="1"/>
        <n x="2" s="1"/>
        <n x="5" s="1"/>
        <n x="3" s="1"/>
        <n x="4" s="1"/>
        <n x="104"/>
        <n x="136"/>
        <n x="45"/>
      </t>
    </mdx>
    <mdx n="0" f="v">
      <t c="8">
        <n x="1" s="1"/>
        <n x="2" s="1"/>
        <n x="5" s="1"/>
        <n x="3" s="1"/>
        <n x="4" s="1"/>
        <n x="104"/>
        <n x="42"/>
        <n x="147"/>
      </t>
    </mdx>
    <mdx n="0" f="v">
      <t c="8">
        <n x="1" s="1"/>
        <n x="2" s="1"/>
        <n x="5" s="1"/>
        <n x="3" s="1"/>
        <n x="4" s="1"/>
        <n x="104"/>
        <n x="42"/>
        <n x="16"/>
      </t>
    </mdx>
    <mdx n="0" f="v">
      <t c="8">
        <n x="1" s="1"/>
        <n x="2" s="1"/>
        <n x="5" s="1"/>
        <n x="3" s="1"/>
        <n x="4" s="1"/>
        <n x="104"/>
        <n x="47"/>
        <n x="15"/>
      </t>
    </mdx>
    <mdx n="0" f="v">
      <t c="8">
        <n x="1" s="1"/>
        <n x="2" s="1"/>
        <n x="5" s="1"/>
        <n x="3" s="1"/>
        <n x="4" s="1"/>
        <n x="104"/>
        <n x="32"/>
        <n x="19"/>
      </t>
    </mdx>
    <mdx n="0" f="v">
      <t c="8">
        <n x="1" s="1"/>
        <n x="2" s="1"/>
        <n x="5" s="1"/>
        <n x="3" s="1"/>
        <n x="4" s="1"/>
        <n x="104"/>
        <n x="132"/>
        <n x="155"/>
      </t>
    </mdx>
    <mdx n="0" f="v">
      <t c="8">
        <n x="1" s="1"/>
        <n x="2" s="1"/>
        <n x="5" s="1"/>
        <n x="3" s="1"/>
        <n x="4" s="1"/>
        <n x="104"/>
        <n x="146"/>
        <n x="119"/>
      </t>
    </mdx>
    <mdx n="0" f="v">
      <t c="8">
        <n x="1" s="1"/>
        <n x="2" s="1"/>
        <n x="5" s="1"/>
        <n x="3" s="1"/>
        <n x="4" s="1"/>
        <n x="104"/>
        <n x="136"/>
        <n x="95"/>
      </t>
    </mdx>
    <mdx n="0" f="v">
      <t c="8">
        <n x="1" s="1"/>
        <n x="2" s="1"/>
        <n x="5" s="1"/>
        <n x="3" s="1"/>
        <n x="4" s="1"/>
        <n x="104"/>
        <n x="32"/>
        <n x="102"/>
      </t>
    </mdx>
    <mdx n="0" f="v">
      <t c="8">
        <n x="1" s="1"/>
        <n x="2" s="1"/>
        <n x="5" s="1"/>
        <n x="3" s="1"/>
        <n x="4" s="1"/>
        <n x="104"/>
        <n x="136"/>
        <n x="103"/>
      </t>
    </mdx>
    <mdx n="0" f="v">
      <t c="8">
        <n x="1" s="1"/>
        <n x="2" s="1"/>
        <n x="5" s="1"/>
        <n x="3" s="1"/>
        <n x="4" s="1"/>
        <n x="104"/>
        <n x="42"/>
        <n x="52"/>
      </t>
    </mdx>
    <mdx n="0" f="v">
      <t c="8">
        <n x="1" s="1"/>
        <n x="2" s="1"/>
        <n x="5" s="1"/>
        <n x="3" s="1"/>
        <n x="4" s="1"/>
        <n x="104"/>
        <n x="118"/>
        <n x="107"/>
      </t>
    </mdx>
    <mdx n="0" f="v">
      <t c="8">
        <n x="1" s="1"/>
        <n x="2" s="1"/>
        <n x="5" s="1"/>
        <n x="3" s="1"/>
        <n x="4" s="1"/>
        <n x="104"/>
        <n x="42"/>
        <n x="75"/>
      </t>
    </mdx>
    <mdx n="0" f="v">
      <t c="8">
        <n x="1" s="1"/>
        <n x="2" s="1"/>
        <n x="5" s="1"/>
        <n x="3" s="1"/>
        <n x="4" s="1"/>
        <n x="104"/>
        <n x="145"/>
        <n x="148"/>
      </t>
    </mdx>
    <mdx n="0" f="v">
      <t c="8">
        <n x="1" s="1"/>
        <n x="2" s="1"/>
        <n x="5" s="1"/>
        <n x="3" s="1"/>
        <n x="4" s="1"/>
        <n x="104"/>
        <n x="47"/>
        <n x="14"/>
      </t>
    </mdx>
    <mdx n="0" f="v">
      <t c="8">
        <n x="1" s="1"/>
        <n x="2" s="1"/>
        <n x="5" s="1"/>
        <n x="3" s="1"/>
        <n x="4" s="1"/>
        <n x="104"/>
        <n x="74"/>
        <n x="29"/>
      </t>
    </mdx>
    <mdx n="0" f="v">
      <t c="8">
        <n x="1" s="1"/>
        <n x="2" s="1"/>
        <n x="5" s="1"/>
        <n x="3" s="1"/>
        <n x="4" s="1"/>
        <n x="104"/>
        <n x="114"/>
        <n x="15"/>
      </t>
    </mdx>
    <mdx n="0" f="v">
      <t c="8">
        <n x="1" s="1"/>
        <n x="2" s="1"/>
        <n x="5" s="1"/>
        <n x="3" s="1"/>
        <n x="4" s="1"/>
        <n x="104"/>
        <n x="118"/>
        <n x="52"/>
      </t>
    </mdx>
    <mdx n="0" f="v">
      <t c="8">
        <n x="1" s="1"/>
        <n x="2" s="1"/>
        <n x="5" s="1"/>
        <n x="3" s="1"/>
        <n x="4" s="1"/>
        <n x="104"/>
        <n x="121"/>
        <n x="119"/>
      </t>
    </mdx>
    <mdx n="0" f="v">
      <t c="8">
        <n x="1" s="1"/>
        <n x="2" s="1"/>
        <n x="5" s="1"/>
        <n x="3" s="1"/>
        <n x="4" s="1"/>
        <n x="104"/>
        <n x="12"/>
        <n x="128"/>
      </t>
    </mdx>
    <mdx n="0" f="v">
      <t c="8">
        <n x="1" s="1"/>
        <n x="2" s="1"/>
        <n x="5" s="1"/>
        <n x="3" s="1"/>
        <n x="4" s="1"/>
        <n x="104"/>
        <n x="27"/>
        <n x="62"/>
      </t>
    </mdx>
    <mdx n="0" f="v">
      <t c="8">
        <n x="1" s="1"/>
        <n x="2" s="1"/>
        <n x="5" s="1"/>
        <n x="3" s="1"/>
        <n x="4" s="1"/>
        <n x="104"/>
        <n x="27"/>
        <n x="94"/>
      </t>
    </mdx>
    <mdx n="0" f="v">
      <t c="8">
        <n x="1" s="1"/>
        <n x="2" s="1"/>
        <n x="5" s="1"/>
        <n x="3" s="1"/>
        <n x="4" s="1"/>
        <n x="104"/>
        <n x="32"/>
        <n x="28"/>
      </t>
    </mdx>
    <mdx n="0" f="v">
      <t c="8">
        <n x="1" s="1"/>
        <n x="2" s="1"/>
        <n x="5" s="1"/>
        <n x="3" s="1"/>
        <n x="4" s="1"/>
        <n x="104"/>
        <n x="32"/>
        <n x="122"/>
      </t>
    </mdx>
    <mdx n="0" f="v">
      <t c="8">
        <n x="1" s="1"/>
        <n x="2" s="1"/>
        <n x="5" s="1"/>
        <n x="3" s="1"/>
        <n x="4" s="1"/>
        <n x="104"/>
        <n x="132"/>
        <n x="108"/>
      </t>
    </mdx>
    <mdx n="0" f="v">
      <t c="8">
        <n x="1" s="1"/>
        <n x="2" s="1"/>
        <n x="5" s="1"/>
        <n x="3" s="1"/>
        <n x="4" s="1"/>
        <n x="104"/>
        <n x="132"/>
        <n x="16"/>
      </t>
    </mdx>
    <mdx n="0" f="v">
      <t c="8">
        <n x="1" s="1"/>
        <n x="2" s="1"/>
        <n x="5" s="1"/>
        <n x="3" s="1"/>
        <n x="4" s="1"/>
        <n x="104"/>
        <n x="135"/>
        <n x="107"/>
      </t>
    </mdx>
    <mdx n="0" f="v">
      <t c="8">
        <n x="1" s="1"/>
        <n x="2" s="1"/>
        <n x="5" s="1"/>
        <n x="3" s="1"/>
        <n x="4" s="1"/>
        <n x="104"/>
        <n x="135"/>
        <n x="141"/>
      </t>
    </mdx>
    <mdx n="0" f="v">
      <t c="8">
        <n x="1" s="1"/>
        <n x="2" s="1"/>
        <n x="5" s="1"/>
        <n x="3" s="1"/>
        <n x="4" s="1"/>
        <n x="104"/>
        <n x="146"/>
        <n x="28"/>
      </t>
    </mdx>
    <mdx n="0" f="v">
      <t c="8">
        <n x="1" s="1"/>
        <n x="2" s="1"/>
        <n x="5" s="1"/>
        <n x="3" s="1"/>
        <n x="4" s="1"/>
        <n x="104"/>
        <n x="146"/>
        <n x="116"/>
      </t>
    </mdx>
    <mdx n="0" f="v">
      <t c="8">
        <n x="1" s="1"/>
        <n x="2" s="1"/>
        <n x="5" s="1"/>
        <n x="3" s="1"/>
        <n x="4" s="1"/>
        <n x="104"/>
        <n x="136"/>
        <n x="75"/>
      </t>
    </mdx>
    <mdx n="0" f="v">
      <t c="8">
        <n x="1" s="1"/>
        <n x="2" s="1"/>
        <n x="5" s="1"/>
        <n x="3" s="1"/>
        <n x="4" s="1"/>
        <n x="104"/>
        <n x="136"/>
        <n x="85"/>
      </t>
    </mdx>
    <mdx n="0" f="v">
      <t c="8">
        <n x="1" s="1"/>
        <n x="2" s="1"/>
        <n x="5" s="1"/>
        <n x="3" s="1"/>
        <n x="4" s="1"/>
        <n x="104"/>
        <n x="136"/>
        <n x="86"/>
      </t>
    </mdx>
    <mdx n="0" f="v">
      <t c="8">
        <n x="1" s="1"/>
        <n x="2" s="1"/>
        <n x="5" s="1"/>
        <n x="3" s="1"/>
        <n x="4" s="1"/>
        <n x="104"/>
        <n x="42"/>
        <n x="59"/>
      </t>
    </mdx>
    <mdx n="0" f="v">
      <t c="8">
        <n x="1" s="1"/>
        <n x="2" s="1"/>
        <n x="5" s="1"/>
        <n x="3" s="1"/>
        <n x="4" s="1"/>
        <n x="104"/>
        <n x="42"/>
        <n x="33"/>
      </t>
    </mdx>
    <mdx n="0" f="v">
      <t c="8">
        <n x="1" s="1"/>
        <n x="2" s="1"/>
        <n x="5" s="1"/>
        <n x="3" s="1"/>
        <n x="4" s="1"/>
        <n x="104"/>
        <n x="129"/>
        <n x="84"/>
      </t>
    </mdx>
    <mdx n="0" f="v">
      <t c="8">
        <n x="1" s="1"/>
        <n x="2" s="1"/>
        <n x="5" s="1"/>
        <n x="3" s="1"/>
        <n x="4" s="1"/>
        <n x="104"/>
        <n x="74"/>
        <n x="16"/>
      </t>
    </mdx>
    <mdx n="0" f="v">
      <t c="8">
        <n x="1" s="1"/>
        <n x="2" s="1"/>
        <n x="5" s="1"/>
        <n x="3" s="1"/>
        <n x="4" s="1"/>
        <n x="104"/>
        <n x="114"/>
        <n x="16"/>
      </t>
    </mdx>
    <mdx n="0" f="v">
      <t c="8">
        <n x="1" s="1"/>
        <n x="2" s="1"/>
        <n x="5" s="1"/>
        <n x="3" s="1"/>
        <n x="4" s="1"/>
        <n x="104"/>
        <n x="118"/>
        <n x="54"/>
      </t>
    </mdx>
    <mdx n="0" f="v">
      <t c="8">
        <n x="1" s="1"/>
        <n x="2" s="1"/>
        <n x="5" s="1"/>
        <n x="3" s="1"/>
        <n x="4" s="1"/>
        <n x="104"/>
        <n x="121"/>
        <n x="122"/>
      </t>
    </mdx>
    <mdx n="0" f="v">
      <t c="8">
        <n x="1" s="1"/>
        <n x="2" s="1"/>
        <n x="5" s="1"/>
        <n x="3" s="1"/>
        <n x="4" s="1"/>
        <n x="104"/>
        <n x="27"/>
        <n x="63"/>
      </t>
    </mdx>
    <mdx n="0" f="v">
      <t c="8">
        <n x="1" s="1"/>
        <n x="2" s="1"/>
        <n x="5" s="1"/>
        <n x="3" s="1"/>
        <n x="4" s="1"/>
        <n x="104"/>
        <n x="27"/>
        <n x="116"/>
      </t>
    </mdx>
    <mdx n="0" f="v">
      <t c="8">
        <n x="1" s="1"/>
        <n x="2" s="1"/>
        <n x="5" s="1"/>
        <n x="3" s="1"/>
        <n x="4" s="1"/>
        <n x="104"/>
        <n x="32"/>
        <n x="15"/>
      </t>
    </mdx>
    <mdx n="0" f="v">
      <t c="8">
        <n x="1" s="1"/>
        <n x="2" s="1"/>
        <n x="5" s="1"/>
        <n x="3" s="1"/>
        <n x="4" s="1"/>
        <n x="104"/>
        <n x="132"/>
        <n x="109"/>
      </t>
    </mdx>
    <mdx n="0" f="v">
      <t c="8">
        <n x="1" s="1"/>
        <n x="2" s="1"/>
        <n x="5" s="1"/>
        <n x="3" s="1"/>
        <n x="4" s="1"/>
        <n x="104"/>
        <n x="135"/>
        <n x="108"/>
      </t>
    </mdx>
    <mdx n="0" f="v">
      <t c="8">
        <n x="1" s="1"/>
        <n x="2" s="1"/>
        <n x="5" s="1"/>
        <n x="3" s="1"/>
        <n x="4" s="1"/>
        <n x="104"/>
        <n x="146"/>
        <n x="19"/>
      </t>
    </mdx>
    <mdx n="0" f="v">
      <t c="8">
        <n x="1" s="1"/>
        <n x="2" s="1"/>
        <n x="5" s="1"/>
        <n x="3" s="1"/>
        <n x="4" s="1"/>
        <n x="104"/>
        <n x="136"/>
        <n x="84"/>
      </t>
    </mdx>
    <mdx n="0" f="v">
      <t c="8">
        <n x="1" s="1"/>
        <n x="2" s="1"/>
        <n x="5" s="1"/>
        <n x="3" s="1"/>
        <n x="4" s="1"/>
        <n x="104"/>
        <n x="42"/>
        <n x="154"/>
      </t>
    </mdx>
    <mdx n="0" f="v">
      <t c="8">
        <n x="1" s="1"/>
        <n x="2" s="1"/>
        <n x="5" s="1"/>
        <n x="3" s="1"/>
        <n x="4" s="1"/>
        <n x="104"/>
        <n x="132"/>
        <n x="43"/>
      </t>
    </mdx>
    <mdx n="0" f="v">
      <t c="8">
        <n x="1" s="1"/>
        <n x="2" s="1"/>
        <n x="5" s="1"/>
        <n x="3" s="1"/>
        <n x="4" s="1"/>
        <n x="104"/>
        <n x="146"/>
        <n x="122"/>
      </t>
    </mdx>
    <mdx n="0" f="v">
      <t c="8">
        <n x="1" s="1"/>
        <n x="2" s="1"/>
        <n x="5" s="1"/>
        <n x="3" s="1"/>
        <n x="4" s="1"/>
        <n x="104"/>
        <n x="136"/>
        <n x="44"/>
      </t>
    </mdx>
    <mdx n="0" f="v">
      <t c="8">
        <n x="1" s="1"/>
        <n x="2" s="1"/>
        <n x="5" s="1"/>
        <n x="3" s="1"/>
        <n x="4" s="1"/>
        <n x="104"/>
        <n x="53"/>
        <n x="147"/>
      </t>
    </mdx>
    <mdx n="0" f="v">
      <t c="8">
        <n x="1" s="1"/>
        <n x="2" s="1"/>
        <n x="5" s="1"/>
        <n x="3" s="1"/>
        <n x="4" s="1"/>
        <n x="104"/>
        <n x="146"/>
        <n x="16"/>
      </t>
    </mdx>
    <mdx n="0" f="v">
      <t c="8">
        <n x="1" s="1"/>
        <n x="2" s="1"/>
        <n x="5" s="1"/>
        <n x="3" s="1"/>
        <n x="4" s="1"/>
        <n x="104"/>
        <n x="12"/>
        <n x="154"/>
      </t>
    </mdx>
    <mdx n="0" f="v">
      <t c="8">
        <n x="1" s="1"/>
        <n x="2" s="1"/>
        <n x="5" s="1"/>
        <n x="3" s="1"/>
        <n x="4" s="1"/>
        <n x="104"/>
        <n x="135"/>
        <n x="148"/>
      </t>
    </mdx>
    <mdx n="0" f="v">
      <t c="8">
        <n x="1" s="1"/>
        <n x="2" s="1"/>
        <n x="5" s="1"/>
        <n x="3" s="1"/>
        <n x="4" s="1"/>
        <n x="104"/>
        <n x="136"/>
        <n x="94"/>
      </t>
    </mdx>
    <mdx n="0" f="v">
      <t c="8">
        <n x="1" s="1"/>
        <n x="2" s="1"/>
        <n x="5" s="1"/>
        <n x="3" s="1"/>
        <n x="4" s="1"/>
        <n x="104"/>
        <n x="42"/>
        <n x="155"/>
      </t>
    </mdx>
    <mdx n="0" f="v">
      <t c="8">
        <n x="1" s="1"/>
        <n x="2" s="1"/>
        <n x="5" s="1"/>
        <n x="3" s="1"/>
        <n x="4" s="1"/>
        <n x="104"/>
        <n x="32"/>
        <n x="16"/>
      </t>
    </mdx>
    <mdx n="0" f="v">
      <t c="8">
        <n x="1" s="1"/>
        <n x="2" s="1"/>
        <n x="5" s="1"/>
        <n x="3" s="1"/>
        <n x="4" s="1"/>
        <n x="104"/>
        <n x="136"/>
        <n x="93"/>
      </t>
    </mdx>
    <mdx n="0" f="v">
      <t c="8">
        <n x="1" s="1"/>
        <n x="2" s="1"/>
        <n x="5" s="1"/>
        <n x="3" s="1"/>
        <n x="4" s="1"/>
        <n x="104"/>
        <n x="42"/>
        <n x="49"/>
      </t>
    </mdx>
    <mdx n="0" f="v">
      <t c="8">
        <n x="1" s="1"/>
        <n x="2" s="1"/>
        <n x="5" s="1"/>
        <n x="3" s="1"/>
        <n x="4" s="1"/>
        <n x="104"/>
        <n x="136"/>
        <n x="13"/>
      </t>
    </mdx>
    <mdx n="0" f="v">
      <t c="8">
        <n x="1" s="1"/>
        <n x="2" s="1"/>
        <n x="5" s="1"/>
        <n x="3" s="1"/>
        <n x="4" s="1"/>
        <n x="104"/>
        <n x="121"/>
        <n x="93"/>
      </t>
    </mdx>
    <mdx n="0" f="v">
      <t c="8">
        <n x="1" s="1"/>
        <n x="2" s="1"/>
        <n x="5" s="1"/>
        <n x="3" s="1"/>
        <n x="4" s="1"/>
        <n x="104"/>
        <n x="136"/>
        <n x="108"/>
      </t>
    </mdx>
    <mdx n="0" f="v">
      <t c="8">
        <n x="1" s="1"/>
        <n x="2" s="1"/>
        <n x="5" s="1"/>
        <n x="3" s="1"/>
        <n x="4" s="1"/>
        <n x="104"/>
        <n x="129"/>
        <n x="20"/>
      </t>
    </mdx>
    <mdx n="0" f="v">
      <t c="8">
        <n x="1" s="1"/>
        <n x="2" s="1"/>
        <n x="5" s="1"/>
        <n x="3" s="1"/>
        <n x="4" s="1"/>
        <n x="104"/>
        <n x="51"/>
        <n x="75"/>
      </t>
    </mdx>
    <mdx n="0" f="v">
      <t c="8">
        <n x="1" s="1"/>
        <n x="2" s="1"/>
        <n x="5" s="1"/>
        <n x="3" s="1"/>
        <n x="4" s="1"/>
        <n x="104"/>
        <n x="83"/>
        <n x="84"/>
      </t>
    </mdx>
    <mdx n="0" f="v">
      <t c="8">
        <n x="1" s="1"/>
        <n x="2" s="1"/>
        <n x="5" s="1"/>
        <n x="3" s="1"/>
        <n x="4" s="1"/>
        <n x="104"/>
        <n x="114"/>
        <n x="52"/>
      </t>
    </mdx>
    <mdx n="0" f="v">
      <t c="8">
        <n x="1" s="1"/>
        <n x="2" s="1"/>
        <n x="5" s="1"/>
        <n x="3" s="1"/>
        <n x="4" s="1"/>
        <n x="104"/>
        <n x="121"/>
        <n x="164" s="1"/>
      </t>
    </mdx>
    <mdx n="0" f="v">
      <t c="8">
        <n x="1" s="1"/>
        <n x="2" s="1"/>
        <n x="5" s="1"/>
        <n x="3" s="1"/>
        <n x="4" s="1"/>
        <n x="104"/>
        <n x="121"/>
        <n x="127"/>
      </t>
    </mdx>
    <mdx n="0" f="v">
      <t c="8">
        <n x="1" s="1"/>
        <n x="2" s="1"/>
        <n x="5" s="1"/>
        <n x="3" s="1"/>
        <n x="4" s="1"/>
        <n x="104"/>
        <n x="12"/>
        <n x="162"/>
      </t>
    </mdx>
    <mdx n="0" f="v">
      <t c="8">
        <n x="1" s="1"/>
        <n x="2" s="1"/>
        <n x="5" s="1"/>
        <n x="3" s="1"/>
        <n x="4" s="1"/>
        <n x="104"/>
        <n x="27"/>
        <n x="75"/>
      </t>
    </mdx>
    <mdx n="0" f="v">
      <t c="8">
        <n x="1" s="1"/>
        <n x="2" s="1"/>
        <n x="5" s="1"/>
        <n x="3" s="1"/>
        <n x="4" s="1"/>
        <n x="104"/>
        <n x="27"/>
        <n x="122"/>
      </t>
    </mdx>
    <mdx n="0" f="v">
      <t c="8">
        <n x="1" s="1"/>
        <n x="2" s="1"/>
        <n x="5" s="1"/>
        <n x="3" s="1"/>
        <n x="4" s="1"/>
        <n x="104"/>
        <n x="132"/>
        <n x="52"/>
      </t>
    </mdx>
    <mdx n="0" f="v">
      <t c="8">
        <n x="1" s="1"/>
        <n x="2" s="1"/>
        <n x="5" s="1"/>
        <n x="3" s="1"/>
        <n x="4" s="1"/>
        <n x="104"/>
        <n x="135"/>
        <n x="147"/>
      </t>
    </mdx>
    <mdx n="0" f="v">
      <t c="8">
        <n x="1" s="1"/>
        <n x="2" s="1"/>
        <n x="5" s="1"/>
        <n x="3" s="1"/>
        <n x="4" s="1"/>
        <n x="104"/>
        <n x="135"/>
        <n x="15"/>
      </t>
    </mdx>
    <mdx n="0" f="v">
      <t c="8">
        <n x="1" s="1"/>
        <n x="2" s="1"/>
        <n x="5" s="1"/>
        <n x="3" s="1"/>
        <n x="4" s="1"/>
        <n x="104"/>
        <n x="146"/>
        <n x="102"/>
      </t>
    </mdx>
    <mdx n="0" f="v">
      <t c="8">
        <n x="1" s="1"/>
        <n x="2" s="1"/>
        <n x="5" s="1"/>
        <n x="3" s="1"/>
        <n x="4" s="1"/>
        <n x="104"/>
        <n x="42"/>
        <n x="164" s="1"/>
      </t>
    </mdx>
    <mdx n="0" f="v">
      <t c="8">
        <n x="1" s="1"/>
        <n x="2" s="1"/>
        <n x="5" s="1"/>
        <n x="3" s="1"/>
        <n x="4" s="1"/>
        <n x="104"/>
        <n x="42"/>
        <n x="48"/>
      </t>
    </mdx>
    <mdx n="0" f="v">
      <t c="8">
        <n x="1" s="1"/>
        <n x="2" s="1"/>
        <n x="5" s="1"/>
        <n x="3" s="1"/>
        <n x="4" s="1"/>
        <n x="104"/>
        <n x="42"/>
        <n x="56"/>
      </t>
    </mdx>
    <mdx n="0" f="v">
      <t c="8">
        <n x="1" s="1"/>
        <n x="2" s="1"/>
        <n x="5" s="1"/>
        <n x="3" s="1"/>
        <n x="4" s="1"/>
        <n x="104"/>
        <n x="92"/>
        <n x="59"/>
      </t>
    </mdx>
    <mdx n="0" f="v">
      <t c="8">
        <n x="1" s="1"/>
        <n x="2" s="1"/>
        <n x="5" s="1"/>
        <n x="3" s="1"/>
        <n x="4" s="1"/>
        <n x="104"/>
        <n x="146"/>
        <n x="147"/>
      </t>
    </mdx>
    <mdx n="0" f="v">
      <t c="8">
        <n x="1" s="1"/>
        <n x="2" s="1"/>
        <n x="5" s="1"/>
        <n x="3" s="1"/>
        <n x="4" s="1"/>
        <n x="104"/>
        <n x="129"/>
        <n x="52"/>
      </t>
    </mdx>
    <mdx n="0" f="v">
      <t c="8">
        <n x="1" s="1"/>
        <n x="2" s="1"/>
        <n x="5" s="1"/>
        <n x="3" s="1"/>
        <n x="4" s="1"/>
        <n x="104"/>
        <n x="51"/>
        <n x="48"/>
      </t>
    </mdx>
    <mdx n="0" f="v">
      <t c="8">
        <n x="1" s="1"/>
        <n x="2" s="1"/>
        <n x="5" s="1"/>
        <n x="3" s="1"/>
        <n x="4" s="1"/>
        <n x="104"/>
        <n x="83"/>
        <n x="160"/>
      </t>
    </mdx>
    <mdx n="0" f="v">
      <t c="8">
        <n x="1" s="1"/>
        <n x="2" s="1"/>
        <n x="5" s="1"/>
        <n x="3" s="1"/>
        <n x="4" s="1"/>
        <n x="104"/>
        <n x="118"/>
        <n x="75"/>
      </t>
    </mdx>
    <mdx n="0" f="v">
      <t c="8">
        <n x="1" s="1"/>
        <n x="2" s="1"/>
        <n x="5" s="1"/>
        <n x="3" s="1"/>
        <n x="4" s="1"/>
        <n x="104"/>
        <n x="121"/>
        <n x="56"/>
      </t>
    </mdx>
    <mdx n="0" f="v">
      <t c="8">
        <n x="1" s="1"/>
        <n x="2" s="1"/>
        <n x="5" s="1"/>
        <n x="3" s="1"/>
        <n x="4" s="1"/>
        <n x="104"/>
        <n x="121"/>
        <n x="87"/>
      </t>
    </mdx>
    <mdx n="0" f="v">
      <t c="8">
        <n x="1" s="1"/>
        <n x="2" s="1"/>
        <n x="5" s="1"/>
        <n x="3" s="1"/>
        <n x="4" s="1"/>
        <n x="104"/>
        <n x="12"/>
        <n x="14"/>
      </t>
    </mdx>
    <mdx n="0" f="v">
      <t c="8">
        <n x="1" s="1"/>
        <n x="2" s="1"/>
        <n x="5" s="1"/>
        <n x="3" s="1"/>
        <n x="4" s="1"/>
        <n x="104"/>
        <n x="27"/>
        <n x="84"/>
      </t>
    </mdx>
    <mdx n="0" f="v">
      <t c="8">
        <n x="1" s="1"/>
        <n x="2" s="1"/>
        <n x="5" s="1"/>
        <n x="3" s="1"/>
        <n x="4" s="1"/>
        <n x="104"/>
        <n x="27"/>
        <n x="127"/>
      </t>
    </mdx>
    <mdx n="0" f="v">
      <t c="8">
        <n x="1" s="1"/>
        <n x="2" s="1"/>
        <n x="5" s="1"/>
        <n x="3" s="1"/>
        <n x="4" s="1"/>
        <n x="104"/>
        <n x="32"/>
        <n x="108"/>
      </t>
    </mdx>
    <mdx n="0" f="v">
      <t c="8">
        <n x="1" s="1"/>
        <n x="2" s="1"/>
        <n x="5" s="1"/>
        <n x="3" s="1"/>
        <n x="4" s="1"/>
        <n x="104"/>
        <n x="32"/>
        <n x="33"/>
      </t>
    </mdx>
    <mdx n="0" f="v">
      <t c="8">
        <n x="1" s="1"/>
        <n x="2" s="1"/>
        <n x="5" s="1"/>
        <n x="3" s="1"/>
        <n x="4" s="1"/>
        <n x="104"/>
        <n x="132"/>
        <n x="48"/>
      </t>
    </mdx>
    <mdx n="0" f="v">
      <t c="8">
        <n x="1" s="1"/>
        <n x="2" s="1"/>
        <n x="5" s="1"/>
        <n x="3" s="1"/>
        <n x="4" s="1"/>
        <n x="104"/>
        <n x="132"/>
        <n x="54"/>
      </t>
    </mdx>
    <mdx n="0" f="v">
      <t c="8">
        <n x="1" s="1"/>
        <n x="2" s="1"/>
        <n x="5" s="1"/>
        <n x="3" s="1"/>
        <n x="4" s="1"/>
        <n x="104"/>
        <n x="135"/>
        <n x="59"/>
      </t>
    </mdx>
    <mdx n="0" f="v">
      <t c="8">
        <n x="1" s="1"/>
        <n x="2" s="1"/>
        <n x="5" s="1"/>
        <n x="3" s="1"/>
        <n x="4" s="1"/>
        <n x="104"/>
        <n x="135"/>
        <n x="33"/>
      </t>
    </mdx>
    <mdx n="0" f="v">
      <t c="8">
        <n x="1" s="1"/>
        <n x="2" s="1"/>
        <n x="5" s="1"/>
        <n x="3" s="1"/>
        <n x="4" s="1"/>
        <n x="104"/>
        <n x="146"/>
        <n x="109"/>
      </t>
    </mdx>
    <mdx n="0" f="v">
      <t c="8">
        <n x="1" s="1"/>
        <n x="2" s="1"/>
        <n x="5" s="1"/>
        <n x="3" s="1"/>
        <n x="4" s="1"/>
        <n x="104"/>
        <n x="146"/>
        <n x="141"/>
      </t>
    </mdx>
    <mdx n="0" f="v">
      <t c="8">
        <n x="1" s="1"/>
        <n x="2" s="1"/>
        <n x="5" s="1"/>
        <n x="3" s="1"/>
        <n x="4" s="1"/>
        <n x="104"/>
        <n x="42"/>
        <n x="29"/>
      </t>
    </mdx>
    <mdx n="0" f="v">
      <t c="8">
        <n x="1" s="1"/>
        <n x="2" s="1"/>
        <n x="5" s="1"/>
        <n x="3" s="1"/>
        <n x="4" s="1"/>
        <n x="104"/>
        <n x="12"/>
        <n x="44"/>
      </t>
    </mdx>
    <mdx n="0" f="v">
      <t c="8">
        <n x="1" s="1"/>
        <n x="2" s="1"/>
        <n x="5" s="1"/>
        <n x="3" s="1"/>
        <n x="4" s="1"/>
        <n x="104"/>
        <n x="11"/>
        <n x="109"/>
      </t>
    </mdx>
    <mdx n="0" f="v">
      <t c="8">
        <n x="1" s="1"/>
        <n x="2" s="1"/>
        <n x="5" s="1"/>
        <n x="3" s="1"/>
        <n x="4" s="1"/>
        <n x="104"/>
        <n x="51"/>
        <n x="141"/>
      </t>
    </mdx>
    <mdx n="0" f="v">
      <t c="8">
        <n x="1" s="1"/>
        <n x="2" s="1"/>
        <n x="5" s="1"/>
        <n x="3" s="1"/>
        <n x="4" s="1"/>
        <n x="104"/>
        <n x="83"/>
        <n x="148"/>
      </t>
    </mdx>
    <mdx n="0" f="v">
      <t c="8">
        <n x="1" s="1"/>
        <n x="2" s="1"/>
        <n x="5" s="1"/>
        <n x="3" s="1"/>
        <n x="4" s="1"/>
        <n x="104"/>
        <n x="118"/>
        <n x="84"/>
      </t>
    </mdx>
    <mdx n="0" f="v">
      <t c="8">
        <n x="1" s="1"/>
        <n x="2" s="1"/>
        <n x="5" s="1"/>
        <n x="3" s="1"/>
        <n x="4" s="1"/>
        <n x="104"/>
        <n x="121"/>
        <n x="62"/>
      </t>
    </mdx>
    <mdx n="0" f="v">
      <t c="8">
        <n x="1" s="1"/>
        <n x="2" s="1"/>
        <n x="5" s="1"/>
        <n x="3" s="1"/>
        <n x="4" s="1"/>
        <n x="104"/>
        <n x="121"/>
        <n x="33"/>
      </t>
    </mdx>
    <mdx n="0" f="v">
      <t c="8">
        <n x="1" s="1"/>
        <n x="2" s="1"/>
        <n x="5" s="1"/>
        <n x="3" s="1"/>
        <n x="4" s="1"/>
        <n x="104"/>
        <n x="12"/>
        <n x="29"/>
      </t>
    </mdx>
    <mdx n="0" f="v">
      <t c="8">
        <n x="1" s="1"/>
        <n x="2" s="1"/>
        <n x="5" s="1"/>
        <n x="3" s="1"/>
        <n x="4" s="1"/>
        <n x="104"/>
        <n x="27"/>
        <n x="102"/>
      </t>
    </mdx>
    <mdx n="0" f="v">
      <t c="8">
        <n x="1" s="1"/>
        <n x="2" s="1"/>
        <n x="5" s="1"/>
        <n x="3" s="1"/>
        <n x="4" s="1"/>
        <n x="104"/>
        <n x="27"/>
        <n x="141"/>
      </t>
    </mdx>
    <mdx n="0" f="v">
      <t c="8">
        <n x="1" s="1"/>
        <n x="2" s="1"/>
        <n x="5" s="1"/>
        <n x="3" s="1"/>
        <n x="4" s="1"/>
        <n x="104"/>
        <n x="32"/>
        <n x="43"/>
      </t>
    </mdx>
    <mdx n="0" f="v">
      <t c="8">
        <n x="1" s="1"/>
        <n x="2" s="1"/>
        <n x="5" s="1"/>
        <n x="3" s="1"/>
        <n x="4" s="1"/>
        <n x="104"/>
        <n x="32"/>
        <n x="155"/>
      </t>
    </mdx>
    <mdx n="0" f="v">
      <t c="8">
        <n x="1" s="1"/>
        <n x="2" s="1"/>
        <n x="5" s="1"/>
        <n x="3" s="1"/>
        <n x="4" s="1"/>
        <n x="104"/>
        <n x="132"/>
        <n x="160"/>
      </t>
    </mdx>
    <mdx n="0" f="v">
      <t c="8">
        <n x="1" s="1"/>
        <n x="2" s="1"/>
        <n x="5" s="1"/>
        <n x="3" s="1"/>
        <n x="4" s="1"/>
        <n x="104"/>
        <n x="132"/>
        <n x="69"/>
      </t>
    </mdx>
    <mdx n="0" f="v">
      <t c="8">
        <n x="1" s="1"/>
        <n x="2" s="1"/>
        <n x="5" s="1"/>
        <n x="3" s="1"/>
        <n x="4" s="1"/>
        <n x="104"/>
        <n x="135"/>
        <n x="154"/>
      </t>
    </mdx>
    <mdx n="0" f="v">
      <t c="8">
        <n x="1" s="1"/>
        <n x="2" s="1"/>
        <n x="5" s="1"/>
        <n x="3" s="1"/>
        <n x="4" s="1"/>
        <n x="104"/>
        <n x="135"/>
        <n x="155"/>
      </t>
    </mdx>
    <mdx n="0" f="v">
      <t c="8">
        <n x="1" s="1"/>
        <n x="2" s="1"/>
        <n x="5" s="1"/>
        <n x="3" s="1"/>
        <n x="4" s="1"/>
        <n x="104"/>
        <n x="146"/>
        <n x="43"/>
      </t>
    </mdx>
    <mdx n="0" f="v">
      <t c="8">
        <n x="1" s="1"/>
        <n x="2" s="1"/>
        <n x="5" s="1"/>
        <n x="3" s="1"/>
        <n x="4" s="1"/>
        <n x="104"/>
        <n x="146"/>
        <n x="87"/>
      </t>
    </mdx>
    <mdx n="0" f="v">
      <t c="8">
        <n x="1" s="1"/>
        <n x="2" s="1"/>
        <n x="5" s="1"/>
        <n x="3" s="1"/>
        <n x="4" s="1"/>
        <n x="104"/>
        <n x="136"/>
        <n x="115"/>
      </t>
    </mdx>
    <mdx n="0" f="v">
      <t c="8">
        <n x="1" s="1"/>
        <n x="2" s="1"/>
        <n x="5" s="1"/>
        <n x="3" s="1"/>
        <n x="4" s="1"/>
        <n x="104"/>
        <n x="136"/>
        <n x="119"/>
      </t>
    </mdx>
    <mdx n="0" f="v">
      <t c="8">
        <n x="1" s="1"/>
        <n x="2" s="1"/>
        <n x="5" s="1"/>
        <n x="3" s="1"/>
        <n x="4" s="1"/>
        <n x="104"/>
        <n x="42"/>
        <n x="62"/>
      </t>
    </mdx>
    <mdx n="0" f="v">
      <t c="8">
        <n x="1" s="1"/>
        <n x="2" s="1"/>
        <n x="5" s="1"/>
        <n x="3" s="1"/>
        <n x="4" s="1"/>
        <n x="104"/>
        <n x="42"/>
        <n x="20"/>
      </t>
    </mdx>
    <mdx n="0" f="v">
      <t c="8">
        <n x="1" s="1"/>
        <n x="2" s="1"/>
        <n x="5" s="1"/>
        <n x="3" s="1"/>
        <n x="4" s="1"/>
        <n x="104"/>
        <n x="42"/>
        <n x="69"/>
      </t>
    </mdx>
    <mdx n="0" f="v">
      <t c="8">
        <n x="1" s="1"/>
        <n x="2" s="1"/>
        <n x="5" s="1"/>
        <n x="3" s="1"/>
        <n x="4" s="1"/>
        <n x="104"/>
        <n x="121"/>
        <n x="49"/>
      </t>
    </mdx>
    <mdx n="0" f="v">
      <t c="8">
        <n x="1" s="1"/>
        <n x="2" s="1"/>
        <n x="5" s="1"/>
        <n x="3" s="1"/>
        <n x="4" s="1"/>
        <n x="104"/>
        <n x="42"/>
        <n x="77"/>
      </t>
    </mdx>
    <mdx n="0" f="v">
      <t c="8">
        <n x="1" s="1"/>
        <n x="2" s="1"/>
        <n x="5" s="1"/>
        <n x="3" s="1"/>
        <n x="4" s="1"/>
        <n x="104"/>
        <n x="11"/>
        <n x="119"/>
      </t>
    </mdx>
    <mdx n="0" f="v">
      <t c="8">
        <n x="1" s="1"/>
        <n x="2" s="1"/>
        <n x="5" s="1"/>
        <n x="3" s="1"/>
        <n x="4" s="1"/>
        <n x="104"/>
        <n x="53"/>
        <n x="56"/>
      </t>
    </mdx>
    <mdx n="0" f="v">
      <t c="8">
        <n x="1" s="1"/>
        <n x="2" s="1"/>
        <n x="5" s="1"/>
        <n x="3" s="1"/>
        <n x="4" s="1"/>
        <n x="104"/>
        <n x="92"/>
        <n x="62"/>
      </t>
    </mdx>
    <mdx n="0" f="v">
      <t c="8">
        <n x="1" s="1"/>
        <n x="2" s="1"/>
        <n x="5" s="1"/>
        <n x="3" s="1"/>
        <n x="4" s="1"/>
        <n x="104"/>
        <n x="118"/>
        <n x="19"/>
      </t>
    </mdx>
    <mdx n="0" f="v">
      <t c="8">
        <n x="1" s="1"/>
        <n x="2" s="1"/>
        <n x="5" s="1"/>
        <n x="3" s="1"/>
        <n x="4" s="1"/>
        <n x="104"/>
        <n x="121"/>
        <n x="63"/>
      </t>
    </mdx>
    <mdx n="0" f="v">
      <t c="8">
        <n x="1" s="1"/>
        <n x="2" s="1"/>
        <n x="5" s="1"/>
        <n x="3" s="1"/>
        <n x="4" s="1"/>
        <n x="104"/>
        <n x="121"/>
        <n x="155"/>
      </t>
    </mdx>
    <mdx n="0" f="v">
      <t c="8">
        <n x="1" s="1"/>
        <n x="2" s="1"/>
        <n x="5" s="1"/>
        <n x="3" s="1"/>
        <n x="4" s="1"/>
        <n x="104"/>
        <n x="12"/>
        <n x="103"/>
      </t>
    </mdx>
    <mdx n="0" f="v">
      <t c="8">
        <n x="1" s="1"/>
        <n x="2" s="1"/>
        <n x="5" s="1"/>
        <n x="3" s="1"/>
        <n x="4" s="1"/>
        <n x="104"/>
        <n x="27"/>
        <n x="115"/>
      </t>
    </mdx>
    <mdx n="0" f="v">
      <t c="8">
        <n x="1" s="1"/>
        <n x="2" s="1"/>
        <n x="5" s="1"/>
        <n x="3" s="1"/>
        <n x="4" s="1"/>
        <n x="104"/>
        <n x="27"/>
        <n x="148"/>
      </t>
    </mdx>
    <mdx n="0" f="v">
      <t c="8">
        <n x="1" s="1"/>
        <n x="2" s="1"/>
        <n x="5" s="1"/>
        <n x="3" s="1"/>
        <n x="4" s="1"/>
        <n x="104"/>
        <n x="32"/>
        <n x="128"/>
      </t>
    </mdx>
    <mdx n="0" f="v">
      <t c="8">
        <n x="1" s="1"/>
        <n x="2" s="1"/>
        <n x="5" s="1"/>
        <n x="3" s="1"/>
        <n x="4" s="1"/>
        <n x="104"/>
        <n x="32"/>
        <n x="54"/>
      </t>
    </mdx>
    <mdx n="0" f="v">
      <t c="8">
        <n x="1" s="1"/>
        <n x="2" s="1"/>
        <n x="5" s="1"/>
        <n x="3" s="1"/>
        <n x="4" s="1"/>
        <n x="104"/>
        <n x="132"/>
        <n x="162"/>
      </t>
    </mdx>
    <mdx n="0" f="v">
      <t c="8">
        <n x="1" s="1"/>
        <n x="2" s="1"/>
        <n x="5" s="1"/>
        <n x="3" s="1"/>
        <n x="4" s="1"/>
        <n x="104"/>
        <n x="132"/>
        <n x="45"/>
      </t>
    </mdx>
    <mdx n="0" f="v">
      <t c="8">
        <n x="1" s="1"/>
        <n x="2" s="1"/>
        <n x="5" s="1"/>
        <n x="3" s="1"/>
        <n x="4" s="1"/>
        <n x="104"/>
        <n x="135"/>
        <n x="48"/>
      </t>
    </mdx>
    <mdx n="0" f="v">
      <t c="8">
        <n x="1" s="1"/>
        <n x="2" s="1"/>
        <n x="5" s="1"/>
        <n x="3" s="1"/>
        <n x="4" s="1"/>
        <n x="104"/>
        <n x="135"/>
        <n x="49"/>
      </t>
    </mdx>
    <mdx n="0" f="v">
      <t c="8">
        <n x="1" s="1"/>
        <n x="2" s="1"/>
        <n x="5" s="1"/>
        <n x="3" s="1"/>
        <n x="4" s="1"/>
        <n x="104"/>
        <n x="146"/>
        <n x="128"/>
      </t>
    </mdx>
    <mdx n="0" f="v">
      <t c="8">
        <n x="1" s="1"/>
        <n x="2" s="1"/>
        <n x="5" s="1"/>
        <n x="3" s="1"/>
        <n x="4" s="1"/>
        <n x="104"/>
        <n x="146"/>
        <n x="15"/>
      </t>
    </mdx>
    <mdx n="0" f="v">
      <t c="8">
        <n x="1" s="1"/>
        <n x="2" s="1"/>
        <n x="5" s="1"/>
        <n x="3" s="1"/>
        <n x="4" s="1"/>
        <n x="104"/>
        <n x="136"/>
        <n x="107"/>
      </t>
    </mdx>
    <mdx n="0" f="v">
      <t c="8">
        <n x="1" s="1"/>
        <n x="2" s="1"/>
        <n x="5" s="1"/>
        <n x="3" s="1"/>
        <n x="4" s="1"/>
        <n x="104"/>
        <n x="136"/>
        <n x="122"/>
      </t>
    </mdx>
    <mdx n="0" f="v">
      <t c="8">
        <n x="1" s="1"/>
        <n x="2" s="1"/>
        <n x="5" s="1"/>
        <n x="3" s="1"/>
        <n x="4" s="1"/>
        <n x="104"/>
        <n x="42"/>
        <n x="63"/>
      </t>
    </mdx>
    <mdx n="0" f="v">
      <t c="8">
        <n x="1" s="1"/>
        <n x="2" s="1"/>
        <n x="5" s="1"/>
        <n x="3" s="1"/>
        <n x="4" s="1"/>
        <n x="104"/>
        <n x="42"/>
        <n x="58"/>
      </t>
    </mdx>
    <mdx n="0" f="v">
      <t c="8">
        <n x="1" s="1"/>
        <n x="2" s="1"/>
        <n x="5" s="1"/>
        <n x="3" s="1"/>
        <n x="4" s="1"/>
        <n x="104"/>
        <n x="42"/>
        <n x="45"/>
      </t>
    </mdx>
    <mdx n="0" f="v">
      <t c="8">
        <n x="1" s="1"/>
        <n x="2" s="1"/>
        <n x="5" s="1"/>
        <n x="3" s="1"/>
        <n x="4" s="1"/>
        <n x="104"/>
        <n x="26"/>
        <n x="56"/>
      </t>
    </mdx>
    <mdx n="0" f="v">
      <t c="8">
        <n x="1" s="1"/>
        <n x="2" s="1"/>
        <n x="5" s="1"/>
        <n x="3" s="1"/>
        <n x="4" s="1"/>
        <n x="104"/>
        <n x="136"/>
        <n x="127"/>
      </t>
    </mdx>
    <mdx n="0" f="v">
      <t c="8">
        <n x="1" s="1"/>
        <n x="2" s="1"/>
        <n x="5" s="1"/>
        <n x="3" s="1"/>
        <n x="4" s="1"/>
        <n x="104"/>
        <n x="26"/>
        <n x="154"/>
      </t>
    </mdx>
    <mdx n="0" f="v">
      <t c="8">
        <n x="1" s="1"/>
        <n x="2" s="1"/>
        <n x="5" s="1"/>
        <n x="3" s="1"/>
        <n x="4" s="1"/>
        <n x="104"/>
        <n x="53"/>
        <n x="119"/>
      </t>
    </mdx>
    <mdx n="0" f="v">
      <t c="8">
        <n x="1" s="1"/>
        <n x="2" s="1"/>
        <n x="5" s="1"/>
        <n x="3" s="1"/>
        <n x="4" s="1"/>
        <n x="104"/>
        <n x="92"/>
        <n x="122"/>
      </t>
    </mdx>
    <mdx n="0" f="v">
      <t c="8">
        <n x="1" s="1"/>
        <n x="2" s="1"/>
        <n x="5" s="1"/>
        <n x="3" s="1"/>
        <n x="4" s="1"/>
        <n x="104"/>
        <n x="118"/>
        <n x="108"/>
      </t>
    </mdx>
    <mdx n="0" f="v">
      <t c="8">
        <n x="1" s="1"/>
        <n x="2" s="1"/>
        <n x="5" s="1"/>
        <n x="3" s="1"/>
        <n x="4" s="1"/>
        <n x="104"/>
        <n x="121"/>
        <n x="19"/>
      </t>
    </mdx>
    <mdx n="0" f="v">
      <t c="8">
        <n x="1" s="1"/>
        <n x="2" s="1"/>
        <n x="5" s="1"/>
        <n x="3" s="1"/>
        <n x="4" s="1"/>
        <n x="104"/>
        <n x="121"/>
        <n x="86"/>
      </t>
    </mdx>
    <mdx n="0" f="v">
      <t c="8">
        <n x="1" s="1"/>
        <n x="2" s="1"/>
        <n x="5" s="1"/>
        <n x="3" s="1"/>
        <n x="4" s="1"/>
        <n x="104"/>
        <n x="12"/>
        <n x="116"/>
      </t>
    </mdx>
    <mdx n="0" f="v">
      <t c="8">
        <n x="1" s="1"/>
        <n x="2" s="1"/>
        <n x="5" s="1"/>
        <n x="3" s="1"/>
        <n x="4" s="1"/>
        <n x="104"/>
        <n x="27"/>
        <n x="108"/>
      </t>
    </mdx>
    <mdx n="0" f="v">
      <t c="8">
        <n x="1" s="1"/>
        <n x="2" s="1"/>
        <n x="5" s="1"/>
        <n x="3" s="1"/>
        <n x="4" s="1"/>
        <n x="104"/>
        <n x="27"/>
        <n x="49"/>
      </t>
    </mdx>
    <mdx n="0" f="v">
      <t c="8">
        <n x="1" s="1"/>
        <n x="2" s="1"/>
        <n x="5" s="1"/>
        <n x="3" s="1"/>
        <n x="4" s="1"/>
        <n x="104"/>
        <n x="32"/>
        <n x="59"/>
      </t>
    </mdx>
    <mdx n="0" f="v">
      <t c="8">
        <n x="1" s="1"/>
        <n x="2" s="1"/>
        <n x="5" s="1"/>
        <n x="3" s="1"/>
        <n x="4" s="1"/>
        <n x="104"/>
        <n x="32"/>
        <n x="77"/>
      </t>
    </mdx>
    <mdx n="0" f="v">
      <t c="8">
        <n x="1" s="1"/>
        <n x="2" s="1"/>
        <n x="5" s="1"/>
        <n x="3" s="1"/>
        <n x="4" s="1"/>
        <n x="104"/>
        <n x="132"/>
        <n x="58"/>
      </t>
    </mdx>
    <mdx n="0" f="v">
      <t c="8">
        <n x="1" s="1"/>
        <n x="2" s="1"/>
        <n x="5" s="1"/>
        <n x="3" s="1"/>
        <n x="4" s="1"/>
        <n x="104"/>
        <n x="135"/>
        <n x="56"/>
      </t>
    </mdx>
    <mdx n="0" f="v">
      <t c="8">
        <n x="1" s="1"/>
        <n x="2" s="1"/>
        <n x="5" s="1"/>
        <n x="3" s="1"/>
        <n x="4" s="1"/>
        <n x="104"/>
        <n x="135"/>
        <n x="14"/>
      </t>
    </mdx>
    <mdx n="0" f="v">
      <t c="8">
        <n x="1" s="1"/>
        <n x="2" s="1"/>
        <n x="5" s="1"/>
        <n x="3" s="1"/>
        <n x="4" s="1"/>
        <n x="104"/>
        <n x="135"/>
        <n x="54"/>
      </t>
    </mdx>
    <mdx n="0" f="v">
      <t c="8">
        <n x="1" s="1"/>
        <n x="2" s="1"/>
        <n x="5" s="1"/>
        <n x="3" s="1"/>
        <n x="4" s="1"/>
        <n x="104"/>
        <n x="146"/>
        <n x="59"/>
      </t>
    </mdx>
    <mdx n="0" f="v">
      <t c="8">
        <n x="1" s="1"/>
        <n x="2" s="1"/>
        <n x="5" s="1"/>
        <n x="3" s="1"/>
        <n x="4" s="1"/>
        <n x="104"/>
        <n x="146"/>
        <n x="33"/>
      </t>
    </mdx>
    <mdx n="0" f="v">
      <t c="8">
        <n x="1" s="1"/>
        <n x="2" s="1"/>
        <n x="5" s="1"/>
        <n x="3" s="1"/>
        <n x="4" s="1"/>
        <n x="104"/>
        <n x="136"/>
        <n x="109"/>
      </t>
    </mdx>
    <mdx n="0" f="v">
      <t c="8">
        <n x="1" s="1"/>
        <n x="2" s="1"/>
        <n x="5" s="1"/>
        <n x="3" s="1"/>
        <n x="4" s="1"/>
        <n x="104"/>
        <n x="136"/>
        <n x="141"/>
      </t>
    </mdx>
    <mdx n="0" f="v">
      <t c="8">
        <n x="1" s="1"/>
        <n x="2" s="1"/>
        <n x="5" s="1"/>
        <n x="3" s="1"/>
        <n x="4" s="1"/>
        <n x="104"/>
        <n x="42"/>
        <n x="28"/>
      </t>
    </mdx>
    <mdx n="0" f="v">
      <t c="8">
        <n x="1" s="1"/>
        <n x="2" s="1"/>
        <n x="5" s="1"/>
        <n x="3" s="1"/>
        <n x="4" s="1"/>
        <n x="104"/>
        <n x="42"/>
        <n x="85"/>
      </t>
    </mdx>
    <mdx n="0" f="v">
      <t c="8">
        <n x="1" s="1"/>
        <n x="2" s="1"/>
        <n x="5" s="1"/>
        <n x="3" s="1"/>
        <n x="4" s="1"/>
        <n x="104"/>
        <n x="131"/>
        <n x="147"/>
      </t>
    </mdx>
    <mdx n="0" f="v">
      <t c="8">
        <n x="1" s="1"/>
        <n x="2" s="1"/>
        <n x="5" s="1"/>
        <n x="3" s="1"/>
        <n x="4" s="1"/>
        <n x="104"/>
        <n x="53"/>
        <n x="86"/>
      </t>
    </mdx>
    <mdx n="0" f="v">
      <t c="8">
        <n x="1" s="1"/>
        <n x="2" s="1"/>
        <n x="5" s="1"/>
        <n x="3" s="1"/>
        <n x="4" s="1"/>
        <n x="104"/>
        <n x="118"/>
        <n x="48"/>
      </t>
    </mdx>
    <mdx n="0" f="v">
      <t c="8">
        <n x="1" s="1"/>
        <n x="2" s="1"/>
        <n x="5" s="1"/>
        <n x="3" s="1"/>
        <n x="4" s="1"/>
        <n x="104"/>
        <n x="121"/>
        <n x="95"/>
      </t>
    </mdx>
    <mdx n="0" f="v">
      <t c="8">
        <n x="1" s="1"/>
        <n x="2" s="1"/>
        <n x="5" s="1"/>
        <n x="3" s="1"/>
        <n x="4" s="1"/>
        <n x="104"/>
        <n x="12"/>
        <n x="127"/>
      </t>
    </mdx>
    <mdx n="0" f="v">
      <t c="8">
        <n x="1" s="1"/>
        <n x="2" s="1"/>
        <n x="5" s="1"/>
        <n x="3" s="1"/>
        <n x="4" s="1"/>
        <n x="104"/>
        <n x="27"/>
        <n x="52"/>
      </t>
    </mdx>
    <mdx n="0" f="v">
      <t c="8">
        <n x="1" s="1"/>
        <n x="2" s="1"/>
        <n x="5" s="1"/>
        <n x="3" s="1"/>
        <n x="4" s="1"/>
        <n x="104"/>
        <n x="32"/>
        <n x="86"/>
      </t>
    </mdx>
    <mdx n="0" f="v">
      <t c="8">
        <n x="1" s="1"/>
        <n x="2" s="1"/>
        <n x="5" s="1"/>
        <n x="3" s="1"/>
        <n x="4" s="1"/>
        <n x="104"/>
        <n x="135"/>
        <n x="62"/>
      </t>
    </mdx>
    <mdx n="0" f="v">
      <t c="8">
        <n x="1" s="1"/>
        <n x="2" s="1"/>
        <n x="5" s="1"/>
        <n x="3" s="1"/>
        <n x="4" s="1"/>
        <n x="104"/>
        <n x="135"/>
        <n x="20"/>
      </t>
    </mdx>
    <mdx n="0" f="v">
      <t c="8">
        <n x="1" s="1"/>
        <n x="2" s="1"/>
        <n x="5" s="1"/>
        <n x="3" s="1"/>
        <n x="4" s="1"/>
        <n x="104"/>
        <n x="146"/>
        <n x="48"/>
      </t>
    </mdx>
    <mdx n="0" f="v">
      <t c="8">
        <n x="1" s="1"/>
        <n x="2" s="1"/>
        <n x="5" s="1"/>
        <n x="3" s="1"/>
        <n x="4" s="1"/>
        <n x="104"/>
        <n x="146"/>
        <n x="155"/>
      </t>
    </mdx>
    <mdx n="0" f="v">
      <t c="8">
        <n x="1" s="1"/>
        <n x="2" s="1"/>
        <n x="5" s="1"/>
        <n x="3" s="1"/>
        <n x="4" s="1"/>
        <n x="104"/>
        <n x="136"/>
        <n x="148"/>
      </t>
    </mdx>
    <mdx n="0" f="v">
      <t c="8">
        <n x="1" s="1"/>
        <n x="2" s="1"/>
        <n x="5" s="1"/>
        <n x="3" s="1"/>
        <n x="4" s="1"/>
        <n x="104"/>
        <n x="42"/>
        <n x="103"/>
      </t>
    </mdx>
    <mdx n="0" f="v">
      <t c="8">
        <n x="1" s="1"/>
        <n x="2" s="1"/>
        <n x="5" s="1"/>
        <n x="3" s="1"/>
        <n x="4" s="1"/>
        <n x="104"/>
        <n x="27"/>
        <n x="155"/>
      </t>
    </mdx>
    <mdx n="0" f="v">
      <t c="8">
        <n x="1" s="1"/>
        <n x="2" s="1"/>
        <n x="5" s="1"/>
        <n x="3" s="1"/>
        <n x="4" s="1"/>
        <n x="104"/>
        <n x="42"/>
        <n x="76"/>
      </t>
    </mdx>
    <mdx n="0" f="v">
      <t c="8">
        <n x="1" s="1"/>
        <n x="2" s="1"/>
        <n x="5" s="1"/>
        <n x="3" s="1"/>
        <n x="4" s="1"/>
        <n x="104"/>
        <n x="42"/>
        <n x="86"/>
      </t>
    </mdx>
    <mdx n="0" f="v">
      <t c="8">
        <n x="1" s="1"/>
        <n x="2" s="1"/>
        <n x="5" s="1"/>
        <n x="3" s="1"/>
        <n x="4" s="1"/>
        <n x="104"/>
        <n x="42"/>
        <n x="95"/>
      </t>
    </mdx>
  </mdxMetadata>
  <valueMetadata count="551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  <bk>
      <rc t="1" v="895"/>
    </bk>
    <bk>
      <rc t="1" v="896"/>
    </bk>
    <bk>
      <rc t="1" v="897"/>
    </bk>
    <bk>
      <rc t="1" v="898"/>
    </bk>
    <bk>
      <rc t="1" v="899"/>
    </bk>
    <bk>
      <rc t="1" v="900"/>
    </bk>
    <bk>
      <rc t="1" v="901"/>
    </bk>
    <bk>
      <rc t="1" v="902"/>
    </bk>
    <bk>
      <rc t="1" v="903"/>
    </bk>
    <bk>
      <rc t="1" v="904"/>
    </bk>
    <bk>
      <rc t="1" v="905"/>
    </bk>
    <bk>
      <rc t="1" v="906"/>
    </bk>
    <bk>
      <rc t="1" v="907"/>
    </bk>
    <bk>
      <rc t="1" v="908"/>
    </bk>
    <bk>
      <rc t="1" v="909"/>
    </bk>
    <bk>
      <rc t="1" v="910"/>
    </bk>
    <bk>
      <rc t="1" v="911"/>
    </bk>
    <bk>
      <rc t="1" v="912"/>
    </bk>
    <bk>
      <rc t="1" v="913"/>
    </bk>
    <bk>
      <rc t="1" v="914"/>
    </bk>
    <bk>
      <rc t="1" v="915"/>
    </bk>
    <bk>
      <rc t="1" v="916"/>
    </bk>
    <bk>
      <rc t="1" v="917"/>
    </bk>
    <bk>
      <rc t="1" v="918"/>
    </bk>
    <bk>
      <rc t="1" v="919"/>
    </bk>
    <bk>
      <rc t="1" v="920"/>
    </bk>
    <bk>
      <rc t="1" v="921"/>
    </bk>
    <bk>
      <rc t="1" v="922"/>
    </bk>
    <bk>
      <rc t="1" v="923"/>
    </bk>
    <bk>
      <rc t="1" v="924"/>
    </bk>
    <bk>
      <rc t="1" v="925"/>
    </bk>
    <bk>
      <rc t="1" v="926"/>
    </bk>
    <bk>
      <rc t="1" v="927"/>
    </bk>
    <bk>
      <rc t="1" v="928"/>
    </bk>
    <bk>
      <rc t="1" v="929"/>
    </bk>
    <bk>
      <rc t="1" v="930"/>
    </bk>
    <bk>
      <rc t="1" v="931"/>
    </bk>
    <bk>
      <rc t="1" v="932"/>
    </bk>
    <bk>
      <rc t="1" v="933"/>
    </bk>
    <bk>
      <rc t="1" v="934"/>
    </bk>
    <bk>
      <rc t="1" v="935"/>
    </bk>
    <bk>
      <rc t="1" v="936"/>
    </bk>
    <bk>
      <rc t="1" v="937"/>
    </bk>
    <bk>
      <rc t="1" v="938"/>
    </bk>
    <bk>
      <rc t="1" v="939"/>
    </bk>
    <bk>
      <rc t="1" v="940"/>
    </bk>
    <bk>
      <rc t="1" v="941"/>
    </bk>
    <bk>
      <rc t="1" v="942"/>
    </bk>
    <bk>
      <rc t="1" v="943"/>
    </bk>
    <bk>
      <rc t="1" v="944"/>
    </bk>
    <bk>
      <rc t="1" v="945"/>
    </bk>
    <bk>
      <rc t="1" v="946"/>
    </bk>
    <bk>
      <rc t="1" v="947"/>
    </bk>
    <bk>
      <rc t="1" v="948"/>
    </bk>
    <bk>
      <rc t="1" v="949"/>
    </bk>
    <bk>
      <rc t="1" v="950"/>
    </bk>
    <bk>
      <rc t="1" v="951"/>
    </bk>
    <bk>
      <rc t="1" v="952"/>
    </bk>
    <bk>
      <rc t="1" v="953"/>
    </bk>
    <bk>
      <rc t="1" v="954"/>
    </bk>
    <bk>
      <rc t="1" v="955"/>
    </bk>
    <bk>
      <rc t="1" v="956"/>
    </bk>
    <bk>
      <rc t="1" v="957"/>
    </bk>
    <bk>
      <rc t="1" v="958"/>
    </bk>
    <bk>
      <rc t="1" v="959"/>
    </bk>
    <bk>
      <rc t="1" v="960"/>
    </bk>
    <bk>
      <rc t="1" v="961"/>
    </bk>
    <bk>
      <rc t="1" v="962"/>
    </bk>
    <bk>
      <rc t="1" v="963"/>
    </bk>
    <bk>
      <rc t="1" v="964"/>
    </bk>
    <bk>
      <rc t="1" v="965"/>
    </bk>
    <bk>
      <rc t="1" v="966"/>
    </bk>
    <bk>
      <rc t="1" v="967"/>
    </bk>
    <bk>
      <rc t="1" v="968"/>
    </bk>
    <bk>
      <rc t="1" v="969"/>
    </bk>
    <bk>
      <rc t="1" v="970"/>
    </bk>
    <bk>
      <rc t="1" v="971"/>
    </bk>
    <bk>
      <rc t="1" v="972"/>
    </bk>
    <bk>
      <rc t="1" v="973"/>
    </bk>
    <bk>
      <rc t="1" v="974"/>
    </bk>
    <bk>
      <rc t="1" v="975"/>
    </bk>
    <bk>
      <rc t="1" v="976"/>
    </bk>
    <bk>
      <rc t="1" v="977"/>
    </bk>
    <bk>
      <rc t="1" v="978"/>
    </bk>
    <bk>
      <rc t="1" v="979"/>
    </bk>
    <bk>
      <rc t="1" v="980"/>
    </bk>
    <bk>
      <rc t="1" v="981"/>
    </bk>
    <bk>
      <rc t="1" v="982"/>
    </bk>
    <bk>
      <rc t="1" v="983"/>
    </bk>
    <bk>
      <rc t="1" v="984"/>
    </bk>
    <bk>
      <rc t="1" v="985"/>
    </bk>
    <bk>
      <rc t="1" v="986"/>
    </bk>
    <bk>
      <rc t="1" v="987"/>
    </bk>
    <bk>
      <rc t="1" v="988"/>
    </bk>
    <bk>
      <rc t="1" v="989"/>
    </bk>
    <bk>
      <rc t="1" v="990"/>
    </bk>
    <bk>
      <rc t="1" v="991"/>
    </bk>
    <bk>
      <rc t="1" v="992"/>
    </bk>
    <bk>
      <rc t="1" v="993"/>
    </bk>
    <bk>
      <rc t="1" v="994"/>
    </bk>
    <bk>
      <rc t="1" v="995"/>
    </bk>
    <bk>
      <rc t="1" v="996"/>
    </bk>
    <bk>
      <rc t="1" v="997"/>
    </bk>
    <bk>
      <rc t="1" v="998"/>
    </bk>
    <bk>
      <rc t="1" v="999"/>
    </bk>
    <bk>
      <rc t="1" v="1000"/>
    </bk>
    <bk>
      <rc t="1" v="1001"/>
    </bk>
    <bk>
      <rc t="1" v="1002"/>
    </bk>
    <bk>
      <rc t="1" v="1003"/>
    </bk>
    <bk>
      <rc t="1" v="1004"/>
    </bk>
    <bk>
      <rc t="1" v="1005"/>
    </bk>
    <bk>
      <rc t="1" v="1006"/>
    </bk>
    <bk>
      <rc t="1" v="1007"/>
    </bk>
    <bk>
      <rc t="1" v="1008"/>
    </bk>
    <bk>
      <rc t="1" v="1009"/>
    </bk>
    <bk>
      <rc t="1" v="1010"/>
    </bk>
    <bk>
      <rc t="1" v="1011"/>
    </bk>
    <bk>
      <rc t="1" v="1012"/>
    </bk>
    <bk>
      <rc t="1" v="1013"/>
    </bk>
    <bk>
      <rc t="1" v="1014"/>
    </bk>
    <bk>
      <rc t="1" v="1015"/>
    </bk>
    <bk>
      <rc t="1" v="1016"/>
    </bk>
    <bk>
      <rc t="1" v="1017"/>
    </bk>
    <bk>
      <rc t="1" v="1018"/>
    </bk>
    <bk>
      <rc t="1" v="1019"/>
    </bk>
    <bk>
      <rc t="1" v="1020"/>
    </bk>
    <bk>
      <rc t="1" v="1021"/>
    </bk>
    <bk>
      <rc t="1" v="1022"/>
    </bk>
    <bk>
      <rc t="1" v="1023"/>
    </bk>
    <bk>
      <rc t="1" v="1024"/>
    </bk>
    <bk>
      <rc t="1" v="1025"/>
    </bk>
    <bk>
      <rc t="1" v="1026"/>
    </bk>
    <bk>
      <rc t="1" v="1027"/>
    </bk>
    <bk>
      <rc t="1" v="1028"/>
    </bk>
    <bk>
      <rc t="1" v="1029"/>
    </bk>
    <bk>
      <rc t="1" v="1030"/>
    </bk>
    <bk>
      <rc t="1" v="1031"/>
    </bk>
    <bk>
      <rc t="1" v="1032"/>
    </bk>
    <bk>
      <rc t="1" v="1033"/>
    </bk>
    <bk>
      <rc t="1" v="1034"/>
    </bk>
    <bk>
      <rc t="1" v="1035"/>
    </bk>
    <bk>
      <rc t="1" v="1036"/>
    </bk>
    <bk>
      <rc t="1" v="1037"/>
    </bk>
    <bk>
      <rc t="1" v="1038"/>
    </bk>
    <bk>
      <rc t="1" v="1039"/>
    </bk>
    <bk>
      <rc t="1" v="1040"/>
    </bk>
    <bk>
      <rc t="1" v="1041"/>
    </bk>
    <bk>
      <rc t="1" v="1042"/>
    </bk>
    <bk>
      <rc t="1" v="1043"/>
    </bk>
    <bk>
      <rc t="1" v="1044"/>
    </bk>
    <bk>
      <rc t="1" v="1045"/>
    </bk>
    <bk>
      <rc t="1" v="1046"/>
    </bk>
    <bk>
      <rc t="1" v="1047"/>
    </bk>
    <bk>
      <rc t="1" v="1048"/>
    </bk>
    <bk>
      <rc t="1" v="1049"/>
    </bk>
    <bk>
      <rc t="1" v="1050"/>
    </bk>
    <bk>
      <rc t="1" v="1051"/>
    </bk>
    <bk>
      <rc t="1" v="1052"/>
    </bk>
    <bk>
      <rc t="1" v="1053"/>
    </bk>
    <bk>
      <rc t="1" v="1054"/>
    </bk>
    <bk>
      <rc t="1" v="1055"/>
    </bk>
    <bk>
      <rc t="1" v="1056"/>
    </bk>
    <bk>
      <rc t="1" v="1057"/>
    </bk>
    <bk>
      <rc t="1" v="1058"/>
    </bk>
    <bk>
      <rc t="1" v="1059"/>
    </bk>
    <bk>
      <rc t="1" v="1060"/>
    </bk>
    <bk>
      <rc t="1" v="1061"/>
    </bk>
    <bk>
      <rc t="1" v="1062"/>
    </bk>
    <bk>
      <rc t="1" v="1063"/>
    </bk>
    <bk>
      <rc t="1" v="1064"/>
    </bk>
    <bk>
      <rc t="1" v="1065"/>
    </bk>
    <bk>
      <rc t="1" v="1066"/>
    </bk>
    <bk>
      <rc t="1" v="1067"/>
    </bk>
    <bk>
      <rc t="1" v="1068"/>
    </bk>
    <bk>
      <rc t="1" v="1069"/>
    </bk>
    <bk>
      <rc t="1" v="1070"/>
    </bk>
    <bk>
      <rc t="1" v="1071"/>
    </bk>
    <bk>
      <rc t="1" v="1072"/>
    </bk>
    <bk>
      <rc t="1" v="1073"/>
    </bk>
    <bk>
      <rc t="1" v="1074"/>
    </bk>
    <bk>
      <rc t="1" v="1075"/>
    </bk>
    <bk>
      <rc t="1" v="1076"/>
    </bk>
    <bk>
      <rc t="1" v="1077"/>
    </bk>
    <bk>
      <rc t="1" v="1078"/>
    </bk>
    <bk>
      <rc t="1" v="1079"/>
    </bk>
    <bk>
      <rc t="1" v="1080"/>
    </bk>
    <bk>
      <rc t="1" v="1081"/>
    </bk>
    <bk>
      <rc t="1" v="1082"/>
    </bk>
    <bk>
      <rc t="1" v="1083"/>
    </bk>
    <bk>
      <rc t="1" v="1084"/>
    </bk>
    <bk>
      <rc t="1" v="1085"/>
    </bk>
    <bk>
      <rc t="1" v="1086"/>
    </bk>
    <bk>
      <rc t="1" v="1087"/>
    </bk>
    <bk>
      <rc t="1" v="1088"/>
    </bk>
    <bk>
      <rc t="1" v="1089"/>
    </bk>
    <bk>
      <rc t="1" v="1090"/>
    </bk>
    <bk>
      <rc t="1" v="1091"/>
    </bk>
    <bk>
      <rc t="1" v="1092"/>
    </bk>
    <bk>
      <rc t="1" v="1093"/>
    </bk>
    <bk>
      <rc t="1" v="1094"/>
    </bk>
    <bk>
      <rc t="1" v="1095"/>
    </bk>
    <bk>
      <rc t="1" v="1096"/>
    </bk>
    <bk>
      <rc t="1" v="1097"/>
    </bk>
    <bk>
      <rc t="1" v="1098"/>
    </bk>
    <bk>
      <rc t="1" v="1099"/>
    </bk>
    <bk>
      <rc t="1" v="1100"/>
    </bk>
    <bk>
      <rc t="1" v="1101"/>
    </bk>
    <bk>
      <rc t="1" v="1102"/>
    </bk>
    <bk>
      <rc t="1" v="1103"/>
    </bk>
    <bk>
      <rc t="1" v="1104"/>
    </bk>
    <bk>
      <rc t="1" v="1105"/>
    </bk>
    <bk>
      <rc t="1" v="1106"/>
    </bk>
    <bk>
      <rc t="1" v="1107"/>
    </bk>
    <bk>
      <rc t="1" v="1108"/>
    </bk>
    <bk>
      <rc t="1" v="1109"/>
    </bk>
    <bk>
      <rc t="1" v="1110"/>
    </bk>
    <bk>
      <rc t="1" v="1111"/>
    </bk>
    <bk>
      <rc t="1" v="1112"/>
    </bk>
    <bk>
      <rc t="1" v="1113"/>
    </bk>
    <bk>
      <rc t="1" v="1114"/>
    </bk>
    <bk>
      <rc t="1" v="1115"/>
    </bk>
    <bk>
      <rc t="1" v="1116"/>
    </bk>
    <bk>
      <rc t="1" v="1117"/>
    </bk>
    <bk>
      <rc t="1" v="1118"/>
    </bk>
    <bk>
      <rc t="1" v="1119"/>
    </bk>
    <bk>
      <rc t="1" v="1120"/>
    </bk>
    <bk>
      <rc t="1" v="1121"/>
    </bk>
    <bk>
      <rc t="1" v="1122"/>
    </bk>
    <bk>
      <rc t="1" v="1123"/>
    </bk>
    <bk>
      <rc t="1" v="1124"/>
    </bk>
    <bk>
      <rc t="1" v="1125"/>
    </bk>
    <bk>
      <rc t="1" v="1126"/>
    </bk>
    <bk>
      <rc t="1" v="1127"/>
    </bk>
    <bk>
      <rc t="1" v="1128"/>
    </bk>
    <bk>
      <rc t="1" v="1129"/>
    </bk>
    <bk>
      <rc t="1" v="1130"/>
    </bk>
    <bk>
      <rc t="1" v="1131"/>
    </bk>
    <bk>
      <rc t="1" v="1132"/>
    </bk>
    <bk>
      <rc t="1" v="1133"/>
    </bk>
    <bk>
      <rc t="1" v="1134"/>
    </bk>
    <bk>
      <rc t="1" v="1135"/>
    </bk>
    <bk>
      <rc t="1" v="1136"/>
    </bk>
    <bk>
      <rc t="1" v="1137"/>
    </bk>
    <bk>
      <rc t="1" v="1138"/>
    </bk>
    <bk>
      <rc t="1" v="1139"/>
    </bk>
    <bk>
      <rc t="1" v="1140"/>
    </bk>
    <bk>
      <rc t="1" v="1141"/>
    </bk>
    <bk>
      <rc t="1" v="1142"/>
    </bk>
    <bk>
      <rc t="1" v="1143"/>
    </bk>
    <bk>
      <rc t="1" v="1144"/>
    </bk>
    <bk>
      <rc t="1" v="1145"/>
    </bk>
    <bk>
      <rc t="1" v="1146"/>
    </bk>
    <bk>
      <rc t="1" v="1147"/>
    </bk>
    <bk>
      <rc t="1" v="1148"/>
    </bk>
    <bk>
      <rc t="1" v="1149"/>
    </bk>
    <bk>
      <rc t="1" v="1150"/>
    </bk>
    <bk>
      <rc t="1" v="1151"/>
    </bk>
    <bk>
      <rc t="1" v="1152"/>
    </bk>
    <bk>
      <rc t="1" v="1153"/>
    </bk>
    <bk>
      <rc t="1" v="1154"/>
    </bk>
    <bk>
      <rc t="1" v="1155"/>
    </bk>
    <bk>
      <rc t="1" v="1156"/>
    </bk>
    <bk>
      <rc t="1" v="1157"/>
    </bk>
    <bk>
      <rc t="1" v="1158"/>
    </bk>
    <bk>
      <rc t="1" v="1159"/>
    </bk>
    <bk>
      <rc t="1" v="1160"/>
    </bk>
    <bk>
      <rc t="1" v="1161"/>
    </bk>
    <bk>
      <rc t="1" v="1162"/>
    </bk>
    <bk>
      <rc t="1" v="1163"/>
    </bk>
    <bk>
      <rc t="1" v="1164"/>
    </bk>
    <bk>
      <rc t="1" v="1165"/>
    </bk>
    <bk>
      <rc t="1" v="1166"/>
    </bk>
    <bk>
      <rc t="1" v="1167"/>
    </bk>
    <bk>
      <rc t="1" v="1168"/>
    </bk>
    <bk>
      <rc t="1" v="1169"/>
    </bk>
    <bk>
      <rc t="1" v="1170"/>
    </bk>
    <bk>
      <rc t="1" v="1171"/>
    </bk>
    <bk>
      <rc t="1" v="1172"/>
    </bk>
    <bk>
      <rc t="1" v="1173"/>
    </bk>
    <bk>
      <rc t="1" v="1174"/>
    </bk>
    <bk>
      <rc t="1" v="1175"/>
    </bk>
    <bk>
      <rc t="1" v="1176"/>
    </bk>
    <bk>
      <rc t="1" v="1177"/>
    </bk>
    <bk>
      <rc t="1" v="1178"/>
    </bk>
    <bk>
      <rc t="1" v="1179"/>
    </bk>
    <bk>
      <rc t="1" v="1180"/>
    </bk>
    <bk>
      <rc t="1" v="1181"/>
    </bk>
    <bk>
      <rc t="1" v="1182"/>
    </bk>
    <bk>
      <rc t="1" v="1183"/>
    </bk>
    <bk>
      <rc t="1" v="1184"/>
    </bk>
    <bk>
      <rc t="1" v="1185"/>
    </bk>
    <bk>
      <rc t="1" v="1186"/>
    </bk>
    <bk>
      <rc t="1" v="1187"/>
    </bk>
    <bk>
      <rc t="1" v="1188"/>
    </bk>
    <bk>
      <rc t="1" v="1189"/>
    </bk>
    <bk>
      <rc t="1" v="1190"/>
    </bk>
    <bk>
      <rc t="1" v="1191"/>
    </bk>
    <bk>
      <rc t="1" v="1192"/>
    </bk>
    <bk>
      <rc t="1" v="1193"/>
    </bk>
    <bk>
      <rc t="1" v="1194"/>
    </bk>
    <bk>
      <rc t="1" v="1195"/>
    </bk>
    <bk>
      <rc t="1" v="1196"/>
    </bk>
    <bk>
      <rc t="1" v="1197"/>
    </bk>
    <bk>
      <rc t="1" v="1198"/>
    </bk>
    <bk>
      <rc t="1" v="1199"/>
    </bk>
    <bk>
      <rc t="1" v="1200"/>
    </bk>
    <bk>
      <rc t="1" v="1201"/>
    </bk>
    <bk>
      <rc t="1" v="1202"/>
    </bk>
    <bk>
      <rc t="1" v="1203"/>
    </bk>
    <bk>
      <rc t="1" v="1204"/>
    </bk>
    <bk>
      <rc t="1" v="1205"/>
    </bk>
    <bk>
      <rc t="1" v="1206"/>
    </bk>
    <bk>
      <rc t="1" v="1207"/>
    </bk>
    <bk>
      <rc t="1" v="1208"/>
    </bk>
    <bk>
      <rc t="1" v="1209"/>
    </bk>
    <bk>
      <rc t="1" v="1210"/>
    </bk>
    <bk>
      <rc t="1" v="1211"/>
    </bk>
    <bk>
      <rc t="1" v="1212"/>
    </bk>
    <bk>
      <rc t="1" v="1213"/>
    </bk>
    <bk>
      <rc t="1" v="1214"/>
    </bk>
    <bk>
      <rc t="1" v="1215"/>
    </bk>
    <bk>
      <rc t="1" v="1216"/>
    </bk>
    <bk>
      <rc t="1" v="1217"/>
    </bk>
    <bk>
      <rc t="1" v="1218"/>
    </bk>
    <bk>
      <rc t="1" v="1219"/>
    </bk>
    <bk>
      <rc t="1" v="1220"/>
    </bk>
    <bk>
      <rc t="1" v="1221"/>
    </bk>
    <bk>
      <rc t="1" v="1222"/>
    </bk>
    <bk>
      <rc t="1" v="1223"/>
    </bk>
    <bk>
      <rc t="1" v="1224"/>
    </bk>
    <bk>
      <rc t="1" v="1225"/>
    </bk>
    <bk>
      <rc t="1" v="1226"/>
    </bk>
    <bk>
      <rc t="1" v="1227"/>
    </bk>
    <bk>
      <rc t="1" v="1228"/>
    </bk>
    <bk>
      <rc t="1" v="1229"/>
    </bk>
    <bk>
      <rc t="1" v="1230"/>
    </bk>
    <bk>
      <rc t="1" v="1231"/>
    </bk>
    <bk>
      <rc t="1" v="1232"/>
    </bk>
    <bk>
      <rc t="1" v="1233"/>
    </bk>
    <bk>
      <rc t="1" v="1234"/>
    </bk>
    <bk>
      <rc t="1" v="1235"/>
    </bk>
    <bk>
      <rc t="1" v="1236"/>
    </bk>
    <bk>
      <rc t="1" v="1237"/>
    </bk>
    <bk>
      <rc t="1" v="1238"/>
    </bk>
    <bk>
      <rc t="1" v="1239"/>
    </bk>
    <bk>
      <rc t="1" v="1240"/>
    </bk>
    <bk>
      <rc t="1" v="1241"/>
    </bk>
    <bk>
      <rc t="1" v="1242"/>
    </bk>
    <bk>
      <rc t="1" v="1243"/>
    </bk>
    <bk>
      <rc t="1" v="1244"/>
    </bk>
    <bk>
      <rc t="1" v="1245"/>
    </bk>
    <bk>
      <rc t="1" v="1246"/>
    </bk>
    <bk>
      <rc t="1" v="1247"/>
    </bk>
    <bk>
      <rc t="1" v="1248"/>
    </bk>
    <bk>
      <rc t="1" v="1249"/>
    </bk>
    <bk>
      <rc t="1" v="1250"/>
    </bk>
    <bk>
      <rc t="1" v="1251"/>
    </bk>
    <bk>
      <rc t="1" v="1252"/>
    </bk>
    <bk>
      <rc t="1" v="1253"/>
    </bk>
    <bk>
      <rc t="1" v="1254"/>
    </bk>
    <bk>
      <rc t="1" v="1255"/>
    </bk>
    <bk>
      <rc t="1" v="1256"/>
    </bk>
    <bk>
      <rc t="1" v="1257"/>
    </bk>
    <bk>
      <rc t="1" v="1258"/>
    </bk>
    <bk>
      <rc t="1" v="1259"/>
    </bk>
    <bk>
      <rc t="1" v="1260"/>
    </bk>
    <bk>
      <rc t="1" v="1261"/>
    </bk>
    <bk>
      <rc t="1" v="1262"/>
    </bk>
    <bk>
      <rc t="1" v="1263"/>
    </bk>
    <bk>
      <rc t="1" v="1264"/>
    </bk>
    <bk>
      <rc t="1" v="1265"/>
    </bk>
    <bk>
      <rc t="1" v="1266"/>
    </bk>
    <bk>
      <rc t="1" v="1267"/>
    </bk>
    <bk>
      <rc t="1" v="1268"/>
    </bk>
    <bk>
      <rc t="1" v="1269"/>
    </bk>
    <bk>
      <rc t="1" v="1270"/>
    </bk>
    <bk>
      <rc t="1" v="1271"/>
    </bk>
    <bk>
      <rc t="1" v="1272"/>
    </bk>
    <bk>
      <rc t="1" v="1273"/>
    </bk>
    <bk>
      <rc t="1" v="1274"/>
    </bk>
    <bk>
      <rc t="1" v="1275"/>
    </bk>
    <bk>
      <rc t="1" v="1276"/>
    </bk>
    <bk>
      <rc t="1" v="1277"/>
    </bk>
    <bk>
      <rc t="1" v="1278"/>
    </bk>
    <bk>
      <rc t="1" v="1279"/>
    </bk>
    <bk>
      <rc t="1" v="1280"/>
    </bk>
    <bk>
      <rc t="1" v="1281"/>
    </bk>
    <bk>
      <rc t="1" v="1282"/>
    </bk>
    <bk>
      <rc t="1" v="1283"/>
    </bk>
    <bk>
      <rc t="1" v="1284"/>
    </bk>
    <bk>
      <rc t="1" v="1285"/>
    </bk>
    <bk>
      <rc t="1" v="1286"/>
    </bk>
    <bk>
      <rc t="1" v="1287"/>
    </bk>
    <bk>
      <rc t="1" v="1288"/>
    </bk>
    <bk>
      <rc t="1" v="1289"/>
    </bk>
    <bk>
      <rc t="1" v="1290"/>
    </bk>
    <bk>
      <rc t="1" v="1291"/>
    </bk>
    <bk>
      <rc t="1" v="1292"/>
    </bk>
    <bk>
      <rc t="1" v="1293"/>
    </bk>
    <bk>
      <rc t="1" v="1294"/>
    </bk>
    <bk>
      <rc t="1" v="1295"/>
    </bk>
    <bk>
      <rc t="1" v="1296"/>
    </bk>
    <bk>
      <rc t="1" v="1297"/>
    </bk>
    <bk>
      <rc t="1" v="1298"/>
    </bk>
    <bk>
      <rc t="1" v="1299"/>
    </bk>
    <bk>
      <rc t="1" v="1300"/>
    </bk>
    <bk>
      <rc t="1" v="1301"/>
    </bk>
    <bk>
      <rc t="1" v="1302"/>
    </bk>
    <bk>
      <rc t="1" v="1303"/>
    </bk>
    <bk>
      <rc t="1" v="1304"/>
    </bk>
    <bk>
      <rc t="1" v="1305"/>
    </bk>
    <bk>
      <rc t="1" v="1306"/>
    </bk>
    <bk>
      <rc t="1" v="1307"/>
    </bk>
    <bk>
      <rc t="1" v="1308"/>
    </bk>
    <bk>
      <rc t="1" v="1309"/>
    </bk>
    <bk>
      <rc t="1" v="1310"/>
    </bk>
    <bk>
      <rc t="1" v="1311"/>
    </bk>
    <bk>
      <rc t="1" v="1312"/>
    </bk>
    <bk>
      <rc t="1" v="1313"/>
    </bk>
    <bk>
      <rc t="1" v="1314"/>
    </bk>
    <bk>
      <rc t="1" v="1315"/>
    </bk>
    <bk>
      <rc t="1" v="1316"/>
    </bk>
    <bk>
      <rc t="1" v="1317"/>
    </bk>
    <bk>
      <rc t="1" v="1318"/>
    </bk>
    <bk>
      <rc t="1" v="1319"/>
    </bk>
    <bk>
      <rc t="1" v="1320"/>
    </bk>
    <bk>
      <rc t="1" v="1321"/>
    </bk>
    <bk>
      <rc t="1" v="1322"/>
    </bk>
    <bk>
      <rc t="1" v="1323"/>
    </bk>
    <bk>
      <rc t="1" v="1324"/>
    </bk>
    <bk>
      <rc t="1" v="1325"/>
    </bk>
    <bk>
      <rc t="1" v="1326"/>
    </bk>
    <bk>
      <rc t="1" v="1327"/>
    </bk>
    <bk>
      <rc t="1" v="1328"/>
    </bk>
    <bk>
      <rc t="1" v="1329"/>
    </bk>
    <bk>
      <rc t="1" v="1330"/>
    </bk>
    <bk>
      <rc t="1" v="1331"/>
    </bk>
    <bk>
      <rc t="1" v="1332"/>
    </bk>
    <bk>
      <rc t="1" v="1333"/>
    </bk>
    <bk>
      <rc t="1" v="1334"/>
    </bk>
    <bk>
      <rc t="1" v="1335"/>
    </bk>
    <bk>
      <rc t="1" v="1336"/>
    </bk>
    <bk>
      <rc t="1" v="1337"/>
    </bk>
    <bk>
      <rc t="1" v="1338"/>
    </bk>
    <bk>
      <rc t="1" v="1339"/>
    </bk>
    <bk>
      <rc t="1" v="1340"/>
    </bk>
    <bk>
      <rc t="1" v="1341"/>
    </bk>
    <bk>
      <rc t="1" v="1342"/>
    </bk>
    <bk>
      <rc t="1" v="1343"/>
    </bk>
    <bk>
      <rc t="1" v="1344"/>
    </bk>
    <bk>
      <rc t="1" v="1345"/>
    </bk>
    <bk>
      <rc t="1" v="1346"/>
    </bk>
    <bk>
      <rc t="1" v="1347"/>
    </bk>
    <bk>
      <rc t="1" v="1348"/>
    </bk>
    <bk>
      <rc t="1" v="1349"/>
    </bk>
    <bk>
      <rc t="1" v="1350"/>
    </bk>
    <bk>
      <rc t="1" v="1351"/>
    </bk>
    <bk>
      <rc t="1" v="1352"/>
    </bk>
    <bk>
      <rc t="1" v="1353"/>
    </bk>
    <bk>
      <rc t="1" v="1354"/>
    </bk>
    <bk>
      <rc t="1" v="1355"/>
    </bk>
    <bk>
      <rc t="1" v="1356"/>
    </bk>
    <bk>
      <rc t="1" v="1357"/>
    </bk>
    <bk>
      <rc t="1" v="1358"/>
    </bk>
    <bk>
      <rc t="1" v="1359"/>
    </bk>
    <bk>
      <rc t="1" v="1360"/>
    </bk>
    <bk>
      <rc t="1" v="1361"/>
    </bk>
    <bk>
      <rc t="1" v="1362"/>
    </bk>
    <bk>
      <rc t="1" v="1363"/>
    </bk>
    <bk>
      <rc t="1" v="1364"/>
    </bk>
    <bk>
      <rc t="1" v="1365"/>
    </bk>
    <bk>
      <rc t="1" v="1366"/>
    </bk>
    <bk>
      <rc t="1" v="1367"/>
    </bk>
    <bk>
      <rc t="1" v="1368"/>
    </bk>
    <bk>
      <rc t="1" v="1369"/>
    </bk>
    <bk>
      <rc t="1" v="1370"/>
    </bk>
    <bk>
      <rc t="1" v="1371"/>
    </bk>
    <bk>
      <rc t="1" v="1372"/>
    </bk>
    <bk>
      <rc t="1" v="1373"/>
    </bk>
    <bk>
      <rc t="1" v="1374"/>
    </bk>
    <bk>
      <rc t="1" v="1375"/>
    </bk>
    <bk>
      <rc t="1" v="1376"/>
    </bk>
    <bk>
      <rc t="1" v="1377"/>
    </bk>
    <bk>
      <rc t="1" v="1378"/>
    </bk>
    <bk>
      <rc t="1" v="1379"/>
    </bk>
    <bk>
      <rc t="1" v="1380"/>
    </bk>
    <bk>
      <rc t="1" v="1381"/>
    </bk>
    <bk>
      <rc t="1" v="1382"/>
    </bk>
    <bk>
      <rc t="1" v="1383"/>
    </bk>
    <bk>
      <rc t="1" v="1384"/>
    </bk>
    <bk>
      <rc t="1" v="1385"/>
    </bk>
    <bk>
      <rc t="1" v="1386"/>
    </bk>
    <bk>
      <rc t="1" v="1387"/>
    </bk>
    <bk>
      <rc t="1" v="1388"/>
    </bk>
    <bk>
      <rc t="1" v="1389"/>
    </bk>
    <bk>
      <rc t="1" v="1390"/>
    </bk>
    <bk>
      <rc t="1" v="1391"/>
    </bk>
    <bk>
      <rc t="1" v="1392"/>
    </bk>
    <bk>
      <rc t="1" v="1393"/>
    </bk>
    <bk>
      <rc t="1" v="1394"/>
    </bk>
    <bk>
      <rc t="1" v="1395"/>
    </bk>
    <bk>
      <rc t="1" v="1396"/>
    </bk>
    <bk>
      <rc t="1" v="1397"/>
    </bk>
    <bk>
      <rc t="1" v="1398"/>
    </bk>
    <bk>
      <rc t="1" v="1399"/>
    </bk>
    <bk>
      <rc t="1" v="1400"/>
    </bk>
    <bk>
      <rc t="1" v="1401"/>
    </bk>
    <bk>
      <rc t="1" v="1402"/>
    </bk>
    <bk>
      <rc t="1" v="1403"/>
    </bk>
    <bk>
      <rc t="1" v="1404"/>
    </bk>
    <bk>
      <rc t="1" v="1405"/>
    </bk>
    <bk>
      <rc t="1" v="1406"/>
    </bk>
    <bk>
      <rc t="1" v="1407"/>
    </bk>
    <bk>
      <rc t="1" v="1408"/>
    </bk>
    <bk>
      <rc t="1" v="1409"/>
    </bk>
    <bk>
      <rc t="1" v="1410"/>
    </bk>
    <bk>
      <rc t="1" v="1411"/>
    </bk>
    <bk>
      <rc t="1" v="1412"/>
    </bk>
    <bk>
      <rc t="1" v="1413"/>
    </bk>
    <bk>
      <rc t="1" v="1414"/>
    </bk>
    <bk>
      <rc t="1" v="1415"/>
    </bk>
    <bk>
      <rc t="1" v="1416"/>
    </bk>
    <bk>
      <rc t="1" v="1417"/>
    </bk>
    <bk>
      <rc t="1" v="1418"/>
    </bk>
    <bk>
      <rc t="1" v="1419"/>
    </bk>
    <bk>
      <rc t="1" v="1420"/>
    </bk>
    <bk>
      <rc t="1" v="1421"/>
    </bk>
    <bk>
      <rc t="1" v="1422"/>
    </bk>
    <bk>
      <rc t="1" v="1423"/>
    </bk>
    <bk>
      <rc t="1" v="1424"/>
    </bk>
    <bk>
      <rc t="1" v="1425"/>
    </bk>
    <bk>
      <rc t="1" v="1426"/>
    </bk>
    <bk>
      <rc t="1" v="1427"/>
    </bk>
    <bk>
      <rc t="1" v="1428"/>
    </bk>
    <bk>
      <rc t="1" v="1429"/>
    </bk>
    <bk>
      <rc t="1" v="1430"/>
    </bk>
    <bk>
      <rc t="1" v="1431"/>
    </bk>
    <bk>
      <rc t="1" v="1432"/>
    </bk>
    <bk>
      <rc t="1" v="1433"/>
    </bk>
    <bk>
      <rc t="1" v="1434"/>
    </bk>
    <bk>
      <rc t="1" v="1435"/>
    </bk>
    <bk>
      <rc t="1" v="1436"/>
    </bk>
    <bk>
      <rc t="1" v="1437"/>
    </bk>
    <bk>
      <rc t="1" v="1438"/>
    </bk>
    <bk>
      <rc t="1" v="1439"/>
    </bk>
    <bk>
      <rc t="1" v="1440"/>
    </bk>
    <bk>
      <rc t="1" v="1441"/>
    </bk>
    <bk>
      <rc t="1" v="1442"/>
    </bk>
    <bk>
      <rc t="1" v="1443"/>
    </bk>
    <bk>
      <rc t="1" v="1444"/>
    </bk>
    <bk>
      <rc t="1" v="1445"/>
    </bk>
    <bk>
      <rc t="1" v="1446"/>
    </bk>
    <bk>
      <rc t="1" v="1447"/>
    </bk>
    <bk>
      <rc t="1" v="1448"/>
    </bk>
    <bk>
      <rc t="1" v="1449"/>
    </bk>
    <bk>
      <rc t="1" v="1450"/>
    </bk>
    <bk>
      <rc t="1" v="1451"/>
    </bk>
    <bk>
      <rc t="1" v="1452"/>
    </bk>
    <bk>
      <rc t="1" v="1453"/>
    </bk>
    <bk>
      <rc t="1" v="1454"/>
    </bk>
    <bk>
      <rc t="1" v="1455"/>
    </bk>
    <bk>
      <rc t="1" v="1456"/>
    </bk>
    <bk>
      <rc t="1" v="1457"/>
    </bk>
    <bk>
      <rc t="1" v="1458"/>
    </bk>
    <bk>
      <rc t="1" v="1459"/>
    </bk>
    <bk>
      <rc t="1" v="1460"/>
    </bk>
    <bk>
      <rc t="1" v="1461"/>
    </bk>
    <bk>
      <rc t="1" v="1462"/>
    </bk>
    <bk>
      <rc t="1" v="1463"/>
    </bk>
    <bk>
      <rc t="1" v="1464"/>
    </bk>
    <bk>
      <rc t="1" v="1465"/>
    </bk>
    <bk>
      <rc t="1" v="1466"/>
    </bk>
    <bk>
      <rc t="1" v="1467"/>
    </bk>
    <bk>
      <rc t="1" v="1468"/>
    </bk>
    <bk>
      <rc t="1" v="1469"/>
    </bk>
    <bk>
      <rc t="1" v="1470"/>
    </bk>
    <bk>
      <rc t="1" v="1471"/>
    </bk>
    <bk>
      <rc t="1" v="1472"/>
    </bk>
    <bk>
      <rc t="1" v="1473"/>
    </bk>
    <bk>
      <rc t="1" v="1474"/>
    </bk>
    <bk>
      <rc t="1" v="1475"/>
    </bk>
    <bk>
      <rc t="1" v="1476"/>
    </bk>
    <bk>
      <rc t="1" v="1477"/>
    </bk>
    <bk>
      <rc t="1" v="1478"/>
    </bk>
    <bk>
      <rc t="1" v="1479"/>
    </bk>
    <bk>
      <rc t="1" v="1480"/>
    </bk>
    <bk>
      <rc t="1" v="1481"/>
    </bk>
    <bk>
      <rc t="1" v="1482"/>
    </bk>
    <bk>
      <rc t="1" v="1483"/>
    </bk>
    <bk>
      <rc t="1" v="1484"/>
    </bk>
    <bk>
      <rc t="1" v="1485"/>
    </bk>
    <bk>
      <rc t="1" v="1486"/>
    </bk>
    <bk>
      <rc t="1" v="1487"/>
    </bk>
    <bk>
      <rc t="1" v="1488"/>
    </bk>
    <bk>
      <rc t="1" v="1489"/>
    </bk>
    <bk>
      <rc t="1" v="1490"/>
    </bk>
    <bk>
      <rc t="1" v="1491"/>
    </bk>
    <bk>
      <rc t="1" v="1492"/>
    </bk>
    <bk>
      <rc t="1" v="1493"/>
    </bk>
    <bk>
      <rc t="1" v="1494"/>
    </bk>
    <bk>
      <rc t="1" v="1495"/>
    </bk>
    <bk>
      <rc t="1" v="1496"/>
    </bk>
    <bk>
      <rc t="1" v="1497"/>
    </bk>
    <bk>
      <rc t="1" v="1498"/>
    </bk>
    <bk>
      <rc t="1" v="1499"/>
    </bk>
    <bk>
      <rc t="1" v="1500"/>
    </bk>
    <bk>
      <rc t="1" v="1501"/>
    </bk>
    <bk>
      <rc t="1" v="1502"/>
    </bk>
    <bk>
      <rc t="1" v="1503"/>
    </bk>
    <bk>
      <rc t="1" v="1504"/>
    </bk>
    <bk>
      <rc t="1" v="1505"/>
    </bk>
    <bk>
      <rc t="1" v="1506"/>
    </bk>
    <bk>
      <rc t="1" v="1507"/>
    </bk>
    <bk>
      <rc t="1" v="1508"/>
    </bk>
    <bk>
      <rc t="1" v="1509"/>
    </bk>
    <bk>
      <rc t="1" v="1510"/>
    </bk>
    <bk>
      <rc t="1" v="1511"/>
    </bk>
    <bk>
      <rc t="1" v="1512"/>
    </bk>
    <bk>
      <rc t="1" v="1513"/>
    </bk>
    <bk>
      <rc t="1" v="1514"/>
    </bk>
    <bk>
      <rc t="1" v="1515"/>
    </bk>
    <bk>
      <rc t="1" v="1516"/>
    </bk>
    <bk>
      <rc t="1" v="1517"/>
    </bk>
    <bk>
      <rc t="1" v="1518"/>
    </bk>
    <bk>
      <rc t="1" v="1519"/>
    </bk>
    <bk>
      <rc t="1" v="1520"/>
    </bk>
    <bk>
      <rc t="1" v="1521"/>
    </bk>
    <bk>
      <rc t="1" v="1522"/>
    </bk>
    <bk>
      <rc t="1" v="1523"/>
    </bk>
    <bk>
      <rc t="1" v="1524"/>
    </bk>
    <bk>
      <rc t="1" v="1525"/>
    </bk>
    <bk>
      <rc t="1" v="1526"/>
    </bk>
    <bk>
      <rc t="1" v="1527"/>
    </bk>
    <bk>
      <rc t="1" v="1528"/>
    </bk>
    <bk>
      <rc t="1" v="1529"/>
    </bk>
    <bk>
      <rc t="1" v="1530"/>
    </bk>
    <bk>
      <rc t="1" v="1531"/>
    </bk>
    <bk>
      <rc t="1" v="1532"/>
    </bk>
    <bk>
      <rc t="1" v="1533"/>
    </bk>
    <bk>
      <rc t="1" v="1534"/>
    </bk>
    <bk>
      <rc t="1" v="1535"/>
    </bk>
    <bk>
      <rc t="1" v="1536"/>
    </bk>
    <bk>
      <rc t="1" v="1537"/>
    </bk>
    <bk>
      <rc t="1" v="1538"/>
    </bk>
    <bk>
      <rc t="1" v="1539"/>
    </bk>
    <bk>
      <rc t="1" v="1540"/>
    </bk>
    <bk>
      <rc t="1" v="1541"/>
    </bk>
    <bk>
      <rc t="1" v="1542"/>
    </bk>
    <bk>
      <rc t="1" v="1543"/>
    </bk>
    <bk>
      <rc t="1" v="1544"/>
    </bk>
    <bk>
      <rc t="1" v="1545"/>
    </bk>
    <bk>
      <rc t="1" v="1546"/>
    </bk>
    <bk>
      <rc t="1" v="1547"/>
    </bk>
    <bk>
      <rc t="1" v="1548"/>
    </bk>
    <bk>
      <rc t="1" v="1549"/>
    </bk>
    <bk>
      <rc t="1" v="1550"/>
    </bk>
    <bk>
      <rc t="1" v="1551"/>
    </bk>
    <bk>
      <rc t="1" v="1552"/>
    </bk>
    <bk>
      <rc t="1" v="1553"/>
    </bk>
    <bk>
      <rc t="1" v="1554"/>
    </bk>
    <bk>
      <rc t="1" v="1555"/>
    </bk>
    <bk>
      <rc t="1" v="1556"/>
    </bk>
    <bk>
      <rc t="1" v="1557"/>
    </bk>
    <bk>
      <rc t="1" v="1558"/>
    </bk>
    <bk>
      <rc t="1" v="1559"/>
    </bk>
    <bk>
      <rc t="1" v="1560"/>
    </bk>
    <bk>
      <rc t="1" v="1561"/>
    </bk>
    <bk>
      <rc t="1" v="1562"/>
    </bk>
    <bk>
      <rc t="1" v="1563"/>
    </bk>
    <bk>
      <rc t="1" v="1564"/>
    </bk>
    <bk>
      <rc t="1" v="1565"/>
    </bk>
    <bk>
      <rc t="1" v="1566"/>
    </bk>
    <bk>
      <rc t="1" v="1567"/>
    </bk>
    <bk>
      <rc t="1" v="1568"/>
    </bk>
    <bk>
      <rc t="1" v="1569"/>
    </bk>
    <bk>
      <rc t="1" v="1570"/>
    </bk>
    <bk>
      <rc t="1" v="1571"/>
    </bk>
    <bk>
      <rc t="1" v="1572"/>
    </bk>
    <bk>
      <rc t="1" v="1573"/>
    </bk>
    <bk>
      <rc t="1" v="1574"/>
    </bk>
    <bk>
      <rc t="1" v="1575"/>
    </bk>
    <bk>
      <rc t="1" v="1576"/>
    </bk>
    <bk>
      <rc t="1" v="1577"/>
    </bk>
    <bk>
      <rc t="1" v="1578"/>
    </bk>
    <bk>
      <rc t="1" v="1579"/>
    </bk>
    <bk>
      <rc t="1" v="1580"/>
    </bk>
    <bk>
      <rc t="1" v="1581"/>
    </bk>
    <bk>
      <rc t="1" v="1582"/>
    </bk>
    <bk>
      <rc t="1" v="1583"/>
    </bk>
    <bk>
      <rc t="1" v="1584"/>
    </bk>
    <bk>
      <rc t="1" v="1585"/>
    </bk>
    <bk>
      <rc t="1" v="1586"/>
    </bk>
    <bk>
      <rc t="1" v="1587"/>
    </bk>
    <bk>
      <rc t="1" v="1588"/>
    </bk>
    <bk>
      <rc t="1" v="1589"/>
    </bk>
    <bk>
      <rc t="1" v="1590"/>
    </bk>
    <bk>
      <rc t="1" v="1591"/>
    </bk>
    <bk>
      <rc t="1" v="1592"/>
    </bk>
    <bk>
      <rc t="1" v="1593"/>
    </bk>
    <bk>
      <rc t="1" v="1594"/>
    </bk>
    <bk>
      <rc t="1" v="1595"/>
    </bk>
    <bk>
      <rc t="1" v="1596"/>
    </bk>
    <bk>
      <rc t="1" v="1597"/>
    </bk>
    <bk>
      <rc t="1" v="1598"/>
    </bk>
    <bk>
      <rc t="1" v="1599"/>
    </bk>
    <bk>
      <rc t="1" v="1600"/>
    </bk>
    <bk>
      <rc t="1" v="1601"/>
    </bk>
    <bk>
      <rc t="1" v="1602"/>
    </bk>
    <bk>
      <rc t="1" v="1603"/>
    </bk>
    <bk>
      <rc t="1" v="1604"/>
    </bk>
    <bk>
      <rc t="1" v="1605"/>
    </bk>
    <bk>
      <rc t="1" v="1606"/>
    </bk>
    <bk>
      <rc t="1" v="1607"/>
    </bk>
    <bk>
      <rc t="1" v="1608"/>
    </bk>
    <bk>
      <rc t="1" v="1609"/>
    </bk>
    <bk>
      <rc t="1" v="1610"/>
    </bk>
    <bk>
      <rc t="1" v="1611"/>
    </bk>
    <bk>
      <rc t="1" v="1612"/>
    </bk>
    <bk>
      <rc t="1" v="1613"/>
    </bk>
    <bk>
      <rc t="1" v="1614"/>
    </bk>
    <bk>
      <rc t="1" v="1615"/>
    </bk>
    <bk>
      <rc t="1" v="1616"/>
    </bk>
    <bk>
      <rc t="1" v="1617"/>
    </bk>
    <bk>
      <rc t="1" v="1618"/>
    </bk>
    <bk>
      <rc t="1" v="1619"/>
    </bk>
    <bk>
      <rc t="1" v="1620"/>
    </bk>
    <bk>
      <rc t="1" v="1621"/>
    </bk>
    <bk>
      <rc t="1" v="1622"/>
    </bk>
    <bk>
      <rc t="1" v="1623"/>
    </bk>
    <bk>
      <rc t="1" v="1624"/>
    </bk>
    <bk>
      <rc t="1" v="1625"/>
    </bk>
    <bk>
      <rc t="1" v="1626"/>
    </bk>
    <bk>
      <rc t="1" v="1627"/>
    </bk>
    <bk>
      <rc t="1" v="1628"/>
    </bk>
    <bk>
      <rc t="1" v="1629"/>
    </bk>
    <bk>
      <rc t="1" v="1630"/>
    </bk>
    <bk>
      <rc t="1" v="1631"/>
    </bk>
    <bk>
      <rc t="1" v="1632"/>
    </bk>
    <bk>
      <rc t="1" v="1633"/>
    </bk>
    <bk>
      <rc t="1" v="1634"/>
    </bk>
    <bk>
      <rc t="1" v="1635"/>
    </bk>
    <bk>
      <rc t="1" v="1636"/>
    </bk>
    <bk>
      <rc t="1" v="1637"/>
    </bk>
    <bk>
      <rc t="1" v="1638"/>
    </bk>
    <bk>
      <rc t="1" v="1639"/>
    </bk>
    <bk>
      <rc t="1" v="1640"/>
    </bk>
    <bk>
      <rc t="1" v="1641"/>
    </bk>
    <bk>
      <rc t="1" v="1642"/>
    </bk>
    <bk>
      <rc t="1" v="1643"/>
    </bk>
    <bk>
      <rc t="1" v="1644"/>
    </bk>
    <bk>
      <rc t="1" v="1645"/>
    </bk>
    <bk>
      <rc t="1" v="1646"/>
    </bk>
    <bk>
      <rc t="1" v="1647"/>
    </bk>
    <bk>
      <rc t="1" v="1648"/>
    </bk>
    <bk>
      <rc t="1" v="1649"/>
    </bk>
    <bk>
      <rc t="1" v="1650"/>
    </bk>
    <bk>
      <rc t="1" v="1651"/>
    </bk>
    <bk>
      <rc t="1" v="1652"/>
    </bk>
    <bk>
      <rc t="1" v="1653"/>
    </bk>
    <bk>
      <rc t="1" v="1654"/>
    </bk>
    <bk>
      <rc t="1" v="1655"/>
    </bk>
    <bk>
      <rc t="1" v="1656"/>
    </bk>
    <bk>
      <rc t="1" v="1657"/>
    </bk>
    <bk>
      <rc t="1" v="1658"/>
    </bk>
    <bk>
      <rc t="1" v="1659"/>
    </bk>
    <bk>
      <rc t="1" v="1660"/>
    </bk>
    <bk>
      <rc t="1" v="1661"/>
    </bk>
    <bk>
      <rc t="1" v="1662"/>
    </bk>
    <bk>
      <rc t="1" v="1663"/>
    </bk>
    <bk>
      <rc t="1" v="1664"/>
    </bk>
    <bk>
      <rc t="1" v="1665"/>
    </bk>
    <bk>
      <rc t="1" v="1666"/>
    </bk>
    <bk>
      <rc t="1" v="1667"/>
    </bk>
    <bk>
      <rc t="1" v="1668"/>
    </bk>
    <bk>
      <rc t="1" v="1669"/>
    </bk>
    <bk>
      <rc t="1" v="1670"/>
    </bk>
    <bk>
      <rc t="1" v="1671"/>
    </bk>
    <bk>
      <rc t="1" v="1672"/>
    </bk>
    <bk>
      <rc t="1" v="1673"/>
    </bk>
    <bk>
      <rc t="1" v="1674"/>
    </bk>
    <bk>
      <rc t="1" v="1675"/>
    </bk>
    <bk>
      <rc t="1" v="1676"/>
    </bk>
    <bk>
      <rc t="1" v="1677"/>
    </bk>
    <bk>
      <rc t="1" v="1678"/>
    </bk>
    <bk>
      <rc t="1" v="1679"/>
    </bk>
    <bk>
      <rc t="1" v="1680"/>
    </bk>
    <bk>
      <rc t="1" v="1681"/>
    </bk>
    <bk>
      <rc t="1" v="1682"/>
    </bk>
    <bk>
      <rc t="1" v="1683"/>
    </bk>
    <bk>
      <rc t="1" v="1684"/>
    </bk>
    <bk>
      <rc t="1" v="1685"/>
    </bk>
    <bk>
      <rc t="1" v="1686"/>
    </bk>
    <bk>
      <rc t="1" v="1687"/>
    </bk>
    <bk>
      <rc t="1" v="1688"/>
    </bk>
    <bk>
      <rc t="1" v="1689"/>
    </bk>
    <bk>
      <rc t="1" v="1690"/>
    </bk>
    <bk>
      <rc t="1" v="1691"/>
    </bk>
    <bk>
      <rc t="1" v="1692"/>
    </bk>
    <bk>
      <rc t="1" v="1693"/>
    </bk>
    <bk>
      <rc t="1" v="1694"/>
    </bk>
    <bk>
      <rc t="1" v="1695"/>
    </bk>
    <bk>
      <rc t="1" v="1696"/>
    </bk>
    <bk>
      <rc t="1" v="1697"/>
    </bk>
    <bk>
      <rc t="1" v="1698"/>
    </bk>
    <bk>
      <rc t="1" v="1699"/>
    </bk>
    <bk>
      <rc t="1" v="1700"/>
    </bk>
    <bk>
      <rc t="1" v="1701"/>
    </bk>
    <bk>
      <rc t="1" v="1702"/>
    </bk>
    <bk>
      <rc t="1" v="1703"/>
    </bk>
    <bk>
      <rc t="1" v="1704"/>
    </bk>
    <bk>
      <rc t="1" v="1705"/>
    </bk>
    <bk>
      <rc t="1" v="1706"/>
    </bk>
    <bk>
      <rc t="1" v="1707"/>
    </bk>
    <bk>
      <rc t="1" v="1708"/>
    </bk>
    <bk>
      <rc t="1" v="1709"/>
    </bk>
    <bk>
      <rc t="1" v="1710"/>
    </bk>
    <bk>
      <rc t="1" v="1711"/>
    </bk>
    <bk>
      <rc t="1" v="1712"/>
    </bk>
    <bk>
      <rc t="1" v="1713"/>
    </bk>
    <bk>
      <rc t="1" v="1714"/>
    </bk>
    <bk>
      <rc t="1" v="1715"/>
    </bk>
    <bk>
      <rc t="1" v="1716"/>
    </bk>
    <bk>
      <rc t="1" v="1717"/>
    </bk>
    <bk>
      <rc t="1" v="1718"/>
    </bk>
    <bk>
      <rc t="1" v="1719"/>
    </bk>
    <bk>
      <rc t="1" v="1720"/>
    </bk>
    <bk>
      <rc t="1" v="1721"/>
    </bk>
    <bk>
      <rc t="1" v="1722"/>
    </bk>
    <bk>
      <rc t="1" v="1723"/>
    </bk>
    <bk>
      <rc t="1" v="1724"/>
    </bk>
    <bk>
      <rc t="1" v="1725"/>
    </bk>
    <bk>
      <rc t="1" v="1726"/>
    </bk>
    <bk>
      <rc t="1" v="1727"/>
    </bk>
    <bk>
      <rc t="1" v="1728"/>
    </bk>
    <bk>
      <rc t="1" v="1729"/>
    </bk>
    <bk>
      <rc t="1" v="1730"/>
    </bk>
    <bk>
      <rc t="1" v="1731"/>
    </bk>
    <bk>
      <rc t="1" v="1732"/>
    </bk>
    <bk>
      <rc t="1" v="1733"/>
    </bk>
    <bk>
      <rc t="1" v="1734"/>
    </bk>
    <bk>
      <rc t="1" v="1735"/>
    </bk>
    <bk>
      <rc t="1" v="1736"/>
    </bk>
    <bk>
      <rc t="1" v="1737"/>
    </bk>
    <bk>
      <rc t="1" v="1738"/>
    </bk>
    <bk>
      <rc t="1" v="1739"/>
    </bk>
    <bk>
      <rc t="1" v="1740"/>
    </bk>
    <bk>
      <rc t="1" v="1741"/>
    </bk>
    <bk>
      <rc t="1" v="1742"/>
    </bk>
    <bk>
      <rc t="1" v="1743"/>
    </bk>
    <bk>
      <rc t="1" v="1744"/>
    </bk>
    <bk>
      <rc t="1" v="1745"/>
    </bk>
    <bk>
      <rc t="1" v="1746"/>
    </bk>
    <bk>
      <rc t="1" v="1747"/>
    </bk>
    <bk>
      <rc t="1" v="1748"/>
    </bk>
    <bk>
      <rc t="1" v="1749"/>
    </bk>
    <bk>
      <rc t="1" v="1750"/>
    </bk>
    <bk>
      <rc t="1" v="1751"/>
    </bk>
    <bk>
      <rc t="1" v="1752"/>
    </bk>
    <bk>
      <rc t="1" v="1753"/>
    </bk>
    <bk>
      <rc t="1" v="1754"/>
    </bk>
    <bk>
      <rc t="1" v="1755"/>
    </bk>
    <bk>
      <rc t="1" v="1756"/>
    </bk>
    <bk>
      <rc t="1" v="1757"/>
    </bk>
    <bk>
      <rc t="1" v="1758"/>
    </bk>
    <bk>
      <rc t="1" v="1759"/>
    </bk>
    <bk>
      <rc t="1" v="1760"/>
    </bk>
    <bk>
      <rc t="1" v="1761"/>
    </bk>
    <bk>
      <rc t="1" v="1762"/>
    </bk>
    <bk>
      <rc t="1" v="1763"/>
    </bk>
    <bk>
      <rc t="1" v="1764"/>
    </bk>
    <bk>
      <rc t="1" v="1765"/>
    </bk>
    <bk>
      <rc t="1" v="1766"/>
    </bk>
    <bk>
      <rc t="1" v="1767"/>
    </bk>
    <bk>
      <rc t="1" v="1768"/>
    </bk>
    <bk>
      <rc t="1" v="1769"/>
    </bk>
    <bk>
      <rc t="1" v="1770"/>
    </bk>
    <bk>
      <rc t="1" v="1771"/>
    </bk>
    <bk>
      <rc t="1" v="1772"/>
    </bk>
    <bk>
      <rc t="1" v="1773"/>
    </bk>
    <bk>
      <rc t="1" v="1774"/>
    </bk>
    <bk>
      <rc t="1" v="1775"/>
    </bk>
    <bk>
      <rc t="1" v="1776"/>
    </bk>
    <bk>
      <rc t="1" v="1777"/>
    </bk>
    <bk>
      <rc t="1" v="1778"/>
    </bk>
    <bk>
      <rc t="1" v="1779"/>
    </bk>
    <bk>
      <rc t="1" v="1780"/>
    </bk>
    <bk>
      <rc t="1" v="1781"/>
    </bk>
    <bk>
      <rc t="1" v="1782"/>
    </bk>
    <bk>
      <rc t="1" v="1783"/>
    </bk>
    <bk>
      <rc t="1" v="1784"/>
    </bk>
    <bk>
      <rc t="1" v="1785"/>
    </bk>
    <bk>
      <rc t="1" v="1786"/>
    </bk>
    <bk>
      <rc t="1" v="1787"/>
    </bk>
    <bk>
      <rc t="1" v="1788"/>
    </bk>
    <bk>
      <rc t="1" v="1789"/>
    </bk>
    <bk>
      <rc t="1" v="1790"/>
    </bk>
    <bk>
      <rc t="1" v="1791"/>
    </bk>
    <bk>
      <rc t="1" v="1792"/>
    </bk>
    <bk>
      <rc t="1" v="1793"/>
    </bk>
    <bk>
      <rc t="1" v="1794"/>
    </bk>
    <bk>
      <rc t="1" v="1795"/>
    </bk>
    <bk>
      <rc t="1" v="1796"/>
    </bk>
    <bk>
      <rc t="1" v="1797"/>
    </bk>
    <bk>
      <rc t="1" v="1798"/>
    </bk>
    <bk>
      <rc t="1" v="1799"/>
    </bk>
    <bk>
      <rc t="1" v="1800"/>
    </bk>
    <bk>
      <rc t="1" v="1801"/>
    </bk>
    <bk>
      <rc t="1" v="1802"/>
    </bk>
    <bk>
      <rc t="1" v="1803"/>
    </bk>
    <bk>
      <rc t="1" v="1804"/>
    </bk>
    <bk>
      <rc t="1" v="1805"/>
    </bk>
    <bk>
      <rc t="1" v="1806"/>
    </bk>
    <bk>
      <rc t="1" v="1807"/>
    </bk>
    <bk>
      <rc t="1" v="1808"/>
    </bk>
    <bk>
      <rc t="1" v="1809"/>
    </bk>
    <bk>
      <rc t="1" v="1810"/>
    </bk>
    <bk>
      <rc t="1" v="1811"/>
    </bk>
    <bk>
      <rc t="1" v="1812"/>
    </bk>
    <bk>
      <rc t="1" v="1813"/>
    </bk>
    <bk>
      <rc t="1" v="1814"/>
    </bk>
    <bk>
      <rc t="1" v="1815"/>
    </bk>
    <bk>
      <rc t="1" v="1816"/>
    </bk>
    <bk>
      <rc t="1" v="1817"/>
    </bk>
    <bk>
      <rc t="1" v="1818"/>
    </bk>
    <bk>
      <rc t="1" v="1819"/>
    </bk>
    <bk>
      <rc t="1" v="1820"/>
    </bk>
    <bk>
      <rc t="1" v="1821"/>
    </bk>
    <bk>
      <rc t="1" v="1822"/>
    </bk>
    <bk>
      <rc t="1" v="1823"/>
    </bk>
    <bk>
      <rc t="1" v="1824"/>
    </bk>
    <bk>
      <rc t="1" v="1825"/>
    </bk>
    <bk>
      <rc t="1" v="1826"/>
    </bk>
    <bk>
      <rc t="1" v="1827"/>
    </bk>
    <bk>
      <rc t="1" v="1828"/>
    </bk>
    <bk>
      <rc t="1" v="1829"/>
    </bk>
    <bk>
      <rc t="1" v="1830"/>
    </bk>
    <bk>
      <rc t="1" v="1831"/>
    </bk>
    <bk>
      <rc t="1" v="1832"/>
    </bk>
    <bk>
      <rc t="1" v="1833"/>
    </bk>
    <bk>
      <rc t="1" v="1834"/>
    </bk>
    <bk>
      <rc t="1" v="1835"/>
    </bk>
    <bk>
      <rc t="1" v="1836"/>
    </bk>
    <bk>
      <rc t="1" v="1837"/>
    </bk>
    <bk>
      <rc t="1" v="1838"/>
    </bk>
    <bk>
      <rc t="1" v="1839"/>
    </bk>
    <bk>
      <rc t="1" v="1840"/>
    </bk>
    <bk>
      <rc t="1" v="1841"/>
    </bk>
    <bk>
      <rc t="1" v="1842"/>
    </bk>
    <bk>
      <rc t="1" v="1843"/>
    </bk>
    <bk>
      <rc t="1" v="1844"/>
    </bk>
    <bk>
      <rc t="1" v="1845"/>
    </bk>
    <bk>
      <rc t="1" v="1846"/>
    </bk>
    <bk>
      <rc t="1" v="1847"/>
    </bk>
    <bk>
      <rc t="1" v="1848"/>
    </bk>
    <bk>
      <rc t="1" v="1849"/>
    </bk>
    <bk>
      <rc t="1" v="1850"/>
    </bk>
    <bk>
      <rc t="1" v="1851"/>
    </bk>
    <bk>
      <rc t="1" v="1852"/>
    </bk>
    <bk>
      <rc t="1" v="1853"/>
    </bk>
    <bk>
      <rc t="1" v="1854"/>
    </bk>
    <bk>
      <rc t="1" v="1855"/>
    </bk>
    <bk>
      <rc t="1" v="1856"/>
    </bk>
    <bk>
      <rc t="1" v="1857"/>
    </bk>
    <bk>
      <rc t="1" v="1858"/>
    </bk>
    <bk>
      <rc t="1" v="1859"/>
    </bk>
    <bk>
      <rc t="1" v="1860"/>
    </bk>
    <bk>
      <rc t="1" v="1861"/>
    </bk>
    <bk>
      <rc t="1" v="1862"/>
    </bk>
    <bk>
      <rc t="1" v="1863"/>
    </bk>
    <bk>
      <rc t="1" v="1864"/>
    </bk>
    <bk>
      <rc t="1" v="1865"/>
    </bk>
    <bk>
      <rc t="1" v="1866"/>
    </bk>
    <bk>
      <rc t="1" v="1867"/>
    </bk>
    <bk>
      <rc t="1" v="1868"/>
    </bk>
    <bk>
      <rc t="1" v="1869"/>
    </bk>
    <bk>
      <rc t="1" v="1870"/>
    </bk>
    <bk>
      <rc t="1" v="1871"/>
    </bk>
    <bk>
      <rc t="1" v="1872"/>
    </bk>
    <bk>
      <rc t="1" v="1873"/>
    </bk>
    <bk>
      <rc t="1" v="1874"/>
    </bk>
    <bk>
      <rc t="1" v="1875"/>
    </bk>
    <bk>
      <rc t="1" v="1876"/>
    </bk>
    <bk>
      <rc t="1" v="1877"/>
    </bk>
    <bk>
      <rc t="1" v="1878"/>
    </bk>
    <bk>
      <rc t="1" v="1879"/>
    </bk>
    <bk>
      <rc t="1" v="1880"/>
    </bk>
    <bk>
      <rc t="1" v="1881"/>
    </bk>
    <bk>
      <rc t="1" v="1882"/>
    </bk>
    <bk>
      <rc t="1" v="1883"/>
    </bk>
    <bk>
      <rc t="1" v="1884"/>
    </bk>
    <bk>
      <rc t="1" v="1885"/>
    </bk>
    <bk>
      <rc t="1" v="1886"/>
    </bk>
    <bk>
      <rc t="1" v="1887"/>
    </bk>
    <bk>
      <rc t="1" v="1888"/>
    </bk>
    <bk>
      <rc t="1" v="1889"/>
    </bk>
    <bk>
      <rc t="1" v="1890"/>
    </bk>
    <bk>
      <rc t="1" v="1891"/>
    </bk>
    <bk>
      <rc t="1" v="1892"/>
    </bk>
    <bk>
      <rc t="1" v="1893"/>
    </bk>
    <bk>
      <rc t="1" v="1894"/>
    </bk>
    <bk>
      <rc t="1" v="1895"/>
    </bk>
    <bk>
      <rc t="1" v="1896"/>
    </bk>
    <bk>
      <rc t="1" v="1897"/>
    </bk>
    <bk>
      <rc t="1" v="1898"/>
    </bk>
    <bk>
      <rc t="1" v="1899"/>
    </bk>
    <bk>
      <rc t="1" v="1900"/>
    </bk>
    <bk>
      <rc t="1" v="1901"/>
    </bk>
    <bk>
      <rc t="1" v="1902"/>
    </bk>
    <bk>
      <rc t="1" v="1903"/>
    </bk>
    <bk>
      <rc t="1" v="1904"/>
    </bk>
    <bk>
      <rc t="1" v="1905"/>
    </bk>
    <bk>
      <rc t="1" v="1906"/>
    </bk>
    <bk>
      <rc t="1" v="1907"/>
    </bk>
    <bk>
      <rc t="1" v="1908"/>
    </bk>
    <bk>
      <rc t="1" v="1909"/>
    </bk>
    <bk>
      <rc t="1" v="1910"/>
    </bk>
    <bk>
      <rc t="1" v="1911"/>
    </bk>
    <bk>
      <rc t="1" v="1912"/>
    </bk>
    <bk>
      <rc t="1" v="1913"/>
    </bk>
    <bk>
      <rc t="1" v="1914"/>
    </bk>
    <bk>
      <rc t="1" v="1915"/>
    </bk>
    <bk>
      <rc t="1" v="1916"/>
    </bk>
    <bk>
      <rc t="1" v="1917"/>
    </bk>
    <bk>
      <rc t="1" v="1918"/>
    </bk>
    <bk>
      <rc t="1" v="1919"/>
    </bk>
    <bk>
      <rc t="1" v="1920"/>
    </bk>
    <bk>
      <rc t="1" v="1921"/>
    </bk>
    <bk>
      <rc t="1" v="1922"/>
    </bk>
    <bk>
      <rc t="1" v="1923"/>
    </bk>
    <bk>
      <rc t="1" v="1924"/>
    </bk>
    <bk>
      <rc t="1" v="1925"/>
    </bk>
    <bk>
      <rc t="1" v="1926"/>
    </bk>
    <bk>
      <rc t="1" v="1927"/>
    </bk>
    <bk>
      <rc t="1" v="1928"/>
    </bk>
    <bk>
      <rc t="1" v="1929"/>
    </bk>
    <bk>
      <rc t="1" v="1930"/>
    </bk>
    <bk>
      <rc t="1" v="1931"/>
    </bk>
    <bk>
      <rc t="1" v="1932"/>
    </bk>
    <bk>
      <rc t="1" v="1933"/>
    </bk>
    <bk>
      <rc t="1" v="1934"/>
    </bk>
    <bk>
      <rc t="1" v="1935"/>
    </bk>
    <bk>
      <rc t="1" v="1936"/>
    </bk>
    <bk>
      <rc t="1" v="1937"/>
    </bk>
    <bk>
      <rc t="1" v="1938"/>
    </bk>
    <bk>
      <rc t="1" v="1939"/>
    </bk>
    <bk>
      <rc t="1" v="1940"/>
    </bk>
    <bk>
      <rc t="1" v="1941"/>
    </bk>
    <bk>
      <rc t="1" v="1942"/>
    </bk>
    <bk>
      <rc t="1" v="1943"/>
    </bk>
    <bk>
      <rc t="1" v="1944"/>
    </bk>
    <bk>
      <rc t="1" v="1945"/>
    </bk>
    <bk>
      <rc t="1" v="1946"/>
    </bk>
    <bk>
      <rc t="1" v="1947"/>
    </bk>
    <bk>
      <rc t="1" v="1948"/>
    </bk>
    <bk>
      <rc t="1" v="1949"/>
    </bk>
    <bk>
      <rc t="1" v="1950"/>
    </bk>
    <bk>
      <rc t="1" v="1951"/>
    </bk>
    <bk>
      <rc t="1" v="1952"/>
    </bk>
    <bk>
      <rc t="1" v="1953"/>
    </bk>
    <bk>
      <rc t="1" v="1954"/>
    </bk>
    <bk>
      <rc t="1" v="1955"/>
    </bk>
    <bk>
      <rc t="1" v="1956"/>
    </bk>
    <bk>
      <rc t="1" v="1957"/>
    </bk>
    <bk>
      <rc t="1" v="1958"/>
    </bk>
    <bk>
      <rc t="1" v="1959"/>
    </bk>
    <bk>
      <rc t="1" v="1960"/>
    </bk>
    <bk>
      <rc t="1" v="1961"/>
    </bk>
    <bk>
      <rc t="1" v="1962"/>
    </bk>
    <bk>
      <rc t="1" v="1963"/>
    </bk>
    <bk>
      <rc t="1" v="1964"/>
    </bk>
    <bk>
      <rc t="1" v="1965"/>
    </bk>
    <bk>
      <rc t="1" v="1966"/>
    </bk>
    <bk>
      <rc t="1" v="1967"/>
    </bk>
    <bk>
      <rc t="1" v="1968"/>
    </bk>
    <bk>
      <rc t="1" v="1969"/>
    </bk>
    <bk>
      <rc t="1" v="1970"/>
    </bk>
    <bk>
      <rc t="1" v="1971"/>
    </bk>
    <bk>
      <rc t="1" v="1972"/>
    </bk>
    <bk>
      <rc t="1" v="1973"/>
    </bk>
    <bk>
      <rc t="1" v="1974"/>
    </bk>
    <bk>
      <rc t="1" v="1975"/>
    </bk>
    <bk>
      <rc t="1" v="1976"/>
    </bk>
    <bk>
      <rc t="1" v="1977"/>
    </bk>
    <bk>
      <rc t="1" v="1978"/>
    </bk>
    <bk>
      <rc t="1" v="1979"/>
    </bk>
    <bk>
      <rc t="1" v="1980"/>
    </bk>
    <bk>
      <rc t="1" v="1981"/>
    </bk>
    <bk>
      <rc t="1" v="1982"/>
    </bk>
    <bk>
      <rc t="1" v="1983"/>
    </bk>
    <bk>
      <rc t="1" v="1984"/>
    </bk>
    <bk>
      <rc t="1" v="1985"/>
    </bk>
    <bk>
      <rc t="1" v="1986"/>
    </bk>
    <bk>
      <rc t="1" v="1987"/>
    </bk>
    <bk>
      <rc t="1" v="1988"/>
    </bk>
    <bk>
      <rc t="1" v="1989"/>
    </bk>
    <bk>
      <rc t="1" v="1990"/>
    </bk>
    <bk>
      <rc t="1" v="1991"/>
    </bk>
    <bk>
      <rc t="1" v="1992"/>
    </bk>
    <bk>
      <rc t="1" v="1993"/>
    </bk>
    <bk>
      <rc t="1" v="1994"/>
    </bk>
    <bk>
      <rc t="1" v="1995"/>
    </bk>
    <bk>
      <rc t="1" v="1996"/>
    </bk>
    <bk>
      <rc t="1" v="1997"/>
    </bk>
    <bk>
      <rc t="1" v="1998"/>
    </bk>
    <bk>
      <rc t="1" v="1999"/>
    </bk>
    <bk>
      <rc t="1" v="2000"/>
    </bk>
    <bk>
      <rc t="1" v="2001"/>
    </bk>
    <bk>
      <rc t="1" v="2002"/>
    </bk>
    <bk>
      <rc t="1" v="2003"/>
    </bk>
    <bk>
      <rc t="1" v="2004"/>
    </bk>
    <bk>
      <rc t="1" v="2005"/>
    </bk>
    <bk>
      <rc t="1" v="2006"/>
    </bk>
    <bk>
      <rc t="1" v="2007"/>
    </bk>
    <bk>
      <rc t="1" v="2008"/>
    </bk>
    <bk>
      <rc t="1" v="2009"/>
    </bk>
    <bk>
      <rc t="1" v="2010"/>
    </bk>
    <bk>
      <rc t="1" v="2011"/>
    </bk>
    <bk>
      <rc t="1" v="2012"/>
    </bk>
    <bk>
      <rc t="1" v="2013"/>
    </bk>
    <bk>
      <rc t="1" v="2014"/>
    </bk>
    <bk>
      <rc t="1" v="2015"/>
    </bk>
    <bk>
      <rc t="1" v="2016"/>
    </bk>
    <bk>
      <rc t="1" v="2017"/>
    </bk>
    <bk>
      <rc t="1" v="2018"/>
    </bk>
    <bk>
      <rc t="1" v="2019"/>
    </bk>
    <bk>
      <rc t="1" v="2020"/>
    </bk>
    <bk>
      <rc t="1" v="2021"/>
    </bk>
    <bk>
      <rc t="1" v="2022"/>
    </bk>
    <bk>
      <rc t="1" v="2023"/>
    </bk>
    <bk>
      <rc t="1" v="2024"/>
    </bk>
    <bk>
      <rc t="1" v="2025"/>
    </bk>
    <bk>
      <rc t="1" v="2026"/>
    </bk>
    <bk>
      <rc t="1" v="2027"/>
    </bk>
    <bk>
      <rc t="1" v="2028"/>
    </bk>
    <bk>
      <rc t="1" v="2029"/>
    </bk>
    <bk>
      <rc t="1" v="2030"/>
    </bk>
    <bk>
      <rc t="1" v="2031"/>
    </bk>
    <bk>
      <rc t="1" v="2032"/>
    </bk>
    <bk>
      <rc t="1" v="2033"/>
    </bk>
    <bk>
      <rc t="1" v="2034"/>
    </bk>
    <bk>
      <rc t="1" v="2035"/>
    </bk>
    <bk>
      <rc t="1" v="2036"/>
    </bk>
    <bk>
      <rc t="1" v="2037"/>
    </bk>
    <bk>
      <rc t="1" v="2038"/>
    </bk>
    <bk>
      <rc t="1" v="2039"/>
    </bk>
    <bk>
      <rc t="1" v="2040"/>
    </bk>
    <bk>
      <rc t="1" v="2041"/>
    </bk>
    <bk>
      <rc t="1" v="2042"/>
    </bk>
    <bk>
      <rc t="1" v="2043"/>
    </bk>
    <bk>
      <rc t="1" v="2044"/>
    </bk>
    <bk>
      <rc t="1" v="2045"/>
    </bk>
    <bk>
      <rc t="1" v="2046"/>
    </bk>
    <bk>
      <rc t="1" v="2047"/>
    </bk>
    <bk>
      <rc t="1" v="2048"/>
    </bk>
    <bk>
      <rc t="1" v="2049"/>
    </bk>
    <bk>
      <rc t="1" v="2050"/>
    </bk>
    <bk>
      <rc t="1" v="2051"/>
    </bk>
    <bk>
      <rc t="1" v="2052"/>
    </bk>
    <bk>
      <rc t="1" v="2053"/>
    </bk>
    <bk>
      <rc t="1" v="2054"/>
    </bk>
    <bk>
      <rc t="1" v="2055"/>
    </bk>
    <bk>
      <rc t="1" v="2056"/>
    </bk>
    <bk>
      <rc t="1" v="2057"/>
    </bk>
    <bk>
      <rc t="1" v="2058"/>
    </bk>
    <bk>
      <rc t="1" v="2059"/>
    </bk>
    <bk>
      <rc t="1" v="2060"/>
    </bk>
    <bk>
      <rc t="1" v="2061"/>
    </bk>
    <bk>
      <rc t="1" v="2062"/>
    </bk>
    <bk>
      <rc t="1" v="2063"/>
    </bk>
    <bk>
      <rc t="1" v="2064"/>
    </bk>
    <bk>
      <rc t="1" v="2065"/>
    </bk>
    <bk>
      <rc t="1" v="2066"/>
    </bk>
    <bk>
      <rc t="1" v="2067"/>
    </bk>
    <bk>
      <rc t="1" v="2068"/>
    </bk>
    <bk>
      <rc t="1" v="2069"/>
    </bk>
    <bk>
      <rc t="1" v="2070"/>
    </bk>
    <bk>
      <rc t="1" v="2071"/>
    </bk>
    <bk>
      <rc t="1" v="2072"/>
    </bk>
    <bk>
      <rc t="1" v="2073"/>
    </bk>
    <bk>
      <rc t="1" v="2074"/>
    </bk>
    <bk>
      <rc t="1" v="2075"/>
    </bk>
    <bk>
      <rc t="1" v="2076"/>
    </bk>
    <bk>
      <rc t="1" v="2077"/>
    </bk>
    <bk>
      <rc t="1" v="2078"/>
    </bk>
    <bk>
      <rc t="1" v="2079"/>
    </bk>
    <bk>
      <rc t="1" v="2080"/>
    </bk>
    <bk>
      <rc t="1" v="2081"/>
    </bk>
    <bk>
      <rc t="1" v="2082"/>
    </bk>
    <bk>
      <rc t="1" v="2083"/>
    </bk>
    <bk>
      <rc t="1" v="2084"/>
    </bk>
    <bk>
      <rc t="1" v="2085"/>
    </bk>
    <bk>
      <rc t="1" v="2086"/>
    </bk>
    <bk>
      <rc t="1" v="2087"/>
    </bk>
    <bk>
      <rc t="1" v="2088"/>
    </bk>
    <bk>
      <rc t="1" v="2089"/>
    </bk>
    <bk>
      <rc t="1" v="2090"/>
    </bk>
    <bk>
      <rc t="1" v="2091"/>
    </bk>
    <bk>
      <rc t="1" v="2092"/>
    </bk>
    <bk>
      <rc t="1" v="2093"/>
    </bk>
    <bk>
      <rc t="1" v="2094"/>
    </bk>
    <bk>
      <rc t="1" v="2095"/>
    </bk>
    <bk>
      <rc t="1" v="2096"/>
    </bk>
    <bk>
      <rc t="1" v="2097"/>
    </bk>
    <bk>
      <rc t="1" v="2098"/>
    </bk>
    <bk>
      <rc t="1" v="2099"/>
    </bk>
    <bk>
      <rc t="1" v="2100"/>
    </bk>
    <bk>
      <rc t="1" v="2101"/>
    </bk>
    <bk>
      <rc t="1" v="2102"/>
    </bk>
    <bk>
      <rc t="1" v="2103"/>
    </bk>
    <bk>
      <rc t="1" v="2104"/>
    </bk>
    <bk>
      <rc t="1" v="2105"/>
    </bk>
    <bk>
      <rc t="1" v="2106"/>
    </bk>
    <bk>
      <rc t="1" v="2107"/>
    </bk>
    <bk>
      <rc t="1" v="2108"/>
    </bk>
    <bk>
      <rc t="1" v="2109"/>
    </bk>
    <bk>
      <rc t="1" v="2110"/>
    </bk>
    <bk>
      <rc t="1" v="2111"/>
    </bk>
    <bk>
      <rc t="1" v="2112"/>
    </bk>
    <bk>
      <rc t="1" v="2113"/>
    </bk>
    <bk>
      <rc t="1" v="2114"/>
    </bk>
    <bk>
      <rc t="1" v="2115"/>
    </bk>
    <bk>
      <rc t="1" v="2116"/>
    </bk>
    <bk>
      <rc t="1" v="2117"/>
    </bk>
    <bk>
      <rc t="1" v="2118"/>
    </bk>
    <bk>
      <rc t="1" v="2119"/>
    </bk>
    <bk>
      <rc t="1" v="2120"/>
    </bk>
    <bk>
      <rc t="1" v="2121"/>
    </bk>
    <bk>
      <rc t="1" v="2122"/>
    </bk>
    <bk>
      <rc t="1" v="2123"/>
    </bk>
    <bk>
      <rc t="1" v="2124"/>
    </bk>
    <bk>
      <rc t="1" v="2125"/>
    </bk>
    <bk>
      <rc t="1" v="2126"/>
    </bk>
    <bk>
      <rc t="1" v="2127"/>
    </bk>
    <bk>
      <rc t="1" v="2128"/>
    </bk>
    <bk>
      <rc t="1" v="2129"/>
    </bk>
    <bk>
      <rc t="1" v="2130"/>
    </bk>
    <bk>
      <rc t="1" v="2131"/>
    </bk>
    <bk>
      <rc t="1" v="2132"/>
    </bk>
    <bk>
      <rc t="1" v="2133"/>
    </bk>
    <bk>
      <rc t="1" v="2134"/>
    </bk>
    <bk>
      <rc t="1" v="2135"/>
    </bk>
    <bk>
      <rc t="1" v="2136"/>
    </bk>
    <bk>
      <rc t="1" v="2137"/>
    </bk>
    <bk>
      <rc t="1" v="2138"/>
    </bk>
    <bk>
      <rc t="1" v="2139"/>
    </bk>
    <bk>
      <rc t="1" v="2140"/>
    </bk>
    <bk>
      <rc t="1" v="2141"/>
    </bk>
    <bk>
      <rc t="1" v="2142"/>
    </bk>
    <bk>
      <rc t="1" v="2143"/>
    </bk>
    <bk>
      <rc t="1" v="2144"/>
    </bk>
    <bk>
      <rc t="1" v="2145"/>
    </bk>
    <bk>
      <rc t="1" v="2146"/>
    </bk>
    <bk>
      <rc t="1" v="2147"/>
    </bk>
    <bk>
      <rc t="1" v="2148"/>
    </bk>
    <bk>
      <rc t="1" v="2149"/>
    </bk>
    <bk>
      <rc t="1" v="2150"/>
    </bk>
    <bk>
      <rc t="1" v="2151"/>
    </bk>
    <bk>
      <rc t="1" v="2152"/>
    </bk>
    <bk>
      <rc t="1" v="2153"/>
    </bk>
    <bk>
      <rc t="1" v="2154"/>
    </bk>
    <bk>
      <rc t="1" v="2155"/>
    </bk>
    <bk>
      <rc t="1" v="2156"/>
    </bk>
    <bk>
      <rc t="1" v="2157"/>
    </bk>
    <bk>
      <rc t="1" v="2158"/>
    </bk>
    <bk>
      <rc t="1" v="2159"/>
    </bk>
    <bk>
      <rc t="1" v="2160"/>
    </bk>
    <bk>
      <rc t="1" v="2161"/>
    </bk>
    <bk>
      <rc t="1" v="2162"/>
    </bk>
    <bk>
      <rc t="1" v="2163"/>
    </bk>
    <bk>
      <rc t="1" v="2164"/>
    </bk>
    <bk>
      <rc t="1" v="2165"/>
    </bk>
    <bk>
      <rc t="1" v="2166"/>
    </bk>
    <bk>
      <rc t="1" v="2167"/>
    </bk>
    <bk>
      <rc t="1" v="2168"/>
    </bk>
    <bk>
      <rc t="1" v="2169"/>
    </bk>
    <bk>
      <rc t="1" v="2170"/>
    </bk>
    <bk>
      <rc t="1" v="2171"/>
    </bk>
    <bk>
      <rc t="1" v="2172"/>
    </bk>
    <bk>
      <rc t="1" v="2173"/>
    </bk>
    <bk>
      <rc t="1" v="2174"/>
    </bk>
    <bk>
      <rc t="1" v="2175"/>
    </bk>
    <bk>
      <rc t="1" v="2176"/>
    </bk>
    <bk>
      <rc t="1" v="2177"/>
    </bk>
    <bk>
      <rc t="1" v="2178"/>
    </bk>
    <bk>
      <rc t="1" v="2179"/>
    </bk>
    <bk>
      <rc t="1" v="2180"/>
    </bk>
    <bk>
      <rc t="1" v="2181"/>
    </bk>
    <bk>
      <rc t="1" v="2182"/>
    </bk>
    <bk>
      <rc t="1" v="2183"/>
    </bk>
    <bk>
      <rc t="1" v="2184"/>
    </bk>
    <bk>
      <rc t="1" v="2185"/>
    </bk>
    <bk>
      <rc t="1" v="2186"/>
    </bk>
    <bk>
      <rc t="1" v="2187"/>
    </bk>
    <bk>
      <rc t="1" v="2188"/>
    </bk>
    <bk>
      <rc t="1" v="2189"/>
    </bk>
    <bk>
      <rc t="1" v="2190"/>
    </bk>
    <bk>
      <rc t="1" v="2191"/>
    </bk>
    <bk>
      <rc t="1" v="2192"/>
    </bk>
    <bk>
      <rc t="1" v="2193"/>
    </bk>
    <bk>
      <rc t="1" v="2194"/>
    </bk>
    <bk>
      <rc t="1" v="2195"/>
    </bk>
    <bk>
      <rc t="1" v="2196"/>
    </bk>
    <bk>
      <rc t="1" v="2197"/>
    </bk>
    <bk>
      <rc t="1" v="2198"/>
    </bk>
    <bk>
      <rc t="1" v="2199"/>
    </bk>
    <bk>
      <rc t="1" v="2200"/>
    </bk>
    <bk>
      <rc t="1" v="2201"/>
    </bk>
    <bk>
      <rc t="1" v="2202"/>
    </bk>
    <bk>
      <rc t="1" v="2203"/>
    </bk>
    <bk>
      <rc t="1" v="2204"/>
    </bk>
    <bk>
      <rc t="1" v="2205"/>
    </bk>
    <bk>
      <rc t="1" v="2206"/>
    </bk>
    <bk>
      <rc t="1" v="2207"/>
    </bk>
    <bk>
      <rc t="1" v="2208"/>
    </bk>
    <bk>
      <rc t="1" v="2209"/>
    </bk>
    <bk>
      <rc t="1" v="2210"/>
    </bk>
    <bk>
      <rc t="1" v="2211"/>
    </bk>
    <bk>
      <rc t="1" v="2212"/>
    </bk>
    <bk>
      <rc t="1" v="2213"/>
    </bk>
    <bk>
      <rc t="1" v="2214"/>
    </bk>
    <bk>
      <rc t="1" v="2215"/>
    </bk>
    <bk>
      <rc t="1" v="2216"/>
    </bk>
    <bk>
      <rc t="1" v="2217"/>
    </bk>
    <bk>
      <rc t="1" v="2218"/>
    </bk>
    <bk>
      <rc t="1" v="2219"/>
    </bk>
    <bk>
      <rc t="1" v="2220"/>
    </bk>
    <bk>
      <rc t="1" v="2221"/>
    </bk>
    <bk>
      <rc t="1" v="2222"/>
    </bk>
    <bk>
      <rc t="1" v="2223"/>
    </bk>
    <bk>
      <rc t="1" v="2224"/>
    </bk>
    <bk>
      <rc t="1" v="2225"/>
    </bk>
    <bk>
      <rc t="1" v="2226"/>
    </bk>
    <bk>
      <rc t="1" v="2227"/>
    </bk>
    <bk>
      <rc t="1" v="2228"/>
    </bk>
    <bk>
      <rc t="1" v="2229"/>
    </bk>
    <bk>
      <rc t="1" v="2230"/>
    </bk>
    <bk>
      <rc t="1" v="2231"/>
    </bk>
    <bk>
      <rc t="1" v="2232"/>
    </bk>
    <bk>
      <rc t="1" v="2233"/>
    </bk>
    <bk>
      <rc t="1" v="2234"/>
    </bk>
    <bk>
      <rc t="1" v="2235"/>
    </bk>
    <bk>
      <rc t="1" v="2236"/>
    </bk>
    <bk>
      <rc t="1" v="2237"/>
    </bk>
    <bk>
      <rc t="1" v="2238"/>
    </bk>
    <bk>
      <rc t="1" v="2239"/>
    </bk>
    <bk>
      <rc t="1" v="2240"/>
    </bk>
    <bk>
      <rc t="1" v="2241"/>
    </bk>
    <bk>
      <rc t="1" v="2242"/>
    </bk>
    <bk>
      <rc t="1" v="2243"/>
    </bk>
    <bk>
      <rc t="1" v="2244"/>
    </bk>
    <bk>
      <rc t="1" v="2245"/>
    </bk>
    <bk>
      <rc t="1" v="2246"/>
    </bk>
    <bk>
      <rc t="1" v="2247"/>
    </bk>
    <bk>
      <rc t="1" v="2248"/>
    </bk>
    <bk>
      <rc t="1" v="2249"/>
    </bk>
    <bk>
      <rc t="1" v="2250"/>
    </bk>
    <bk>
      <rc t="1" v="2251"/>
    </bk>
    <bk>
      <rc t="1" v="2252"/>
    </bk>
    <bk>
      <rc t="1" v="2253"/>
    </bk>
    <bk>
      <rc t="1" v="2254"/>
    </bk>
    <bk>
      <rc t="1" v="2255"/>
    </bk>
    <bk>
      <rc t="1" v="2256"/>
    </bk>
    <bk>
      <rc t="1" v="2257"/>
    </bk>
    <bk>
      <rc t="1" v="2258"/>
    </bk>
    <bk>
      <rc t="1" v="2259"/>
    </bk>
    <bk>
      <rc t="1" v="2260"/>
    </bk>
    <bk>
      <rc t="1" v="2261"/>
    </bk>
    <bk>
      <rc t="1" v="2262"/>
    </bk>
    <bk>
      <rc t="1" v="2263"/>
    </bk>
    <bk>
      <rc t="1" v="2264"/>
    </bk>
    <bk>
      <rc t="1" v="2265"/>
    </bk>
    <bk>
      <rc t="1" v="2266"/>
    </bk>
    <bk>
      <rc t="1" v="2267"/>
    </bk>
    <bk>
      <rc t="1" v="2268"/>
    </bk>
    <bk>
      <rc t="1" v="2269"/>
    </bk>
    <bk>
      <rc t="1" v="2270"/>
    </bk>
    <bk>
      <rc t="1" v="2271"/>
    </bk>
    <bk>
      <rc t="1" v="2272"/>
    </bk>
    <bk>
      <rc t="1" v="2273"/>
    </bk>
    <bk>
      <rc t="1" v="2274"/>
    </bk>
    <bk>
      <rc t="1" v="2275"/>
    </bk>
    <bk>
      <rc t="1" v="2276"/>
    </bk>
    <bk>
      <rc t="1" v="2277"/>
    </bk>
    <bk>
      <rc t="1" v="2278"/>
    </bk>
    <bk>
      <rc t="1" v="2279"/>
    </bk>
    <bk>
      <rc t="1" v="2280"/>
    </bk>
    <bk>
      <rc t="1" v="2281"/>
    </bk>
    <bk>
      <rc t="1" v="2282"/>
    </bk>
    <bk>
      <rc t="1" v="2283"/>
    </bk>
    <bk>
      <rc t="1" v="2284"/>
    </bk>
    <bk>
      <rc t="1" v="2285"/>
    </bk>
    <bk>
      <rc t="1" v="2286"/>
    </bk>
    <bk>
      <rc t="1" v="2287"/>
    </bk>
    <bk>
      <rc t="1" v="2288"/>
    </bk>
    <bk>
      <rc t="1" v="2289"/>
    </bk>
    <bk>
      <rc t="1" v="2290"/>
    </bk>
    <bk>
      <rc t="1" v="2291"/>
    </bk>
    <bk>
      <rc t="1" v="2292"/>
    </bk>
    <bk>
      <rc t="1" v="2293"/>
    </bk>
    <bk>
      <rc t="1" v="2294"/>
    </bk>
    <bk>
      <rc t="1" v="2295"/>
    </bk>
    <bk>
      <rc t="1" v="2296"/>
    </bk>
    <bk>
      <rc t="1" v="2297"/>
    </bk>
    <bk>
      <rc t="1" v="2298"/>
    </bk>
    <bk>
      <rc t="1" v="2299"/>
    </bk>
    <bk>
      <rc t="1" v="2300"/>
    </bk>
    <bk>
      <rc t="1" v="2301"/>
    </bk>
    <bk>
      <rc t="1" v="2302"/>
    </bk>
    <bk>
      <rc t="1" v="2303"/>
    </bk>
    <bk>
      <rc t="1" v="2304"/>
    </bk>
    <bk>
      <rc t="1" v="2305"/>
    </bk>
    <bk>
      <rc t="1" v="2306"/>
    </bk>
    <bk>
      <rc t="1" v="2307"/>
    </bk>
    <bk>
      <rc t="1" v="2308"/>
    </bk>
    <bk>
      <rc t="1" v="2309"/>
    </bk>
    <bk>
      <rc t="1" v="2310"/>
    </bk>
    <bk>
      <rc t="1" v="2311"/>
    </bk>
    <bk>
      <rc t="1" v="2312"/>
    </bk>
    <bk>
      <rc t="1" v="2313"/>
    </bk>
    <bk>
      <rc t="1" v="2314"/>
    </bk>
    <bk>
      <rc t="1" v="2315"/>
    </bk>
    <bk>
      <rc t="1" v="2316"/>
    </bk>
    <bk>
      <rc t="1" v="2317"/>
    </bk>
    <bk>
      <rc t="1" v="2318"/>
    </bk>
    <bk>
      <rc t="1" v="2319"/>
    </bk>
    <bk>
      <rc t="1" v="2320"/>
    </bk>
    <bk>
      <rc t="1" v="2321"/>
    </bk>
    <bk>
      <rc t="1" v="2322"/>
    </bk>
    <bk>
      <rc t="1" v="2323"/>
    </bk>
    <bk>
      <rc t="1" v="2324"/>
    </bk>
    <bk>
      <rc t="1" v="2325"/>
    </bk>
    <bk>
      <rc t="1" v="2326"/>
    </bk>
    <bk>
      <rc t="1" v="2327"/>
    </bk>
    <bk>
      <rc t="1" v="2328"/>
    </bk>
    <bk>
      <rc t="1" v="2329"/>
    </bk>
    <bk>
      <rc t="1" v="2330"/>
    </bk>
    <bk>
      <rc t="1" v="2331"/>
    </bk>
    <bk>
      <rc t="1" v="2332"/>
    </bk>
    <bk>
      <rc t="1" v="2333"/>
    </bk>
    <bk>
      <rc t="1" v="2334"/>
    </bk>
    <bk>
      <rc t="1" v="2335"/>
    </bk>
    <bk>
      <rc t="1" v="2336"/>
    </bk>
    <bk>
      <rc t="1" v="2337"/>
    </bk>
    <bk>
      <rc t="1" v="2338"/>
    </bk>
    <bk>
      <rc t="1" v="2339"/>
    </bk>
    <bk>
      <rc t="1" v="2340"/>
    </bk>
    <bk>
      <rc t="1" v="2341"/>
    </bk>
    <bk>
      <rc t="1" v="2342"/>
    </bk>
    <bk>
      <rc t="1" v="2343"/>
    </bk>
    <bk>
      <rc t="1" v="2344"/>
    </bk>
    <bk>
      <rc t="1" v="2345"/>
    </bk>
    <bk>
      <rc t="1" v="2346"/>
    </bk>
    <bk>
      <rc t="1" v="2347"/>
    </bk>
    <bk>
      <rc t="1" v="2348"/>
    </bk>
    <bk>
      <rc t="1" v="2349"/>
    </bk>
    <bk>
      <rc t="1" v="2350"/>
    </bk>
    <bk>
      <rc t="1" v="2351"/>
    </bk>
    <bk>
      <rc t="1" v="2352"/>
    </bk>
    <bk>
      <rc t="1" v="2353"/>
    </bk>
    <bk>
      <rc t="1" v="2354"/>
    </bk>
    <bk>
      <rc t="1" v="2355"/>
    </bk>
    <bk>
      <rc t="1" v="2356"/>
    </bk>
    <bk>
      <rc t="1" v="2357"/>
    </bk>
    <bk>
      <rc t="1" v="2358"/>
    </bk>
    <bk>
      <rc t="1" v="2359"/>
    </bk>
    <bk>
      <rc t="1" v="2360"/>
    </bk>
    <bk>
      <rc t="1" v="2361"/>
    </bk>
    <bk>
      <rc t="1" v="2362"/>
    </bk>
    <bk>
      <rc t="1" v="2363"/>
    </bk>
    <bk>
      <rc t="1" v="2364"/>
    </bk>
    <bk>
      <rc t="1" v="2365"/>
    </bk>
    <bk>
      <rc t="1" v="2366"/>
    </bk>
    <bk>
      <rc t="1" v="2367"/>
    </bk>
    <bk>
      <rc t="1" v="2368"/>
    </bk>
    <bk>
      <rc t="1" v="2369"/>
    </bk>
    <bk>
      <rc t="1" v="2370"/>
    </bk>
    <bk>
      <rc t="1" v="2371"/>
    </bk>
    <bk>
      <rc t="1" v="2372"/>
    </bk>
    <bk>
      <rc t="1" v="2373"/>
    </bk>
    <bk>
      <rc t="1" v="2374"/>
    </bk>
    <bk>
      <rc t="1" v="2375"/>
    </bk>
    <bk>
      <rc t="1" v="2376"/>
    </bk>
    <bk>
      <rc t="1" v="2377"/>
    </bk>
    <bk>
      <rc t="1" v="2378"/>
    </bk>
    <bk>
      <rc t="1" v="2379"/>
    </bk>
    <bk>
      <rc t="1" v="2380"/>
    </bk>
    <bk>
      <rc t="1" v="2381"/>
    </bk>
    <bk>
      <rc t="1" v="2382"/>
    </bk>
    <bk>
      <rc t="1" v="2383"/>
    </bk>
    <bk>
      <rc t="1" v="2384"/>
    </bk>
    <bk>
      <rc t="1" v="2385"/>
    </bk>
    <bk>
      <rc t="1" v="2386"/>
    </bk>
    <bk>
      <rc t="1" v="2387"/>
    </bk>
    <bk>
      <rc t="1" v="2388"/>
    </bk>
    <bk>
      <rc t="1" v="2389"/>
    </bk>
    <bk>
      <rc t="1" v="2390"/>
    </bk>
    <bk>
      <rc t="1" v="2391"/>
    </bk>
    <bk>
      <rc t="1" v="2392"/>
    </bk>
    <bk>
      <rc t="1" v="2393"/>
    </bk>
    <bk>
      <rc t="1" v="2394"/>
    </bk>
    <bk>
      <rc t="1" v="2395"/>
    </bk>
    <bk>
      <rc t="1" v="2396"/>
    </bk>
    <bk>
      <rc t="1" v="2397"/>
    </bk>
    <bk>
      <rc t="1" v="2398"/>
    </bk>
    <bk>
      <rc t="1" v="2399"/>
    </bk>
    <bk>
      <rc t="1" v="2400"/>
    </bk>
    <bk>
      <rc t="1" v="2401"/>
    </bk>
    <bk>
      <rc t="1" v="2402"/>
    </bk>
    <bk>
      <rc t="1" v="2403"/>
    </bk>
    <bk>
      <rc t="1" v="2404"/>
    </bk>
    <bk>
      <rc t="1" v="2405"/>
    </bk>
    <bk>
      <rc t="1" v="2406"/>
    </bk>
    <bk>
      <rc t="1" v="2407"/>
    </bk>
    <bk>
      <rc t="1" v="2408"/>
    </bk>
    <bk>
      <rc t="1" v="2409"/>
    </bk>
    <bk>
      <rc t="1" v="2410"/>
    </bk>
    <bk>
      <rc t="1" v="2411"/>
    </bk>
    <bk>
      <rc t="1" v="2412"/>
    </bk>
    <bk>
      <rc t="1" v="2413"/>
    </bk>
    <bk>
      <rc t="1" v="2414"/>
    </bk>
    <bk>
      <rc t="1" v="2415"/>
    </bk>
    <bk>
      <rc t="1" v="2416"/>
    </bk>
    <bk>
      <rc t="1" v="2417"/>
    </bk>
    <bk>
      <rc t="1" v="2418"/>
    </bk>
    <bk>
      <rc t="1" v="2419"/>
    </bk>
    <bk>
      <rc t="1" v="2420"/>
    </bk>
    <bk>
      <rc t="1" v="2421"/>
    </bk>
    <bk>
      <rc t="1" v="2422"/>
    </bk>
    <bk>
      <rc t="1" v="2423"/>
    </bk>
    <bk>
      <rc t="1" v="2424"/>
    </bk>
    <bk>
      <rc t="1" v="2425"/>
    </bk>
    <bk>
      <rc t="1" v="2426"/>
    </bk>
    <bk>
      <rc t="1" v="2427"/>
    </bk>
    <bk>
      <rc t="1" v="2428"/>
    </bk>
    <bk>
      <rc t="1" v="2429"/>
    </bk>
    <bk>
      <rc t="1" v="2430"/>
    </bk>
    <bk>
      <rc t="1" v="2431"/>
    </bk>
    <bk>
      <rc t="1" v="2432"/>
    </bk>
    <bk>
      <rc t="1" v="2433"/>
    </bk>
    <bk>
      <rc t="1" v="2434"/>
    </bk>
    <bk>
      <rc t="1" v="2435"/>
    </bk>
    <bk>
      <rc t="1" v="2436"/>
    </bk>
    <bk>
      <rc t="1" v="2437"/>
    </bk>
    <bk>
      <rc t="1" v="2438"/>
    </bk>
    <bk>
      <rc t="1" v="2439"/>
    </bk>
    <bk>
      <rc t="1" v="2440"/>
    </bk>
    <bk>
      <rc t="1" v="2441"/>
    </bk>
    <bk>
      <rc t="1" v="2442"/>
    </bk>
    <bk>
      <rc t="1" v="2443"/>
    </bk>
    <bk>
      <rc t="1" v="2444"/>
    </bk>
    <bk>
      <rc t="1" v="2445"/>
    </bk>
    <bk>
      <rc t="1" v="2446"/>
    </bk>
    <bk>
      <rc t="1" v="2447"/>
    </bk>
    <bk>
      <rc t="1" v="2448"/>
    </bk>
    <bk>
      <rc t="1" v="2449"/>
    </bk>
    <bk>
      <rc t="1" v="2450"/>
    </bk>
    <bk>
      <rc t="1" v="2451"/>
    </bk>
    <bk>
      <rc t="1" v="2452"/>
    </bk>
    <bk>
      <rc t="1" v="2453"/>
    </bk>
    <bk>
      <rc t="1" v="2454"/>
    </bk>
    <bk>
      <rc t="1" v="2455"/>
    </bk>
    <bk>
      <rc t="1" v="2456"/>
    </bk>
    <bk>
      <rc t="1" v="2457"/>
    </bk>
    <bk>
      <rc t="1" v="2458"/>
    </bk>
    <bk>
      <rc t="1" v="2459"/>
    </bk>
    <bk>
      <rc t="1" v="2460"/>
    </bk>
    <bk>
      <rc t="1" v="2461"/>
    </bk>
    <bk>
      <rc t="1" v="2462"/>
    </bk>
    <bk>
      <rc t="1" v="2463"/>
    </bk>
    <bk>
      <rc t="1" v="2464"/>
    </bk>
    <bk>
      <rc t="1" v="2465"/>
    </bk>
    <bk>
      <rc t="1" v="2466"/>
    </bk>
    <bk>
      <rc t="1" v="2467"/>
    </bk>
    <bk>
      <rc t="1" v="2468"/>
    </bk>
    <bk>
      <rc t="1" v="2469"/>
    </bk>
    <bk>
      <rc t="1" v="2470"/>
    </bk>
    <bk>
      <rc t="1" v="2471"/>
    </bk>
    <bk>
      <rc t="1" v="2472"/>
    </bk>
    <bk>
      <rc t="1" v="2473"/>
    </bk>
    <bk>
      <rc t="1" v="2474"/>
    </bk>
    <bk>
      <rc t="1" v="2475"/>
    </bk>
    <bk>
      <rc t="1" v="2476"/>
    </bk>
    <bk>
      <rc t="1" v="2477"/>
    </bk>
    <bk>
      <rc t="1" v="2478"/>
    </bk>
    <bk>
      <rc t="1" v="2479"/>
    </bk>
    <bk>
      <rc t="1" v="2480"/>
    </bk>
    <bk>
      <rc t="1" v="2481"/>
    </bk>
    <bk>
      <rc t="1" v="2482"/>
    </bk>
    <bk>
      <rc t="1" v="2483"/>
    </bk>
    <bk>
      <rc t="1" v="2484"/>
    </bk>
    <bk>
      <rc t="1" v="2485"/>
    </bk>
    <bk>
      <rc t="1" v="2486"/>
    </bk>
    <bk>
      <rc t="1" v="2487"/>
    </bk>
    <bk>
      <rc t="1" v="2488"/>
    </bk>
    <bk>
      <rc t="1" v="2489"/>
    </bk>
    <bk>
      <rc t="1" v="2490"/>
    </bk>
    <bk>
      <rc t="1" v="2491"/>
    </bk>
    <bk>
      <rc t="1" v="2492"/>
    </bk>
    <bk>
      <rc t="1" v="2493"/>
    </bk>
    <bk>
      <rc t="1" v="2494"/>
    </bk>
    <bk>
      <rc t="1" v="2495"/>
    </bk>
    <bk>
      <rc t="1" v="2496"/>
    </bk>
    <bk>
      <rc t="1" v="2497"/>
    </bk>
    <bk>
      <rc t="1" v="2498"/>
    </bk>
    <bk>
      <rc t="1" v="2499"/>
    </bk>
    <bk>
      <rc t="1" v="2500"/>
    </bk>
    <bk>
      <rc t="1" v="2501"/>
    </bk>
    <bk>
      <rc t="1" v="2502"/>
    </bk>
    <bk>
      <rc t="1" v="2503"/>
    </bk>
    <bk>
      <rc t="1" v="2504"/>
    </bk>
    <bk>
      <rc t="1" v="2505"/>
    </bk>
    <bk>
      <rc t="1" v="2506"/>
    </bk>
    <bk>
      <rc t="1" v="2507"/>
    </bk>
    <bk>
      <rc t="1" v="2508"/>
    </bk>
    <bk>
      <rc t="1" v="2509"/>
    </bk>
    <bk>
      <rc t="1" v="2510"/>
    </bk>
    <bk>
      <rc t="1" v="2511"/>
    </bk>
    <bk>
      <rc t="1" v="2512"/>
    </bk>
    <bk>
      <rc t="1" v="2513"/>
    </bk>
    <bk>
      <rc t="1" v="2514"/>
    </bk>
    <bk>
      <rc t="1" v="2515"/>
    </bk>
    <bk>
      <rc t="1" v="2516"/>
    </bk>
    <bk>
      <rc t="1" v="2517"/>
    </bk>
    <bk>
      <rc t="1" v="2518"/>
    </bk>
    <bk>
      <rc t="1" v="2519"/>
    </bk>
    <bk>
      <rc t="1" v="2520"/>
    </bk>
    <bk>
      <rc t="1" v="2521"/>
    </bk>
    <bk>
      <rc t="1" v="2522"/>
    </bk>
    <bk>
      <rc t="1" v="2523"/>
    </bk>
    <bk>
      <rc t="1" v="2524"/>
    </bk>
    <bk>
      <rc t="1" v="2525"/>
    </bk>
    <bk>
      <rc t="1" v="2526"/>
    </bk>
    <bk>
      <rc t="1" v="2527"/>
    </bk>
    <bk>
      <rc t="1" v="2528"/>
    </bk>
    <bk>
      <rc t="1" v="2529"/>
    </bk>
    <bk>
      <rc t="1" v="2530"/>
    </bk>
    <bk>
      <rc t="1" v="2531"/>
    </bk>
    <bk>
      <rc t="1" v="2532"/>
    </bk>
    <bk>
      <rc t="1" v="2533"/>
    </bk>
    <bk>
      <rc t="1" v="2534"/>
    </bk>
    <bk>
      <rc t="1" v="2535"/>
    </bk>
    <bk>
      <rc t="1" v="2536"/>
    </bk>
    <bk>
      <rc t="1" v="2537"/>
    </bk>
    <bk>
      <rc t="1" v="2538"/>
    </bk>
    <bk>
      <rc t="1" v="2539"/>
    </bk>
    <bk>
      <rc t="1" v="2540"/>
    </bk>
    <bk>
      <rc t="1" v="2541"/>
    </bk>
    <bk>
      <rc t="1" v="2542"/>
    </bk>
    <bk>
      <rc t="1" v="2543"/>
    </bk>
    <bk>
      <rc t="1" v="2544"/>
    </bk>
    <bk>
      <rc t="1" v="2545"/>
    </bk>
    <bk>
      <rc t="1" v="2546"/>
    </bk>
    <bk>
      <rc t="1" v="2547"/>
    </bk>
    <bk>
      <rc t="1" v="2548"/>
    </bk>
    <bk>
      <rc t="1" v="2549"/>
    </bk>
    <bk>
      <rc t="1" v="2550"/>
    </bk>
    <bk>
      <rc t="1" v="2551"/>
    </bk>
    <bk>
      <rc t="1" v="2552"/>
    </bk>
    <bk>
      <rc t="1" v="2553"/>
    </bk>
    <bk>
      <rc t="1" v="2554"/>
    </bk>
    <bk>
      <rc t="1" v="2555"/>
    </bk>
    <bk>
      <rc t="1" v="2556"/>
    </bk>
    <bk>
      <rc t="1" v="2557"/>
    </bk>
    <bk>
      <rc t="1" v="2558"/>
    </bk>
    <bk>
      <rc t="1" v="2559"/>
    </bk>
    <bk>
      <rc t="1" v="2560"/>
    </bk>
    <bk>
      <rc t="1" v="2561"/>
    </bk>
    <bk>
      <rc t="1" v="2562"/>
    </bk>
    <bk>
      <rc t="1" v="2563"/>
    </bk>
    <bk>
      <rc t="1" v="2564"/>
    </bk>
    <bk>
      <rc t="1" v="2565"/>
    </bk>
    <bk>
      <rc t="1" v="2566"/>
    </bk>
    <bk>
      <rc t="1" v="2567"/>
    </bk>
    <bk>
      <rc t="1" v="2568"/>
    </bk>
    <bk>
      <rc t="1" v="2569"/>
    </bk>
    <bk>
      <rc t="1" v="2570"/>
    </bk>
    <bk>
      <rc t="1" v="2571"/>
    </bk>
    <bk>
      <rc t="1" v="2572"/>
    </bk>
    <bk>
      <rc t="1" v="2573"/>
    </bk>
    <bk>
      <rc t="1" v="2574"/>
    </bk>
    <bk>
      <rc t="1" v="2575"/>
    </bk>
    <bk>
      <rc t="1" v="2576"/>
    </bk>
    <bk>
      <rc t="1" v="2577"/>
    </bk>
    <bk>
      <rc t="1" v="2578"/>
    </bk>
    <bk>
      <rc t="1" v="2579"/>
    </bk>
    <bk>
      <rc t="1" v="2580"/>
    </bk>
    <bk>
      <rc t="1" v="2581"/>
    </bk>
    <bk>
      <rc t="1" v="2582"/>
    </bk>
    <bk>
      <rc t="1" v="2583"/>
    </bk>
    <bk>
      <rc t="1" v="2584"/>
    </bk>
    <bk>
      <rc t="1" v="2585"/>
    </bk>
    <bk>
      <rc t="1" v="2586"/>
    </bk>
    <bk>
      <rc t="1" v="2587"/>
    </bk>
    <bk>
      <rc t="1" v="2588"/>
    </bk>
    <bk>
      <rc t="1" v="2589"/>
    </bk>
    <bk>
      <rc t="1" v="2590"/>
    </bk>
    <bk>
      <rc t="1" v="2591"/>
    </bk>
    <bk>
      <rc t="1" v="2592"/>
    </bk>
    <bk>
      <rc t="1" v="2593"/>
    </bk>
    <bk>
      <rc t="1" v="2594"/>
    </bk>
    <bk>
      <rc t="1" v="2595"/>
    </bk>
    <bk>
      <rc t="1" v="2596"/>
    </bk>
    <bk>
      <rc t="1" v="2597"/>
    </bk>
    <bk>
      <rc t="1" v="2598"/>
    </bk>
    <bk>
      <rc t="1" v="2599"/>
    </bk>
    <bk>
      <rc t="1" v="2600"/>
    </bk>
    <bk>
      <rc t="1" v="2601"/>
    </bk>
    <bk>
      <rc t="1" v="2602"/>
    </bk>
    <bk>
      <rc t="1" v="2603"/>
    </bk>
    <bk>
      <rc t="1" v="2604"/>
    </bk>
    <bk>
      <rc t="1" v="2605"/>
    </bk>
    <bk>
      <rc t="1" v="2606"/>
    </bk>
    <bk>
      <rc t="1" v="2607"/>
    </bk>
    <bk>
      <rc t="1" v="2608"/>
    </bk>
    <bk>
      <rc t="1" v="2609"/>
    </bk>
    <bk>
      <rc t="1" v="2610"/>
    </bk>
    <bk>
      <rc t="1" v="2611"/>
    </bk>
    <bk>
      <rc t="1" v="2612"/>
    </bk>
    <bk>
      <rc t="1" v="2613"/>
    </bk>
    <bk>
      <rc t="1" v="2614"/>
    </bk>
    <bk>
      <rc t="1" v="2615"/>
    </bk>
    <bk>
      <rc t="1" v="2616"/>
    </bk>
    <bk>
      <rc t="1" v="2617"/>
    </bk>
    <bk>
      <rc t="1" v="2618"/>
    </bk>
    <bk>
      <rc t="1" v="2619"/>
    </bk>
    <bk>
      <rc t="1" v="2620"/>
    </bk>
    <bk>
      <rc t="1" v="2621"/>
    </bk>
    <bk>
      <rc t="1" v="2622"/>
    </bk>
    <bk>
      <rc t="1" v="2623"/>
    </bk>
    <bk>
      <rc t="1" v="2624"/>
    </bk>
    <bk>
      <rc t="1" v="2625"/>
    </bk>
    <bk>
      <rc t="1" v="2626"/>
    </bk>
    <bk>
      <rc t="1" v="2627"/>
    </bk>
    <bk>
      <rc t="1" v="2628"/>
    </bk>
    <bk>
      <rc t="1" v="2629"/>
    </bk>
    <bk>
      <rc t="1" v="2630"/>
    </bk>
    <bk>
      <rc t="1" v="2631"/>
    </bk>
    <bk>
      <rc t="1" v="2632"/>
    </bk>
    <bk>
      <rc t="1" v="2633"/>
    </bk>
    <bk>
      <rc t="1" v="2634"/>
    </bk>
    <bk>
      <rc t="1" v="2635"/>
    </bk>
    <bk>
      <rc t="1" v="2636"/>
    </bk>
    <bk>
      <rc t="1" v="2637"/>
    </bk>
    <bk>
      <rc t="1" v="2638"/>
    </bk>
    <bk>
      <rc t="1" v="2639"/>
    </bk>
    <bk>
      <rc t="1" v="2640"/>
    </bk>
    <bk>
      <rc t="1" v="2641"/>
    </bk>
    <bk>
      <rc t="1" v="2642"/>
    </bk>
    <bk>
      <rc t="1" v="2643"/>
    </bk>
    <bk>
      <rc t="1" v="2644"/>
    </bk>
    <bk>
      <rc t="1" v="2645"/>
    </bk>
    <bk>
      <rc t="1" v="2646"/>
    </bk>
    <bk>
      <rc t="1" v="2647"/>
    </bk>
    <bk>
      <rc t="1" v="2648"/>
    </bk>
    <bk>
      <rc t="1" v="2649"/>
    </bk>
    <bk>
      <rc t="1" v="2650"/>
    </bk>
    <bk>
      <rc t="1" v="2651"/>
    </bk>
    <bk>
      <rc t="1" v="2652"/>
    </bk>
    <bk>
      <rc t="1" v="2653"/>
    </bk>
    <bk>
      <rc t="1" v="2654"/>
    </bk>
    <bk>
      <rc t="1" v="2655"/>
    </bk>
    <bk>
      <rc t="1" v="2656"/>
    </bk>
    <bk>
      <rc t="1" v="2657"/>
    </bk>
    <bk>
      <rc t="1" v="2658"/>
    </bk>
    <bk>
      <rc t="1" v="2659"/>
    </bk>
    <bk>
      <rc t="1" v="2660"/>
    </bk>
    <bk>
      <rc t="1" v="2661"/>
    </bk>
    <bk>
      <rc t="1" v="2662"/>
    </bk>
    <bk>
      <rc t="1" v="2663"/>
    </bk>
    <bk>
      <rc t="1" v="2664"/>
    </bk>
    <bk>
      <rc t="1" v="2665"/>
    </bk>
    <bk>
      <rc t="1" v="2666"/>
    </bk>
    <bk>
      <rc t="1" v="2667"/>
    </bk>
    <bk>
      <rc t="1" v="2668"/>
    </bk>
    <bk>
      <rc t="1" v="2669"/>
    </bk>
    <bk>
      <rc t="1" v="2670"/>
    </bk>
    <bk>
      <rc t="1" v="2671"/>
    </bk>
    <bk>
      <rc t="1" v="2672"/>
    </bk>
    <bk>
      <rc t="1" v="2673"/>
    </bk>
    <bk>
      <rc t="1" v="2674"/>
    </bk>
    <bk>
      <rc t="1" v="2675"/>
    </bk>
    <bk>
      <rc t="1" v="2676"/>
    </bk>
    <bk>
      <rc t="1" v="2677"/>
    </bk>
    <bk>
      <rc t="1" v="2678"/>
    </bk>
    <bk>
      <rc t="1" v="2679"/>
    </bk>
    <bk>
      <rc t="1" v="2680"/>
    </bk>
    <bk>
      <rc t="1" v="2681"/>
    </bk>
    <bk>
      <rc t="1" v="2682"/>
    </bk>
    <bk>
      <rc t="1" v="2683"/>
    </bk>
    <bk>
      <rc t="1" v="2684"/>
    </bk>
    <bk>
      <rc t="1" v="2685"/>
    </bk>
    <bk>
      <rc t="1" v="2686"/>
    </bk>
    <bk>
      <rc t="1" v="2687"/>
    </bk>
    <bk>
      <rc t="1" v="2688"/>
    </bk>
    <bk>
      <rc t="1" v="2689"/>
    </bk>
    <bk>
      <rc t="1" v="2690"/>
    </bk>
    <bk>
      <rc t="1" v="2691"/>
    </bk>
    <bk>
      <rc t="1" v="2692"/>
    </bk>
    <bk>
      <rc t="1" v="2693"/>
    </bk>
    <bk>
      <rc t="1" v="2694"/>
    </bk>
    <bk>
      <rc t="1" v="2695"/>
    </bk>
    <bk>
      <rc t="1" v="2696"/>
    </bk>
    <bk>
      <rc t="1" v="2697"/>
    </bk>
    <bk>
      <rc t="1" v="2698"/>
    </bk>
    <bk>
      <rc t="1" v="2699"/>
    </bk>
    <bk>
      <rc t="1" v="2700"/>
    </bk>
    <bk>
      <rc t="1" v="2701"/>
    </bk>
    <bk>
      <rc t="1" v="2702"/>
    </bk>
    <bk>
      <rc t="1" v="2703"/>
    </bk>
    <bk>
      <rc t="1" v="2704"/>
    </bk>
    <bk>
      <rc t="1" v="2705"/>
    </bk>
    <bk>
      <rc t="1" v="2706"/>
    </bk>
    <bk>
      <rc t="1" v="2707"/>
    </bk>
    <bk>
      <rc t="1" v="2708"/>
    </bk>
    <bk>
      <rc t="1" v="2709"/>
    </bk>
    <bk>
      <rc t="1" v="2710"/>
    </bk>
    <bk>
      <rc t="1" v="2711"/>
    </bk>
    <bk>
      <rc t="1" v="2712"/>
    </bk>
    <bk>
      <rc t="1" v="2713"/>
    </bk>
    <bk>
      <rc t="1" v="2714"/>
    </bk>
    <bk>
      <rc t="1" v="2715"/>
    </bk>
    <bk>
      <rc t="1" v="2716"/>
    </bk>
    <bk>
      <rc t="1" v="2717"/>
    </bk>
    <bk>
      <rc t="1" v="2718"/>
    </bk>
    <bk>
      <rc t="1" v="2719"/>
    </bk>
    <bk>
      <rc t="1" v="2720"/>
    </bk>
    <bk>
      <rc t="1" v="2721"/>
    </bk>
    <bk>
      <rc t="1" v="2722"/>
    </bk>
    <bk>
      <rc t="1" v="2723"/>
    </bk>
    <bk>
      <rc t="1" v="2724"/>
    </bk>
    <bk>
      <rc t="1" v="2725"/>
    </bk>
    <bk>
      <rc t="1" v="2726"/>
    </bk>
    <bk>
      <rc t="1" v="2727"/>
    </bk>
    <bk>
      <rc t="1" v="2728"/>
    </bk>
    <bk>
      <rc t="1" v="2729"/>
    </bk>
    <bk>
      <rc t="1" v="2730"/>
    </bk>
    <bk>
      <rc t="1" v="2731"/>
    </bk>
    <bk>
      <rc t="1" v="2732"/>
    </bk>
    <bk>
      <rc t="1" v="2733"/>
    </bk>
    <bk>
      <rc t="1" v="2734"/>
    </bk>
    <bk>
      <rc t="1" v="2735"/>
    </bk>
    <bk>
      <rc t="1" v="2736"/>
    </bk>
    <bk>
      <rc t="1" v="2737"/>
    </bk>
    <bk>
      <rc t="1" v="2738"/>
    </bk>
    <bk>
      <rc t="1" v="2739"/>
    </bk>
    <bk>
      <rc t="1" v="2740"/>
    </bk>
    <bk>
      <rc t="1" v="2741"/>
    </bk>
    <bk>
      <rc t="1" v="2742"/>
    </bk>
    <bk>
      <rc t="1" v="2743"/>
    </bk>
    <bk>
      <rc t="1" v="2744"/>
    </bk>
    <bk>
      <rc t="1" v="2745"/>
    </bk>
    <bk>
      <rc t="1" v="2746"/>
    </bk>
    <bk>
      <rc t="1" v="2747"/>
    </bk>
    <bk>
      <rc t="1" v="2748"/>
    </bk>
    <bk>
      <rc t="1" v="2749"/>
    </bk>
    <bk>
      <rc t="1" v="2750"/>
    </bk>
    <bk>
      <rc t="1" v="2751"/>
    </bk>
    <bk>
      <rc t="1" v="2752"/>
    </bk>
    <bk>
      <rc t="1" v="2753"/>
    </bk>
    <bk>
      <rc t="1" v="2754"/>
    </bk>
    <bk>
      <rc t="1" v="2755"/>
    </bk>
    <bk>
      <rc t="1" v="2756"/>
    </bk>
    <bk>
      <rc t="1" v="2757"/>
    </bk>
    <bk>
      <rc t="1" v="2758"/>
    </bk>
    <bk>
      <rc t="1" v="2759"/>
    </bk>
    <bk>
      <rc t="1" v="2760"/>
    </bk>
    <bk>
      <rc t="1" v="2761"/>
    </bk>
    <bk>
      <rc t="1" v="2762"/>
    </bk>
    <bk>
      <rc t="1" v="2763"/>
    </bk>
    <bk>
      <rc t="1" v="2764"/>
    </bk>
    <bk>
      <rc t="1" v="2765"/>
    </bk>
    <bk>
      <rc t="1" v="2766"/>
    </bk>
    <bk>
      <rc t="1" v="2767"/>
    </bk>
    <bk>
      <rc t="1" v="2768"/>
    </bk>
    <bk>
      <rc t="1" v="2769"/>
    </bk>
    <bk>
      <rc t="1" v="2770"/>
    </bk>
    <bk>
      <rc t="1" v="2771"/>
    </bk>
    <bk>
      <rc t="1" v="2772"/>
    </bk>
    <bk>
      <rc t="1" v="2773"/>
    </bk>
    <bk>
      <rc t="1" v="2774"/>
    </bk>
    <bk>
      <rc t="1" v="2775"/>
    </bk>
    <bk>
      <rc t="1" v="2776"/>
    </bk>
    <bk>
      <rc t="1" v="2777"/>
    </bk>
    <bk>
      <rc t="1" v="2778"/>
    </bk>
    <bk>
      <rc t="1" v="2779"/>
    </bk>
    <bk>
      <rc t="1" v="2780"/>
    </bk>
    <bk>
      <rc t="1" v="2781"/>
    </bk>
    <bk>
      <rc t="1" v="2782"/>
    </bk>
    <bk>
      <rc t="1" v="2783"/>
    </bk>
    <bk>
      <rc t="1" v="2784"/>
    </bk>
    <bk>
      <rc t="1" v="2785"/>
    </bk>
    <bk>
      <rc t="1" v="2786"/>
    </bk>
    <bk>
      <rc t="1" v="2787"/>
    </bk>
    <bk>
      <rc t="1" v="2788"/>
    </bk>
    <bk>
      <rc t="1" v="2789"/>
    </bk>
    <bk>
      <rc t="1" v="2790"/>
    </bk>
    <bk>
      <rc t="1" v="2791"/>
    </bk>
    <bk>
      <rc t="1" v="2792"/>
    </bk>
    <bk>
      <rc t="1" v="2793"/>
    </bk>
    <bk>
      <rc t="1" v="2794"/>
    </bk>
    <bk>
      <rc t="1" v="2795"/>
    </bk>
    <bk>
      <rc t="1" v="2796"/>
    </bk>
    <bk>
      <rc t="1" v="2797"/>
    </bk>
    <bk>
      <rc t="1" v="2798"/>
    </bk>
    <bk>
      <rc t="1" v="2799"/>
    </bk>
    <bk>
      <rc t="1" v="2800"/>
    </bk>
    <bk>
      <rc t="1" v="2801"/>
    </bk>
    <bk>
      <rc t="1" v="2802"/>
    </bk>
    <bk>
      <rc t="1" v="2803"/>
    </bk>
    <bk>
      <rc t="1" v="2804"/>
    </bk>
    <bk>
      <rc t="1" v="2805"/>
    </bk>
    <bk>
      <rc t="1" v="2806"/>
    </bk>
    <bk>
      <rc t="1" v="2807"/>
    </bk>
    <bk>
      <rc t="1" v="2808"/>
    </bk>
    <bk>
      <rc t="1" v="2809"/>
    </bk>
    <bk>
      <rc t="1" v="2810"/>
    </bk>
    <bk>
      <rc t="1" v="2811"/>
    </bk>
    <bk>
      <rc t="1" v="2812"/>
    </bk>
    <bk>
      <rc t="1" v="2813"/>
    </bk>
    <bk>
      <rc t="1" v="2814"/>
    </bk>
    <bk>
      <rc t="1" v="2815"/>
    </bk>
    <bk>
      <rc t="1" v="2816"/>
    </bk>
    <bk>
      <rc t="1" v="2817"/>
    </bk>
    <bk>
      <rc t="1" v="2818"/>
    </bk>
    <bk>
      <rc t="1" v="2819"/>
    </bk>
    <bk>
      <rc t="1" v="2820"/>
    </bk>
    <bk>
      <rc t="1" v="2821"/>
    </bk>
    <bk>
      <rc t="1" v="2822"/>
    </bk>
    <bk>
      <rc t="1" v="2823"/>
    </bk>
    <bk>
      <rc t="1" v="2824"/>
    </bk>
    <bk>
      <rc t="1" v="2825"/>
    </bk>
    <bk>
      <rc t="1" v="2826"/>
    </bk>
    <bk>
      <rc t="1" v="2827"/>
    </bk>
    <bk>
      <rc t="1" v="2828"/>
    </bk>
    <bk>
      <rc t="1" v="2829"/>
    </bk>
    <bk>
      <rc t="1" v="2830"/>
    </bk>
    <bk>
      <rc t="1" v="2831"/>
    </bk>
    <bk>
      <rc t="1" v="2832"/>
    </bk>
    <bk>
      <rc t="1" v="2833"/>
    </bk>
    <bk>
      <rc t="1" v="2834"/>
    </bk>
    <bk>
      <rc t="1" v="2835"/>
    </bk>
    <bk>
      <rc t="1" v="2836"/>
    </bk>
    <bk>
      <rc t="1" v="2837"/>
    </bk>
    <bk>
      <rc t="1" v="2838"/>
    </bk>
    <bk>
      <rc t="1" v="2839"/>
    </bk>
    <bk>
      <rc t="1" v="2840"/>
    </bk>
    <bk>
      <rc t="1" v="2841"/>
    </bk>
    <bk>
      <rc t="1" v="2842"/>
    </bk>
    <bk>
      <rc t="1" v="2843"/>
    </bk>
    <bk>
      <rc t="1" v="2844"/>
    </bk>
    <bk>
      <rc t="1" v="2845"/>
    </bk>
    <bk>
      <rc t="1" v="2846"/>
    </bk>
    <bk>
      <rc t="1" v="2847"/>
    </bk>
    <bk>
      <rc t="1" v="2848"/>
    </bk>
    <bk>
      <rc t="1" v="2849"/>
    </bk>
    <bk>
      <rc t="1" v="2850"/>
    </bk>
    <bk>
      <rc t="1" v="2851"/>
    </bk>
    <bk>
      <rc t="1" v="2852"/>
    </bk>
    <bk>
      <rc t="1" v="2853"/>
    </bk>
    <bk>
      <rc t="1" v="2854"/>
    </bk>
    <bk>
      <rc t="1" v="2855"/>
    </bk>
    <bk>
      <rc t="1" v="2856"/>
    </bk>
    <bk>
      <rc t="1" v="2857"/>
    </bk>
    <bk>
      <rc t="1" v="2858"/>
    </bk>
    <bk>
      <rc t="1" v="2859"/>
    </bk>
    <bk>
      <rc t="1" v="2860"/>
    </bk>
    <bk>
      <rc t="1" v="2861"/>
    </bk>
    <bk>
      <rc t="1" v="2862"/>
    </bk>
    <bk>
      <rc t="1" v="2863"/>
    </bk>
    <bk>
      <rc t="1" v="2864"/>
    </bk>
    <bk>
      <rc t="1" v="2865"/>
    </bk>
    <bk>
      <rc t="1" v="2866"/>
    </bk>
    <bk>
      <rc t="1" v="2867"/>
    </bk>
    <bk>
      <rc t="1" v="2868"/>
    </bk>
    <bk>
      <rc t="1" v="2869"/>
    </bk>
    <bk>
      <rc t="1" v="2870"/>
    </bk>
    <bk>
      <rc t="1" v="2871"/>
    </bk>
    <bk>
      <rc t="1" v="2872"/>
    </bk>
    <bk>
      <rc t="1" v="2873"/>
    </bk>
    <bk>
      <rc t="1" v="2874"/>
    </bk>
    <bk>
      <rc t="1" v="2875"/>
    </bk>
    <bk>
      <rc t="1" v="2876"/>
    </bk>
    <bk>
      <rc t="1" v="2877"/>
    </bk>
    <bk>
      <rc t="1" v="2878"/>
    </bk>
    <bk>
      <rc t="1" v="2879"/>
    </bk>
    <bk>
      <rc t="1" v="2880"/>
    </bk>
    <bk>
      <rc t="1" v="2881"/>
    </bk>
    <bk>
      <rc t="1" v="2882"/>
    </bk>
    <bk>
      <rc t="1" v="2883"/>
    </bk>
    <bk>
      <rc t="1" v="2884"/>
    </bk>
    <bk>
      <rc t="1" v="2885"/>
    </bk>
    <bk>
      <rc t="1" v="2886"/>
    </bk>
    <bk>
      <rc t="1" v="2887"/>
    </bk>
    <bk>
      <rc t="1" v="2888"/>
    </bk>
    <bk>
      <rc t="1" v="2889"/>
    </bk>
    <bk>
      <rc t="1" v="2890"/>
    </bk>
    <bk>
      <rc t="1" v="2891"/>
    </bk>
    <bk>
      <rc t="1" v="2892"/>
    </bk>
    <bk>
      <rc t="1" v="2893"/>
    </bk>
    <bk>
      <rc t="1" v="2894"/>
    </bk>
    <bk>
      <rc t="1" v="2895"/>
    </bk>
    <bk>
      <rc t="1" v="2896"/>
    </bk>
    <bk>
      <rc t="1" v="2897"/>
    </bk>
    <bk>
      <rc t="1" v="2898"/>
    </bk>
    <bk>
      <rc t="1" v="2899"/>
    </bk>
    <bk>
      <rc t="1" v="2900"/>
    </bk>
    <bk>
      <rc t="1" v="2901"/>
    </bk>
    <bk>
      <rc t="1" v="2902"/>
    </bk>
    <bk>
      <rc t="1" v="2903"/>
    </bk>
    <bk>
      <rc t="1" v="2904"/>
    </bk>
    <bk>
      <rc t="1" v="2905"/>
    </bk>
    <bk>
      <rc t="1" v="2906"/>
    </bk>
    <bk>
      <rc t="1" v="2907"/>
    </bk>
    <bk>
      <rc t="1" v="2908"/>
    </bk>
    <bk>
      <rc t="1" v="2909"/>
    </bk>
    <bk>
      <rc t="1" v="2910"/>
    </bk>
    <bk>
      <rc t="1" v="2911"/>
    </bk>
    <bk>
      <rc t="1" v="2912"/>
    </bk>
    <bk>
      <rc t="1" v="2913"/>
    </bk>
    <bk>
      <rc t="1" v="2914"/>
    </bk>
    <bk>
      <rc t="1" v="2915"/>
    </bk>
    <bk>
      <rc t="1" v="2916"/>
    </bk>
    <bk>
      <rc t="1" v="2917"/>
    </bk>
    <bk>
      <rc t="1" v="2918"/>
    </bk>
    <bk>
      <rc t="1" v="2919"/>
    </bk>
    <bk>
      <rc t="1" v="2920"/>
    </bk>
    <bk>
      <rc t="1" v="2921"/>
    </bk>
    <bk>
      <rc t="1" v="2922"/>
    </bk>
    <bk>
      <rc t="1" v="2923"/>
    </bk>
    <bk>
      <rc t="1" v="2924"/>
    </bk>
    <bk>
      <rc t="1" v="2925"/>
    </bk>
    <bk>
      <rc t="1" v="2926"/>
    </bk>
    <bk>
      <rc t="1" v="2927"/>
    </bk>
    <bk>
      <rc t="1" v="2928"/>
    </bk>
    <bk>
      <rc t="1" v="2929"/>
    </bk>
    <bk>
      <rc t="1" v="2930"/>
    </bk>
    <bk>
      <rc t="1" v="2931"/>
    </bk>
    <bk>
      <rc t="1" v="2932"/>
    </bk>
    <bk>
      <rc t="1" v="2933"/>
    </bk>
    <bk>
      <rc t="1" v="2934"/>
    </bk>
    <bk>
      <rc t="1" v="2935"/>
    </bk>
    <bk>
      <rc t="1" v="2936"/>
    </bk>
    <bk>
      <rc t="1" v="2937"/>
    </bk>
    <bk>
      <rc t="1" v="2938"/>
    </bk>
    <bk>
      <rc t="1" v="2939"/>
    </bk>
    <bk>
      <rc t="1" v="2940"/>
    </bk>
    <bk>
      <rc t="1" v="2941"/>
    </bk>
    <bk>
      <rc t="1" v="2942"/>
    </bk>
    <bk>
      <rc t="1" v="2943"/>
    </bk>
    <bk>
      <rc t="1" v="2944"/>
    </bk>
    <bk>
      <rc t="1" v="2945"/>
    </bk>
    <bk>
      <rc t="1" v="2946"/>
    </bk>
    <bk>
      <rc t="1" v="2947"/>
    </bk>
    <bk>
      <rc t="1" v="2948"/>
    </bk>
    <bk>
      <rc t="1" v="2949"/>
    </bk>
    <bk>
      <rc t="1" v="2950"/>
    </bk>
    <bk>
      <rc t="1" v="2951"/>
    </bk>
    <bk>
      <rc t="1" v="2952"/>
    </bk>
    <bk>
      <rc t="1" v="2953"/>
    </bk>
    <bk>
      <rc t="1" v="2954"/>
    </bk>
    <bk>
      <rc t="1" v="2955"/>
    </bk>
    <bk>
      <rc t="1" v="2956"/>
    </bk>
    <bk>
      <rc t="1" v="2957"/>
    </bk>
    <bk>
      <rc t="1" v="2958"/>
    </bk>
    <bk>
      <rc t="1" v="2959"/>
    </bk>
    <bk>
      <rc t="1" v="2960"/>
    </bk>
    <bk>
      <rc t="1" v="2961"/>
    </bk>
    <bk>
      <rc t="1" v="2962"/>
    </bk>
    <bk>
      <rc t="1" v="2963"/>
    </bk>
    <bk>
      <rc t="1" v="2964"/>
    </bk>
    <bk>
      <rc t="1" v="2965"/>
    </bk>
    <bk>
      <rc t="1" v="2966"/>
    </bk>
    <bk>
      <rc t="1" v="2967"/>
    </bk>
    <bk>
      <rc t="1" v="2968"/>
    </bk>
    <bk>
      <rc t="1" v="2969"/>
    </bk>
    <bk>
      <rc t="1" v="2970"/>
    </bk>
    <bk>
      <rc t="1" v="2971"/>
    </bk>
    <bk>
      <rc t="1" v="2972"/>
    </bk>
    <bk>
      <rc t="1" v="2973"/>
    </bk>
    <bk>
      <rc t="1" v="2974"/>
    </bk>
    <bk>
      <rc t="1" v="2975"/>
    </bk>
    <bk>
      <rc t="1" v="2976"/>
    </bk>
    <bk>
      <rc t="1" v="2977"/>
    </bk>
    <bk>
      <rc t="1" v="2978"/>
    </bk>
    <bk>
      <rc t="1" v="2979"/>
    </bk>
    <bk>
      <rc t="1" v="2980"/>
    </bk>
    <bk>
      <rc t="1" v="2981"/>
    </bk>
    <bk>
      <rc t="1" v="2982"/>
    </bk>
    <bk>
      <rc t="1" v="2983"/>
    </bk>
    <bk>
      <rc t="1" v="2984"/>
    </bk>
    <bk>
      <rc t="1" v="2985"/>
    </bk>
    <bk>
      <rc t="1" v="2986"/>
    </bk>
    <bk>
      <rc t="1" v="2987"/>
    </bk>
    <bk>
      <rc t="1" v="2988"/>
    </bk>
    <bk>
      <rc t="1" v="2989"/>
    </bk>
    <bk>
      <rc t="1" v="2990"/>
    </bk>
    <bk>
      <rc t="1" v="2991"/>
    </bk>
    <bk>
      <rc t="1" v="2992"/>
    </bk>
    <bk>
      <rc t="1" v="2993"/>
    </bk>
    <bk>
      <rc t="1" v="2994"/>
    </bk>
    <bk>
      <rc t="1" v="2995"/>
    </bk>
    <bk>
      <rc t="1" v="2996"/>
    </bk>
    <bk>
      <rc t="1" v="2997"/>
    </bk>
    <bk>
      <rc t="1" v="2998"/>
    </bk>
    <bk>
      <rc t="1" v="2999"/>
    </bk>
    <bk>
      <rc t="1" v="3000"/>
    </bk>
    <bk>
      <rc t="1" v="3001"/>
    </bk>
    <bk>
      <rc t="1" v="3002"/>
    </bk>
    <bk>
      <rc t="1" v="3003"/>
    </bk>
    <bk>
      <rc t="1" v="3004"/>
    </bk>
    <bk>
      <rc t="1" v="3005"/>
    </bk>
    <bk>
      <rc t="1" v="3006"/>
    </bk>
    <bk>
      <rc t="1" v="3007"/>
    </bk>
    <bk>
      <rc t="1" v="3008"/>
    </bk>
    <bk>
      <rc t="1" v="3009"/>
    </bk>
    <bk>
      <rc t="1" v="3010"/>
    </bk>
    <bk>
      <rc t="1" v="3011"/>
    </bk>
    <bk>
      <rc t="1" v="3012"/>
    </bk>
    <bk>
      <rc t="1" v="3013"/>
    </bk>
    <bk>
      <rc t="1" v="3014"/>
    </bk>
    <bk>
      <rc t="1" v="3015"/>
    </bk>
    <bk>
      <rc t="1" v="3016"/>
    </bk>
    <bk>
      <rc t="1" v="3017"/>
    </bk>
    <bk>
      <rc t="1" v="3018"/>
    </bk>
    <bk>
      <rc t="1" v="3019"/>
    </bk>
    <bk>
      <rc t="1" v="3020"/>
    </bk>
    <bk>
      <rc t="1" v="3021"/>
    </bk>
    <bk>
      <rc t="1" v="3022"/>
    </bk>
    <bk>
      <rc t="1" v="3023"/>
    </bk>
    <bk>
      <rc t="1" v="3024"/>
    </bk>
    <bk>
      <rc t="1" v="3025"/>
    </bk>
    <bk>
      <rc t="1" v="3026"/>
    </bk>
    <bk>
      <rc t="1" v="3027"/>
    </bk>
    <bk>
      <rc t="1" v="3028"/>
    </bk>
    <bk>
      <rc t="1" v="3029"/>
    </bk>
    <bk>
      <rc t="1" v="3030"/>
    </bk>
    <bk>
      <rc t="1" v="3031"/>
    </bk>
    <bk>
      <rc t="1" v="3032"/>
    </bk>
    <bk>
      <rc t="1" v="3033"/>
    </bk>
    <bk>
      <rc t="1" v="3034"/>
    </bk>
    <bk>
      <rc t="1" v="3035"/>
    </bk>
    <bk>
      <rc t="1" v="3036"/>
    </bk>
    <bk>
      <rc t="1" v="3037"/>
    </bk>
    <bk>
      <rc t="1" v="3038"/>
    </bk>
    <bk>
      <rc t="1" v="3039"/>
    </bk>
    <bk>
      <rc t="1" v="3040"/>
    </bk>
    <bk>
      <rc t="1" v="3041"/>
    </bk>
    <bk>
      <rc t="1" v="3042"/>
    </bk>
    <bk>
      <rc t="1" v="3043"/>
    </bk>
    <bk>
      <rc t="1" v="3044"/>
    </bk>
    <bk>
      <rc t="1" v="3045"/>
    </bk>
    <bk>
      <rc t="1" v="3046"/>
    </bk>
    <bk>
      <rc t="1" v="3047"/>
    </bk>
    <bk>
      <rc t="1" v="3048"/>
    </bk>
    <bk>
      <rc t="1" v="3049"/>
    </bk>
    <bk>
      <rc t="1" v="3050"/>
    </bk>
    <bk>
      <rc t="1" v="3051"/>
    </bk>
    <bk>
      <rc t="1" v="3052"/>
    </bk>
    <bk>
      <rc t="1" v="3053"/>
    </bk>
    <bk>
      <rc t="1" v="3054"/>
    </bk>
    <bk>
      <rc t="1" v="3055"/>
    </bk>
    <bk>
      <rc t="1" v="3056"/>
    </bk>
    <bk>
      <rc t="1" v="3057"/>
    </bk>
    <bk>
      <rc t="1" v="3058"/>
    </bk>
    <bk>
      <rc t="1" v="3059"/>
    </bk>
    <bk>
      <rc t="1" v="3060"/>
    </bk>
    <bk>
      <rc t="1" v="3061"/>
    </bk>
    <bk>
      <rc t="1" v="3062"/>
    </bk>
    <bk>
      <rc t="1" v="3063"/>
    </bk>
    <bk>
      <rc t="1" v="3064"/>
    </bk>
    <bk>
      <rc t="1" v="3065"/>
    </bk>
    <bk>
      <rc t="1" v="3066"/>
    </bk>
    <bk>
      <rc t="1" v="3067"/>
    </bk>
    <bk>
      <rc t="1" v="3068"/>
    </bk>
    <bk>
      <rc t="1" v="3069"/>
    </bk>
    <bk>
      <rc t="1" v="3070"/>
    </bk>
    <bk>
      <rc t="1" v="3071"/>
    </bk>
    <bk>
      <rc t="1" v="3072"/>
    </bk>
    <bk>
      <rc t="1" v="3073"/>
    </bk>
    <bk>
      <rc t="1" v="3074"/>
    </bk>
    <bk>
      <rc t="1" v="3075"/>
    </bk>
    <bk>
      <rc t="1" v="3076"/>
    </bk>
    <bk>
      <rc t="1" v="3077"/>
    </bk>
    <bk>
      <rc t="1" v="3078"/>
    </bk>
    <bk>
      <rc t="1" v="3079"/>
    </bk>
    <bk>
      <rc t="1" v="3080"/>
    </bk>
    <bk>
      <rc t="1" v="3081"/>
    </bk>
    <bk>
      <rc t="1" v="3082"/>
    </bk>
    <bk>
      <rc t="1" v="3083"/>
    </bk>
    <bk>
      <rc t="1" v="3084"/>
    </bk>
    <bk>
      <rc t="1" v="3085"/>
    </bk>
    <bk>
      <rc t="1" v="3086"/>
    </bk>
    <bk>
      <rc t="1" v="3087"/>
    </bk>
    <bk>
      <rc t="1" v="3088"/>
    </bk>
    <bk>
      <rc t="1" v="3089"/>
    </bk>
    <bk>
      <rc t="1" v="3090"/>
    </bk>
    <bk>
      <rc t="1" v="3091"/>
    </bk>
    <bk>
      <rc t="1" v="3092"/>
    </bk>
    <bk>
      <rc t="1" v="3093"/>
    </bk>
    <bk>
      <rc t="1" v="3094"/>
    </bk>
    <bk>
      <rc t="1" v="3095"/>
    </bk>
    <bk>
      <rc t="1" v="3096"/>
    </bk>
    <bk>
      <rc t="1" v="3097"/>
    </bk>
    <bk>
      <rc t="1" v="3098"/>
    </bk>
    <bk>
      <rc t="1" v="3099"/>
    </bk>
    <bk>
      <rc t="1" v="3100"/>
    </bk>
    <bk>
      <rc t="1" v="3101"/>
    </bk>
    <bk>
      <rc t="1" v="3102"/>
    </bk>
    <bk>
      <rc t="1" v="3103"/>
    </bk>
    <bk>
      <rc t="1" v="3104"/>
    </bk>
    <bk>
      <rc t="1" v="3105"/>
    </bk>
    <bk>
      <rc t="1" v="3106"/>
    </bk>
    <bk>
      <rc t="1" v="3107"/>
    </bk>
    <bk>
      <rc t="1" v="3108"/>
    </bk>
    <bk>
      <rc t="1" v="3109"/>
    </bk>
    <bk>
      <rc t="1" v="3110"/>
    </bk>
    <bk>
      <rc t="1" v="3111"/>
    </bk>
    <bk>
      <rc t="1" v="3112"/>
    </bk>
    <bk>
      <rc t="1" v="3113"/>
    </bk>
    <bk>
      <rc t="1" v="3114"/>
    </bk>
    <bk>
      <rc t="1" v="3115"/>
    </bk>
    <bk>
      <rc t="1" v="3116"/>
    </bk>
    <bk>
      <rc t="1" v="3117"/>
    </bk>
    <bk>
      <rc t="1" v="3118"/>
    </bk>
    <bk>
      <rc t="1" v="3119"/>
    </bk>
    <bk>
      <rc t="1" v="3120"/>
    </bk>
    <bk>
      <rc t="1" v="3121"/>
    </bk>
    <bk>
      <rc t="1" v="3122"/>
    </bk>
    <bk>
      <rc t="1" v="3123"/>
    </bk>
    <bk>
      <rc t="1" v="3124"/>
    </bk>
    <bk>
      <rc t="1" v="3125"/>
    </bk>
    <bk>
      <rc t="1" v="3126"/>
    </bk>
    <bk>
      <rc t="1" v="3127"/>
    </bk>
    <bk>
      <rc t="1" v="3128"/>
    </bk>
    <bk>
      <rc t="1" v="3129"/>
    </bk>
    <bk>
      <rc t="1" v="3130"/>
    </bk>
    <bk>
      <rc t="1" v="3131"/>
    </bk>
    <bk>
      <rc t="1" v="3132"/>
    </bk>
    <bk>
      <rc t="1" v="3133"/>
    </bk>
    <bk>
      <rc t="1" v="3134"/>
    </bk>
    <bk>
      <rc t="1" v="3135"/>
    </bk>
    <bk>
      <rc t="1" v="3136"/>
    </bk>
    <bk>
      <rc t="1" v="3137"/>
    </bk>
    <bk>
      <rc t="1" v="3138"/>
    </bk>
    <bk>
      <rc t="1" v="3139"/>
    </bk>
    <bk>
      <rc t="1" v="3140"/>
    </bk>
    <bk>
      <rc t="1" v="3141"/>
    </bk>
    <bk>
      <rc t="1" v="3142"/>
    </bk>
    <bk>
      <rc t="1" v="3143"/>
    </bk>
    <bk>
      <rc t="1" v="3144"/>
    </bk>
    <bk>
      <rc t="1" v="3145"/>
    </bk>
    <bk>
      <rc t="1" v="3146"/>
    </bk>
    <bk>
      <rc t="1" v="3147"/>
    </bk>
    <bk>
      <rc t="1" v="3148"/>
    </bk>
    <bk>
      <rc t="1" v="3149"/>
    </bk>
    <bk>
      <rc t="1" v="3150"/>
    </bk>
    <bk>
      <rc t="1" v="3151"/>
    </bk>
    <bk>
      <rc t="1" v="3152"/>
    </bk>
    <bk>
      <rc t="1" v="3153"/>
    </bk>
    <bk>
      <rc t="1" v="3154"/>
    </bk>
    <bk>
      <rc t="1" v="3155"/>
    </bk>
    <bk>
      <rc t="1" v="3156"/>
    </bk>
    <bk>
      <rc t="1" v="3157"/>
    </bk>
    <bk>
      <rc t="1" v="3158"/>
    </bk>
    <bk>
      <rc t="1" v="3159"/>
    </bk>
    <bk>
      <rc t="1" v="3160"/>
    </bk>
    <bk>
      <rc t="1" v="3161"/>
    </bk>
    <bk>
      <rc t="1" v="3162"/>
    </bk>
    <bk>
      <rc t="1" v="3163"/>
    </bk>
    <bk>
      <rc t="1" v="3164"/>
    </bk>
    <bk>
      <rc t="1" v="3165"/>
    </bk>
    <bk>
      <rc t="1" v="3166"/>
    </bk>
    <bk>
      <rc t="1" v="3167"/>
    </bk>
    <bk>
      <rc t="1" v="3168"/>
    </bk>
    <bk>
      <rc t="1" v="3169"/>
    </bk>
    <bk>
      <rc t="1" v="3170"/>
    </bk>
    <bk>
      <rc t="1" v="3171"/>
    </bk>
    <bk>
      <rc t="1" v="3172"/>
    </bk>
    <bk>
      <rc t="1" v="3173"/>
    </bk>
    <bk>
      <rc t="1" v="3174"/>
    </bk>
    <bk>
      <rc t="1" v="3175"/>
    </bk>
    <bk>
      <rc t="1" v="3176"/>
    </bk>
    <bk>
      <rc t="1" v="3177"/>
    </bk>
    <bk>
      <rc t="1" v="3178"/>
    </bk>
    <bk>
      <rc t="1" v="3179"/>
    </bk>
    <bk>
      <rc t="1" v="3180"/>
    </bk>
    <bk>
      <rc t="1" v="3181"/>
    </bk>
    <bk>
      <rc t="1" v="3182"/>
    </bk>
    <bk>
      <rc t="1" v="3183"/>
    </bk>
    <bk>
      <rc t="1" v="3184"/>
    </bk>
    <bk>
      <rc t="1" v="3185"/>
    </bk>
    <bk>
      <rc t="1" v="3186"/>
    </bk>
    <bk>
      <rc t="1" v="3187"/>
    </bk>
    <bk>
      <rc t="1" v="3188"/>
    </bk>
    <bk>
      <rc t="1" v="3189"/>
    </bk>
    <bk>
      <rc t="1" v="3190"/>
    </bk>
    <bk>
      <rc t="1" v="3191"/>
    </bk>
    <bk>
      <rc t="1" v="3192"/>
    </bk>
    <bk>
      <rc t="1" v="3193"/>
    </bk>
    <bk>
      <rc t="1" v="3194"/>
    </bk>
    <bk>
      <rc t="1" v="3195"/>
    </bk>
    <bk>
      <rc t="1" v="3196"/>
    </bk>
    <bk>
      <rc t="1" v="3197"/>
    </bk>
    <bk>
      <rc t="1" v="3198"/>
    </bk>
    <bk>
      <rc t="1" v="3199"/>
    </bk>
    <bk>
      <rc t="1" v="3200"/>
    </bk>
    <bk>
      <rc t="1" v="3201"/>
    </bk>
    <bk>
      <rc t="1" v="3202"/>
    </bk>
    <bk>
      <rc t="1" v="3203"/>
    </bk>
    <bk>
      <rc t="1" v="3204"/>
    </bk>
    <bk>
      <rc t="1" v="3205"/>
    </bk>
    <bk>
      <rc t="1" v="3206"/>
    </bk>
    <bk>
      <rc t="1" v="3207"/>
    </bk>
    <bk>
      <rc t="1" v="3208"/>
    </bk>
    <bk>
      <rc t="1" v="3209"/>
    </bk>
    <bk>
      <rc t="1" v="3210"/>
    </bk>
    <bk>
      <rc t="1" v="3211"/>
    </bk>
    <bk>
      <rc t="1" v="3212"/>
    </bk>
    <bk>
      <rc t="1" v="3213"/>
    </bk>
    <bk>
      <rc t="1" v="3214"/>
    </bk>
    <bk>
      <rc t="1" v="3215"/>
    </bk>
    <bk>
      <rc t="1" v="3216"/>
    </bk>
    <bk>
      <rc t="1" v="3217"/>
    </bk>
    <bk>
      <rc t="1" v="3218"/>
    </bk>
    <bk>
      <rc t="1" v="3219"/>
    </bk>
    <bk>
      <rc t="1" v="3220"/>
    </bk>
    <bk>
      <rc t="1" v="3221"/>
    </bk>
    <bk>
      <rc t="1" v="3222"/>
    </bk>
    <bk>
      <rc t="1" v="3223"/>
    </bk>
    <bk>
      <rc t="1" v="3224"/>
    </bk>
    <bk>
      <rc t="1" v="3225"/>
    </bk>
    <bk>
      <rc t="1" v="3226"/>
    </bk>
    <bk>
      <rc t="1" v="3227"/>
    </bk>
    <bk>
      <rc t="1" v="3228"/>
    </bk>
    <bk>
      <rc t="1" v="3229"/>
    </bk>
    <bk>
      <rc t="1" v="3230"/>
    </bk>
    <bk>
      <rc t="1" v="3231"/>
    </bk>
    <bk>
      <rc t="1" v="3232"/>
    </bk>
    <bk>
      <rc t="1" v="3233"/>
    </bk>
    <bk>
      <rc t="1" v="3234"/>
    </bk>
    <bk>
      <rc t="1" v="3235"/>
    </bk>
    <bk>
      <rc t="1" v="3236"/>
    </bk>
    <bk>
      <rc t="1" v="3237"/>
    </bk>
    <bk>
      <rc t="1" v="3238"/>
    </bk>
    <bk>
      <rc t="1" v="3239"/>
    </bk>
    <bk>
      <rc t="1" v="3240"/>
    </bk>
    <bk>
      <rc t="1" v="3241"/>
    </bk>
    <bk>
      <rc t="1" v="3242"/>
    </bk>
    <bk>
      <rc t="1" v="3243"/>
    </bk>
    <bk>
      <rc t="1" v="3244"/>
    </bk>
    <bk>
      <rc t="1" v="3245"/>
    </bk>
    <bk>
      <rc t="1" v="3246"/>
    </bk>
    <bk>
      <rc t="1" v="3247"/>
    </bk>
    <bk>
      <rc t="1" v="3248"/>
    </bk>
    <bk>
      <rc t="1" v="3249"/>
    </bk>
    <bk>
      <rc t="1" v="3250"/>
    </bk>
    <bk>
      <rc t="1" v="3251"/>
    </bk>
    <bk>
      <rc t="1" v="3252"/>
    </bk>
    <bk>
      <rc t="1" v="3253"/>
    </bk>
    <bk>
      <rc t="1" v="3254"/>
    </bk>
    <bk>
      <rc t="1" v="3255"/>
    </bk>
    <bk>
      <rc t="1" v="3256"/>
    </bk>
    <bk>
      <rc t="1" v="3257"/>
    </bk>
    <bk>
      <rc t="1" v="3258"/>
    </bk>
    <bk>
      <rc t="1" v="3259"/>
    </bk>
    <bk>
      <rc t="1" v="3260"/>
    </bk>
    <bk>
      <rc t="1" v="3261"/>
    </bk>
    <bk>
      <rc t="1" v="3262"/>
    </bk>
    <bk>
      <rc t="1" v="3263"/>
    </bk>
    <bk>
      <rc t="1" v="3264"/>
    </bk>
    <bk>
      <rc t="1" v="3265"/>
    </bk>
    <bk>
      <rc t="1" v="3266"/>
    </bk>
    <bk>
      <rc t="1" v="3267"/>
    </bk>
    <bk>
      <rc t="1" v="3268"/>
    </bk>
    <bk>
      <rc t="1" v="3269"/>
    </bk>
    <bk>
      <rc t="1" v="3270"/>
    </bk>
    <bk>
      <rc t="1" v="3271"/>
    </bk>
    <bk>
      <rc t="1" v="3272"/>
    </bk>
    <bk>
      <rc t="1" v="3273"/>
    </bk>
    <bk>
      <rc t="1" v="3274"/>
    </bk>
    <bk>
      <rc t="1" v="3275"/>
    </bk>
    <bk>
      <rc t="1" v="3276"/>
    </bk>
    <bk>
      <rc t="1" v="3277"/>
    </bk>
    <bk>
      <rc t="1" v="3278"/>
    </bk>
    <bk>
      <rc t="1" v="3279"/>
    </bk>
    <bk>
      <rc t="1" v="3280"/>
    </bk>
    <bk>
      <rc t="1" v="3281"/>
    </bk>
    <bk>
      <rc t="1" v="3282"/>
    </bk>
    <bk>
      <rc t="1" v="3283"/>
    </bk>
    <bk>
      <rc t="1" v="3284"/>
    </bk>
    <bk>
      <rc t="1" v="3285"/>
    </bk>
    <bk>
      <rc t="1" v="3286"/>
    </bk>
    <bk>
      <rc t="1" v="3287"/>
    </bk>
    <bk>
      <rc t="1" v="3288"/>
    </bk>
    <bk>
      <rc t="1" v="3289"/>
    </bk>
    <bk>
      <rc t="1" v="3290"/>
    </bk>
    <bk>
      <rc t="1" v="3291"/>
    </bk>
    <bk>
      <rc t="1" v="3292"/>
    </bk>
    <bk>
      <rc t="1" v="3293"/>
    </bk>
    <bk>
      <rc t="1" v="3294"/>
    </bk>
    <bk>
      <rc t="1" v="3295"/>
    </bk>
    <bk>
      <rc t="1" v="3296"/>
    </bk>
    <bk>
      <rc t="1" v="3297"/>
    </bk>
    <bk>
      <rc t="1" v="3298"/>
    </bk>
    <bk>
      <rc t="1" v="3299"/>
    </bk>
    <bk>
      <rc t="1" v="3300"/>
    </bk>
    <bk>
      <rc t="1" v="3301"/>
    </bk>
    <bk>
      <rc t="1" v="3302"/>
    </bk>
    <bk>
      <rc t="1" v="3303"/>
    </bk>
    <bk>
      <rc t="1" v="3304"/>
    </bk>
    <bk>
      <rc t="1" v="3305"/>
    </bk>
    <bk>
      <rc t="1" v="3306"/>
    </bk>
    <bk>
      <rc t="1" v="3307"/>
    </bk>
    <bk>
      <rc t="1" v="3308"/>
    </bk>
    <bk>
      <rc t="1" v="3309"/>
    </bk>
    <bk>
      <rc t="1" v="3310"/>
    </bk>
    <bk>
      <rc t="1" v="3311"/>
    </bk>
    <bk>
      <rc t="1" v="3312"/>
    </bk>
    <bk>
      <rc t="1" v="3313"/>
    </bk>
    <bk>
      <rc t="1" v="3314"/>
    </bk>
    <bk>
      <rc t="1" v="3315"/>
    </bk>
    <bk>
      <rc t="1" v="3316"/>
    </bk>
    <bk>
      <rc t="1" v="3317"/>
    </bk>
    <bk>
      <rc t="1" v="3318"/>
    </bk>
    <bk>
      <rc t="1" v="3319"/>
    </bk>
    <bk>
      <rc t="1" v="3320"/>
    </bk>
    <bk>
      <rc t="1" v="3321"/>
    </bk>
    <bk>
      <rc t="1" v="3322"/>
    </bk>
    <bk>
      <rc t="1" v="3323"/>
    </bk>
    <bk>
      <rc t="1" v="3324"/>
    </bk>
    <bk>
      <rc t="1" v="3325"/>
    </bk>
    <bk>
      <rc t="1" v="3326"/>
    </bk>
    <bk>
      <rc t="1" v="3327"/>
    </bk>
    <bk>
      <rc t="1" v="3328"/>
    </bk>
    <bk>
      <rc t="1" v="3329"/>
    </bk>
    <bk>
      <rc t="1" v="3330"/>
    </bk>
    <bk>
      <rc t="1" v="3331"/>
    </bk>
    <bk>
      <rc t="1" v="3332"/>
    </bk>
    <bk>
      <rc t="1" v="3333"/>
    </bk>
    <bk>
      <rc t="1" v="3334"/>
    </bk>
    <bk>
      <rc t="1" v="3335"/>
    </bk>
    <bk>
      <rc t="1" v="3336"/>
    </bk>
    <bk>
      <rc t="1" v="3337"/>
    </bk>
    <bk>
      <rc t="1" v="3338"/>
    </bk>
    <bk>
      <rc t="1" v="3339"/>
    </bk>
    <bk>
      <rc t="1" v="3340"/>
    </bk>
    <bk>
      <rc t="1" v="3341"/>
    </bk>
    <bk>
      <rc t="1" v="3342"/>
    </bk>
    <bk>
      <rc t="1" v="3343"/>
    </bk>
    <bk>
      <rc t="1" v="3344"/>
    </bk>
    <bk>
      <rc t="1" v="3345"/>
    </bk>
    <bk>
      <rc t="1" v="3346"/>
    </bk>
    <bk>
      <rc t="1" v="3347"/>
    </bk>
    <bk>
      <rc t="1" v="3348"/>
    </bk>
    <bk>
      <rc t="1" v="3349"/>
    </bk>
    <bk>
      <rc t="1" v="3350"/>
    </bk>
    <bk>
      <rc t="1" v="3351"/>
    </bk>
    <bk>
      <rc t="1" v="3352"/>
    </bk>
    <bk>
      <rc t="1" v="3353"/>
    </bk>
    <bk>
      <rc t="1" v="3354"/>
    </bk>
    <bk>
      <rc t="1" v="3355"/>
    </bk>
    <bk>
      <rc t="1" v="3356"/>
    </bk>
    <bk>
      <rc t="1" v="3357"/>
    </bk>
    <bk>
      <rc t="1" v="3358"/>
    </bk>
    <bk>
      <rc t="1" v="3359"/>
    </bk>
    <bk>
      <rc t="1" v="3360"/>
    </bk>
    <bk>
      <rc t="1" v="3361"/>
    </bk>
    <bk>
      <rc t="1" v="3362"/>
    </bk>
    <bk>
      <rc t="1" v="3363"/>
    </bk>
    <bk>
      <rc t="1" v="3364"/>
    </bk>
    <bk>
      <rc t="1" v="3365"/>
    </bk>
    <bk>
      <rc t="1" v="3366"/>
    </bk>
    <bk>
      <rc t="1" v="3367"/>
    </bk>
    <bk>
      <rc t="1" v="3368"/>
    </bk>
    <bk>
      <rc t="1" v="3369"/>
    </bk>
    <bk>
      <rc t="1" v="3370"/>
    </bk>
    <bk>
      <rc t="1" v="3371"/>
    </bk>
    <bk>
      <rc t="1" v="3372"/>
    </bk>
    <bk>
      <rc t="1" v="3373"/>
    </bk>
    <bk>
      <rc t="1" v="3374"/>
    </bk>
    <bk>
      <rc t="1" v="3375"/>
    </bk>
    <bk>
      <rc t="1" v="3376"/>
    </bk>
    <bk>
      <rc t="1" v="3377"/>
    </bk>
    <bk>
      <rc t="1" v="3378"/>
    </bk>
    <bk>
      <rc t="1" v="3379"/>
    </bk>
    <bk>
      <rc t="1" v="3380"/>
    </bk>
    <bk>
      <rc t="1" v="3381"/>
    </bk>
    <bk>
      <rc t="1" v="3382"/>
    </bk>
    <bk>
      <rc t="1" v="3383"/>
    </bk>
    <bk>
      <rc t="1" v="3384"/>
    </bk>
    <bk>
      <rc t="1" v="3385"/>
    </bk>
    <bk>
      <rc t="1" v="3386"/>
    </bk>
    <bk>
      <rc t="1" v="3387"/>
    </bk>
    <bk>
      <rc t="1" v="3388"/>
    </bk>
    <bk>
      <rc t="1" v="3389"/>
    </bk>
    <bk>
      <rc t="1" v="3390"/>
    </bk>
    <bk>
      <rc t="1" v="3391"/>
    </bk>
    <bk>
      <rc t="1" v="3392"/>
    </bk>
    <bk>
      <rc t="1" v="3393"/>
    </bk>
    <bk>
      <rc t="1" v="3394"/>
    </bk>
    <bk>
      <rc t="1" v="3395"/>
    </bk>
    <bk>
      <rc t="1" v="3396"/>
    </bk>
    <bk>
      <rc t="1" v="3397"/>
    </bk>
    <bk>
      <rc t="1" v="3398"/>
    </bk>
    <bk>
      <rc t="1" v="3399"/>
    </bk>
    <bk>
      <rc t="1" v="3400"/>
    </bk>
    <bk>
      <rc t="1" v="3401"/>
    </bk>
    <bk>
      <rc t="1" v="3402"/>
    </bk>
    <bk>
      <rc t="1" v="3403"/>
    </bk>
    <bk>
      <rc t="1" v="3404"/>
    </bk>
    <bk>
      <rc t="1" v="3405"/>
    </bk>
    <bk>
      <rc t="1" v="3406"/>
    </bk>
    <bk>
      <rc t="1" v="3407"/>
    </bk>
    <bk>
      <rc t="1" v="3408"/>
    </bk>
    <bk>
      <rc t="1" v="3409"/>
    </bk>
    <bk>
      <rc t="1" v="3410"/>
    </bk>
    <bk>
      <rc t="1" v="3411"/>
    </bk>
    <bk>
      <rc t="1" v="3412"/>
    </bk>
    <bk>
      <rc t="1" v="3413"/>
    </bk>
    <bk>
      <rc t="1" v="3414"/>
    </bk>
    <bk>
      <rc t="1" v="3415"/>
    </bk>
    <bk>
      <rc t="1" v="3416"/>
    </bk>
    <bk>
      <rc t="1" v="3417"/>
    </bk>
    <bk>
      <rc t="1" v="3418"/>
    </bk>
    <bk>
      <rc t="1" v="3419"/>
    </bk>
    <bk>
      <rc t="1" v="3420"/>
    </bk>
    <bk>
      <rc t="1" v="3421"/>
    </bk>
    <bk>
      <rc t="1" v="3422"/>
    </bk>
    <bk>
      <rc t="1" v="3423"/>
    </bk>
    <bk>
      <rc t="1" v="3424"/>
    </bk>
    <bk>
      <rc t="1" v="3425"/>
    </bk>
    <bk>
      <rc t="1" v="3426"/>
    </bk>
    <bk>
      <rc t="1" v="3427"/>
    </bk>
    <bk>
      <rc t="1" v="3428"/>
    </bk>
    <bk>
      <rc t="1" v="3429"/>
    </bk>
    <bk>
      <rc t="1" v="3430"/>
    </bk>
    <bk>
      <rc t="1" v="3431"/>
    </bk>
    <bk>
      <rc t="1" v="3432"/>
    </bk>
    <bk>
      <rc t="1" v="3433"/>
    </bk>
    <bk>
      <rc t="1" v="3434"/>
    </bk>
    <bk>
      <rc t="1" v="3435"/>
    </bk>
    <bk>
      <rc t="1" v="3436"/>
    </bk>
    <bk>
      <rc t="1" v="3437"/>
    </bk>
    <bk>
      <rc t="1" v="3438"/>
    </bk>
    <bk>
      <rc t="1" v="3439"/>
    </bk>
    <bk>
      <rc t="1" v="3440"/>
    </bk>
    <bk>
      <rc t="1" v="3441"/>
    </bk>
    <bk>
      <rc t="1" v="3442"/>
    </bk>
    <bk>
      <rc t="1" v="3443"/>
    </bk>
    <bk>
      <rc t="1" v="3444"/>
    </bk>
    <bk>
      <rc t="1" v="3445"/>
    </bk>
    <bk>
      <rc t="1" v="3446"/>
    </bk>
    <bk>
      <rc t="1" v="3447"/>
    </bk>
    <bk>
      <rc t="1" v="3448"/>
    </bk>
    <bk>
      <rc t="1" v="3449"/>
    </bk>
    <bk>
      <rc t="1" v="3450"/>
    </bk>
    <bk>
      <rc t="1" v="3451"/>
    </bk>
    <bk>
      <rc t="1" v="3452"/>
    </bk>
    <bk>
      <rc t="1" v="3453"/>
    </bk>
    <bk>
      <rc t="1" v="3454"/>
    </bk>
    <bk>
      <rc t="1" v="3455"/>
    </bk>
    <bk>
      <rc t="1" v="3456"/>
    </bk>
    <bk>
      <rc t="1" v="3457"/>
    </bk>
    <bk>
      <rc t="1" v="3458"/>
    </bk>
    <bk>
      <rc t="1" v="3459"/>
    </bk>
    <bk>
      <rc t="1" v="3460"/>
    </bk>
    <bk>
      <rc t="1" v="3461"/>
    </bk>
    <bk>
      <rc t="1" v="3462"/>
    </bk>
    <bk>
      <rc t="1" v="3463"/>
    </bk>
    <bk>
      <rc t="1" v="3464"/>
    </bk>
    <bk>
      <rc t="1" v="3465"/>
    </bk>
    <bk>
      <rc t="1" v="3466"/>
    </bk>
    <bk>
      <rc t="1" v="3467"/>
    </bk>
    <bk>
      <rc t="1" v="3468"/>
    </bk>
    <bk>
      <rc t="1" v="3469"/>
    </bk>
    <bk>
      <rc t="1" v="3470"/>
    </bk>
    <bk>
      <rc t="1" v="3471"/>
    </bk>
    <bk>
      <rc t="1" v="3472"/>
    </bk>
    <bk>
      <rc t="1" v="3473"/>
    </bk>
    <bk>
      <rc t="1" v="3474"/>
    </bk>
    <bk>
      <rc t="1" v="3475"/>
    </bk>
    <bk>
      <rc t="1" v="3476"/>
    </bk>
    <bk>
      <rc t="1" v="3477"/>
    </bk>
    <bk>
      <rc t="1" v="3478"/>
    </bk>
    <bk>
      <rc t="1" v="3479"/>
    </bk>
    <bk>
      <rc t="1" v="3480"/>
    </bk>
    <bk>
      <rc t="1" v="3481"/>
    </bk>
    <bk>
      <rc t="1" v="3482"/>
    </bk>
    <bk>
      <rc t="1" v="3483"/>
    </bk>
    <bk>
      <rc t="1" v="3484"/>
    </bk>
    <bk>
      <rc t="1" v="3485"/>
    </bk>
    <bk>
      <rc t="1" v="3486"/>
    </bk>
    <bk>
      <rc t="1" v="3487"/>
    </bk>
    <bk>
      <rc t="1" v="3488"/>
    </bk>
    <bk>
      <rc t="1" v="3489"/>
    </bk>
    <bk>
      <rc t="1" v="3490"/>
    </bk>
    <bk>
      <rc t="1" v="3491"/>
    </bk>
    <bk>
      <rc t="1" v="3492"/>
    </bk>
    <bk>
      <rc t="1" v="3493"/>
    </bk>
    <bk>
      <rc t="1" v="3494"/>
    </bk>
    <bk>
      <rc t="1" v="3495"/>
    </bk>
    <bk>
      <rc t="1" v="3496"/>
    </bk>
    <bk>
      <rc t="1" v="3497"/>
    </bk>
    <bk>
      <rc t="1" v="3498"/>
    </bk>
    <bk>
      <rc t="1" v="3499"/>
    </bk>
    <bk>
      <rc t="1" v="3500"/>
    </bk>
    <bk>
      <rc t="1" v="3501"/>
    </bk>
    <bk>
      <rc t="1" v="3502"/>
    </bk>
    <bk>
      <rc t="1" v="3503"/>
    </bk>
    <bk>
      <rc t="1" v="3504"/>
    </bk>
    <bk>
      <rc t="1" v="3505"/>
    </bk>
    <bk>
      <rc t="1" v="3506"/>
    </bk>
    <bk>
      <rc t="1" v="3507"/>
    </bk>
    <bk>
      <rc t="1" v="3508"/>
    </bk>
    <bk>
      <rc t="1" v="3509"/>
    </bk>
    <bk>
      <rc t="1" v="3510"/>
    </bk>
    <bk>
      <rc t="1" v="3511"/>
    </bk>
    <bk>
      <rc t="1" v="3512"/>
    </bk>
    <bk>
      <rc t="1" v="3513"/>
    </bk>
    <bk>
      <rc t="1" v="3514"/>
    </bk>
    <bk>
      <rc t="1" v="3515"/>
    </bk>
    <bk>
      <rc t="1" v="3516"/>
    </bk>
    <bk>
      <rc t="1" v="3517"/>
    </bk>
    <bk>
      <rc t="1" v="3518"/>
    </bk>
    <bk>
      <rc t="1" v="3519"/>
    </bk>
    <bk>
      <rc t="1" v="3520"/>
    </bk>
    <bk>
      <rc t="1" v="3521"/>
    </bk>
    <bk>
      <rc t="1" v="3522"/>
    </bk>
    <bk>
      <rc t="1" v="3523"/>
    </bk>
    <bk>
      <rc t="1" v="3524"/>
    </bk>
    <bk>
      <rc t="1" v="3525"/>
    </bk>
    <bk>
      <rc t="1" v="3526"/>
    </bk>
    <bk>
      <rc t="1" v="3527"/>
    </bk>
    <bk>
      <rc t="1" v="3528"/>
    </bk>
    <bk>
      <rc t="1" v="3529"/>
    </bk>
    <bk>
      <rc t="1" v="3530"/>
    </bk>
    <bk>
      <rc t="1" v="3531"/>
    </bk>
    <bk>
      <rc t="1" v="3532"/>
    </bk>
    <bk>
      <rc t="1" v="3533"/>
    </bk>
    <bk>
      <rc t="1" v="3534"/>
    </bk>
    <bk>
      <rc t="1" v="3535"/>
    </bk>
    <bk>
      <rc t="1" v="3536"/>
    </bk>
    <bk>
      <rc t="1" v="3537"/>
    </bk>
    <bk>
      <rc t="1" v="3538"/>
    </bk>
    <bk>
      <rc t="1" v="3539"/>
    </bk>
    <bk>
      <rc t="1" v="3540"/>
    </bk>
    <bk>
      <rc t="1" v="3541"/>
    </bk>
    <bk>
      <rc t="1" v="3542"/>
    </bk>
    <bk>
      <rc t="1" v="3543"/>
    </bk>
    <bk>
      <rc t="1" v="3544"/>
    </bk>
    <bk>
      <rc t="1" v="3545"/>
    </bk>
    <bk>
      <rc t="1" v="3546"/>
    </bk>
    <bk>
      <rc t="1" v="3547"/>
    </bk>
    <bk>
      <rc t="1" v="3548"/>
    </bk>
    <bk>
      <rc t="1" v="3549"/>
    </bk>
    <bk>
      <rc t="1" v="3550"/>
    </bk>
    <bk>
      <rc t="1" v="3551"/>
    </bk>
    <bk>
      <rc t="1" v="3552"/>
    </bk>
    <bk>
      <rc t="1" v="3553"/>
    </bk>
    <bk>
      <rc t="1" v="3554"/>
    </bk>
    <bk>
      <rc t="1" v="3555"/>
    </bk>
    <bk>
      <rc t="1" v="3556"/>
    </bk>
    <bk>
      <rc t="1" v="3557"/>
    </bk>
    <bk>
      <rc t="1" v="3558"/>
    </bk>
    <bk>
      <rc t="1" v="3559"/>
    </bk>
    <bk>
      <rc t="1" v="3560"/>
    </bk>
    <bk>
      <rc t="1" v="3561"/>
    </bk>
    <bk>
      <rc t="1" v="3562"/>
    </bk>
    <bk>
      <rc t="1" v="3563"/>
    </bk>
    <bk>
      <rc t="1" v="3564"/>
    </bk>
    <bk>
      <rc t="1" v="3565"/>
    </bk>
    <bk>
      <rc t="1" v="3566"/>
    </bk>
    <bk>
      <rc t="1" v="3567"/>
    </bk>
    <bk>
      <rc t="1" v="3568"/>
    </bk>
    <bk>
      <rc t="1" v="3569"/>
    </bk>
    <bk>
      <rc t="1" v="3570"/>
    </bk>
    <bk>
      <rc t="1" v="3571"/>
    </bk>
    <bk>
      <rc t="1" v="3572"/>
    </bk>
    <bk>
      <rc t="1" v="3573"/>
    </bk>
    <bk>
      <rc t="1" v="3574"/>
    </bk>
    <bk>
      <rc t="1" v="3575"/>
    </bk>
    <bk>
      <rc t="1" v="3576"/>
    </bk>
    <bk>
      <rc t="1" v="3577"/>
    </bk>
    <bk>
      <rc t="1" v="3578"/>
    </bk>
    <bk>
      <rc t="1" v="3579"/>
    </bk>
    <bk>
      <rc t="1" v="3580"/>
    </bk>
    <bk>
      <rc t="1" v="3581"/>
    </bk>
    <bk>
      <rc t="1" v="3582"/>
    </bk>
    <bk>
      <rc t="1" v="3583"/>
    </bk>
    <bk>
      <rc t="1" v="3584"/>
    </bk>
    <bk>
      <rc t="1" v="3585"/>
    </bk>
    <bk>
      <rc t="1" v="3586"/>
    </bk>
    <bk>
      <rc t="1" v="3587"/>
    </bk>
    <bk>
      <rc t="1" v="3588"/>
    </bk>
    <bk>
      <rc t="1" v="3589"/>
    </bk>
    <bk>
      <rc t="1" v="3590"/>
    </bk>
    <bk>
      <rc t="1" v="3591"/>
    </bk>
    <bk>
      <rc t="1" v="3592"/>
    </bk>
    <bk>
      <rc t="1" v="3593"/>
    </bk>
    <bk>
      <rc t="1" v="3594"/>
    </bk>
    <bk>
      <rc t="1" v="3595"/>
    </bk>
    <bk>
      <rc t="1" v="3596"/>
    </bk>
    <bk>
      <rc t="1" v="3597"/>
    </bk>
    <bk>
      <rc t="1" v="3598"/>
    </bk>
    <bk>
      <rc t="1" v="3599"/>
    </bk>
    <bk>
      <rc t="1" v="3600"/>
    </bk>
    <bk>
      <rc t="1" v="3601"/>
    </bk>
    <bk>
      <rc t="1" v="3602"/>
    </bk>
    <bk>
      <rc t="1" v="3603"/>
    </bk>
    <bk>
      <rc t="1" v="3604"/>
    </bk>
    <bk>
      <rc t="1" v="3605"/>
    </bk>
    <bk>
      <rc t="1" v="3606"/>
    </bk>
    <bk>
      <rc t="1" v="3607"/>
    </bk>
    <bk>
      <rc t="1" v="3608"/>
    </bk>
    <bk>
      <rc t="1" v="3609"/>
    </bk>
    <bk>
      <rc t="1" v="3610"/>
    </bk>
    <bk>
      <rc t="1" v="3611"/>
    </bk>
    <bk>
      <rc t="1" v="3612"/>
    </bk>
    <bk>
      <rc t="1" v="3613"/>
    </bk>
    <bk>
      <rc t="1" v="3614"/>
    </bk>
    <bk>
      <rc t="1" v="3615"/>
    </bk>
    <bk>
      <rc t="1" v="3616"/>
    </bk>
    <bk>
      <rc t="1" v="3617"/>
    </bk>
    <bk>
      <rc t="1" v="3618"/>
    </bk>
    <bk>
      <rc t="1" v="3619"/>
    </bk>
    <bk>
      <rc t="1" v="3620"/>
    </bk>
    <bk>
      <rc t="1" v="3621"/>
    </bk>
    <bk>
      <rc t="1" v="3622"/>
    </bk>
    <bk>
      <rc t="1" v="3623"/>
    </bk>
    <bk>
      <rc t="1" v="3624"/>
    </bk>
    <bk>
      <rc t="1" v="3625"/>
    </bk>
    <bk>
      <rc t="1" v="3626"/>
    </bk>
    <bk>
      <rc t="1" v="3627"/>
    </bk>
    <bk>
      <rc t="1" v="3628"/>
    </bk>
    <bk>
      <rc t="1" v="3629"/>
    </bk>
    <bk>
      <rc t="1" v="3630"/>
    </bk>
    <bk>
      <rc t="1" v="3631"/>
    </bk>
    <bk>
      <rc t="1" v="3632"/>
    </bk>
    <bk>
      <rc t="1" v="3633"/>
    </bk>
    <bk>
      <rc t="1" v="3634"/>
    </bk>
    <bk>
      <rc t="1" v="3635"/>
    </bk>
    <bk>
      <rc t="1" v="3636"/>
    </bk>
    <bk>
      <rc t="1" v="3637"/>
    </bk>
    <bk>
      <rc t="1" v="3638"/>
    </bk>
    <bk>
      <rc t="1" v="3639"/>
    </bk>
    <bk>
      <rc t="1" v="3640"/>
    </bk>
    <bk>
      <rc t="1" v="3641"/>
    </bk>
    <bk>
      <rc t="1" v="3642"/>
    </bk>
    <bk>
      <rc t="1" v="3643"/>
    </bk>
    <bk>
      <rc t="1" v="3644"/>
    </bk>
    <bk>
      <rc t="1" v="3645"/>
    </bk>
    <bk>
      <rc t="1" v="3646"/>
    </bk>
    <bk>
      <rc t="1" v="3647"/>
    </bk>
    <bk>
      <rc t="1" v="3648"/>
    </bk>
    <bk>
      <rc t="1" v="3649"/>
    </bk>
    <bk>
      <rc t="1" v="3650"/>
    </bk>
    <bk>
      <rc t="1" v="3651"/>
    </bk>
    <bk>
      <rc t="1" v="3652"/>
    </bk>
    <bk>
      <rc t="1" v="3653"/>
    </bk>
    <bk>
      <rc t="1" v="3654"/>
    </bk>
    <bk>
      <rc t="1" v="3655"/>
    </bk>
    <bk>
      <rc t="1" v="3656"/>
    </bk>
    <bk>
      <rc t="1" v="3657"/>
    </bk>
    <bk>
      <rc t="1" v="3658"/>
    </bk>
    <bk>
      <rc t="1" v="3659"/>
    </bk>
    <bk>
      <rc t="1" v="3660"/>
    </bk>
    <bk>
      <rc t="1" v="3661"/>
    </bk>
    <bk>
      <rc t="1" v="3662"/>
    </bk>
    <bk>
      <rc t="1" v="3663"/>
    </bk>
    <bk>
      <rc t="1" v="3664"/>
    </bk>
    <bk>
      <rc t="1" v="3665"/>
    </bk>
    <bk>
      <rc t="1" v="3666"/>
    </bk>
    <bk>
      <rc t="1" v="3667"/>
    </bk>
    <bk>
      <rc t="1" v="3668"/>
    </bk>
    <bk>
      <rc t="1" v="3669"/>
    </bk>
    <bk>
      <rc t="1" v="3670"/>
    </bk>
    <bk>
      <rc t="1" v="3671"/>
    </bk>
    <bk>
      <rc t="1" v="3672"/>
    </bk>
    <bk>
      <rc t="1" v="3673"/>
    </bk>
    <bk>
      <rc t="1" v="3674"/>
    </bk>
    <bk>
      <rc t="1" v="3675"/>
    </bk>
    <bk>
      <rc t="1" v="3676"/>
    </bk>
    <bk>
      <rc t="1" v="3677"/>
    </bk>
    <bk>
      <rc t="1" v="3678"/>
    </bk>
    <bk>
      <rc t="1" v="3679"/>
    </bk>
    <bk>
      <rc t="1" v="3680"/>
    </bk>
    <bk>
      <rc t="1" v="3681"/>
    </bk>
    <bk>
      <rc t="1" v="3682"/>
    </bk>
    <bk>
      <rc t="1" v="3683"/>
    </bk>
    <bk>
      <rc t="1" v="3684"/>
    </bk>
    <bk>
      <rc t="1" v="3685"/>
    </bk>
    <bk>
      <rc t="1" v="3686"/>
    </bk>
    <bk>
      <rc t="1" v="3687"/>
    </bk>
    <bk>
      <rc t="1" v="3688"/>
    </bk>
    <bk>
      <rc t="1" v="3689"/>
    </bk>
    <bk>
      <rc t="1" v="3690"/>
    </bk>
    <bk>
      <rc t="1" v="3691"/>
    </bk>
    <bk>
      <rc t="1" v="3692"/>
    </bk>
    <bk>
      <rc t="1" v="3693"/>
    </bk>
    <bk>
      <rc t="1" v="3694"/>
    </bk>
    <bk>
      <rc t="1" v="3695"/>
    </bk>
    <bk>
      <rc t="1" v="3696"/>
    </bk>
    <bk>
      <rc t="1" v="3697"/>
    </bk>
    <bk>
      <rc t="1" v="3698"/>
    </bk>
    <bk>
      <rc t="1" v="3699"/>
    </bk>
    <bk>
      <rc t="1" v="3700"/>
    </bk>
    <bk>
      <rc t="1" v="3701"/>
    </bk>
    <bk>
      <rc t="1" v="3702"/>
    </bk>
    <bk>
      <rc t="1" v="3703"/>
    </bk>
    <bk>
      <rc t="1" v="3704"/>
    </bk>
    <bk>
      <rc t="1" v="3705"/>
    </bk>
    <bk>
      <rc t="1" v="3706"/>
    </bk>
    <bk>
      <rc t="1" v="3707"/>
    </bk>
    <bk>
      <rc t="1" v="3708"/>
    </bk>
    <bk>
      <rc t="1" v="3709"/>
    </bk>
    <bk>
      <rc t="1" v="3710"/>
    </bk>
    <bk>
      <rc t="1" v="3711"/>
    </bk>
    <bk>
      <rc t="1" v="3712"/>
    </bk>
    <bk>
      <rc t="1" v="3713"/>
    </bk>
    <bk>
      <rc t="1" v="3714"/>
    </bk>
    <bk>
      <rc t="1" v="3715"/>
    </bk>
    <bk>
      <rc t="1" v="3716"/>
    </bk>
    <bk>
      <rc t="1" v="3717"/>
    </bk>
    <bk>
      <rc t="1" v="3718"/>
    </bk>
    <bk>
      <rc t="1" v="3719"/>
    </bk>
    <bk>
      <rc t="1" v="3720"/>
    </bk>
    <bk>
      <rc t="1" v="3721"/>
    </bk>
    <bk>
      <rc t="1" v="3722"/>
    </bk>
    <bk>
      <rc t="1" v="3723"/>
    </bk>
    <bk>
      <rc t="1" v="3724"/>
    </bk>
    <bk>
      <rc t="1" v="3725"/>
    </bk>
    <bk>
      <rc t="1" v="3726"/>
    </bk>
    <bk>
      <rc t="1" v="3727"/>
    </bk>
    <bk>
      <rc t="1" v="3728"/>
    </bk>
    <bk>
      <rc t="1" v="3729"/>
    </bk>
    <bk>
      <rc t="1" v="3730"/>
    </bk>
    <bk>
      <rc t="1" v="3731"/>
    </bk>
    <bk>
      <rc t="1" v="3732"/>
    </bk>
    <bk>
      <rc t="1" v="3733"/>
    </bk>
    <bk>
      <rc t="1" v="3734"/>
    </bk>
    <bk>
      <rc t="1" v="3735"/>
    </bk>
    <bk>
      <rc t="1" v="3736"/>
    </bk>
    <bk>
      <rc t="1" v="3737"/>
    </bk>
    <bk>
      <rc t="1" v="3738"/>
    </bk>
    <bk>
      <rc t="1" v="3739"/>
    </bk>
    <bk>
      <rc t="1" v="3740"/>
    </bk>
    <bk>
      <rc t="1" v="3741"/>
    </bk>
    <bk>
      <rc t="1" v="3742"/>
    </bk>
    <bk>
      <rc t="1" v="3743"/>
    </bk>
    <bk>
      <rc t="1" v="3744"/>
    </bk>
    <bk>
      <rc t="1" v="3745"/>
    </bk>
    <bk>
      <rc t="1" v="3746"/>
    </bk>
    <bk>
      <rc t="1" v="3747"/>
    </bk>
    <bk>
      <rc t="1" v="3748"/>
    </bk>
    <bk>
      <rc t="1" v="3749"/>
    </bk>
    <bk>
      <rc t="1" v="3750"/>
    </bk>
    <bk>
      <rc t="1" v="3751"/>
    </bk>
    <bk>
      <rc t="1" v="3752"/>
    </bk>
    <bk>
      <rc t="1" v="3753"/>
    </bk>
    <bk>
      <rc t="1" v="3754"/>
    </bk>
    <bk>
      <rc t="1" v="3755"/>
    </bk>
    <bk>
      <rc t="1" v="3756"/>
    </bk>
    <bk>
      <rc t="1" v="3757"/>
    </bk>
    <bk>
      <rc t="1" v="3758"/>
    </bk>
    <bk>
      <rc t="1" v="3759"/>
    </bk>
    <bk>
      <rc t="1" v="3760"/>
    </bk>
    <bk>
      <rc t="1" v="3761"/>
    </bk>
    <bk>
      <rc t="1" v="3762"/>
    </bk>
    <bk>
      <rc t="1" v="3763"/>
    </bk>
    <bk>
      <rc t="1" v="3764"/>
    </bk>
    <bk>
      <rc t="1" v="3765"/>
    </bk>
    <bk>
      <rc t="1" v="3766"/>
    </bk>
    <bk>
      <rc t="1" v="3767"/>
    </bk>
    <bk>
      <rc t="1" v="3768"/>
    </bk>
    <bk>
      <rc t="1" v="3769"/>
    </bk>
    <bk>
      <rc t="1" v="3770"/>
    </bk>
    <bk>
      <rc t="1" v="3771"/>
    </bk>
    <bk>
      <rc t="1" v="3772"/>
    </bk>
    <bk>
      <rc t="1" v="3773"/>
    </bk>
    <bk>
      <rc t="1" v="3774"/>
    </bk>
    <bk>
      <rc t="1" v="3775"/>
    </bk>
    <bk>
      <rc t="1" v="3776"/>
    </bk>
    <bk>
      <rc t="1" v="3777"/>
    </bk>
    <bk>
      <rc t="1" v="3778"/>
    </bk>
    <bk>
      <rc t="1" v="3779"/>
    </bk>
    <bk>
      <rc t="1" v="3780"/>
    </bk>
    <bk>
      <rc t="1" v="3781"/>
    </bk>
    <bk>
      <rc t="1" v="3782"/>
    </bk>
    <bk>
      <rc t="1" v="3783"/>
    </bk>
    <bk>
      <rc t="1" v="3784"/>
    </bk>
    <bk>
      <rc t="1" v="3785"/>
    </bk>
    <bk>
      <rc t="1" v="3786"/>
    </bk>
    <bk>
      <rc t="1" v="3787"/>
    </bk>
    <bk>
      <rc t="1" v="3788"/>
    </bk>
    <bk>
      <rc t="1" v="3789"/>
    </bk>
    <bk>
      <rc t="1" v="3790"/>
    </bk>
    <bk>
      <rc t="1" v="3791"/>
    </bk>
    <bk>
      <rc t="1" v="3792"/>
    </bk>
    <bk>
      <rc t="1" v="3793"/>
    </bk>
    <bk>
      <rc t="1" v="3794"/>
    </bk>
    <bk>
      <rc t="1" v="3795"/>
    </bk>
    <bk>
      <rc t="1" v="3796"/>
    </bk>
    <bk>
      <rc t="1" v="3797"/>
    </bk>
    <bk>
      <rc t="1" v="3798"/>
    </bk>
    <bk>
      <rc t="1" v="3799"/>
    </bk>
    <bk>
      <rc t="1" v="3800"/>
    </bk>
    <bk>
      <rc t="1" v="3801"/>
    </bk>
    <bk>
      <rc t="1" v="3802"/>
    </bk>
    <bk>
      <rc t="1" v="3803"/>
    </bk>
    <bk>
      <rc t="1" v="3804"/>
    </bk>
    <bk>
      <rc t="1" v="3805"/>
    </bk>
    <bk>
      <rc t="1" v="3806"/>
    </bk>
    <bk>
      <rc t="1" v="3807"/>
    </bk>
    <bk>
      <rc t="1" v="3808"/>
    </bk>
    <bk>
      <rc t="1" v="3809"/>
    </bk>
    <bk>
      <rc t="1" v="3810"/>
    </bk>
    <bk>
      <rc t="1" v="3811"/>
    </bk>
    <bk>
      <rc t="1" v="3812"/>
    </bk>
    <bk>
      <rc t="1" v="3813"/>
    </bk>
    <bk>
      <rc t="1" v="3814"/>
    </bk>
    <bk>
      <rc t="1" v="3815"/>
    </bk>
    <bk>
      <rc t="1" v="3816"/>
    </bk>
    <bk>
      <rc t="1" v="3817"/>
    </bk>
    <bk>
      <rc t="1" v="3818"/>
    </bk>
    <bk>
      <rc t="1" v="3819"/>
    </bk>
    <bk>
      <rc t="1" v="3820"/>
    </bk>
    <bk>
      <rc t="1" v="3821"/>
    </bk>
    <bk>
      <rc t="1" v="3822"/>
    </bk>
    <bk>
      <rc t="1" v="3823"/>
    </bk>
    <bk>
      <rc t="1" v="3824"/>
    </bk>
    <bk>
      <rc t="1" v="3825"/>
    </bk>
    <bk>
      <rc t="1" v="3826"/>
    </bk>
    <bk>
      <rc t="1" v="3827"/>
    </bk>
    <bk>
      <rc t="1" v="3828"/>
    </bk>
    <bk>
      <rc t="1" v="3829"/>
    </bk>
    <bk>
      <rc t="1" v="3830"/>
    </bk>
    <bk>
      <rc t="1" v="3831"/>
    </bk>
    <bk>
      <rc t="1" v="3832"/>
    </bk>
    <bk>
      <rc t="1" v="3833"/>
    </bk>
    <bk>
      <rc t="1" v="3834"/>
    </bk>
    <bk>
      <rc t="1" v="3835"/>
    </bk>
    <bk>
      <rc t="1" v="3836"/>
    </bk>
    <bk>
      <rc t="1" v="3837"/>
    </bk>
    <bk>
      <rc t="1" v="3838"/>
    </bk>
    <bk>
      <rc t="1" v="3839"/>
    </bk>
    <bk>
      <rc t="1" v="3840"/>
    </bk>
    <bk>
      <rc t="1" v="3841"/>
    </bk>
    <bk>
      <rc t="1" v="3842"/>
    </bk>
    <bk>
      <rc t="1" v="3843"/>
    </bk>
    <bk>
      <rc t="1" v="3844"/>
    </bk>
    <bk>
      <rc t="1" v="3845"/>
    </bk>
    <bk>
      <rc t="1" v="3846"/>
    </bk>
    <bk>
      <rc t="1" v="3847"/>
    </bk>
    <bk>
      <rc t="1" v="3848"/>
    </bk>
    <bk>
      <rc t="1" v="3849"/>
    </bk>
    <bk>
      <rc t="1" v="3850"/>
    </bk>
    <bk>
      <rc t="1" v="3851"/>
    </bk>
    <bk>
      <rc t="1" v="3852"/>
    </bk>
    <bk>
      <rc t="1" v="3853"/>
    </bk>
    <bk>
      <rc t="1" v="3854"/>
    </bk>
    <bk>
      <rc t="1" v="3855"/>
    </bk>
    <bk>
      <rc t="1" v="3856"/>
    </bk>
    <bk>
      <rc t="1" v="3857"/>
    </bk>
    <bk>
      <rc t="1" v="3858"/>
    </bk>
    <bk>
      <rc t="1" v="3859"/>
    </bk>
    <bk>
      <rc t="1" v="3860"/>
    </bk>
    <bk>
      <rc t="1" v="3861"/>
    </bk>
    <bk>
      <rc t="1" v="3862"/>
    </bk>
    <bk>
      <rc t="1" v="3863"/>
    </bk>
    <bk>
      <rc t="1" v="3864"/>
    </bk>
    <bk>
      <rc t="1" v="3865"/>
    </bk>
    <bk>
      <rc t="1" v="3866"/>
    </bk>
    <bk>
      <rc t="1" v="3867"/>
    </bk>
    <bk>
      <rc t="1" v="3868"/>
    </bk>
    <bk>
      <rc t="1" v="3869"/>
    </bk>
    <bk>
      <rc t="1" v="3870"/>
    </bk>
    <bk>
      <rc t="1" v="3871"/>
    </bk>
    <bk>
      <rc t="1" v="3872"/>
    </bk>
    <bk>
      <rc t="1" v="3873"/>
    </bk>
    <bk>
      <rc t="1" v="3874"/>
    </bk>
    <bk>
      <rc t="1" v="3875"/>
    </bk>
    <bk>
      <rc t="1" v="3876"/>
    </bk>
    <bk>
      <rc t="1" v="3877"/>
    </bk>
    <bk>
      <rc t="1" v="3878"/>
    </bk>
    <bk>
      <rc t="1" v="3879"/>
    </bk>
    <bk>
      <rc t="1" v="3880"/>
    </bk>
    <bk>
      <rc t="1" v="3881"/>
    </bk>
    <bk>
      <rc t="1" v="3882"/>
    </bk>
    <bk>
      <rc t="1" v="3883"/>
    </bk>
    <bk>
      <rc t="1" v="3884"/>
    </bk>
    <bk>
      <rc t="1" v="3885"/>
    </bk>
    <bk>
      <rc t="1" v="3886"/>
    </bk>
    <bk>
      <rc t="1" v="3887"/>
    </bk>
    <bk>
      <rc t="1" v="3888"/>
    </bk>
    <bk>
      <rc t="1" v="3889"/>
    </bk>
    <bk>
      <rc t="1" v="3890"/>
    </bk>
    <bk>
      <rc t="1" v="3891"/>
    </bk>
    <bk>
      <rc t="1" v="3892"/>
    </bk>
    <bk>
      <rc t="1" v="3893"/>
    </bk>
    <bk>
      <rc t="1" v="3894"/>
    </bk>
    <bk>
      <rc t="1" v="3895"/>
    </bk>
    <bk>
      <rc t="1" v="3896"/>
    </bk>
    <bk>
      <rc t="1" v="3897"/>
    </bk>
    <bk>
      <rc t="1" v="3898"/>
    </bk>
    <bk>
      <rc t="1" v="3899"/>
    </bk>
    <bk>
      <rc t="1" v="3900"/>
    </bk>
    <bk>
      <rc t="1" v="3901"/>
    </bk>
    <bk>
      <rc t="1" v="3902"/>
    </bk>
    <bk>
      <rc t="1" v="3903"/>
    </bk>
    <bk>
      <rc t="1" v="3904"/>
    </bk>
    <bk>
      <rc t="1" v="3905"/>
    </bk>
    <bk>
      <rc t="1" v="3906"/>
    </bk>
    <bk>
      <rc t="1" v="3907"/>
    </bk>
    <bk>
      <rc t="1" v="3908"/>
    </bk>
    <bk>
      <rc t="1" v="3909"/>
    </bk>
    <bk>
      <rc t="1" v="3910"/>
    </bk>
    <bk>
      <rc t="1" v="3911"/>
    </bk>
    <bk>
      <rc t="1" v="3912"/>
    </bk>
    <bk>
      <rc t="1" v="3913"/>
    </bk>
    <bk>
      <rc t="1" v="3914"/>
    </bk>
    <bk>
      <rc t="1" v="3915"/>
    </bk>
    <bk>
      <rc t="1" v="3916"/>
    </bk>
    <bk>
      <rc t="1" v="3917"/>
    </bk>
    <bk>
      <rc t="1" v="3918"/>
    </bk>
    <bk>
      <rc t="1" v="3919"/>
    </bk>
    <bk>
      <rc t="1" v="3920"/>
    </bk>
    <bk>
      <rc t="1" v="3921"/>
    </bk>
    <bk>
      <rc t="1" v="3922"/>
    </bk>
    <bk>
      <rc t="1" v="3923"/>
    </bk>
    <bk>
      <rc t="1" v="3924"/>
    </bk>
    <bk>
      <rc t="1" v="3925"/>
    </bk>
    <bk>
      <rc t="1" v="3926"/>
    </bk>
    <bk>
      <rc t="1" v="3927"/>
    </bk>
    <bk>
      <rc t="1" v="3928"/>
    </bk>
    <bk>
      <rc t="1" v="3929"/>
    </bk>
    <bk>
      <rc t="1" v="3930"/>
    </bk>
    <bk>
      <rc t="1" v="3931"/>
    </bk>
    <bk>
      <rc t="1" v="3932"/>
    </bk>
    <bk>
      <rc t="1" v="3933"/>
    </bk>
    <bk>
      <rc t="1" v="3934"/>
    </bk>
    <bk>
      <rc t="1" v="3935"/>
    </bk>
    <bk>
      <rc t="1" v="3936"/>
    </bk>
    <bk>
      <rc t="1" v="3937"/>
    </bk>
    <bk>
      <rc t="1" v="3938"/>
    </bk>
    <bk>
      <rc t="1" v="3939"/>
    </bk>
    <bk>
      <rc t="1" v="3940"/>
    </bk>
    <bk>
      <rc t="1" v="3941"/>
    </bk>
    <bk>
      <rc t="1" v="3942"/>
    </bk>
    <bk>
      <rc t="1" v="3943"/>
    </bk>
    <bk>
      <rc t="1" v="3944"/>
    </bk>
    <bk>
      <rc t="1" v="3945"/>
    </bk>
    <bk>
      <rc t="1" v="3946"/>
    </bk>
    <bk>
      <rc t="1" v="3947"/>
    </bk>
    <bk>
      <rc t="1" v="3948"/>
    </bk>
    <bk>
      <rc t="1" v="3949"/>
    </bk>
    <bk>
      <rc t="1" v="3950"/>
    </bk>
    <bk>
      <rc t="1" v="3951"/>
    </bk>
    <bk>
      <rc t="1" v="3952"/>
    </bk>
    <bk>
      <rc t="1" v="3953"/>
    </bk>
    <bk>
      <rc t="1" v="3954"/>
    </bk>
    <bk>
      <rc t="1" v="3955"/>
    </bk>
    <bk>
      <rc t="1" v="3956"/>
    </bk>
    <bk>
      <rc t="1" v="3957"/>
    </bk>
    <bk>
      <rc t="1" v="3958"/>
    </bk>
    <bk>
      <rc t="1" v="3959"/>
    </bk>
    <bk>
      <rc t="1" v="3960"/>
    </bk>
    <bk>
      <rc t="1" v="3961"/>
    </bk>
    <bk>
      <rc t="1" v="3962"/>
    </bk>
    <bk>
      <rc t="1" v="3963"/>
    </bk>
    <bk>
      <rc t="1" v="3964"/>
    </bk>
    <bk>
      <rc t="1" v="3965"/>
    </bk>
    <bk>
      <rc t="1" v="3966"/>
    </bk>
    <bk>
      <rc t="1" v="3967"/>
    </bk>
    <bk>
      <rc t="1" v="3968"/>
    </bk>
    <bk>
      <rc t="1" v="3969"/>
    </bk>
    <bk>
      <rc t="1" v="3970"/>
    </bk>
    <bk>
      <rc t="1" v="3971"/>
    </bk>
    <bk>
      <rc t="1" v="3972"/>
    </bk>
    <bk>
      <rc t="1" v="3973"/>
    </bk>
    <bk>
      <rc t="1" v="3974"/>
    </bk>
    <bk>
      <rc t="1" v="3975"/>
    </bk>
    <bk>
      <rc t="1" v="3976"/>
    </bk>
    <bk>
      <rc t="1" v="3977"/>
    </bk>
    <bk>
      <rc t="1" v="3978"/>
    </bk>
    <bk>
      <rc t="1" v="3979"/>
    </bk>
    <bk>
      <rc t="1" v="3980"/>
    </bk>
    <bk>
      <rc t="1" v="3981"/>
    </bk>
    <bk>
      <rc t="1" v="3982"/>
    </bk>
    <bk>
      <rc t="1" v="3983"/>
    </bk>
    <bk>
      <rc t="1" v="3984"/>
    </bk>
    <bk>
      <rc t="1" v="3985"/>
    </bk>
    <bk>
      <rc t="1" v="3986"/>
    </bk>
    <bk>
      <rc t="1" v="3987"/>
    </bk>
    <bk>
      <rc t="1" v="3988"/>
    </bk>
    <bk>
      <rc t="1" v="3989"/>
    </bk>
    <bk>
      <rc t="1" v="3990"/>
    </bk>
    <bk>
      <rc t="1" v="3991"/>
    </bk>
    <bk>
      <rc t="1" v="3992"/>
    </bk>
    <bk>
      <rc t="1" v="3993"/>
    </bk>
    <bk>
      <rc t="1" v="3994"/>
    </bk>
    <bk>
      <rc t="1" v="3995"/>
    </bk>
    <bk>
      <rc t="1" v="3996"/>
    </bk>
    <bk>
      <rc t="1" v="3997"/>
    </bk>
    <bk>
      <rc t="1" v="3998"/>
    </bk>
    <bk>
      <rc t="1" v="3999"/>
    </bk>
    <bk>
      <rc t="1" v="4000"/>
    </bk>
    <bk>
      <rc t="1" v="4001"/>
    </bk>
    <bk>
      <rc t="1" v="4002"/>
    </bk>
    <bk>
      <rc t="1" v="4003"/>
    </bk>
    <bk>
      <rc t="1" v="4004"/>
    </bk>
    <bk>
      <rc t="1" v="4005"/>
    </bk>
    <bk>
      <rc t="1" v="4006"/>
    </bk>
    <bk>
      <rc t="1" v="4007"/>
    </bk>
    <bk>
      <rc t="1" v="4008"/>
    </bk>
    <bk>
      <rc t="1" v="4009"/>
    </bk>
    <bk>
      <rc t="1" v="4010"/>
    </bk>
    <bk>
      <rc t="1" v="4011"/>
    </bk>
    <bk>
      <rc t="1" v="4012"/>
    </bk>
    <bk>
      <rc t="1" v="4013"/>
    </bk>
    <bk>
      <rc t="1" v="4014"/>
    </bk>
    <bk>
      <rc t="1" v="4015"/>
    </bk>
    <bk>
      <rc t="1" v="4016"/>
    </bk>
    <bk>
      <rc t="1" v="4017"/>
    </bk>
    <bk>
      <rc t="1" v="4018"/>
    </bk>
    <bk>
      <rc t="1" v="4019"/>
    </bk>
    <bk>
      <rc t="1" v="4020"/>
    </bk>
    <bk>
      <rc t="1" v="4021"/>
    </bk>
    <bk>
      <rc t="1" v="4022"/>
    </bk>
    <bk>
      <rc t="1" v="4023"/>
    </bk>
    <bk>
      <rc t="1" v="4024"/>
    </bk>
    <bk>
      <rc t="1" v="4025"/>
    </bk>
    <bk>
      <rc t="1" v="4026"/>
    </bk>
    <bk>
      <rc t="1" v="4027"/>
    </bk>
    <bk>
      <rc t="1" v="4028"/>
    </bk>
    <bk>
      <rc t="1" v="4029"/>
    </bk>
    <bk>
      <rc t="1" v="4030"/>
    </bk>
    <bk>
      <rc t="1" v="4031"/>
    </bk>
    <bk>
      <rc t="1" v="4032"/>
    </bk>
    <bk>
      <rc t="1" v="4033"/>
    </bk>
    <bk>
      <rc t="1" v="4034"/>
    </bk>
    <bk>
      <rc t="1" v="4035"/>
    </bk>
    <bk>
      <rc t="1" v="4036"/>
    </bk>
    <bk>
      <rc t="1" v="4037"/>
    </bk>
    <bk>
      <rc t="1" v="4038"/>
    </bk>
    <bk>
      <rc t="1" v="4039"/>
    </bk>
    <bk>
      <rc t="1" v="4040"/>
    </bk>
    <bk>
      <rc t="1" v="4041"/>
    </bk>
    <bk>
      <rc t="1" v="4042"/>
    </bk>
    <bk>
      <rc t="1" v="4043"/>
    </bk>
    <bk>
      <rc t="1" v="4044"/>
    </bk>
    <bk>
      <rc t="1" v="4045"/>
    </bk>
    <bk>
      <rc t="1" v="4046"/>
    </bk>
    <bk>
      <rc t="1" v="4047"/>
    </bk>
    <bk>
      <rc t="1" v="4048"/>
    </bk>
    <bk>
      <rc t="1" v="4049"/>
    </bk>
    <bk>
      <rc t="1" v="4050"/>
    </bk>
    <bk>
      <rc t="1" v="4051"/>
    </bk>
    <bk>
      <rc t="1" v="4052"/>
    </bk>
    <bk>
      <rc t="1" v="4053"/>
    </bk>
    <bk>
      <rc t="1" v="4054"/>
    </bk>
    <bk>
      <rc t="1" v="4055"/>
    </bk>
    <bk>
      <rc t="1" v="4056"/>
    </bk>
    <bk>
      <rc t="1" v="4057"/>
    </bk>
    <bk>
      <rc t="1" v="4058"/>
    </bk>
    <bk>
      <rc t="1" v="4059"/>
    </bk>
    <bk>
      <rc t="1" v="4060"/>
    </bk>
    <bk>
      <rc t="1" v="4061"/>
    </bk>
    <bk>
      <rc t="1" v="4062"/>
    </bk>
    <bk>
      <rc t="1" v="4063"/>
    </bk>
    <bk>
      <rc t="1" v="4064"/>
    </bk>
    <bk>
      <rc t="1" v="4065"/>
    </bk>
    <bk>
      <rc t="1" v="4066"/>
    </bk>
    <bk>
      <rc t="1" v="4067"/>
    </bk>
    <bk>
      <rc t="1" v="4068"/>
    </bk>
    <bk>
      <rc t="1" v="4069"/>
    </bk>
    <bk>
      <rc t="1" v="4070"/>
    </bk>
    <bk>
      <rc t="1" v="4071"/>
    </bk>
    <bk>
      <rc t="1" v="4072"/>
    </bk>
    <bk>
      <rc t="1" v="4073"/>
    </bk>
    <bk>
      <rc t="1" v="4074"/>
    </bk>
    <bk>
      <rc t="1" v="4075"/>
    </bk>
    <bk>
      <rc t="1" v="4076"/>
    </bk>
    <bk>
      <rc t="1" v="4077"/>
    </bk>
    <bk>
      <rc t="1" v="4078"/>
    </bk>
    <bk>
      <rc t="1" v="4079"/>
    </bk>
    <bk>
      <rc t="1" v="4080"/>
    </bk>
    <bk>
      <rc t="1" v="4081"/>
    </bk>
    <bk>
      <rc t="1" v="4082"/>
    </bk>
    <bk>
      <rc t="1" v="4083"/>
    </bk>
    <bk>
      <rc t="1" v="4084"/>
    </bk>
    <bk>
      <rc t="1" v="4085"/>
    </bk>
    <bk>
      <rc t="1" v="4086"/>
    </bk>
    <bk>
      <rc t="1" v="4087"/>
    </bk>
    <bk>
      <rc t="1" v="4088"/>
    </bk>
    <bk>
      <rc t="1" v="4089"/>
    </bk>
    <bk>
      <rc t="1" v="4090"/>
    </bk>
    <bk>
      <rc t="1" v="4091"/>
    </bk>
    <bk>
      <rc t="1" v="4092"/>
    </bk>
    <bk>
      <rc t="1" v="4093"/>
    </bk>
    <bk>
      <rc t="1" v="4094"/>
    </bk>
    <bk>
      <rc t="1" v="4095"/>
    </bk>
    <bk>
      <rc t="1" v="4096"/>
    </bk>
    <bk>
      <rc t="1" v="4097"/>
    </bk>
    <bk>
      <rc t="1" v="4098"/>
    </bk>
    <bk>
      <rc t="1" v="4099"/>
    </bk>
    <bk>
      <rc t="1" v="4100"/>
    </bk>
    <bk>
      <rc t="1" v="4101"/>
    </bk>
    <bk>
      <rc t="1" v="4102"/>
    </bk>
    <bk>
      <rc t="1" v="4103"/>
    </bk>
    <bk>
      <rc t="1" v="4104"/>
    </bk>
    <bk>
      <rc t="1" v="4105"/>
    </bk>
    <bk>
      <rc t="1" v="4106"/>
    </bk>
    <bk>
      <rc t="1" v="4107"/>
    </bk>
    <bk>
      <rc t="1" v="4108"/>
    </bk>
    <bk>
      <rc t="1" v="4109"/>
    </bk>
    <bk>
      <rc t="1" v="4110"/>
    </bk>
    <bk>
      <rc t="1" v="4111"/>
    </bk>
    <bk>
      <rc t="1" v="4112"/>
    </bk>
    <bk>
      <rc t="1" v="4113"/>
    </bk>
    <bk>
      <rc t="1" v="4114"/>
    </bk>
    <bk>
      <rc t="1" v="4115"/>
    </bk>
    <bk>
      <rc t="1" v="4116"/>
    </bk>
    <bk>
      <rc t="1" v="4117"/>
    </bk>
    <bk>
      <rc t="1" v="4118"/>
    </bk>
    <bk>
      <rc t="1" v="4119"/>
    </bk>
    <bk>
      <rc t="1" v="4120"/>
    </bk>
    <bk>
      <rc t="1" v="4121"/>
    </bk>
    <bk>
      <rc t="1" v="4122"/>
    </bk>
    <bk>
      <rc t="1" v="4123"/>
    </bk>
    <bk>
      <rc t="1" v="4124"/>
    </bk>
    <bk>
      <rc t="1" v="4125"/>
    </bk>
    <bk>
      <rc t="1" v="4126"/>
    </bk>
    <bk>
      <rc t="1" v="4127"/>
    </bk>
    <bk>
      <rc t="1" v="4128"/>
    </bk>
    <bk>
      <rc t="1" v="4129"/>
    </bk>
    <bk>
      <rc t="1" v="4130"/>
    </bk>
    <bk>
      <rc t="1" v="4131"/>
    </bk>
    <bk>
      <rc t="1" v="4132"/>
    </bk>
    <bk>
      <rc t="1" v="4133"/>
    </bk>
    <bk>
      <rc t="1" v="4134"/>
    </bk>
    <bk>
      <rc t="1" v="4135"/>
    </bk>
    <bk>
      <rc t="1" v="4136"/>
    </bk>
    <bk>
      <rc t="1" v="4137"/>
    </bk>
    <bk>
      <rc t="1" v="4138"/>
    </bk>
    <bk>
      <rc t="1" v="4139"/>
    </bk>
    <bk>
      <rc t="1" v="4140"/>
    </bk>
    <bk>
      <rc t="1" v="4141"/>
    </bk>
    <bk>
      <rc t="1" v="4142"/>
    </bk>
    <bk>
      <rc t="1" v="4143"/>
    </bk>
    <bk>
      <rc t="1" v="4144"/>
    </bk>
    <bk>
      <rc t="1" v="4145"/>
    </bk>
    <bk>
      <rc t="1" v="4146"/>
    </bk>
    <bk>
      <rc t="1" v="4147"/>
    </bk>
    <bk>
      <rc t="1" v="4148"/>
    </bk>
    <bk>
      <rc t="1" v="4149"/>
    </bk>
    <bk>
      <rc t="1" v="4150"/>
    </bk>
    <bk>
      <rc t="1" v="4151"/>
    </bk>
    <bk>
      <rc t="1" v="4152"/>
    </bk>
    <bk>
      <rc t="1" v="4153"/>
    </bk>
    <bk>
      <rc t="1" v="4154"/>
    </bk>
    <bk>
      <rc t="1" v="4155"/>
    </bk>
    <bk>
      <rc t="1" v="4156"/>
    </bk>
    <bk>
      <rc t="1" v="4157"/>
    </bk>
    <bk>
      <rc t="1" v="4158"/>
    </bk>
    <bk>
      <rc t="1" v="4159"/>
    </bk>
    <bk>
      <rc t="1" v="4160"/>
    </bk>
    <bk>
      <rc t="1" v="4161"/>
    </bk>
    <bk>
      <rc t="1" v="4162"/>
    </bk>
    <bk>
      <rc t="1" v="4163"/>
    </bk>
    <bk>
      <rc t="1" v="4164"/>
    </bk>
    <bk>
      <rc t="1" v="4165"/>
    </bk>
    <bk>
      <rc t="1" v="4166"/>
    </bk>
    <bk>
      <rc t="1" v="4167"/>
    </bk>
    <bk>
      <rc t="1" v="4168"/>
    </bk>
    <bk>
      <rc t="1" v="4169"/>
    </bk>
    <bk>
      <rc t="1" v="4170"/>
    </bk>
    <bk>
      <rc t="1" v="4171"/>
    </bk>
    <bk>
      <rc t="1" v="4172"/>
    </bk>
    <bk>
      <rc t="1" v="4173"/>
    </bk>
    <bk>
      <rc t="1" v="4174"/>
    </bk>
    <bk>
      <rc t="1" v="4175"/>
    </bk>
    <bk>
      <rc t="1" v="4176"/>
    </bk>
    <bk>
      <rc t="1" v="4177"/>
    </bk>
    <bk>
      <rc t="1" v="4178"/>
    </bk>
    <bk>
      <rc t="1" v="4179"/>
    </bk>
    <bk>
      <rc t="1" v="4180"/>
    </bk>
    <bk>
      <rc t="1" v="4181"/>
    </bk>
    <bk>
      <rc t="1" v="4182"/>
    </bk>
    <bk>
      <rc t="1" v="4183"/>
    </bk>
    <bk>
      <rc t="1" v="4184"/>
    </bk>
    <bk>
      <rc t="1" v="4185"/>
    </bk>
    <bk>
      <rc t="1" v="4186"/>
    </bk>
    <bk>
      <rc t="1" v="4187"/>
    </bk>
    <bk>
      <rc t="1" v="4188"/>
    </bk>
    <bk>
      <rc t="1" v="4189"/>
    </bk>
    <bk>
      <rc t="1" v="4190"/>
    </bk>
    <bk>
      <rc t="1" v="4191"/>
    </bk>
    <bk>
      <rc t="1" v="4192"/>
    </bk>
    <bk>
      <rc t="1" v="4193"/>
    </bk>
    <bk>
      <rc t="1" v="4194"/>
    </bk>
    <bk>
      <rc t="1" v="4195"/>
    </bk>
    <bk>
      <rc t="1" v="4196"/>
    </bk>
    <bk>
      <rc t="1" v="4197"/>
    </bk>
    <bk>
      <rc t="1" v="4198"/>
    </bk>
    <bk>
      <rc t="1" v="4199"/>
    </bk>
    <bk>
      <rc t="1" v="4200"/>
    </bk>
    <bk>
      <rc t="1" v="4201"/>
    </bk>
    <bk>
      <rc t="1" v="4202"/>
    </bk>
    <bk>
      <rc t="1" v="4203"/>
    </bk>
    <bk>
      <rc t="1" v="4204"/>
    </bk>
    <bk>
      <rc t="1" v="4205"/>
    </bk>
    <bk>
      <rc t="1" v="4206"/>
    </bk>
    <bk>
      <rc t="1" v="4207"/>
    </bk>
    <bk>
      <rc t="1" v="4208"/>
    </bk>
    <bk>
      <rc t="1" v="4209"/>
    </bk>
    <bk>
      <rc t="1" v="4210"/>
    </bk>
    <bk>
      <rc t="1" v="4211"/>
    </bk>
    <bk>
      <rc t="1" v="4212"/>
    </bk>
    <bk>
      <rc t="1" v="4213"/>
    </bk>
    <bk>
      <rc t="1" v="4214"/>
    </bk>
    <bk>
      <rc t="1" v="4215"/>
    </bk>
    <bk>
      <rc t="1" v="4216"/>
    </bk>
    <bk>
      <rc t="1" v="4217"/>
    </bk>
    <bk>
      <rc t="1" v="4218"/>
    </bk>
    <bk>
      <rc t="1" v="4219"/>
    </bk>
    <bk>
      <rc t="1" v="4220"/>
    </bk>
    <bk>
      <rc t="1" v="4221"/>
    </bk>
    <bk>
      <rc t="1" v="4222"/>
    </bk>
    <bk>
      <rc t="1" v="4223"/>
    </bk>
    <bk>
      <rc t="1" v="4224"/>
    </bk>
    <bk>
      <rc t="1" v="4225"/>
    </bk>
    <bk>
      <rc t="1" v="4226"/>
    </bk>
    <bk>
      <rc t="1" v="4227"/>
    </bk>
    <bk>
      <rc t="1" v="4228"/>
    </bk>
    <bk>
      <rc t="1" v="4229"/>
    </bk>
    <bk>
      <rc t="1" v="4230"/>
    </bk>
    <bk>
      <rc t="1" v="4231"/>
    </bk>
    <bk>
      <rc t="1" v="4232"/>
    </bk>
    <bk>
      <rc t="1" v="4233"/>
    </bk>
    <bk>
      <rc t="1" v="4234"/>
    </bk>
    <bk>
      <rc t="1" v="4235"/>
    </bk>
    <bk>
      <rc t="1" v="4236"/>
    </bk>
    <bk>
      <rc t="1" v="4237"/>
    </bk>
    <bk>
      <rc t="1" v="4238"/>
    </bk>
    <bk>
      <rc t="1" v="4239"/>
    </bk>
    <bk>
      <rc t="1" v="4240"/>
    </bk>
    <bk>
      <rc t="1" v="4241"/>
    </bk>
    <bk>
      <rc t="1" v="4242"/>
    </bk>
    <bk>
      <rc t="1" v="4243"/>
    </bk>
    <bk>
      <rc t="1" v="4244"/>
    </bk>
    <bk>
      <rc t="1" v="4245"/>
    </bk>
    <bk>
      <rc t="1" v="4246"/>
    </bk>
    <bk>
      <rc t="1" v="4247"/>
    </bk>
    <bk>
      <rc t="1" v="4248"/>
    </bk>
    <bk>
      <rc t="1" v="4249"/>
    </bk>
    <bk>
      <rc t="1" v="4250"/>
    </bk>
    <bk>
      <rc t="1" v="4251"/>
    </bk>
    <bk>
      <rc t="1" v="4252"/>
    </bk>
    <bk>
      <rc t="1" v="4253"/>
    </bk>
    <bk>
      <rc t="1" v="4254"/>
    </bk>
    <bk>
      <rc t="1" v="4255"/>
    </bk>
    <bk>
      <rc t="1" v="4256"/>
    </bk>
    <bk>
      <rc t="1" v="4257"/>
    </bk>
    <bk>
      <rc t="1" v="4258"/>
    </bk>
    <bk>
      <rc t="1" v="4259"/>
    </bk>
    <bk>
      <rc t="1" v="4260"/>
    </bk>
    <bk>
      <rc t="1" v="4261"/>
    </bk>
    <bk>
      <rc t="1" v="4262"/>
    </bk>
    <bk>
      <rc t="1" v="4263"/>
    </bk>
    <bk>
      <rc t="1" v="4264"/>
    </bk>
    <bk>
      <rc t="1" v="4265"/>
    </bk>
    <bk>
      <rc t="1" v="4266"/>
    </bk>
    <bk>
      <rc t="1" v="4267"/>
    </bk>
    <bk>
      <rc t="1" v="4268"/>
    </bk>
    <bk>
      <rc t="1" v="4269"/>
    </bk>
    <bk>
      <rc t="1" v="4270"/>
    </bk>
    <bk>
      <rc t="1" v="4271"/>
    </bk>
    <bk>
      <rc t="1" v="4272"/>
    </bk>
    <bk>
      <rc t="1" v="4273"/>
    </bk>
    <bk>
      <rc t="1" v="4274"/>
    </bk>
    <bk>
      <rc t="1" v="4275"/>
    </bk>
    <bk>
      <rc t="1" v="4276"/>
    </bk>
    <bk>
      <rc t="1" v="4277"/>
    </bk>
    <bk>
      <rc t="1" v="4278"/>
    </bk>
    <bk>
      <rc t="1" v="4279"/>
    </bk>
    <bk>
      <rc t="1" v="4280"/>
    </bk>
    <bk>
      <rc t="1" v="4281"/>
    </bk>
    <bk>
      <rc t="1" v="4282"/>
    </bk>
    <bk>
      <rc t="1" v="4283"/>
    </bk>
    <bk>
      <rc t="1" v="4284"/>
    </bk>
    <bk>
      <rc t="1" v="4285"/>
    </bk>
    <bk>
      <rc t="1" v="4286"/>
    </bk>
    <bk>
      <rc t="1" v="4287"/>
    </bk>
    <bk>
      <rc t="1" v="4288"/>
    </bk>
    <bk>
      <rc t="1" v="4289"/>
    </bk>
    <bk>
      <rc t="1" v="4290"/>
    </bk>
    <bk>
      <rc t="1" v="4291"/>
    </bk>
    <bk>
      <rc t="1" v="4292"/>
    </bk>
    <bk>
      <rc t="1" v="4293"/>
    </bk>
    <bk>
      <rc t="1" v="4294"/>
    </bk>
    <bk>
      <rc t="1" v="4295"/>
    </bk>
    <bk>
      <rc t="1" v="4296"/>
    </bk>
    <bk>
      <rc t="1" v="4297"/>
    </bk>
    <bk>
      <rc t="1" v="4298"/>
    </bk>
    <bk>
      <rc t="1" v="4299"/>
    </bk>
    <bk>
      <rc t="1" v="4300"/>
    </bk>
    <bk>
      <rc t="1" v="4301"/>
    </bk>
    <bk>
      <rc t="1" v="4302"/>
    </bk>
    <bk>
      <rc t="1" v="4303"/>
    </bk>
    <bk>
      <rc t="1" v="4304"/>
    </bk>
    <bk>
      <rc t="1" v="4305"/>
    </bk>
    <bk>
      <rc t="1" v="4306"/>
    </bk>
    <bk>
      <rc t="1" v="4307"/>
    </bk>
    <bk>
      <rc t="1" v="4308"/>
    </bk>
    <bk>
      <rc t="1" v="4309"/>
    </bk>
    <bk>
      <rc t="1" v="4310"/>
    </bk>
    <bk>
      <rc t="1" v="4311"/>
    </bk>
    <bk>
      <rc t="1" v="4312"/>
    </bk>
    <bk>
      <rc t="1" v="4313"/>
    </bk>
    <bk>
      <rc t="1" v="4314"/>
    </bk>
    <bk>
      <rc t="1" v="4315"/>
    </bk>
    <bk>
      <rc t="1" v="4316"/>
    </bk>
    <bk>
      <rc t="1" v="4317"/>
    </bk>
    <bk>
      <rc t="1" v="4318"/>
    </bk>
    <bk>
      <rc t="1" v="4319"/>
    </bk>
    <bk>
      <rc t="1" v="4320"/>
    </bk>
    <bk>
      <rc t="1" v="4321"/>
    </bk>
    <bk>
      <rc t="1" v="4322"/>
    </bk>
    <bk>
      <rc t="1" v="4323"/>
    </bk>
    <bk>
      <rc t="1" v="4324"/>
    </bk>
    <bk>
      <rc t="1" v="4325"/>
    </bk>
    <bk>
      <rc t="1" v="4326"/>
    </bk>
    <bk>
      <rc t="1" v="4327"/>
    </bk>
    <bk>
      <rc t="1" v="4328"/>
    </bk>
    <bk>
      <rc t="1" v="4329"/>
    </bk>
    <bk>
      <rc t="1" v="4330"/>
    </bk>
    <bk>
      <rc t="1" v="4331"/>
    </bk>
    <bk>
      <rc t="1" v="4332"/>
    </bk>
    <bk>
      <rc t="1" v="4333"/>
    </bk>
    <bk>
      <rc t="1" v="4334"/>
    </bk>
    <bk>
      <rc t="1" v="4335"/>
    </bk>
    <bk>
      <rc t="1" v="4336"/>
    </bk>
    <bk>
      <rc t="1" v="4337"/>
    </bk>
    <bk>
      <rc t="1" v="4338"/>
    </bk>
    <bk>
      <rc t="1" v="4339"/>
    </bk>
    <bk>
      <rc t="1" v="4340"/>
    </bk>
    <bk>
      <rc t="1" v="4341"/>
    </bk>
    <bk>
      <rc t="1" v="4342"/>
    </bk>
    <bk>
      <rc t="1" v="4343"/>
    </bk>
    <bk>
      <rc t="1" v="4344"/>
    </bk>
    <bk>
      <rc t="1" v="4345"/>
    </bk>
    <bk>
      <rc t="1" v="4346"/>
    </bk>
    <bk>
      <rc t="1" v="4347"/>
    </bk>
    <bk>
      <rc t="1" v="4348"/>
    </bk>
    <bk>
      <rc t="1" v="4349"/>
    </bk>
    <bk>
      <rc t="1" v="4350"/>
    </bk>
    <bk>
      <rc t="1" v="4351"/>
    </bk>
    <bk>
      <rc t="1" v="4352"/>
    </bk>
    <bk>
      <rc t="1" v="4353"/>
    </bk>
    <bk>
      <rc t="1" v="4354"/>
    </bk>
    <bk>
      <rc t="1" v="4355"/>
    </bk>
    <bk>
      <rc t="1" v="4356"/>
    </bk>
    <bk>
      <rc t="1" v="4357"/>
    </bk>
    <bk>
      <rc t="1" v="4358"/>
    </bk>
    <bk>
      <rc t="1" v="4359"/>
    </bk>
    <bk>
      <rc t="1" v="4360"/>
    </bk>
    <bk>
      <rc t="1" v="4361"/>
    </bk>
    <bk>
      <rc t="1" v="4362"/>
    </bk>
    <bk>
      <rc t="1" v="4363"/>
    </bk>
    <bk>
      <rc t="1" v="4364"/>
    </bk>
    <bk>
      <rc t="1" v="4365"/>
    </bk>
    <bk>
      <rc t="1" v="4366"/>
    </bk>
    <bk>
      <rc t="1" v="4367"/>
    </bk>
    <bk>
      <rc t="1" v="4368"/>
    </bk>
    <bk>
      <rc t="1" v="4369"/>
    </bk>
    <bk>
      <rc t="1" v="4370"/>
    </bk>
    <bk>
      <rc t="1" v="4371"/>
    </bk>
    <bk>
      <rc t="1" v="4372"/>
    </bk>
    <bk>
      <rc t="1" v="4373"/>
    </bk>
    <bk>
      <rc t="1" v="4374"/>
    </bk>
    <bk>
      <rc t="1" v="4375"/>
    </bk>
    <bk>
      <rc t="1" v="4376"/>
    </bk>
    <bk>
      <rc t="1" v="4377"/>
    </bk>
    <bk>
      <rc t="1" v="4378"/>
    </bk>
    <bk>
      <rc t="1" v="4379"/>
    </bk>
    <bk>
      <rc t="1" v="4380"/>
    </bk>
    <bk>
      <rc t="1" v="4381"/>
    </bk>
    <bk>
      <rc t="1" v="4382"/>
    </bk>
    <bk>
      <rc t="1" v="4383"/>
    </bk>
    <bk>
      <rc t="1" v="4384"/>
    </bk>
    <bk>
      <rc t="1" v="4385"/>
    </bk>
    <bk>
      <rc t="1" v="4386"/>
    </bk>
    <bk>
      <rc t="1" v="4387"/>
    </bk>
    <bk>
      <rc t="1" v="4388"/>
    </bk>
    <bk>
      <rc t="1" v="4389"/>
    </bk>
    <bk>
      <rc t="1" v="4390"/>
    </bk>
    <bk>
      <rc t="1" v="4391"/>
    </bk>
    <bk>
      <rc t="1" v="4392"/>
    </bk>
    <bk>
      <rc t="1" v="4393"/>
    </bk>
    <bk>
      <rc t="1" v="4394"/>
    </bk>
    <bk>
      <rc t="1" v="4395"/>
    </bk>
    <bk>
      <rc t="1" v="4396"/>
    </bk>
    <bk>
      <rc t="1" v="4397"/>
    </bk>
    <bk>
      <rc t="1" v="4398"/>
    </bk>
    <bk>
      <rc t="1" v="4399"/>
    </bk>
    <bk>
      <rc t="1" v="4400"/>
    </bk>
    <bk>
      <rc t="1" v="4401"/>
    </bk>
    <bk>
      <rc t="1" v="4402"/>
    </bk>
    <bk>
      <rc t="1" v="4403"/>
    </bk>
    <bk>
      <rc t="1" v="4404"/>
    </bk>
    <bk>
      <rc t="1" v="4405"/>
    </bk>
    <bk>
      <rc t="1" v="4406"/>
    </bk>
    <bk>
      <rc t="1" v="4407"/>
    </bk>
    <bk>
      <rc t="1" v="4408"/>
    </bk>
    <bk>
      <rc t="1" v="4409"/>
    </bk>
    <bk>
      <rc t="1" v="4410"/>
    </bk>
    <bk>
      <rc t="1" v="4411"/>
    </bk>
    <bk>
      <rc t="1" v="4412"/>
    </bk>
    <bk>
      <rc t="1" v="4413"/>
    </bk>
    <bk>
      <rc t="1" v="4414"/>
    </bk>
    <bk>
      <rc t="1" v="4415"/>
    </bk>
    <bk>
      <rc t="1" v="4416"/>
    </bk>
    <bk>
      <rc t="1" v="4417"/>
    </bk>
    <bk>
      <rc t="1" v="4418"/>
    </bk>
    <bk>
      <rc t="1" v="4419"/>
    </bk>
    <bk>
      <rc t="1" v="4420"/>
    </bk>
    <bk>
      <rc t="1" v="4421"/>
    </bk>
    <bk>
      <rc t="1" v="4422"/>
    </bk>
    <bk>
      <rc t="1" v="4423"/>
    </bk>
    <bk>
      <rc t="1" v="4424"/>
    </bk>
    <bk>
      <rc t="1" v="4425"/>
    </bk>
    <bk>
      <rc t="1" v="4426"/>
    </bk>
    <bk>
      <rc t="1" v="4427"/>
    </bk>
    <bk>
      <rc t="1" v="4428"/>
    </bk>
    <bk>
      <rc t="1" v="4429"/>
    </bk>
    <bk>
      <rc t="1" v="4430"/>
    </bk>
    <bk>
      <rc t="1" v="4431"/>
    </bk>
    <bk>
      <rc t="1" v="4432"/>
    </bk>
    <bk>
      <rc t="1" v="4433"/>
    </bk>
    <bk>
      <rc t="1" v="4434"/>
    </bk>
    <bk>
      <rc t="1" v="4435"/>
    </bk>
    <bk>
      <rc t="1" v="4436"/>
    </bk>
    <bk>
      <rc t="1" v="4437"/>
    </bk>
    <bk>
      <rc t="1" v="4438"/>
    </bk>
    <bk>
      <rc t="1" v="4439"/>
    </bk>
    <bk>
      <rc t="1" v="4440"/>
    </bk>
    <bk>
      <rc t="1" v="4441"/>
    </bk>
    <bk>
      <rc t="1" v="4442"/>
    </bk>
    <bk>
      <rc t="1" v="4443"/>
    </bk>
    <bk>
      <rc t="1" v="4444"/>
    </bk>
    <bk>
      <rc t="1" v="4445"/>
    </bk>
    <bk>
      <rc t="1" v="4446"/>
    </bk>
    <bk>
      <rc t="1" v="4447"/>
    </bk>
    <bk>
      <rc t="1" v="4448"/>
    </bk>
    <bk>
      <rc t="1" v="4449"/>
    </bk>
    <bk>
      <rc t="1" v="4450"/>
    </bk>
    <bk>
      <rc t="1" v="4451"/>
    </bk>
    <bk>
      <rc t="1" v="4452"/>
    </bk>
    <bk>
      <rc t="1" v="4453"/>
    </bk>
    <bk>
      <rc t="1" v="4454"/>
    </bk>
    <bk>
      <rc t="1" v="4455"/>
    </bk>
    <bk>
      <rc t="1" v="4456"/>
    </bk>
    <bk>
      <rc t="1" v="4457"/>
    </bk>
    <bk>
      <rc t="1" v="4458"/>
    </bk>
    <bk>
      <rc t="1" v="4459"/>
    </bk>
    <bk>
      <rc t="1" v="4460"/>
    </bk>
    <bk>
      <rc t="1" v="4461"/>
    </bk>
    <bk>
      <rc t="1" v="4462"/>
    </bk>
    <bk>
      <rc t="1" v="4463"/>
    </bk>
    <bk>
      <rc t="1" v="4464"/>
    </bk>
    <bk>
      <rc t="1" v="4465"/>
    </bk>
    <bk>
      <rc t="1" v="4466"/>
    </bk>
    <bk>
      <rc t="1" v="4467"/>
    </bk>
    <bk>
      <rc t="1" v="4468"/>
    </bk>
    <bk>
      <rc t="1" v="4469"/>
    </bk>
    <bk>
      <rc t="1" v="4470"/>
    </bk>
    <bk>
      <rc t="1" v="4471"/>
    </bk>
    <bk>
      <rc t="1" v="4472"/>
    </bk>
    <bk>
      <rc t="1" v="4473"/>
    </bk>
    <bk>
      <rc t="1" v="4474"/>
    </bk>
    <bk>
      <rc t="1" v="4475"/>
    </bk>
    <bk>
      <rc t="1" v="4476"/>
    </bk>
    <bk>
      <rc t="1" v="4477"/>
    </bk>
    <bk>
      <rc t="1" v="4478"/>
    </bk>
    <bk>
      <rc t="1" v="4479"/>
    </bk>
    <bk>
      <rc t="1" v="4480"/>
    </bk>
    <bk>
      <rc t="1" v="4481"/>
    </bk>
    <bk>
      <rc t="1" v="4482"/>
    </bk>
    <bk>
      <rc t="1" v="4483"/>
    </bk>
    <bk>
      <rc t="1" v="4484"/>
    </bk>
    <bk>
      <rc t="1" v="4485"/>
    </bk>
    <bk>
      <rc t="1" v="4486"/>
    </bk>
    <bk>
      <rc t="1" v="4487"/>
    </bk>
    <bk>
      <rc t="1" v="4488"/>
    </bk>
    <bk>
      <rc t="1" v="4489"/>
    </bk>
    <bk>
      <rc t="1" v="4490"/>
    </bk>
    <bk>
      <rc t="1" v="4491"/>
    </bk>
    <bk>
      <rc t="1" v="4492"/>
    </bk>
    <bk>
      <rc t="1" v="4493"/>
    </bk>
    <bk>
      <rc t="1" v="4494"/>
    </bk>
    <bk>
      <rc t="1" v="4495"/>
    </bk>
    <bk>
      <rc t="1" v="4496"/>
    </bk>
    <bk>
      <rc t="1" v="4497"/>
    </bk>
    <bk>
      <rc t="1" v="4498"/>
    </bk>
    <bk>
      <rc t="1" v="4499"/>
    </bk>
    <bk>
      <rc t="1" v="4500"/>
    </bk>
    <bk>
      <rc t="1" v="4501"/>
    </bk>
    <bk>
      <rc t="1" v="4502"/>
    </bk>
    <bk>
      <rc t="1" v="4503"/>
    </bk>
    <bk>
      <rc t="1" v="4504"/>
    </bk>
    <bk>
      <rc t="1" v="4505"/>
    </bk>
    <bk>
      <rc t="1" v="4506"/>
    </bk>
    <bk>
      <rc t="1" v="4507"/>
    </bk>
    <bk>
      <rc t="1" v="4508"/>
    </bk>
    <bk>
      <rc t="1" v="4509"/>
    </bk>
    <bk>
      <rc t="1" v="4510"/>
    </bk>
    <bk>
      <rc t="1" v="4511"/>
    </bk>
    <bk>
      <rc t="1" v="4512"/>
    </bk>
    <bk>
      <rc t="1" v="4513"/>
    </bk>
    <bk>
      <rc t="1" v="4514"/>
    </bk>
    <bk>
      <rc t="1" v="4515"/>
    </bk>
    <bk>
      <rc t="1" v="4516"/>
    </bk>
    <bk>
      <rc t="1" v="4517"/>
    </bk>
    <bk>
      <rc t="1" v="4518"/>
    </bk>
    <bk>
      <rc t="1" v="4519"/>
    </bk>
    <bk>
      <rc t="1" v="4520"/>
    </bk>
    <bk>
      <rc t="1" v="4521"/>
    </bk>
    <bk>
      <rc t="1" v="4522"/>
    </bk>
    <bk>
      <rc t="1" v="4523"/>
    </bk>
    <bk>
      <rc t="1" v="4524"/>
    </bk>
    <bk>
      <rc t="1" v="4525"/>
    </bk>
    <bk>
      <rc t="1" v="4526"/>
    </bk>
    <bk>
      <rc t="1" v="4527"/>
    </bk>
    <bk>
      <rc t="1" v="4528"/>
    </bk>
    <bk>
      <rc t="1" v="4529"/>
    </bk>
    <bk>
      <rc t="1" v="4530"/>
    </bk>
    <bk>
      <rc t="1" v="4531"/>
    </bk>
    <bk>
      <rc t="1" v="4532"/>
    </bk>
    <bk>
      <rc t="1" v="4533"/>
    </bk>
    <bk>
      <rc t="1" v="4534"/>
    </bk>
    <bk>
      <rc t="1" v="4535"/>
    </bk>
    <bk>
      <rc t="1" v="4536"/>
    </bk>
    <bk>
      <rc t="1" v="4537"/>
    </bk>
    <bk>
      <rc t="1" v="4538"/>
    </bk>
    <bk>
      <rc t="1" v="4539"/>
    </bk>
    <bk>
      <rc t="1" v="4540"/>
    </bk>
    <bk>
      <rc t="1" v="4541"/>
    </bk>
    <bk>
      <rc t="1" v="4542"/>
    </bk>
    <bk>
      <rc t="1" v="4543"/>
    </bk>
    <bk>
      <rc t="1" v="4544"/>
    </bk>
    <bk>
      <rc t="1" v="4545"/>
    </bk>
    <bk>
      <rc t="1" v="4546"/>
    </bk>
    <bk>
      <rc t="1" v="4547"/>
    </bk>
    <bk>
      <rc t="1" v="4548"/>
    </bk>
    <bk>
      <rc t="1" v="4549"/>
    </bk>
    <bk>
      <rc t="1" v="4550"/>
    </bk>
    <bk>
      <rc t="1" v="4551"/>
    </bk>
    <bk>
      <rc t="1" v="4552"/>
    </bk>
    <bk>
      <rc t="1" v="4553"/>
    </bk>
    <bk>
      <rc t="1" v="4554"/>
    </bk>
    <bk>
      <rc t="1" v="4555"/>
    </bk>
    <bk>
      <rc t="1" v="4556"/>
    </bk>
    <bk>
      <rc t="1" v="4557"/>
    </bk>
    <bk>
      <rc t="1" v="4558"/>
    </bk>
    <bk>
      <rc t="1" v="4559"/>
    </bk>
    <bk>
      <rc t="1" v="4560"/>
    </bk>
    <bk>
      <rc t="1" v="4561"/>
    </bk>
    <bk>
      <rc t="1" v="4562"/>
    </bk>
    <bk>
      <rc t="1" v="4563"/>
    </bk>
    <bk>
      <rc t="1" v="4564"/>
    </bk>
    <bk>
      <rc t="1" v="4565"/>
    </bk>
    <bk>
      <rc t="1" v="4566"/>
    </bk>
    <bk>
      <rc t="1" v="4567"/>
    </bk>
    <bk>
      <rc t="1" v="4568"/>
    </bk>
    <bk>
      <rc t="1" v="4569"/>
    </bk>
    <bk>
      <rc t="1" v="4570"/>
    </bk>
    <bk>
      <rc t="1" v="4571"/>
    </bk>
    <bk>
      <rc t="1" v="4572"/>
    </bk>
    <bk>
      <rc t="1" v="4573"/>
    </bk>
    <bk>
      <rc t="1" v="4574"/>
    </bk>
    <bk>
      <rc t="1" v="4575"/>
    </bk>
    <bk>
      <rc t="1" v="4576"/>
    </bk>
    <bk>
      <rc t="1" v="4577"/>
    </bk>
    <bk>
      <rc t="1" v="4578"/>
    </bk>
    <bk>
      <rc t="1" v="4579"/>
    </bk>
    <bk>
      <rc t="1" v="4580"/>
    </bk>
    <bk>
      <rc t="1" v="4581"/>
    </bk>
    <bk>
      <rc t="1" v="4582"/>
    </bk>
    <bk>
      <rc t="1" v="4583"/>
    </bk>
    <bk>
      <rc t="1" v="4584"/>
    </bk>
    <bk>
      <rc t="1" v="4585"/>
    </bk>
    <bk>
      <rc t="1" v="4586"/>
    </bk>
    <bk>
      <rc t="1" v="4587"/>
    </bk>
    <bk>
      <rc t="1" v="4588"/>
    </bk>
    <bk>
      <rc t="1" v="4589"/>
    </bk>
    <bk>
      <rc t="1" v="4590"/>
    </bk>
    <bk>
      <rc t="1" v="4591"/>
    </bk>
    <bk>
      <rc t="1" v="4592"/>
    </bk>
    <bk>
      <rc t="1" v="4593"/>
    </bk>
    <bk>
      <rc t="1" v="4594"/>
    </bk>
    <bk>
      <rc t="1" v="4595"/>
    </bk>
    <bk>
      <rc t="1" v="4596"/>
    </bk>
    <bk>
      <rc t="1" v="4597"/>
    </bk>
    <bk>
      <rc t="1" v="4598"/>
    </bk>
    <bk>
      <rc t="1" v="4599"/>
    </bk>
    <bk>
      <rc t="1" v="4600"/>
    </bk>
    <bk>
      <rc t="1" v="4601"/>
    </bk>
    <bk>
      <rc t="1" v="4602"/>
    </bk>
    <bk>
      <rc t="1" v="4603"/>
    </bk>
    <bk>
      <rc t="1" v="4604"/>
    </bk>
    <bk>
      <rc t="1" v="4605"/>
    </bk>
    <bk>
      <rc t="1" v="4606"/>
    </bk>
    <bk>
      <rc t="1" v="4607"/>
    </bk>
    <bk>
      <rc t="1" v="4608"/>
    </bk>
    <bk>
      <rc t="1" v="4609"/>
    </bk>
    <bk>
      <rc t="1" v="4610"/>
    </bk>
    <bk>
      <rc t="1" v="4611"/>
    </bk>
    <bk>
      <rc t="1" v="4612"/>
    </bk>
    <bk>
      <rc t="1" v="4613"/>
    </bk>
    <bk>
      <rc t="1" v="4614"/>
    </bk>
    <bk>
      <rc t="1" v="4615"/>
    </bk>
    <bk>
      <rc t="1" v="4616"/>
    </bk>
    <bk>
      <rc t="1" v="4617"/>
    </bk>
    <bk>
      <rc t="1" v="4618"/>
    </bk>
    <bk>
      <rc t="1" v="4619"/>
    </bk>
    <bk>
      <rc t="1" v="4620"/>
    </bk>
    <bk>
      <rc t="1" v="4621"/>
    </bk>
    <bk>
      <rc t="1" v="4622"/>
    </bk>
    <bk>
      <rc t="1" v="4623"/>
    </bk>
    <bk>
      <rc t="1" v="4624"/>
    </bk>
    <bk>
      <rc t="1" v="4625"/>
    </bk>
    <bk>
      <rc t="1" v="4626"/>
    </bk>
    <bk>
      <rc t="1" v="4627"/>
    </bk>
    <bk>
      <rc t="1" v="4628"/>
    </bk>
    <bk>
      <rc t="1" v="4629"/>
    </bk>
    <bk>
      <rc t="1" v="4630"/>
    </bk>
    <bk>
      <rc t="1" v="4631"/>
    </bk>
    <bk>
      <rc t="1" v="4632"/>
    </bk>
    <bk>
      <rc t="1" v="4633"/>
    </bk>
    <bk>
      <rc t="1" v="4634"/>
    </bk>
    <bk>
      <rc t="1" v="4635"/>
    </bk>
    <bk>
      <rc t="1" v="4636"/>
    </bk>
    <bk>
      <rc t="1" v="4637"/>
    </bk>
    <bk>
      <rc t="1" v="4638"/>
    </bk>
    <bk>
      <rc t="1" v="4639"/>
    </bk>
    <bk>
      <rc t="1" v="4640"/>
    </bk>
    <bk>
      <rc t="1" v="4641"/>
    </bk>
    <bk>
      <rc t="1" v="4642"/>
    </bk>
    <bk>
      <rc t="1" v="4643"/>
    </bk>
    <bk>
      <rc t="1" v="4644"/>
    </bk>
    <bk>
      <rc t="1" v="4645"/>
    </bk>
    <bk>
      <rc t="1" v="4646"/>
    </bk>
    <bk>
      <rc t="1" v="4647"/>
    </bk>
    <bk>
      <rc t="1" v="4648"/>
    </bk>
    <bk>
      <rc t="1" v="4649"/>
    </bk>
    <bk>
      <rc t="1" v="4650"/>
    </bk>
    <bk>
      <rc t="1" v="4651"/>
    </bk>
    <bk>
      <rc t="1" v="4652"/>
    </bk>
    <bk>
      <rc t="1" v="4653"/>
    </bk>
    <bk>
      <rc t="1" v="4654"/>
    </bk>
    <bk>
      <rc t="1" v="4655"/>
    </bk>
    <bk>
      <rc t="1" v="4656"/>
    </bk>
    <bk>
      <rc t="1" v="4657"/>
    </bk>
    <bk>
      <rc t="1" v="4658"/>
    </bk>
    <bk>
      <rc t="1" v="4659"/>
    </bk>
    <bk>
      <rc t="1" v="4660"/>
    </bk>
    <bk>
      <rc t="1" v="4661"/>
    </bk>
    <bk>
      <rc t="1" v="4662"/>
    </bk>
    <bk>
      <rc t="1" v="4663"/>
    </bk>
    <bk>
      <rc t="1" v="4664"/>
    </bk>
    <bk>
      <rc t="1" v="4665"/>
    </bk>
    <bk>
      <rc t="1" v="4666"/>
    </bk>
    <bk>
      <rc t="1" v="4667"/>
    </bk>
    <bk>
      <rc t="1" v="4668"/>
    </bk>
    <bk>
      <rc t="1" v="4669"/>
    </bk>
    <bk>
      <rc t="1" v="4670"/>
    </bk>
    <bk>
      <rc t="1" v="4671"/>
    </bk>
    <bk>
      <rc t="1" v="4672"/>
    </bk>
    <bk>
      <rc t="1" v="4673"/>
    </bk>
    <bk>
      <rc t="1" v="4674"/>
    </bk>
    <bk>
      <rc t="1" v="4675"/>
    </bk>
    <bk>
      <rc t="1" v="4676"/>
    </bk>
    <bk>
      <rc t="1" v="4677"/>
    </bk>
    <bk>
      <rc t="1" v="4678"/>
    </bk>
    <bk>
      <rc t="1" v="4679"/>
    </bk>
    <bk>
      <rc t="1" v="4680"/>
    </bk>
    <bk>
      <rc t="1" v="4681"/>
    </bk>
    <bk>
      <rc t="1" v="4682"/>
    </bk>
    <bk>
      <rc t="1" v="4683"/>
    </bk>
    <bk>
      <rc t="1" v="4684"/>
    </bk>
    <bk>
      <rc t="1" v="4685"/>
    </bk>
    <bk>
      <rc t="1" v="4686"/>
    </bk>
    <bk>
      <rc t="1" v="4687"/>
    </bk>
    <bk>
      <rc t="1" v="4688"/>
    </bk>
    <bk>
      <rc t="1" v="4689"/>
    </bk>
    <bk>
      <rc t="1" v="4690"/>
    </bk>
    <bk>
      <rc t="1" v="4691"/>
    </bk>
    <bk>
      <rc t="1" v="4692"/>
    </bk>
    <bk>
      <rc t="1" v="4693"/>
    </bk>
    <bk>
      <rc t="1" v="4694"/>
    </bk>
    <bk>
      <rc t="1" v="4695"/>
    </bk>
    <bk>
      <rc t="1" v="4696"/>
    </bk>
    <bk>
      <rc t="1" v="4697"/>
    </bk>
    <bk>
      <rc t="1" v="4698"/>
    </bk>
    <bk>
      <rc t="1" v="4699"/>
    </bk>
    <bk>
      <rc t="1" v="4700"/>
    </bk>
    <bk>
      <rc t="1" v="4701"/>
    </bk>
    <bk>
      <rc t="1" v="4702"/>
    </bk>
    <bk>
      <rc t="1" v="4703"/>
    </bk>
    <bk>
      <rc t="1" v="4704"/>
    </bk>
    <bk>
      <rc t="1" v="4705"/>
    </bk>
    <bk>
      <rc t="1" v="4706"/>
    </bk>
    <bk>
      <rc t="1" v="4707"/>
    </bk>
    <bk>
      <rc t="1" v="4708"/>
    </bk>
    <bk>
      <rc t="1" v="4709"/>
    </bk>
    <bk>
      <rc t="1" v="4710"/>
    </bk>
    <bk>
      <rc t="1" v="4711"/>
    </bk>
    <bk>
      <rc t="1" v="4712"/>
    </bk>
    <bk>
      <rc t="1" v="4713"/>
    </bk>
    <bk>
      <rc t="1" v="4714"/>
    </bk>
    <bk>
      <rc t="1" v="4715"/>
    </bk>
    <bk>
      <rc t="1" v="4716"/>
    </bk>
    <bk>
      <rc t="1" v="4717"/>
    </bk>
    <bk>
      <rc t="1" v="4718"/>
    </bk>
    <bk>
      <rc t="1" v="4719"/>
    </bk>
    <bk>
      <rc t="1" v="4720"/>
    </bk>
    <bk>
      <rc t="1" v="4721"/>
    </bk>
    <bk>
      <rc t="1" v="4722"/>
    </bk>
    <bk>
      <rc t="1" v="4723"/>
    </bk>
    <bk>
      <rc t="1" v="4724"/>
    </bk>
    <bk>
      <rc t="1" v="4725"/>
    </bk>
    <bk>
      <rc t="1" v="4726"/>
    </bk>
    <bk>
      <rc t="1" v="4727"/>
    </bk>
    <bk>
      <rc t="1" v="4728"/>
    </bk>
    <bk>
      <rc t="1" v="4729"/>
    </bk>
    <bk>
      <rc t="1" v="4730"/>
    </bk>
    <bk>
      <rc t="1" v="4731"/>
    </bk>
    <bk>
      <rc t="1" v="4732"/>
    </bk>
    <bk>
      <rc t="1" v="4733"/>
    </bk>
    <bk>
      <rc t="1" v="4734"/>
    </bk>
    <bk>
      <rc t="1" v="4735"/>
    </bk>
    <bk>
      <rc t="1" v="4736"/>
    </bk>
    <bk>
      <rc t="1" v="4737"/>
    </bk>
    <bk>
      <rc t="1" v="4738"/>
    </bk>
    <bk>
      <rc t="1" v="4739"/>
    </bk>
    <bk>
      <rc t="1" v="4740"/>
    </bk>
    <bk>
      <rc t="1" v="4741"/>
    </bk>
    <bk>
      <rc t="1" v="4742"/>
    </bk>
    <bk>
      <rc t="1" v="4743"/>
    </bk>
    <bk>
      <rc t="1" v="4744"/>
    </bk>
    <bk>
      <rc t="1" v="4745"/>
    </bk>
    <bk>
      <rc t="1" v="4746"/>
    </bk>
    <bk>
      <rc t="1" v="4747"/>
    </bk>
    <bk>
      <rc t="1" v="4748"/>
    </bk>
    <bk>
      <rc t="1" v="4749"/>
    </bk>
    <bk>
      <rc t="1" v="4750"/>
    </bk>
    <bk>
      <rc t="1" v="4751"/>
    </bk>
    <bk>
      <rc t="1" v="4752"/>
    </bk>
    <bk>
      <rc t="1" v="4753"/>
    </bk>
    <bk>
      <rc t="1" v="4754"/>
    </bk>
    <bk>
      <rc t="1" v="4755"/>
    </bk>
    <bk>
      <rc t="1" v="4756"/>
    </bk>
    <bk>
      <rc t="1" v="4757"/>
    </bk>
    <bk>
      <rc t="1" v="4758"/>
    </bk>
    <bk>
      <rc t="1" v="4759"/>
    </bk>
    <bk>
      <rc t="1" v="4760"/>
    </bk>
    <bk>
      <rc t="1" v="4761"/>
    </bk>
    <bk>
      <rc t="1" v="4762"/>
    </bk>
    <bk>
      <rc t="1" v="4763"/>
    </bk>
    <bk>
      <rc t="1" v="4764"/>
    </bk>
    <bk>
      <rc t="1" v="4765"/>
    </bk>
    <bk>
      <rc t="1" v="4766"/>
    </bk>
    <bk>
      <rc t="1" v="4767"/>
    </bk>
    <bk>
      <rc t="1" v="4768"/>
    </bk>
    <bk>
      <rc t="1" v="4769"/>
    </bk>
    <bk>
      <rc t="1" v="4770"/>
    </bk>
    <bk>
      <rc t="1" v="4771"/>
    </bk>
    <bk>
      <rc t="1" v="4772"/>
    </bk>
    <bk>
      <rc t="1" v="4773"/>
    </bk>
    <bk>
      <rc t="1" v="4774"/>
    </bk>
    <bk>
      <rc t="1" v="4775"/>
    </bk>
    <bk>
      <rc t="1" v="4776"/>
    </bk>
    <bk>
      <rc t="1" v="4777"/>
    </bk>
    <bk>
      <rc t="1" v="4778"/>
    </bk>
    <bk>
      <rc t="1" v="4779"/>
    </bk>
    <bk>
      <rc t="1" v="4780"/>
    </bk>
    <bk>
      <rc t="1" v="4781"/>
    </bk>
    <bk>
      <rc t="1" v="4782"/>
    </bk>
    <bk>
      <rc t="1" v="4783"/>
    </bk>
    <bk>
      <rc t="1" v="4784"/>
    </bk>
    <bk>
      <rc t="1" v="4785"/>
    </bk>
    <bk>
      <rc t="1" v="4786"/>
    </bk>
    <bk>
      <rc t="1" v="4787"/>
    </bk>
    <bk>
      <rc t="1" v="4788"/>
    </bk>
    <bk>
      <rc t="1" v="4789"/>
    </bk>
    <bk>
      <rc t="1" v="4790"/>
    </bk>
    <bk>
      <rc t="1" v="4791"/>
    </bk>
    <bk>
      <rc t="1" v="4792"/>
    </bk>
    <bk>
      <rc t="1" v="4793"/>
    </bk>
    <bk>
      <rc t="1" v="4794"/>
    </bk>
    <bk>
      <rc t="1" v="4795"/>
    </bk>
    <bk>
      <rc t="1" v="4796"/>
    </bk>
    <bk>
      <rc t="1" v="4797"/>
    </bk>
    <bk>
      <rc t="1" v="4798"/>
    </bk>
    <bk>
      <rc t="1" v="4799"/>
    </bk>
    <bk>
      <rc t="1" v="4800"/>
    </bk>
    <bk>
      <rc t="1" v="4801"/>
    </bk>
    <bk>
      <rc t="1" v="4802"/>
    </bk>
    <bk>
      <rc t="1" v="4803"/>
    </bk>
    <bk>
      <rc t="1" v="4804"/>
    </bk>
    <bk>
      <rc t="1" v="4805"/>
    </bk>
    <bk>
      <rc t="1" v="4806"/>
    </bk>
    <bk>
      <rc t="1" v="4807"/>
    </bk>
    <bk>
      <rc t="1" v="4808"/>
    </bk>
    <bk>
      <rc t="1" v="4809"/>
    </bk>
    <bk>
      <rc t="1" v="4810"/>
    </bk>
    <bk>
      <rc t="1" v="4811"/>
    </bk>
    <bk>
      <rc t="1" v="4812"/>
    </bk>
    <bk>
      <rc t="1" v="4813"/>
    </bk>
    <bk>
      <rc t="1" v="4814"/>
    </bk>
    <bk>
      <rc t="1" v="4815"/>
    </bk>
    <bk>
      <rc t="1" v="4816"/>
    </bk>
    <bk>
      <rc t="1" v="4817"/>
    </bk>
    <bk>
      <rc t="1" v="4818"/>
    </bk>
    <bk>
      <rc t="1" v="4819"/>
    </bk>
    <bk>
      <rc t="1" v="4820"/>
    </bk>
    <bk>
      <rc t="1" v="4821"/>
    </bk>
    <bk>
      <rc t="1" v="4822"/>
    </bk>
    <bk>
      <rc t="1" v="4823"/>
    </bk>
    <bk>
      <rc t="1" v="4824"/>
    </bk>
    <bk>
      <rc t="1" v="4825"/>
    </bk>
    <bk>
      <rc t="1" v="4826"/>
    </bk>
    <bk>
      <rc t="1" v="4827"/>
    </bk>
    <bk>
      <rc t="1" v="4828"/>
    </bk>
    <bk>
      <rc t="1" v="4829"/>
    </bk>
    <bk>
      <rc t="1" v="4830"/>
    </bk>
    <bk>
      <rc t="1" v="4831"/>
    </bk>
    <bk>
      <rc t="1" v="4832"/>
    </bk>
    <bk>
      <rc t="1" v="4833"/>
    </bk>
    <bk>
      <rc t="1" v="4834"/>
    </bk>
    <bk>
      <rc t="1" v="4835"/>
    </bk>
    <bk>
      <rc t="1" v="4836"/>
    </bk>
    <bk>
      <rc t="1" v="4837"/>
    </bk>
    <bk>
      <rc t="1" v="4838"/>
    </bk>
    <bk>
      <rc t="1" v="4839"/>
    </bk>
    <bk>
      <rc t="1" v="4840"/>
    </bk>
    <bk>
      <rc t="1" v="4841"/>
    </bk>
    <bk>
      <rc t="1" v="4842"/>
    </bk>
    <bk>
      <rc t="1" v="4843"/>
    </bk>
    <bk>
      <rc t="1" v="4844"/>
    </bk>
    <bk>
      <rc t="1" v="4845"/>
    </bk>
    <bk>
      <rc t="1" v="4846"/>
    </bk>
    <bk>
      <rc t="1" v="4847"/>
    </bk>
    <bk>
      <rc t="1" v="4848"/>
    </bk>
    <bk>
      <rc t="1" v="4849"/>
    </bk>
    <bk>
      <rc t="1" v="4850"/>
    </bk>
    <bk>
      <rc t="1" v="4851"/>
    </bk>
    <bk>
      <rc t="1" v="4852"/>
    </bk>
    <bk>
      <rc t="1" v="4853"/>
    </bk>
    <bk>
      <rc t="1" v="4854"/>
    </bk>
    <bk>
      <rc t="1" v="4855"/>
    </bk>
    <bk>
      <rc t="1" v="4856"/>
    </bk>
    <bk>
      <rc t="1" v="4857"/>
    </bk>
    <bk>
      <rc t="1" v="4858"/>
    </bk>
    <bk>
      <rc t="1" v="4859"/>
    </bk>
    <bk>
      <rc t="1" v="4860"/>
    </bk>
    <bk>
      <rc t="1" v="4861"/>
    </bk>
    <bk>
      <rc t="1" v="4862"/>
    </bk>
    <bk>
      <rc t="1" v="4863"/>
    </bk>
    <bk>
      <rc t="1" v="4864"/>
    </bk>
    <bk>
      <rc t="1" v="4865"/>
    </bk>
    <bk>
      <rc t="1" v="4866"/>
    </bk>
    <bk>
      <rc t="1" v="4867"/>
    </bk>
    <bk>
      <rc t="1" v="4868"/>
    </bk>
    <bk>
      <rc t="1" v="4869"/>
    </bk>
    <bk>
      <rc t="1" v="4870"/>
    </bk>
    <bk>
      <rc t="1" v="4871"/>
    </bk>
    <bk>
      <rc t="1" v="4872"/>
    </bk>
    <bk>
      <rc t="1" v="4873"/>
    </bk>
    <bk>
      <rc t="1" v="4874"/>
    </bk>
    <bk>
      <rc t="1" v="4875"/>
    </bk>
    <bk>
      <rc t="1" v="4876"/>
    </bk>
    <bk>
      <rc t="1" v="4877"/>
    </bk>
    <bk>
      <rc t="1" v="4878"/>
    </bk>
    <bk>
      <rc t="1" v="4879"/>
    </bk>
    <bk>
      <rc t="1" v="4880"/>
    </bk>
    <bk>
      <rc t="1" v="4881"/>
    </bk>
    <bk>
      <rc t="1" v="4882"/>
    </bk>
    <bk>
      <rc t="1" v="4883"/>
    </bk>
    <bk>
      <rc t="1" v="4884"/>
    </bk>
    <bk>
      <rc t="1" v="4885"/>
    </bk>
    <bk>
      <rc t="1" v="4886"/>
    </bk>
    <bk>
      <rc t="1" v="4887"/>
    </bk>
    <bk>
      <rc t="1" v="4888"/>
    </bk>
    <bk>
      <rc t="1" v="4889"/>
    </bk>
    <bk>
      <rc t="1" v="4890"/>
    </bk>
    <bk>
      <rc t="1" v="4891"/>
    </bk>
    <bk>
      <rc t="1" v="4892"/>
    </bk>
    <bk>
      <rc t="1" v="4893"/>
    </bk>
    <bk>
      <rc t="1" v="4894"/>
    </bk>
    <bk>
      <rc t="1" v="4895"/>
    </bk>
    <bk>
      <rc t="1" v="4896"/>
    </bk>
    <bk>
      <rc t="1" v="4897"/>
    </bk>
    <bk>
      <rc t="1" v="4898"/>
    </bk>
    <bk>
      <rc t="1" v="4899"/>
    </bk>
    <bk>
      <rc t="1" v="4900"/>
    </bk>
    <bk>
      <rc t="1" v="4901"/>
    </bk>
    <bk>
      <rc t="1" v="4902"/>
    </bk>
    <bk>
      <rc t="1" v="4903"/>
    </bk>
    <bk>
      <rc t="1" v="4904"/>
    </bk>
    <bk>
      <rc t="1" v="4905"/>
    </bk>
    <bk>
      <rc t="1" v="4906"/>
    </bk>
    <bk>
      <rc t="1" v="4907"/>
    </bk>
    <bk>
      <rc t="1" v="4908"/>
    </bk>
    <bk>
      <rc t="1" v="4909"/>
    </bk>
    <bk>
      <rc t="1" v="4910"/>
    </bk>
    <bk>
      <rc t="1" v="4911"/>
    </bk>
    <bk>
      <rc t="1" v="4912"/>
    </bk>
    <bk>
      <rc t="1" v="4913"/>
    </bk>
    <bk>
      <rc t="1" v="4914"/>
    </bk>
    <bk>
      <rc t="1" v="4915"/>
    </bk>
    <bk>
      <rc t="1" v="4916"/>
    </bk>
    <bk>
      <rc t="1" v="4917"/>
    </bk>
    <bk>
      <rc t="1" v="4918"/>
    </bk>
    <bk>
      <rc t="1" v="4919"/>
    </bk>
    <bk>
      <rc t="1" v="4920"/>
    </bk>
    <bk>
      <rc t="1" v="4921"/>
    </bk>
    <bk>
      <rc t="1" v="4922"/>
    </bk>
    <bk>
      <rc t="1" v="4923"/>
    </bk>
    <bk>
      <rc t="1" v="4924"/>
    </bk>
    <bk>
      <rc t="1" v="4925"/>
    </bk>
    <bk>
      <rc t="1" v="4926"/>
    </bk>
    <bk>
      <rc t="1" v="4927"/>
    </bk>
    <bk>
      <rc t="1" v="4928"/>
    </bk>
    <bk>
      <rc t="1" v="4929"/>
    </bk>
    <bk>
      <rc t="1" v="4930"/>
    </bk>
    <bk>
      <rc t="1" v="4931"/>
    </bk>
    <bk>
      <rc t="1" v="4932"/>
    </bk>
    <bk>
      <rc t="1" v="4933"/>
    </bk>
    <bk>
      <rc t="1" v="4934"/>
    </bk>
    <bk>
      <rc t="1" v="4935"/>
    </bk>
    <bk>
      <rc t="1" v="4936"/>
    </bk>
    <bk>
      <rc t="1" v="4937"/>
    </bk>
    <bk>
      <rc t="1" v="4938"/>
    </bk>
    <bk>
      <rc t="1" v="4939"/>
    </bk>
    <bk>
      <rc t="1" v="4940"/>
    </bk>
    <bk>
      <rc t="1" v="4941"/>
    </bk>
    <bk>
      <rc t="1" v="4942"/>
    </bk>
    <bk>
      <rc t="1" v="4943"/>
    </bk>
    <bk>
      <rc t="1" v="4944"/>
    </bk>
    <bk>
      <rc t="1" v="4945"/>
    </bk>
    <bk>
      <rc t="1" v="4946"/>
    </bk>
    <bk>
      <rc t="1" v="4947"/>
    </bk>
    <bk>
      <rc t="1" v="4948"/>
    </bk>
    <bk>
      <rc t="1" v="4949"/>
    </bk>
    <bk>
      <rc t="1" v="4950"/>
    </bk>
    <bk>
      <rc t="1" v="4951"/>
    </bk>
    <bk>
      <rc t="1" v="4952"/>
    </bk>
    <bk>
      <rc t="1" v="4953"/>
    </bk>
    <bk>
      <rc t="1" v="4954"/>
    </bk>
    <bk>
      <rc t="1" v="4955"/>
    </bk>
    <bk>
      <rc t="1" v="4956"/>
    </bk>
    <bk>
      <rc t="1" v="4957"/>
    </bk>
    <bk>
      <rc t="1" v="4958"/>
    </bk>
    <bk>
      <rc t="1" v="4959"/>
    </bk>
    <bk>
      <rc t="1" v="4960"/>
    </bk>
    <bk>
      <rc t="1" v="4961"/>
    </bk>
    <bk>
      <rc t="1" v="4962"/>
    </bk>
    <bk>
      <rc t="1" v="4963"/>
    </bk>
    <bk>
      <rc t="1" v="4964"/>
    </bk>
    <bk>
      <rc t="1" v="4965"/>
    </bk>
    <bk>
      <rc t="1" v="4966"/>
    </bk>
    <bk>
      <rc t="1" v="4967"/>
    </bk>
    <bk>
      <rc t="1" v="4968"/>
    </bk>
    <bk>
      <rc t="1" v="4969"/>
    </bk>
    <bk>
      <rc t="1" v="4970"/>
    </bk>
    <bk>
      <rc t="1" v="4971"/>
    </bk>
    <bk>
      <rc t="1" v="4972"/>
    </bk>
    <bk>
      <rc t="1" v="4973"/>
    </bk>
    <bk>
      <rc t="1" v="4974"/>
    </bk>
    <bk>
      <rc t="1" v="4975"/>
    </bk>
    <bk>
      <rc t="1" v="4976"/>
    </bk>
    <bk>
      <rc t="1" v="4977"/>
    </bk>
    <bk>
      <rc t="1" v="4978"/>
    </bk>
    <bk>
      <rc t="1" v="4979"/>
    </bk>
    <bk>
      <rc t="1" v="4980"/>
    </bk>
    <bk>
      <rc t="1" v="4981"/>
    </bk>
    <bk>
      <rc t="1" v="4982"/>
    </bk>
    <bk>
      <rc t="1" v="4983"/>
    </bk>
    <bk>
      <rc t="1" v="4984"/>
    </bk>
    <bk>
      <rc t="1" v="4985"/>
    </bk>
    <bk>
      <rc t="1" v="4986"/>
    </bk>
    <bk>
      <rc t="1" v="4987"/>
    </bk>
    <bk>
      <rc t="1" v="4988"/>
    </bk>
    <bk>
      <rc t="1" v="4989"/>
    </bk>
    <bk>
      <rc t="1" v="4990"/>
    </bk>
    <bk>
      <rc t="1" v="4991"/>
    </bk>
    <bk>
      <rc t="1" v="4992"/>
    </bk>
    <bk>
      <rc t="1" v="4993"/>
    </bk>
    <bk>
      <rc t="1" v="4994"/>
    </bk>
    <bk>
      <rc t="1" v="4995"/>
    </bk>
    <bk>
      <rc t="1" v="4996"/>
    </bk>
    <bk>
      <rc t="1" v="4997"/>
    </bk>
    <bk>
      <rc t="1" v="4998"/>
    </bk>
    <bk>
      <rc t="1" v="4999"/>
    </bk>
    <bk>
      <rc t="1" v="5000"/>
    </bk>
    <bk>
      <rc t="1" v="5001"/>
    </bk>
    <bk>
      <rc t="1" v="5002"/>
    </bk>
    <bk>
      <rc t="1" v="5003"/>
    </bk>
    <bk>
      <rc t="1" v="5004"/>
    </bk>
    <bk>
      <rc t="1" v="5005"/>
    </bk>
    <bk>
      <rc t="1" v="5006"/>
    </bk>
    <bk>
      <rc t="1" v="5007"/>
    </bk>
    <bk>
      <rc t="1" v="5008"/>
    </bk>
    <bk>
      <rc t="1" v="5009"/>
    </bk>
    <bk>
      <rc t="1" v="5010"/>
    </bk>
    <bk>
      <rc t="1" v="5011"/>
    </bk>
    <bk>
      <rc t="1" v="5012"/>
    </bk>
    <bk>
      <rc t="1" v="5013"/>
    </bk>
    <bk>
      <rc t="1" v="5014"/>
    </bk>
    <bk>
      <rc t="1" v="5015"/>
    </bk>
    <bk>
      <rc t="1" v="5016"/>
    </bk>
    <bk>
      <rc t="1" v="5017"/>
    </bk>
    <bk>
      <rc t="1" v="5018"/>
    </bk>
    <bk>
      <rc t="1" v="5019"/>
    </bk>
    <bk>
      <rc t="1" v="5020"/>
    </bk>
    <bk>
      <rc t="1" v="5021"/>
    </bk>
    <bk>
      <rc t="1" v="5022"/>
    </bk>
    <bk>
      <rc t="1" v="5023"/>
    </bk>
    <bk>
      <rc t="1" v="5024"/>
    </bk>
    <bk>
      <rc t="1" v="5025"/>
    </bk>
    <bk>
      <rc t="1" v="5026"/>
    </bk>
    <bk>
      <rc t="1" v="5027"/>
    </bk>
    <bk>
      <rc t="1" v="5028"/>
    </bk>
    <bk>
      <rc t="1" v="5029"/>
    </bk>
    <bk>
      <rc t="1" v="5030"/>
    </bk>
    <bk>
      <rc t="1" v="5031"/>
    </bk>
    <bk>
      <rc t="1" v="5032"/>
    </bk>
    <bk>
      <rc t="1" v="5033"/>
    </bk>
    <bk>
      <rc t="1" v="5034"/>
    </bk>
    <bk>
      <rc t="1" v="5035"/>
    </bk>
    <bk>
      <rc t="1" v="5036"/>
    </bk>
    <bk>
      <rc t="1" v="5037"/>
    </bk>
    <bk>
      <rc t="1" v="5038"/>
    </bk>
    <bk>
      <rc t="1" v="5039"/>
    </bk>
    <bk>
      <rc t="1" v="5040"/>
    </bk>
    <bk>
      <rc t="1" v="5041"/>
    </bk>
    <bk>
      <rc t="1" v="5042"/>
    </bk>
    <bk>
      <rc t="1" v="5043"/>
    </bk>
    <bk>
      <rc t="1" v="5044"/>
    </bk>
    <bk>
      <rc t="1" v="5045"/>
    </bk>
    <bk>
      <rc t="1" v="5046"/>
    </bk>
    <bk>
      <rc t="1" v="5047"/>
    </bk>
    <bk>
      <rc t="1" v="5048"/>
    </bk>
    <bk>
      <rc t="1" v="5049"/>
    </bk>
    <bk>
      <rc t="1" v="5050"/>
    </bk>
    <bk>
      <rc t="1" v="5051"/>
    </bk>
    <bk>
      <rc t="1" v="5052"/>
    </bk>
    <bk>
      <rc t="1" v="5053"/>
    </bk>
    <bk>
      <rc t="1" v="5054"/>
    </bk>
    <bk>
      <rc t="1" v="5055"/>
    </bk>
    <bk>
      <rc t="1" v="5056"/>
    </bk>
    <bk>
      <rc t="1" v="5057"/>
    </bk>
    <bk>
      <rc t="1" v="5058"/>
    </bk>
    <bk>
      <rc t="1" v="5059"/>
    </bk>
    <bk>
      <rc t="1" v="5060"/>
    </bk>
    <bk>
      <rc t="1" v="5061"/>
    </bk>
    <bk>
      <rc t="1" v="5062"/>
    </bk>
    <bk>
      <rc t="1" v="5063"/>
    </bk>
    <bk>
      <rc t="1" v="5064"/>
    </bk>
    <bk>
      <rc t="1" v="5065"/>
    </bk>
    <bk>
      <rc t="1" v="5066"/>
    </bk>
    <bk>
      <rc t="1" v="5067"/>
    </bk>
    <bk>
      <rc t="1" v="5068"/>
    </bk>
    <bk>
      <rc t="1" v="5069"/>
    </bk>
    <bk>
      <rc t="1" v="5070"/>
    </bk>
    <bk>
      <rc t="1" v="5071"/>
    </bk>
    <bk>
      <rc t="1" v="5072"/>
    </bk>
    <bk>
      <rc t="1" v="5073"/>
    </bk>
    <bk>
      <rc t="1" v="5074"/>
    </bk>
    <bk>
      <rc t="1" v="5075"/>
    </bk>
    <bk>
      <rc t="1" v="5076"/>
    </bk>
    <bk>
      <rc t="1" v="5077"/>
    </bk>
    <bk>
      <rc t="1" v="5078"/>
    </bk>
    <bk>
      <rc t="1" v="5079"/>
    </bk>
    <bk>
      <rc t="1" v="5080"/>
    </bk>
    <bk>
      <rc t="1" v="5081"/>
    </bk>
    <bk>
      <rc t="1" v="5082"/>
    </bk>
    <bk>
      <rc t="1" v="5083"/>
    </bk>
    <bk>
      <rc t="1" v="5084"/>
    </bk>
    <bk>
      <rc t="1" v="5085"/>
    </bk>
    <bk>
      <rc t="1" v="5086"/>
    </bk>
    <bk>
      <rc t="1" v="5087"/>
    </bk>
    <bk>
      <rc t="1" v="5088"/>
    </bk>
    <bk>
      <rc t="1" v="5089"/>
    </bk>
    <bk>
      <rc t="1" v="5090"/>
    </bk>
    <bk>
      <rc t="1" v="5091"/>
    </bk>
    <bk>
      <rc t="1" v="5092"/>
    </bk>
    <bk>
      <rc t="1" v="5093"/>
    </bk>
    <bk>
      <rc t="1" v="5094"/>
    </bk>
    <bk>
      <rc t="1" v="5095"/>
    </bk>
    <bk>
      <rc t="1" v="5096"/>
    </bk>
    <bk>
      <rc t="1" v="5097"/>
    </bk>
    <bk>
      <rc t="1" v="5098"/>
    </bk>
    <bk>
      <rc t="1" v="5099"/>
    </bk>
    <bk>
      <rc t="1" v="5100"/>
    </bk>
    <bk>
      <rc t="1" v="5101"/>
    </bk>
    <bk>
      <rc t="1" v="5102"/>
    </bk>
    <bk>
      <rc t="1" v="5103"/>
    </bk>
    <bk>
      <rc t="1" v="5104"/>
    </bk>
    <bk>
      <rc t="1" v="5105"/>
    </bk>
    <bk>
      <rc t="1" v="5106"/>
    </bk>
    <bk>
      <rc t="1" v="5107"/>
    </bk>
    <bk>
      <rc t="1" v="5108"/>
    </bk>
    <bk>
      <rc t="1" v="5109"/>
    </bk>
    <bk>
      <rc t="1" v="5110"/>
    </bk>
    <bk>
      <rc t="1" v="5111"/>
    </bk>
    <bk>
      <rc t="1" v="5112"/>
    </bk>
    <bk>
      <rc t="1" v="5113"/>
    </bk>
    <bk>
      <rc t="1" v="5114"/>
    </bk>
    <bk>
      <rc t="1" v="5115"/>
    </bk>
    <bk>
      <rc t="1" v="5116"/>
    </bk>
    <bk>
      <rc t="1" v="5117"/>
    </bk>
    <bk>
      <rc t="1" v="5118"/>
    </bk>
    <bk>
      <rc t="1" v="5119"/>
    </bk>
    <bk>
      <rc t="1" v="5120"/>
    </bk>
    <bk>
      <rc t="1" v="5121"/>
    </bk>
    <bk>
      <rc t="1" v="5122"/>
    </bk>
    <bk>
      <rc t="1" v="5123"/>
    </bk>
    <bk>
      <rc t="1" v="5124"/>
    </bk>
    <bk>
      <rc t="1" v="5125"/>
    </bk>
    <bk>
      <rc t="1" v="5126"/>
    </bk>
    <bk>
      <rc t="1" v="5127"/>
    </bk>
    <bk>
      <rc t="1" v="5128"/>
    </bk>
    <bk>
      <rc t="1" v="5129"/>
    </bk>
    <bk>
      <rc t="1" v="5130"/>
    </bk>
    <bk>
      <rc t="1" v="5131"/>
    </bk>
    <bk>
      <rc t="1" v="5132"/>
    </bk>
    <bk>
      <rc t="1" v="5133"/>
    </bk>
    <bk>
      <rc t="1" v="5134"/>
    </bk>
    <bk>
      <rc t="1" v="5135"/>
    </bk>
    <bk>
      <rc t="1" v="5136"/>
    </bk>
    <bk>
      <rc t="1" v="5137"/>
    </bk>
    <bk>
      <rc t="1" v="5138"/>
    </bk>
    <bk>
      <rc t="1" v="5139"/>
    </bk>
    <bk>
      <rc t="1" v="5140"/>
    </bk>
    <bk>
      <rc t="1" v="5141"/>
    </bk>
    <bk>
      <rc t="1" v="5142"/>
    </bk>
    <bk>
      <rc t="1" v="5143"/>
    </bk>
    <bk>
      <rc t="1" v="5144"/>
    </bk>
    <bk>
      <rc t="1" v="5145"/>
    </bk>
    <bk>
      <rc t="1" v="5146"/>
    </bk>
    <bk>
      <rc t="1" v="5147"/>
    </bk>
    <bk>
      <rc t="1" v="5148"/>
    </bk>
    <bk>
      <rc t="1" v="5149"/>
    </bk>
    <bk>
      <rc t="1" v="5150"/>
    </bk>
    <bk>
      <rc t="1" v="5151"/>
    </bk>
    <bk>
      <rc t="1" v="5152"/>
    </bk>
    <bk>
      <rc t="1" v="5153"/>
    </bk>
    <bk>
      <rc t="1" v="5154"/>
    </bk>
    <bk>
      <rc t="1" v="5155"/>
    </bk>
    <bk>
      <rc t="1" v="5156"/>
    </bk>
    <bk>
      <rc t="1" v="5157"/>
    </bk>
    <bk>
      <rc t="1" v="5158"/>
    </bk>
    <bk>
      <rc t="1" v="5159"/>
    </bk>
    <bk>
      <rc t="1" v="5160"/>
    </bk>
    <bk>
      <rc t="1" v="5161"/>
    </bk>
    <bk>
      <rc t="1" v="5162"/>
    </bk>
    <bk>
      <rc t="1" v="5163"/>
    </bk>
    <bk>
      <rc t="1" v="5164"/>
    </bk>
    <bk>
      <rc t="1" v="5165"/>
    </bk>
    <bk>
      <rc t="1" v="5166"/>
    </bk>
    <bk>
      <rc t="1" v="5167"/>
    </bk>
    <bk>
      <rc t="1" v="5168"/>
    </bk>
    <bk>
      <rc t="1" v="5169"/>
    </bk>
    <bk>
      <rc t="1" v="5170"/>
    </bk>
    <bk>
      <rc t="1" v="5171"/>
    </bk>
    <bk>
      <rc t="1" v="5172"/>
    </bk>
    <bk>
      <rc t="1" v="5173"/>
    </bk>
    <bk>
      <rc t="1" v="5174"/>
    </bk>
    <bk>
      <rc t="1" v="5175"/>
    </bk>
    <bk>
      <rc t="1" v="5176"/>
    </bk>
    <bk>
      <rc t="1" v="5177"/>
    </bk>
    <bk>
      <rc t="1" v="5178"/>
    </bk>
    <bk>
      <rc t="1" v="5179"/>
    </bk>
    <bk>
      <rc t="1" v="5180"/>
    </bk>
    <bk>
      <rc t="1" v="5181"/>
    </bk>
    <bk>
      <rc t="1" v="5182"/>
    </bk>
    <bk>
      <rc t="1" v="5183"/>
    </bk>
    <bk>
      <rc t="1" v="5184"/>
    </bk>
    <bk>
      <rc t="1" v="5185"/>
    </bk>
    <bk>
      <rc t="1" v="5186"/>
    </bk>
    <bk>
      <rc t="1" v="5187"/>
    </bk>
    <bk>
      <rc t="1" v="5188"/>
    </bk>
    <bk>
      <rc t="1" v="5189"/>
    </bk>
    <bk>
      <rc t="1" v="5190"/>
    </bk>
    <bk>
      <rc t="1" v="5191"/>
    </bk>
    <bk>
      <rc t="1" v="5192"/>
    </bk>
    <bk>
      <rc t="1" v="5193"/>
    </bk>
    <bk>
      <rc t="1" v="5194"/>
    </bk>
    <bk>
      <rc t="1" v="5195"/>
    </bk>
    <bk>
      <rc t="1" v="5196"/>
    </bk>
    <bk>
      <rc t="1" v="5197"/>
    </bk>
    <bk>
      <rc t="1" v="5198"/>
    </bk>
    <bk>
      <rc t="1" v="5199"/>
    </bk>
    <bk>
      <rc t="1" v="5200"/>
    </bk>
    <bk>
      <rc t="1" v="5201"/>
    </bk>
    <bk>
      <rc t="1" v="5202"/>
    </bk>
    <bk>
      <rc t="1" v="5203"/>
    </bk>
    <bk>
      <rc t="1" v="5204"/>
    </bk>
    <bk>
      <rc t="1" v="5205"/>
    </bk>
    <bk>
      <rc t="1" v="5206"/>
    </bk>
    <bk>
      <rc t="1" v="5207"/>
    </bk>
    <bk>
      <rc t="1" v="5208"/>
    </bk>
    <bk>
      <rc t="1" v="5209"/>
    </bk>
    <bk>
      <rc t="1" v="5210"/>
    </bk>
    <bk>
      <rc t="1" v="5211"/>
    </bk>
    <bk>
      <rc t="1" v="5212"/>
    </bk>
    <bk>
      <rc t="1" v="5213"/>
    </bk>
    <bk>
      <rc t="1" v="5214"/>
    </bk>
    <bk>
      <rc t="1" v="5215"/>
    </bk>
    <bk>
      <rc t="1" v="5216"/>
    </bk>
    <bk>
      <rc t="1" v="5217"/>
    </bk>
    <bk>
      <rc t="1" v="5218"/>
    </bk>
    <bk>
      <rc t="1" v="5219"/>
    </bk>
    <bk>
      <rc t="1" v="5220"/>
    </bk>
    <bk>
      <rc t="1" v="5221"/>
    </bk>
    <bk>
      <rc t="1" v="5222"/>
    </bk>
    <bk>
      <rc t="1" v="5223"/>
    </bk>
    <bk>
      <rc t="1" v="5224"/>
    </bk>
    <bk>
      <rc t="1" v="5225"/>
    </bk>
    <bk>
      <rc t="1" v="5226"/>
    </bk>
    <bk>
      <rc t="1" v="5227"/>
    </bk>
    <bk>
      <rc t="1" v="5228"/>
    </bk>
    <bk>
      <rc t="1" v="5229"/>
    </bk>
    <bk>
      <rc t="1" v="5230"/>
    </bk>
    <bk>
      <rc t="1" v="5231"/>
    </bk>
    <bk>
      <rc t="1" v="5232"/>
    </bk>
    <bk>
      <rc t="1" v="5233"/>
    </bk>
    <bk>
      <rc t="1" v="5234"/>
    </bk>
    <bk>
      <rc t="1" v="5235"/>
    </bk>
    <bk>
      <rc t="1" v="5236"/>
    </bk>
    <bk>
      <rc t="1" v="5237"/>
    </bk>
    <bk>
      <rc t="1" v="5238"/>
    </bk>
    <bk>
      <rc t="1" v="5239"/>
    </bk>
    <bk>
      <rc t="1" v="5240"/>
    </bk>
    <bk>
      <rc t="1" v="5241"/>
    </bk>
    <bk>
      <rc t="1" v="5242"/>
    </bk>
    <bk>
      <rc t="1" v="5243"/>
    </bk>
    <bk>
      <rc t="1" v="5244"/>
    </bk>
    <bk>
      <rc t="1" v="5245"/>
    </bk>
    <bk>
      <rc t="1" v="5246"/>
    </bk>
    <bk>
      <rc t="1" v="5247"/>
    </bk>
    <bk>
      <rc t="1" v="5248"/>
    </bk>
    <bk>
      <rc t="1" v="5249"/>
    </bk>
    <bk>
      <rc t="1" v="5250"/>
    </bk>
    <bk>
      <rc t="1" v="5251"/>
    </bk>
    <bk>
      <rc t="1" v="5252"/>
    </bk>
    <bk>
      <rc t="1" v="5253"/>
    </bk>
    <bk>
      <rc t="1" v="5254"/>
    </bk>
    <bk>
      <rc t="1" v="5255"/>
    </bk>
    <bk>
      <rc t="1" v="5256"/>
    </bk>
    <bk>
      <rc t="1" v="5257"/>
    </bk>
    <bk>
      <rc t="1" v="5258"/>
    </bk>
    <bk>
      <rc t="1" v="5259"/>
    </bk>
    <bk>
      <rc t="1" v="5260"/>
    </bk>
    <bk>
      <rc t="1" v="5261"/>
    </bk>
    <bk>
      <rc t="1" v="5262"/>
    </bk>
    <bk>
      <rc t="1" v="5263"/>
    </bk>
    <bk>
      <rc t="1" v="5264"/>
    </bk>
    <bk>
      <rc t="1" v="5265"/>
    </bk>
    <bk>
      <rc t="1" v="5266"/>
    </bk>
    <bk>
      <rc t="1" v="5267"/>
    </bk>
    <bk>
      <rc t="1" v="5268"/>
    </bk>
    <bk>
      <rc t="1" v="5269"/>
    </bk>
    <bk>
      <rc t="1" v="5270"/>
    </bk>
    <bk>
      <rc t="1" v="5271"/>
    </bk>
    <bk>
      <rc t="1" v="5272"/>
    </bk>
    <bk>
      <rc t="1" v="5273"/>
    </bk>
    <bk>
      <rc t="1" v="5274"/>
    </bk>
    <bk>
      <rc t="1" v="5275"/>
    </bk>
    <bk>
      <rc t="1" v="5276"/>
    </bk>
    <bk>
      <rc t="1" v="5277"/>
    </bk>
    <bk>
      <rc t="1" v="5278"/>
    </bk>
    <bk>
      <rc t="1" v="5279"/>
    </bk>
    <bk>
      <rc t="1" v="5280"/>
    </bk>
    <bk>
      <rc t="1" v="5281"/>
    </bk>
    <bk>
      <rc t="1" v="5282"/>
    </bk>
    <bk>
      <rc t="1" v="5283"/>
    </bk>
    <bk>
      <rc t="1" v="5284"/>
    </bk>
    <bk>
      <rc t="1" v="5285"/>
    </bk>
    <bk>
      <rc t="1" v="5286"/>
    </bk>
    <bk>
      <rc t="1" v="5287"/>
    </bk>
    <bk>
      <rc t="1" v="5288"/>
    </bk>
    <bk>
      <rc t="1" v="5289"/>
    </bk>
    <bk>
      <rc t="1" v="5290"/>
    </bk>
    <bk>
      <rc t="1" v="5291"/>
    </bk>
    <bk>
      <rc t="1" v="5292"/>
    </bk>
    <bk>
      <rc t="1" v="5293"/>
    </bk>
    <bk>
      <rc t="1" v="5294"/>
    </bk>
    <bk>
      <rc t="1" v="5295"/>
    </bk>
    <bk>
      <rc t="1" v="5296"/>
    </bk>
    <bk>
      <rc t="1" v="5297"/>
    </bk>
    <bk>
      <rc t="1" v="5298"/>
    </bk>
    <bk>
      <rc t="1" v="5299"/>
    </bk>
    <bk>
      <rc t="1" v="5300"/>
    </bk>
    <bk>
      <rc t="1" v="5301"/>
    </bk>
    <bk>
      <rc t="1" v="5302"/>
    </bk>
    <bk>
      <rc t="1" v="5303"/>
    </bk>
    <bk>
      <rc t="1" v="5304"/>
    </bk>
    <bk>
      <rc t="1" v="5305"/>
    </bk>
    <bk>
      <rc t="1" v="5306"/>
    </bk>
    <bk>
      <rc t="1" v="5307"/>
    </bk>
    <bk>
      <rc t="1" v="5308"/>
    </bk>
    <bk>
      <rc t="1" v="5309"/>
    </bk>
    <bk>
      <rc t="1" v="5310"/>
    </bk>
    <bk>
      <rc t="1" v="5311"/>
    </bk>
    <bk>
      <rc t="1" v="5312"/>
    </bk>
    <bk>
      <rc t="1" v="5313"/>
    </bk>
    <bk>
      <rc t="1" v="5314"/>
    </bk>
    <bk>
      <rc t="1" v="5315"/>
    </bk>
    <bk>
      <rc t="1" v="5316"/>
    </bk>
    <bk>
      <rc t="1" v="5317"/>
    </bk>
    <bk>
      <rc t="1" v="5318"/>
    </bk>
    <bk>
      <rc t="1" v="5319"/>
    </bk>
    <bk>
      <rc t="1" v="5320"/>
    </bk>
    <bk>
      <rc t="1" v="5321"/>
    </bk>
    <bk>
      <rc t="1" v="5322"/>
    </bk>
    <bk>
      <rc t="1" v="5323"/>
    </bk>
    <bk>
      <rc t="1" v="5324"/>
    </bk>
    <bk>
      <rc t="1" v="5325"/>
    </bk>
    <bk>
      <rc t="1" v="5326"/>
    </bk>
    <bk>
      <rc t="1" v="5327"/>
    </bk>
    <bk>
      <rc t="1" v="5328"/>
    </bk>
    <bk>
      <rc t="1" v="5329"/>
    </bk>
    <bk>
      <rc t="1" v="5330"/>
    </bk>
    <bk>
      <rc t="1" v="5331"/>
    </bk>
    <bk>
      <rc t="1" v="5332"/>
    </bk>
    <bk>
      <rc t="1" v="5333"/>
    </bk>
    <bk>
      <rc t="1" v="5334"/>
    </bk>
    <bk>
      <rc t="1" v="5335"/>
    </bk>
    <bk>
      <rc t="1" v="5336"/>
    </bk>
    <bk>
      <rc t="1" v="5337"/>
    </bk>
    <bk>
      <rc t="1" v="5338"/>
    </bk>
    <bk>
      <rc t="1" v="5339"/>
    </bk>
    <bk>
      <rc t="1" v="5340"/>
    </bk>
    <bk>
      <rc t="1" v="5341"/>
    </bk>
    <bk>
      <rc t="1" v="5342"/>
    </bk>
    <bk>
      <rc t="1" v="5343"/>
    </bk>
    <bk>
      <rc t="1" v="5344"/>
    </bk>
    <bk>
      <rc t="1" v="5345"/>
    </bk>
    <bk>
      <rc t="1" v="5346"/>
    </bk>
    <bk>
      <rc t="1" v="5347"/>
    </bk>
    <bk>
      <rc t="1" v="5348"/>
    </bk>
    <bk>
      <rc t="1" v="5349"/>
    </bk>
    <bk>
      <rc t="1" v="5350"/>
    </bk>
    <bk>
      <rc t="1" v="5351"/>
    </bk>
    <bk>
      <rc t="1" v="5352"/>
    </bk>
    <bk>
      <rc t="1" v="5353"/>
    </bk>
    <bk>
      <rc t="1" v="5354"/>
    </bk>
    <bk>
      <rc t="1" v="5355"/>
    </bk>
    <bk>
      <rc t="1" v="5356"/>
    </bk>
    <bk>
      <rc t="1" v="5357"/>
    </bk>
    <bk>
      <rc t="1" v="5358"/>
    </bk>
    <bk>
      <rc t="1" v="5359"/>
    </bk>
    <bk>
      <rc t="1" v="5360"/>
    </bk>
    <bk>
      <rc t="1" v="5361"/>
    </bk>
    <bk>
      <rc t="1" v="5362"/>
    </bk>
    <bk>
      <rc t="1" v="5363"/>
    </bk>
    <bk>
      <rc t="1" v="5364"/>
    </bk>
    <bk>
      <rc t="1" v="5365"/>
    </bk>
    <bk>
      <rc t="1" v="5366"/>
    </bk>
    <bk>
      <rc t="1" v="5367"/>
    </bk>
    <bk>
      <rc t="1" v="5368"/>
    </bk>
    <bk>
      <rc t="1" v="5369"/>
    </bk>
    <bk>
      <rc t="1" v="5370"/>
    </bk>
    <bk>
      <rc t="1" v="5371"/>
    </bk>
    <bk>
      <rc t="1" v="5372"/>
    </bk>
    <bk>
      <rc t="1" v="5373"/>
    </bk>
    <bk>
      <rc t="1" v="5374"/>
    </bk>
    <bk>
      <rc t="1" v="5375"/>
    </bk>
    <bk>
      <rc t="1" v="5376"/>
    </bk>
    <bk>
      <rc t="1" v="5377"/>
    </bk>
    <bk>
      <rc t="1" v="5378"/>
    </bk>
    <bk>
      <rc t="1" v="5379"/>
    </bk>
    <bk>
      <rc t="1" v="5380"/>
    </bk>
    <bk>
      <rc t="1" v="5381"/>
    </bk>
    <bk>
      <rc t="1" v="5382"/>
    </bk>
    <bk>
      <rc t="1" v="5383"/>
    </bk>
    <bk>
      <rc t="1" v="5384"/>
    </bk>
    <bk>
      <rc t="1" v="5385"/>
    </bk>
    <bk>
      <rc t="1" v="5386"/>
    </bk>
    <bk>
      <rc t="1" v="5387"/>
    </bk>
    <bk>
      <rc t="1" v="5388"/>
    </bk>
    <bk>
      <rc t="1" v="5389"/>
    </bk>
    <bk>
      <rc t="1" v="5390"/>
    </bk>
    <bk>
      <rc t="1" v="5391"/>
    </bk>
    <bk>
      <rc t="1" v="5392"/>
    </bk>
    <bk>
      <rc t="1" v="5393"/>
    </bk>
    <bk>
      <rc t="1" v="5394"/>
    </bk>
    <bk>
      <rc t="1" v="5395"/>
    </bk>
    <bk>
      <rc t="1" v="5396"/>
    </bk>
    <bk>
      <rc t="1" v="5397"/>
    </bk>
    <bk>
      <rc t="1" v="5398"/>
    </bk>
    <bk>
      <rc t="1" v="5399"/>
    </bk>
    <bk>
      <rc t="1" v="5400"/>
    </bk>
    <bk>
      <rc t="1" v="5401"/>
    </bk>
    <bk>
      <rc t="1" v="5402"/>
    </bk>
    <bk>
      <rc t="1" v="5403"/>
    </bk>
    <bk>
      <rc t="1" v="5404"/>
    </bk>
    <bk>
      <rc t="1" v="5405"/>
    </bk>
    <bk>
      <rc t="1" v="5406"/>
    </bk>
    <bk>
      <rc t="1" v="5407"/>
    </bk>
    <bk>
      <rc t="1" v="5408"/>
    </bk>
    <bk>
      <rc t="1" v="5409"/>
    </bk>
    <bk>
      <rc t="1" v="5410"/>
    </bk>
    <bk>
      <rc t="1" v="5411"/>
    </bk>
    <bk>
      <rc t="1" v="5412"/>
    </bk>
    <bk>
      <rc t="1" v="5413"/>
    </bk>
    <bk>
      <rc t="1" v="5414"/>
    </bk>
    <bk>
      <rc t="1" v="5415"/>
    </bk>
    <bk>
      <rc t="1" v="5416"/>
    </bk>
    <bk>
      <rc t="1" v="5417"/>
    </bk>
    <bk>
      <rc t="1" v="5418"/>
    </bk>
    <bk>
      <rc t="1" v="5419"/>
    </bk>
    <bk>
      <rc t="1" v="5420"/>
    </bk>
    <bk>
      <rc t="1" v="5421"/>
    </bk>
    <bk>
      <rc t="1" v="5422"/>
    </bk>
    <bk>
      <rc t="1" v="5423"/>
    </bk>
    <bk>
      <rc t="1" v="5424"/>
    </bk>
    <bk>
      <rc t="1" v="5425"/>
    </bk>
    <bk>
      <rc t="1" v="5426"/>
    </bk>
    <bk>
      <rc t="1" v="5427"/>
    </bk>
    <bk>
      <rc t="1" v="5428"/>
    </bk>
    <bk>
      <rc t="1" v="5429"/>
    </bk>
    <bk>
      <rc t="1" v="5430"/>
    </bk>
    <bk>
      <rc t="1" v="5431"/>
    </bk>
    <bk>
      <rc t="1" v="5432"/>
    </bk>
    <bk>
      <rc t="1" v="5433"/>
    </bk>
    <bk>
      <rc t="1" v="5434"/>
    </bk>
    <bk>
      <rc t="1" v="5435"/>
    </bk>
    <bk>
      <rc t="1" v="5436"/>
    </bk>
    <bk>
      <rc t="1" v="5437"/>
    </bk>
    <bk>
      <rc t="1" v="5438"/>
    </bk>
    <bk>
      <rc t="1" v="5439"/>
    </bk>
    <bk>
      <rc t="1" v="5440"/>
    </bk>
    <bk>
      <rc t="1" v="5441"/>
    </bk>
    <bk>
      <rc t="1" v="5442"/>
    </bk>
    <bk>
      <rc t="1" v="5443"/>
    </bk>
    <bk>
      <rc t="1" v="5444"/>
    </bk>
    <bk>
      <rc t="1" v="5445"/>
    </bk>
    <bk>
      <rc t="1" v="5446"/>
    </bk>
    <bk>
      <rc t="1" v="5447"/>
    </bk>
    <bk>
      <rc t="1" v="5448"/>
    </bk>
    <bk>
      <rc t="1" v="5449"/>
    </bk>
    <bk>
      <rc t="1" v="5450"/>
    </bk>
    <bk>
      <rc t="1" v="5451"/>
    </bk>
    <bk>
      <rc t="1" v="5452"/>
    </bk>
    <bk>
      <rc t="1" v="5453"/>
    </bk>
    <bk>
      <rc t="1" v="5454"/>
    </bk>
    <bk>
      <rc t="1" v="5455"/>
    </bk>
    <bk>
      <rc t="1" v="5456"/>
    </bk>
    <bk>
      <rc t="1" v="5457"/>
    </bk>
    <bk>
      <rc t="1" v="5458"/>
    </bk>
    <bk>
      <rc t="1" v="5459"/>
    </bk>
    <bk>
      <rc t="1" v="5460"/>
    </bk>
    <bk>
      <rc t="1" v="5461"/>
    </bk>
    <bk>
      <rc t="1" v="5462"/>
    </bk>
    <bk>
      <rc t="1" v="5463"/>
    </bk>
    <bk>
      <rc t="1" v="5464"/>
    </bk>
    <bk>
      <rc t="1" v="5465"/>
    </bk>
    <bk>
      <rc t="1" v="5466"/>
    </bk>
    <bk>
      <rc t="1" v="5467"/>
    </bk>
    <bk>
      <rc t="1" v="5468"/>
    </bk>
    <bk>
      <rc t="1" v="5469"/>
    </bk>
    <bk>
      <rc t="1" v="5470"/>
    </bk>
    <bk>
      <rc t="1" v="5471"/>
    </bk>
    <bk>
      <rc t="1" v="5472"/>
    </bk>
    <bk>
      <rc t="1" v="5473"/>
    </bk>
    <bk>
      <rc t="1" v="5474"/>
    </bk>
    <bk>
      <rc t="1" v="5475"/>
    </bk>
    <bk>
      <rc t="1" v="5476"/>
    </bk>
    <bk>
      <rc t="1" v="5477"/>
    </bk>
    <bk>
      <rc t="1" v="5478"/>
    </bk>
    <bk>
      <rc t="1" v="5479"/>
    </bk>
    <bk>
      <rc t="1" v="5480"/>
    </bk>
    <bk>
      <rc t="1" v="5481"/>
    </bk>
    <bk>
      <rc t="1" v="5482"/>
    </bk>
    <bk>
      <rc t="1" v="5483"/>
    </bk>
    <bk>
      <rc t="1" v="5484"/>
    </bk>
    <bk>
      <rc t="1" v="5485"/>
    </bk>
    <bk>
      <rc t="1" v="5486"/>
    </bk>
    <bk>
      <rc t="1" v="5487"/>
    </bk>
    <bk>
      <rc t="1" v="5488"/>
    </bk>
    <bk>
      <rc t="1" v="5489"/>
    </bk>
    <bk>
      <rc t="1" v="5490"/>
    </bk>
    <bk>
      <rc t="1" v="5491"/>
    </bk>
    <bk>
      <rc t="1" v="5492"/>
    </bk>
    <bk>
      <rc t="1" v="5493"/>
    </bk>
    <bk>
      <rc t="1" v="5494"/>
    </bk>
    <bk>
      <rc t="1" v="5495"/>
    </bk>
    <bk>
      <rc t="1" v="5496"/>
    </bk>
    <bk>
      <rc t="1" v="5497"/>
    </bk>
    <bk>
      <rc t="1" v="5498"/>
    </bk>
    <bk>
      <rc t="1" v="5499"/>
    </bk>
    <bk>
      <rc t="1" v="5500"/>
    </bk>
    <bk>
      <rc t="1" v="5501"/>
    </bk>
    <bk>
      <rc t="1" v="5502"/>
    </bk>
    <bk>
      <rc t="1" v="5503"/>
    </bk>
    <bk>
      <rc t="1" v="5504"/>
    </bk>
    <bk>
      <rc t="1" v="5505"/>
    </bk>
    <bk>
      <rc t="1" v="5506"/>
    </bk>
    <bk>
      <rc t="1" v="5507"/>
    </bk>
    <bk>
      <rc t="1" v="5508"/>
    </bk>
    <bk>
      <rc t="1" v="5509"/>
    </bk>
    <bk>
      <rc t="1" v="5510"/>
    </bk>
    <bk>
      <rc t="1" v="5511"/>
    </bk>
    <bk>
      <rc t="1" v="5512"/>
    </bk>
    <bk>
      <rc t="1" v="5513"/>
    </bk>
    <bk>
      <rc t="1" v="5514"/>
    </bk>
    <bk>
      <rc t="1" v="5515"/>
    </bk>
    <bk>
      <rc t="1" v="5516"/>
    </bk>
    <bk>
      <rc t="1" v="5517"/>
    </bk>
    <bk>
      <rc t="1" v="5518"/>
    </bk>
  </valueMetadata>
</metadata>
</file>

<file path=xl/sharedStrings.xml><?xml version="1.0" encoding="utf-8"?>
<sst xmlns="http://schemas.openxmlformats.org/spreadsheetml/2006/main" count="183" uniqueCount="170">
  <si>
    <t>GDP and other output measures</t>
  </si>
  <si>
    <t>Original Source Data</t>
  </si>
  <si>
    <t>Column Labels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</si>
  <si>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</si>
  <si>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</si>
  <si>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</si>
  <si>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</si>
  <si>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</si>
  <si>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</si>
  <si>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</si>
  <si>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</si>
  <si>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</si>
  <si>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</si>
  <si>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</si>
  <si>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</si>
  <si>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</si>
  <si>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</si>
  <si>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</si>
  <si>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</si>
  <si>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</si>
  <si>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</si>
  <si>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</si>
  <si>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</si>
  <si>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</si>
  <si>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</si>
  <si>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</si>
  <si>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</si>
  <si>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</si>
  <si>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</si>
  <si>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</si>
  <si>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</si>
  <si>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</si>
  <si>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</si>
  <si>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</si>
  <si>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</si>
  <si>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</si>
  <si>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</si>
  <si>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</si>
  <si>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</si>
  <si>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</si>
  <si>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</si>
  <si>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</si>
  <si>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</si>
  <si>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</si>
  <si>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</si>
  <si>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</si>
  <si>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</si>
  <si>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</si>
  <si>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</si>
  <si>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</si>
  <si>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</si>
  <si>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</si>
  <si>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</si>
  <si>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Grand Total</t>
  </si>
  <si>
    <t>Row Labels</t>
  </si>
  <si>
    <t>China Mainland</t>
  </si>
  <si>
    <t>North</t>
  </si>
  <si>
    <t>South</t>
  </si>
  <si>
    <t>WDI Availability</t>
  </si>
  <si>
    <t>Units</t>
  </si>
  <si>
    <t>Industrial Sector (Agriculture/Manufacturing/etc)</t>
  </si>
  <si>
    <t>Item</t>
  </si>
  <si>
    <t>Expenditure Approach</t>
  </si>
  <si>
    <t>WDI2020</t>
  </si>
  <si>
    <t>(Multiple Items)</t>
  </si>
  <si>
    <t>USD</t>
  </si>
  <si>
    <t>Whole economy</t>
  </si>
  <si>
    <t>United States</t>
  </si>
  <si>
    <t>Spain</t>
  </si>
  <si>
    <t>United Kingdom</t>
  </si>
  <si>
    <t>Singapore</t>
  </si>
  <si>
    <t>Sweden</t>
  </si>
  <si>
    <t>Portugal</t>
  </si>
  <si>
    <t>Israel</t>
  </si>
  <si>
    <t>South Korea</t>
  </si>
  <si>
    <t>Netherlands</t>
  </si>
  <si>
    <t>Norway</t>
  </si>
  <si>
    <t>Japan</t>
  </si>
  <si>
    <t>Greece</t>
  </si>
  <si>
    <t>Italy</t>
  </si>
  <si>
    <t>Belgium</t>
  </si>
  <si>
    <t>Australia</t>
  </si>
  <si>
    <t>France</t>
  </si>
  <si>
    <t>Finland</t>
  </si>
  <si>
    <t>Austria</t>
  </si>
  <si>
    <t>Andorra</t>
  </si>
  <si>
    <t>Canada</t>
  </si>
  <si>
    <t>Denmark</t>
  </si>
  <si>
    <t>Germany</t>
  </si>
  <si>
    <t>Iceland</t>
  </si>
  <si>
    <t>Ireland</t>
  </si>
  <si>
    <t>Luxemburg</t>
  </si>
  <si>
    <t>Malta</t>
  </si>
  <si>
    <t>New Zealand</t>
  </si>
  <si>
    <t>Switzerland</t>
  </si>
  <si>
    <t>Algeria</t>
  </si>
  <si>
    <t>Argentina</t>
  </si>
  <si>
    <t>Bahamas</t>
  </si>
  <si>
    <t>Bangladesh</t>
  </si>
  <si>
    <t>Belize</t>
  </si>
  <si>
    <t>Benin</t>
  </si>
  <si>
    <t>Bolivia</t>
  </si>
  <si>
    <t>Botswana</t>
  </si>
  <si>
    <t>Brazil</t>
  </si>
  <si>
    <t>Burkina Faso</t>
  </si>
  <si>
    <t>Burundi</t>
  </si>
  <si>
    <t>Cameroon</t>
  </si>
  <si>
    <t>Central African Republic</t>
  </si>
  <si>
    <t>Chad</t>
  </si>
  <si>
    <t>Chile</t>
  </si>
  <si>
    <t>Colombia</t>
  </si>
  <si>
    <t>Congo DR</t>
  </si>
  <si>
    <t>Congo R</t>
  </si>
  <si>
    <t>Costa Rica</t>
  </si>
  <si>
    <t>Cote d'Ivoire</t>
  </si>
  <si>
    <t>Dominican Republic</t>
  </si>
  <si>
    <t>Ecuador</t>
  </si>
  <si>
    <t>El Salvador</t>
  </si>
  <si>
    <t>Fiji</t>
  </si>
  <si>
    <t>Gabon</t>
  </si>
  <si>
    <t>Gambia</t>
  </si>
  <si>
    <t>Ghana</t>
  </si>
  <si>
    <t>Guatemala</t>
  </si>
  <si>
    <t>Guinea-Bissau</t>
  </si>
  <si>
    <t>Guyana</t>
  </si>
  <si>
    <t>Haiti</t>
  </si>
  <si>
    <t>Honduras</t>
  </si>
  <si>
    <t>India</t>
  </si>
  <si>
    <t>Iraq</t>
  </si>
  <si>
    <t>Jamaica</t>
  </si>
  <si>
    <t>Kenya</t>
  </si>
  <si>
    <t>Kiribati</t>
  </si>
  <si>
    <t>Lesotho</t>
  </si>
  <si>
    <t>Madagascar</t>
  </si>
  <si>
    <t>Malawi</t>
  </si>
  <si>
    <t>Malaysia</t>
  </si>
  <si>
    <t>Mali</t>
  </si>
  <si>
    <t>Mauritania</t>
  </si>
  <si>
    <t>Mexico</t>
  </si>
  <si>
    <t>Morocco</t>
  </si>
  <si>
    <t>Nepal</t>
  </si>
  <si>
    <t>Nicaragua</t>
  </si>
  <si>
    <t>Niger</t>
  </si>
  <si>
    <t>Nigeria</t>
  </si>
  <si>
    <t>Oman</t>
  </si>
  <si>
    <t>Pakistan</t>
  </si>
  <si>
    <t>Panama</t>
  </si>
  <si>
    <t>Papua New Guinea</t>
  </si>
  <si>
    <t>Paraguay</t>
  </si>
  <si>
    <t>Peru</t>
  </si>
  <si>
    <t>Philippines</t>
  </si>
  <si>
    <t>Puerto Rico</t>
  </si>
  <si>
    <t>Rwanda</t>
  </si>
  <si>
    <t>Saudi Arabia</t>
  </si>
  <si>
    <t>Senegal</t>
  </si>
  <si>
    <t>Seychelles</t>
  </si>
  <si>
    <t>Sierra Leone</t>
  </si>
  <si>
    <t>South Africa</t>
  </si>
  <si>
    <t>Sri Lanka</t>
  </si>
  <si>
    <t>Sudan (Former)</t>
  </si>
  <si>
    <t>Suriname</t>
  </si>
  <si>
    <t>Swaziland</t>
  </si>
  <si>
    <t>Thailand</t>
  </si>
  <si>
    <t>Togo</t>
  </si>
  <si>
    <t>Trinidad and Tobago</t>
  </si>
  <si>
    <t>Tunisia</t>
  </si>
  <si>
    <t>Turkey</t>
  </si>
  <si>
    <t>Uruguay</t>
  </si>
  <si>
    <t>Zambia</t>
  </si>
  <si>
    <t>Zimbabwe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</si>
</sst>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20E8DF84-A70A-4B97-BCDD-3471FAB5B66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DESKTOP-KSAPEQM AS Model">
      <tp t="e">
        <v>#N/A</v>
        <stp>1</stp>
        <tr r="AZ54" s="7"/>
        <tr r="AZ49" s="7"/>
        <tr r="AZ65" s="7"/>
        <tr r="AZ62" s="7"/>
        <tr r="AZ51" s="7"/>
        <tr r="AZ63" s="7"/>
        <tr r="AZ58" s="7"/>
        <tr r="AZ45" s="7"/>
        <tr r="AZ53" s="7"/>
        <tr r="AZ48" s="7"/>
        <tr r="AZ60" s="7"/>
        <tr r="AZ55" s="7"/>
        <tr r="AZ50" s="7"/>
        <tr r="AZ77" s="7"/>
        <tr r="AZ67" s="7"/>
        <tr r="AZ72" s="7"/>
        <tr r="AZ43" s="7"/>
        <tr r="AZ57" s="7"/>
        <tr r="AZ52" s="7"/>
        <tr r="AZ46" s="7"/>
        <tr r="AZ47" s="7"/>
        <tr r="AZ73" s="7"/>
        <tr r="AZ59" s="7"/>
        <tr r="AZ41" s="7"/>
        <tr r="AZ44" s="7"/>
        <tr r="AZ61" s="7"/>
        <tr r="AZ69" s="7"/>
        <tr r="AZ85" s="7"/>
        <tr r="AZ64" s="7"/>
        <tr r="AZ70" s="7"/>
        <tr r="AZ81" s="7"/>
        <tr r="AZ76" s="7"/>
        <tr r="AZ83" s="7"/>
        <tr r="AZ93" s="7"/>
        <tr r="AZ71" s="7"/>
        <tr r="AZ78" s="7"/>
        <tr r="AZ66" s="7"/>
        <tr r="AZ56" s="7"/>
        <tr r="AZ80" s="7"/>
        <tr r="AZ86" s="7"/>
        <tr r="AZ87" s="7"/>
        <tr r="AZ89" s="7"/>
        <tr r="AZ105" s="7"/>
        <tr r="AZ75" s="7"/>
        <tr r="AZ100" s="7"/>
        <tr r="AZ82" s="7"/>
        <tr r="AZ96" s="7"/>
        <tr r="AZ74" s="7"/>
        <tr r="AZ97" s="7"/>
        <tr r="AZ112" s="7"/>
        <tr r="AZ94" s="7"/>
        <tr r="AZ103" s="7"/>
        <tr r="AZ98" s="7"/>
        <tr r="AZ84" s="7"/>
        <tr r="AZ88" s="7"/>
        <tr r="AZ95" s="7"/>
        <tr r="AZ113" s="7"/>
        <tr r="AZ114" s="7"/>
        <tr r="AZ90" s="7"/>
        <tr r="AZ108" s="7"/>
        <tr r="AZ79" s="7"/>
        <tr r="AZ91" s="7"/>
        <tr r="AZ107" s="7"/>
        <tr r="AZ109" s="7"/>
        <tr r="AZ102" s="7"/>
        <tr r="AZ110" s="7"/>
        <tr r="AZ92" s="7"/>
        <tr r="AZ104" s="7"/>
        <tr r="AZ68" s="7"/>
        <tr r="AZ99" s="7"/>
        <tr r="AZ106" s="7"/>
        <tr r="AZ111" s="7"/>
        <tr r="AZ101" s="7"/>
        <tr r="AZ42" s="7"/>
        <tr r="AZ40" s="7"/>
        <tr r="AQ115" s="7"/>
        <tr r="M115" s="7"/>
        <tr r="AC115" s="7"/>
        <tr r="N115" s="7"/>
        <tr r="AD115" s="7"/>
        <tr r="AT115" s="7"/>
        <tr r="P115" s="7"/>
        <tr r="O115" s="7"/>
        <tr r="AE115" s="7"/>
        <tr r="AU115" s="7"/>
        <tr r="AV115" s="7"/>
        <tr r="AF115" s="7"/>
        <tr r="AG115" s="7"/>
        <tr r="AW115" s="7"/>
        <tr r="AR115" s="7"/>
        <tr r="Q115" s="7"/>
        <tr r="B115" s="7"/>
        <tr r="R115" s="7"/>
        <tr r="AH115" s="7"/>
        <tr r="AX115" s="7"/>
        <tr r="S115" s="7"/>
        <tr r="AY115" s="7"/>
        <tr r="V115" s="7"/>
        <tr r="AS115" s="7"/>
        <tr r="C115" s="7"/>
        <tr r="AI115" s="7"/>
        <tr r="AL115" s="7"/>
        <tr r="D115" s="7"/>
        <tr r="T115" s="7"/>
        <tr r="AJ115" s="7"/>
        <tr r="AZ115" s="7"/>
        <tr r="E115" s="7"/>
        <tr r="AK115" s="7"/>
        <tr r="L115" s="7"/>
        <tr r="U115" s="7"/>
        <tr r="F115" s="7"/>
        <tr r="G115" s="7"/>
        <tr r="W115" s="7"/>
        <tr r="AM115" s="7"/>
        <tr r="Z115" s="7"/>
        <tr r="H115" s="7"/>
        <tr r="X115" s="7"/>
        <tr r="AN115" s="7"/>
        <tr r="J115" s="7"/>
        <tr r="K115" s="7"/>
        <tr r="I115" s="7"/>
        <tr r="Y115" s="7"/>
        <tr r="AO115" s="7"/>
        <tr r="AP115" s="7"/>
        <tr r="AA115" s="7"/>
        <tr r="AB115" s="7"/>
        <tr r="AZ8" s="7"/>
        <tr r="A115" s="7"/>
        <tr r="AQ57" s="7"/>
        <tr r="AQ52" s="7"/>
        <tr r="AQ68" s="7"/>
        <tr r="AQ49" s="7"/>
        <tr r="AQ65" s="7"/>
        <tr r="AF43" s="7"/>
        <tr r="AF41" s="7"/>
        <tr r="AF50" s="7"/>
        <tr r="AF66" s="7"/>
        <tr r="AF61" s="7"/>
        <tr r="AF42" s="7"/>
        <tr r="AV44" s="7"/>
        <tr r="AV46" s="7"/>
        <tr r="AV50" s="7"/>
        <tr r="AV66" s="7"/>
        <tr r="AV45" s="7"/>
        <tr r="AV61" s="7"/>
        <tr r="F48" s="7"/>
        <tr r="V48" s="7"/>
        <tr r="AL48" s="7"/>
        <tr r="P45" s="7"/>
        <tr r="D40" s="7"/>
        <tr r="T40" s="7"/>
        <tr r="AJ40" s="7"/>
        <tr r="Q41" s="7"/>
        <tr r="AG41" s="7"/>
        <tr r="AW41" s="7"/>
        <tr r="N42" s="7"/>
        <tr r="AD42" s="7"/>
        <tr r="AT42" s="7"/>
        <tr r="K43" s="7"/>
        <tr r="AA43" s="7"/>
        <tr r="AQ43" s="7"/>
        <tr r="H44" s="7"/>
        <tr r="X44" s="7"/>
        <tr r="AN44" s="7"/>
        <tr r="E45" s="7"/>
        <tr r="U45" s="7"/>
        <tr r="AK45" s="7"/>
        <tr r="B46" s="7"/>
        <tr r="R46" s="7"/>
        <tr r="AH46" s="7"/>
        <tr r="AX46" s="7"/>
        <tr r="O47" s="7"/>
        <tr r="AE47" s="7"/>
        <tr r="E40" s="7"/>
        <tr r="U40" s="7"/>
        <tr r="AK40" s="7"/>
        <tr r="B41" s="7"/>
        <tr r="R41" s="7"/>
        <tr r="AH41" s="7"/>
        <tr r="AX41" s="7"/>
        <tr r="O42" s="7"/>
        <tr r="AE42" s="7"/>
        <tr r="AU42" s="7"/>
        <tr r="L43" s="7"/>
        <tr r="AB43" s="7"/>
        <tr r="AR43" s="7"/>
        <tr r="I44" s="7"/>
        <tr r="Y44" s="7"/>
        <tr r="AO44" s="7"/>
        <tr r="F45" s="7"/>
        <tr r="V45" s="7"/>
        <tr r="AL45" s="7"/>
        <tr r="C46" s="7"/>
        <tr r="J40" s="7"/>
        <tr r="Z40" s="7"/>
        <tr r="AP40" s="7"/>
        <tr r="G41" s="7"/>
        <tr r="W41" s="7"/>
        <tr r="AM41" s="7"/>
        <tr r="D42" s="7"/>
        <tr r="T42" s="7"/>
        <tr r="AJ42" s="7"/>
        <tr r="Q43" s="7"/>
        <tr r="AG43" s="7"/>
        <tr r="AW43" s="7"/>
        <tr r="N44" s="7"/>
        <tr r="AD44" s="7"/>
        <tr r="AT44" s="7"/>
        <tr r="K45" s="7"/>
        <tr r="AA45" s="7"/>
        <tr r="AQ45" s="7"/>
        <tr r="H46" s="7"/>
        <tr r="X46" s="7"/>
        <tr r="AN46" s="7"/>
        <tr r="K40" s="7"/>
        <tr r="AA40" s="7"/>
        <tr r="AQ40" s="7"/>
        <tr r="H41" s="7"/>
        <tr r="X41" s="7"/>
        <tr r="AN41" s="7"/>
        <tr r="E42" s="7"/>
        <tr r="U42" s="7"/>
        <tr r="AK42" s="7"/>
        <tr r="B43" s="7"/>
        <tr r="R43" s="7"/>
        <tr r="AH43" s="7"/>
        <tr r="AX43" s="7"/>
        <tr r="O44" s="7"/>
        <tr r="AE44" s="7"/>
        <tr r="AU44" s="7"/>
        <tr r="L45" s="7"/>
        <tr r="AB45" s="7"/>
        <tr r="AR45" s="7"/>
        <tr r="I46" s="7"/>
        <tr r="Y46" s="7"/>
        <tr r="AO46" s="7"/>
        <tr r="F47" s="7"/>
        <tr r="V47" s="7"/>
        <tr r="AL47" s="7"/>
        <tr r="E112" s="7"/>
        <tr r="AS114" s="7"/>
        <tr r="AV113" s="7"/>
        <tr r="AY112" s="7"/>
        <tr r="C112" s="7"/>
        <tr r="F111" s="7"/>
        <tr r="I110" s="7"/>
        <tr r="AB109" s="7"/>
        <tr r="AT108" s="7"/>
        <tr r="AP107" s="7"/>
        <tr r="W107" s="7"/>
        <tr r="N106" s="7"/>
        <tr r="Z105" s="7"/>
        <tr r="AK104" s="7"/>
        <tr r="AD103" s="7"/>
        <tr r="AO102" s="7"/>
        <tr r="B102" s="7"/>
        <tr r="AS100" s="7"/>
        <tr r="F100" s="7"/>
        <tr r="Q99" s="7"/>
        <tr r="AC98" s="7"/>
        <tr r="AK97" s="7"/>
        <tr r="AO96" s="7"/>
        <tr r="R96" s="7"/>
        <tr r="V95" s="7"/>
        <tr r="AX94" s="7"/>
        <tr r="C94" s="7"/>
        <tr r="AE93" s="7"/>
        <tr r="G93" s="7"/>
        <tr r="AJ92" s="7"/>
        <tr r="AN91" s="7"/>
        <tr r="Q91" s="7"/>
        <tr r="AR90" s="7"/>
        <tr r="U90" s="7"/>
        <tr r="AW89" s="7"/>
        <tr r="V89" s="7"/>
        <tr r="AT88" s="7"/>
        <tr r="Q88" s="7"/>
        <tr r="AQ87" s="7"/>
        <tr r="O87" s="7"/>
        <tr r="AF86" s="7"/>
        <tr r="AY85" s="7"/>
        <tr r="Y83" s="7"/>
        <tr r="X70" s="7"/>
        <tr r="AR114" s="7"/>
        <tr r="AB114" s="7"/>
        <tr r="L114" s="7"/>
        <tr r="AU113" s="7"/>
        <tr r="AE113" s="7"/>
        <tr r="O113" s="7"/>
        <tr r="AX112" s="7"/>
        <tr r="AH112" s="7"/>
        <tr r="R112" s="7"/>
        <tr r="B112" s="7"/>
        <tr r="AK111" s="7"/>
        <tr r="U111" s="7"/>
        <tr r="E111" s="7"/>
        <tr r="AN110" s="7"/>
        <tr r="X110" s="7"/>
        <tr r="H110" s="7"/>
        <tr r="AQ109" s="7"/>
        <tr r="AA109" s="7"/>
        <tr r="K109" s="7"/>
        <tr r="AS108" s="7"/>
        <tr r="AB108" s="7"/>
        <tr r="I108" s="7"/>
        <tr r="AO107" s="7"/>
        <tr r="U107" s="7"/>
        <tr r="B107" s="7"/>
        <tr r="AF106" s="7"/>
        <tr r="M106" s="7"/>
        <tr r="AS105" s="7"/>
        <tr r="Y105" s="7"/>
        <tr r="F105" s="7"/>
        <tr r="AJ104" s="7"/>
        <tr r="Q104" s="7"/>
        <tr r="AV103" s="7"/>
        <tr r="AC103" s="7"/>
        <tr r="H103" s="7"/>
        <tr r="AN102" s="7"/>
        <tr r="T102" s="7"/>
        <tr r="AE101" s="7"/>
        <tr r="L101" s="7"/>
        <tr r="AR100" s="7"/>
        <tr r="X100" s="7"/>
        <tr r="E100" s="7"/>
        <tr r="AI99" s="7"/>
        <tr r="P99" s="7"/>
        <tr r="AU98" s="7"/>
        <tr r="AB98" s="7"/>
        <tr r="G98" s="7"/>
        <tr r="AI97" s="7"/>
        <tr r="K97" s="7"/>
        <tr r="AN96" s="7"/>
        <tr r="Q96" s="7"/>
        <tr r="AR95" s="7"/>
        <tr r="U95" s="7"/>
        <tr r="AV94" s="7"/>
        <tr r="Y94" s="7"/>
        <tr r="B94" s="7"/>
        <tr r="AD93" s="7"/>
        <tr r="F93" s="7"/>
        <tr r="AH92" s="7"/>
        <tr r="J92" s="7"/>
        <tr r="AM91" s="7"/>
        <tr r="P91" s="7"/>
        <tr r="AQ90" s="7"/>
        <tr r="T90" s="7"/>
        <tr r="AU89" s="7"/>
        <tr r="U89" s="7"/>
        <tr r="AS88" s="7"/>
        <tr r="P88" s="7"/>
        <tr r="AN87" s="7"/>
        <tr r="M87" s="7"/>
        <tr r="AE86" s="7"/>
        <tr r="AX85" s="7"/>
        <tr r="F83" s="7"/>
        <tr r="AV76" s="7"/>
        <tr r="B70" s="7"/>
        <tr r="AN111" s="7"/>
        <tr r="M114" s="7"/>
        <tr r="AF113" s="7"/>
        <tr r="AI112" s="7"/>
        <tr r="AL111" s="7"/>
        <tr r="Y110" s="7"/>
        <tr r="L109" s="7"/>
        <tr r="J108" s="7"/>
        <tr r="C107" s="7"/>
        <tr r="AT105" s="7"/>
        <tr r="G105" s="7"/>
        <tr r="R104" s="7"/>
        <tr r="AW103" s="7"/>
        <tr r="I103" s="7"/>
        <tr r="V102" s="7"/>
        <tr r="AH101" s="7"/>
        <tr r="Y100" s="7"/>
        <tr r="AJ99" s="7"/>
        <tr r="AV98" s="7"/>
        <tr r="H98" s="7"/>
        <tr r="N97" s="7"/>
        <tr r="AS95" s="7"/>
        <tr r="AA94" s="7"/>
        <tr r="M92" s="7"/>
        <tr r="P77" s="7"/>
        <tr r="AQ114" s="7"/>
        <tr r="AA114" s="7"/>
        <tr r="K114" s="7"/>
        <tr r="AT113" s="7"/>
        <tr r="AD113" s="7"/>
        <tr r="N113" s="7"/>
        <tr r="AW112" s="7"/>
        <tr r="AG112" s="7"/>
        <tr r="Q112" s="7"/>
        <tr r="AJ111" s="7"/>
        <tr r="T111" s="7"/>
        <tr r="D111" s="7"/>
        <tr r="AM110" s="7"/>
        <tr r="W110" s="7"/>
        <tr r="G110" s="7"/>
        <tr r="AP109" s="7"/>
        <tr r="Z109" s="7"/>
        <tr r="J109" s="7"/>
        <tr r="AR108" s="7"/>
        <tr r="AA108" s="7"/>
        <tr r="H108" s="7"/>
        <tr r="AN107" s="7"/>
        <tr r="T107" s="7"/>
        <tr r="AE106" s="7"/>
        <tr r="L106" s="7"/>
        <tr r="AQ105" s="7"/>
        <tr r="X105" s="7"/>
        <tr r="C105" s="7"/>
        <tr r="AI104" s="7"/>
        <tr r="P104" s="7"/>
        <tr r="AU103" s="7"/>
        <tr r="AB103" s="7"/>
        <tr r="G103" s="7"/>
        <tr r="AM102" s="7"/>
        <tr r="S102" s="7"/>
        <tr r="AY101" s="7"/>
        <tr r="AD101" s="7"/>
        <tr r="K101" s="7"/>
        <tr r="AP100" s="7"/>
        <tr r="W100" s="7"/>
        <tr r="B100" s="7"/>
        <tr r="AH99" s="7"/>
        <tr r="O99" s="7"/>
        <tr r="AT98" s="7"/>
        <tr r="AA98" s="7"/>
        <tr r="F98" s="7"/>
        <tr r="AH97" s="7"/>
        <tr r="J97" s="7"/>
        <tr r="AL96" s="7"/>
        <tr r="N96" s="7"/>
        <tr r="AQ95" s="7"/>
        <tr r="T95" s="7"/>
        <tr r="AU94" s="7"/>
        <tr r="X94" s="7"/>
        <tr r="AY93" s="7"/>
        <tr r="AB93" s="7"/>
        <tr r="E93" s="7"/>
        <tr r="AG92" s="7"/>
        <tr r="I92" s="7"/>
        <tr r="AK91" s="7"/>
        <tr r="M91" s="7"/>
        <tr r="AP90" s="7"/>
        <tr r="S90" s="7"/>
        <tr r="AT89" s="7"/>
        <tr r="R89" s="7"/>
        <tr r="AQ88" s="7"/>
        <tr r="O88" s="7"/>
        <tr r="AM87" s="7"/>
        <tr r="L87" s="7"/>
        <tr r="AD86" s="7"/>
        <tr r="AU85" s="7"/>
        <tr r="AJ82" s="7"/>
        <tr r="AB76" s="7"/>
        <tr r="AD69" s="7"/>
        <tr r="AK112" s="7"/>
        <tr r="AT114" s="7"/>
        <tr r="AC114" s="7"/>
        <tr r="P113" s="7"/>
        <tr r="S112" s="7"/>
        <tr r="V111" s="7"/>
        <tr r="AO110" s="7"/>
        <tr r="AR109" s="7"/>
        <tr r="AC108" s="7"/>
        <tr r="AI106" s="7"/>
        <tr r="M101" s="7"/>
        <tr r="AP114" s="7"/>
        <tr r="Z114" s="7"/>
        <tr r="J114" s="7"/>
        <tr r="AS113" s="7"/>
        <tr r="AC113" s="7"/>
        <tr r="M113" s="7"/>
        <tr r="AV112" s="7"/>
        <tr r="AF112" s="7"/>
        <tr r="P112" s="7"/>
        <tr r="AY111" s="7"/>
        <tr r="AI111" s="7"/>
        <tr r="S111" s="7"/>
        <tr r="C111" s="7"/>
        <tr r="AL110" s="7"/>
        <tr r="V110" s="7"/>
        <tr r="F110" s="7"/>
        <tr r="AO109" s="7"/>
        <tr r="Y109" s="7"/>
        <tr r="I109" s="7"/>
        <tr r="AQ108" s="7"/>
        <tr r="Z108" s="7"/>
        <tr r="G108" s="7"/>
        <tr r="AM107" s="7"/>
        <tr r="S107" s="7"/>
        <tr r="AY106" s="7"/>
        <tr r="AD106" s="7"/>
        <tr r="K106" s="7"/>
        <tr r="AP105" s="7"/>
        <tr r="W105" s="7"/>
        <tr r="B105" s="7"/>
        <tr r="AH104" s="7"/>
        <tr r="N104" s="7"/>
        <tr r="AT103" s="7"/>
        <tr r="Y103" s="7"/>
        <tr r="F103" s="7"/>
        <tr r="AL102" s="7"/>
        <tr r="R102" s="7"/>
        <tr r="AX101" s="7"/>
        <tr r="AC101" s="7"/>
        <tr r="J101" s="7"/>
        <tr r="AO100" s="7"/>
        <tr r="V100" s="7"/>
        <tr r="AG99" s="7"/>
        <tr r="M99" s="7"/>
        <tr r="AS98" s="7"/>
        <tr r="X98" s="7"/>
        <tr r="D98" s="7"/>
        <tr r="AF97" s="7"/>
        <tr r="I97" s="7"/>
        <tr r="AK96" s="7"/>
        <tr r="M96" s="7"/>
        <tr r="AO95" s="7"/>
        <tr r="Q95" s="7"/>
        <tr r="AT94" s="7"/>
        <tr r="W94" s="7"/>
        <tr r="AX93" s="7"/>
        <tr r="AA93" s="7"/>
        <tr r="C93" s="7"/>
        <tr r="AE92" s="7"/>
        <tr r="H92" s="7"/>
        <tr r="AJ91" s="7"/>
        <tr r="L91" s="7"/>
        <tr r="AN90" s="7"/>
        <tr r="P90" s="7"/>
        <tr r="AS89" s="7"/>
        <tr r="Q89" s="7"/>
        <tr r="AN88" s="7"/>
        <tr r="M88" s="7"/>
        <tr r="AK87" s="7"/>
        <tr r="I87" s="7"/>
        <tr r="AB86" s="7"/>
        <tr r="AT85" s="7"/>
        <tr r="Q82" s="7"/>
        <tr r="I76" s="7"/>
        <tr r="AX113" s="7"/>
        <tr r="Y114" s="7"/>
        <tr r="I114" s="7"/>
        <tr r="L113" s="7"/>
        <tr r="O112" s="7"/>
        <tr r="AX111" s="7"/>
        <tr r="AH111" s="7"/>
        <tr r="R111" s="7"/>
        <tr r="B111" s="7"/>
        <tr r="AK110" s="7"/>
        <tr r="U110" s="7"/>
        <tr r="AP108" s="7"/>
        <tr r="Y108" s="7"/>
        <tr r="F108" s="7"/>
        <tr r="AK107" s="7"/>
        <tr r="R107" s="7"/>
        <tr r="AV106" s="7"/>
        <tr r="AC106" s="7"/>
        <tr r="J106" s="7"/>
        <tr r="AO105" s="7"/>
        <tr r="V105" s="7"/>
        <tr r="AG104" s="7"/>
        <tr r="M104" s="7"/>
        <tr r="AS103" s="7"/>
        <tr r="X103" s="7"/>
        <tr r="E103" s="7"/>
        <tr r="AJ102" s="7"/>
        <tr r="Q102" s="7"/>
        <tr r="AU101" s="7"/>
        <tr r="AB101" s="7"/>
        <tr r="I101" s="7"/>
        <tr r="AN100" s="7"/>
        <tr r="U100" s="7"/>
        <tr r="AY99" s="7"/>
        <tr r="AF99" s="7"/>
        <tr r="L99" s="7"/>
        <tr r="AR98" s="7"/>
        <tr r="W98" s="7"/>
        <tr r="C98" s="7"/>
        <tr r="AE97" s="7"/>
        <tr r="G97" s="7"/>
        <tr r="AI96" s="7"/>
        <tr r="L96" s="7"/>
        <tr r="AN95" s="7"/>
        <tr r="P95" s="7"/>
        <tr r="AR94" s="7"/>
        <tr r="T94" s="7"/>
        <tr r="AW93" s="7"/>
        <tr r="Z93" s="7"/>
        <tr r="B93" s="7"/>
        <tr r="AD92" s="7"/>
        <tr r="F92" s="7"/>
        <tr r="AH91" s="7"/>
        <tr r="K91" s="7"/>
        <tr r="AM90" s="7"/>
        <tr r="O90" s="7"/>
        <tr r="AQ89" s="7"/>
        <tr r="O89" s="7"/>
        <tr r="AM88" s="7"/>
        <tr r="L88" s="7"/>
        <tr r="AH87" s="7"/>
        <tr r="E87" s="7"/>
        <tr r="AA86" s="7"/>
        <tr r="AS85" s="7"/>
        <tr r="AW81" s="7"/>
        <tr r="AM75" s="7"/>
        <tr r="W68" s="7"/>
        <tr r="AU114" s="7"/>
        <tr r="AB113" s="7"/>
        <tr r="H109" s="7"/>
        <tr r="H114" s="7"/>
        <tr r="AQ113" s="7"/>
        <tr r="K113" s="7"/>
        <tr r="AD112" s="7"/>
        <tr r="AW111" s="7"/>
        <tr r="Q111" s="7"/>
        <tr r="AJ110" s="7"/>
        <tr r="D110" s="7"/>
        <tr r="W109" s="7"/>
        <tr r="AO108" s="7"/>
        <tr r="AJ107" s="7"/>
        <tr r="AU106" s="7"/>
        <tr r="H106" s="7"/>
        <tr r="AY104" s="7"/>
        <tr r="L104" s="7"/>
        <tr r="W103" s="7"/>
        <tr r="AI102" s="7"/>
        <tr r="AA101" s="7"/>
        <tr r="AM100" s="7"/>
        <tr r="R100" s="7"/>
        <tr r="AE99" s="7"/>
        <tr r="V98" s="7"/>
        <tr r="AD97" s="7"/>
        <tr r="AH96" s="7"/>
        <tr r="AL95" s="7"/>
        <tr r="AQ94" s="7"/>
        <tr r="AU93" s="7"/>
        <tr r="AC92" s="7"/>
        <tr r="E92" s="7"/>
        <tr r="AG91" s="7"/>
        <tr r="I91" s="7"/>
        <tr r="AK90" s="7"/>
        <tr r="N90" s="7"/>
        <tr r="AN89" s="7"/>
        <tr r="M89" s="7"/>
        <tr r="AL88" s="7"/>
        <tr r="AG87" s="7"/>
        <tr r="D87" s="7"/>
        <tr r="W86" s="7"/>
        <tr r="AP85" s="7"/>
        <tr r="AC81" s="7"/>
        <tr r="T75" s="7"/>
        <tr r="AR67" s="7"/>
        <tr r="AO114" s="7"/>
        <tr r="AE112" s="7"/>
        <tr r="X109" s="7"/>
        <tr r="AA113" s="7"/>
        <tr r="AT112" s="7"/>
        <tr r="N112" s="7"/>
        <tr r="AG111" s="7"/>
        <tr r="T110" s="7"/>
        <tr r="AM109" s="7"/>
        <tr r="G109" s="7"/>
        <tr r="X108" s="7"/>
        <tr r="E108" s="7"/>
        <tr r="Q107" s="7"/>
        <tr r="AB106" s="7"/>
        <tr r="AN105" s="7"/>
        <tr r="S105" s="7"/>
        <tr r="AF104" s="7"/>
        <tr r="AR103" s="7"/>
        <tr r="D103" s="7"/>
        <tr r="P102" s="7"/>
        <tr r="AT101" s="7"/>
        <tr r="G101" s="7"/>
        <tr r="AX99" s="7"/>
        <tr r="K99" s="7"/>
        <tr r="AQ98" s="7"/>
        <tr r="B98" s="7"/>
        <tr r="F97" s="7"/>
        <tr r="J96" s="7"/>
        <tr r="O95" s="7"/>
        <tr r="S94" s="7"/>
        <tr r="W93" s="7"/>
        <tr r="K88" s="7"/>
        <tr r="AM114" s="7"/>
        <tr r="W114" s="7"/>
        <tr r="G114" s="7"/>
        <tr r="AP113" s="7"/>
        <tr r="Z113" s="7"/>
        <tr r="J113" s="7"/>
        <tr r="AS112" s="7"/>
        <tr r="AC112" s="7"/>
        <tr r="M112" s="7"/>
        <tr r="AV111" s="7"/>
        <tr r="AF111" s="7"/>
        <tr r="P111" s="7"/>
        <tr r="AY110" s="7"/>
        <tr r="AI110" s="7"/>
        <tr r="S110" s="7"/>
        <tr r="C110" s="7"/>
        <tr r="AL109" s="7"/>
        <tr r="V109" s="7"/>
        <tr r="F109" s="7"/>
        <tr r="AN108" s="7"/>
        <tr r="W108" s="7"/>
        <tr r="D108" s="7"/>
        <tr r="AI107" s="7"/>
        <tr r="P107" s="7"/>
        <tr r="AT106" s="7"/>
        <tr r="AA106" s="7"/>
        <tr r="G106" s="7"/>
        <tr r="AM105" s="7"/>
        <tr r="R105" s="7"/>
        <tr r="AX104" s="7"/>
        <tr r="AD104" s="7"/>
        <tr r="K104" s="7"/>
        <tr r="AO103" s="7"/>
        <tr r="V103" s="7"/>
        <tr r="C103" s="7"/>
        <tr r="AH102" s="7"/>
        <tr r="O102" s="7"/>
        <tr r="AS101" s="7"/>
        <tr r="Z101" s="7"/>
        <tr r="F101" s="7"/>
        <tr r="AL100" s="7"/>
        <tr r="Q100" s="7"/>
        <tr r="AW99" s="7"/>
        <tr r="AC99" s="7"/>
        <tr r="J99" s="7"/>
        <tr r="AN98" s="7"/>
        <tr r="U98" s="7"/>
        <tr r="AY97" s="7"/>
        <tr r="AA97" s="7"/>
        <tr r="E97" s="7"/>
        <tr r="AG96" s="7"/>
        <tr r="I96" s="7"/>
        <tr r="AK95" s="7"/>
        <tr r="M95" s="7"/>
        <tr r="AO94" s="7"/>
        <tr r="R94" s="7"/>
        <tr r="AT93" s="7"/>
        <tr r="V93" s="7"/>
        <tr r="AX92" s="7"/>
        <tr r="Z92" s="7"/>
        <tr r="D92" s="7"/>
        <tr r="AF91" s="7"/>
        <tr r="H91" s="7"/>
        <tr r="AJ90" s="7"/>
        <tr r="L90" s="7"/>
        <tr r="AM89" s="7"/>
        <tr r="L89" s="7"/>
        <tr r="AH88" s="7"/>
        <tr r="I88" s="7"/>
        <tr r="AF87" s="7"/>
        <tr r="C87" s="7"/>
        <tr r="T86" s="7"/>
        <tr r="AO85" s="7"/>
        <tr r="J81" s="7"/>
        <tr r="AY74" s="7"/>
        <tr r="R67" s="7"/>
        <tr r="AR113" s="7"/>
        <tr r="E110" s="7"/>
        <tr r="X114" s="7"/>
        <tr r="V114" s="7"/>
        <tr r="Y113" s="7"/>
        <tr r="AR112" s="7"/>
        <tr r="L112" s="7"/>
        <tr r="AE111" s="7"/>
        <tr r="AX110" s="7"/>
        <tr r="R110" s="7"/>
        <tr r="AK109" s="7"/>
        <tr r="E109" s="7"/>
        <tr r="V108" s="7"/>
        <tr r="AH107" s="7"/>
        <tr r="AS106" s="7"/>
        <tr r="F106" s="7"/>
        <tr r="Q105" s="7"/>
        <tr r="AC104" s="7"/>
        <tr r="AN103" s="7"/>
        <tr r="L102" s="7"/>
        <tr r="Y101" s="7"/>
        <tr r="P100" s="7"/>
        <tr r="AB99" s="7"/>
        <tr r="AM98" s="7"/>
        <tr r="AX97" s="7"/>
        <tr r="Z97" s="7"/>
        <tr r="AD96" s="7"/>
        <tr r="AJ95" s="7"/>
        <tr r="AN94" s="7"/>
        <tr r="P94" s="7"/>
        <tr r="U93" s="7"/>
        <tr r="AW92" s="7"/>
        <tr r="Y92" s="7"/>
        <tr r="B92" s="7"/>
        <tr r="AC91" s="7"/>
        <tr r="G91" s="7"/>
        <tr r="AI90" s="7"/>
        <tr r="K90" s="7"/>
        <tr r="AL89" s="7"/>
        <tr r="K89" s="7"/>
        <tr r="AG88" s="7"/>
        <tr r="F88" s="7"/>
        <tr r="AY86" s="7"/>
        <tr r="S86" s="7"/>
        <tr r="AL85" s="7"/>
        <tr r="AN80" s="7"/>
        <tr r="AE74" s="7"/>
        <tr r="AM66" s="7"/>
        <tr r="AU112" s="7"/>
        <tr r="AN109" s="7"/>
        <tr r="AN114" s="7"/>
        <tr r="AL114" s="7"/>
        <tr r="F114" s="7"/>
        <tr r="AO113" s="7"/>
        <tr r="I113" s="7"/>
        <tr r="AB112" s="7"/>
        <tr r="AU111" s="7"/>
        <tr r="O111" s="7"/>
        <tr r="AH110" s="7"/>
        <tr r="B110" s="7"/>
        <tr r="U109" s="7"/>
        <tr r="AM108" s="7"/>
        <tr r="B108" s="7"/>
        <tr r="M107" s="7"/>
        <tr r="Z106" s="7"/>
        <tr r="AL105" s="7"/>
        <tr r="AW104" s="7"/>
        <tr r="J104" s="7"/>
        <tr r="U103" s="7"/>
        <tr r="AG102" s="7"/>
        <tr r="AR101" s="7"/>
        <tr r="E101" s="7"/>
        <tr r="AK100" s="7"/>
        <tr r="AV99" s="7"/>
        <tr r="I99" s="7"/>
        <tr r="T98" s="7"/>
        <tr r="C97" s="7"/>
        <tr r="H96" s="7"/>
        <tr r="L95" s="7"/>
        <tr r="AR93" s="7"/>
        <tr r="AD87" s="7"/>
        <tr r="AK114" s="7"/>
        <tr r="U114" s="7"/>
        <tr r="E114" s="7"/>
        <tr r="AN113" s="7"/>
        <tr r="X113" s="7"/>
        <tr r="H113" s="7"/>
        <tr r="AQ112" s="7"/>
        <tr r="AA112" s="7"/>
        <tr r="K112" s="7"/>
        <tr r="AT111" s="7"/>
        <tr r="AD111" s="7"/>
        <tr r="N111" s="7"/>
        <tr r="AW110" s="7"/>
        <tr r="AG110" s="7"/>
        <tr r="Q110" s="7"/>
        <tr r="AJ109" s="7"/>
        <tr r="T109" s="7"/>
        <tr r="D109" s="7"/>
        <tr r="AL108" s="7"/>
        <tr r="U108" s="7"/>
        <tr r="AG107" s="7"/>
        <tr r="L107" s="7"/>
        <tr r="AR106" s="7"/>
        <tr r="X106" s="7"/>
        <tr r="E106" s="7"/>
        <tr r="AI105" s="7"/>
        <tr r="P105" s="7"/>
        <tr r="AV104" s="7"/>
        <tr r="AB104" s="7"/>
        <tr r="I104" s="7"/>
        <tr r="AM103" s="7"/>
        <tr r="T103" s="7"/>
        <tr r="AY102" s="7"/>
        <tr r="AF102" s="7"/>
        <tr r="K102" s="7"/>
        <tr r="AQ101" s="7"/>
        <tr r="W101" s="7"/>
        <tr r="D101" s="7"/>
        <tr r="AH100" s="7"/>
        <tr r="O100" s="7"/>
        <tr r="AU99" s="7"/>
        <tr r="AA99" s="7"/>
        <tr r="H99" s="7"/>
        <tr r="AL98" s="7"/>
        <tr r="S98" s="7"/>
        <tr r="AV97" s="7"/>
        <tr r="Y97" s="7"/>
        <tr r="B97" s="7"/>
        <tr r="AC96" s="7"/>
        <tr r="F96" s="7"/>
        <tr r="AG95" s="7"/>
        <tr r="K95" s="7"/>
        <tr r="AM94" s="7"/>
        <tr r="O94" s="7"/>
        <tr r="AQ93" s="7"/>
        <tr r="S93" s="7"/>
        <tr r="AU92" s="7"/>
        <tr r="X92" s="7"/>
        <tr r="AB91" s="7"/>
        <tr r="E91" s="7"/>
        <tr r="AF90" s="7"/>
        <tr r="J90" s="7"/>
        <tr r="AI89" s="7"/>
        <tr r="I89" s="7"/>
        <tr r="AF88" s="7"/>
        <tr r="E88" s="7"/>
        <tr r="AC87" s="7"/>
        <tr r="AX86" s="7"/>
        <tr r="R86" s="7"/>
        <tr r="AH85" s="7"/>
        <tr r="U80" s="7"/>
        <tr r="G74" s="7"/>
        <tr r="J66" s="7"/>
        <tr r="D114" s="7"/>
        <tr r="W113" s="7"/>
        <tr r="Z112" s="7"/>
        <tr r="AS111" s="7"/>
        <tr r="AC111" s="7"/>
        <tr r="AF110" s="7"/>
        <tr r="P110" s="7"/>
        <tr r="AY109" s="7"/>
        <tr r="AI109" s="7"/>
        <tr r="S109" s="7"/>
        <tr r="C109" s="7"/>
        <tr r="AF107" s="7"/>
        <tr r="K107" s="7"/>
        <tr r="AQ106" s="7"/>
        <tr r="W106" s="7"/>
        <tr r="D106" s="7"/>
        <tr r="AH105" s="7"/>
        <tr r="O105" s="7"/>
        <tr r="AT104" s="7"/>
        <tr r="AA104" s="7"/>
        <tr r="F104" s="7"/>
        <tr r="AL103" s="7"/>
        <tr r="S103" s="7"/>
        <tr r="AX102" s="7"/>
        <tr r="AE102" s="7"/>
        <tr r="J102" s="7"/>
        <tr r="AP101" s="7"/>
        <tr r="V101" s="7"/>
        <tr r="C101" s="7"/>
        <tr r="AG100" s="7"/>
        <tr r="N100" s="7"/>
        <tr r="AS99" s="7"/>
        <tr r="Z99" s="7"/>
        <tr r="E99" s="7"/>
        <tr r="AK98" s="7"/>
        <tr r="R98" s="7"/>
        <tr r="AU97" s="7"/>
        <tr r="W97" s="7"/>
        <tr r="AY96" s="7"/>
        <tr r="AB96" s="7"/>
        <tr r="E96" s="7"/>
        <tr r="AF95" s="7"/>
        <tr r="I95" s="7"/>
        <tr r="AJ94" s="7"/>
        <tr r="N94" s="7"/>
        <tr r="AP93" s="7"/>
        <tr r="R93" s="7"/>
        <tr r="AT92" s="7"/>
        <tr r="V92" s="7"/>
        <tr r="AX91" s="7"/>
        <tr r="AA91" s="7"/>
        <tr r="D91" s="7"/>
        <tr r="AE90" s="7"/>
        <tr r="H90" s="7"/>
        <tr r="AH89" s="7"/>
        <tr r="F89" s="7"/>
        <tr r="AD88" s="7"/>
        <tr r="D88" s="7"/>
        <tr r="AB87" s="7"/>
        <tr r="AV86" s="7"/>
        <tr r="N86" s="7"/>
        <tr r="AG85" s="7"/>
        <tr r="AI73" s="7"/>
        <tr r="AC65" s="7"/>
        <tr r="T114" s="7"/>
        <tr r="AM113" s="7"/>
        <tr r="AP112" s="7"/>
        <tr r="AV110" s="7"/>
        <tr r="T108" s="7"/>
        <tr r="AI114" s="7"/>
        <tr r="AL113" s="7"/>
        <tr r="AO112" s="7"/>
        <tr r="AR111" s="7"/>
        <tr r="AE110" s="7"/>
        <tr r="AH109" s="7"/>
        <tr r="B109" s="7"/>
        <tr r="R108" s="7"/>
        <tr r="J107" s="7"/>
        <tr r="V106" s="7"/>
        <tr r="AG105" s="7"/>
        <tr r="AS104" s="7"/>
        <tr r="AK103" s="7"/>
        <tr r="AW102" s="7"/>
        <tr r="I102" s="7"/>
        <tr r="U101" s="7"/>
        <tr r="AF100" s="7"/>
        <tr r="AR99" s="7"/>
        <tr r="D99" s="7"/>
        <tr r="AJ98" s="7"/>
        <tr r="AT97" s="7"/>
        <tr r="AX96" s="7"/>
        <tr r="C96" s="7"/>
        <tr r="H95" s="7"/>
        <tr r="L94" s="7"/>
        <tr r="AM93" s="7"/>
        <tr r="AS92" s="7"/>
        <tr r="U92" s="7"/>
        <tr r="AW91" s="7"/>
        <tr r="Y91" s="7"/>
        <tr r="B91" s="7"/>
        <tr r="AD90" s="7"/>
        <tr r="G90" s="7"/>
        <tr r="AG89" s="7"/>
        <tr r="E89" s="7"/>
        <tr r="AY87" s="7"/>
        <tr r="Z87" s="7"/>
        <tr r="AT86" s="7"/>
        <tr r="M86" s="7"/>
        <tr r="AF85" s="7"/>
        <tr r="AG79" s="7"/>
        <tr r="K73" s="7"/>
        <tr r="AW64" s="7"/>
        <tr r="AJ114" s="7"/>
        <tr r="J112" s="7"/>
        <tr r="AK108" s="7"/>
        <tr r="AY114" s="7"/>
        <tr r="C114" s="7"/>
        <tr r="F113" s="7"/>
        <tr r="I112" s="7"/>
        <tr r="L111" s="7"/>
        <tr r="O110" s="7"/>
        <tr r="R109" s="7"/>
        <tr r="AJ108" s="7"/>
        <tr r="AC107" s="7"/>
        <tr r="AP106" s="7"/>
        <tr r="C106" s="7"/>
        <tr r="N105" s="7"/>
        <tr r="Z104" s="7"/>
        <tr r="E104" s="7"/>
        <tr r="Q103" s="7"/>
        <tr r="AB102" s="7"/>
        <tr r="AO101" s="7"/>
        <tr r="B101" s="7"/>
        <tr r="M100" s="7"/>
        <tr r="Y99" s="7"/>
        <tr r="P98" s="7"/>
        <tr r="V97" s="7"/>
        <tr r="Z96" s="7"/>
        <tr r="AE95" s="7"/>
        <tr r="AI94" s="7"/>
        <tr r="Q93" s="7"/>
        <tr r="AC88" s="7"/>
        <tr r="AX114" s="7"/>
        <tr r="AH114" s="7"/>
        <tr r="R114" s="7"/>
        <tr r="B114" s="7"/>
        <tr r="AK113" s="7"/>
        <tr r="U113" s="7"/>
        <tr r="E113" s="7"/>
        <tr r="AN112" s="7"/>
        <tr r="X112" s="7"/>
        <tr r="H112" s="7"/>
        <tr r="AQ111" s="7"/>
        <tr r="AA111" s="7"/>
        <tr r="K111" s="7"/>
        <tr r="AT110" s="7"/>
        <tr r="AD110" s="7"/>
        <tr r="N110" s="7"/>
        <tr r="AW109" s="7"/>
        <tr r="AG109" s="7"/>
        <tr r="Q109" s="7"/>
        <tr r="AH108" s="7"/>
        <tr r="Q108" s="7"/>
        <tr r="AW107" s="7"/>
        <tr r="AB107" s="7"/>
        <tr r="I107" s="7"/>
        <tr r="AN106" s="7"/>
        <tr r="U106" s="7"/>
        <tr r="AY105" s="7"/>
        <tr r="AF105" s="7"/>
        <tr r="M105" s="7"/>
        <tr r="AR104" s="7"/>
        <tr r="Y104" s="7"/>
        <tr r="D104" s="7"/>
        <tr r="AJ103" s="7"/>
        <tr r="P103" s="7"/>
        <tr r="AV102" s="7"/>
        <tr r="AA102" s="7"/>
        <tr r="H102" s="7"/>
        <tr r="AM101" s="7"/>
        <tr r="T101" s="7"/>
        <tr r="AX100" s="7"/>
        <tr r="AE100" s="7"/>
        <tr r="L100" s="7"/>
        <tr r="AQ99" s="7"/>
        <tr r="X99" s="7"/>
        <tr r="C99" s="7"/>
        <tr r="AI98" s="7"/>
        <tr r="O98" s="7"/>
        <tr r="AQ97" s="7"/>
        <tr r="U97" s="7"/>
        <tr r="AW96" s="7"/>
        <tr r="Y96" s="7"/>
        <tr r="B96" s="7"/>
        <tr r="AC95" s="7"/>
        <tr r="F95" s="7"/>
        <tr r="AH94" s="7"/>
        <tr r="K94" s="7"/>
        <tr r="AL93" s="7"/>
        <tr r="O93" s="7"/>
        <tr r="AP92" s="7"/>
        <tr r="T92" s="7"/>
        <tr r="AV91" s="7"/>
        <tr r="X91" s="7"/>
        <tr r="AB90" s="7"/>
        <tr r="E90" s="7"/>
        <tr r="AD89" s="7"/>
        <tr r="D89" s="7"/>
        <tr r="AB88" s="7"/>
        <tr r="AX87" s="7"/>
        <tr r="W87" s="7"/>
        <tr r="AS86" s="7"/>
        <tr r="L86" s="7"/>
        <tr r="S85" s="7"/>
        <tr r="L79" s="7"/>
        <tr r="AN72" s="7"/>
        <tr r="E64" s="7"/>
        <tr r="G113" s="7"/>
        <tr r="M111" s="7"/>
        <tr r="AY107" s="7"/>
        <tr r="S114" s="7"/>
        <tr r="V113" s="7"/>
        <tr r="Y112" s="7"/>
        <tr r="AB111" s="7"/>
        <tr r="AU110" s="7"/>
        <tr r="AX109" s="7"/>
        <tr r="AX107" s="7"/>
        <tr r="AW114" s="7"/>
        <tr r="AG114" s="7"/>
        <tr r="Q114" s="7"/>
        <tr r="AJ113" s="7"/>
        <tr r="T113" s="7"/>
        <tr r="D113" s="7"/>
        <tr r="AM112" s="7"/>
        <tr r="W112" s="7"/>
        <tr r="G112" s="7"/>
        <tr r="AP111" s="7"/>
        <tr r="Z111" s="7"/>
        <tr r="J111" s="7"/>
        <tr r="AS110" s="7"/>
        <tr r="AC110" s="7"/>
        <tr r="M110" s="7"/>
        <tr r="AV109" s="7"/>
        <tr r="AF109" s="7"/>
        <tr r="P109" s="7"/>
        <tr r="AX108" s="7"/>
        <tr r="AG108" s="7"/>
        <tr r="P108" s="7"/>
        <tr r="AV107" s="7"/>
        <tr r="AA107" s="7"/>
        <tr r="H107" s="7"/>
        <tr r="AM106" s="7"/>
        <tr r="T106" s="7"/>
        <tr r="AX105" s="7"/>
        <tr r="AE105" s="7"/>
        <tr r="K105" s="7"/>
        <tr r="AQ104" s="7"/>
        <tr r="V104" s="7"/>
        <tr r="C104" s="7"/>
        <tr r="AI103" s="7"/>
        <tr r="O103" s="7"/>
        <tr r="AU102" s="7"/>
        <tr r="Z102" s="7"/>
        <tr r="G102" s="7"/>
        <tr r="AL101" s="7"/>
        <tr r="S101" s="7"/>
        <tr r="AW100" s="7"/>
        <tr r="AD100" s="7"/>
        <tr r="J100" s="7"/>
        <tr r="AP99" s="7"/>
        <tr r="U99" s="7"/>
        <tr r="B99" s="7"/>
        <tr r="AH98" s="7"/>
        <tr r="N98" s="7"/>
        <tr r="AP97" s="7"/>
        <tr r="S97" s="7"/>
        <tr r="AT96" s="7"/>
        <tr r="X96" s="7"/>
        <tr r="AB95" s="7"/>
        <tr r="E95" s="7"/>
        <tr r="AF94" s="7"/>
        <tr r="I94" s="7"/>
        <tr r="AK93" s="7"/>
        <tr r="N93" s="7"/>
        <tr r="AO92" s="7"/>
        <tr r="R92" s="7"/>
        <tr r="AS91" s="7"/>
        <tr r="W91" s="7"/>
        <tr r="AY90" s="7"/>
        <tr r="AA90" s="7"/>
        <tr r="D90" s="7"/>
        <tr r="AC89" s="7"/>
        <tr r="Z88" s="7"/>
        <tr r="AW87" s="7"/>
        <tr r="U87" s="7"/>
        <tr r="AP86" s="7"/>
        <tr r="J86" s="7"/>
        <tr r="AR78" s="7"/>
        <tr r="P72" s="7"/>
        <tr r="O63" s="7"/>
        <tr r="AV114" s="7"/>
        <tr r="AF114" s="7"/>
        <tr r="P114" s="7"/>
        <tr r="AY113" s="7"/>
        <tr r="AI113" s="7"/>
        <tr r="S113" s="7"/>
        <tr r="C113" s="7"/>
        <tr r="AL112" s="7"/>
        <tr r="V112" s="7"/>
        <tr r="F112" s="7"/>
        <tr r="AO111" s="7"/>
        <tr r="Y111" s="7"/>
        <tr r="I111" s="7"/>
        <tr r="AR110" s="7"/>
        <tr r="AB110" s="7"/>
        <tr r="L110" s="7"/>
        <tr r="AU109" s="7"/>
        <tr r="AE109" s="7"/>
        <tr r="O109" s="7"/>
        <tr r="AW108" s="7"/>
        <tr r="AF108" s="7"/>
        <tr r="O108" s="7"/>
        <tr r="AS107" s="7"/>
        <tr r="Z107" s="7"/>
        <tr r="G107" s="7"/>
        <tr r="AL106" s="7"/>
        <tr r="S106" s="7"/>
        <tr r="AW105" s="7"/>
        <tr r="AD105" s="7"/>
        <tr r="J105" s="7"/>
        <tr r="AP104" s="7"/>
        <tr r="U104" s="7"/>
        <tr r="B104" s="7"/>
        <tr r="AG103" s="7"/>
        <tr r="N103" s="7"/>
        <tr r="AR102" s="7"/>
        <tr r="Y102" s="7"/>
        <tr r="F102" s="7"/>
        <tr r="AK101" s="7"/>
        <tr r="R101" s="7"/>
        <tr r="AV100" s="7"/>
        <tr r="AC100" s="7"/>
        <tr r="I100" s="7"/>
        <tr r="AO99" s="7"/>
        <tr r="T99" s="7"/>
        <tr r="AF98" s="7"/>
        <tr r="M98" s="7"/>
        <tr r="AO97" s="7"/>
        <tr r="R97" s="7"/>
        <tr r="AS96" s="7"/>
        <tr r="V96" s="7"/>
        <tr r="AW95" s="7"/>
        <tr r="AA95" s="7"/>
        <tr r="D95" s="7"/>
        <tr r="AE94" s="7"/>
        <tr r="H94" s="7"/>
        <tr r="AI93" s="7"/>
        <tr r="L93" s="7"/>
        <tr r="AN92" s="7"/>
        <tr r="Q92" s="7"/>
        <tr r="AR91" s="7"/>
        <tr r="U91" s="7"/>
        <tr r="AV90" s="7"/>
        <tr r="Z90" s="7"/>
        <tr r="C90" s="7"/>
        <tr r="AB89" s="7"/>
        <tr r="AX88" s="7"/>
        <tr r="W88" s="7"/>
        <tr r="AU87" s="7"/>
        <tr r="T87" s="7"/>
        <tr r="AL86" s="7"/>
        <tr r="H86" s="7"/>
        <tr r="AH84" s="7"/>
        <tr r="X78" s="7"/>
        <tr r="AR71" s="7"/>
        <tr r="F60" s="7"/>
        <tr r="AE114" s="7"/>
        <tr r="O114" s="7"/>
        <tr r="AH113" s="7"/>
        <tr r="R113" s="7"/>
        <tr r="U112" s="7"/>
        <tr r="X111" s="7"/>
        <tr r="H111" s="7"/>
        <tr r="AQ110" s="7"/>
        <tr r="AA110" s="7"/>
        <tr r="K110" s="7"/>
        <tr r="AT109" s="7"/>
        <tr r="AD109" s="7"/>
        <tr r="N109" s="7"/>
        <tr r="AV108" s="7"/>
        <tr r="AE108" s="7"/>
        <tr r="N108" s="7"/>
        <tr r="AR107" s="7"/>
        <tr r="Y107" s="7"/>
        <tr r="E107" s="7"/>
        <tr r="AK106" s="7"/>
        <tr r="P106" s="7"/>
        <tr r="AV105" s="7"/>
        <tr r="AC105" s="7"/>
        <tr r="I105" s="7"/>
        <tr r="AO104" s="7"/>
        <tr r="T104" s="7"/>
        <tr r="AF103" s="7"/>
        <tr r="M103" s="7"/>
        <tr r="AQ102" s="7"/>
        <tr r="X102" s="7"/>
        <tr r="D102" s="7"/>
        <tr r="AJ101" s="7"/>
        <tr r="O101" s="7"/>
        <tr r="AU100" s="7"/>
        <tr r="AB100" s="7"/>
        <tr r="H100" s="7"/>
        <tr r="AN99" s="7"/>
        <tr r="S99" s="7"/>
        <tr r="AY98" s="7"/>
        <tr r="AE98" s="7"/>
        <tr r="L98" s="7"/>
        <tr r="AM97" s="7"/>
        <tr r="P97" s="7"/>
        <tr r="AR96" s="7"/>
        <tr r="U96" s="7"/>
        <tr r="AV95" s="7"/>
        <tr r="Y95" s="7"/>
        <tr r="AD94" s="7"/>
        <tr r="G94" s="7"/>
        <tr r="AH93" s="7"/>
        <tr r="K93" s="7"/>
        <tr r="AL92" s="7"/>
        <tr r="O92" s="7"/>
        <tr r="AQ91" s="7"/>
        <tr r="T91" s="7"/>
        <tr r="AU90" s="7"/>
        <tr r="X90" s="7"/>
        <tr r="AY89" s="7"/>
        <tr r="Z89" s="7"/>
        <tr r="AW88" s="7"/>
        <tr r="V88" s="7"/>
        <tr r="AT87" s="7"/>
        <tr r="Q87" s="7"/>
        <tr r="AK86" s="7"/>
        <tr r="E86" s="7"/>
        <tr r="M84" s="7"/>
        <tr r="E78" s="7"/>
        <tr r="T71" s="7"/>
        <tr r="AV53" s="7"/>
        <tr r="B113" s="7"/>
        <tr r="AD114" s="7"/>
        <tr r="N114" s="7"/>
        <tr r="AW113" s="7"/>
        <tr r="AG113" s="7"/>
        <tr r="Q113" s="7"/>
        <tr r="AJ112" s="7"/>
        <tr r="T112" s="7"/>
        <tr r="D112" s="7"/>
        <tr r="AM111" s="7"/>
        <tr r="W111" s="7"/>
        <tr r="G111" s="7"/>
        <tr r="AP110" s="7"/>
        <tr r="Z110" s="7"/>
        <tr r="J110" s="7"/>
        <tr r="AS109" s="7"/>
        <tr r="AC109" s="7"/>
        <tr r="M109" s="7"/>
        <tr r="AU108" s="7"/>
        <tr r="AD108" s="7"/>
        <tr r="M108" s="7"/>
        <tr r="AQ107" s="7"/>
        <tr r="X107" s="7"/>
        <tr r="D107" s="7"/>
        <tr r="AJ106" s="7"/>
        <tr r="O106" s="7"/>
        <tr r="AU105" s="7"/>
        <tr r="AA105" s="7"/>
        <tr r="H105" s="7"/>
        <tr r="AL104" s="7"/>
        <tr r="S104" s="7"/>
        <tr r="AY103" s="7"/>
        <tr r="AE103" s="7"/>
        <tr r="L103" s="7"/>
        <tr r="AP102" s="7"/>
        <tr r="W102" s="7"/>
        <tr r="C102" s="7"/>
        <tr r="AI101" s="7"/>
        <tr r="N101" s="7"/>
        <tr r="AT100" s="7"/>
        <tr r="Z100" s="7"/>
        <tr r="G100" s="7"/>
        <tr r="AK99" s="7"/>
        <tr r="R99" s="7"/>
        <tr r="AX98" s="7"/>
        <tr r="AD98" s="7"/>
        <tr r="K98" s="7"/>
        <tr r="AL97" s="7"/>
        <tr r="O97" s="7"/>
        <tr r="AP96" s="7"/>
        <tr r="S96" s="7"/>
        <tr r="AU95" s="7"/>
        <tr r="X95" s="7"/>
        <tr r="AY94" s="7"/>
        <tr r="AB94" s="7"/>
        <tr r="D94" s="7"/>
        <tr r="AG93" s="7"/>
        <tr r="J93" s="7"/>
        <tr r="AK92" s="7"/>
        <tr r="N92" s="7"/>
        <tr r="AO91" s="7"/>
        <tr r="R91" s="7"/>
        <tr r="AT90" s="7"/>
        <tr r="W90" s="7"/>
        <tr r="AX89" s="7"/>
        <tr r="W89" s="7"/>
        <tr r="AU88" s="7"/>
        <tr r="U88" s="7"/>
        <tr r="AS87" s="7"/>
        <tr r="P87" s="7"/>
        <tr r="AJ86" s="7"/>
        <tr r="B86" s="7"/>
        <tr r="AS83" s="7"/>
        <tr r="AI77" s="7"/>
        <tr r="AV70" s="7"/>
        <tr r="AJ47" s="7"/>
        <tr r="AY108" s="7"/>
        <tr r="AI108" s="7"/>
        <tr r="S108" s="7"/>
        <tr r="C108" s="7"/>
        <tr r="AL107" s="7"/>
        <tr r="V107" s="7"/>
        <tr r="F107" s="7"/>
        <tr r="AO106" s="7"/>
        <tr r="Y106" s="7"/>
        <tr r="I106" s="7"/>
        <tr r="AR105" s="7"/>
        <tr r="AB105" s="7"/>
        <tr r="L105" s="7"/>
        <tr r="AU104" s="7"/>
        <tr r="AE104" s="7"/>
        <tr r="O104" s="7"/>
        <tr r="AX103" s="7"/>
        <tr r="AH103" s="7"/>
        <tr r="R103" s="7"/>
        <tr r="B103" s="7"/>
        <tr r="AK102" s="7"/>
        <tr r="U102" s="7"/>
        <tr r="E102" s="7"/>
        <tr r="AN101" s="7"/>
        <tr r="X101" s="7"/>
        <tr r="H101" s="7"/>
        <tr r="AQ100" s="7"/>
        <tr r="AA100" s="7"/>
        <tr r="K100" s="7"/>
        <tr r="AT99" s="7"/>
        <tr r="AD99" s="7"/>
        <tr r="N99" s="7"/>
        <tr r="AW98" s="7"/>
        <tr r="AG98" s="7"/>
        <tr r="Q98" s="7"/>
        <tr r="AJ97" s="7"/>
        <tr r="T97" s="7"/>
        <tr r="D97" s="7"/>
        <tr r="AM96" s="7"/>
        <tr r="W96" s="7"/>
        <tr r="G96" s="7"/>
        <tr r="AP95" s="7"/>
        <tr r="Z95" s="7"/>
        <tr r="J95" s="7"/>
        <tr r="AS94" s="7"/>
        <tr r="AC94" s="7"/>
        <tr r="M94" s="7"/>
        <tr r="AV93" s="7"/>
        <tr r="AF93" s="7"/>
        <tr r="P93" s="7"/>
        <tr r="AY92" s="7"/>
        <tr r="AI92" s="7"/>
        <tr r="S92" s="7"/>
        <tr r="C92" s="7"/>
        <tr r="AL91" s="7"/>
        <tr r="V91" s="7"/>
        <tr r="F91" s="7"/>
        <tr r="AO90" s="7"/>
        <tr r="Y90" s="7"/>
        <tr r="I90" s="7"/>
        <tr r="AR89" s="7"/>
        <tr r="AA89" s="7"/>
        <tr r="J89" s="7"/>
        <tr r="AR88" s="7"/>
        <tr r="AA88" s="7"/>
        <tr r="J88" s="7"/>
        <tr r="AR87" s="7"/>
        <tr r="AA87" s="7"/>
        <tr r="J87" s="7"/>
        <tr r="AQ86" s="7"/>
        <tr r="X86" s="7"/>
        <tr r="F86" s="7"/>
        <tr r="AM85" s="7"/>
        <tr r="U85" s="7"/>
        <tr r="B85" s="7"/>
        <tr r="AI84" s="7"/>
        <tr r="N84" s="7"/>
        <tr r="AT83" s="7"/>
        <tr r="AA83" s="7"/>
        <tr r="G83" s="7"/>
        <tr r="AM82" s="7"/>
        <tr r="R82" s="7"/>
        <tr r="AX81" s="7"/>
        <tr r="AD81" s="7"/>
        <tr r="K81" s="7"/>
        <tr r="AO80" s="7"/>
        <tr r="V80" s="7"/>
        <tr r="B80" s="7"/>
        <tr r="AH79" s="7"/>
        <tr r="M79" s="7"/>
        <tr r="AS78" s="7"/>
        <tr r="Z78" s="7"/>
        <tr r="F78" s="7"/>
        <tr r="AL77" s="7"/>
        <tr r="Q77" s="7"/>
        <tr r="AW76" s="7"/>
        <tr r="AC76" s="7"/>
        <tr r="J76" s="7"/>
        <tr r="AN75" s="7"/>
        <tr r="U75" s="7"/>
        <tr r="AF74" s="7"/>
        <tr r="H74" s="7"/>
        <tr r="AK73" s="7"/>
        <tr r="M73" s="7"/>
        <tr r="AO72" s="7"/>
        <tr r="Q72" s="7"/>
        <tr r="AS71" s="7"/>
        <tr r="U71" s="7"/>
        <tr r="AX70" s="7"/>
        <tr r="AA70" s="7"/>
        <tr r="C70" s="7"/>
        <tr r="AE69" s="7"/>
        <tr r="B69" s="7"/>
        <tr r="Y68" s="7"/>
        <tr r="AV67" s="7"/>
        <tr r="S67" s="7"/>
        <tr r="AO66" s="7"/>
        <tr r="K66" s="7"/>
        <tr r="AE65" s="7"/>
        <tr r="AX64" s="7"/>
        <tr r="K64" s="7"/>
        <tr r="P63" s="7"/>
        <tr r="Y60" s="7"/>
        <tr r="P54" s="7"/>
        <tr r="H48" s="7"/>
        <tr r="AP89" s="7"/>
        <tr r="Y89" s="7"/>
        <tr r="H89" s="7"/>
        <tr r="AP88" s="7"/>
        <tr r="Y88" s="7"/>
        <tr r="H88" s="7"/>
        <tr r="AP87" s="7"/>
        <tr r="Y87" s="7"/>
        <tr r="H87" s="7"/>
        <tr r="AN86" s="7"/>
        <tr r="V86" s="7"/>
        <tr r="D86" s="7"/>
        <tr r="AK85" s="7"/>
        <tr r="R85" s="7"/>
        <tr r="AY84" s="7"/>
        <tr r="AG84" s="7"/>
        <tr r="L84" s="7"/>
        <tr r="AR83" s="7"/>
        <tr r="X83" s="7"/>
        <tr r="E83" s="7"/>
        <tr r="AI82" s="7"/>
        <tr r="P82" s="7"/>
        <tr r="AU81" s="7"/>
        <tr r="AB81" s="7"/>
        <tr r="G81" s="7"/>
        <tr r="AM80" s="7"/>
        <tr r="T80" s="7"/>
        <tr r="AY79" s="7"/>
        <tr r="AF79" s="7"/>
        <tr r="K79" s="7"/>
        <tr r="AQ78" s="7"/>
        <tr r="W78" s="7"/>
        <tr r="D78" s="7"/>
        <tr r="AH77" s="7"/>
        <tr r="O77" s="7"/>
        <tr r="AT76" s="7"/>
        <tr r="AA76" s="7"/>
        <tr r="F76" s="7"/>
        <tr r="AL75" s="7"/>
        <tr r="S75" s="7"/>
        <tr r="AX74" s="7"/>
        <tr r="AB74" s="7"/>
        <tr r="F74" s="7"/>
        <tr r="AH73" s="7"/>
        <tr r="J73" s="7"/>
        <tr r="AL72" s="7"/>
        <tr r="N72" s="7"/>
        <tr r="AQ71" s="7"/>
        <tr r="S71" s="7"/>
        <tr r="AU70" s="7"/>
        <tr r="W70" s="7"/>
        <tr r="AY69" s="7"/>
        <tr r="AA69" s="7"/>
        <tr r="AY68" s="7"/>
        <tr r="V68" s="7"/>
        <tr r="AQ67" s="7"/>
        <tr r="P67" s="7"/>
        <tr r="AK66" s="7"/>
        <tr r="G66" s="7"/>
        <tr r="AB65" s="7"/>
        <tr r="AS64" s="7"/>
        <tr r="D64" s="7"/>
        <tr r="K63" s="7"/>
        <tr r="AJ59" s="7"/>
        <tr r="AB53" s="7"/>
        <tr r="I47" s="7"/>
        <tr r="AW97" s="7"/>
        <tr r="AG97" s="7"/>
        <tr r="Q97" s="7"/>
        <tr r="AJ96" s="7"/>
        <tr r="T96" s="7"/>
        <tr r="D96" s="7"/>
        <tr r="AM95" s="7"/>
        <tr r="W95" s="7"/>
        <tr r="G95" s="7"/>
        <tr r="AP94" s="7"/>
        <tr r="Z94" s="7"/>
        <tr r="J94" s="7"/>
        <tr r="AS93" s="7"/>
        <tr r="AC93" s="7"/>
        <tr r="M93" s="7"/>
        <tr r="AV92" s="7"/>
        <tr r="AF92" s="7"/>
        <tr r="P92" s="7"/>
        <tr r="AY91" s="7"/>
        <tr r="AI91" s="7"/>
        <tr r="S91" s="7"/>
        <tr r="C91" s="7"/>
        <tr r="AL90" s="7"/>
        <tr r="V90" s="7"/>
        <tr r="F90" s="7"/>
        <tr r="AO89" s="7"/>
        <tr r="X89" s="7"/>
        <tr r="G89" s="7"/>
        <tr r="AO88" s="7"/>
        <tr r="X88" s="7"/>
        <tr r="G88" s="7"/>
        <tr r="AO87" s="7"/>
        <tr r="X87" s="7"/>
        <tr r="G87" s="7"/>
        <tr r="AM86" s="7"/>
        <tr r="U86" s="7"/>
        <tr r="C86" s="7"/>
        <tr r="AI85" s="7"/>
        <tr r="Q85" s="7"/>
        <tr r="AX84" s="7"/>
        <tr r="AD84" s="7"/>
        <tr r="K84" s="7"/>
        <tr r="AQ83" s="7"/>
        <tr r="W83" s="7"/>
        <tr r="D83" s="7"/>
        <tr r="AH82" s="7"/>
        <tr r="O82" s="7"/>
        <tr r="AT81" s="7"/>
        <tr r="AA81" s="7"/>
        <tr r="F81" s="7"/>
        <tr r="AL80" s="7"/>
        <tr r="R80" s="7"/>
        <tr r="AX79" s="7"/>
        <tr r="AC79" s="7"/>
        <tr r="J79" s="7"/>
        <tr r="AP78" s="7"/>
        <tr r="V78" s="7"/>
        <tr r="C78" s="7"/>
        <tr r="AG77" s="7"/>
        <tr r="N77" s="7"/>
        <tr r="AS76" s="7"/>
        <tr r="Z76" s="7"/>
        <tr r="E76" s="7"/>
        <tr r="AK75" s="7"/>
        <tr r="Q75" s="7"/>
        <tr r="AW74" s="7"/>
        <tr r="AA74" s="7"/>
        <tr r="D74" s="7"/>
        <tr r="AE73" s="7"/>
        <tr r="I73" s="7"/>
        <tr r="AK72" s="7"/>
        <tr r="M72" s="7"/>
        <tr r="AO71" s="7"/>
        <tr r="Q71" s="7"/>
        <tr r="AT70" s="7"/>
        <tr r="V70" s="7"/>
        <tr r="AX69" s="7"/>
        <tr r="Z69" s="7"/>
        <tr r="AV68" s="7"/>
        <tr r="S68" s="7"/>
        <tr r="AP67" s="7"/>
        <tr r="O67" s="7"/>
        <tr r="AJ66" s="7"/>
        <tr r="F66" s="7"/>
        <tr r="Z65" s="7"/>
        <tr r="AR64" s="7"/>
        <tr r="C64" s="7"/>
        <tr r="F63" s="7"/>
        <tr r="Q59" s="7"/>
        <tr r="I53" s="7"/>
        <tr r="AD46" s="7"/>
        <tr r="P85" s="7"/>
        <tr r="AW84" s="7"/>
        <tr r="AC84" s="7"/>
        <tr r="J84" s="7"/>
        <tr r="AO83" s="7"/>
        <tr r="V83" s="7"/>
        <tr r="AG82" s="7"/>
        <tr r="N82" s="7"/>
        <tr r="AS81" s="7"/>
        <tr r="Z81" s="7"/>
        <tr r="E81" s="7"/>
        <tr r="AK80" s="7"/>
        <tr r="Q80" s="7"/>
        <tr r="AW79" s="7"/>
        <tr r="AB79" s="7"/>
        <tr r="I79" s="7"/>
        <tr r="AN78" s="7"/>
        <tr r="U78" s="7"/>
        <tr r="AY77" s="7"/>
        <tr r="AF77" s="7"/>
        <tr r="M77" s="7"/>
        <tr r="AR76" s="7"/>
        <tr r="Y76" s="7"/>
        <tr r="D76" s="7"/>
        <tr r="AJ75" s="7"/>
        <tr r="P75" s="7"/>
        <tr r="AV74" s="7"/>
        <tr r="Z74" s="7"/>
        <tr r="C74" s="7"/>
        <tr r="AD73" s="7"/>
        <tr r="G73" s="7"/>
        <tr r="AH72" s="7"/>
        <tr r="L72" s="7"/>
        <tr r="AN71" s="7"/>
        <tr r="P71" s="7"/>
        <tr r="AR70" s="7"/>
        <tr r="T70" s="7"/>
        <tr r="AW69" s="7"/>
        <tr r="Y69" s="7"/>
        <tr r="AU68" s="7"/>
        <tr r="Q68" s="7"/>
        <tr r="AN67" s="7"/>
        <tr r="J67" s="7"/>
        <tr r="AI66" s="7"/>
        <tr r="C66" s="7"/>
        <tr r="W65" s="7"/>
        <tr r="AQ64" s="7"/>
        <tr r="AX63" s="7"/>
        <tr r="E63" s="7"/>
        <tr r="AW58" s="7"/>
        <tr r="AM52" s="7"/>
        <tr r="AP45" s="7"/>
        <tr r="O85" s="7"/>
        <tr r="AV84" s="7"/>
        <tr r="AB84" s="7"/>
        <tr r="I84" s="7"/>
        <tr r="AN83" s="7"/>
        <tr r="U83" s="7"/>
        <tr r="AY82" s="7"/>
        <tr r="AF82" s="7"/>
        <tr r="L82" s="7"/>
        <tr r="AR81" s="7"/>
        <tr r="W81" s="7"/>
        <tr r="D81" s="7"/>
        <tr r="AJ80" s="7"/>
        <tr r="P80" s="7"/>
        <tr r="AV79" s="7"/>
        <tr r="AA79" s="7"/>
        <tr r="H79" s="7"/>
        <tr r="AM78" s="7"/>
        <tr r="T78" s="7"/>
        <tr r="AX77" s="7"/>
        <tr r="AE77" s="7"/>
        <tr r="K77" s="7"/>
        <tr r="AQ76" s="7"/>
        <tr r="V76" s="7"/>
        <tr r="C76" s="7"/>
        <tr r="AI75" s="7"/>
        <tr r="O75" s="7"/>
        <tr r="AU74" s="7"/>
        <tr r="X74" s="7"/>
        <tr r="B74" s="7"/>
        <tr r="AC73" s="7"/>
        <tr r="F73" s="7"/>
        <tr r="AG72" s="7"/>
        <tr r="J72" s="7"/>
        <tr r="AK71" s="7"/>
        <tr r="O71" s="7"/>
        <tr r="AQ70" s="7"/>
        <tr r="S70" s="7"/>
        <tr r="AU69" s="7"/>
        <tr r="U69" s="7"/>
        <tr r="AT68" s="7"/>
        <tr r="P68" s="7"/>
        <tr r="AM67" s="7"/>
        <tr r="I67" s="7"/>
        <tr r="AE66" s="7"/>
        <tr r="B66" s="7"/>
        <tr r="V65" s="7"/>
        <tr r="AK64" s="7"/>
        <tr r="AT63" s="7"/>
        <tr r="C63" s="7"/>
        <tr r="AC58" s="7"/>
        <tr r="T52" s="7"/>
        <tr r="B45" s="7"/>
        <tr r="N85" s="7"/>
        <tr r="AT84" s="7"/>
        <tr r="AA84" s="7"/>
        <tr r="H84" s="7"/>
        <tr r="AM83" s="7"/>
        <tr r="T83" s="7"/>
        <tr r="AX82" s="7"/>
        <tr r="AE82" s="7"/>
        <tr r="K82" s="7"/>
        <tr r="AQ81" s="7"/>
        <tr r="V81" s="7"/>
        <tr r="C81" s="7"/>
        <tr r="AH80" s="7"/>
        <tr r="O80" s="7"/>
        <tr r="AS79" s="7"/>
        <tr r="Z79" s="7"/>
        <tr r="G79" s="7"/>
        <tr r="AL78" s="7"/>
        <tr r="S78" s="7"/>
        <tr r="AW77" s="7"/>
        <tr r="AD77" s="7"/>
        <tr r="J77" s="7"/>
        <tr r="AP76" s="7"/>
        <tr r="U76" s="7"/>
        <tr r="B76" s="7"/>
        <tr r="AG75" s="7"/>
        <tr r="N75" s="7"/>
        <tr r="AR74" s="7"/>
        <tr r="W74" s="7"/>
        <tr r="AY73" s="7"/>
        <tr r="AA73" s="7"/>
        <tr r="E73" s="7"/>
        <tr r="AF72" s="7"/>
        <tr r="I72" s="7"/>
        <tr r="AJ71" s="7"/>
        <tr r="M71" s="7"/>
        <tr r="AN70" s="7"/>
        <tr r="R70" s="7"/>
        <tr r="AT69" s="7"/>
        <tr r="T69" s="7"/>
        <tr r="AR68" s="7"/>
        <tr r="N68" s="7"/>
        <tr r="AL67" s="7"/>
        <tr r="H67" s="7"/>
        <tr r="AD66" s="7"/>
        <tr r="AX65" s="7"/>
        <tr r="R65" s="7"/>
        <tr r="AH64" s="7"/>
        <tr r="AS63" s="7"/>
        <tr r="AV62" s="7"/>
        <tr r="J58" s="7"/>
        <tr r="AY51" s="7"/>
        <tr r="S44" s="7"/>
        <tr r="L108" s="7"/>
        <tr r="AU107" s="7"/>
        <tr r="AE107" s="7"/>
        <tr r="O107" s="7"/>
        <tr r="AX106" s="7"/>
        <tr r="AH106" s="7"/>
        <tr r="R106" s="7"/>
        <tr r="B106" s="7"/>
        <tr r="AK105" s="7"/>
        <tr r="U105" s="7"/>
        <tr r="E105" s="7"/>
        <tr r="AN104" s="7"/>
        <tr r="X104" s="7"/>
        <tr r="H104" s="7"/>
        <tr r="AQ103" s="7"/>
        <tr r="AA103" s="7"/>
        <tr r="K103" s="7"/>
        <tr r="AT102" s="7"/>
        <tr r="AD102" s="7"/>
        <tr r="N102" s="7"/>
        <tr r="AW101" s="7"/>
        <tr r="AG101" s="7"/>
        <tr r="Q101" s="7"/>
        <tr r="AJ100" s="7"/>
        <tr r="T100" s="7"/>
        <tr r="D100" s="7"/>
        <tr r="AM99" s="7"/>
        <tr r="W99" s="7"/>
        <tr r="G99" s="7"/>
        <tr r="AP98" s="7"/>
        <tr r="Z98" s="7"/>
        <tr r="J98" s="7"/>
        <tr r="AS97" s="7"/>
        <tr r="AC97" s="7"/>
        <tr r="M97" s="7"/>
        <tr r="AV96" s="7"/>
        <tr r="AF96" s="7"/>
        <tr r="P96" s="7"/>
        <tr r="AY95" s="7"/>
        <tr r="AI95" s="7"/>
        <tr r="S95" s="7"/>
        <tr r="C95" s="7"/>
        <tr r="AL94" s="7"/>
        <tr r="V94" s="7"/>
        <tr r="F94" s="7"/>
        <tr r="AO93" s="7"/>
        <tr r="Y93" s="7"/>
        <tr r="I93" s="7"/>
        <tr r="AR92" s="7"/>
        <tr r="AB92" s="7"/>
        <tr r="L92" s="7"/>
        <tr r="AU91" s="7"/>
        <tr r="AE91" s="7"/>
        <tr r="O91" s="7"/>
        <tr r="AX90" s="7"/>
        <tr r="AH90" s="7"/>
        <tr r="R90" s="7"/>
        <tr r="B90" s="7"/>
        <tr r="AK89" s="7"/>
        <tr r="T89" s="7"/>
        <tr r="C89" s="7"/>
        <tr r="AK88" s="7"/>
        <tr r="T88" s="7"/>
        <tr r="B88" s="7"/>
        <tr r="AJ87" s="7"/>
        <tr r="S87" s="7"/>
        <tr r="B87" s="7"/>
        <tr r="AI86" s="7"/>
        <tr r="P86" s="7"/>
        <tr r="AW85" s="7"/>
        <tr r="AE85" s="7"/>
        <tr r="M85" s="7"/>
        <tr r="AS84" s="7"/>
        <tr r="Z84" s="7"/>
        <tr r="F84" s="7"/>
        <tr r="AL83" s="7"/>
        <tr r="Q83" s="7"/>
        <tr r="AW82" s="7"/>
        <tr r="AD82" s="7"/>
        <tr r="J82" s="7"/>
        <tr r="AP81" s="7"/>
        <tr r="U81" s="7"/>
        <tr r="B81" s="7"/>
        <tr r="AG80" s="7"/>
        <tr r="N80" s="7"/>
        <tr r="AR79" s="7"/>
        <tr r="Y79" s="7"/>
        <tr r="E79" s="7"/>
        <tr r="AK78" s="7"/>
        <tr r="P78" s="7"/>
        <tr r="AV77" s="7"/>
        <tr r="AC77" s="7"/>
        <tr r="I77" s="7"/>
        <tr r="AO76" s="7"/>
        <tr r="T76" s="7"/>
        <tr r="AF75" s="7"/>
        <tr r="M75" s="7"/>
        <tr r="AQ74" s="7"/>
        <tr r="V74" s="7"/>
        <tr r="AX73" s="7"/>
        <tr r="Z73" s="7"/>
        <tr r="C73" s="7"/>
        <tr r="AD72" s="7"/>
        <tr r="H72" s="7"/>
        <tr r="AI71" s="7"/>
        <tr r="L71" s="7"/>
        <tr r="AM70" s="7"/>
        <tr r="P70" s="7"/>
        <tr r="AQ69" s="7"/>
        <tr r="S69" s="7"/>
        <tr r="AO68" s="7"/>
        <tr r="M68" s="7"/>
        <tr r="AI67" s="7"/>
        <tr r="F67" s="7"/>
        <tr r="AC66" s="7"/>
        <tr r="AV65" s="7"/>
        <tr r="Q65" s="7"/>
        <tr r="AG64" s="7"/>
        <tr r="AQ63" s="7"/>
        <tr r="AO62" s="7"/>
        <tr r="AN57" s="7"/>
        <tr r="AF51" s="7"/>
        <tr r="AD43" s="7"/>
        <tr r="K108" s="7"/>
        <tr r="AT107" s="7"/>
        <tr r="AD107" s="7"/>
        <tr r="N107" s="7"/>
        <tr r="AW106" s="7"/>
        <tr r="AG106" s="7"/>
        <tr r="Q106" s="7"/>
        <tr r="AJ105" s="7"/>
        <tr r="T105" s="7"/>
        <tr r="D105" s="7"/>
        <tr r="AM104" s="7"/>
        <tr r="W104" s="7"/>
        <tr r="G104" s="7"/>
        <tr r="AP103" s="7"/>
        <tr r="Z103" s="7"/>
        <tr r="J103" s="7"/>
        <tr r="AS102" s="7"/>
        <tr r="AC102" s="7"/>
        <tr r="M102" s="7"/>
        <tr r="AV101" s="7"/>
        <tr r="AF101" s="7"/>
        <tr r="P101" s="7"/>
        <tr r="AY100" s="7"/>
        <tr r="AI100" s="7"/>
        <tr r="S100" s="7"/>
        <tr r="C100" s="7"/>
        <tr r="AL99" s="7"/>
        <tr r="V99" s="7"/>
        <tr r="F99" s="7"/>
        <tr r="AO98" s="7"/>
        <tr r="Y98" s="7"/>
        <tr r="I98" s="7"/>
        <tr r="AR97" s="7"/>
        <tr r="AB97" s="7"/>
        <tr r="L97" s="7"/>
        <tr r="AU96" s="7"/>
        <tr r="AE96" s="7"/>
        <tr r="O96" s="7"/>
        <tr r="AX95" s="7"/>
        <tr r="AH95" s="7"/>
        <tr r="R95" s="7"/>
        <tr r="B95" s="7"/>
        <tr r="AK94" s="7"/>
        <tr r="U94" s="7"/>
        <tr r="E94" s="7"/>
        <tr r="AN93" s="7"/>
        <tr r="X93" s="7"/>
        <tr r="H93" s="7"/>
        <tr r="AQ92" s="7"/>
        <tr r="AA92" s="7"/>
        <tr r="K92" s="7"/>
        <tr r="AT91" s="7"/>
        <tr r="AD91" s="7"/>
        <tr r="N91" s="7"/>
        <tr r="AW90" s="7"/>
        <tr r="AG90" s="7"/>
        <tr r="Q90" s="7"/>
        <tr r="AJ89" s="7"/>
        <tr r="S89" s="7"/>
        <tr r="B89" s="7"/>
        <tr r="AJ88" s="7"/>
        <tr r="R88" s="7"/>
        <tr r="AI87" s="7"/>
        <tr r="R87" s="7"/>
        <tr r="AH86" s="7"/>
        <tr r="O86" s="7"/>
        <tr r="AV85" s="7"/>
        <tr r="AD85" s="7"/>
        <tr r="K85" s="7"/>
        <tr r="AR84" s="7"/>
        <tr r="Y84" s="7"/>
        <tr r="E84" s="7"/>
        <tr r="AK83" s="7"/>
        <tr r="P83" s="7"/>
        <tr r="AV82" s="7"/>
        <tr r="AB82" s="7"/>
        <tr r="I82" s="7"/>
        <tr r="AM81" s="7"/>
        <tr r="T81" s="7"/>
        <tr r="AF80" s="7"/>
        <tr r="M80" s="7"/>
        <tr r="AQ79" s="7"/>
        <tr r="X79" s="7"/>
        <tr r="D79" s="7"/>
        <tr r="AJ78" s="7"/>
        <tr r="O78" s="7"/>
        <tr r="AU77" s="7"/>
        <tr r="AA77" s="7"/>
        <tr r="H77" s="7"/>
        <tr r="AL76" s="7"/>
        <tr r="S76" s="7"/>
        <tr r="AY75" s="7"/>
        <tr r="AE75" s="7"/>
        <tr r="L75" s="7"/>
        <tr r="AP74" s="7"/>
        <tr r="T74" s="7"/>
        <tr r="AU73" s="7"/>
        <tr r="Y73" s="7"/>
        <tr r="B73" s="7"/>
        <tr r="AC72" s="7"/>
        <tr r="F72" s="7"/>
        <tr r="AG71" s="7"/>
        <tr r="K71" s="7"/>
        <tr r="AL70" s="7"/>
        <tr r="O70" s="7"/>
        <tr r="AP69" s="7"/>
        <tr r="Q69" s="7"/>
        <tr r="AL68" s="7"/>
        <tr r="L68" s="7"/>
        <tr r="AH67" s="7"/>
        <tr r="D67" s="7"/>
        <tr r="AA66" s="7"/>
        <tr r="AU65" s="7"/>
        <tr r="N65" s="7"/>
        <tr r="AE64" s="7"/>
        <tr r="AK63" s="7"/>
        <tr r="AK62" s="7"/>
        <tr r="U57" s="7"/>
        <tr r="K51" s="7"/>
        <tr r="AR42" s="7"/>
        <tr r="AC85" s="7"/>
        <tr r="J85" s="7"/>
        <tr r="AQ84" s="7"/>
        <tr r="X84" s="7"/>
        <tr r="D84" s="7"/>
        <tr r="AJ83" s="7"/>
        <tr r="O83" s="7"/>
        <tr r="AU82" s="7"/>
        <tr r="AA82" s="7"/>
        <tr r="H82" s="7"/>
        <tr r="AL81" s="7"/>
        <tr r="S81" s="7"/>
        <tr r="AX80" s="7"/>
        <tr r="AE80" s="7"/>
        <tr r="J80" s="7"/>
        <tr r="AP79" s="7"/>
        <tr r="W79" s="7"/>
        <tr r="C79" s="7"/>
        <tr r="AI78" s="7"/>
        <tr r="N78" s="7"/>
        <tr r="AT77" s="7"/>
        <tr r="Z77" s="7"/>
        <tr r="G77" s="7"/>
        <tr r="AK76" s="7"/>
        <tr r="R76" s="7"/>
        <tr r="AW75" s="7"/>
        <tr r="AD75" s="7"/>
        <tr r="I75" s="7"/>
        <tr r="AN74" s="7"/>
        <tr r="S74" s="7"/>
        <tr r="AT73" s="7"/>
        <tr r="W73" s="7"/>
        <tr r="AX72" s="7"/>
        <tr r="AB72" s="7"/>
        <tr r="E72" s="7"/>
        <tr r="AF71" s="7"/>
        <tr r="I71" s="7"/>
        <tr r="AJ70" s="7"/>
        <tr r="N70" s="7"/>
        <tr r="AO69" s="7"/>
        <tr r="P69" s="7"/>
        <tr r="AK68" s="7"/>
        <tr r="H68" s="7"/>
        <tr r="AE67" s="7"/>
        <tr r="C67" s="7"/>
        <tr r="Z66" s="7"/>
        <tr r="AT65" s="7"/>
        <tr r="M65" s="7"/>
        <tr r="AC64" s="7"/>
        <tr r="AJ63" s="7"/>
        <tr r="AA62" s="7"/>
        <tr r="AQ50" s="7"/>
        <tr r="B42" s="7"/>
        <tr r="AA85" s="7"/>
        <tr r="I85" s="7"/>
        <tr r="AP84" s="7"/>
        <tr r="V84" s="7"/>
        <tr r="C84" s="7"/>
        <tr r="AG83" s="7"/>
        <tr r="N83" s="7"/>
        <tr r="AT82" s="7"/>
        <tr r="Z82" s="7"/>
        <tr r="G82" s="7"/>
        <tr r="AK81" s="7"/>
        <tr r="R81" s="7"/>
        <tr r="AW80" s="7"/>
        <tr r="AD80" s="7"/>
        <tr r="I80" s="7"/>
        <tr r="AO79" s="7"/>
        <tr r="U79" s="7"/>
        <tr r="B79" s="7"/>
        <tr r="AF78" s="7"/>
        <tr r="M78" s="7"/>
        <tr r="AS77" s="7"/>
        <tr r="Y77" s="7"/>
        <tr r="F77" s="7"/>
        <tr r="AJ76" s="7"/>
        <tr r="Q76" s="7"/>
        <tr r="AV75" s="7"/>
        <tr r="AC75" s="7"/>
        <tr r="H75" s="7"/>
        <tr r="AM74" s="7"/>
        <tr r="R74" s="7"/>
        <tr r="AS73" s="7"/>
        <tr r="V73" s="7"/>
        <tr r="AW72" s="7"/>
        <tr r="Z72" s="7"/>
        <tr r="B72" s="7"/>
        <tr r="AE71" s="7"/>
        <tr r="H71" s="7"/>
        <tr r="AI70" s="7"/>
        <tr r="L70" s="7"/>
        <tr r="AM69" s="7"/>
        <tr r="N69" s="7"/>
        <tr r="AJ68" s="7"/>
        <tr r="G68" s="7"/>
        <tr r="AB67" s="7"/>
        <tr r="V66" s="7"/>
        <tr r="AP65" s="7"/>
        <tr r="L65" s="7"/>
        <tr r="Z64" s="7"/>
        <tr r="AI63" s="7"/>
        <tr r="V62" s="7"/>
        <tr r="AG56" s="7"/>
        <tr r="W50" s="7"/>
        <tr r="O41" s="7"/>
        <tr r="Z85" s="7"/>
        <tr r="H85" s="7"/>
        <tr r="AO84" s="7"/>
        <tr r="U84" s="7"/>
        <tr r="B84" s="7"/>
        <tr r="AF83" s="7"/>
        <tr r="M83" s="7"/>
        <tr r="AR82" s="7"/>
        <tr r="Y82" s="7"/>
        <tr r="D82" s="7"/>
        <tr r="AJ81" s="7"/>
        <tr r="Q81" s="7"/>
        <tr r="AV80" s="7"/>
        <tr r="AC80" s="7"/>
        <tr r="H80" s="7"/>
        <tr r="AN79" s="7"/>
        <tr r="T79" s="7"/>
        <tr r="AE78" s="7"/>
        <tr r="L78" s="7"/>
        <tr r="AQ77" s="7"/>
        <tr r="X77" s="7"/>
        <tr r="C77" s="7"/>
        <tr r="AI76" s="7"/>
        <tr r="P76" s="7"/>
        <tr r="AU75" s="7"/>
        <tr r="AB75" s="7"/>
        <tr r="G75" s="7"/>
        <tr r="AL74" s="7"/>
        <tr r="P74" s="7"/>
        <tr r="AQ73" s="7"/>
        <tr r="U73" s="7"/>
        <tr r="AV72" s="7"/>
        <tr r="Y72" s="7"/>
        <tr r="AC71" s="7"/>
        <tr r="E71" s="7"/>
        <tr r="AH70" s="7"/>
        <tr r="K70" s="7"/>
        <tr r="AL69" s="7"/>
        <tr r="L69" s="7"/>
        <tr r="AG68" s="7"/>
        <tr r="F68" s="7"/>
        <tr r="AA67" s="7"/>
        <tr r="AY66" s="7"/>
        <tr r="U66" s="7"/>
        <tr r="AO65" s="7"/>
        <tr r="I65" s="7"/>
        <tr r="Y64" s="7"/>
        <tr r="AD63" s="7"/>
        <tr r="Q62" s="7"/>
        <tr r="L56" s="7"/>
        <tr r="D50" s="7"/>
        <tr r="W40" s="7"/>
        <tr r="E98" s="7"/>
        <tr r="AN97" s="7"/>
        <tr r="X97" s="7"/>
        <tr r="H97" s="7"/>
        <tr r="AQ96" s="7"/>
        <tr r="AA96" s="7"/>
        <tr r="K96" s="7"/>
        <tr r="AT95" s="7"/>
        <tr r="AD95" s="7"/>
        <tr r="N95" s="7"/>
        <tr r="AW94" s="7"/>
        <tr r="AG94" s="7"/>
        <tr r="Q94" s="7"/>
        <tr r="AJ93" s="7"/>
        <tr r="T93" s="7"/>
        <tr r="D93" s="7"/>
        <tr r="AM92" s="7"/>
        <tr r="W92" s="7"/>
        <tr r="G92" s="7"/>
        <tr r="AP91" s="7"/>
        <tr r="Z91" s="7"/>
        <tr r="J91" s="7"/>
        <tr r="AS90" s="7"/>
        <tr r="AC90" s="7"/>
        <tr r="M90" s="7"/>
        <tr r="AV89" s="7"/>
        <tr r="AE89" s="7"/>
        <tr r="N89" s="7"/>
        <tr r="AV88" s="7"/>
        <tr r="AE88" s="7"/>
        <tr r="N88" s="7"/>
        <tr r="AV87" s="7"/>
        <tr r="AE87" s="7"/>
        <tr r="N87" s="7"/>
        <tr r="AU86" s="7"/>
        <tr r="AC86" s="7"/>
        <tr r="K86" s="7"/>
        <tr r="AQ85" s="7"/>
        <tr r="Y85" s="7"/>
        <tr r="G85" s="7"/>
        <tr r="AN84" s="7"/>
        <tr r="T84" s="7"/>
        <tr r="AE83" s="7"/>
        <tr r="L83" s="7"/>
        <tr r="AQ82" s="7"/>
        <tr r="X82" s="7"/>
        <tr r="C82" s="7"/>
        <tr r="AI81" s="7"/>
        <tr r="O81" s="7"/>
        <tr r="AU80" s="7"/>
        <tr r="Z80" s="7"/>
        <tr r="G80" s="7"/>
        <tr r="AM79" s="7"/>
        <tr r="S79" s="7"/>
        <tr r="AY78" s="7"/>
        <tr r="AD78" s="7"/>
        <tr r="K78" s="7"/>
        <tr r="AP77" s="7"/>
        <tr r="W77" s="7"/>
        <tr r="B77" s="7"/>
        <tr r="AH76" s="7"/>
        <tr r="N76" s="7"/>
        <tr r="AT75" s="7"/>
        <tr r="Y75" s="7"/>
        <tr r="F75" s="7"/>
        <tr r="AJ74" s="7"/>
        <tr r="O74" s="7"/>
        <tr r="AP73" s="7"/>
        <tr r="S73" s="7"/>
        <tr r="AT72" s="7"/>
        <tr r="X72" s="7"/>
        <tr r="AY71" s="7"/>
        <tr r="AB71" s="7"/>
        <tr r="D71" s="7"/>
        <tr r="AF70" s="7"/>
        <tr r="H70" s="7"/>
        <tr r="AK69" s="7"/>
        <tr r="K69" s="7"/>
        <tr r="AF68" s="7"/>
        <tr r="D68" s="7"/>
        <tr r="Y67" s="7"/>
        <tr r="AX66" s="7"/>
        <tr r="T66" s="7"/>
        <tr r="AM65" s="7"/>
        <tr r="H65" s="7"/>
        <tr r="X64" s="7"/>
        <tr r="AA63" s="7"/>
        <tr r="B62" s="7"/>
        <tr r="AR55" s="7"/>
        <tr r="AH49" s="7"/>
        <tr r="X85" s="7"/>
        <tr r="F85" s="7"/>
        <tr r="AL84" s="7"/>
        <tr r="S84" s="7"/>
        <tr r="AW83" s="7"/>
        <tr r="AD83" s="7"/>
        <tr r="K83" s="7"/>
        <tr r="AP82" s="7"/>
        <tr r="W82" s="7"/>
        <tr r="B82" s="7"/>
        <tr r="AH81" s="7"/>
        <tr r="N81" s="7"/>
        <tr r="AT80" s="7"/>
        <tr r="Y80" s="7"/>
        <tr r="F80" s="7"/>
        <tr r="AK79" s="7"/>
        <tr r="R79" s="7"/>
        <tr r="AV78" s="7"/>
        <tr r="AC78" s="7"/>
        <tr r="J78" s="7"/>
        <tr r="AO77" s="7"/>
        <tr r="V77" s="7"/>
        <tr r="AG76" s="7"/>
        <tr r="M76" s="7"/>
        <tr r="AS75" s="7"/>
        <tr r="X75" s="7"/>
        <tr r="E75" s="7"/>
        <tr r="AI74" s="7"/>
        <tr r="L74" s="7"/>
        <tr r="AO73" s="7"/>
        <tr r="R73" s="7"/>
        <tr r="AS72" s="7"/>
        <tr r="V72" s="7"/>
        <tr r="AW71" s="7"/>
        <tr r="AA71" s="7"/>
        <tr r="C71" s="7"/>
        <tr r="AE70" s="7"/>
        <tr r="G70" s="7"/>
        <tr r="AI69" s="7"/>
        <tr r="F69" s="7"/>
        <tr r="AE68" s="7"/>
        <tr r="C68" s="7"/>
        <tr r="X67" s="7"/>
        <tr r="AT66" s="7"/>
        <tr r="R66" s="7"/>
        <tr r="AL65" s="7"/>
        <tr r="G65" s="7"/>
        <tr r="R64" s="7"/>
        <tr r="X63" s="7"/>
        <tr r="AH61" s="7"/>
        <tr r="X55" s="7"/>
        <tr r="O49" s="7"/>
        <tr r="W85" s="7"/>
        <tr r="E85" s="7"/>
        <tr r="AK84" s="7"/>
        <tr r="R84" s="7"/>
        <tr r="AV83" s="7"/>
        <tr r="AC83" s="7"/>
        <tr r="I83" s="7"/>
        <tr r="AO82" s="7"/>
        <tr r="T82" s="7"/>
        <tr r="AG81" s="7"/>
        <tr r="M81" s="7"/>
        <tr r="AS80" s="7"/>
        <tr r="X80" s="7"/>
        <tr r="E80" s="7"/>
        <tr r="AJ79" s="7"/>
        <tr r="Q79" s="7"/>
        <tr r="AU78" s="7"/>
        <tr r="AB78" s="7"/>
        <tr r="H78" s="7"/>
        <tr r="AN77" s="7"/>
        <tr r="S77" s="7"/>
        <tr r="AY76" s="7"/>
        <tr r="AF76" s="7"/>
        <tr r="L76" s="7"/>
        <tr r="AR75" s="7"/>
        <tr r="W75" s="7"/>
        <tr r="D75" s="7"/>
        <tr r="AH74" s="7"/>
        <tr r="K74" s="7"/>
        <tr r="AM73" s="7"/>
        <tr r="O73" s="7"/>
        <tr r="AR72" s="7"/>
        <tr r="U72" s="7"/>
        <tr r="AV71" s="7"/>
        <tr r="Y71" s="7"/>
        <tr r="AD70" s="7"/>
        <tr r="F70" s="7"/>
        <tr r="AH69" s="7"/>
        <tr r="E69" s="7"/>
        <tr r="AC68" s="7"/>
        <tr r="AX67" s="7"/>
        <tr r="W67" s="7"/>
        <tr r="AS66" s="7"/>
        <tr r="O66" s="7"/>
        <tr r="AG65" s="7"/>
        <tr r="B65" s="7"/>
        <tr r="O64" s="7"/>
        <tr r="V63" s="7"/>
        <tr r="M61" s="7"/>
        <tr r="E55" s="7"/>
        <tr r="AU48" s="7"/>
        <tr r="K87" s="7"/>
        <tr r="AR86" s="7"/>
        <tr r="Z86" s="7"/>
        <tr r="G86" s="7"/>
        <tr r="AN85" s="7"/>
        <tr r="V85" s="7"/>
        <tr r="C85" s="7"/>
        <tr r="AJ84" s="7"/>
        <tr r="Q84" s="7"/>
        <tr r="AU83" s="7"/>
        <tr r="AB83" s="7"/>
        <tr r="H83" s="7"/>
        <tr r="AN82" s="7"/>
        <tr r="S82" s="7"/>
        <tr r="AY81" s="7"/>
        <tr r="AE81" s="7"/>
        <tr r="L81" s="7"/>
        <tr r="AP80" s="7"/>
        <tr r="W80" s="7"/>
        <tr r="D80" s="7"/>
        <tr r="AI79" s="7"/>
        <tr r="P79" s="7"/>
        <tr r="AT78" s="7"/>
        <tr r="AA78" s="7"/>
        <tr r="G78" s="7"/>
        <tr r="AM77" s="7"/>
        <tr r="R77" s="7"/>
        <tr r="AX76" s="7"/>
        <tr r="AD76" s="7"/>
        <tr r="K76" s="7"/>
        <tr r="AO75" s="7"/>
        <tr r="V75" s="7"/>
        <tr r="C75" s="7"/>
        <tr r="AG74" s="7"/>
        <tr r="J74" s="7"/>
        <tr r="AL73" s="7"/>
        <tr r="N73" s="7"/>
        <tr r="AP72" s="7"/>
        <tr r="R72" s="7"/>
        <tr r="AU71" s="7"/>
        <tr r="X71" s="7"/>
        <tr r="AY70" s="7"/>
        <tr r="AB70" s="7"/>
        <tr r="D70" s="7"/>
        <tr r="AG69" s="7"/>
        <tr r="D69" s="7"/>
        <tr r="AB68" s="7"/>
        <tr r="AW67" s="7"/>
        <tr r="T67" s="7"/>
        <tr r="AP66" s="7"/>
        <tr r="N66" s="7"/>
        <tr r="AF65" s="7"/>
        <tr r="M64" s="7"/>
        <tr r="R63" s="7"/>
        <tr r="AS60" s="7"/>
        <tr r="AI54" s="7"/>
        <tr r="AA48" s="7"/>
        <tr r="AW86" s="7"/>
        <tr r="AG86" s="7"/>
        <tr r="Q86" s="7"/>
        <tr r="AJ85" s="7"/>
        <tr r="T85" s="7"/>
        <tr r="D85" s="7"/>
        <tr r="AM84" s="7"/>
        <tr r="W84" s="7"/>
        <tr r="G84" s="7"/>
        <tr r="AP83" s="7"/>
        <tr r="Z83" s="7"/>
        <tr r="J83" s="7"/>
        <tr r="AS82" s="7"/>
        <tr r="AC82" s="7"/>
        <tr r="M82" s="7"/>
        <tr r="AV81" s="7"/>
        <tr r="AF81" s="7"/>
        <tr r="P81" s="7"/>
        <tr r="AY80" s="7"/>
        <tr r="AI80" s="7"/>
        <tr r="S80" s="7"/>
        <tr r="C80" s="7"/>
        <tr r="AL79" s="7"/>
        <tr r="V79" s="7"/>
        <tr r="F79" s="7"/>
        <tr r="AO78" s="7"/>
        <tr r="Y78" s="7"/>
        <tr r="I78" s="7"/>
        <tr r="AR77" s="7"/>
        <tr r="AB77" s="7"/>
        <tr r="L77" s="7"/>
        <tr r="AU76" s="7"/>
        <tr r="AE76" s="7"/>
        <tr r="O76" s="7"/>
        <tr r="AX75" s="7"/>
        <tr r="AH75" s="7"/>
        <tr r="R75" s="7"/>
        <tr r="B75" s="7"/>
        <tr r="AK74" s="7"/>
        <tr r="U74" s="7"/>
        <tr r="E74" s="7"/>
        <tr r="AN73" s="7"/>
        <tr r="X73" s="7"/>
        <tr r="H73" s="7"/>
        <tr r="AQ72" s="7"/>
        <tr r="AA72" s="7"/>
        <tr r="K72" s="7"/>
        <tr r="AT71" s="7"/>
        <tr r="AD71" s="7"/>
        <tr r="N71" s="7"/>
        <tr r="AW70" s="7"/>
        <tr r="AG70" s="7"/>
        <tr r="Q70" s="7"/>
        <tr r="AJ69" s="7"/>
        <tr r="R69" s="7"/>
        <tr r="AW68" s="7"/>
        <tr r="AD68" s="7"/>
        <tr r="I68" s="7"/>
        <tr r="AO67" s="7"/>
        <tr r="V67" s="7"/>
        <tr r="B67" s="7"/>
        <tr r="AH66" s="7"/>
        <tr r="M66" s="7"/>
        <tr r="AS65" s="7"/>
        <tr r="Y65" s="7"/>
        <tr r="F65" s="7"/>
        <tr r="AJ64" s="7"/>
        <tr r="Q64" s="7"/>
        <tr r="AV63" s="7"/>
        <tr r="AC63" s="7"/>
        <tr r="H63" s="7"/>
        <tr r="AN62" s="7"/>
        <tr r="U62" s="7"/>
        <tr r="AG61" s="7"/>
        <tr r="L61" s="7"/>
        <tr r="AR60" s="7"/>
        <tr r="X60" s="7"/>
        <tr r="E60" s="7"/>
        <tr r="AI59" s="7"/>
        <tr r="P59" s="7"/>
        <tr r="AU58" s="7"/>
        <tr r="AB58" s="7"/>
        <tr r="G58" s="7"/>
        <tr r="AM57" s="7"/>
        <tr r="T57" s="7"/>
        <tr r="AY56" s="7"/>
        <tr r="AF56" s="7"/>
        <tr r="K56" s="7"/>
        <tr r="AQ55" s="7"/>
        <tr r="W55" s="7"/>
        <tr r="D55" s="7"/>
        <tr r="AH54" s="7"/>
        <tr r="O54" s="7"/>
        <tr r="AT53" s="7"/>
        <tr r="AA53" s="7"/>
        <tr r="F53" s="7"/>
        <tr r="AL52" s="7"/>
        <tr r="S52" s="7"/>
        <tr r="AX51" s="7"/>
        <tr r="AE51" s="7"/>
        <tr r="J51" s="7"/>
        <tr r="AP50" s="7"/>
        <tr r="V50" s="7"/>
        <tr r="C50" s="7"/>
        <tr r="AG49" s="7"/>
        <tr r="N49" s="7"/>
        <tr r="AS48" s="7"/>
        <tr r="Z48" s="7"/>
        <tr r="E48" s="7"/>
        <tr r="AI47" s="7"/>
        <tr r="H47" s="7"/>
        <tr r="Z46" s="7"/>
        <tr r="AO45" s="7"/>
        <tr r="R44" s="7"/>
        <tr r="AC43" s="7"/>
        <tr r="AQ42" s="7"/>
        <tr r="J41" s="7"/>
        <tr r="V40" s="7"/>
        <tr r="L66" s="7"/>
        <tr r="AR65" s="7"/>
        <tr r="X65" s="7"/>
        <tr r="E65" s="7"/>
        <tr r="AI64" s="7"/>
        <tr r="P64" s="7"/>
        <tr r="AU63" s="7"/>
        <tr r="AB63" s="7"/>
        <tr r="G63" s="7"/>
        <tr r="AM62" s="7"/>
        <tr r="S62" s="7"/>
        <tr r="AY61" s="7"/>
        <tr r="AD61" s="7"/>
        <tr r="K61" s="7"/>
        <tr r="AQ60" s="7"/>
        <tr r="W60" s="7"/>
        <tr r="D60" s="7"/>
        <tr r="AH59" s="7"/>
        <tr r="O59" s="7"/>
        <tr r="AT58" s="7"/>
        <tr r="AA58" s="7"/>
        <tr r="F58" s="7"/>
        <tr r="AL57" s="7"/>
        <tr r="R57" s="7"/>
        <tr r="AX56" s="7"/>
        <tr r="AC56" s="7"/>
        <tr r="J56" s="7"/>
        <tr r="AP55" s="7"/>
        <tr r="V55" s="7"/>
        <tr r="C55" s="7"/>
        <tr r="AG54" s="7"/>
        <tr r="N54" s="7"/>
        <tr r="AS53" s="7"/>
        <tr r="Z53" s="7"/>
        <tr r="E53" s="7"/>
        <tr r="AK52" s="7"/>
        <tr r="Q52" s="7"/>
        <tr r="AW51" s="7"/>
        <tr r="AB51" s="7"/>
        <tr r="I51" s="7"/>
        <tr r="AO50" s="7"/>
        <tr r="U50" s="7"/>
        <tr r="B50" s="7"/>
        <tr r="AF49" s="7"/>
        <tr r="M49" s="7"/>
        <tr r="AR48" s="7"/>
        <tr r="Y48" s="7"/>
        <tr r="D48" s="7"/>
        <tr r="AD47" s="7"/>
        <tr r="G47" s="7"/>
        <tr r="W46" s="7"/>
        <tr r="AN45" s="7"/>
        <tr r="AY44" s="7"/>
        <tr r="K44" s="7"/>
        <tr r="Z43" s="7"/>
        <tr r="AM42" s="7"/>
        <tr r="AY41" s="7"/>
        <tr r="F41" s="7"/>
        <tr r="S40" s="7"/>
        <tr r="AL62" s="7"/>
        <tr r="R62" s="7"/>
        <tr r="AX61" s="7"/>
        <tr r="AC61" s="7"/>
        <tr r="J61" s="7"/>
        <tr r="AO60" s="7"/>
        <tr r="V60" s="7"/>
        <tr r="AG59" s="7"/>
        <tr r="N59" s="7"/>
        <tr r="AS58" s="7"/>
        <tr r="Z58" s="7"/>
        <tr r="E58" s="7"/>
        <tr r="AK57" s="7"/>
        <tr r="Q57" s="7"/>
        <tr r="AW56" s="7"/>
        <tr r="AB56" s="7"/>
        <tr r="I56" s="7"/>
        <tr r="AN55" s="7"/>
        <tr r="U55" s="7"/>
        <tr r="AY54" s="7"/>
        <tr r="AF54" s="7"/>
        <tr r="M54" s="7"/>
        <tr r="AR53" s="7"/>
        <tr r="Y53" s="7"/>
        <tr r="D53" s="7"/>
        <tr r="AJ52" s="7"/>
        <tr r="P52" s="7"/>
        <tr r="AV51" s="7"/>
        <tr r="AA51" s="7"/>
        <tr r="H51" s="7"/>
        <tr r="AM50" s="7"/>
        <tr r="T50" s="7"/>
        <tr r="AX49" s="7"/>
        <tr r="AE49" s="7"/>
        <tr r="L49" s="7"/>
        <tr r="AQ48" s="7"/>
        <tr r="X48" s="7"/>
        <tr r="C48" s="7"/>
        <tr r="AC47" s="7"/>
        <tr r="C47" s="7"/>
        <tr r="V46" s="7"/>
        <tr r="AH45" s="7"/>
        <tr r="AX44" s="7"/>
        <tr r="J44" s="7"/>
        <tr r="Y43" s="7"/>
        <tr r="AL42" s="7"/>
        <tr r="AV41" s="7"/>
        <tr r="E41" s="7"/>
        <tr r="N40" s="7"/>
        <tr r="AW61" s="7"/>
        <tr r="AB61" s="7"/>
        <tr r="I61" s="7"/>
        <tr r="AN60" s="7"/>
        <tr r="U60" s="7"/>
        <tr r="AY59" s="7"/>
        <tr r="AF59" s="7"/>
        <tr r="L59" s="7"/>
        <tr r="AR58" s="7"/>
        <tr r="W58" s="7"/>
        <tr r="D58" s="7"/>
        <tr r="AJ57" s="7"/>
        <tr r="P57" s="7"/>
        <tr r="AV56" s="7"/>
        <tr r="AA56" s="7"/>
        <tr r="H56" s="7"/>
        <tr r="AM55" s="7"/>
        <tr r="T55" s="7"/>
        <tr r="AX54" s="7"/>
        <tr r="AE54" s="7"/>
        <tr r="K54" s="7"/>
        <tr r="AQ53" s="7"/>
        <tr r="V53" s="7"/>
        <tr r="C53" s="7"/>
        <tr r="AI52" s="7"/>
        <tr r="O52" s="7"/>
        <tr r="AU51" s="7"/>
        <tr r="Z51" s="7"/>
        <tr r="G51" s="7"/>
        <tr r="AL50" s="7"/>
        <tr r="S50" s="7"/>
        <tr r="AW49" s="7"/>
        <tr r="AD49" s="7"/>
        <tr r="J49" s="7"/>
        <tr r="AP48" s="7"/>
        <tr r="U48" s="7"/>
        <tr r="B48" s="7"/>
        <tr r="AB47" s="7"/>
        <tr r="B47" s="7"/>
        <tr r="U46" s="7"/>
        <tr r="AG45" s="7"/>
        <tr r="AW44" s="7"/>
        <tr r="G44" s="7"/>
        <tr r="T43" s="7"/>
        <tr r="AI42" s="7"/>
        <tr r="AR41" s="7"/>
        <tr r="D41" s="7"/>
        <tr r="M40" s="7"/>
        <tr r="Q74" s="7"/>
        <tr r="AJ73" s="7"/>
        <tr r="T73" s="7"/>
        <tr r="D73" s="7"/>
        <tr r="AM72" s="7"/>
        <tr r="W72" s="7"/>
        <tr r="G72" s="7"/>
        <tr r="AP71" s="7"/>
        <tr r="Z71" s="7"/>
        <tr r="J71" s="7"/>
        <tr r="AS70" s="7"/>
        <tr r="AC70" s="7"/>
        <tr r="M70" s="7"/>
        <tr r="AV69" s="7"/>
        <tr r="AF69" s="7"/>
        <tr r="M69" s="7"/>
        <tr r="AS68" s="7"/>
        <tr r="X68" s="7"/>
        <tr r="E68" s="7"/>
        <tr r="AJ67" s="7"/>
        <tr r="Q67" s="7"/>
        <tr r="AU66" s="7"/>
        <tr r="AB66" s="7"/>
        <tr r="I66" s="7"/>
        <tr r="AN65" s="7"/>
        <tr r="U65" s="7"/>
        <tr r="AY64" s="7"/>
        <tr r="AF64" s="7"/>
        <tr r="L64" s="7"/>
        <tr r="AR63" s="7"/>
        <tr r="W63" s="7"/>
        <tr r="D63" s="7"/>
        <tr r="AI62" s="7"/>
        <tr r="P62" s="7"/>
        <tr r="AT61" s="7"/>
        <tr r="AA61" s="7"/>
        <tr r="H61" s="7"/>
        <tr r="AM60" s="7"/>
        <tr r="T60" s="7"/>
        <tr r="AX59" s="7"/>
        <tr r="AE59" s="7"/>
        <tr r="K59" s="7"/>
        <tr r="AQ58" s="7"/>
        <tr r="V58" s="7"/>
        <tr r="C58" s="7"/>
        <tr r="AH57" s="7"/>
        <tr r="O57" s="7"/>
        <tr r="AS56" s="7"/>
        <tr r="Z56" s="7"/>
        <tr r="G56" s="7"/>
        <tr r="AL55" s="7"/>
        <tr r="S55" s="7"/>
        <tr r="AW54" s="7"/>
        <tr r="AD54" s="7"/>
        <tr r="J54" s="7"/>
        <tr r="AP53" s="7"/>
        <tr r="U53" s="7"/>
        <tr r="B53" s="7"/>
        <tr r="AG52" s="7"/>
        <tr r="N52" s="7"/>
        <tr r="AR51" s="7"/>
        <tr r="Y51" s="7"/>
        <tr r="F51" s="7"/>
        <tr r="AK50" s="7"/>
        <tr r="R50" s="7"/>
        <tr r="AV49" s="7"/>
        <tr r="AC49" s="7"/>
        <tr r="I49" s="7"/>
        <tr r="AO48" s="7"/>
        <tr r="T48" s="7"/>
        <tr r="AA47" s="7"/>
        <tr r="O46" s="7"/>
        <tr r="AF45" s="7"/>
        <tr r="AQ44" s="7"/>
        <tr r="F44" s="7"/>
        <tr r="S43" s="7"/>
        <tr r="AH42" s="7"/>
        <tr r="AQ41" s="7"/>
        <tr r="C41" s="7"/>
        <tr r="I40" s="7"/>
        <tr r="AH62" s="7"/>
        <tr r="O62" s="7"/>
        <tr r="AS61" s="7"/>
        <tr r="Z61" s="7"/>
        <tr r="F61" s="7"/>
        <tr r="AL60" s="7"/>
        <tr r="Q60" s="7"/>
        <tr r="AW59" s="7"/>
        <tr r="AD59" s="7"/>
        <tr r="J59" s="7"/>
        <tr r="AP58" s="7"/>
        <tr r="U58" s="7"/>
        <tr r="B58" s="7"/>
        <tr r="AG57" s="7"/>
        <tr r="N57" s="7"/>
        <tr r="AR56" s="7"/>
        <tr r="Y56" s="7"/>
        <tr r="E56" s="7"/>
        <tr r="AK55" s="7"/>
        <tr r="P55" s="7"/>
        <tr r="AV54" s="7"/>
        <tr r="AC54" s="7"/>
        <tr r="I54" s="7"/>
        <tr r="AO53" s="7"/>
        <tr r="T53" s="7"/>
        <tr r="AF52" s="7"/>
        <tr r="M52" s="7"/>
        <tr r="AQ51" s="7"/>
        <tr r="X51" s="7"/>
        <tr r="D51" s="7"/>
        <tr r="AJ50" s="7"/>
        <tr r="O50" s="7"/>
        <tr r="AU49" s="7"/>
        <tr r="AB49" s="7"/>
        <tr r="H49" s="7"/>
        <tr r="AN48" s="7"/>
        <tr r="S48" s="7"/>
        <tr r="AY47" s="7"/>
        <tr r="Z47" s="7"/>
        <tr r="AY46" s="7"/>
        <tr r="N46" s="7"/>
        <tr r="AE45" s="7"/>
        <tr r="AP44" s="7"/>
        <tr r="E44" s="7"/>
        <tr r="P43" s="7"/>
        <tr r="AA42" s="7"/>
        <tr r="AP41" s="7"/>
        <tr r="AV40" s="7"/>
        <tr r="H40" s="7"/>
        <tr r="J64" s="7"/>
        <tr r="AN63" s="7"/>
        <tr r="U63" s="7"/>
        <tr r="B63" s="7"/>
        <tr r="AG62" s="7"/>
        <tr r="N62" s="7"/>
        <tr r="AR61" s="7"/>
        <tr r="Y61" s="7"/>
        <tr r="E61" s="7"/>
        <tr r="AK60" s="7"/>
        <tr r="P60" s="7"/>
        <tr r="AV59" s="7"/>
        <tr r="AB59" s="7"/>
        <tr r="I59" s="7"/>
        <tr r="AM58" s="7"/>
        <tr r="T58" s="7"/>
        <tr r="AF57" s="7"/>
        <tr r="M57" s="7"/>
        <tr r="AQ56" s="7"/>
        <tr r="X56" s="7"/>
        <tr r="D56" s="7"/>
        <tr r="AJ55" s="7"/>
        <tr r="O55" s="7"/>
        <tr r="AU54" s="7"/>
        <tr r="AA54" s="7"/>
        <tr r="H54" s="7"/>
        <tr r="AL53" s="7"/>
        <tr r="S53" s="7"/>
        <tr r="AY52" s="7"/>
        <tr r="AE52" s="7"/>
        <tr r="L52" s="7"/>
        <tr r="AP51" s="7"/>
        <tr r="W51" s="7"/>
        <tr r="C51" s="7"/>
        <tr r="AI50" s="7"/>
        <tr r="N50" s="7"/>
        <tr r="AT49" s="7"/>
        <tr r="Z49" s="7"/>
        <tr r="G49" s="7"/>
        <tr r="AK48" s="7"/>
        <tr r="R48" s="7"/>
        <tr r="AV47" s="7"/>
        <tr r="Y47" s="7"/>
        <tr r="AW46" s="7"/>
        <tr r="M46" s="7"/>
        <tr r="X45" s="7"/>
        <tr r="AM44" s="7"/>
        <tr r="O43" s="7"/>
        <tr r="Z42" s="7"/>
        <tr r="AL41" s="7"/>
        <tr r="AU40" s="7"/>
        <tr r="G40" s="7"/>
        <tr r="AF84" s="7"/>
        <tr r="P84" s="7"/>
        <tr r="AY83" s="7"/>
        <tr r="AI83" s="7"/>
        <tr r="S83" s="7"/>
        <tr r="C83" s="7"/>
        <tr r="AL82" s="7"/>
        <tr r="V82" s="7"/>
        <tr r="F82" s="7"/>
        <tr r="AO81" s="7"/>
        <tr r="Y81" s="7"/>
        <tr r="I81" s="7"/>
        <tr r="AR80" s="7"/>
        <tr r="AB80" s="7"/>
        <tr r="L80" s="7"/>
        <tr r="AU79" s="7"/>
        <tr r="AE79" s="7"/>
        <tr r="O79" s="7"/>
        <tr r="AX78" s="7"/>
        <tr r="AH78" s="7"/>
        <tr r="R78" s="7"/>
        <tr r="B78" s="7"/>
        <tr r="AK77" s="7"/>
        <tr r="U77" s="7"/>
        <tr r="E77" s="7"/>
        <tr r="AN76" s="7"/>
        <tr r="X76" s="7"/>
        <tr r="H76" s="7"/>
        <tr r="AQ75" s="7"/>
        <tr r="AA75" s="7"/>
        <tr r="K75" s="7"/>
        <tr r="AT74" s="7"/>
        <tr r="AD74" s="7"/>
        <tr r="N74" s="7"/>
        <tr r="AW73" s="7"/>
        <tr r="AG73" s="7"/>
        <tr r="Q73" s="7"/>
        <tr r="AJ72" s="7"/>
        <tr r="T72" s="7"/>
        <tr r="D72" s="7"/>
        <tr r="AM71" s="7"/>
        <tr r="W71" s="7"/>
        <tr r="G71" s="7"/>
        <tr r="AP70" s="7"/>
        <tr r="Z70" s="7"/>
        <tr r="J70" s="7"/>
        <tr r="AS69" s="7"/>
        <tr r="AC69" s="7"/>
        <tr r="J69" s="7"/>
        <tr r="AN68" s="7"/>
        <tr r="U68" s="7"/>
        <tr r="AG67" s="7"/>
        <tr r="L67" s="7"/>
        <tr r="AR66" s="7"/>
        <tr r="Y66" s="7"/>
        <tr r="E66" s="7"/>
        <tr r="AK65" s="7"/>
        <tr r="P65" s="7"/>
        <tr r="AV64" s="7"/>
        <tr r="AB64" s="7"/>
        <tr r="I64" s="7"/>
        <tr r="AM63" s="7"/>
        <tr r="T63" s="7"/>
        <tr r="AY62" s="7"/>
        <tr r="AF62" s="7"/>
        <tr r="K62" s="7"/>
        <tr r="AQ61" s="7"/>
        <tr r="X61" s="7"/>
        <tr r="D61" s="7"/>
        <tr r="AJ60" s="7"/>
        <tr r="O60" s="7"/>
        <tr r="AU59" s="7"/>
        <tr r="AA59" s="7"/>
        <tr r="H59" s="7"/>
        <tr r="AL58" s="7"/>
        <tr r="S58" s="7"/>
        <tr r="AX57" s="7"/>
        <tr r="AE57" s="7"/>
        <tr r="J57" s="7"/>
        <tr r="AP56" s="7"/>
        <tr r="W56" s="7"/>
        <tr r="C56" s="7"/>
        <tr r="AI55" s="7"/>
        <tr r="N55" s="7"/>
        <tr r="AT54" s="7"/>
        <tr r="Z54" s="7"/>
        <tr r="G54" s="7"/>
        <tr r="AK53" s="7"/>
        <tr r="R53" s="7"/>
        <tr r="AW52" s="7"/>
        <tr r="AD52" s="7"/>
        <tr r="I52" s="7"/>
        <tr r="AO51" s="7"/>
        <tr r="V51" s="7"/>
        <tr r="B51" s="7"/>
        <tr r="AH50" s="7"/>
        <tr r="M50" s="7"/>
        <tr r="AS49" s="7"/>
        <tr r="Y49" s="7"/>
        <tr r="F49" s="7"/>
        <tr r="AJ48" s="7"/>
        <tr r="Q48" s="7"/>
        <tr r="AU47" s="7"/>
        <tr r="U47" s="7"/>
        <tr r="AS46" s="7"/>
        <tr r="L46" s="7"/>
        <tr r="W45" s="7"/>
        <tr r="AL44" s="7"/>
        <tr r="AY43" s="7"/>
        <tr r="N43" s="7"/>
        <tr r="Y42" s="7"/>
        <tr r="AE41" s="7"/>
        <tr r="AT40" s="7"/>
        <tr r="AF89" s="7"/>
        <tr r="P89" s="7"/>
        <tr r="AY88" s="7"/>
        <tr r="AI88" s="7"/>
        <tr r="S88" s="7"/>
        <tr r="C88" s="7"/>
        <tr r="AL87" s="7"/>
        <tr r="V87" s="7"/>
        <tr r="F87" s="7"/>
        <tr r="AO86" s="7"/>
        <tr r="Y86" s="7"/>
        <tr r="I86" s="7"/>
        <tr r="AR85" s="7"/>
        <tr r="AB85" s="7"/>
        <tr r="L85" s="7"/>
        <tr r="AU84" s="7"/>
        <tr r="AE84" s="7"/>
        <tr r="O84" s="7"/>
        <tr r="AX83" s="7"/>
        <tr r="AH83" s="7"/>
        <tr r="R83" s="7"/>
        <tr r="B83" s="7"/>
        <tr r="AK82" s="7"/>
        <tr r="U82" s="7"/>
        <tr r="E82" s="7"/>
        <tr r="AN81" s="7"/>
        <tr r="X81" s="7"/>
        <tr r="H81" s="7"/>
        <tr r="AQ80" s="7"/>
        <tr r="AA80" s="7"/>
        <tr r="K80" s="7"/>
        <tr r="AT79" s="7"/>
        <tr r="AD79" s="7"/>
        <tr r="N79" s="7"/>
        <tr r="AW78" s="7"/>
        <tr r="AG78" s="7"/>
        <tr r="Q78" s="7"/>
        <tr r="AJ77" s="7"/>
        <tr r="T77" s="7"/>
        <tr r="D77" s="7"/>
        <tr r="AM76" s="7"/>
        <tr r="W76" s="7"/>
        <tr r="G76" s="7"/>
        <tr r="AP75" s="7"/>
        <tr r="Z75" s="7"/>
        <tr r="J75" s="7"/>
        <tr r="AS74" s="7"/>
        <tr r="AC74" s="7"/>
        <tr r="M74" s="7"/>
        <tr r="AV73" s="7"/>
        <tr r="AF73" s="7"/>
        <tr r="P73" s="7"/>
        <tr r="AY72" s="7"/>
        <tr r="AI72" s="7"/>
        <tr r="S72" s="7"/>
        <tr r="C72" s="7"/>
        <tr r="AL71" s="7"/>
        <tr r="V71" s="7"/>
        <tr r="F71" s="7"/>
        <tr r="AO70" s="7"/>
        <tr r="Y70" s="7"/>
        <tr r="I70" s="7"/>
        <tr r="AR69" s="7"/>
        <tr r="AB69" s="7"/>
        <tr r="I69" s="7"/>
        <tr r="AM68" s="7"/>
        <tr r="T68" s="7"/>
        <tr r="AY67" s="7"/>
        <tr r="AF67" s="7"/>
        <tr r="K67" s="7"/>
        <tr r="AQ66" s="7"/>
        <tr r="W66" s="7"/>
        <tr r="D66" s="7"/>
        <tr r="AH65" s="7"/>
        <tr r="O65" s="7"/>
        <tr r="AU64" s="7"/>
        <tr r="AA64" s="7"/>
        <tr r="H64" s="7"/>
        <tr r="AL63" s="7"/>
        <tr r="S63" s="7"/>
        <tr r="AX62" s="7"/>
        <tr r="AE62" s="7"/>
        <tr r="J62" s="7"/>
        <tr r="AP61" s="7"/>
        <tr r="V61" s="7"/>
        <tr r="C61" s="7"/>
        <tr r="AG60" s="7"/>
        <tr r="N60" s="7"/>
        <tr r="AT59" s="7"/>
        <tr r="Z59" s="7"/>
        <tr r="G59" s="7"/>
        <tr r="AK58" s="7"/>
        <tr r="R58" s="7"/>
        <tr r="AW57" s="7"/>
        <tr r="AD57" s="7"/>
        <tr r="I57" s="7"/>
        <tr r="AO56" s="7"/>
        <tr r="U56" s="7"/>
        <tr r="B56" s="7"/>
        <tr r="AF55" s="7"/>
        <tr r="M55" s="7"/>
        <tr r="AS54" s="7"/>
        <tr r="Y54" s="7"/>
        <tr r="F54" s="7"/>
        <tr r="AJ53" s="7"/>
        <tr r="Q53" s="7"/>
        <tr r="AV52" s="7"/>
        <tr r="AC52" s="7"/>
        <tr r="H52" s="7"/>
        <tr r="AN51" s="7"/>
        <tr r="T51" s="7"/>
        <tr r="AE50" s="7"/>
        <tr r="L50" s="7"/>
        <tr r="AR49" s="7"/>
        <tr r="X49" s="7"/>
        <tr r="E49" s="7"/>
        <tr r="AI48" s="7"/>
        <tr r="P48" s="7"/>
        <tr r="AT47" s="7"/>
        <tr r="T47" s="7"/>
        <tr r="AR46" s="7"/>
        <tr r="K46" s="7"/>
        <tr r="T45" s="7"/>
        <tr r="AG44" s="7"/>
        <tr r="AV43" s="7"/>
        <tr r="H43" s="7"/>
        <tr r="X42" s="7"/>
        <tr r="AD41" s="7"/>
        <tr r="AS40" s="7"/>
        <tr r="AW62" s="7"/>
        <tr r="AD62" s="7"/>
        <tr r="I62" s="7"/>
        <tr r="AO61" s="7"/>
        <tr r="U61" s="7"/>
        <tr r="B61" s="7"/>
        <tr r="AF60" s="7"/>
        <tr r="M60" s="7"/>
        <tr r="AR59" s="7"/>
        <tr r="Y59" s="7"/>
        <tr r="D59" s="7"/>
        <tr r="AJ58" s="7"/>
        <tr r="Q58" s="7"/>
        <tr r="AV57" s="7"/>
        <tr r="AC57" s="7"/>
        <tr r="H57" s="7"/>
        <tr r="AN56" s="7"/>
        <tr r="T56" s="7"/>
        <tr r="AE55" s="7"/>
        <tr r="L55" s="7"/>
        <tr r="AQ54" s="7"/>
        <tr r="X54" s="7"/>
        <tr r="C54" s="7"/>
        <tr r="AI53" s="7"/>
        <tr r="P53" s="7"/>
        <tr r="AU52" s="7"/>
        <tr r="AB52" s="7"/>
        <tr r="G52" s="7"/>
        <tr r="AM51" s="7"/>
        <tr r="S51" s="7"/>
        <tr r="AY50" s="7"/>
        <tr r="AD50" s="7"/>
        <tr r="K50" s="7"/>
        <tr r="AP49" s="7"/>
        <tr r="W49" s="7"/>
        <tr r="B49" s="7"/>
        <tr r="AH48" s="7"/>
        <tr r="O48" s="7"/>
        <tr r="AS47" s="7"/>
        <tr r="S47" s="7"/>
        <tr r="AQ46" s="7"/>
        <tr r="E46" s="7"/>
        <tr r="S45" s="7"/>
        <tr r="AF44" s="7"/>
        <tr r="AU43" s="7"/>
        <tr r="G43" s="7"/>
        <tr r="W42" s="7"/>
        <tr r="AC41" s="7"/>
        <tr r="AI40" s="7"/>
        <tr r="H62" s="7"/>
        <tr r="AN61" s="7"/>
        <tr r="T61" s="7"/>
        <tr r="AE60" s="7"/>
        <tr r="L60" s="7"/>
        <tr r="AQ59" s="7"/>
        <tr r="X59" s="7"/>
        <tr r="C59" s="7"/>
        <tr r="AI58" s="7"/>
        <tr r="O58" s="7"/>
        <tr r="AU57" s="7"/>
        <tr r="Z57" s="7"/>
        <tr r="G57" s="7"/>
        <tr r="AM56" s="7"/>
        <tr r="S56" s="7"/>
        <tr r="AY55" s="7"/>
        <tr r="AD55" s="7"/>
        <tr r="K55" s="7"/>
        <tr r="AP54" s="7"/>
        <tr r="W54" s="7"/>
        <tr r="B54" s="7"/>
        <tr r="AH53" s="7"/>
        <tr r="N53" s="7"/>
        <tr r="AT52" s="7"/>
        <tr r="Y52" s="7"/>
        <tr r="F52" s="7"/>
        <tr r="AL51" s="7"/>
        <tr r="R51" s="7"/>
        <tr r="AX50" s="7"/>
        <tr r="AC50" s="7"/>
        <tr r="J50" s="7"/>
        <tr r="AO49" s="7"/>
        <tr r="V49" s="7"/>
        <tr r="AG48" s="7"/>
        <tr r="M48" s="7"/>
        <tr r="AR47" s="7"/>
        <tr r="R47" s="7"/>
        <tr r="AP46" s="7"/>
        <tr r="D46" s="7"/>
        <tr r="R45" s="7"/>
        <tr r="AC44" s="7"/>
        <tr r="AN43" s="7"/>
        <tr r="F43" s="7"/>
        <tr r="P42" s="7"/>
        <tr r="AB41" s="7"/>
        <tr r="AH40" s="7"/>
        <tr r="AU62" s="7"/>
        <tr r="Z62" s="7"/>
        <tr r="G62" s="7"/>
        <tr r="AL61" s="7"/>
        <tr r="S61" s="7"/>
        <tr r="AW60" s="7"/>
        <tr r="AD60" s="7"/>
        <tr r="K60" s="7"/>
        <tr r="AP59" s="7"/>
        <tr r="W59" s="7"/>
        <tr r="B59" s="7"/>
        <tr r="AH58" s="7"/>
        <tr r="N58" s="7"/>
        <tr r="AT57" s="7"/>
        <tr r="Y57" s="7"/>
        <tr r="F57" s="7"/>
        <tr r="AK56" s="7"/>
        <tr r="R56" s="7"/>
        <tr r="AV55" s="7"/>
        <tr r="AC55" s="7"/>
        <tr r="J55" s="7"/>
        <tr r="AO54" s="7"/>
        <tr r="V54" s="7"/>
        <tr r="AG53" s="7"/>
        <tr r="M53" s="7"/>
        <tr r="AS52" s="7"/>
        <tr r="X52" s="7"/>
        <tr r="E52" s="7"/>
        <tr r="AJ51" s="7"/>
        <tr r="Q51" s="7"/>
        <tr r="AU50" s="7"/>
        <tr r="AB50" s="7"/>
        <tr r="I50" s="7"/>
        <tr r="AN49" s="7"/>
        <tr r="U49" s="7"/>
        <tr r="AY48" s="7"/>
        <tr r="AF48" s="7"/>
        <tr r="L48" s="7"/>
        <tr r="AQ47" s="7"/>
        <tr r="Q47" s="7"/>
        <tr r="AI46" s="7"/>
        <tr r="N45" s="7"/>
        <tr r="AB44" s="7"/>
        <tr r="AM43" s="7"/>
        <tr r="E43" s="7"/>
        <tr r="M42" s="7"/>
        <tr r="AA41" s="7"/>
        <tr r="AG40" s="7"/>
        <tr r="AO74" s="7"/>
        <tr r="Y74" s="7"/>
        <tr r="I74" s="7"/>
        <tr r="AR73" s="7"/>
        <tr r="AB73" s="7"/>
        <tr r="L73" s="7"/>
        <tr r="AU72" s="7"/>
        <tr r="AE72" s="7"/>
        <tr r="O72" s="7"/>
        <tr r="AX71" s="7"/>
        <tr r="AH71" s="7"/>
        <tr r="R71" s="7"/>
        <tr r="B71" s="7"/>
        <tr r="AK70" s="7"/>
        <tr r="U70" s="7"/>
        <tr r="E70" s="7"/>
        <tr r="AN69" s="7"/>
        <tr r="V69" s="7"/>
        <tr r="C69" s="7"/>
        <tr r="AI68" s="7"/>
        <tr r="O68" s="7"/>
        <tr r="AU67" s="7"/>
        <tr r="Z67" s="7"/>
        <tr r="G67" s="7"/>
        <tr r="AL66" s="7"/>
        <tr r="S66" s="7"/>
        <tr r="AW65" s="7"/>
        <tr r="AD65" s="7"/>
        <tr r="J65" s="7"/>
        <tr r="AP64" s="7"/>
        <tr r="U64" s="7"/>
        <tr r="B64" s="7"/>
        <tr r="AH63" s="7"/>
        <tr r="N63" s="7"/>
        <tr r="AT62" s="7"/>
        <tr r="Y62" s="7"/>
        <tr r="F62" s="7"/>
        <tr r="AK61" s="7"/>
        <tr r="R61" s="7"/>
        <tr r="AV60" s="7"/>
        <tr r="AC60" s="7"/>
        <tr r="I60" s="7"/>
        <tr r="AO59" s="7"/>
        <tr r="T59" s="7"/>
        <tr r="AG58" s="7"/>
        <tr r="M58" s="7"/>
        <tr r="AS57" s="7"/>
        <tr r="X57" s="7"/>
        <tr r="E57" s="7"/>
        <tr r="AJ56" s="7"/>
        <tr r="Q56" s="7"/>
        <tr r="AU55" s="7"/>
        <tr r="AB55" s="7"/>
        <tr r="H55" s="7"/>
        <tr r="AN54" s="7"/>
        <tr r="S54" s="7"/>
        <tr r="AY53" s="7"/>
        <tr r="AF53" s="7"/>
        <tr r="L53" s="7"/>
        <tr r="AR52" s="7"/>
        <tr r="W52" s="7"/>
        <tr r="D52" s="7"/>
        <tr r="AI51" s="7"/>
        <tr r="P51" s="7"/>
        <tr r="AT50" s="7"/>
        <tr r="AA50" s="7"/>
        <tr r="G50" s="7"/>
        <tr r="AM49" s="7"/>
        <tr r="R49" s="7"/>
        <tr r="AX48" s="7"/>
        <tr r="AE48" s="7"/>
        <tr r="K48" s="7"/>
        <tr r="AN47" s="7"/>
        <tr r="L47" s="7"/>
        <tr r="AG46" s="7"/>
        <tr r="AY45" s="7"/>
        <tr r="M45" s="7"/>
        <tr r="AA44" s="7"/>
        <tr r="AL43" s="7"/>
        <tr r="AW42" s="7"/>
        <tr r="L42" s="7"/>
        <tr r="T41" s="7"/>
        <tr r="AF40" s="7"/>
        <tr r="AO64" s="7"/>
        <tr r="T64" s="7"/>
        <tr r="AF63" s="7"/>
        <tr r="M63" s="7"/>
        <tr r="AQ62" s="7"/>
        <tr r="X62" s="7"/>
        <tr r="E62" s="7"/>
        <tr r="AJ61" s="7"/>
        <tr r="Q61" s="7"/>
        <tr r="AU60" s="7"/>
        <tr r="AB60" s="7"/>
        <tr r="H60" s="7"/>
        <tr r="AN59" s="7"/>
        <tr r="S59" s="7"/>
        <tr r="AY58" s="7"/>
        <tr r="AE58" s="7"/>
        <tr r="L58" s="7"/>
        <tr r="AP57" s="7"/>
        <tr r="W57" s="7"/>
        <tr r="D57" s="7"/>
        <tr r="AI56" s="7"/>
        <tr r="P56" s="7"/>
        <tr r="AT55" s="7"/>
        <tr r="AA55" s="7"/>
        <tr r="G55" s="7"/>
        <tr r="AM54" s="7"/>
        <tr r="R54" s="7"/>
        <tr r="AX53" s="7"/>
        <tr r="AD53" s="7"/>
        <tr r="K53" s="7"/>
        <tr r="AO52" s="7"/>
        <tr r="V52" s="7"/>
        <tr r="C52" s="7"/>
        <tr r="AH51" s="7"/>
        <tr r="O51" s="7"/>
        <tr r="AS50" s="7"/>
        <tr r="Z50" s="7"/>
        <tr r="F50" s="7"/>
        <tr r="AL49" s="7"/>
        <tr r="Q49" s="7"/>
        <tr r="AW48" s="7"/>
        <tr r="AC48" s="7"/>
        <tr r="J48" s="7"/>
        <tr r="AM47" s="7"/>
        <tr r="K47" s="7"/>
        <tr r="AF46" s="7"/>
        <tr r="AT45" s="7"/>
        <tr r="J45" s="7"/>
        <tr r="U44" s="7"/>
        <tr r="AK43" s="7"/>
        <tr r="AV42" s="7"/>
        <tr r="K42" s="7"/>
        <tr r="S41" s="7"/>
        <tr r="AE40" s="7"/>
        <tr r="AN64" s="7"/>
        <tr r="S64" s="7"/>
        <tr r="AY63" s="7"/>
        <tr r="AE63" s="7"/>
        <tr r="L63" s="7"/>
        <tr r="AP62" s="7"/>
        <tr r="W62" s="7"/>
        <tr r="C62" s="7"/>
        <tr r="AI61" s="7"/>
        <tr r="N61" s="7"/>
        <tr r="AT60" s="7"/>
        <tr r="AA60" s="7"/>
        <tr r="G60" s="7"/>
        <tr r="AM59" s="7"/>
        <tr r="R59" s="7"/>
        <tr r="AX58" s="7"/>
        <tr r="AD58" s="7"/>
        <tr r="K58" s="7"/>
        <tr r="AO57" s="7"/>
        <tr r="V57" s="7"/>
        <tr r="B57" s="7"/>
        <tr r="AH56" s="7"/>
        <tr r="M56" s="7"/>
        <tr r="AS55" s="7"/>
        <tr r="Z55" s="7"/>
        <tr r="F55" s="7"/>
        <tr r="AL54" s="7"/>
        <tr r="Q54" s="7"/>
        <tr r="AW53" s="7"/>
        <tr r="AC53" s="7"/>
        <tr r="J53" s="7"/>
        <tr r="AN52" s="7"/>
        <tr r="U52" s="7"/>
        <tr r="AG51" s="7"/>
        <tr r="L51" s="7"/>
        <tr r="AR50" s="7"/>
        <tr r="Y50" s="7"/>
        <tr r="E50" s="7"/>
        <tr r="AK49" s="7"/>
        <tr r="P49" s="7"/>
        <tr r="AV48" s="7"/>
        <tr r="AB48" s="7"/>
        <tr r="I48" s="7"/>
        <tr r="AK47" s="7"/>
        <tr r="J47" s="7"/>
        <tr r="AE46" s="7"/>
        <tr r="AS45" s="7"/>
        <tr r="I45" s="7"/>
        <tr r="T44" s="7"/>
        <tr r="AJ43" s="7"/>
        <tr r="AS42" s="7"/>
        <tr r="C42" s="7"/>
        <tr r="P41" s="7"/>
        <tr r="X40" s="7"/>
        <tr r="AQ8" s="7"/>
        <tr r="O69" s="7"/>
        <tr r="AX68" s="7"/>
        <tr r="AH68" s="7"/>
        <tr r="R68" s="7"/>
        <tr r="B68" s="7"/>
        <tr r="AK67" s="7"/>
        <tr r="U67" s="7"/>
        <tr r="E67" s="7"/>
        <tr r="AN66" s="7"/>
        <tr r="X66" s="7"/>
        <tr r="H66" s="7"/>
        <tr r="AA65" s="7"/>
        <tr r="K65" s="7"/>
        <tr r="AT64" s="7"/>
        <tr r="AD64" s="7"/>
        <tr r="N64" s="7"/>
        <tr r="AW63" s="7"/>
        <tr r="AG63" s="7"/>
        <tr r="Q63" s="7"/>
        <tr r="AJ62" s="7"/>
        <tr r="T62" s="7"/>
        <tr r="D62" s="7"/>
        <tr r="AM61" s="7"/>
        <tr r="W61" s="7"/>
        <tr r="G61" s="7"/>
        <tr r="AP60" s="7"/>
        <tr r="Z60" s="7"/>
        <tr r="J60" s="7"/>
        <tr r="AS59" s="7"/>
        <tr r="AC59" s="7"/>
        <tr r="M59" s="7"/>
        <tr r="AV58" s="7"/>
        <tr r="AF58" s="7"/>
        <tr r="P58" s="7"/>
        <tr r="AY57" s="7"/>
        <tr r="AI57" s="7"/>
        <tr r="S57" s="7"/>
        <tr r="C57" s="7"/>
        <tr r="AL56" s="7"/>
        <tr r="V56" s="7"/>
        <tr r="F56" s="7"/>
        <tr r="AO55" s="7"/>
        <tr r="Y55" s="7"/>
        <tr r="I55" s="7"/>
        <tr r="AR54" s="7"/>
        <tr r="AB54" s="7"/>
        <tr r="L54" s="7"/>
        <tr r="AU53" s="7"/>
        <tr r="AE53" s="7"/>
        <tr r="O53" s="7"/>
        <tr r="AX52" s="7"/>
        <tr r="AH52" s="7"/>
        <tr r="R52" s="7"/>
        <tr r="B52" s="7"/>
        <tr r="AK51" s="7"/>
        <tr r="U51" s="7"/>
        <tr r="E51" s="7"/>
        <tr r="AN50" s="7"/>
        <tr r="X50" s="7"/>
        <tr r="H50" s="7"/>
        <tr r="AA49" s="7"/>
        <tr r="K49" s="7"/>
        <tr r="AT48" s="7"/>
        <tr r="AD48" s="7"/>
        <tr r="N48" s="7"/>
        <tr r="AW47" s="7"/>
        <tr r="AF47" s="7"/>
        <tr r="M47" s="7"/>
        <tr r="AT46" s="7"/>
        <tr r="AA46" s="7"/>
        <tr r="F46" s="7"/>
        <tr r="AI45" s="7"/>
        <tr r="O45" s="7"/>
        <tr r="AR44" s="7"/>
        <tr r="V44" s="7"/>
        <tr r="B44" s="7"/>
        <tr r="AE43" s="7"/>
        <tr r="I43" s="7"/>
        <tr r="AN42" s="7"/>
        <tr r="Q42" s="7"/>
        <tr r="AS41" s="7"/>
        <tr r="U41" s="7"/>
        <tr r="AW40" s="7"/>
        <tr r="Y40" s="7"/>
        <tr r="B40" s="7"/>
        <tr r="AF8" s="7"/>
        <tr r="AV8" s="7"/>
        <tr r="A16" s="7"/>
        <tr r="A21" s="7"/>
        <tr r="AM46" s="7"/>
        <tr r="T46" s="7"/>
        <tr r="AX45" s="7"/>
        <tr r="AD45" s="7"/>
        <tr r="H45" s="7"/>
        <tr r="AK44" s="7"/>
        <tr r="Q44" s="7"/>
        <tr r="AT43" s="7"/>
        <tr r="X43" s="7"/>
        <tr r="D43" s="7"/>
        <tr r="AG42" s="7"/>
        <tr r="J42" s="7"/>
        <tr r="AK41" s="7"/>
        <tr r="N41" s="7"/>
        <tr r="AO40" s="7"/>
        <tr r="R40" s="7"/>
        <tr r="A32" s="7"/>
        <tr r="AL46" s="7"/>
        <tr r="S46" s="7"/>
        <tr r="AW45" s="7"/>
        <tr r="AC45" s="7"/>
        <tr r="G45" s="7"/>
        <tr r="AJ44" s="7"/>
        <tr r="P44" s="7"/>
        <tr r="AS43" s="7"/>
        <tr r="W43" s="7"/>
        <tr r="C43" s="7"/>
        <tr r="I42" s="7"/>
        <tr r="AJ41" s="7"/>
        <tr r="M41" s="7"/>
        <tr r="AN40" s="7"/>
        <tr r="Q40" s="7"/>
        <tr r="A37" s="7"/>
        <tr r="X69" s="7"/>
        <tr r="H69" s="7"/>
        <tr r="AA68" s="7"/>
        <tr r="K68" s="7"/>
        <tr r="AT67" s="7"/>
        <tr r="AD67" s="7"/>
        <tr r="N67" s="7"/>
        <tr r="AW66" s="7"/>
        <tr r="AG66" s="7"/>
        <tr r="Q66" s="7"/>
        <tr r="AJ65" s="7"/>
        <tr r="T65" s="7"/>
        <tr r="D65" s="7"/>
        <tr r="AM64" s="7"/>
        <tr r="W64" s="7"/>
        <tr r="G64" s="7"/>
        <tr r="AP63" s="7"/>
        <tr r="Z63" s="7"/>
        <tr r="J63" s="7"/>
        <tr r="AS62" s="7"/>
        <tr r="AC62" s="7"/>
        <tr r="M62" s="7"/>
        <tr r="P61" s="7"/>
        <tr r="AY60" s="7"/>
        <tr r="AI60" s="7"/>
        <tr r="S60" s="7"/>
        <tr r="C60" s="7"/>
        <tr r="AL59" s="7"/>
        <tr r="V59" s="7"/>
        <tr r="F59" s="7"/>
        <tr r="AO58" s="7"/>
        <tr r="Y58" s="7"/>
        <tr r="I58" s="7"/>
        <tr r="AR57" s="7"/>
        <tr r="AB57" s="7"/>
        <tr r="L57" s="7"/>
        <tr r="AU56" s="7"/>
        <tr r="AE56" s="7"/>
        <tr r="O56" s="7"/>
        <tr r="AX55" s="7"/>
        <tr r="AH55" s="7"/>
        <tr r="R55" s="7"/>
        <tr r="B55" s="7"/>
        <tr r="AK54" s="7"/>
        <tr r="U54" s="7"/>
        <tr r="E54" s="7"/>
        <tr r="AN53" s="7"/>
        <tr r="X53" s="7"/>
        <tr r="H53" s="7"/>
        <tr r="AA52" s="7"/>
        <tr r="K52" s="7"/>
        <tr r="AT51" s="7"/>
        <tr r="AD51" s="7"/>
        <tr r="N51" s="7"/>
        <tr r="AW50" s="7"/>
        <tr r="AG50" s="7"/>
        <tr r="Q50" s="7"/>
        <tr r="AJ49" s="7"/>
        <tr r="T49" s="7"/>
        <tr r="D49" s="7"/>
        <tr r="AM48" s="7"/>
        <tr r="W48" s="7"/>
        <tr r="G48" s="7"/>
        <tr r="AP47" s="7"/>
        <tr r="X47" s="7"/>
        <tr r="E47" s="7"/>
        <tr r="AK46" s="7"/>
        <tr r="Q46" s="7"/>
        <tr r="Z45" s="7"/>
        <tr r="D45" s="7"/>
        <tr r="AI44" s="7"/>
        <tr r="M44" s="7"/>
        <tr r="AP43" s="7"/>
        <tr r="V43" s="7"/>
        <tr r="AY42" s="7"/>
        <tr r="AC42" s="7"/>
        <tr r="H42" s="7"/>
        <tr r="AI41" s="7"/>
        <tr r="L41" s="7"/>
        <tr r="AM40" s="7"/>
        <tr r="P40" s="7"/>
        <tr r="A48" s="7"/>
        <tr r="W69" s="7"/>
        <tr r="G69" s="7"/>
        <tr r="AP68" s="7"/>
        <tr r="Z68" s="7"/>
        <tr r="J68" s="7"/>
        <tr r="AS67" s="7"/>
        <tr r="AC67" s="7"/>
        <tr r="M67" s="7"/>
        <tr r="P66" s="7"/>
        <tr r="AY65" s="7"/>
        <tr r="AI65" s="7"/>
        <tr r="S65" s="7"/>
        <tr r="C65" s="7"/>
        <tr r="AL64" s="7"/>
        <tr r="V64" s="7"/>
        <tr r="F64" s="7"/>
        <tr r="AO63" s="7"/>
        <tr r="Y63" s="7"/>
        <tr r="I63" s="7"/>
        <tr r="AR62" s="7"/>
        <tr r="AB62" s="7"/>
        <tr r="L62" s="7"/>
        <tr r="AU61" s="7"/>
        <tr r="AE61" s="7"/>
        <tr r="O61" s="7"/>
        <tr r="AX60" s="7"/>
        <tr r="AH60" s="7"/>
        <tr r="R60" s="7"/>
        <tr r="B60" s="7"/>
        <tr r="AK59" s="7"/>
        <tr r="U59" s="7"/>
        <tr r="E59" s="7"/>
        <tr r="AN58" s="7"/>
        <tr r="X58" s="7"/>
        <tr r="H58" s="7"/>
        <tr r="AA57" s="7"/>
        <tr r="K57" s="7"/>
        <tr r="AT56" s="7"/>
        <tr r="AD56" s="7"/>
        <tr r="N56" s="7"/>
        <tr r="AW55" s="7"/>
        <tr r="AG55" s="7"/>
        <tr r="Q55" s="7"/>
        <tr r="AJ54" s="7"/>
        <tr r="T54" s="7"/>
        <tr r="D54" s="7"/>
        <tr r="AM53" s="7"/>
        <tr r="W53" s="7"/>
        <tr r="G53" s="7"/>
        <tr r="AP52" s="7"/>
        <tr r="Z52" s="7"/>
        <tr r="J52" s="7"/>
        <tr r="AS51" s="7"/>
        <tr r="AC51" s="7"/>
        <tr r="M51" s="7"/>
        <tr r="P50" s="7"/>
        <tr r="AY49" s="7"/>
        <tr r="AI49" s="7"/>
        <tr r="S49" s="7"/>
        <tr r="C49" s="7"/>
        <tr r="AO47" s="7"/>
        <tr r="W47" s="7"/>
        <tr r="D47" s="7"/>
        <tr r="AJ46" s="7"/>
        <tr r="P46" s="7"/>
        <tr r="AU45" s="7"/>
        <tr r="Y45" s="7"/>
        <tr r="C45" s="7"/>
        <tr r="AH44" s="7"/>
        <tr r="L44" s="7"/>
        <tr r="AO43" s="7"/>
        <tr r="U43" s="7"/>
        <tr r="AX42" s="7"/>
        <tr r="AB42" s="7"/>
        <tr r="G42" s="7"/>
        <tr r="K41" s="7"/>
        <tr r="AL40" s="7"/>
        <tr r="O40" s="7"/>
        <tr r="A53" s="7"/>
        <tr r="A64" s="7"/>
        <tr r="A69" s="7"/>
        <tr r="A80" s="7"/>
        <tr r="A85" s="7"/>
        <tr r="K8" s="7"/>
        <tr r="A96" s="7"/>
        <tr r="AH47" s="7"/>
        <tr r="P47" s="7"/>
        <tr r="AC46" s="7"/>
        <tr r="J46" s="7"/>
        <tr r="AM45" s="7"/>
        <tr r="Q45" s="7"/>
        <tr r="Z44" s="7"/>
        <tr r="D44" s="7"/>
        <tr r="AI43" s="7"/>
        <tr r="M43" s="7"/>
        <tr r="AP42" s="7"/>
        <tr r="S42" s="7"/>
        <tr r="AU41" s="7"/>
        <tr r="Z41" s="7"/>
        <tr r="AY40" s="7"/>
        <tr r="AD40" s="7"/>
        <tr r="F40" s="7"/>
        <tr r="P8" s="7"/>
        <tr r="A101" s="7"/>
        <tr r="AX47" s="7"/>
        <tr r="AG47" s="7"/>
        <tr r="N47" s="7"/>
        <tr r="AU46" s="7"/>
        <tr r="AB46" s="7"/>
        <tr r="G46" s="7"/>
        <tr r="AJ45" s="7"/>
        <tr r="AS44" s="7"/>
        <tr r="W44" s="7"/>
        <tr r="C44" s="7"/>
        <tr r="J43" s="7"/>
        <tr r="AO42" s="7"/>
        <tr r="R42" s="7"/>
        <tr r="AT41" s="7"/>
        <tr r="V41" s="7"/>
        <tr r="AX40" s="7"/>
        <tr r="AC40" s="7"/>
        <tr r="C40" s="7"/>
        <tr r="AA8" s="7"/>
        <tr r="A112" s="7"/>
        <tr r="V42" s="7"/>
        <tr r="F42" s="7"/>
        <tr r="AO41" s="7"/>
        <tr r="Y41" s="7"/>
        <tr r="I41" s="7"/>
        <tr r="AR40" s="7"/>
        <tr r="AB40" s="7"/>
        <tr r="L40" s="7"/>
        <tr r="A7" s="7"/>
        <tr r="Q8" s="7"/>
        <tr r="AG8" s="7"/>
        <tr r="AW8" s="7"/>
        <tr r="A22" s="7"/>
        <tr r="A38" s="7"/>
        <tr r="A54" s="7"/>
        <tr r="A70" s="7"/>
        <tr r="A86" s="7"/>
        <tr r="A102" s="7"/>
        <tr r="B8" s="7"/>
        <tr r="R8" s="7"/>
        <tr r="AH8" s="7"/>
        <tr r="AX8" s="7"/>
        <tr r="A23" s="7"/>
        <tr r="A39" s="7"/>
        <tr r="A55" s="7"/>
        <tr r="A71" s="7"/>
        <tr r="A87" s="7"/>
        <tr r="A103" s="7"/>
        <tr r="C8" s="7"/>
        <tr r="S8" s="7"/>
        <tr r="AI8" s="7"/>
        <tr r="AY8" s="7"/>
        <tr r="A24" s="7"/>
        <tr r="A40" s="7"/>
        <tr r="A56" s="7"/>
        <tr r="A72" s="7"/>
        <tr r="A88" s="7"/>
        <tr r="A104" s="7"/>
        <tr r="D8" s="7"/>
        <tr r="T8" s="7"/>
        <tr r="AJ8" s="7"/>
        <tr r="A9" s="7"/>
        <tr r="A25" s="7"/>
        <tr r="A41" s="7"/>
        <tr r="A57" s="7"/>
        <tr r="A73" s="7"/>
        <tr r="A89" s="7"/>
        <tr r="A105" s="7"/>
        <tr r="E8" s="7"/>
        <tr r="U8" s="7"/>
        <tr r="AK8" s="7"/>
        <tr r="A10" s="7"/>
        <tr r="A26" s="7"/>
        <tr r="A42" s="7"/>
        <tr r="A58" s="7"/>
        <tr r="A74" s="7"/>
        <tr r="A90" s="7"/>
        <tr r="A106" s="7"/>
        <tr r="F8" s="7"/>
        <tr r="V8" s="7"/>
        <tr r="AL8" s="7"/>
        <tr r="A11" s="7"/>
        <tr r="A27" s="7"/>
        <tr r="A43" s="7"/>
        <tr r="A59" s="7"/>
        <tr r="A75" s="7"/>
        <tr r="A91" s="7"/>
        <tr r="A107" s="7"/>
        <tr r="G8" s="7"/>
        <tr r="W8" s="7"/>
        <tr r="AM8" s="7"/>
        <tr r="A12" s="7"/>
        <tr r="A28" s="7"/>
        <tr r="A44" s="7"/>
        <tr r="A60" s="7"/>
        <tr r="A76" s="7"/>
        <tr r="A92" s="7"/>
        <tr r="A108" s="7"/>
        <tr r="H8" s="7"/>
        <tr r="X8" s="7"/>
        <tr r="AN8" s="7"/>
        <tr r="A13" s="7"/>
        <tr r="A29" s="7"/>
        <tr r="A45" s="7"/>
        <tr r="A61" s="7"/>
        <tr r="A77" s="7"/>
        <tr r="A93" s="7"/>
        <tr r="A109" s="7"/>
        <tr r="I8" s="7"/>
        <tr r="Y8" s="7"/>
        <tr r="AO8" s="7"/>
        <tr r="A14" s="7"/>
        <tr r="A30" s="7"/>
        <tr r="A46" s="7"/>
        <tr r="A62" s="7"/>
        <tr r="A78" s="7"/>
        <tr r="A94" s="7"/>
        <tr r="A110" s="7"/>
        <tr r="J8" s="7"/>
        <tr r="Z8" s="7"/>
        <tr r="AP8" s="7"/>
        <tr r="A15" s="7"/>
        <tr r="A31" s="7"/>
        <tr r="A47" s="7"/>
        <tr r="A63" s="7"/>
        <tr r="A79" s="7"/>
        <tr r="A95" s="7"/>
        <tr r="A111" s="7"/>
        <tr r="L8" s="7"/>
        <tr r="AB8" s="7"/>
        <tr r="AR8" s="7"/>
        <tr r="A17" s="7"/>
        <tr r="A33" s="7"/>
        <tr r="A49" s="7"/>
        <tr r="A65" s="7"/>
        <tr r="A81" s="7"/>
        <tr r="A97" s="7"/>
        <tr r="A113" s="7"/>
        <tr r="M8" s="7"/>
        <tr r="AC8" s="7"/>
        <tr r="AS8" s="7"/>
        <tr r="A18" s="7"/>
        <tr r="A34" s="7"/>
        <tr r="A50" s="7"/>
        <tr r="A66" s="7"/>
        <tr r="A82" s="7"/>
        <tr r="A98" s="7"/>
        <tr r="A114" s="7"/>
        <tr r="N8" s="7"/>
        <tr r="AD8" s="7"/>
        <tr r="AT8" s="7"/>
        <tr r="A19" s="7"/>
        <tr r="A35" s="7"/>
        <tr r="A51" s="7"/>
        <tr r="A67" s="7"/>
        <tr r="A83" s="7"/>
        <tr r="A99" s="7"/>
        <tr r="O8" s="7"/>
        <tr r="AE8" s="7"/>
        <tr r="AU8" s="7"/>
        <tr r="A20" s="7"/>
        <tr r="A36" s="7"/>
        <tr r="A52" s="7"/>
        <tr r="A68" s="7"/>
        <tr r="A84" s="7"/>
        <tr r="A100" s="7"/>
        <tr r="AZ9" s="7"/>
        <tr r="AJ9" s="7"/>
        <tr r="T9" s="7"/>
        <tr r="D9" s="7"/>
        <tr r="AY9" s="7"/>
        <tr r="AI9" s="7"/>
        <tr r="C9" s="7"/>
        <tr r="AX9" s="7"/>
        <tr r="AH9" s="7"/>
        <tr r="R9" s="7"/>
        <tr r="AF9" s="7"/>
        <tr r="G9" s="7"/>
        <tr r="E9" s="7"/>
        <tr r="AW9" s="7"/>
        <tr r="AG9" s="7"/>
        <tr r="Q9" s="7"/>
        <tr r="AV9" s="7"/>
        <tr r="P9" s="7"/>
        <tr r="F9" s="7"/>
        <tr r="AU9" s="7"/>
        <tr r="AE9" s="7"/>
        <tr r="O9" s="7"/>
        <tr r="K9" s="7"/>
        <tr r="I9" s="7"/>
        <tr r="V9" s="7"/>
        <tr r="AT9" s="7"/>
        <tr r="AD9" s="7"/>
        <tr r="N9" s="7"/>
        <tr r="L9" s="7"/>
        <tr r="X9" s="7"/>
        <tr r="U9" s="7"/>
        <tr r="AS9" s="7"/>
        <tr r="AC9" s="7"/>
        <tr r="M9" s="7"/>
        <tr r="AB9" s="7"/>
        <tr r="W9" s="7"/>
        <tr r="S9" s="7"/>
        <tr r="AR9" s="7"/>
        <tr r="AQ9" s="7"/>
        <tr r="AA9" s="7"/>
        <tr r="AL9" s="7"/>
        <tr r="AP9" s="7"/>
        <tr r="Z9" s="7"/>
        <tr r="J9" s="7"/>
        <tr r="Y9" s="7"/>
        <tr r="H9" s="7"/>
        <tr r="AK9" s="7"/>
        <tr r="AO9" s="7"/>
        <tr r="AN9" s="7"/>
        <tr r="AM9" s="7"/>
        <tr r="AZ38" s="7"/>
        <tr r="AY38" s="7"/>
        <tr r="AX38" s="7"/>
        <tr r="AW38" s="7"/>
        <tr r="AV38" s="7"/>
        <tr r="AU38" s="7"/>
        <tr r="AT38" s="7"/>
        <tr r="AS38" s="7"/>
        <tr r="AR38" s="7"/>
        <tr r="AQ38" s="7"/>
        <tr r="AP38" s="7"/>
        <tr r="AO38" s="7"/>
        <tr r="AN38" s="7"/>
        <tr r="AM38" s="7"/>
        <tr r="AL38" s="7"/>
        <tr r="AK38" s="7"/>
        <tr r="AJ38" s="7"/>
        <tr r="AI38" s="7"/>
        <tr r="AH38" s="7"/>
        <tr r="AG38" s="7"/>
        <tr r="AF38" s="7"/>
        <tr r="AE38" s="7"/>
        <tr r="AD38" s="7"/>
        <tr r="AC38" s="7"/>
        <tr r="AB38" s="7"/>
        <tr r="AA38" s="7"/>
        <tr r="Z38" s="7"/>
        <tr r="Y38" s="7"/>
        <tr r="X38" s="7"/>
        <tr r="W38" s="7"/>
        <tr r="V38" s="7"/>
        <tr r="U38" s="7"/>
        <tr r="T38" s="7"/>
        <tr r="S38" s="7"/>
        <tr r="R38" s="7"/>
        <tr r="Q38" s="7"/>
        <tr r="P38" s="7"/>
        <tr r="O38" s="7"/>
        <tr r="N38" s="7"/>
        <tr r="M38" s="7"/>
        <tr r="L38" s="7"/>
        <tr r="K38" s="7"/>
        <tr r="J38" s="7"/>
        <tr r="I38" s="7"/>
        <tr r="H38" s="7"/>
        <tr r="G38" s="7"/>
        <tr r="F38" s="7"/>
        <tr r="E38" s="7"/>
        <tr r="D38" s="7"/>
        <tr r="C38" s="7"/>
        <tr r="B38" s="7"/>
        <tr r="AZ37" s="7"/>
        <tr r="AY37" s="7"/>
        <tr r="AX37" s="7"/>
        <tr r="AW37" s="7"/>
        <tr r="AV37" s="7"/>
        <tr r="AU37" s="7"/>
        <tr r="AT37" s="7"/>
        <tr r="AS37" s="7"/>
        <tr r="AR37" s="7"/>
        <tr r="AQ37" s="7"/>
        <tr r="AP37" s="7"/>
        <tr r="AO37" s="7"/>
        <tr r="AN37" s="7"/>
        <tr r="AM37" s="7"/>
        <tr r="AL37" s="7"/>
        <tr r="AK37" s="7"/>
        <tr r="AJ37" s="7"/>
        <tr r="AI37" s="7"/>
        <tr r="AH37" s="7"/>
        <tr r="AG37" s="7"/>
        <tr r="AF37" s="7"/>
        <tr r="AE37" s="7"/>
        <tr r="AD37" s="7"/>
        <tr r="AC37" s="7"/>
        <tr r="AB37" s="7"/>
        <tr r="AA37" s="7"/>
        <tr r="Z37" s="7"/>
        <tr r="Y37" s="7"/>
        <tr r="X37" s="7"/>
        <tr r="W37" s="7"/>
        <tr r="V37" s="7"/>
        <tr r="U37" s="7"/>
        <tr r="T37" s="7"/>
        <tr r="S37" s="7"/>
        <tr r="R37" s="7"/>
        <tr r="Q37" s="7"/>
        <tr r="P37" s="7"/>
        <tr r="O37" s="7"/>
        <tr r="N37" s="7"/>
        <tr r="M37" s="7"/>
        <tr r="L37" s="7"/>
        <tr r="K37" s="7"/>
        <tr r="J37" s="7"/>
        <tr r="I37" s="7"/>
        <tr r="H37" s="7"/>
        <tr r="G37" s="7"/>
        <tr r="F37" s="7"/>
        <tr r="E37" s="7"/>
        <tr r="D37" s="7"/>
        <tr r="C37" s="7"/>
        <tr r="B37" s="7"/>
        <tr r="AZ36" s="7"/>
        <tr r="AY36" s="7"/>
        <tr r="AX36" s="7"/>
        <tr r="AW36" s="7"/>
        <tr r="AV36" s="7"/>
        <tr r="AU36" s="7"/>
        <tr r="AT36" s="7"/>
        <tr r="AS36" s="7"/>
        <tr r="AR36" s="7"/>
        <tr r="AQ36" s="7"/>
        <tr r="AP36" s="7"/>
        <tr r="AO36" s="7"/>
        <tr r="AN36" s="7"/>
        <tr r="AM36" s="7"/>
        <tr r="AL36" s="7"/>
        <tr r="AK36" s="7"/>
        <tr r="AJ36" s="7"/>
        <tr r="AI36" s="7"/>
        <tr r="AH36" s="7"/>
        <tr r="AG36" s="7"/>
        <tr r="AF36" s="7"/>
        <tr r="AE36" s="7"/>
        <tr r="AD36" s="7"/>
        <tr r="AC36" s="7"/>
        <tr r="AB36" s="7"/>
        <tr r="AA36" s="7"/>
        <tr r="Z36" s="7"/>
        <tr r="Y36" s="7"/>
        <tr r="X36" s="7"/>
        <tr r="W36" s="7"/>
        <tr r="V36" s="7"/>
        <tr r="U36" s="7"/>
        <tr r="T36" s="7"/>
        <tr r="S36" s="7"/>
        <tr r="R36" s="7"/>
        <tr r="Q36" s="7"/>
        <tr r="P36" s="7"/>
        <tr r="O36" s="7"/>
        <tr r="N36" s="7"/>
        <tr r="M36" s="7"/>
        <tr r="L36" s="7"/>
        <tr r="K36" s="7"/>
        <tr r="J36" s="7"/>
        <tr r="I36" s="7"/>
        <tr r="H36" s="7"/>
        <tr r="G36" s="7"/>
        <tr r="F36" s="7"/>
        <tr r="E36" s="7"/>
        <tr r="D36" s="7"/>
        <tr r="C36" s="7"/>
        <tr r="B36" s="7"/>
        <tr r="AZ35" s="7"/>
        <tr r="AY35" s="7"/>
        <tr r="AX35" s="7"/>
        <tr r="AW35" s="7"/>
        <tr r="AV35" s="7"/>
        <tr r="AU35" s="7"/>
        <tr r="AT35" s="7"/>
        <tr r="AS35" s="7"/>
        <tr r="AR35" s="7"/>
        <tr r="AQ35" s="7"/>
        <tr r="AP35" s="7"/>
        <tr r="AO35" s="7"/>
        <tr r="AN35" s="7"/>
        <tr r="AM35" s="7"/>
        <tr r="AL35" s="7"/>
        <tr r="AK35" s="7"/>
        <tr r="AJ35" s="7"/>
        <tr r="AI35" s="7"/>
        <tr r="AH35" s="7"/>
        <tr r="AG35" s="7"/>
        <tr r="AF35" s="7"/>
        <tr r="AE35" s="7"/>
        <tr r="AD35" s="7"/>
        <tr r="AC35" s="7"/>
        <tr r="AB35" s="7"/>
        <tr r="AA35" s="7"/>
        <tr r="Z35" s="7"/>
        <tr r="Y35" s="7"/>
        <tr r="X35" s="7"/>
        <tr r="W35" s="7"/>
        <tr r="V35" s="7"/>
        <tr r="U35" s="7"/>
        <tr r="T35" s="7"/>
        <tr r="S35" s="7"/>
        <tr r="R35" s="7"/>
        <tr r="Q35" s="7"/>
        <tr r="P35" s="7"/>
        <tr r="O35" s="7"/>
        <tr r="N35" s="7"/>
        <tr r="M35" s="7"/>
        <tr r="L35" s="7"/>
        <tr r="K35" s="7"/>
        <tr r="J35" s="7"/>
        <tr r="I35" s="7"/>
        <tr r="H35" s="7"/>
        <tr r="G35" s="7"/>
        <tr r="F35" s="7"/>
        <tr r="E35" s="7"/>
        <tr r="D35" s="7"/>
        <tr r="C35" s="7"/>
        <tr r="B35" s="7"/>
        <tr r="AZ34" s="7"/>
        <tr r="AY34" s="7"/>
        <tr r="AX34" s="7"/>
        <tr r="AW34" s="7"/>
        <tr r="AV34" s="7"/>
        <tr r="AU34" s="7"/>
        <tr r="AT34" s="7"/>
        <tr r="AS34" s="7"/>
        <tr r="AR34" s="7"/>
        <tr r="AQ34" s="7"/>
        <tr r="AP34" s="7"/>
        <tr r="AO34" s="7"/>
        <tr r="AN34" s="7"/>
        <tr r="AM34" s="7"/>
        <tr r="AL34" s="7"/>
        <tr r="AK34" s="7"/>
        <tr r="AJ34" s="7"/>
        <tr r="AI34" s="7"/>
        <tr r="AH34" s="7"/>
        <tr r="AG34" s="7"/>
        <tr r="AF34" s="7"/>
        <tr r="AE34" s="7"/>
        <tr r="AD34" s="7"/>
        <tr r="AC34" s="7"/>
        <tr r="AB34" s="7"/>
        <tr r="AA34" s="7"/>
        <tr r="Z34" s="7"/>
        <tr r="Y34" s="7"/>
        <tr r="X34" s="7"/>
        <tr r="W34" s="7"/>
        <tr r="V34" s="7"/>
        <tr r="U34" s="7"/>
        <tr r="T34" s="7"/>
        <tr r="S34" s="7"/>
        <tr r="R34" s="7"/>
        <tr r="Q34" s="7"/>
        <tr r="P34" s="7"/>
        <tr r="O34" s="7"/>
        <tr r="N34" s="7"/>
        <tr r="M34" s="7"/>
        <tr r="L34" s="7"/>
        <tr r="K34" s="7"/>
        <tr r="J34" s="7"/>
        <tr r="I34" s="7"/>
        <tr r="H34" s="7"/>
        <tr r="G34" s="7"/>
        <tr r="F34" s="7"/>
        <tr r="E34" s="7"/>
        <tr r="D34" s="7"/>
        <tr r="C34" s="7"/>
        <tr r="B34" s="7"/>
        <tr r="AZ33" s="7"/>
        <tr r="AY33" s="7"/>
        <tr r="AX33" s="7"/>
        <tr r="AW33" s="7"/>
        <tr r="AV33" s="7"/>
        <tr r="AU33" s="7"/>
        <tr r="AT33" s="7"/>
        <tr r="AS33" s="7"/>
        <tr r="AR33" s="7"/>
        <tr r="AQ33" s="7"/>
        <tr r="AP33" s="7"/>
        <tr r="AO33" s="7"/>
        <tr r="AN33" s="7"/>
        <tr r="AM33" s="7"/>
        <tr r="AL33" s="7"/>
        <tr r="AK33" s="7"/>
        <tr r="AJ33" s="7"/>
        <tr r="AI33" s="7"/>
        <tr r="AH33" s="7"/>
        <tr r="AG33" s="7"/>
        <tr r="AF33" s="7"/>
        <tr r="AE33" s="7"/>
        <tr r="AD33" s="7"/>
        <tr r="AC33" s="7"/>
        <tr r="AB33" s="7"/>
        <tr r="AA33" s="7"/>
        <tr r="Z33" s="7"/>
        <tr r="Y33" s="7"/>
        <tr r="X33" s="7"/>
        <tr r="W33" s="7"/>
        <tr r="V33" s="7"/>
        <tr r="U33" s="7"/>
        <tr r="T33" s="7"/>
        <tr r="S33" s="7"/>
        <tr r="R33" s="7"/>
        <tr r="Q33" s="7"/>
        <tr r="P33" s="7"/>
        <tr r="O33" s="7"/>
        <tr r="N33" s="7"/>
        <tr r="M33" s="7"/>
        <tr r="L33" s="7"/>
        <tr r="K33" s="7"/>
        <tr r="J33" s="7"/>
        <tr r="I33" s="7"/>
        <tr r="H33" s="7"/>
        <tr r="G33" s="7"/>
        <tr r="F33" s="7"/>
        <tr r="E33" s="7"/>
        <tr r="D33" s="7"/>
        <tr r="C33" s="7"/>
        <tr r="B33" s="7"/>
        <tr r="AZ32" s="7"/>
        <tr r="AY32" s="7"/>
        <tr r="AX32" s="7"/>
        <tr r="AW32" s="7"/>
        <tr r="AV32" s="7"/>
        <tr r="AU32" s="7"/>
        <tr r="AT32" s="7"/>
        <tr r="AS32" s="7"/>
        <tr r="AR32" s="7"/>
        <tr r="AQ32" s="7"/>
        <tr r="AP32" s="7"/>
        <tr r="AO32" s="7"/>
        <tr r="AN32" s="7"/>
        <tr r="AM32" s="7"/>
        <tr r="AL32" s="7"/>
        <tr r="AK32" s="7"/>
        <tr r="AJ32" s="7"/>
        <tr r="AI32" s="7"/>
        <tr r="AH32" s="7"/>
        <tr r="AG32" s="7"/>
        <tr r="AF32" s="7"/>
        <tr r="AE32" s="7"/>
        <tr r="AD32" s="7"/>
        <tr r="AC32" s="7"/>
        <tr r="AB32" s="7"/>
        <tr r="AA32" s="7"/>
        <tr r="Z32" s="7"/>
        <tr r="Y32" s="7"/>
        <tr r="X32" s="7"/>
        <tr r="W32" s="7"/>
        <tr r="V32" s="7"/>
        <tr r="U32" s="7"/>
        <tr r="T32" s="7"/>
        <tr r="S32" s="7"/>
        <tr r="R32" s="7"/>
        <tr r="Q32" s="7"/>
        <tr r="P32" s="7"/>
        <tr r="O32" s="7"/>
        <tr r="N32" s="7"/>
        <tr r="M32" s="7"/>
        <tr r="L32" s="7"/>
        <tr r="K32" s="7"/>
        <tr r="J32" s="7"/>
        <tr r="I32" s="7"/>
        <tr r="H32" s="7"/>
        <tr r="G32" s="7"/>
        <tr r="F32" s="7"/>
        <tr r="E32" s="7"/>
        <tr r="D32" s="7"/>
        <tr r="C32" s="7"/>
        <tr r="B32" s="7"/>
        <tr r="AZ31" s="7"/>
        <tr r="AY31" s="7"/>
        <tr r="AX31" s="7"/>
        <tr r="AW31" s="7"/>
        <tr r="AV31" s="7"/>
        <tr r="AU31" s="7"/>
        <tr r="AT31" s="7"/>
        <tr r="AS31" s="7"/>
        <tr r="AR31" s="7"/>
        <tr r="AQ31" s="7"/>
        <tr r="AP31" s="7"/>
        <tr r="AO31" s="7"/>
        <tr r="AN31" s="7"/>
        <tr r="AM31" s="7"/>
        <tr r="AL31" s="7"/>
        <tr r="AK31" s="7"/>
        <tr r="AJ31" s="7"/>
        <tr r="AI31" s="7"/>
        <tr r="AH31" s="7"/>
        <tr r="AG31" s="7"/>
        <tr r="AF31" s="7"/>
        <tr r="AE31" s="7"/>
        <tr r="AD31" s="7"/>
        <tr r="AC31" s="7"/>
        <tr r="AB31" s="7"/>
        <tr r="AA31" s="7"/>
        <tr r="Z31" s="7"/>
        <tr r="Y31" s="7"/>
        <tr r="X31" s="7"/>
        <tr r="W31" s="7"/>
        <tr r="V31" s="7"/>
        <tr r="U31" s="7"/>
        <tr r="T31" s="7"/>
        <tr r="S31" s="7"/>
        <tr r="R31" s="7"/>
        <tr r="Q31" s="7"/>
        <tr r="P31" s="7"/>
        <tr r="O31" s="7"/>
        <tr r="N31" s="7"/>
        <tr r="M31" s="7"/>
        <tr r="L31" s="7"/>
        <tr r="K31" s="7"/>
        <tr r="J31" s="7"/>
        <tr r="I31" s="7"/>
        <tr r="H31" s="7"/>
        <tr r="G31" s="7"/>
        <tr r="F31" s="7"/>
        <tr r="E31" s="7"/>
        <tr r="D31" s="7"/>
        <tr r="C31" s="7"/>
        <tr r="B31" s="7"/>
        <tr r="AZ30" s="7"/>
        <tr r="AY30" s="7"/>
        <tr r="AX30" s="7"/>
        <tr r="AW30" s="7"/>
        <tr r="AV30" s="7"/>
        <tr r="AU30" s="7"/>
        <tr r="AT30" s="7"/>
        <tr r="AS30" s="7"/>
        <tr r="AR30" s="7"/>
        <tr r="AQ30" s="7"/>
        <tr r="AP30" s="7"/>
        <tr r="AO30" s="7"/>
        <tr r="AN30" s="7"/>
        <tr r="AM30" s="7"/>
        <tr r="AL30" s="7"/>
        <tr r="AK30" s="7"/>
        <tr r="AJ30" s="7"/>
        <tr r="AI30" s="7"/>
        <tr r="AH30" s="7"/>
        <tr r="AG30" s="7"/>
        <tr r="AF30" s="7"/>
        <tr r="AE30" s="7"/>
        <tr r="AD30" s="7"/>
        <tr r="AC30" s="7"/>
        <tr r="AB30" s="7"/>
        <tr r="AA30" s="7"/>
        <tr r="Z30" s="7"/>
        <tr r="Y30" s="7"/>
        <tr r="X30" s="7"/>
        <tr r="W30" s="7"/>
        <tr r="V30" s="7"/>
        <tr r="U30" s="7"/>
        <tr r="T30" s="7"/>
        <tr r="S30" s="7"/>
        <tr r="R30" s="7"/>
        <tr r="Q30" s="7"/>
        <tr r="P30" s="7"/>
        <tr r="O30" s="7"/>
        <tr r="N30" s="7"/>
        <tr r="M30" s="7"/>
        <tr r="L30" s="7"/>
        <tr r="K30" s="7"/>
        <tr r="J30" s="7"/>
        <tr r="I30" s="7"/>
        <tr r="H30" s="7"/>
        <tr r="G30" s="7"/>
        <tr r="F30" s="7"/>
        <tr r="E30" s="7"/>
        <tr r="D30" s="7"/>
        <tr r="C30" s="7"/>
        <tr r="B30" s="7"/>
        <tr r="AZ29" s="7"/>
        <tr r="AY29" s="7"/>
        <tr r="AX29" s="7"/>
        <tr r="AW29" s="7"/>
        <tr r="AV29" s="7"/>
        <tr r="AU29" s="7"/>
        <tr r="AT29" s="7"/>
        <tr r="AS29" s="7"/>
        <tr r="AR29" s="7"/>
        <tr r="AQ29" s="7"/>
        <tr r="AP29" s="7"/>
        <tr r="AO29" s="7"/>
        <tr r="AN29" s="7"/>
        <tr r="AM29" s="7"/>
        <tr r="AL29" s="7"/>
        <tr r="AK29" s="7"/>
        <tr r="AJ29" s="7"/>
        <tr r="AI29" s="7"/>
        <tr r="AH29" s="7"/>
        <tr r="AG29" s="7"/>
        <tr r="AF29" s="7"/>
        <tr r="AE29" s="7"/>
        <tr r="AD29" s="7"/>
        <tr r="AC29" s="7"/>
        <tr r="AB29" s="7"/>
        <tr r="AA29" s="7"/>
        <tr r="Z29" s="7"/>
        <tr r="Y29" s="7"/>
        <tr r="X29" s="7"/>
        <tr r="W29" s="7"/>
        <tr r="V29" s="7"/>
        <tr r="U29" s="7"/>
        <tr r="T29" s="7"/>
        <tr r="S29" s="7"/>
        <tr r="R29" s="7"/>
        <tr r="Q29" s="7"/>
        <tr r="P29" s="7"/>
        <tr r="O29" s="7"/>
        <tr r="N29" s="7"/>
        <tr r="M29" s="7"/>
        <tr r="L29" s="7"/>
        <tr r="K29" s="7"/>
        <tr r="J29" s="7"/>
        <tr r="I29" s="7"/>
        <tr r="H29" s="7"/>
        <tr r="G29" s="7"/>
        <tr r="F29" s="7"/>
        <tr r="E29" s="7"/>
        <tr r="D29" s="7"/>
        <tr r="C29" s="7"/>
        <tr r="B29" s="7"/>
        <tr r="AZ28" s="7"/>
        <tr r="AY28" s="7"/>
        <tr r="AX28" s="7"/>
        <tr r="AW28" s="7"/>
        <tr r="AV28" s="7"/>
        <tr r="AU28" s="7"/>
        <tr r="AT28" s="7"/>
        <tr r="AS28" s="7"/>
        <tr r="AR28" s="7"/>
        <tr r="AQ28" s="7"/>
        <tr r="AP28" s="7"/>
        <tr r="AO28" s="7"/>
        <tr r="AN28" s="7"/>
        <tr r="AM28" s="7"/>
        <tr r="AL28" s="7"/>
        <tr r="AK28" s="7"/>
        <tr r="AJ28" s="7"/>
        <tr r="AI28" s="7"/>
        <tr r="AH28" s="7"/>
        <tr r="AG28" s="7"/>
        <tr r="AF28" s="7"/>
        <tr r="AE28" s="7"/>
        <tr r="AD28" s="7"/>
        <tr r="AC28" s="7"/>
        <tr r="AB28" s="7"/>
        <tr r="AA28" s="7"/>
        <tr r="Z28" s="7"/>
        <tr r="Y28" s="7"/>
        <tr r="X28" s="7"/>
        <tr r="W28" s="7"/>
        <tr r="V28" s="7"/>
        <tr r="U28" s="7"/>
        <tr r="T28" s="7"/>
        <tr r="S28" s="7"/>
        <tr r="R28" s="7"/>
        <tr r="Q28" s="7"/>
        <tr r="P28" s="7"/>
        <tr r="O28" s="7"/>
        <tr r="N28" s="7"/>
        <tr r="M28" s="7"/>
        <tr r="L28" s="7"/>
        <tr r="K28" s="7"/>
        <tr r="J28" s="7"/>
        <tr r="I28" s="7"/>
        <tr r="H28" s="7"/>
        <tr r="G28" s="7"/>
        <tr r="F28" s="7"/>
        <tr r="E28" s="7"/>
        <tr r="D28" s="7"/>
        <tr r="C28" s="7"/>
        <tr r="B28" s="7"/>
        <tr r="AZ27" s="7"/>
        <tr r="AY27" s="7"/>
        <tr r="AX27" s="7"/>
        <tr r="AW27" s="7"/>
        <tr r="AV27" s="7"/>
        <tr r="AU27" s="7"/>
        <tr r="AT27" s="7"/>
        <tr r="AS27" s="7"/>
        <tr r="AR27" s="7"/>
        <tr r="AQ27" s="7"/>
        <tr r="AP27" s="7"/>
        <tr r="AO27" s="7"/>
        <tr r="AN27" s="7"/>
        <tr r="AM27" s="7"/>
        <tr r="AL27" s="7"/>
        <tr r="AK27" s="7"/>
        <tr r="AJ27" s="7"/>
        <tr r="AI27" s="7"/>
        <tr r="AH27" s="7"/>
        <tr r="AG27" s="7"/>
        <tr r="AF27" s="7"/>
        <tr r="AE27" s="7"/>
        <tr r="AD27" s="7"/>
        <tr r="AC27" s="7"/>
        <tr r="AB27" s="7"/>
        <tr r="AA27" s="7"/>
        <tr r="Z27" s="7"/>
        <tr r="Y27" s="7"/>
        <tr r="X27" s="7"/>
        <tr r="W27" s="7"/>
        <tr r="V27" s="7"/>
        <tr r="U27" s="7"/>
        <tr r="T27" s="7"/>
        <tr r="S27" s="7"/>
        <tr r="R27" s="7"/>
        <tr r="Q27" s="7"/>
        <tr r="P27" s="7"/>
        <tr r="O27" s="7"/>
        <tr r="N27" s="7"/>
        <tr r="M27" s="7"/>
        <tr r="L27" s="7"/>
        <tr r="K27" s="7"/>
        <tr r="J27" s="7"/>
        <tr r="I27" s="7"/>
        <tr r="H27" s="7"/>
        <tr r="G27" s="7"/>
        <tr r="F27" s="7"/>
        <tr r="E27" s="7"/>
        <tr r="D27" s="7"/>
        <tr r="C27" s="7"/>
        <tr r="B27" s="7"/>
        <tr r="AZ26" s="7"/>
        <tr r="AY26" s="7"/>
        <tr r="AX26" s="7"/>
        <tr r="AW26" s="7"/>
        <tr r="AV26" s="7"/>
        <tr r="AU26" s="7"/>
        <tr r="AT26" s="7"/>
        <tr r="AS26" s="7"/>
        <tr r="AR26" s="7"/>
        <tr r="AQ26" s="7"/>
        <tr r="AP26" s="7"/>
        <tr r="AO26" s="7"/>
        <tr r="AN26" s="7"/>
        <tr r="AM26" s="7"/>
        <tr r="AL26" s="7"/>
        <tr r="AK26" s="7"/>
        <tr r="AJ26" s="7"/>
        <tr r="AI26" s="7"/>
        <tr r="AH26" s="7"/>
        <tr r="AG26" s="7"/>
        <tr r="AF26" s="7"/>
        <tr r="AE26" s="7"/>
        <tr r="AD26" s="7"/>
        <tr r="AC26" s="7"/>
        <tr r="AB26" s="7"/>
        <tr r="AA26" s="7"/>
        <tr r="Z26" s="7"/>
        <tr r="Y26" s="7"/>
        <tr r="X26" s="7"/>
        <tr r="W26" s="7"/>
        <tr r="V26" s="7"/>
        <tr r="U26" s="7"/>
        <tr r="T26" s="7"/>
        <tr r="S26" s="7"/>
        <tr r="R26" s="7"/>
        <tr r="Q26" s="7"/>
        <tr r="P26" s="7"/>
        <tr r="O26" s="7"/>
        <tr r="N26" s="7"/>
        <tr r="M26" s="7"/>
        <tr r="L26" s="7"/>
        <tr r="K26" s="7"/>
        <tr r="J26" s="7"/>
        <tr r="I26" s="7"/>
        <tr r="H26" s="7"/>
        <tr r="G26" s="7"/>
        <tr r="F26" s="7"/>
        <tr r="E26" s="7"/>
        <tr r="D26" s="7"/>
        <tr r="C26" s="7"/>
        <tr r="B26" s="7"/>
        <tr r="AZ25" s="7"/>
        <tr r="AY25" s="7"/>
        <tr r="AX25" s="7"/>
        <tr r="AW25" s="7"/>
        <tr r="AV25" s="7"/>
        <tr r="AU25" s="7"/>
        <tr r="AT25" s="7"/>
        <tr r="AS25" s="7"/>
        <tr r="AR25" s="7"/>
        <tr r="AQ25" s="7"/>
        <tr r="AP25" s="7"/>
        <tr r="AO25" s="7"/>
        <tr r="AN25" s="7"/>
        <tr r="AM25" s="7"/>
        <tr r="AL25" s="7"/>
        <tr r="AK25" s="7"/>
        <tr r="AJ25" s="7"/>
        <tr r="AI25" s="7"/>
        <tr r="AH25" s="7"/>
        <tr r="AG25" s="7"/>
        <tr r="AF25" s="7"/>
        <tr r="AE25" s="7"/>
        <tr r="AD25" s="7"/>
        <tr r="AC25" s="7"/>
        <tr r="AB25" s="7"/>
        <tr r="AA25" s="7"/>
        <tr r="Z25" s="7"/>
        <tr r="Y25" s="7"/>
        <tr r="X25" s="7"/>
        <tr r="W25" s="7"/>
        <tr r="V25" s="7"/>
        <tr r="U25" s="7"/>
        <tr r="T25" s="7"/>
        <tr r="S25" s="7"/>
        <tr r="R25" s="7"/>
        <tr r="Q25" s="7"/>
        <tr r="P25" s="7"/>
        <tr r="O25" s="7"/>
        <tr r="N25" s="7"/>
        <tr r="M25" s="7"/>
        <tr r="L25" s="7"/>
        <tr r="K25" s="7"/>
        <tr r="J25" s="7"/>
        <tr r="I25" s="7"/>
        <tr r="H25" s="7"/>
        <tr r="G25" s="7"/>
        <tr r="F25" s="7"/>
        <tr r="E25" s="7"/>
        <tr r="D25" s="7"/>
        <tr r="C25" s="7"/>
        <tr r="B25" s="7"/>
        <tr r="AZ24" s="7"/>
        <tr r="AY24" s="7"/>
        <tr r="AX24" s="7"/>
        <tr r="AW24" s="7"/>
        <tr r="AV24" s="7"/>
        <tr r="AU24" s="7"/>
        <tr r="AT24" s="7"/>
        <tr r="AS24" s="7"/>
        <tr r="AR24" s="7"/>
        <tr r="AQ24" s="7"/>
        <tr r="AP24" s="7"/>
        <tr r="AO24" s="7"/>
        <tr r="AN24" s="7"/>
        <tr r="AM24" s="7"/>
        <tr r="AL24" s="7"/>
        <tr r="AK24" s="7"/>
        <tr r="AJ24" s="7"/>
        <tr r="AI24" s="7"/>
        <tr r="AH24" s="7"/>
        <tr r="AG24" s="7"/>
        <tr r="AF24" s="7"/>
        <tr r="AE24" s="7"/>
        <tr r="AD24" s="7"/>
        <tr r="AC24" s="7"/>
        <tr r="AB24" s="7"/>
        <tr r="AA24" s="7"/>
        <tr r="Z24" s="7"/>
        <tr r="Y24" s="7"/>
        <tr r="X24" s="7"/>
        <tr r="W24" s="7"/>
        <tr r="V24" s="7"/>
        <tr r="U24" s="7"/>
        <tr r="T24" s="7"/>
        <tr r="S24" s="7"/>
        <tr r="R24" s="7"/>
        <tr r="Q24" s="7"/>
        <tr r="P24" s="7"/>
        <tr r="O24" s="7"/>
        <tr r="N24" s="7"/>
        <tr r="M24" s="7"/>
        <tr r="L24" s="7"/>
        <tr r="K24" s="7"/>
        <tr r="J24" s="7"/>
        <tr r="I24" s="7"/>
        <tr r="H24" s="7"/>
        <tr r="G24" s="7"/>
        <tr r="F24" s="7"/>
        <tr r="E24" s="7"/>
        <tr r="D24" s="7"/>
        <tr r="C24" s="7"/>
        <tr r="B24" s="7"/>
        <tr r="AZ23" s="7"/>
        <tr r="AY23" s="7"/>
        <tr r="AX23" s="7"/>
        <tr r="AW23" s="7"/>
        <tr r="AV23" s="7"/>
        <tr r="AU23" s="7"/>
        <tr r="AT23" s="7"/>
        <tr r="AS23" s="7"/>
        <tr r="AR23" s="7"/>
        <tr r="AQ23" s="7"/>
        <tr r="AP23" s="7"/>
        <tr r="AO23" s="7"/>
        <tr r="AN23" s="7"/>
        <tr r="AM23" s="7"/>
        <tr r="AL23" s="7"/>
        <tr r="AK23" s="7"/>
        <tr r="AJ23" s="7"/>
        <tr r="AI23" s="7"/>
        <tr r="AH23" s="7"/>
        <tr r="AG23" s="7"/>
        <tr r="AF23" s="7"/>
        <tr r="AE23" s="7"/>
        <tr r="AD23" s="7"/>
        <tr r="AC23" s="7"/>
        <tr r="AB23" s="7"/>
        <tr r="AA23" s="7"/>
        <tr r="Z23" s="7"/>
        <tr r="Y23" s="7"/>
        <tr r="X23" s="7"/>
        <tr r="W23" s="7"/>
        <tr r="V23" s="7"/>
        <tr r="U23" s="7"/>
        <tr r="T23" s="7"/>
        <tr r="S23" s="7"/>
        <tr r="R23" s="7"/>
        <tr r="Q23" s="7"/>
        <tr r="P23" s="7"/>
        <tr r="O23" s="7"/>
        <tr r="N23" s="7"/>
        <tr r="M23" s="7"/>
        <tr r="L23" s="7"/>
        <tr r="K23" s="7"/>
        <tr r="J23" s="7"/>
        <tr r="I23" s="7"/>
        <tr r="H23" s="7"/>
        <tr r="G23" s="7"/>
        <tr r="F23" s="7"/>
        <tr r="E23" s="7"/>
        <tr r="D23" s="7"/>
        <tr r="C23" s="7"/>
        <tr r="B23" s="7"/>
        <tr r="AZ22" s="7"/>
        <tr r="AY22" s="7"/>
        <tr r="AX22" s="7"/>
        <tr r="AW22" s="7"/>
        <tr r="AV22" s="7"/>
        <tr r="AU22" s="7"/>
        <tr r="AT22" s="7"/>
        <tr r="AS22" s="7"/>
        <tr r="AR22" s="7"/>
        <tr r="AQ22" s="7"/>
        <tr r="AP22" s="7"/>
        <tr r="AO22" s="7"/>
        <tr r="AN22" s="7"/>
        <tr r="AM22" s="7"/>
        <tr r="AL22" s="7"/>
        <tr r="AK22" s="7"/>
        <tr r="AJ22" s="7"/>
        <tr r="AI22" s="7"/>
        <tr r="AH22" s="7"/>
        <tr r="AG22" s="7"/>
        <tr r="AF22" s="7"/>
        <tr r="AE22" s="7"/>
        <tr r="AD22" s="7"/>
        <tr r="AC22" s="7"/>
        <tr r="AB22" s="7"/>
        <tr r="AA22" s="7"/>
        <tr r="Z22" s="7"/>
        <tr r="Y22" s="7"/>
        <tr r="X22" s="7"/>
        <tr r="W22" s="7"/>
        <tr r="V22" s="7"/>
        <tr r="U22" s="7"/>
        <tr r="T22" s="7"/>
        <tr r="S22" s="7"/>
        <tr r="R22" s="7"/>
        <tr r="Q22" s="7"/>
        <tr r="P22" s="7"/>
        <tr r="O22" s="7"/>
        <tr r="N22" s="7"/>
        <tr r="M22" s="7"/>
        <tr r="L22" s="7"/>
        <tr r="K22" s="7"/>
        <tr r="J22" s="7"/>
        <tr r="I22" s="7"/>
        <tr r="H22" s="7"/>
        <tr r="G22" s="7"/>
        <tr r="F22" s="7"/>
        <tr r="E22" s="7"/>
        <tr r="D22" s="7"/>
        <tr r="C22" s="7"/>
        <tr r="B22" s="7"/>
        <tr r="AZ21" s="7"/>
        <tr r="AY21" s="7"/>
        <tr r="AX21" s="7"/>
        <tr r="AW21" s="7"/>
        <tr r="AV21" s="7"/>
        <tr r="AU21" s="7"/>
        <tr r="AT21" s="7"/>
        <tr r="AS21" s="7"/>
        <tr r="AR21" s="7"/>
        <tr r="AQ21" s="7"/>
        <tr r="AP21" s="7"/>
        <tr r="AO21" s="7"/>
        <tr r="AN21" s="7"/>
        <tr r="AM21" s="7"/>
        <tr r="AL21" s="7"/>
        <tr r="AK21" s="7"/>
        <tr r="AJ21" s="7"/>
        <tr r="AI21" s="7"/>
        <tr r="AH21" s="7"/>
        <tr r="AG21" s="7"/>
        <tr r="AF21" s="7"/>
        <tr r="AE21" s="7"/>
        <tr r="AD21" s="7"/>
        <tr r="AC21" s="7"/>
        <tr r="AB21" s="7"/>
        <tr r="AA21" s="7"/>
        <tr r="Z21" s="7"/>
        <tr r="Y21" s="7"/>
        <tr r="X21" s="7"/>
        <tr r="W21" s="7"/>
        <tr r="V21" s="7"/>
        <tr r="U21" s="7"/>
        <tr r="T21" s="7"/>
        <tr r="S21" s="7"/>
        <tr r="R21" s="7"/>
        <tr r="Q21" s="7"/>
        <tr r="P21" s="7"/>
        <tr r="O21" s="7"/>
        <tr r="N21" s="7"/>
        <tr r="M21" s="7"/>
        <tr r="L21" s="7"/>
        <tr r="K21" s="7"/>
        <tr r="J21" s="7"/>
        <tr r="I21" s="7"/>
        <tr r="H21" s="7"/>
        <tr r="G21" s="7"/>
        <tr r="F21" s="7"/>
        <tr r="E21" s="7"/>
        <tr r="D21" s="7"/>
        <tr r="C21" s="7"/>
        <tr r="B21" s="7"/>
        <tr r="AZ20" s="7"/>
        <tr r="AY20" s="7"/>
        <tr r="AX20" s="7"/>
        <tr r="AW20" s="7"/>
        <tr r="AV20" s="7"/>
        <tr r="AU20" s="7"/>
        <tr r="AT20" s="7"/>
        <tr r="AS20" s="7"/>
        <tr r="AR20" s="7"/>
        <tr r="AQ20" s="7"/>
        <tr r="AP20" s="7"/>
        <tr r="AO20" s="7"/>
        <tr r="AN20" s="7"/>
        <tr r="AM20" s="7"/>
        <tr r="AL20" s="7"/>
        <tr r="AK20" s="7"/>
        <tr r="AJ20" s="7"/>
        <tr r="AI20" s="7"/>
        <tr r="AH20" s="7"/>
        <tr r="AG20" s="7"/>
        <tr r="AF20" s="7"/>
        <tr r="AE20" s="7"/>
        <tr r="AD20" s="7"/>
        <tr r="AC20" s="7"/>
        <tr r="AB20" s="7"/>
        <tr r="AA20" s="7"/>
        <tr r="Z20" s="7"/>
        <tr r="Y20" s="7"/>
        <tr r="X20" s="7"/>
        <tr r="W20" s="7"/>
        <tr r="V20" s="7"/>
        <tr r="U20" s="7"/>
        <tr r="T20" s="7"/>
        <tr r="S20" s="7"/>
        <tr r="R20" s="7"/>
        <tr r="Q20" s="7"/>
        <tr r="P20" s="7"/>
        <tr r="O20" s="7"/>
        <tr r="N20" s="7"/>
        <tr r="M20" s="7"/>
        <tr r="L20" s="7"/>
        <tr r="K20" s="7"/>
        <tr r="J20" s="7"/>
        <tr r="I20" s="7"/>
        <tr r="H20" s="7"/>
        <tr r="G20" s="7"/>
        <tr r="F20" s="7"/>
        <tr r="E20" s="7"/>
        <tr r="D20" s="7"/>
        <tr r="C20" s="7"/>
        <tr r="B20" s="7"/>
        <tr r="AZ19" s="7"/>
        <tr r="AY19" s="7"/>
        <tr r="AX19" s="7"/>
        <tr r="AW19" s="7"/>
        <tr r="AV19" s="7"/>
        <tr r="AU19" s="7"/>
        <tr r="AT19" s="7"/>
        <tr r="AS19" s="7"/>
        <tr r="AR19" s="7"/>
        <tr r="AQ19" s="7"/>
        <tr r="AP19" s="7"/>
        <tr r="AO19" s="7"/>
        <tr r="AN19" s="7"/>
        <tr r="AM19" s="7"/>
        <tr r="AL19" s="7"/>
        <tr r="AK19" s="7"/>
        <tr r="AJ19" s="7"/>
        <tr r="AI19" s="7"/>
        <tr r="AH19" s="7"/>
        <tr r="AG19" s="7"/>
        <tr r="AF19" s="7"/>
        <tr r="AE19" s="7"/>
        <tr r="AD19" s="7"/>
        <tr r="AC19" s="7"/>
        <tr r="AB19" s="7"/>
        <tr r="AA19" s="7"/>
        <tr r="Z19" s="7"/>
        <tr r="Y19" s="7"/>
        <tr r="X19" s="7"/>
        <tr r="W19" s="7"/>
        <tr r="V19" s="7"/>
        <tr r="U19" s="7"/>
        <tr r="T19" s="7"/>
        <tr r="S19" s="7"/>
        <tr r="R19" s="7"/>
        <tr r="Q19" s="7"/>
        <tr r="P19" s="7"/>
        <tr r="O19" s="7"/>
        <tr r="N19" s="7"/>
        <tr r="M19" s="7"/>
        <tr r="L19" s="7"/>
        <tr r="K19" s="7"/>
        <tr r="J19" s="7"/>
        <tr r="I19" s="7"/>
        <tr r="H19" s="7"/>
        <tr r="G19" s="7"/>
        <tr r="F19" s="7"/>
        <tr r="E19" s="7"/>
        <tr r="D19" s="7"/>
        <tr r="C19" s="7"/>
        <tr r="B19" s="7"/>
        <tr r="AZ18" s="7"/>
        <tr r="AY18" s="7"/>
        <tr r="AX18" s="7"/>
        <tr r="AW18" s="7"/>
        <tr r="AV18" s="7"/>
        <tr r="AU18" s="7"/>
        <tr r="AT18" s="7"/>
        <tr r="AS18" s="7"/>
        <tr r="AR18" s="7"/>
        <tr r="AQ18" s="7"/>
        <tr r="AP18" s="7"/>
        <tr r="AO18" s="7"/>
        <tr r="AN18" s="7"/>
        <tr r="AM18" s="7"/>
        <tr r="AL18" s="7"/>
        <tr r="AK18" s="7"/>
        <tr r="AJ18" s="7"/>
        <tr r="AI18" s="7"/>
        <tr r="AH18" s="7"/>
        <tr r="AG18" s="7"/>
        <tr r="AF18" s="7"/>
        <tr r="AE18" s="7"/>
        <tr r="AD18" s="7"/>
        <tr r="AC18" s="7"/>
        <tr r="AB18" s="7"/>
        <tr r="AA18" s="7"/>
        <tr r="Z18" s="7"/>
        <tr r="Y18" s="7"/>
        <tr r="X18" s="7"/>
        <tr r="W18" s="7"/>
        <tr r="V18" s="7"/>
        <tr r="U18" s="7"/>
        <tr r="T18" s="7"/>
        <tr r="S18" s="7"/>
        <tr r="R18" s="7"/>
        <tr r="Q18" s="7"/>
        <tr r="P18" s="7"/>
        <tr r="O18" s="7"/>
        <tr r="N18" s="7"/>
        <tr r="M18" s="7"/>
        <tr r="L18" s="7"/>
        <tr r="K18" s="7"/>
        <tr r="J18" s="7"/>
        <tr r="I18" s="7"/>
        <tr r="H18" s="7"/>
        <tr r="G18" s="7"/>
        <tr r="F18" s="7"/>
        <tr r="E18" s="7"/>
        <tr r="D18" s="7"/>
        <tr r="C18" s="7"/>
        <tr r="B18" s="7"/>
        <tr r="AZ17" s="7"/>
        <tr r="AY17" s="7"/>
        <tr r="AX17" s="7"/>
        <tr r="AW17" s="7"/>
        <tr r="AV17" s="7"/>
        <tr r="AU17" s="7"/>
        <tr r="AT17" s="7"/>
        <tr r="AS17" s="7"/>
        <tr r="AR17" s="7"/>
        <tr r="AQ17" s="7"/>
        <tr r="AP17" s="7"/>
        <tr r="AO17" s="7"/>
        <tr r="AN17" s="7"/>
        <tr r="AM17" s="7"/>
        <tr r="AL17" s="7"/>
        <tr r="AK17" s="7"/>
        <tr r="AJ17" s="7"/>
        <tr r="AI17" s="7"/>
        <tr r="AH17" s="7"/>
        <tr r="AG17" s="7"/>
        <tr r="AF17" s="7"/>
        <tr r="AE17" s="7"/>
        <tr r="AD17" s="7"/>
        <tr r="AC17" s="7"/>
        <tr r="AB17" s="7"/>
        <tr r="AA17" s="7"/>
        <tr r="Z17" s="7"/>
        <tr r="Y17" s="7"/>
        <tr r="X17" s="7"/>
        <tr r="W17" s="7"/>
        <tr r="V17" s="7"/>
        <tr r="U17" s="7"/>
        <tr r="T17" s="7"/>
        <tr r="S17" s="7"/>
        <tr r="R17" s="7"/>
        <tr r="Q17" s="7"/>
        <tr r="P17" s="7"/>
        <tr r="O17" s="7"/>
        <tr r="N17" s="7"/>
        <tr r="M17" s="7"/>
        <tr r="L17" s="7"/>
        <tr r="K17" s="7"/>
        <tr r="J17" s="7"/>
        <tr r="I17" s="7"/>
        <tr r="H17" s="7"/>
        <tr r="G17" s="7"/>
        <tr r="F17" s="7"/>
        <tr r="E17" s="7"/>
        <tr r="D17" s="7"/>
        <tr r="C17" s="7"/>
        <tr r="B17" s="7"/>
        <tr r="AZ16" s="7"/>
        <tr r="AY16" s="7"/>
        <tr r="AX16" s="7"/>
        <tr r="AW16" s="7"/>
        <tr r="AV16" s="7"/>
        <tr r="AU16" s="7"/>
        <tr r="AT16" s="7"/>
        <tr r="AS16" s="7"/>
        <tr r="AR16" s="7"/>
        <tr r="AQ16" s="7"/>
        <tr r="AP16" s="7"/>
        <tr r="AO16" s="7"/>
        <tr r="AN16" s="7"/>
        <tr r="AM16" s="7"/>
        <tr r="AL16" s="7"/>
        <tr r="AK16" s="7"/>
        <tr r="AJ16" s="7"/>
        <tr r="AI16" s="7"/>
        <tr r="AH16" s="7"/>
        <tr r="AG16" s="7"/>
        <tr r="AF16" s="7"/>
        <tr r="AE16" s="7"/>
        <tr r="AD16" s="7"/>
        <tr r="AC16" s="7"/>
        <tr r="AB16" s="7"/>
        <tr r="AA16" s="7"/>
        <tr r="Z16" s="7"/>
        <tr r="Y16" s="7"/>
        <tr r="X16" s="7"/>
        <tr r="W16" s="7"/>
        <tr r="V16" s="7"/>
        <tr r="U16" s="7"/>
        <tr r="T16" s="7"/>
        <tr r="S16" s="7"/>
        <tr r="R16" s="7"/>
        <tr r="Q16" s="7"/>
        <tr r="P16" s="7"/>
        <tr r="O16" s="7"/>
        <tr r="N16" s="7"/>
        <tr r="M16" s="7"/>
        <tr r="L16" s="7"/>
        <tr r="K16" s="7"/>
        <tr r="J16" s="7"/>
        <tr r="I16" s="7"/>
        <tr r="H16" s="7"/>
        <tr r="G16" s="7"/>
        <tr r="F16" s="7"/>
        <tr r="E16" s="7"/>
        <tr r="D16" s="7"/>
        <tr r="C16" s="7"/>
        <tr r="B16" s="7"/>
        <tr r="AZ15" s="7"/>
        <tr r="AY15" s="7"/>
        <tr r="AX15" s="7"/>
        <tr r="AW15" s="7"/>
        <tr r="AV15" s="7"/>
        <tr r="AU15" s="7"/>
        <tr r="AT15" s="7"/>
        <tr r="AS15" s="7"/>
        <tr r="AR15" s="7"/>
        <tr r="AQ15" s="7"/>
        <tr r="AP15" s="7"/>
        <tr r="AO15" s="7"/>
        <tr r="AN15" s="7"/>
        <tr r="AM15" s="7"/>
        <tr r="AL15" s="7"/>
        <tr r="AK15" s="7"/>
        <tr r="AJ15" s="7"/>
        <tr r="AI15" s="7"/>
        <tr r="AH15" s="7"/>
        <tr r="AG15" s="7"/>
        <tr r="AF15" s="7"/>
        <tr r="AE15" s="7"/>
        <tr r="AD15" s="7"/>
        <tr r="AC15" s="7"/>
        <tr r="AB15" s="7"/>
        <tr r="AA15" s="7"/>
        <tr r="Z15" s="7"/>
        <tr r="Y15" s="7"/>
        <tr r="X15" s="7"/>
        <tr r="W15" s="7"/>
        <tr r="V15" s="7"/>
        <tr r="U15" s="7"/>
        <tr r="T15" s="7"/>
        <tr r="S15" s="7"/>
        <tr r="R15" s="7"/>
        <tr r="Q15" s="7"/>
        <tr r="P15" s="7"/>
        <tr r="O15" s="7"/>
        <tr r="N15" s="7"/>
        <tr r="M15" s="7"/>
        <tr r="L15" s="7"/>
        <tr r="K15" s="7"/>
        <tr r="J15" s="7"/>
        <tr r="I15" s="7"/>
        <tr r="H15" s="7"/>
        <tr r="G15" s="7"/>
        <tr r="F15" s="7"/>
        <tr r="E15" s="7"/>
        <tr r="D15" s="7"/>
        <tr r="C15" s="7"/>
        <tr r="B15" s="7"/>
        <tr r="AZ14" s="7"/>
        <tr r="AY14" s="7"/>
        <tr r="AX14" s="7"/>
        <tr r="AW14" s="7"/>
        <tr r="AV14" s="7"/>
        <tr r="AU14" s="7"/>
        <tr r="AT14" s="7"/>
        <tr r="AS14" s="7"/>
        <tr r="AR14" s="7"/>
        <tr r="AQ14" s="7"/>
        <tr r="AP14" s="7"/>
        <tr r="AO14" s="7"/>
        <tr r="AN14" s="7"/>
        <tr r="AM14" s="7"/>
        <tr r="AL14" s="7"/>
        <tr r="AK14" s="7"/>
        <tr r="AJ14" s="7"/>
        <tr r="AI14" s="7"/>
        <tr r="AH14" s="7"/>
        <tr r="AG14" s="7"/>
        <tr r="AF14" s="7"/>
        <tr r="AE14" s="7"/>
        <tr r="AD14" s="7"/>
        <tr r="AC14" s="7"/>
        <tr r="AB14" s="7"/>
        <tr r="AA14" s="7"/>
        <tr r="Z14" s="7"/>
        <tr r="Y14" s="7"/>
        <tr r="X14" s="7"/>
        <tr r="W14" s="7"/>
        <tr r="V14" s="7"/>
        <tr r="U14" s="7"/>
        <tr r="T14" s="7"/>
        <tr r="S14" s="7"/>
        <tr r="R14" s="7"/>
        <tr r="Q14" s="7"/>
        <tr r="P14" s="7"/>
        <tr r="O14" s="7"/>
        <tr r="N14" s="7"/>
        <tr r="M14" s="7"/>
        <tr r="L14" s="7"/>
        <tr r="K14" s="7"/>
        <tr r="J14" s="7"/>
        <tr r="I14" s="7"/>
        <tr r="H14" s="7"/>
        <tr r="G14" s="7"/>
        <tr r="F14" s="7"/>
        <tr r="E14" s="7"/>
        <tr r="D14" s="7"/>
        <tr r="C14" s="7"/>
        <tr r="B14" s="7"/>
        <tr r="AZ13" s="7"/>
        <tr r="AY13" s="7"/>
        <tr r="AX13" s="7"/>
        <tr r="AW13" s="7"/>
        <tr r="AV13" s="7"/>
        <tr r="AU13" s="7"/>
        <tr r="AT13" s="7"/>
        <tr r="AS13" s="7"/>
        <tr r="AR13" s="7"/>
        <tr r="AQ13" s="7"/>
        <tr r="AP13" s="7"/>
        <tr r="AO13" s="7"/>
        <tr r="AN13" s="7"/>
        <tr r="AM13" s="7"/>
        <tr r="AL13" s="7"/>
        <tr r="AK13" s="7"/>
        <tr r="AJ13" s="7"/>
        <tr r="AI13" s="7"/>
        <tr r="AH13" s="7"/>
        <tr r="AG13" s="7"/>
        <tr r="AF13" s="7"/>
        <tr r="AE13" s="7"/>
        <tr r="AD13" s="7"/>
        <tr r="AC13" s="7"/>
        <tr r="AB13" s="7"/>
        <tr r="AA13" s="7"/>
        <tr r="Z13" s="7"/>
        <tr r="Y13" s="7"/>
        <tr r="X13" s="7"/>
        <tr r="W13" s="7"/>
        <tr r="V13" s="7"/>
        <tr r="U13" s="7"/>
        <tr r="T13" s="7"/>
        <tr r="S13" s="7"/>
        <tr r="R13" s="7"/>
        <tr r="Q13" s="7"/>
        <tr r="P13" s="7"/>
        <tr r="O13" s="7"/>
        <tr r="N13" s="7"/>
        <tr r="M13" s="7"/>
        <tr r="L13" s="7"/>
        <tr r="K13" s="7"/>
        <tr r="J13" s="7"/>
        <tr r="I13" s="7"/>
        <tr r="H13" s="7"/>
        <tr r="G13" s="7"/>
        <tr r="F13" s="7"/>
        <tr r="E13" s="7"/>
        <tr r="D13" s="7"/>
        <tr r="C13" s="7"/>
        <tr r="B13" s="7"/>
        <tr r="AZ12" s="7"/>
        <tr r="AY12" s="7"/>
        <tr r="AX12" s="7"/>
        <tr r="AW12" s="7"/>
        <tr r="AV12" s="7"/>
        <tr r="AU12" s="7"/>
        <tr r="AT12" s="7"/>
        <tr r="AS12" s="7"/>
        <tr r="AR12" s="7"/>
        <tr r="AQ12" s="7"/>
        <tr r="AP12" s="7"/>
        <tr r="AO12" s="7"/>
        <tr r="AN12" s="7"/>
        <tr r="AM12" s="7"/>
        <tr r="AL12" s="7"/>
        <tr r="AK12" s="7"/>
        <tr r="AJ12" s="7"/>
        <tr r="AI12" s="7"/>
        <tr r="AH12" s="7"/>
        <tr r="AG12" s="7"/>
        <tr r="AF12" s="7"/>
        <tr r="AE12" s="7"/>
        <tr r="AD12" s="7"/>
        <tr r="AC12" s="7"/>
        <tr r="AB12" s="7"/>
        <tr r="AA12" s="7"/>
        <tr r="Z12" s="7"/>
        <tr r="Y12" s="7"/>
        <tr r="X12" s="7"/>
        <tr r="W12" s="7"/>
        <tr r="V12" s="7"/>
        <tr r="U12" s="7"/>
        <tr r="T12" s="7"/>
        <tr r="S12" s="7"/>
        <tr r="R12" s="7"/>
        <tr r="Q12" s="7"/>
        <tr r="P12" s="7"/>
        <tr r="O12" s="7"/>
        <tr r="N12" s="7"/>
        <tr r="M12" s="7"/>
        <tr r="L12" s="7"/>
        <tr r="K12" s="7"/>
        <tr r="J12" s="7"/>
        <tr r="I12" s="7"/>
        <tr r="H12" s="7"/>
        <tr r="G12" s="7"/>
        <tr r="F12" s="7"/>
        <tr r="E12" s="7"/>
        <tr r="D12" s="7"/>
        <tr r="C12" s="7"/>
        <tr r="B12" s="7"/>
        <tr r="AZ11" s="7"/>
        <tr r="AY11" s="7"/>
        <tr r="AX11" s="7"/>
        <tr r="AW11" s="7"/>
        <tr r="AV11" s="7"/>
        <tr r="AU11" s="7"/>
        <tr r="AT11" s="7"/>
        <tr r="AS11" s="7"/>
        <tr r="AR11" s="7"/>
        <tr r="AQ11" s="7"/>
        <tr r="AP11" s="7"/>
        <tr r="AO11" s="7"/>
        <tr r="AN11" s="7"/>
        <tr r="AM11" s="7"/>
        <tr r="AL11" s="7"/>
        <tr r="AK11" s="7"/>
        <tr r="AJ11" s="7"/>
        <tr r="AI11" s="7"/>
        <tr r="AH11" s="7"/>
        <tr r="AG11" s="7"/>
        <tr r="AF11" s="7"/>
        <tr r="AE11" s="7"/>
        <tr r="AD11" s="7"/>
        <tr r="AC11" s="7"/>
        <tr r="AB11" s="7"/>
        <tr r="AA11" s="7"/>
        <tr r="Z11" s="7"/>
        <tr r="Y11" s="7"/>
        <tr r="X11" s="7"/>
        <tr r="W11" s="7"/>
        <tr r="V11" s="7"/>
        <tr r="U11" s="7"/>
        <tr r="T11" s="7"/>
        <tr r="S11" s="7"/>
        <tr r="R11" s="7"/>
        <tr r="Q11" s="7"/>
        <tr r="P11" s="7"/>
        <tr r="O11" s="7"/>
        <tr r="N11" s="7"/>
        <tr r="M11" s="7"/>
        <tr r="L11" s="7"/>
        <tr r="K11" s="7"/>
        <tr r="J11" s="7"/>
        <tr r="I11" s="7"/>
        <tr r="H11" s="7"/>
        <tr r="G11" s="7"/>
        <tr r="F11" s="7"/>
        <tr r="E11" s="7"/>
        <tr r="D11" s="7"/>
        <tr r="C11" s="7"/>
        <tr r="B11" s="7"/>
        <tr r="B9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3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4167.797518518521" backgroundQuery="1" createdVersion="6" refreshedVersion="6" minRefreshableVersion="3" recordCount="0" supportSubquery="1" supportAdvancedDrill="1" xr:uid="{47BC9511-BFEE-4447-9092-13C6B0107D60}">
  <cacheSource type="external" connectionId="1"/>
  <cacheFields count="16">
    <cacheField name="[Data].[GDP and other output measures].[Output Definition]" caption="Output Definition" numFmtId="0" hierarchy="2" level="1">
      <sharedItems containsSemiMixedTypes="0" containsString="0"/>
    </cacheField>
    <cacheField name="[Data].[Original Source Data].[Source]" caption="Source" numFmtId="0" hierarchy="4" level="1">
      <sharedItems containsSemiMixedTypes="0" containsString="0"/>
    </cacheField>
    <cacheField name="[Data].[Original Source Data].[IndicatorSourceDescription]" caption="IndicatorSourceDescription" numFmtId="0" hierarchy="4" level="2">
      <sharedItems containsSemiMixedTypes="0" containsString="0"/>
    </cacheField>
    <cacheField name="[Dates].[Year].[Year]" caption="Year" numFmtId="0" hierarchy="5" level="1">
      <sharedItems count="50">
        <s v="[Dates].[Year].&amp;[1970]" c="1970"/>
        <s v="[Dates].[Year].&amp;[1971]" c="1971"/>
        <s v="[Dates].[Year].&amp;[1972]" c="1972"/>
        <s v="[Dates].[Year].&amp;[1973]" c="1973"/>
        <s v="[Dates].[Year].&amp;[1974]" c="1974"/>
        <s v="[Dates].[Year].&amp;[1975]" c="1975"/>
        <s v="[Dates].[Year].&amp;[1976]" c="1976"/>
        <s v="[Dates].[Year].&amp;[1977]" c="1977"/>
        <s v="[Dates].[Year].&amp;[1978]" c="1978"/>
        <s v="[Dates].[Year].&amp;[1979]" c="1979"/>
        <s v="[Dates].[Year].&amp;[1980]" c="1980"/>
        <s v="[Dates].[Year].&amp;[1981]" c="1981"/>
        <s v="[Dates].[Year].&amp;[1982]" c="1982"/>
        <s v="[Dates].[Year].&amp;[1983]" c="1983"/>
        <s v="[Dates].[Year].&amp;[1984]" c="1984"/>
        <s v="[Dates].[Year].&amp;[1985]" c="1985"/>
        <s v="[Dates].[Year].&amp;[1986]" c="1986"/>
        <s v="[Dates].[Year].&amp;[1987]" c="1987"/>
        <s v="[Dates].[Year].&amp;[1988]" c="1988"/>
        <s v="[Dates].[Year].&amp;[1989]" c="1989"/>
        <s v="[Dates].[Year].&amp;[1990]" c="1990"/>
        <s v="[Dates].[Year].&amp;[1991]" c="1991"/>
        <s v="[Dates].[Year].&amp;[1992]" c="1992"/>
        <s v="[Dates].[Year].&amp;[1993]" c="1993"/>
        <s v="[Dates].[Year].&amp;[1994]" c="1994"/>
        <s v="[Dates].[Year].&amp;[1995]" c="1995"/>
        <s v="[Dates].[Year].&amp;[1996]" c="1996"/>
        <s v="[Dates].[Year].&amp;[1997]" c="1997"/>
        <s v="[Dates].[Year].&amp;[1998]" c="1998"/>
        <s v="[Dates].[Year].&amp;[1999]" c="1999"/>
        <s v="[Dates].[Year].&amp;[2000]" c="2000"/>
        <s v="[Dates].[Year].&amp;[2001]" c="2001"/>
        <s v="[Dates].[Year].&amp;[2002]" c="2002"/>
        <s v="[Dates].[Year].&amp;[2003]" c="2003"/>
        <s v="[Dates].[Year].&amp;[2004]" c="2004"/>
        <s v="[Dates].[Year].&amp;[2005]" c="2005"/>
        <s v="[Dates].[Year].&amp;[2006]" c="2006"/>
        <s v="[Dates].[Year].&amp;[2007]" c="2007"/>
        <s v="[Dates].[Year].&amp;[2008]" c="2008"/>
        <s v="[Dates].[Year].&amp;[2009]" c="2009"/>
        <s v="[Dates].[Year].&amp;[2010]" c="2010"/>
        <s v="[Dates].[Year].&amp;[2011]" c="2011"/>
        <s v="[Dates].[Year].&amp;[2012]" c="2012"/>
        <s v="[Dates].[Year].&amp;[2013]" c="2013"/>
        <s v="[Dates].[Year].&amp;[2014]" c="2014"/>
        <s v="[Dates].[Year].&amp;[2015]" c="2015"/>
        <s v="[Dates].[Year].&amp;[2016]" c="2016"/>
        <s v="[Dates].[Year].&amp;[2017]" c="2017"/>
        <s v="[Dates].[Year].&amp;[2018]" c="2018"/>
        <s v="[Dates].[Year].&amp;[2019]" c="2019"/>
      </sharedItems>
    </cacheField>
    <cacheField name="[Geography].[Blocs].[Major_Blocs]" caption="Major_Blocs" numFmtId="0" hierarchy="6" level="1">
      <sharedItems count="3">
        <s v="[Geography].[Blocs].[Major_Blocs].&amp;[China Mainland]" c="China Mainland"/>
        <s v="[Geography].[Blocs].[Major_Blocs].&amp;[North]" c="North"/>
        <s v="[Geography].[Blocs].[Major_Blocs].&amp;[South]" c="South"/>
      </sharedItems>
    </cacheField>
    <cacheField name="[Geography].[Blocs].[Country]" caption="Country" numFmtId="0" hierarchy="6" level="2">
      <sharedItems count="103">
        <s v="[Geography].[Blocs].[Country].&amp;[Andorra]" c="Andorra"/>
        <s v="[Geography].[Blocs].[Country].&amp;[Australia]" c="Australia"/>
        <s v="[Geography].[Blocs].[Country].&amp;[Austria]" c="Austria"/>
        <s v="[Geography].[Blocs].[Country].&amp;[Belgium]" c="Belgium"/>
        <s v="[Geography].[Blocs].[Country].&amp;[Canada]" c="Canada"/>
        <s v="[Geography].[Blocs].[Country].&amp;[Denmark]" c="Denmark"/>
        <s v="[Geography].[Blocs].[Country].&amp;[Finland]" c="Finland"/>
        <s v="[Geography].[Blocs].[Country].&amp;[France]" c="France"/>
        <s v="[Geography].[Blocs].[Country].&amp;[Germany]" c="Germany"/>
        <s v="[Geography].[Blocs].[Country].&amp;[Greece]" c="Greece"/>
        <s v="[Geography].[Blocs].[Country].&amp;[Iceland]" c="Iceland"/>
        <s v="[Geography].[Blocs].[Country].&amp;[Ireland]" c="Ireland"/>
        <s v="[Geography].[Blocs].[Country].&amp;[Israel]" c="Israel"/>
        <s v="[Geography].[Blocs].[Country].&amp;[Italy]" c="Italy"/>
        <s v="[Geography].[Blocs].[Country].&amp;[Japan]" c="Japan"/>
        <s v="[Geography].[Blocs].[Country].&amp;[Luxemburg]" c="Luxemburg"/>
        <s v="[Geography].[Blocs].[Country].&amp;[Malta]" c="Malta"/>
        <s v="[Geography].[Blocs].[Country].&amp;[Netherlands]" c="Netherlands"/>
        <s v="[Geography].[Blocs].[Country].&amp;[New Zealand]" c="New Zealand"/>
        <s v="[Geography].[Blocs].[Country].&amp;[Norway]" c="Norway"/>
        <s v="[Geography].[Blocs].[Country].&amp;[Portugal]" c="Portugal"/>
        <s v="[Geography].[Blocs].[Country].&amp;[Singapore]" c="Singapore"/>
        <s v="[Geography].[Blocs].[Country].&amp;[South Korea]" c="South Korea"/>
        <s v="[Geography].[Blocs].[Country].&amp;[Spain]" c="Spain"/>
        <s v="[Geography].[Blocs].[Country].&amp;[Sweden]" c="Sweden"/>
        <s v="[Geography].[Blocs].[Country].&amp;[Switzerland]" c="Switzerland"/>
        <s v="[Geography].[Blocs].[Country].&amp;[United Kingdom]" c="United Kingdom"/>
        <s v="[Geography].[Blocs].[Country].&amp;[United States]" c="United States"/>
        <s v="[Geography].[Blocs].[Country].&amp;[Algeria]" c="Algeria"/>
        <s v="[Geography].[Blocs].[Country].&amp;[Argentina]" c="Argentina"/>
        <s v="[Geography].[Blocs].[Country].&amp;[Bahamas]" c="Bahamas"/>
        <s v="[Geography].[Blocs].[Country].&amp;[Bangladesh]" c="Bangladesh"/>
        <s v="[Geography].[Blocs].[Country].&amp;[Belize]" c="Belize"/>
        <s v="[Geography].[Blocs].[Country].&amp;[Benin]" c="Benin"/>
        <s v="[Geography].[Blocs].[Country].&amp;[Bolivia]" c="Bolivia"/>
        <s v="[Geography].[Blocs].[Country].&amp;[Botswana]" c="Botswana"/>
        <s v="[Geography].[Blocs].[Country].&amp;[Brazil]" c="Brazil"/>
        <s v="[Geography].[Blocs].[Country].&amp;[Burkina Faso]" c="Burkina Faso"/>
        <s v="[Geography].[Blocs].[Country].&amp;[Burundi]" c="Burundi"/>
        <s v="[Geography].[Blocs].[Country].&amp;[Cameroon]" c="Cameroon"/>
        <s v="[Geography].[Blocs].[Country].&amp;[Central African Republic]" c="Central African Republic"/>
        <s v="[Geography].[Blocs].[Country].&amp;[Chad]" c="Chad"/>
        <s v="[Geography].[Blocs].[Country].&amp;[Chile]" c="Chile"/>
        <s v="[Geography].[Blocs].[Country].&amp;[Colombia]" c="Colombia"/>
        <s v="[Geography].[Blocs].[Country].&amp;[Congo DR]" c="Congo DR"/>
        <s v="[Geography].[Blocs].[Country].&amp;[Congo R]" c="Congo R"/>
        <s v="[Geography].[Blocs].[Country].&amp;[Costa Rica]" c="Costa Rica"/>
        <s v="[Geography].[Blocs].[Country].&amp;[Cote d'Ivoire]" c="Cote d'Ivoire"/>
        <s v="[Geography].[Blocs].[Country].&amp;[Dominican Republic]" c="Dominican Republic"/>
        <s v="[Geography].[Blocs].[Country].&amp;[Ecuador]" c="Ecuador"/>
        <s v="[Geography].[Blocs].[Country].&amp;[El Salvador]" c="El Salvador"/>
        <s v="[Geography].[Blocs].[Country].&amp;[Fiji]" c="Fiji"/>
        <s v="[Geography].[Blocs].[Country].&amp;[Gabon]" c="Gabon"/>
        <s v="[Geography].[Blocs].[Country].&amp;[Gambia]" c="Gambia"/>
        <s v="[Geography].[Blocs].[Country].&amp;[Ghana]" c="Ghana"/>
        <s v="[Geography].[Blocs].[Country].&amp;[Guatemala]" c="Guatemala"/>
        <s v="[Geography].[Blocs].[Country].&amp;[Guinea-Bissau]" c="Guinea-Bissau"/>
        <s v="[Geography].[Blocs].[Country].&amp;[Guyana]" c="Guyana"/>
        <s v="[Geography].[Blocs].[Country].&amp;[Haiti]" c="Haiti"/>
        <s v="[Geography].[Blocs].[Country].&amp;[Honduras]" c="Honduras"/>
        <s v="[Geography].[Blocs].[Country].&amp;[India]" c="India"/>
        <s v="[Geography].[Blocs].[Country].&amp;[Iraq]" c="Iraq"/>
        <s v="[Geography].[Blocs].[Country].&amp;[Jamaica]" c="Jamaica"/>
        <s v="[Geography].[Blocs].[Country].&amp;[Kenya]" c="Kenya"/>
        <s v="[Geography].[Blocs].[Country].&amp;[Kiribati]" c="Kiribati"/>
        <s v="[Geography].[Blocs].[Country].&amp;[Lesotho]" c="Lesotho"/>
        <s v="[Geography].[Blocs].[Country].&amp;[Madagascar]" c="Madagascar"/>
        <s v="[Geography].[Blocs].[Country].&amp;[Malawi]" c="Malawi"/>
        <s v="[Geography].[Blocs].[Country].&amp;[Malaysia]" c="Malaysia"/>
        <s v="[Geography].[Blocs].[Country].&amp;[Mali]" c="Mali"/>
        <s v="[Geography].[Blocs].[Country].&amp;[Mauritania]" c="Mauritania"/>
        <s v="[Geography].[Blocs].[Country].&amp;[Mexico]" c="Mexico"/>
        <s v="[Geography].[Blocs].[Country].&amp;[Morocco]" c="Morocco"/>
        <s v="[Geography].[Blocs].[Country].&amp;[Nepal]" c="Nepal"/>
        <s v="[Geography].[Blocs].[Country].&amp;[Nicaragua]" c="Nicaragua"/>
        <s v="[Geography].[Blocs].[Country].&amp;[Niger]" c="Niger"/>
        <s v="[Geography].[Blocs].[Country].&amp;[Nigeria]" c="Nigeria"/>
        <s v="[Geography].[Blocs].[Country].&amp;[Oman]" c="Oman"/>
        <s v="[Geography].[Blocs].[Country].&amp;[Pakistan]" c="Pakistan"/>
        <s v="[Geography].[Blocs].[Country].&amp;[Panama]" c="Panama"/>
        <s v="[Geography].[Blocs].[Country].&amp;[Papua New Guinea]" c="Papua New Guinea"/>
        <s v="[Geography].[Blocs].[Country].&amp;[Paraguay]" c="Paraguay"/>
        <s v="[Geography].[Blocs].[Country].&amp;[Peru]" c="Peru"/>
        <s v="[Geography].[Blocs].[Country].&amp;[Philippines]" c="Philippines"/>
        <s v="[Geography].[Blocs].[Country].&amp;[Puerto Rico]" c="Puerto Rico"/>
        <s v="[Geography].[Blocs].[Country].&amp;[Rwanda]" c="Rwanda"/>
        <s v="[Geography].[Blocs].[Country].&amp;[Saudi Arabia]" c="Saudi Arabia"/>
        <s v="[Geography].[Blocs].[Country].&amp;[Senegal]" c="Senegal"/>
        <s v="[Geography].[Blocs].[Country].&amp;[Seychelles]" c="Seychelles"/>
        <s v="[Geography].[Blocs].[Country].&amp;[Sierra Leone]" c="Sierra Leone"/>
        <s v="[Geography].[Blocs].[Country].&amp;[South Africa]" c="South Africa"/>
        <s v="[Geography].[Blocs].[Country].&amp;[Sri Lanka]" c="Sri Lanka"/>
        <s v="[Geography].[Blocs].[Country].&amp;[Sudan (Former)]" c="Sudan (Former)"/>
        <s v="[Geography].[Blocs].[Country].&amp;[Suriname]" c="Suriname"/>
        <s v="[Geography].[Blocs].[Country].&amp;[Swaziland]" c="Swaziland"/>
        <s v="[Geography].[Blocs].[Country].&amp;[Thailand]" c="Thailand"/>
        <s v="[Geography].[Blocs].[Country].&amp;[Togo]" c="Togo"/>
        <s v="[Geography].[Blocs].[Country].&amp;[Trinidad and Tobago]" c="Trinidad and Tobago"/>
        <s v="[Geography].[Blocs].[Country].&amp;[Tunisia]" c="Tunisia"/>
        <s v="[Geography].[Blocs].[Country].&amp;[Turkey]" c="Turkey"/>
        <s v="[Geography].[Blocs].[Country].&amp;[Uruguay]" c="Uruguay"/>
        <s v="[Geography].[Blocs].[Country].&amp;[Zambia]" c="Zambia"/>
        <s v="[Geography].[Blocs].[Country].&amp;[Zimbabwe]" c="Zimbabwe"/>
      </sharedItems>
    </cacheField>
    <cacheField name="[Geography].[Blocs].[Nation]" caption="Nation" numFmtId="0" hierarchy="6" level="3">
      <sharedItems containsSemiMixedTypes="0" containsString="0"/>
    </cacheField>
    <cacheField name="[Geography].[WDI Availability].[wdi_availability]" caption="wdi_availability" numFmtId="0" hierarchy="9" level="1">
      <sharedItems containsSemiMixedTypes="0" containsString="0"/>
    </cacheField>
    <cacheField name="[Geography].[WDI Availability].[Country]" caption="Country" numFmtId="0" hierarchy="9" level="2">
      <sharedItems containsSemiMixedTypes="0" containsString="0"/>
    </cacheField>
    <cacheField name="[Geography].[WDI Availability].[Nation]" caption="Nation" numFmtId="0" hierarchy="9" level="3">
      <sharedItems containsSemiMixedTypes="0" containsString="0"/>
    </cacheField>
    <cacheField name="[Indicator Detail].[Units].[Measure Type (Stock/Flow/etc)]" caption="Measure Type (Stock/Flow/etc)" numFmtId="0" hierarchy="12" level="1">
      <sharedItems containsSemiMixedTypes="0" containsString="0"/>
    </cacheField>
    <cacheField name="[Indicator Detail].[Units].[Dimension (Money/Quantity/PPP)]" caption="Dimension (Money/Quantity/PPP)" numFmtId="0" hierarchy="12" level="2">
      <sharedItems containsSemiMixedTypes="0" containsString="0"/>
    </cacheField>
    <cacheField name="[Indicator Detail].[Units].[Units (USD/EUR/LCU/etc)]" caption="Units (USD/EUR/LCU/etc)" numFmtId="0" hierarchy="12" level="3">
      <sharedItems containsSemiMixedTypes="0" containsString="0"/>
    </cacheField>
    <cacheField name="[Indicator Detail].[Units].[Metric (Current/Constant/etc)]" caption="Metric (Current/Constant/etc)" numFmtId="0" hierarchy="12" level="4">
      <sharedItems containsSemiMixedTypes="0" containsString="0"/>
    </cacheField>
    <cacheField name="[Indicator Detail].[Industrial Sector (Agriculture/Manufacturing/etc)].[Industrial Sector (Agriculture/Manufacturing/etc)]" caption="Industrial Sector (Agriculture/Manufacturing/etc)" numFmtId="0" hierarchy="11" level="1">
      <sharedItems containsSemiMixedTypes="0" containsString="0"/>
    </cacheField>
    <cacheField name="[Measures].[Item]" caption="Item" numFmtId="0" hierarchy="73" level="32767"/>
  </cacheFields>
  <cacheHierarchies count="76">
    <cacheHierarchy uniqueName="[Data].[Balance of Payments Component]" caption="Balance of Payments Component" defaultMemberUniqueName="[Data].[Balance of Payments Component].[All]" allUniqueName="[Data].[Balance of Payments Component].[All]" dimensionUniqueName="[Data]" displayFolder="" count="0" unbalanced="0"/>
    <cacheHierarchy uniqueName="[Data].[Demographics]" caption="Demographics" defaultMemberUniqueName="[Data].[Demographics].[All]" allUniqueName="[Data].[Demographics].[All]" dimensionUniqueName="[Data]" displayFolder="" count="0" unbalanced="0"/>
    <cacheHierarchy uniqueName="[Data].[GDP and other output measures]" caption="GDP and other output measures" defaultMemberUniqueName="[Data].[GDP and other output measures].[All]" allUniqueName="[Data].[GDP and other output measures].[All]" dimensionUniqueName="[Data]" displayFolder="" count="2" unbalanced="0">
      <fieldsUsage count="2">
        <fieldUsage x="-1"/>
        <fieldUsage x="0"/>
      </fieldsUsage>
    </cacheHierarchy>
    <cacheHierarchy uniqueName="[Data].[Indicator Source and Code]" caption="Indicator Source and Code" attribute="1" defaultMemberUniqueName="[Data].[Indicator Source and Code].[All]" allUniqueName="[Data].[Indicator Source and Code].[All]" dimensionUniqueName="[Data]" displayFolder="" count="0" unbalanced="0"/>
    <cacheHierarchy uniqueName="[Data].[Original Source Data]" caption="Original Source Data" defaultMemberUniqueName="[Data].[Original Source Data].[All]" allUniqueName="[Data].[Original Source Data].[All]" dimensionUniqueName="[Data]" displayFolder="" count="3" unbalanced="0">
      <fieldsUsage count="3">
        <fieldUsage x="-1"/>
        <fieldUsage x="1"/>
        <fieldUsage x="2"/>
      </fieldsUsage>
    </cacheHierarchy>
    <cacheHierarchy uniqueName="[Dates].[Year]" caption="Year" attribute="1" defaultMemberUniqueName="[Dates].[Year].[All]" allUniqueName="[Dates].[Year].[All]" dimensionUniqueName="[Dates]" displayFolder="" count="2" unbalanced="0">
      <fieldsUsage count="2">
        <fieldUsage x="-1"/>
        <fieldUsage x="3"/>
      </fieldsUsage>
    </cacheHierarchy>
    <cacheHierarchy uniqueName="[Geography].[Blocs]" caption="Blocs" defaultMemberUniqueName="[Geography].[Blocs].[All]" allUniqueName="[Geography].[Blocs].[All]" dimensionUniqueName="[Geography]" displayFolder="" count="4" unbalanced="0">
      <fieldsUsage count="4">
        <fieldUsage x="-1"/>
        <fieldUsage x="4"/>
        <fieldUsage x="5"/>
        <fieldUsage x="6"/>
      </fieldsUsage>
    </cacheHierarchy>
    <cacheHierarchy uniqueName="[Geography].[GeoEconomic Region]" caption="GeoEconomic Region" defaultMemberUniqueName="[Geography].[GeoEconomic Region].[All]" allUniqueName="[Geography].[GeoEconomic Region].[All]" dimensionUniqueName="[Geography]" displayFolder="" count="0" unbalanced="0"/>
    <cacheHierarchy uniqueName="[Geography].[Penn Availability]" caption="Penn Availability" defaultMemberUniqueName="[Geography].[Penn Availability].[All]" allUniqueName="[Geography].[Penn Availability].[All]" dimensionUniqueName="[Geography]" displayFolder="" count="0" unbalanced="0"/>
    <cacheHierarchy uniqueName="[Geography].[WDI Availability]" caption="WDI Availability" defaultMemberUniqueName="[Geography].[WDI Availability].[All]" allUniqueName="[Geography].[WDI Availability].[All]" dimensionUniqueName="[Geography]" displayFolder="" count="4" unbalanced="0">
      <fieldsUsage count="4">
        <fieldUsage x="-1"/>
        <fieldUsage x="7"/>
        <fieldUsage x="8"/>
        <fieldUsage x="9"/>
      </fieldsUsage>
    </cacheHierarchy>
    <cacheHierarchy uniqueName="[Indicator Detail].[Accounting Basis (net/gross,paid/received, etc)]" caption="Accounting Basis (net/gross,paid/received, etc)" attribute="1" defaultMemberUniqueName="[Indicator Detail].[Accounting Basis (net/gross,paid/received, etc)].[All]" allUniqueName="[Indicator Detail].[Accounting Basis (net/gross,paid/received, etc)].[All]" dimensionUniqueName="[Indicator Detail]" displayFolder="" count="0" unbalanced="0"/>
    <cacheHierarchy uniqueName="[Indicator Detail].[Industrial Sector (Agriculture/Manufacturing/etc)]" caption="Industrial Sector (Agriculture/Manufacturing/etc)" attribute="1" defaultMemberUniqueName="[Indicator Detail].[Industrial Sector (Agriculture/Manufacturing/etc)].[All]" allUniqueName="[Indicator Detail].[Industrial Sector (Agriculture/Manufacturing/etc)].[All]" dimensionUniqueName="[Indicator Detail]" displayFolder="" count="2" unbalanced="0">
      <fieldsUsage count="2">
        <fieldUsage x="-1"/>
        <fieldUsage x="14"/>
      </fieldsUsage>
    </cacheHierarchy>
    <cacheHierarchy uniqueName="[Indicator Detail].[Units]" caption="Units" defaultMemberUniqueName="[Indicator Detail].[Units].[All]" allUniqueName="[Indicator Detail].[Units].[All]" dimensionUniqueName="[Indicator Detail]" displayFolder="" count="5" unbalanced="0">
      <fieldsUsage count="5">
        <fieldUsage x="-1"/>
        <fieldUsage x="10"/>
        <fieldUsage x="11"/>
        <fieldUsage x="12"/>
        <fieldUsage x="13"/>
      </fieldsUsage>
    </cacheHierarchy>
    <cacheHierarchy uniqueName="[Data].[Accounting Basis]" caption="Accounting Basis" attribute="1" defaultMemberUniqueName="[Data].[Accounting Basis].[All]" allUniqueName="[Data].[Accounting Basis].[All]" dimensionUniqueName="[Data]" displayFolder="" count="0" unbalanced="0" hidden="1"/>
    <cacheHierarchy uniqueName="[Data].[Balance of Payments]" caption="Balance of Payments" attribute="1" defaultMemberUniqueName="[Data].[Balance of Payments].[All]" allUniqueName="[Data].[Balance of Payments].[All]" dimensionUniqueName="[Data]" displayFolder="" count="0" unbalanced="0" hidden="1"/>
    <cacheHierarchy uniqueName="[Data].[DateField]" caption="DateField" attribute="1" defaultMemberUniqueName="[Data].[DateField].[All]" allUniqueName="[Data].[DateField].[All]" dimensionUniqueName="[Data]" displayFolder="" count="0" unbalanced="0" hidden="1"/>
    <cacheHierarchy uniqueName="[Data].[DimGeoID]" caption="DimGeoID" attribute="1" defaultMemberUniqueName="[Data].[DimGeoID].[All]" allUniqueName="[Data].[DimGeoID].[All]" dimensionUniqueName="[Data]" displayFolder="" count="0" unbalanced="0" hidden="1"/>
    <cacheHierarchy uniqueName="[Data].[DimIndicatorID]" caption="DimIndicatorID" attribute="1" defaultMemberUniqueName="[Data].[DimIndicatorID].[All]" allUniqueName="[Data].[DimIndicatorID].[All]" dimensionUniqueName="[Data]" displayFolder="" count="0" unbalanced="0" hidden="1"/>
    <cacheHierarchy uniqueName="[Data].[DimSourceID]" caption="DimSourceID" attribute="1" defaultMemberUniqueName="[Data].[DimSourceID].[All]" allUniqueName="[Data].[DimSourceID].[All]" dimensionUniqueName="[Data]" displayFolder="" count="0" unbalanced="0" hidden="1"/>
    <cacheHierarchy uniqueName="[Data].[FactID]" caption="FactID" attribute="1" defaultMemberUniqueName="[Data].[FactID].[All]" allUniqueName="[Data].[FactID].[All]" dimensionUniqueName="[Data]" displayFolder="" count="0" unbalanced="0" hidden="1"/>
    <cacheHierarchy uniqueName="[Data].[Indicator_Type]" caption="Indicator_Type" attribute="1" defaultMemberUniqueName="[Data].[Indicator_Type].[All]" allUniqueName="[Data].[Indicator_Type].[All]" dimensionUniqueName="[Data]" displayFolder="" count="0" unbalanced="0" hidden="1"/>
    <cacheHierarchy uniqueName="[Data].[IndicatorSourceDescription]" caption="IndicatorSourceDescription" attribute="1" defaultMemberUniqueName="[Data].[IndicatorSourceDescription].[All]" allUniqueName="[Data].[IndicatorSourceDescription].[All]" dimensionUniqueName="[Data]" displayFolder="" count="0" unbalanced="0" hidden="1"/>
    <cacheHierarchy uniqueName="[Data].[IndicatorStandardNamesID]" caption="IndicatorStandardNamesID" attribute="1" defaultMemberUniqueName="[Data].[IndicatorStandardNamesID].[All]" allUniqueName="[Data].[IndicatorStandardNamesID].[All]" dimensionUniqueName="[Data]" displayFolder="" count="0" unbalanced="0" hidden="1"/>
    <cacheHierarchy uniqueName="[Data].[Nation]" caption="Nation" attribute="1" defaultMemberUniqueName="[Data].[Nation].[All]" allUniqueName="[Data].[Nation].[All]" dimensionUniqueName="[Data]" displayFolder="" count="0" unbalanced="0" hidden="1"/>
    <cacheHierarchy uniqueName="[Data].[Output Definition]" caption="Output Definition" attribute="1" defaultMemberUniqueName="[Data].[Output Definition].[All]" allUniqueName="[Data].[Output Definition].[All]" dimensionUniqueName="[Data]" displayFolder="" count="0" unbalanced="0" hidden="1"/>
    <cacheHierarchy uniqueName="[Data].[Population]" caption="Population" attribute="1" defaultMemberUniqueName="[Data].[Population].[All]" allUniqueName="[Data].[Population].[All]" dimensionUniqueName="[Data]" displayFolder="" count="0" unbalanced="0" hidden="1"/>
    <cacheHierarchy uniqueName="[Data].[Source]" caption="Source" attribute="1" defaultMemberUniqueName="[Data].[Source].[All]" allUniqueName="[Data].[Source].[All]" dimensionUniqueName="[Data]" displayFolder="" count="0" unbalanced="0" hidden="1"/>
    <cacheHierarchy uniqueName="[Data].[Value]" caption="Value" attribute="1" defaultMemberUniqueName="[Data].[Value].[All]" allUniqueName="[Data].[Value].[All]" dimensionUniqueName="[Data]" displayFolder="" count="0" unbalanced="0" hidden="1"/>
    <cacheHierarchy uniqueName="[Dates].[CalendarKey]" caption="CalendarKey" attribute="1" defaultMemberUniqueName="[Dates].[CalendarKey].[All]" allUniqueName="[Dates].[CalendarKey].[All]" dimensionUniqueName="[Dates]" displayFolder="" count="0" unbalanced="0" hidden="1"/>
    <cacheHierarchy uniqueName="[Dates].[Date]" caption="Date" attribute="1" defaultMemberUniqueName="[Dates].[Date].[All]" allUniqueName="[Dates].[Date].[All]" dimensionUniqueName="[Dates]" displayFolder="" count="0" unbalanced="0" hidden="1"/>
    <cacheHierarchy uniqueName="[Geography].[Country]" caption="Country" attribute="1" defaultMemberUniqueName="[Geography].[Country].[All]" allUniqueName="[Geography].[Country].[All]" dimensionUniqueName="[Geography]" displayFolder="" count="0" unbalanced="0" hidden="1"/>
    <cacheHierarchy uniqueName="[Geography].[DimGeoID]" caption="DimGeoID" attribute="1" defaultMemberUniqueName="[Geography].[DimGeoID].[All]" allUniqueName="[Geography].[DimGeoID].[All]" dimensionUniqueName="[Geography]" displayFolder="" count="0" unbalanced="0" hidden="1"/>
    <cacheHierarchy uniqueName="[Geography].[GeoEconomic_Region]" caption="GeoEconomic_Region" attribute="1" defaultMemberUniqueName="[Geography].[GeoEconomic_Region].[All]" allUniqueName="[Geography].[GeoEconomic_Region].[All]" dimensionUniqueName="[Geography]" displayFolder="" count="0" unbalanced="0" hidden="1"/>
    <cacheHierarchy uniqueName="[Geography].[Geopolitical_Region]" caption="Geopolitical_Region" attribute="1" defaultMemberUniqueName="[Geography].[Geopolitical_Region].[All]" allUniqueName="[Geography].[Geopolitical_Region].[All]" dimensionUniqueName="[Geography]" displayFolder="" count="0" unbalanced="0" hidden="1"/>
    <cacheHierarchy uniqueName="[Geography].[GeoPolitical_Type]" caption="GeoPolitical_Type" attribute="1" defaultMemberUniqueName="[Geography].[GeoPolitical_Type].[All]" allUniqueName="[Geography].[GeoPolitical_Type].[All]" dimensionUniqueName="[Geography]" displayFolder="" count="0" unbalanced="0" hidden="1"/>
    <cacheHierarchy uniqueName="[Geography].[IMF_main_category]" caption="IMF_main_category" attribute="1" defaultMemberUniqueName="[Geography].[IMF_main_category].[All]" allUniqueName="[Geography].[IMF_main_category].[All]" dimensionUniqueName="[Geography]" displayFolder="" count="0" unbalanced="0" hidden="1"/>
    <cacheHierarchy uniqueName="[Geography].[IMF_sub_category]" caption="IMF_sub_category" attribute="1" defaultMemberUniqueName="[Geography].[IMF_sub_category].[All]" allUniqueName="[Geography].[IMF_sub_category].[All]" dimensionUniqueName="[Geography]" displayFolder="" count="0" unbalanced="0" hidden="1"/>
    <cacheHierarchy uniqueName="[Geography].[MACROHISTORY_Geography]" caption="MACROHISTORY_Geography" attribute="1" defaultMemberUniqueName="[Geography].[MACROHISTORY_Geography].[All]" allUniqueName="[Geography].[MACROHISTORY_Geography].[All]" dimensionUniqueName="[Geography]" displayFolder="" count="0" unbalanced="0" hidden="1"/>
    <cacheHierarchy uniqueName="[Geography].[Major_Blocs]" caption="Major_Blocs" attribute="1" defaultMemberUniqueName="[Geography].[Major_Blocs].[All]" allUniqueName="[Geography].[Major_Blocs].[All]" dimensionUniqueName="[Geography]" displayFolder="" count="0" unbalanced="0" hidden="1"/>
    <cacheHierarchy uniqueName="[Geography].[Nation]" caption="Nation" attribute="1" defaultMemberUniqueName="[Geography].[Nation].[All]" allUniqueName="[Geography].[Nation].[All]" dimensionUniqueName="[Geography]" displayFolder="" count="0" unbalanced="0" hidden="1"/>
    <cacheHierarchy uniqueName="[Geography].[penn_availability]" caption="penn_availability" attribute="1" defaultMemberUniqueName="[Geography].[penn_availability].[All]" allUniqueName="[Geography].[penn_availability].[All]" dimensionUniqueName="[Geography]" displayFolder="" count="0" unbalanced="0" hidden="1"/>
    <cacheHierarchy uniqueName="[Geography].[Size]" caption="Size" attribute="1" defaultMemberUniqueName="[Geography].[Size].[All]" allUniqueName="[Geography].[Size].[All]" dimensionUniqueName="[Geography]" displayFolder="" count="0" unbalanced="0" hidden="1"/>
    <cacheHierarchy uniqueName="[Geography].[wdi_availability]" caption="wdi_availability" attribute="1" defaultMemberUniqueName="[Geography].[wdi_availability].[All]" allUniqueName="[Geography].[wdi_availability].[All]" dimensionUniqueName="[Geography]" displayFolder="" count="0" unbalanced="0" hidden="1"/>
    <cacheHierarchy uniqueName="[Geography].[WID_Geography]" caption="WID_Geography" attribute="1" defaultMemberUniqueName="[Geography].[WID_Geography].[All]" allUniqueName="[Geography].[WID_Geography].[All]" dimensionUniqueName="[Geography]" displayFolder="" count="0" unbalanced="0" hidden="1"/>
    <cacheHierarchy uniqueName="[Indicator Detail].[balance_of_payments_component]" caption="balance_of_payments_component" attribute="1" defaultMemberUniqueName="[Indicator Detail].[balance_of_payments_component].[All]" allUniqueName="[Indicator Detail].[balance_of_payments_component].[All]" dimensionUniqueName="[Indicator Detail]" displayFolder="" count="0" unbalanced="0" hidden="1"/>
    <cacheHierarchy uniqueName="[Indicator Detail].[capital_component]" caption="capital_component" attribute="1" defaultMemberUniqueName="[Indicator Detail].[capital_component].[All]" allUniqueName="[Indicator Detail].[capital_component].[All]" dimensionUniqueName="[Indicator Detail]" displayFolder="" count="0" unbalanced="0" hidden="1"/>
    <cacheHierarchy uniqueName="[Indicator Detail].[DimIndicatorID]" caption="DimIndicatorID" attribute="1" defaultMemberUniqueName="[Indicator Detail].[DimIndicatorID].[All]" allUniqueName="[Indicator Detail].[DimIndicatorID].[All]" dimensionUniqueName="[Indicator Detail]" displayFolder="" count="0" unbalanced="0" hidden="1"/>
    <cacheHierarchy uniqueName="[Indicator Detail].[gdp_expenditure_component]" caption="gdp_expenditure_component" attribute="1" defaultMemberUniqueName="[Indicator Detail].[gdp_expenditure_component].[All]" allUniqueName="[Indicator Detail].[gdp_expenditure_component].[All]" dimensionUniqueName="[Indicator Detail]" displayFolder="" count="0" unbalanced="0" hidden="1"/>
    <cacheHierarchy uniqueName="[Indicator Detail].[indicator_dimension]" caption="indicator_dimension" attribute="1" defaultMemberUniqueName="[Indicator Detail].[indicator_dimension].[All]" allUniqueName="[Indicator Detail].[indicator_dimension].[All]" dimensionUniqueName="[Indicator Detail]" displayFolder="" count="0" unbalanced="0" hidden="1"/>
    <cacheHierarchy uniqueName="[Indicator Detail].[indicator_metrics]" caption="indicator_metrics" attribute="1" defaultMemberUniqueName="[Indicator Detail].[indicator_metrics].[All]" allUniqueName="[Indicator Detail].[indicator_metrics].[All]" dimensionUniqueName="[Indicator Detail]" displayFolder="" count="0" unbalanced="0" hidden="1"/>
    <cacheHierarchy uniqueName="[Indicator Detail].[indicator_type]" caption="indicator_type" attribute="1" defaultMemberUniqueName="[Indicator Detail].[indicator_type].[All]" allUniqueName="[Indicator Detail].[indicator_type].[All]" dimensionUniqueName="[Indicator Detail]" displayFolder="" count="0" unbalanced="0" hidden="1"/>
    <cacheHierarchy uniqueName="[Indicator Detail].[indicator_units]" caption="indicator_units" attribute="1" defaultMemberUniqueName="[Indicator Detail].[indicator_units].[All]" allUniqueName="[Indicator Detail].[indicator_units].[All]" dimensionUniqueName="[Indicator Detail]" displayFolder="" count="0" unbalanced="0" hidden="1"/>
    <cacheHierarchy uniqueName="[Indicator Detail].[IndicatorStandardName]" caption="IndicatorStandardName" attribute="1" defaultMemberUniqueName="[Indicator Detail].[IndicatorStandardName].[All]" allUniqueName="[Indicator Detail].[IndicatorStandardName].[All]" dimensionUniqueName="[Indicator Detail]" displayFolder="" count="0" unbalanced="0" hidden="1"/>
    <cacheHierarchy uniqueName="[Indicator Detail].[measure_type]" caption="measure_type" attribute="1" defaultMemberUniqueName="[Indicator Detail].[measure_type].[All]" allUniqueName="[Indicator Detail].[measure_type].[All]" dimensionUniqueName="[Indicator Detail]" displayFolder="" count="0" unbalanced="0" hidden="1"/>
    <cacheHierarchy uniqueName="[Indicator Detail].[other_indicator_description]" caption="other_indicator_description" attribute="1" defaultMemberUniqueName="[Indicator Detail].[other_indicator_description].[All]" allUniqueName="[Indicator Detail].[other_indicator_description].[All]" dimensionUniqueName="[Indicator Detail]" displayFolder="" count="0" unbalanced="0" hidden="1"/>
    <cacheHierarchy uniqueName="[Indicator Detail].[output_definition]" caption="output_definition" attribute="1" defaultMemberUniqueName="[Indicator Detail].[output_definition].[All]" allUniqueName="[Indicator Detail].[output_definition].[All]" dimensionUniqueName="[Indicator Detail]" displayFolder="" count="0" unbalanced="0" hidden="1"/>
    <cacheHierarchy uniqueName="[Indicator Detail].[population_component]" caption="population_component" attribute="1" defaultMemberUniqueName="[Indicator Detail].[population_component].[All]" allUniqueName="[Indicator Detail].[population_component].[All]" dimensionUniqueName="[Indicator Detail]" displayFolder="" count="0" unbalanced="0" hidden="1"/>
    <cacheHierarchy uniqueName="[Indicator Detail].[source_component]" caption="source_component" attribute="1" defaultMemberUniqueName="[Indicator Detail].[source_component].[All]" allUniqueName="[Indicator Detail].[source_component].[All]" dimensionUniqueName="[Indicator Detail]" displayFolder="" count="0" unbalanced="0" hidden="1"/>
    <cacheHierarchy uniqueName="[IndicatorStandardNames].[IndicatorSource]" caption="IndicatorSource" attribute="1" defaultMemberUniqueName="[IndicatorStandardNames].[IndicatorSource].[All]" allUniqueName="[IndicatorStandardNames].[IndicatorSource].[All]" dimensionUniqueName="[IndicatorStandardNames]" displayFolder="" count="0" unbalanced="0" hidden="1"/>
    <cacheHierarchy uniqueName="[IndicatorStandardNames].[IndicatorSourceCode]" caption="IndicatorSourceCode" attribute="1" defaultMemberUniqueName="[IndicatorStandardNames].[IndicatorSourceCode].[All]" allUniqueName="[IndicatorStandardNames].[IndicatorSourceCode].[All]" dimensionUniqueName="[IndicatorStandardNames]" displayFolder="" count="0" unbalanced="0" hidden="1"/>
    <cacheHierarchy uniqueName="[IndicatorStandardNames].[IndicatorSourceDescription]" caption="IndicatorSourceDescription" attribute="1" defaultMemberUniqueName="[IndicatorStandardNames].[IndicatorSourceDescription].[All]" allUniqueName="[IndicatorStandardNames].[IndicatorSourceDescription].[All]" dimensionUniqueName="[IndicatorStandardNames]" displayFolder="" count="0" unbalanced="0" hidden="1"/>
    <cacheHierarchy uniqueName="[IndicatorStandardNames].[IndicatorStandardName]" caption="IndicatorStandardName" attribute="1" defaultMemberUniqueName="[IndicatorStandardNames].[IndicatorStandardName].[All]" allUniqueName="[IndicatorStandardNames].[IndicatorStandardName].[All]" dimensionUniqueName="[IndicatorStandardNames]" displayFolder="" count="0" unbalanced="0" hidden="1"/>
    <cacheHierarchy uniqueName="[IndicatorStandardNames].[IndicatorStandardNamesID]" caption="IndicatorStandardNamesID" attribute="1" defaultMemberUniqueName="[IndicatorStandardNames].[IndicatorStandardNamesID].[All]" allUniqueName="[IndicatorStandardNames].[IndicatorStandardNamesID].[All]" dimensionUniqueName="[IndicatorStandardNames]" displayFolder="" count="0" unbalanced="0" hidden="1"/>
    <cacheHierarchy uniqueName="[Sources].[DataNotes]" caption="DataNotes" attribute="1" defaultMemberUniqueName="[Sources].[DataNotes].[All]" allUniqueName="[Sources].[DataNotes].[All]" dimensionUniqueName="[Sources]" displayFolder="" count="0" unbalanced="0" hidden="1"/>
    <cacheHierarchy uniqueName="[Sources].[DataOriginFile]" caption="DataOriginFile" attribute="1" defaultMemberUniqueName="[Sources].[DataOriginFile].[All]" allUniqueName="[Sources].[DataOriginFile].[All]" dimensionUniqueName="[Sources]" displayFolder="" count="0" unbalanced="0" hidden="1"/>
    <cacheHierarchy uniqueName="[Sources].[DataOriginURL]" caption="DataOriginURL" attribute="1" defaultMemberUniqueName="[Sources].[DataOriginURL].[All]" allUniqueName="[Sources].[DataOriginURL].[All]" dimensionUniqueName="[Sources]" displayFolder="" count="0" unbalanced="0" hidden="1"/>
    <cacheHierarchy uniqueName="[Sources].[Description]" caption="Description" attribute="1" defaultMemberUniqueName="[Sources].[Description].[All]" allUniqueName="[Sources].[Description].[All]" dimensionUniqueName="[Sources]" displayFolder="" count="0" unbalanced="0" hidden="1"/>
    <cacheHierarchy uniqueName="[Sources].[DimSourceID]" caption="DimSourceID" attribute="1" defaultMemberUniqueName="[Sources].[DimSourceID].[All]" allUniqueName="[Sources].[DimSourceID].[All]" dimensionUniqueName="[Sources]" displayFolder="" count="0" unbalanced="0" hidden="1"/>
    <cacheHierarchy uniqueName="[Sources].[PreparationNotes]" caption="PreparationNotes" attribute="1" defaultMemberUniqueName="[Sources].[PreparationNotes].[All]" allUniqueName="[Sources].[PreparationNotes].[All]" dimensionUniqueName="[Sources]" displayFolder="" count="0" unbalanced="0" hidden="1"/>
    <cacheHierarchy uniqueName="[Sources].[SourceName]" caption="SourceName" attribute="1" defaultMemberUniqueName="[Sources].[SourceName].[All]" allUniqueName="[Sources].[SourceName].[All]" dimensionUniqueName="[Sources]" displayFolder="" count="0" unbalanced="0" hidden="1"/>
    <cacheHierarchy uniqueName="[Sources].[SourceNameDetail]" caption="SourceNameDetail" attribute="1" defaultMemberUniqueName="[Sources].[SourceNameDetail].[All]" allUniqueName="[Sources].[SourceNameDetail].[All]" dimensionUniqueName="[Sources]" displayFolder="" count="0" unbalanced="0" hidden="1"/>
    <cacheHierarchy uniqueName="[Sources].[SourceNameParent]" caption="SourceNameParent" attribute="1" defaultMemberUniqueName="[Sources].[SourceNameParent].[All]" allUniqueName="[Sources].[SourceNameParent].[All]" dimensionUniqueName="[Sources]" displayFolder="" count="0" unbalanced="0" hidden="1"/>
    <cacheHierarchy uniqueName="[Sources].[SourceNotes]" caption="SourceNotes" attribute="1" defaultMemberUniqueName="[Sources].[SourceNotes].[All]" allUniqueName="[Sources].[SourceNotes].[All]" dimensionUniqueName="[Sources]" displayFolder="" count="0" unbalanced="0" hidden="1"/>
    <cacheHierarchy uniqueName="[Measures].[Item]" caption="Item" measure="1" displayFolder="" measureGroup="Data" count="0" oneField="1">
      <fieldsUsage count="1">
        <fieldUsage x="15"/>
      </fieldsUsage>
    </cacheHierarchy>
    <cacheHierarchy uniqueName="[Measures].[Count]" caption="Count" measure="1" displayFolder="" measureGroup="Data" count="0"/>
    <cacheHierarchy uniqueName="[Measures].[__Default measure]" caption="__Default measure" measure="1" displayFolder="" count="0" hidden="1"/>
  </cacheHierarchies>
  <kpis count="0"/>
  <dimensions count="5">
    <dimension name="Data" uniqueName="[Data]" caption="Data"/>
    <dimension name="Dates" uniqueName="[Dates]" caption="Dates"/>
    <dimension name="Geography" uniqueName="[Geography]" caption="Geography"/>
    <dimension name="Indicator Detail" uniqueName="[Indicator Detail]" caption="Indicator Detail"/>
    <dimension measure="1" name="Measures" uniqueName="[Measures]" caption="Measures"/>
  </dimensions>
  <measureGroups count="6">
    <measureGroup name="Data" caption="Data"/>
    <measureGroup name="Dates" caption="Dates"/>
    <measureGroup name="Geography" caption="Geography"/>
    <measureGroup name="Indicator Detail" caption="Indicator Detail"/>
    <measureGroup name="IndicatorStandardNames" caption="IndicatorStandardNames"/>
    <measureGroup name="Sources" caption="Sources"/>
  </measureGroups>
  <maps count="7">
    <map measureGroup="0" dimension="0"/>
    <map measureGroup="0" dimension="1"/>
    <map measureGroup="0" dimension="2"/>
    <map measureGroup="0" dimension="3"/>
    <map measureGroup="1" dimension="1"/>
    <map measureGroup="2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lan Freeman" refreshedDate="44167.800400115739" backgroundQuery="1" createdVersion="3" refreshedVersion="6" minRefreshableVersion="3" recordCount="0" tupleCache="1" supportSubquery="1" supportAdvancedDrill="1" xr:uid="{5FA9F861-3FA8-4DCB-B2BA-CBD15F8C8E43}">
  <cacheSource type="external" connectionId="1"/>
  <cacheFields count="11">
    <cacheField name="[Data].[GDP and other output measures].[Output Definition]" caption="Output Definition" numFmtId="0" hierarchy="2" level="1">
      <sharedItems count="1">
        <s v="[Data].[GDP and other output measures].[Output Definition].&amp;[Expenditure Approach]" c="Expenditure Approach"/>
      </sharedItems>
    </cacheField>
    <cacheField name="[Measures].[MeasuresLevel]" caption="MeasuresLevel" numFmtId="0" hierarchy="13">
      <sharedItems count="1">
        <s v="[Measures].[Item]" c="Item"/>
      </sharedItems>
    </cacheField>
    <cacheField name="[Dates].[Year].[Year]" caption="Year" numFmtId="0" hierarchy="5" level="1">
      <sharedItems count="50">
        <s v="[Dates].[Year].&amp;[1970]" c="1970"/>
        <s v="[Dates].[Year].&amp;[1971]" c="1971"/>
        <s v="[Dates].[Year].&amp;[1972]" c="1972"/>
        <s v="[Dates].[Year].&amp;[1973]" c="1973"/>
        <s v="[Dates].[Year].&amp;[1974]" c="1974"/>
        <s v="[Dates].[Year].&amp;[1975]" c="1975"/>
        <s v="[Dates].[Year].&amp;[1976]" c="1976"/>
        <s v="[Dates].[Year].&amp;[1977]" c="1977"/>
        <s v="[Dates].[Year].&amp;[1978]" c="1978"/>
        <s v="[Dates].[Year].&amp;[1979]" c="1979"/>
        <s v="[Dates].[Year].&amp;[1980]" c="1980"/>
        <s v="[Dates].[Year].&amp;[1981]" c="1981"/>
        <s v="[Dates].[Year].&amp;[1982]" c="1982"/>
        <s v="[Dates].[Year].&amp;[1983]" c="1983"/>
        <s v="[Dates].[Year].&amp;[1984]" c="1984"/>
        <s v="[Dates].[Year].&amp;[1985]" c="1985"/>
        <s v="[Dates].[Year].&amp;[1986]" c="1986"/>
        <s v="[Dates].[Year].&amp;[1987]" c="1987"/>
        <s v="[Dates].[Year].&amp;[1988]" c="1988"/>
        <s v="[Dates].[Year].&amp;[1989]" c="1989"/>
        <s v="[Dates].[Year].&amp;[1990]" c="1990"/>
        <s v="[Dates].[Year].&amp;[1991]" c="1991"/>
        <s v="[Dates].[Year].&amp;[1992]" c="1992"/>
        <s v="[Dates].[Year].&amp;[1993]" c="1993"/>
        <s v="[Dates].[Year].&amp;[1994]" c="1994"/>
        <s v="[Dates].[Year].&amp;[1995]" c="1995"/>
        <s v="[Dates].[Year].&amp;[1996]" c="1996"/>
        <s v="[Dates].[Year].&amp;[1997]" c="1997"/>
        <s v="[Dates].[Year].&amp;[1998]" c="1998"/>
        <s v="[Dates].[Year].&amp;[1999]" c="1999"/>
        <s v="[Dates].[Year].&amp;[2000]" c="2000"/>
        <s v="[Dates].[Year].&amp;[2001]" c="2001"/>
        <s v="[Dates].[Year].&amp;[2002]" c="2002"/>
        <s v="[Dates].[Year].&amp;[2003]" c="2003"/>
        <s v="[Dates].[Year].&amp;[2004]" c="2004"/>
        <s v="[Dates].[Year].&amp;[2005]" c="2005"/>
        <s v="[Dates].[Year].&amp;[2006]" c="2006"/>
        <s v="[Dates].[Year].&amp;[2007]" c="2007"/>
        <s v="[Dates].[Year].&amp;[2008]" c="2008"/>
        <s v="[Dates].[Year].&amp;[2009]" c="2009"/>
        <s v="[Dates].[Year].&amp;[2010]" c="2010"/>
        <s v="[Dates].[Year].&amp;[2011]" c="2011"/>
        <s v="[Dates].[Year].&amp;[2012]" c="2012"/>
        <s v="[Dates].[Year].&amp;[2013]" c="2013"/>
        <s v="[Dates].[Year].&amp;[2014]" c="2014"/>
        <s v="[Dates].[Year].&amp;[2015]" c="2015"/>
        <s v="[Dates].[Year].&amp;[2016]" c="2016"/>
        <s v="[Dates].[Year].&amp;[2017]" c="2017"/>
        <s v="[Dates].[Year].&amp;[2018]" c="2018"/>
        <s v="[Dates].[Year].&amp;[2019]" c="2019"/>
      </sharedItems>
    </cacheField>
    <cacheField name="[Geography].[Blocs].[Major_Blocs]" caption="Major_Blocs" numFmtId="0" hierarchy="6" level="1">
      <sharedItems count="3">
        <s v="[Geography].[Blocs].[Major_Blocs].&amp;[China Mainland]" c="China Mainland"/>
        <s v="[Geography].[Blocs].[Major_Blocs].&amp;[North]" c="North"/>
        <s v="[Geography].[Blocs].[Major_Blocs].&amp;[South]" c="South"/>
      </sharedItems>
    </cacheField>
    <cacheField name="[Geography].[Blocs].[Country]" caption="Country" numFmtId="0" hierarchy="6" level="2">
      <sharedItems count="103">
        <s v="[Geography].[Blocs].[Country].&amp;[Andorra]" c="Andorra"/>
        <s v="[Geography].[Blocs].[Country].&amp;[Australia]" c="Australia"/>
        <s v="[Geography].[Blocs].[Country].&amp;[Austria]" c="Austria"/>
        <s v="[Geography].[Blocs].[Country].&amp;[Belgium]" c="Belgium"/>
        <s v="[Geography].[Blocs].[Country].&amp;[Canada]" c="Canada"/>
        <s v="[Geography].[Blocs].[Country].&amp;[Denmark]" c="Denmark"/>
        <s v="[Geography].[Blocs].[Country].&amp;[Finland]" c="Finland"/>
        <s v="[Geography].[Blocs].[Country].&amp;[France]" c="France"/>
        <s v="[Geography].[Blocs].[Country].&amp;[Germany]" c="Germany"/>
        <s v="[Geography].[Blocs].[Country].&amp;[Greece]" c="Greece"/>
        <s v="[Geography].[Blocs].[Country].&amp;[Iceland]" c="Iceland"/>
        <s v="[Geography].[Blocs].[Country].&amp;[Ireland]" c="Ireland"/>
        <s v="[Geography].[Blocs].[Country].&amp;[Israel]" c="Israel"/>
        <s v="[Geography].[Blocs].[Country].&amp;[Italy]" c="Italy"/>
        <s v="[Geography].[Blocs].[Country].&amp;[Japan]" c="Japan"/>
        <s v="[Geography].[Blocs].[Country].&amp;[Luxemburg]" c="Luxemburg"/>
        <s v="[Geography].[Blocs].[Country].&amp;[Malta]" c="Malta"/>
        <s v="[Geography].[Blocs].[Country].&amp;[Netherlands]" c="Netherlands"/>
        <s v="[Geography].[Blocs].[Country].&amp;[New Zealand]" c="New Zealand"/>
        <s v="[Geography].[Blocs].[Country].&amp;[Norway]" c="Norway"/>
        <s v="[Geography].[Blocs].[Country].&amp;[Portugal]" c="Portugal"/>
        <s v="[Geography].[Blocs].[Country].&amp;[Singapore]" c="Singapore"/>
        <s v="[Geography].[Blocs].[Country].&amp;[South Korea]" c="South Korea"/>
        <s v="[Geography].[Blocs].[Country].&amp;[Spain]" c="Spain"/>
        <s v="[Geography].[Blocs].[Country].&amp;[Sweden]" c="Sweden"/>
        <s v="[Geography].[Blocs].[Country].&amp;[Switzerland]" c="Switzerland"/>
        <s v="[Geography].[Blocs].[Country].&amp;[United Kingdom]" c="United Kingdom"/>
        <s v="[Geography].[Blocs].[Country].&amp;[United States]" c="United States"/>
        <s v="[Geography].[Blocs].[Country].&amp;[Algeria]" c="Algeria"/>
        <s v="[Geography].[Blocs].[Country].&amp;[Argentina]" c="Argentina"/>
        <s v="[Geography].[Blocs].[Country].&amp;[Bahamas]" c="Bahamas"/>
        <s v="[Geography].[Blocs].[Country].&amp;[Bangladesh]" c="Bangladesh"/>
        <s v="[Geography].[Blocs].[Country].&amp;[Belize]" c="Belize"/>
        <s v="[Geography].[Blocs].[Country].&amp;[Benin]" c="Benin"/>
        <s v="[Geography].[Blocs].[Country].&amp;[Bolivia]" c="Bolivia"/>
        <s v="[Geography].[Blocs].[Country].&amp;[Botswana]" c="Botswana"/>
        <s v="[Geography].[Blocs].[Country].&amp;[Brazil]" c="Brazil"/>
        <s v="[Geography].[Blocs].[Country].&amp;[Burkina Faso]" c="Burkina Faso"/>
        <s v="[Geography].[Blocs].[Country].&amp;[Burundi]" c="Burundi"/>
        <s v="[Geography].[Blocs].[Country].&amp;[Cameroon]" c="Cameroon"/>
        <s v="[Geography].[Blocs].[Country].&amp;[Central African Republic]" c="Central African Republic"/>
        <s v="[Geography].[Blocs].[Country].&amp;[Chad]" c="Chad"/>
        <s v="[Geography].[Blocs].[Country].&amp;[Chile]" c="Chile"/>
        <s v="[Geography].[Blocs].[Country].&amp;[Colombia]" c="Colombia"/>
        <s v="[Geography].[Blocs].[Country].&amp;[Congo DR]" c="Congo DR"/>
        <s v="[Geography].[Blocs].[Country].&amp;[Congo R]" c="Congo R"/>
        <s v="[Geography].[Blocs].[Country].&amp;[Costa Rica]" c="Costa Rica"/>
        <s v="[Geography].[Blocs].[Country].&amp;[Cote d'Ivoire]" c="Cote d'Ivoire"/>
        <s v="[Geography].[Blocs].[Country].&amp;[Dominican Republic]" c="Dominican Republic"/>
        <s v="[Geography].[Blocs].[Country].&amp;[Ecuador]" c="Ecuador"/>
        <s v="[Geography].[Blocs].[Country].&amp;[El Salvador]" c="El Salvador"/>
        <s v="[Geography].[Blocs].[Country].&amp;[Fiji]" c="Fiji"/>
        <s v="[Geography].[Blocs].[Country].&amp;[Gabon]" c="Gabon"/>
        <s v="[Geography].[Blocs].[Country].&amp;[Gambia]" c="Gambia"/>
        <s v="[Geography].[Blocs].[Country].&amp;[Ghana]" c="Ghana"/>
        <s v="[Geography].[Blocs].[Country].&amp;[Guatemala]" c="Guatemala"/>
        <s v="[Geography].[Blocs].[Country].&amp;[Guinea-Bissau]" c="Guinea-Bissau"/>
        <s v="[Geography].[Blocs].[Country].&amp;[Guyana]" c="Guyana"/>
        <s v="[Geography].[Blocs].[Country].&amp;[Haiti]" c="Haiti"/>
        <s v="[Geography].[Blocs].[Country].&amp;[Honduras]" c="Honduras"/>
        <s v="[Geography].[Blocs].[Country].&amp;[India]" c="India"/>
        <s v="[Geography].[Blocs].[Country].&amp;[Iraq]" c="Iraq"/>
        <s v="[Geography].[Blocs].[Country].&amp;[Jamaica]" c="Jamaica"/>
        <s v="[Geography].[Blocs].[Country].&amp;[Kenya]" c="Kenya"/>
        <s v="[Geography].[Blocs].[Country].&amp;[Kiribati]" c="Kiribati"/>
        <s v="[Geography].[Blocs].[Country].&amp;[Lesotho]" c="Lesotho"/>
        <s v="[Geography].[Blocs].[Country].&amp;[Madagascar]" c="Madagascar"/>
        <s v="[Geography].[Blocs].[Country].&amp;[Malawi]" c="Malawi"/>
        <s v="[Geography].[Blocs].[Country].&amp;[Malaysia]" c="Malaysia"/>
        <s v="[Geography].[Blocs].[Country].&amp;[Mali]" c="Mali"/>
        <s v="[Geography].[Blocs].[Country].&amp;[Mauritania]" c="Mauritania"/>
        <s v="[Geography].[Blocs].[Country].&amp;[Mexico]" c="Mexico"/>
        <s v="[Geography].[Blocs].[Country].&amp;[Morocco]" c="Morocco"/>
        <s v="[Geography].[Blocs].[Country].&amp;[Nepal]" c="Nepal"/>
        <s v="[Geography].[Blocs].[Country].&amp;[Nicaragua]" c="Nicaragua"/>
        <s v="[Geography].[Blocs].[Country].&amp;[Niger]" c="Niger"/>
        <s v="[Geography].[Blocs].[Country].&amp;[Nigeria]" c="Nigeria"/>
        <s v="[Geography].[Blocs].[Country].&amp;[Oman]" c="Oman"/>
        <s v="[Geography].[Blocs].[Country].&amp;[Pakistan]" c="Pakistan"/>
        <s v="[Geography].[Blocs].[Country].&amp;[Panama]" c="Panama"/>
        <s v="[Geography].[Blocs].[Country].&amp;[Papua New Guinea]" c="Papua New Guinea"/>
        <s v="[Geography].[Blocs].[Country].&amp;[Paraguay]" c="Paraguay"/>
        <s v="[Geography].[Blocs].[Country].&amp;[Peru]" c="Peru"/>
        <s v="[Geography].[Blocs].[Country].&amp;[Philippines]" c="Philippines"/>
        <s v="[Geography].[Blocs].[Country].&amp;[Puerto Rico]" c="Puerto Rico"/>
        <s v="[Geography].[Blocs].[Country].&amp;[Rwanda]" c="Rwanda"/>
        <s v="[Geography].[Blocs].[Country].&amp;[Saudi Arabia]" c="Saudi Arabia"/>
        <s v="[Geography].[Blocs].[Country].&amp;[Senegal]" c="Senegal"/>
        <s v="[Geography].[Blocs].[Country].&amp;[Seychelles]" c="Seychelles"/>
        <s v="[Geography].[Blocs].[Country].&amp;[Sierra Leone]" c="Sierra Leone"/>
        <s v="[Geography].[Blocs].[Country].&amp;[South Africa]" c="South Africa"/>
        <s v="[Geography].[Blocs].[Country].&amp;[Sri Lanka]" c="Sri Lanka"/>
        <s v="[Geography].[Blocs].[Country].&amp;[Sudan (Former)]" c="Sudan (Former)"/>
        <s v="[Geography].[Blocs].[Country].&amp;[Suriname]" c="Suriname"/>
        <s v="[Geography].[Blocs].[Country].&amp;[Swaziland]" c="Swaziland"/>
        <s v="[Geography].[Blocs].[Country].&amp;[Thailand]" c="Thailand"/>
        <s v="[Geography].[Blocs].[Country].&amp;[Togo]" c="Togo"/>
        <s v="[Geography].[Blocs].[Country].&amp;[Trinidad and Tobago]" c="Trinidad and Tobago"/>
        <s v="[Geography].[Blocs].[Country].&amp;[Tunisia]" c="Tunisia"/>
        <s v="[Geography].[Blocs].[Country].&amp;[Turkey]" c="Turkey"/>
        <s v="[Geography].[Blocs].[Country].&amp;[Uruguay]" c="Uruguay"/>
        <s v="[Geography].[Blocs].[Country].&amp;[Zambia]" c="Zambia"/>
        <s v="[Geography].[Blocs].[Country].&amp;[Zimbabwe]" c="Zimbabwe"/>
      </sharedItems>
    </cacheField>
    <cacheField name="[Data].[Original Source Data].[Source]" caption="Source" numFmtId="0" hierarchy="4" level="1">
      <sharedItems count="1">
        <s v="[Data].[Original Source Data].[Source].&amp;[WDI2020]" c="WDI2020"/>
      </sharedItems>
    </cacheField>
    <cacheField name="[Geography].[WDI Availability].[wdi_availability]" caption="wdi_availability" numFmtId="0" hierarchy="9" level="1">
      <sharedItems count="1">
        <s v="[Geography].[WDI Availability].[wdi_availability].&amp;[From 1960]" c="From 1960"/>
      </sharedItems>
    </cacheField>
    <cacheField name="[Indicator Detail].[Units].[Measure Type (Stock/Flow/etc)]" caption="Measure Type (Stock/Flow/etc)" numFmtId="0" hierarchy="12" level="1">
      <sharedItems containsSemiMixedTypes="0" containsString="0"/>
    </cacheField>
    <cacheField name="[Indicator Detail].[Units].[Dimension (Money/Quantity/PPP)]" caption="Dimension (Money/Quantity/PPP)" numFmtId="0" hierarchy="12" level="2">
      <sharedItems containsSemiMixedTypes="0" containsString="0"/>
    </cacheField>
    <cacheField name="[Indicator Detail].[Units].[Units (USD/EUR/LCU/etc)]" caption="Units (USD/EUR/LCU/etc)" numFmtId="0" hierarchy="12" level="3">
      <sharedItems count="1">
        <s v="[Indicator Detail].[Units].[Measure Type (Stock/Flow/etc)].&amp;[Flow].&amp;[Money].&amp;[USD]" c="USD"/>
      </sharedItems>
    </cacheField>
    <cacheField name="[Indicator Detail].[Industrial Sector (Agriculture/Manufacturing/etc)].[Industrial Sector (Agriculture/Manufacturing/etc)]" caption="Industrial Sector (Agriculture/Manufacturing/etc)" numFmtId="0" hierarchy="11" level="1">
      <sharedItems count="1">
        <s v="[Indicator Detail].[Industrial Sector (Agriculture/Manufacturing/etc)].&amp;[Whole economy]" c="Whole economy"/>
      </sharedItems>
    </cacheField>
  </cacheFields>
  <cacheHierarchies count="77">
    <cacheHierarchy uniqueName="[Data].[Balance of Payments Component]" caption="Balance of Payments Component" defaultMemberUniqueName="[Data].[Balance of Payments Component].[All]" allUniqueName="[Data].[Balance of Payments Component].[All]" dimensionUniqueName="[Data]" displayFolder="" count="2" unbalanced="0"/>
    <cacheHierarchy uniqueName="[Data].[Demographics]" caption="Demographics" defaultMemberUniqueName="[Data].[Demographics].[All]" allUniqueName="[Data].[Demographics].[All]" dimensionUniqueName="[Data]" displayFolder="" count="2" unbalanced="0"/>
    <cacheHierarchy uniqueName="[Data].[GDP and other output measures]" caption="GDP and other output measures" defaultMemberUniqueName="[Data].[GDP and other output measures].[All]" allUniqueName="[Data].[GDP and other output measures].[All]" dimensionUniqueName="[Data]" displayFolder="" count="2" unbalanced="0">
      <fieldsUsage count="2">
        <fieldUsage x="-1"/>
        <fieldUsage x="0"/>
      </fieldsUsage>
    </cacheHierarchy>
    <cacheHierarchy uniqueName="[Data].[Indicator Source and Code]" caption="Indicator Source and Code" attribute="1" defaultMemberUniqueName="[Data].[Indicator Source and Code].[All]" allUniqueName="[Data].[Indicator Source and Code].[All]" dimensionUniqueName="[Data]" displayFolder="" count="2" unbalanced="0"/>
    <cacheHierarchy uniqueName="[Data].[Original Source Data]" caption="Original Source Data" defaultMemberUniqueName="[Data].[Original Source Data].[All]" allUniqueName="[Data].[Original Source Data].[All]" dimensionUniqueName="[Data]" displayFolder="" count="3" unbalanced="0">
      <fieldsUsage count="2">
        <fieldUsage x="-1"/>
        <fieldUsage x="5"/>
      </fieldsUsage>
    </cacheHierarchy>
    <cacheHierarchy uniqueName="[Dates].[Year]" caption="Year" attribute="1" defaultMemberUniqueName="[Dates].[Year].[All]" allUniqueName="[Dates].[Year].[All]" dimensionUniqueName="[Dates]" displayFolder="" count="2" unbalanced="0">
      <fieldsUsage count="2">
        <fieldUsage x="-1"/>
        <fieldUsage x="2"/>
      </fieldsUsage>
    </cacheHierarchy>
    <cacheHierarchy uniqueName="[Geography].[Blocs]" caption="Blocs" defaultMemberUniqueName="[Geography].[Blocs].[All]" allUniqueName="[Geography].[Blocs].[All]" dimensionUniqueName="[Geography]" displayFolder="" count="4" unbalanced="0">
      <fieldsUsage count="3">
        <fieldUsage x="-1"/>
        <fieldUsage x="3"/>
        <fieldUsage x="4"/>
      </fieldsUsage>
    </cacheHierarchy>
    <cacheHierarchy uniqueName="[Geography].[GeoEconomic Region]" caption="GeoEconomic Region" defaultMemberUniqueName="[Geography].[GeoEconomic Region].[All]" allUniqueName="[Geography].[GeoEconomic Region].[All]" dimensionUniqueName="[Geography]" displayFolder="" count="4" unbalanced="0"/>
    <cacheHierarchy uniqueName="[Geography].[Penn Availability]" caption="Penn Availability" defaultMemberUniqueName="[Geography].[Penn Availability].[All]" allUniqueName="[Geography].[Penn Availability].[All]" dimensionUniqueName="[Geography]" displayFolder="" count="4" unbalanced="0"/>
    <cacheHierarchy uniqueName="[Geography].[WDI Availability]" caption="WDI Availability" defaultMemberUniqueName="[Geography].[WDI Availability].[All]" allUniqueName="[Geography].[WDI Availability].[All]" dimensionUniqueName="[Geography]" displayFolder="" count="4" unbalanced="0">
      <fieldsUsage count="2">
        <fieldUsage x="-1"/>
        <fieldUsage x="6"/>
      </fieldsUsage>
    </cacheHierarchy>
    <cacheHierarchy uniqueName="[Indicator Detail].[Accounting Basis (net/gross,paid/received, etc)]" caption="Accounting Basis (net/gross,paid/received, etc)" attribute="1" defaultMemberUniqueName="[Indicator Detail].[Accounting Basis (net/gross,paid/received, etc)].[All]" allUniqueName="[Indicator Detail].[Accounting Basis (net/gross,paid/received, etc)].[All]" dimensionUniqueName="[Indicator Detail]" displayFolder="" count="2" unbalanced="0"/>
    <cacheHierarchy uniqueName="[Indicator Detail].[Industrial Sector (Agriculture/Manufacturing/etc)]" caption="Industrial Sector (Agriculture/Manufacturing/etc)" attribute="1" defaultMemberUniqueName="[Indicator Detail].[Industrial Sector (Agriculture/Manufacturing/etc)].[All]" allUniqueName="[Indicator Detail].[Industrial Sector (Agriculture/Manufacturing/etc)].[All]" dimensionUniqueName="[Indicator Detail]" displayFolder="" count="2" unbalanced="0">
      <fieldsUsage count="2">
        <fieldUsage x="-1"/>
        <fieldUsage x="10"/>
      </fieldsUsage>
    </cacheHierarchy>
    <cacheHierarchy uniqueName="[Indicator Detail].[Units]" caption="Units" defaultMemberUniqueName="[Indicator Detail].[Units].[All]" allUniqueName="[Indicator Detail].[Units].[All]" dimensionUniqueName="[Indicator Detail]" displayFolder="" count="5" unbalanced="0">
      <fieldsUsage count="4">
        <fieldUsage x="-1"/>
        <fieldUsage x="7"/>
        <fieldUsage x="8"/>
        <fieldUsage x="9"/>
      </fieldsUsage>
    </cacheHierarchy>
    <cacheHierarchy uniqueName="[Measures]" caption="Measures" attribute="1" keyAttribute="1" defaultMemberUniqueName="[Measures].[__Default measure]" dimensionUniqueName="[Measures]" displayFolder="" measures="1" count="1" unbalanced="0">
      <fieldsUsage count="1">
        <fieldUsage x="1"/>
      </fieldsUsage>
    </cacheHierarchy>
    <cacheHierarchy uniqueName="[Data].[Accounting Basis]" caption="Accounting Basis" attribute="1" defaultMemberUniqueName="[Data].[Accounting Basis].[All]" allUniqueName="[Data].[Accounting Basis].[All]" dimensionUniqueName="[Data]" displayFolder="" count="2" unbalanced="0" hidden="1"/>
    <cacheHierarchy uniqueName="[Data].[Balance of Payments]" caption="Balance of Payments" attribute="1" defaultMemberUniqueName="[Data].[Balance of Payments].[All]" allUniqueName="[Data].[Balance of Payments].[All]" dimensionUniqueName="[Data]" displayFolder="" count="2" unbalanced="0" hidden="1"/>
    <cacheHierarchy uniqueName="[Data].[DateField]" caption="DateField" attribute="1" defaultMemberUniqueName="[Data].[DateField].[All]" allUniqueName="[Data].[DateField].[All]" dimensionUniqueName="[Data]" displayFolder="" count="2" unbalanced="0" hidden="1"/>
    <cacheHierarchy uniqueName="[Data].[DimGeoID]" caption="DimGeoID" attribute="1" defaultMemberUniqueName="[Data].[DimGeoID].[All]" allUniqueName="[Data].[DimGeoID].[All]" dimensionUniqueName="[Data]" displayFolder="" count="2" unbalanced="0" hidden="1"/>
    <cacheHierarchy uniqueName="[Data].[DimIndicatorID]" caption="DimIndicatorID" attribute="1" defaultMemberUniqueName="[Data].[DimIndicatorID].[All]" allUniqueName="[Data].[DimIndicatorID].[All]" dimensionUniqueName="[Data]" displayFolder="" count="2" unbalanced="0" hidden="1"/>
    <cacheHierarchy uniqueName="[Data].[DimSourceID]" caption="DimSourceID" attribute="1" defaultMemberUniqueName="[Data].[DimSourceID].[All]" allUniqueName="[Data].[DimSourceID].[All]" dimensionUniqueName="[Data]" displayFolder="" count="2" unbalanced="0" hidden="1"/>
    <cacheHierarchy uniqueName="[Data].[FactID]" caption="FactID" attribute="1" defaultMemberUniqueName="[Data].[FactID].[All]" allUniqueName="[Data].[FactID].[All]" dimensionUniqueName="[Data]" displayFolder="" count="2" unbalanced="0" hidden="1"/>
    <cacheHierarchy uniqueName="[Data].[Indicator_Type]" caption="Indicator_Type" attribute="1" defaultMemberUniqueName="[Data].[Indicator_Type].[All]" allUniqueName="[Data].[Indicator_Type].[All]" dimensionUniqueName="[Data]" displayFolder="" count="2" unbalanced="0" hidden="1"/>
    <cacheHierarchy uniqueName="[Data].[IndicatorSourceDescription]" caption="IndicatorSourceDescription" attribute="1" defaultMemberUniqueName="[Data].[IndicatorSourceDescription].[All]" allUniqueName="[Data].[IndicatorSourceDescription].[All]" dimensionUniqueName="[Data]" displayFolder="" count="2" unbalanced="0" hidden="1"/>
    <cacheHierarchy uniqueName="[Data].[IndicatorStandardNamesID]" caption="IndicatorStandardNamesID" attribute="1" defaultMemberUniqueName="[Data].[IndicatorStandardNamesID].[All]" allUniqueName="[Data].[IndicatorStandardNamesID].[All]" dimensionUniqueName="[Data]" displayFolder="" count="2" unbalanced="0" hidden="1"/>
    <cacheHierarchy uniqueName="[Data].[Nation]" caption="Nation" attribute="1" defaultMemberUniqueName="[Data].[Nation].[All]" allUniqueName="[Data].[Nation].[All]" dimensionUniqueName="[Data]" displayFolder="" count="2" unbalanced="0" hidden="1"/>
    <cacheHierarchy uniqueName="[Data].[Output Definition]" caption="Output Definition" attribute="1" defaultMemberUniqueName="[Data].[Output Definition].[All]" allUniqueName="[Data].[Output Definition].[All]" dimensionUniqueName="[Data]" displayFolder="" count="2" unbalanced="0" hidden="1"/>
    <cacheHierarchy uniqueName="[Data].[Population]" caption="Population" attribute="1" defaultMemberUniqueName="[Data].[Population].[All]" allUniqueName="[Data].[Population].[All]" dimensionUniqueName="[Data]" displayFolder="" count="2" unbalanced="0" hidden="1"/>
    <cacheHierarchy uniqueName="[Data].[Source]" caption="Source" attribute="1" defaultMemberUniqueName="[Data].[Source].[All]" allUniqueName="[Data].[Source].[All]" dimensionUniqueName="[Data]" displayFolder="" count="2" unbalanced="0" hidden="1"/>
    <cacheHierarchy uniqueName="[Data].[Value]" caption="Value" attribute="1" defaultMemberUniqueName="[Data].[Value].[All]" allUniqueName="[Data].[Value].[All]" dimensionUniqueName="[Data]" displayFolder="" count="2" unbalanced="0" hidden="1"/>
    <cacheHierarchy uniqueName="[Dates].[CalendarKey]" caption="CalendarKey" attribute="1" defaultMemberUniqueName="[Dates].[CalendarKey].[All]" allUniqueName="[Dates].[CalendarKey].[All]" dimensionUniqueName="[Dates]" displayFolder="" count="2" unbalanced="0" hidden="1"/>
    <cacheHierarchy uniqueName="[Dates].[Date]" caption="Date" attribute="1" defaultMemberUniqueName="[Dates].[Date].[All]" allUniqueName="[Dates].[Date].[All]" dimensionUniqueName="[Dates]" displayFolder="" count="2" unbalanced="0" hidden="1"/>
    <cacheHierarchy uniqueName="[Geography].[Country]" caption="Country" attribute="1" defaultMemberUniqueName="[Geography].[Country].[All]" allUniqueName="[Geography].[Country].[All]" dimensionUniqueName="[Geography]" displayFolder="" count="2" unbalanced="0" hidden="1"/>
    <cacheHierarchy uniqueName="[Geography].[DimGeoID]" caption="DimGeoID" attribute="1" defaultMemberUniqueName="[Geography].[DimGeoID].[All]" allUniqueName="[Geography].[DimGeoID].[All]" dimensionUniqueName="[Geography]" displayFolder="" count="2" unbalanced="0" hidden="1"/>
    <cacheHierarchy uniqueName="[Geography].[GeoEconomic_Region]" caption="GeoEconomic_Region" attribute="1" defaultMemberUniqueName="[Geography].[GeoEconomic_Region].[All]" allUniqueName="[Geography].[GeoEconomic_Region].[All]" dimensionUniqueName="[Geography]" displayFolder="" count="2" unbalanced="0" hidden="1"/>
    <cacheHierarchy uniqueName="[Geography].[Geopolitical_Region]" caption="Geopolitical_Region" attribute="1" defaultMemberUniqueName="[Geography].[Geopolitical_Region].[All]" allUniqueName="[Geography].[Geopolitical_Region].[All]" dimensionUniqueName="[Geography]" displayFolder="" count="2" unbalanced="0" hidden="1"/>
    <cacheHierarchy uniqueName="[Geography].[GeoPolitical_Type]" caption="GeoPolitical_Type" attribute="1" defaultMemberUniqueName="[Geography].[GeoPolitical_Type].[All]" allUniqueName="[Geography].[GeoPolitical_Type].[All]" dimensionUniqueName="[Geography]" displayFolder="" count="2" unbalanced="0" hidden="1"/>
    <cacheHierarchy uniqueName="[Geography].[IMF_main_category]" caption="IMF_main_category" attribute="1" defaultMemberUniqueName="[Geography].[IMF_main_category].[All]" allUniqueName="[Geography].[IMF_main_category].[All]" dimensionUniqueName="[Geography]" displayFolder="" count="2" unbalanced="0" hidden="1"/>
    <cacheHierarchy uniqueName="[Geography].[IMF_sub_category]" caption="IMF_sub_category" attribute="1" defaultMemberUniqueName="[Geography].[IMF_sub_category].[All]" allUniqueName="[Geography].[IMF_sub_category].[All]" dimensionUniqueName="[Geography]" displayFolder="" count="2" unbalanced="0" hidden="1"/>
    <cacheHierarchy uniqueName="[Geography].[MACROHISTORY_Geography]" caption="MACROHISTORY_Geography" attribute="1" defaultMemberUniqueName="[Geography].[MACROHISTORY_Geography].[All]" allUniqueName="[Geography].[MACROHISTORY_Geography].[All]" dimensionUniqueName="[Geography]" displayFolder="" count="2" unbalanced="0" hidden="1"/>
    <cacheHierarchy uniqueName="[Geography].[Major_Blocs]" caption="Major_Blocs" attribute="1" defaultMemberUniqueName="[Geography].[Major_Blocs].[All]" allUniqueName="[Geography].[Major_Blocs].[All]" dimensionUniqueName="[Geography]" displayFolder="" count="2" unbalanced="0" hidden="1"/>
    <cacheHierarchy uniqueName="[Geography].[Nation]" caption="Nation" attribute="1" defaultMemberUniqueName="[Geography].[Nation].[All]" allUniqueName="[Geography].[Nation].[All]" dimensionUniqueName="[Geography]" displayFolder="" count="2" unbalanced="0" hidden="1"/>
    <cacheHierarchy uniqueName="[Geography].[penn_availability]" caption="penn_availability" attribute="1" defaultMemberUniqueName="[Geography].[penn_availability].[All]" allUniqueName="[Geography].[penn_availability].[All]" dimensionUniqueName="[Geography]" displayFolder="" count="2" unbalanced="0" hidden="1"/>
    <cacheHierarchy uniqueName="[Geography].[Size]" caption="Size" attribute="1" defaultMemberUniqueName="[Geography].[Size].[All]" allUniqueName="[Geography].[Size].[All]" dimensionUniqueName="[Geography]" displayFolder="" count="2" unbalanced="0" hidden="1"/>
    <cacheHierarchy uniqueName="[Geography].[wdi_availability]" caption="wdi_availability" attribute="1" defaultMemberUniqueName="[Geography].[wdi_availability].[All]" allUniqueName="[Geography].[wdi_availability].[All]" dimensionUniqueName="[Geography]" displayFolder="" count="2" unbalanced="0" hidden="1"/>
    <cacheHierarchy uniqueName="[Geography].[WID_Geography]" caption="WID_Geography" attribute="1" defaultMemberUniqueName="[Geography].[WID_Geography].[All]" allUniqueName="[Geography].[WID_Geography].[All]" dimensionUniqueName="[Geography]" displayFolder="" count="2" unbalanced="0" hidden="1"/>
    <cacheHierarchy uniqueName="[Indicator Detail].[balance_of_payments_component]" caption="balance_of_payments_component" attribute="1" defaultMemberUniqueName="[Indicator Detail].[balance_of_payments_component].[All]" allUniqueName="[Indicator Detail].[balance_of_payments_component].[All]" dimensionUniqueName="[Indicator Detail]" displayFolder="" count="2" unbalanced="0" hidden="1"/>
    <cacheHierarchy uniqueName="[Indicator Detail].[capital_component]" caption="capital_component" attribute="1" defaultMemberUniqueName="[Indicator Detail].[capital_component].[All]" allUniqueName="[Indicator Detail].[capital_component].[All]" dimensionUniqueName="[Indicator Detail]" displayFolder="" count="2" unbalanced="0" hidden="1"/>
    <cacheHierarchy uniqueName="[Indicator Detail].[DimIndicatorID]" caption="DimIndicatorID" attribute="1" defaultMemberUniqueName="[Indicator Detail].[DimIndicatorID].[All]" allUniqueName="[Indicator Detail].[DimIndicatorID].[All]" dimensionUniqueName="[Indicator Detail]" displayFolder="" count="2" unbalanced="0" hidden="1"/>
    <cacheHierarchy uniqueName="[Indicator Detail].[gdp_expenditure_component]" caption="gdp_expenditure_component" attribute="1" defaultMemberUniqueName="[Indicator Detail].[gdp_expenditure_component].[All]" allUniqueName="[Indicator Detail].[gdp_expenditure_component].[All]" dimensionUniqueName="[Indicator Detail]" displayFolder="" count="2" unbalanced="0" hidden="1"/>
    <cacheHierarchy uniqueName="[Indicator Detail].[indicator_dimension]" caption="indicator_dimension" attribute="1" defaultMemberUniqueName="[Indicator Detail].[indicator_dimension].[All]" allUniqueName="[Indicator Detail].[indicator_dimension].[All]" dimensionUniqueName="[Indicator Detail]" displayFolder="" count="2" unbalanced="0" hidden="1"/>
    <cacheHierarchy uniqueName="[Indicator Detail].[indicator_metrics]" caption="indicator_metrics" attribute="1" defaultMemberUniqueName="[Indicator Detail].[indicator_metrics].[All]" allUniqueName="[Indicator Detail].[indicator_metrics].[All]" dimensionUniqueName="[Indicator Detail]" displayFolder="" count="2" unbalanced="0" hidden="1"/>
    <cacheHierarchy uniqueName="[Indicator Detail].[indicator_type]" caption="indicator_type" attribute="1" defaultMemberUniqueName="[Indicator Detail].[indicator_type].[All]" allUniqueName="[Indicator Detail].[indicator_type].[All]" dimensionUniqueName="[Indicator Detail]" displayFolder="" count="2" unbalanced="0" hidden="1"/>
    <cacheHierarchy uniqueName="[Indicator Detail].[indicator_units]" caption="indicator_units" attribute="1" defaultMemberUniqueName="[Indicator Detail].[indicator_units].[All]" allUniqueName="[Indicator Detail].[indicator_units].[All]" dimensionUniqueName="[Indicator Detail]" displayFolder="" count="2" unbalanced="0" hidden="1"/>
    <cacheHierarchy uniqueName="[Indicator Detail].[IndicatorStandardName]" caption="IndicatorStandardName" attribute="1" defaultMemberUniqueName="[Indicator Detail].[IndicatorStandardName].[All]" allUniqueName="[Indicator Detail].[IndicatorStandardName].[All]" dimensionUniqueName="[Indicator Detail]" displayFolder="" count="2" unbalanced="0" hidden="1"/>
    <cacheHierarchy uniqueName="[Indicator Detail].[measure_type]" caption="measure_type" attribute="1" defaultMemberUniqueName="[Indicator Detail].[measure_type].[All]" allUniqueName="[Indicator Detail].[measure_type].[All]" dimensionUniqueName="[Indicator Detail]" displayFolder="" count="2" unbalanced="0" hidden="1"/>
    <cacheHierarchy uniqueName="[Indicator Detail].[other_indicator_description]" caption="other_indicator_description" attribute="1" defaultMemberUniqueName="[Indicator Detail].[other_indicator_description].[All]" allUniqueName="[Indicator Detail].[other_indicator_description].[All]" dimensionUniqueName="[Indicator Detail]" displayFolder="" count="2" unbalanced="0" hidden="1"/>
    <cacheHierarchy uniqueName="[Indicator Detail].[output_definition]" caption="output_definition" attribute="1" defaultMemberUniqueName="[Indicator Detail].[output_definition].[All]" allUniqueName="[Indicator Detail].[output_definition].[All]" dimensionUniqueName="[Indicator Detail]" displayFolder="" count="2" unbalanced="0" hidden="1"/>
    <cacheHierarchy uniqueName="[Indicator Detail].[population_component]" caption="population_component" attribute="1" defaultMemberUniqueName="[Indicator Detail].[population_component].[All]" allUniqueName="[Indicator Detail].[population_component].[All]" dimensionUniqueName="[Indicator Detail]" displayFolder="" count="2" unbalanced="0" hidden="1"/>
    <cacheHierarchy uniqueName="[Indicator Detail].[source_component]" caption="source_component" attribute="1" defaultMemberUniqueName="[Indicator Detail].[source_component].[All]" allUniqueName="[Indicator Detail].[source_component].[All]" dimensionUniqueName="[Indicator Detail]" displayFolder="" count="2" unbalanced="0" hidden="1"/>
    <cacheHierarchy uniqueName="[IndicatorStandardNames].[IndicatorSource]" caption="IndicatorSource" attribute="1" defaultMemberUniqueName="[IndicatorStandardNames].[IndicatorSource].[All]" allUniqueName="[IndicatorStandardNames].[IndicatorSource].[All]" dimensionUniqueName="[IndicatorStandardNames]" displayFolder="" count="2" unbalanced="0" hidden="1"/>
    <cacheHierarchy uniqueName="[IndicatorStandardNames].[IndicatorSourceCode]" caption="IndicatorSourceCode" attribute="1" defaultMemberUniqueName="[IndicatorStandardNames].[IndicatorSourceCode].[All]" allUniqueName="[IndicatorStandardNames].[IndicatorSourceCode].[All]" dimensionUniqueName="[IndicatorStandardNames]" displayFolder="" count="2" unbalanced="0" hidden="1"/>
    <cacheHierarchy uniqueName="[IndicatorStandardNames].[IndicatorSourceDescription]" caption="IndicatorSourceDescription" attribute="1" defaultMemberUniqueName="[IndicatorStandardNames].[IndicatorSourceDescription].[All]" allUniqueName="[IndicatorStandardNames].[IndicatorSourceDescription].[All]" dimensionUniqueName="[IndicatorStandardNames]" displayFolder="" count="2" unbalanced="0" hidden="1"/>
    <cacheHierarchy uniqueName="[IndicatorStandardNames].[IndicatorStandardName]" caption="IndicatorStandardName" attribute="1" defaultMemberUniqueName="[IndicatorStandardNames].[IndicatorStandardName].[All]" allUniqueName="[IndicatorStandardNames].[IndicatorStandardName].[All]" dimensionUniqueName="[IndicatorStandardNames]" displayFolder="" count="2" unbalanced="0" hidden="1"/>
    <cacheHierarchy uniqueName="[IndicatorStandardNames].[IndicatorStandardNamesID]" caption="IndicatorStandardNamesID" attribute="1" defaultMemberUniqueName="[IndicatorStandardNames].[IndicatorStandardNamesID].[All]" allUniqueName="[IndicatorStandardNames].[IndicatorStandardNamesID].[All]" dimensionUniqueName="[IndicatorStandardNames]" displayFolder="" count="2" unbalanced="0" hidden="1"/>
    <cacheHierarchy uniqueName="[Sources].[DataNotes]" caption="DataNotes" attribute="1" defaultMemberUniqueName="[Sources].[DataNotes].[All]" allUniqueName="[Sources].[DataNotes].[All]" dimensionUniqueName="[Sources]" displayFolder="" count="2" unbalanced="0" hidden="1"/>
    <cacheHierarchy uniqueName="[Sources].[DataOriginFile]" caption="DataOriginFile" attribute="1" defaultMemberUniqueName="[Sources].[DataOriginFile].[All]" allUniqueName="[Sources].[DataOriginFile].[All]" dimensionUniqueName="[Sources]" displayFolder="" count="2" unbalanced="0" hidden="1"/>
    <cacheHierarchy uniqueName="[Sources].[DataOriginURL]" caption="DataOriginURL" attribute="1" defaultMemberUniqueName="[Sources].[DataOriginURL].[All]" allUniqueName="[Sources].[DataOriginURL].[All]" dimensionUniqueName="[Sources]" displayFolder="" count="2" unbalanced="0" hidden="1"/>
    <cacheHierarchy uniqueName="[Sources].[Description]" caption="Description" attribute="1" defaultMemberUniqueName="[Sources].[Description].[All]" allUniqueName="[Sources].[Description].[All]" dimensionUniqueName="[Sources]" displayFolder="" count="2" unbalanced="0" hidden="1"/>
    <cacheHierarchy uniqueName="[Sources].[DimSourceID]" caption="DimSourceID" attribute="1" defaultMemberUniqueName="[Sources].[DimSourceID].[All]" allUniqueName="[Sources].[DimSourceID].[All]" dimensionUniqueName="[Sources]" displayFolder="" count="2" unbalanced="0" hidden="1"/>
    <cacheHierarchy uniqueName="[Sources].[PreparationNotes]" caption="PreparationNotes" attribute="1" defaultMemberUniqueName="[Sources].[PreparationNotes].[All]" allUniqueName="[Sources].[PreparationNotes].[All]" dimensionUniqueName="[Sources]" displayFolder="" count="2" unbalanced="0" hidden="1"/>
    <cacheHierarchy uniqueName="[Sources].[SourceName]" caption="SourceName" attribute="1" defaultMemberUniqueName="[Sources].[SourceName].[All]" allUniqueName="[Sources].[SourceName].[All]" dimensionUniqueName="[Sources]" displayFolder="" count="2" unbalanced="0" hidden="1"/>
    <cacheHierarchy uniqueName="[Sources].[SourceNameDetail]" caption="SourceNameDetail" attribute="1" defaultMemberUniqueName="[Sources].[SourceNameDetail].[All]" allUniqueName="[Sources].[SourceNameDetail].[All]" dimensionUniqueName="[Sources]" displayFolder="" count="2" unbalanced="0" hidden="1"/>
    <cacheHierarchy uniqueName="[Sources].[SourceNameParent]" caption="SourceNameParent" attribute="1" defaultMemberUniqueName="[Sources].[SourceNameParent].[All]" allUniqueName="[Sources].[SourceNameParent].[All]" dimensionUniqueName="[Sources]" displayFolder="" count="2" unbalanced="0" hidden="1"/>
    <cacheHierarchy uniqueName="[Sources].[SourceNotes]" caption="SourceNotes" attribute="1" defaultMemberUniqueName="[Sources].[SourceNotes].[All]" allUniqueName="[Sources].[SourceNotes].[All]" dimensionUniqueName="[Sources]" displayFolder="" count="2" unbalanced="0" hidden="1"/>
    <cacheHierarchy uniqueName="[Measures].[Item]" caption="Item" measure="1" displayFolder="" measureGroup="Data" count="0"/>
    <cacheHierarchy uniqueName="[Measures].[Count]" caption="Count" measure="1" displayFolder="" measureGroup="Data" count="0"/>
    <cacheHierarchy uniqueName="[Measures].[__Default measure]" caption="__Default measure" measure="1" displayFolder="" count="0" hidden="1"/>
  </cacheHierarchies>
  <kpis count="0"/>
  <tupleCache>
    <entries count="5355">
      <n v="78025703416224">
        <tpls c="8">
          <tpl hier="2" item="0"/>
          <tpl hier="4" item="1"/>
          <tpl fld="2" item="49"/>
          <tpl hier="6" item="2"/>
          <tpl hier="9" item="4"/>
          <tpl hier="11" item="6"/>
          <tpl hier="12" item="5"/>
          <tpl fld="1" item="0"/>
        </tpls>
      </n>
      <n v="76946956791520">
        <tpls c="8">
          <tpl hier="2" item="0"/>
          <tpl hier="4" item="1"/>
          <tpl fld="2" item="48"/>
          <tpl hier="6" item="2"/>
          <tpl hier="9" item="4"/>
          <tpl hier="11" item="6"/>
          <tpl hier="12" item="5"/>
          <tpl fld="1" item="0"/>
        </tpls>
      </n>
      <n v="72444561151152">
        <tpls c="8">
          <tpl hier="2" item="0"/>
          <tpl hier="4" item="1"/>
          <tpl fld="2" item="47"/>
          <tpl hier="6" item="2"/>
          <tpl hier="9" item="4"/>
          <tpl hier="11" item="6"/>
          <tpl hier="12" item="5"/>
          <tpl fld="1" item="0"/>
        </tpls>
      </n>
      <n v="68312324301104">
        <tpls c="8">
          <tpl hier="2" item="0"/>
          <tpl hier="4" item="1"/>
          <tpl fld="2" item="46"/>
          <tpl hier="6" item="2"/>
          <tpl hier="9" item="4"/>
          <tpl hier="11" item="6"/>
          <tpl hier="12" item="5"/>
          <tpl fld="1" item="0"/>
        </tpls>
      </n>
      <n v="67169434284528">
        <tpls c="8">
          <tpl hier="2" item="0"/>
          <tpl hier="4" item="1"/>
          <tpl fld="2" item="45"/>
          <tpl hier="6" item="2"/>
          <tpl hier="9" item="4"/>
          <tpl hier="11" item="6"/>
          <tpl hier="12" item="5"/>
          <tpl fld="1" item="0"/>
        </tpls>
      </n>
      <n v="70140105597456">
        <tpls c="8">
          <tpl hier="2" item="0"/>
          <tpl hier="4" item="1"/>
          <tpl fld="2" item="44"/>
          <tpl hier="6" item="2"/>
          <tpl hier="9" item="4"/>
          <tpl hier="11" item="6"/>
          <tpl hier="12" item="5"/>
          <tpl fld="1" item="0"/>
        </tpls>
      </n>
      <n v="29261320787144">
        <tpls c="8">
          <tpl hier="2" item="0"/>
          <tpl hier="4" item="1"/>
          <tpl fld="2" item="28"/>
          <tpl hier="6" item="2"/>
          <tpl hier="9" item="4"/>
          <tpl hier="11" item="6"/>
          <tpl hier="12" item="5"/>
          <tpl fld="1" item="0"/>
        </tpls>
      </n>
      <n v="10435974093892">
        <tpls c="8">
          <tpl hier="2" item="0"/>
          <tpl hier="4" item="1"/>
          <tpl fld="2" item="12"/>
          <tpl hier="6" item="2"/>
          <tpl hier="9" item="4"/>
          <tpl hier="11" item="6"/>
          <tpl hier="12" item="5"/>
          <tpl fld="1" item="0"/>
        </tpls>
      </n>
      <n v="22040901632">
        <tpls c="8">
          <tpl hier="2" item="0"/>
          <tpl hier="4" item="1"/>
          <tpl fld="2" item="47"/>
          <tpl fld="4" item="102"/>
          <tpl hier="9" item="4"/>
          <tpl hier="11" item="6"/>
          <tpl hier="12" item="5"/>
          <tpl fld="1" item="0"/>
        </tpls>
      </n>
      <n v="6777384448">
        <tpls c="8">
          <tpl hier="2" item="0"/>
          <tpl hier="4" item="1"/>
          <tpl fld="2" item="31"/>
          <tpl fld="4" item="102"/>
          <tpl hier="9" item="4"/>
          <tpl hier="11" item="6"/>
          <tpl hier="12" item="5"/>
          <tpl fld="1" item="0"/>
        </tpls>
      </n>
      <n v="5637259264">
        <tpls c="8">
          <tpl hier="2" item="0"/>
          <tpl hier="4" item="1"/>
          <tpl fld="2" item="15"/>
          <tpl fld="4" item="102"/>
          <tpl hier="9" item="4"/>
          <tpl hier="11" item="6"/>
          <tpl hier="12" item="5"/>
          <tpl fld="1" item="0"/>
        </tpls>
      </n>
      <n v="425761647104">
        <tpls c="8">
          <tpl hier="2" item="0"/>
          <tpl hier="4" item="1"/>
          <tpl hier="5" item="3"/>
          <tpl fld="4" item="101"/>
          <tpl hier="9" item="4"/>
          <tpl hier="11" item="6"/>
          <tpl hier="12" item="5"/>
          <tpl fld="1" item="0"/>
        </tpls>
      </n>
      <n v="6221077504">
        <tpls c="8">
          <tpl hier="2" item="0"/>
          <tpl hier="4" item="1"/>
          <tpl fld="2" item="34"/>
          <tpl fld="4" item="101"/>
          <tpl hier="9" item="4"/>
          <tpl hier="11" item="6"/>
          <tpl hier="12" item="5"/>
          <tpl fld="1" item="0"/>
        </tpls>
      </n>
      <n v="3713614336">
        <tpls c="8">
          <tpl hier="2" item="0"/>
          <tpl hier="4" item="1"/>
          <tpl fld="2" item="18"/>
          <tpl fld="4" item="101"/>
          <tpl hier="9" item="4"/>
          <tpl hier="11" item="6"/>
          <tpl hier="12" item="5"/>
          <tpl fld="1" item="0"/>
        </tpls>
      </n>
      <n v="1910714240">
        <tpls c="8">
          <tpl hier="2" item="0"/>
          <tpl hier="4" item="1"/>
          <tpl fld="2" item="2"/>
          <tpl fld="4" item="101"/>
          <tpl hier="9" item="4"/>
          <tpl hier="11" item="6"/>
          <tpl hier="12" item="5"/>
          <tpl fld="1" item="0"/>
        </tpls>
      </n>
      <n v="23410573312">
        <tpls c="8">
          <tpl hier="2" item="0"/>
          <tpl hier="4" item="1"/>
          <tpl fld="2" item="37"/>
          <tpl fld="4" item="100"/>
          <tpl hier="9" item="4"/>
          <tpl hier="11" item="6"/>
          <tpl hier="12" item="5"/>
          <tpl fld="1" item="0"/>
        </tpls>
      </n>
      <n v="11205970944">
        <tpls c="8">
          <tpl hier="2" item="0"/>
          <tpl hier="4" item="1"/>
          <tpl fld="2" item="21"/>
          <tpl fld="4" item="100"/>
          <tpl hier="9" item="4"/>
          <tpl hier="11" item="6"/>
          <tpl hier="12" item="5"/>
          <tpl fld="1" item="0"/>
        </tpls>
      </n>
      <n v="3538283264">
        <tpls c="8">
          <tpl hier="2" item="0"/>
          <tpl hier="4" item="1"/>
          <tpl fld="2" item="5"/>
          <tpl fld="4" item="100"/>
          <tpl hier="9" item="4"/>
          <tpl hier="11" item="6"/>
          <tpl hier="12" item="5"/>
          <tpl fld="1" item="0"/>
        </tpls>
      </n>
      <n v="771901751296">
        <tpls c="8">
          <tpl hier="2" item="0"/>
          <tpl hier="4" item="1"/>
          <tpl fld="2" item="40"/>
          <tpl fld="4" item="99"/>
          <tpl hier="9" item="4"/>
          <tpl hier="11" item="6"/>
          <tpl hier="12" item="5"/>
          <tpl fld="1" item="0"/>
        </tpls>
      </n>
      <n v="130690170880">
        <tpls c="8">
          <tpl hier="2" item="0"/>
          <tpl hier="4" item="1"/>
          <tpl fld="2" item="24"/>
          <tpl fld="4" item="99"/>
          <tpl hier="9" item="4"/>
          <tpl hier="11" item="6"/>
          <tpl hier="12" item="5"/>
          <tpl fld="1" item="0"/>
        </tpls>
      </n>
      <n v="65147023360">
        <tpls c="8">
          <tpl hier="2" item="0"/>
          <tpl hier="4" item="1"/>
          <tpl fld="2" item="8"/>
          <tpl fld="4" item="99"/>
          <tpl hier="9" item="4"/>
          <tpl hier="11" item="6"/>
          <tpl hier="12" item="5"/>
          <tpl fld="1" item="0"/>
        </tpls>
      </n>
      <n v="46251061248">
        <tpls c="8">
          <tpl hier="2" item="0"/>
          <tpl hier="4" item="1"/>
          <tpl fld="2" item="43"/>
          <tpl fld="4" item="98"/>
          <tpl hier="9" item="4"/>
          <tpl hier="11" item="6"/>
          <tpl hier="12" item="5"/>
          <tpl fld="1" item="0"/>
        </tpls>
      </n>
      <n v="20746360832">
        <tpls c="8">
          <tpl hier="2" item="0"/>
          <tpl hier="4" item="1"/>
          <tpl fld="2" item="27"/>
          <tpl fld="4" item="98"/>
          <tpl hier="9" item="4"/>
          <tpl hier="11" item="6"/>
          <tpl hier="12" item="5"/>
          <tpl fld="1" item="0"/>
        </tpls>
      </n>
      <n v="8428513792">
        <tpls c="8">
          <tpl hier="2" item="0"/>
          <tpl hier="4" item="1"/>
          <tpl fld="2" item="11"/>
          <tpl fld="4" item="98"/>
          <tpl hier="9" item="4"/>
          <tpl hier="11" item="6"/>
          <tpl hier="12" item="5"/>
          <tpl fld="1" item="0"/>
        </tpls>
      </n>
      <n v="22284779520">
        <tpls c="8">
          <tpl hier="2" item="0"/>
          <tpl hier="4" item="1"/>
          <tpl fld="2" item="46"/>
          <tpl fld="4" item="97"/>
          <tpl hier="9" item="4"/>
          <tpl hier="11" item="6"/>
          <tpl hier="12" item="5"/>
          <tpl fld="1" item="0"/>
        </tpls>
      </n>
      <n v="8154338304">
        <tpls c="8">
          <tpl hier="2" item="0"/>
          <tpl hier="4" item="1"/>
          <tpl fld="2" item="30"/>
          <tpl fld="4" item="97"/>
          <tpl hier="9" item="4"/>
          <tpl hier="11" item="6"/>
          <tpl hier="12" item="5"/>
          <tpl fld="1" item="0"/>
        </tpls>
      </n>
      <n v="7757083136">
        <tpls c="8">
          <tpl hier="2" item="0"/>
          <tpl hier="4" item="1"/>
          <tpl fld="2" item="14"/>
          <tpl fld="4" item="97"/>
          <tpl hier="9" item="4"/>
          <tpl hier="11" item="6"/>
          <tpl hier="12" item="5"/>
          <tpl fld="1" item="0"/>
        </tpls>
      </n>
      <n v="5459979264">
        <tpls c="8">
          <tpl hier="2" item="0"/>
          <tpl hier="4" item="1"/>
          <tpl fld="2" item="49"/>
          <tpl fld="4" item="96"/>
          <tpl hier="9" item="4"/>
          <tpl hier="11" item="6"/>
          <tpl hier="12" item="5"/>
          <tpl fld="1" item="0"/>
        </tpls>
      </n>
      <n v="2111093248">
        <tpls c="8">
          <tpl hier="2" item="0"/>
          <tpl hier="4" item="1"/>
          <tpl fld="2" item="33"/>
          <tpl fld="4" item="96"/>
          <tpl hier="9" item="4"/>
          <tpl hier="11" item="6"/>
          <tpl hier="12" item="5"/>
          <tpl fld="1" item="0"/>
        </tpls>
      </n>
      <n v="1249099136">
        <tpls c="8">
          <tpl hier="2" item="0"/>
          <tpl hier="4" item="1"/>
          <tpl fld="2" item="17"/>
          <tpl fld="4" item="96"/>
          <tpl hier="9" item="4"/>
          <tpl hier="11" item="6"/>
          <tpl hier="12" item="5"/>
          <tpl fld="1" item="0"/>
        </tpls>
      </n>
      <n v="286537536">
        <tpls c="8">
          <tpl hier="2" item="0"/>
          <tpl hier="4" item="1"/>
          <tpl fld="2" item="1"/>
          <tpl fld="4" item="96"/>
          <tpl hier="9" item="4"/>
          <tpl hier="11" item="6"/>
          <tpl hier="12" item="5"/>
          <tpl fld="1" item="0"/>
        </tpls>
      </n>
      <n v="221758193664">
        <tpls c="8">
          <tpl hier="2" item="0"/>
          <tpl hier="4" item="1"/>
          <tpl fld="2" item="36"/>
          <tpl fld="4" item="95"/>
          <tpl hier="9" item="4"/>
          <tpl hier="11" item="6"/>
          <tpl hier="12" item="5"/>
          <tpl fld="1" item="0"/>
        </tpls>
      </n>
      <n v="85343059968">
        <tpls c="8">
          <tpl hier="2" item="0"/>
          <tpl hier="4" item="1"/>
          <tpl fld="2" item="20"/>
          <tpl fld="4" item="95"/>
          <tpl hier="9" item="4"/>
          <tpl hier="11" item="6"/>
          <tpl hier="12" item="5"/>
          <tpl fld="1" item="0"/>
        </tpls>
      </n>
      <n v="13703000064">
        <tpls c="8">
          <tpl hier="2" item="0"/>
          <tpl hier="4" item="1"/>
          <tpl fld="2" item="4"/>
          <tpl fld="4" item="95"/>
          <tpl hier="9" item="4"/>
          <tpl hier="11" item="6"/>
          <tpl hier="12" item="5"/>
          <tpl fld="1" item="0"/>
        </tpls>
      </n>
      <n v="3580417280">
        <tpls c="8">
          <tpl hier="2" item="0"/>
          <tpl hier="4" item="1"/>
          <tpl fld="2" item="39"/>
          <tpl fld="4" item="94"/>
          <tpl hier="9" item="4"/>
          <tpl hier="11" item="6"/>
          <tpl hier="12" item="5"/>
          <tpl fld="1" item="0"/>
        </tpls>
      </n>
      <n v="1357207040">
        <tpls c="8">
          <tpl hier="2" item="0"/>
          <tpl hier="4" item="1"/>
          <tpl fld="2" item="23"/>
          <tpl fld="4" item="94"/>
          <tpl hier="9" item="4"/>
          <tpl hier="11" item="6"/>
          <tpl hier="12" item="5"/>
          <tpl fld="1" item="0"/>
        </tpls>
      </n>
      <n v="304047840">
        <tpls c="8">
          <tpl hier="2" item="0"/>
          <tpl hier="4" item="1"/>
          <tpl fld="2" item="7"/>
          <tpl fld="4" item="94"/>
          <tpl hier="9" item="4"/>
          <tpl hier="11" item="6"/>
          <tpl hier="12" item="5"/>
          <tpl fld="1" item="0"/>
        </tpls>
      </n>
      <n v="4979999744">
        <tpls c="8">
          <tpl hier="2" item="0"/>
          <tpl hier="4" item="1"/>
          <tpl fld="2" item="42"/>
          <tpl fld="4" item="93"/>
          <tpl hier="9" item="4"/>
          <tpl hier="11" item="6"/>
          <tpl hier="12" item="5"/>
          <tpl fld="1" item="0"/>
        </tpls>
      </n>
      <n v="861411456">
        <tpls c="8">
          <tpl hier="2" item="0"/>
          <tpl hier="4" item="1"/>
          <tpl fld="2" item="26"/>
          <tpl fld="4" item="93"/>
          <tpl hier="9" item="4"/>
          <tpl hier="11" item="6"/>
          <tpl hier="12" item="5"/>
          <tpl fld="1" item="0"/>
        </tpls>
      </n>
      <n v="795000000">
        <tpls c="8">
          <tpl hier="2" item="0"/>
          <tpl hier="4" item="1"/>
          <tpl fld="2" item="10"/>
          <tpl fld="4" item="93"/>
          <tpl hier="9" item="4"/>
          <tpl hier="11" item="6"/>
          <tpl hier="12" item="5"/>
          <tpl fld="1" item="0"/>
        </tpls>
      </n>
      <n v="74294468608">
        <tpls c="8">
          <tpl hier="2" item="0"/>
          <tpl hier="4" item="1"/>
          <tpl fld="2" item="45"/>
          <tpl fld="4" item="92"/>
          <tpl hier="9" item="4"/>
          <tpl hier="11" item="6"/>
          <tpl hier="12" item="5"/>
          <tpl fld="1" item="0"/>
        </tpls>
      </n>
      <n v="10682045440">
        <tpls c="8">
          <tpl hier="2" item="0"/>
          <tpl hier="4" item="1"/>
          <tpl fld="2" item="29"/>
          <tpl fld="4" item="92"/>
          <tpl hier="9" item="4"/>
          <tpl hier="11" item="6"/>
          <tpl hier="12" item="5"/>
          <tpl fld="1" item="0"/>
        </tpls>
      </n>
      <n v="8230153728">
        <tpls c="8">
          <tpl hier="2" item="0"/>
          <tpl hier="4" item="1"/>
          <tpl fld="2" item="13"/>
          <tpl fld="4" item="92"/>
          <tpl hier="9" item="4"/>
          <tpl hier="11" item="6"/>
          <tpl hier="12" item="5"/>
          <tpl fld="1" item="0"/>
        </tpls>
      </n>
      <n v="88425889792">
        <tpls c="8">
          <tpl hier="2" item="0"/>
          <tpl hier="4" item="1"/>
          <tpl fld="2" item="48"/>
          <tpl fld="4" item="91"/>
          <tpl hier="9" item="4"/>
          <tpl hier="11" item="6"/>
          <tpl hier="12" item="5"/>
          <tpl fld="1" item="0"/>
        </tpls>
      </n>
      <n v="16536536064">
        <tpls c="8">
          <tpl hier="2" item="0"/>
          <tpl hier="4" item="1"/>
          <tpl fld="2" item="32"/>
          <tpl fld="4" item="91"/>
          <tpl hier="9" item="4"/>
          <tpl hier="11" item="6"/>
          <tpl hier="12" item="5"/>
          <tpl fld="1" item="0"/>
        </tpls>
      </n>
      <n v="6405210624">
        <tpls c="8">
          <tpl hier="2" item="0"/>
          <tpl hier="4" item="1"/>
          <tpl fld="2" item="16"/>
          <tpl fld="4" item="91"/>
          <tpl hier="9" item="4"/>
          <tpl hier="11" item="6"/>
          <tpl hier="12" item="5"/>
          <tpl fld="1" item="0"/>
        </tpls>
      </n>
      <n v="2296470528">
        <tpls c="8">
          <tpl hier="2" item="0"/>
          <tpl hier="4" item="1"/>
          <tpl fld="2" item="0"/>
          <tpl fld="4" item="91"/>
          <tpl hier="9" item="4"/>
          <tpl hier="11" item="6"/>
          <tpl hier="12" item="5"/>
          <tpl fld="1" item="0"/>
        </tpls>
      </n>
      <n v="257772716032">
        <tpls c="8">
          <tpl hier="2" item="0"/>
          <tpl hier="4" item="1"/>
          <tpl fld="2" item="35"/>
          <tpl fld="4" item="90"/>
          <tpl hier="9" item="4"/>
          <tpl hier="11" item="6"/>
          <tpl hier="12" item="5"/>
          <tpl fld="1" item="0"/>
        </tpls>
      </n>
      <n v="99030859776">
        <tpls c="8">
          <tpl hier="2" item="0"/>
          <tpl hier="4" item="1"/>
          <tpl fld="2" item="19"/>
          <tpl fld="4" item="90"/>
          <tpl hier="9" item="4"/>
          <tpl hier="11" item="6"/>
          <tpl hier="12" item="5"/>
          <tpl fld="1" item="0"/>
        </tpls>
      </n>
      <n v="29295675392">
        <tpls c="8">
          <tpl hier="2" item="0"/>
          <tpl hier="4" item="1"/>
          <tpl fld="2" item="3"/>
          <tpl fld="4" item="90"/>
          <tpl hier="9" item="4"/>
          <tpl hier="11" item="6"/>
          <tpl hier="12" item="5"/>
          <tpl fld="1" item="0"/>
        </tpls>
      </n>
      <n v="2505458688">
        <tpls c="8">
          <tpl hier="2" item="0"/>
          <tpl hier="4" item="1"/>
          <tpl fld="2" item="38"/>
          <tpl fld="4" item="89"/>
          <tpl hier="9" item="4"/>
          <tpl hier="11" item="6"/>
          <tpl hier="12" item="5"/>
          <tpl fld="1" item="0"/>
        </tpls>
      </n>
      <n v="679998016">
        <tpls c="8">
          <tpl hier="2" item="0"/>
          <tpl hier="4" item="1"/>
          <tpl fld="2" item="22"/>
          <tpl fld="4" item="89"/>
          <tpl hier="9" item="4"/>
          <tpl hier="11" item="6"/>
          <tpl hier="12" item="5"/>
          <tpl fld="1" item="0"/>
        </tpls>
      </n>
      <n v="594895680">
        <tpls c="8">
          <tpl hier="2" item="0"/>
          <tpl hier="4" item="1"/>
          <tpl fld="2" item="6"/>
          <tpl fld="4" item="89"/>
          <tpl hier="9" item="4"/>
          <tpl hier="11" item="6"/>
          <tpl hier="12" item="5"/>
          <tpl fld="1" item="0"/>
        </tpls>
      </n>
      <n v="1065826688">
        <tpls c="8">
          <tpl hier="2" item="0"/>
          <tpl hier="4" item="1"/>
          <tpl fld="2" item="41"/>
          <tpl fld="4" item="88"/>
          <tpl hier="9" item="4"/>
          <tpl hier="11" item="6"/>
          <tpl hier="12" item="5"/>
          <tpl fld="1" item="0"/>
        </tpls>
      </n>
      <n v="508221504">
        <tpls c="8">
          <tpl hier="2" item="0"/>
          <tpl hier="4" item="1"/>
          <tpl fld="2" item="25"/>
          <tpl fld="4" item="88"/>
          <tpl hier="9" item="4"/>
          <tpl hier="11" item="6"/>
          <tpl hier="12" item="5"/>
          <tpl fld="1" item="0"/>
        </tpls>
      </n>
      <n v="127261096">
        <tpls c="8">
          <tpl hier="2" item="0"/>
          <tpl hier="4" item="1"/>
          <tpl fld="2" item="9"/>
          <tpl fld="4" item="88"/>
          <tpl hier="9" item="4"/>
          <tpl hier="11" item="6"/>
          <tpl hier="12" item="5"/>
          <tpl fld="1" item="0"/>
        </tpls>
      </n>
      <n v="19797254144">
        <tpls c="8">
          <tpl hier="2" item="0"/>
          <tpl hier="4" item="1"/>
          <tpl fld="2" item="44"/>
          <tpl fld="4" item="87"/>
          <tpl hier="9" item="4"/>
          <tpl hier="11" item="6"/>
          <tpl hier="12" item="5"/>
          <tpl fld="1" item="0"/>
        </tpls>
      </n>
      <n v="6368265216">
        <tpls c="8">
          <tpl hier="2" item="0"/>
          <tpl hier="4" item="1"/>
          <tpl fld="2" item="28"/>
          <tpl fld="4" item="87"/>
          <tpl hier="9" item="4"/>
          <tpl hier="11" item="6"/>
          <tpl hier="12" item="5"/>
          <tpl fld="1" item="0"/>
        </tpls>
      </n>
      <n v="3936758784">
        <tpls c="8">
          <tpl hier="2" item="0"/>
          <tpl hier="4" item="1"/>
          <tpl fld="2" item="12"/>
          <tpl fld="4" item="87"/>
          <tpl hier="9" item="4"/>
          <tpl hier="11" item="6"/>
          <tpl hier="12" item="5"/>
          <tpl fld="1" item="0"/>
        </tpls>
      </n>
      <n v="688586162176">
        <tpls c="8">
          <tpl hier="2" item="0"/>
          <tpl hier="4" item="1"/>
          <tpl fld="2" item="47"/>
          <tpl fld="4" item="86"/>
          <tpl hier="9" item="4"/>
          <tpl hier="11" item="6"/>
          <tpl hier="12" item="5"/>
          <tpl fld="1" item="0"/>
        </tpls>
      </n>
      <n v="184137465856">
        <tpls c="8">
          <tpl hier="2" item="0"/>
          <tpl hier="4" item="1"/>
          <tpl fld="2" item="31"/>
          <tpl fld="4" item="86"/>
          <tpl hier="9" item="4"/>
          <tpl hier="11" item="6"/>
          <tpl hier="12" item="5"/>
          <tpl fld="1" item="0"/>
        </tpls>
      </n>
      <n v="103897849856">
        <tpls c="8">
          <tpl hier="2" item="0"/>
          <tpl hier="4" item="1"/>
          <tpl fld="2" item="15"/>
          <tpl fld="4" item="86"/>
          <tpl hier="9" item="4"/>
          <tpl hier="11" item="6"/>
          <tpl hier="12" item="5"/>
          <tpl fld="1" item="0"/>
        </tpls>
      </n>
      <n v="153672030832">
        <tpls c="8">
          <tpl hier="2" item="0"/>
          <tpl hier="4" item="1"/>
          <tpl hier="5" item="3"/>
          <tpl fld="4" item="85"/>
          <tpl hier="9" item="4"/>
          <tpl hier="11" item="6"/>
          <tpl hier="12" item="5"/>
          <tpl fld="1" item="0"/>
        </tpls>
      </n>
      <n v="2088961920">
        <tpls c="8">
          <tpl hier="2" item="0"/>
          <tpl hier="4" item="1"/>
          <tpl fld="2" item="34"/>
          <tpl fld="4" item="85"/>
          <tpl hier="9" item="4"/>
          <tpl hier="11" item="6"/>
          <tpl hier="12" item="5"/>
          <tpl fld="1" item="0"/>
        </tpls>
      </n>
      <n v="2395493888">
        <tpls c="8">
          <tpl hier="2" item="0"/>
          <tpl hier="4" item="1"/>
          <tpl fld="2" item="18"/>
          <tpl fld="4" item="85"/>
          <tpl hier="9" item="4"/>
          <tpl hier="11" item="6"/>
          <tpl hier="12" item="5"/>
          <tpl fld="1" item="0"/>
        </tpls>
      </n>
      <n v="246457840">
        <tpls c="8">
          <tpl hier="2" item="0"/>
          <tpl hier="4" item="1"/>
          <tpl fld="2" item="2"/>
          <tpl fld="4" item="85"/>
          <tpl hier="9" item="4"/>
          <tpl hier="11" item="6"/>
          <tpl hier="12" item="5"/>
          <tpl fld="1" item="0"/>
        </tpls>
      </n>
      <n v="89524133888">
        <tpls c="8">
          <tpl hier="2" item="0"/>
          <tpl hier="4" item="1"/>
          <tpl fld="2" item="37"/>
          <tpl fld="4" item="84"/>
          <tpl hier="9" item="4"/>
          <tpl hier="11" item="6"/>
          <tpl hier="12" item="5"/>
          <tpl fld="1" item="0"/>
        </tpls>
      </n>
      <n v="32287031296">
        <tpls c="8">
          <tpl hier="2" item="0"/>
          <tpl hier="4" item="1"/>
          <tpl fld="2" item="21"/>
          <tpl fld="4" item="84"/>
          <tpl hier="9" item="4"/>
          <tpl hier="11" item="6"/>
          <tpl hier="12" item="5"/>
          <tpl fld="1" item="0"/>
        </tpls>
      </n>
      <n v="8198300160">
        <tpls c="8">
          <tpl hier="2" item="0"/>
          <tpl hier="4" item="1"/>
          <tpl fld="2" item="5"/>
          <tpl fld="4" item="84"/>
          <tpl hier="9" item="4"/>
          <tpl hier="11" item="6"/>
          <tpl hier="12" item="5"/>
          <tpl fld="1" item="0"/>
        </tpls>
      </n>
      <n v="67921403059328">
        <tpls c="8">
          <tpl hier="2" item="0"/>
          <tpl hier="4" item="1"/>
          <tpl fld="2" item="43"/>
          <tpl hier="6" item="2"/>
          <tpl hier="9" item="4"/>
          <tpl hier="11" item="6"/>
          <tpl hier="12" item="5"/>
          <tpl fld="1" item="0"/>
        </tpls>
      </n>
      <n v="29069167559208">
        <tpls c="8">
          <tpl hier="2" item="0"/>
          <tpl hier="4" item="1"/>
          <tpl fld="2" item="27"/>
          <tpl hier="6" item="2"/>
          <tpl hier="9" item="4"/>
          <tpl hier="11" item="6"/>
          <tpl hier="12" item="5"/>
          <tpl fld="1" item="0"/>
        </tpls>
      </n>
      <n v="10574867277624">
        <tpls c="8">
          <tpl hier="2" item="0"/>
          <tpl hier="4" item="1"/>
          <tpl fld="2" item="11"/>
          <tpl hier="6" item="2"/>
          <tpl hier="9" item="4"/>
          <tpl hier="11" item="6"/>
          <tpl hier="12" item="5"/>
          <tpl fld="1" item="0"/>
        </tpls>
      </n>
      <n v="20548677632">
        <tpls c="8">
          <tpl hier="2" item="0"/>
          <tpl hier="4" item="1"/>
          <tpl fld="2" item="46"/>
          <tpl fld="4" item="102"/>
          <tpl hier="9" item="4"/>
          <tpl hier="11" item="6"/>
          <tpl hier="12" item="5"/>
          <tpl fld="1" item="0"/>
        </tpls>
      </n>
      <n v="6689957376">
        <tpls c="8">
          <tpl hier="2" item="0"/>
          <tpl hier="4" item="1"/>
          <tpl fld="2" item="30"/>
          <tpl fld="4" item="102"/>
          <tpl hier="9" item="4"/>
          <tpl hier="11" item="6"/>
          <tpl hier="12" item="5"/>
          <tpl fld="1" item="0"/>
        </tpls>
      </n>
      <n v="6352125952">
        <tpls c="8">
          <tpl hier="2" item="0"/>
          <tpl hier="4" item="1"/>
          <tpl fld="2" item="14"/>
          <tpl fld="4" item="102"/>
          <tpl hier="9" item="4"/>
          <tpl hier="11" item="6"/>
          <tpl hier="12" item="5"/>
          <tpl fld="1" item="0"/>
        </tpls>
      </n>
      <n v="23064723456">
        <tpls c="8">
          <tpl hier="2" item="0"/>
          <tpl hier="4" item="1"/>
          <tpl fld="2" item="49"/>
          <tpl fld="4" item="101"/>
          <tpl hier="9" item="4"/>
          <tpl hier="11" item="6"/>
          <tpl hier="12" item="5"/>
          <tpl fld="1" item="0"/>
        </tpls>
      </n>
      <n v="4901839872">
        <tpls c="8">
          <tpl hier="2" item="0"/>
          <tpl hier="4" item="1"/>
          <tpl fld="2" item="33"/>
          <tpl fld="4" item="101"/>
          <tpl hier="9" item="4"/>
          <tpl hier="11" item="6"/>
          <tpl hier="12" item="5"/>
          <tpl fld="1" item="0"/>
        </tpls>
      </n>
      <n v="2269894656">
        <tpls c="8">
          <tpl hier="2" item="0"/>
          <tpl hier="4" item="1"/>
          <tpl fld="2" item="17"/>
          <tpl fld="4" item="101"/>
          <tpl hier="9" item="4"/>
          <tpl hier="11" item="6"/>
          <tpl hier="12" item="5"/>
          <tpl fld="1" item="0"/>
        </tpls>
      </n>
      <n v="1687000064">
        <tpls c="8">
          <tpl hier="2" item="0"/>
          <tpl hier="4" item="1"/>
          <tpl fld="2" item="1"/>
          <tpl fld="4" item="101"/>
          <tpl hier="9" item="4"/>
          <tpl hier="11" item="6"/>
          <tpl hier="12" item="5"/>
          <tpl fld="1" item="0"/>
        </tpls>
      </n>
      <n v="19579457536">
        <tpls c="8">
          <tpl hier="2" item="0"/>
          <tpl hier="4" item="1"/>
          <tpl fld="2" item="36"/>
          <tpl fld="4" item="100"/>
          <tpl hier="9" item="4"/>
          <tpl hier="11" item="6"/>
          <tpl hier="12" item="5"/>
          <tpl fld="1" item="0"/>
        </tpls>
      </n>
      <n v="9298839552">
        <tpls c="8">
          <tpl hier="2" item="0"/>
          <tpl hier="4" item="1"/>
          <tpl fld="2" item="20"/>
          <tpl fld="4" item="100"/>
          <tpl hier="9" item="4"/>
          <tpl hier="11" item="6"/>
          <tpl hier="12" item="5"/>
          <tpl fld="1" item="0"/>
        </tpls>
      </n>
      <n v="4090209792">
        <tpls c="8">
          <tpl hier="2" item="0"/>
          <tpl hier="4" item="1"/>
          <tpl fld="2" item="4"/>
          <tpl fld="4" item="100"/>
          <tpl hier="9" item="4"/>
          <tpl hier="11" item="6"/>
          <tpl hier="12" item="5"/>
          <tpl fld="1" item="0"/>
        </tpls>
      </n>
      <n v="644639883264">
        <tpls c="8">
          <tpl hier="2" item="0"/>
          <tpl hier="4" item="1"/>
          <tpl fld="2" item="39"/>
          <tpl fld="4" item="99"/>
          <tpl hier="9" item="4"/>
          <tpl hier="11" item="6"/>
          <tpl hier="12" item="5"/>
          <tpl fld="1" item="0"/>
        </tpls>
      </n>
      <n v="180169736192">
        <tpls c="8">
          <tpl hier="2" item="0"/>
          <tpl hier="4" item="1"/>
          <tpl fld="2" item="23"/>
          <tpl fld="4" item="99"/>
          <tpl hier="9" item="4"/>
          <tpl hier="11" item="6"/>
          <tpl hier="12" item="5"/>
          <tpl fld="1" item="0"/>
        </tpls>
      </n>
      <n v="58676813824">
        <tpls c="8">
          <tpl hier="2" item="0"/>
          <tpl hier="4" item="1"/>
          <tpl fld="2" item="7"/>
          <tpl fld="4" item="99"/>
          <tpl hier="9" item="4"/>
          <tpl hier="11" item="6"/>
          <tpl hier="12" item="5"/>
          <tpl fld="1" item="0"/>
        </tpls>
      </n>
      <n v="45044113408">
        <tpls c="8">
          <tpl hier="2" item="0"/>
          <tpl hier="4" item="1"/>
          <tpl fld="2" item="42"/>
          <tpl fld="4" item="98"/>
          <tpl hier="9" item="4"/>
          <tpl hier="11" item="6"/>
          <tpl hier="12" item="5"/>
          <tpl fld="1" item="0"/>
        </tpls>
      </n>
      <n v="19587321856">
        <tpls c="8">
          <tpl hier="2" item="0"/>
          <tpl hier="4" item="1"/>
          <tpl fld="2" item="26"/>
          <tpl fld="4" item="98"/>
          <tpl hier="9" item="4"/>
          <tpl hier="11" item="6"/>
          <tpl hier="12" item="5"/>
          <tpl fld="1" item="0"/>
        </tpls>
      </n>
      <n v="8744134656">
        <tpls c="8">
          <tpl hier="2" item="0"/>
          <tpl hier="4" item="1"/>
          <tpl fld="2" item="10"/>
          <tpl fld="4" item="98"/>
          <tpl hier="9" item="4"/>
          <tpl hier="11" item="6"/>
          <tpl hier="12" item="5"/>
          <tpl fld="1" item="0"/>
        </tpls>
      </n>
      <n v="25062893568">
        <tpls c="8">
          <tpl hier="2" item="0"/>
          <tpl hier="4" item="1"/>
          <tpl fld="2" item="45"/>
          <tpl fld="4" item="97"/>
          <tpl hier="9" item="4"/>
          <tpl hier="11" item="6"/>
          <tpl hier="12" item="5"/>
          <tpl fld="1" item="0"/>
        </tpls>
      </n>
      <n v="6808982528">
        <tpls c="8">
          <tpl hier="2" item="0"/>
          <tpl hier="4" item="1"/>
          <tpl fld="2" item="29"/>
          <tpl fld="4" item="97"/>
          <tpl hier="9" item="4"/>
          <tpl hier="11" item="6"/>
          <tpl hier="12" item="5"/>
          <tpl fld="1" item="0"/>
        </tpls>
      </n>
      <n v="7763749888">
        <tpls c="8">
          <tpl hier="2" item="0"/>
          <tpl hier="4" item="1"/>
          <tpl fld="2" item="13"/>
          <tpl fld="4" item="97"/>
          <tpl hier="9" item="4"/>
          <tpl hier="11" item="6"/>
          <tpl hier="12" item="5"/>
          <tpl fld="1" item="0"/>
        </tpls>
      </n>
      <n v="5356344832">
        <tpls c="8">
          <tpl hier="2" item="0"/>
          <tpl hier="4" item="1"/>
          <tpl fld="2" item="48"/>
          <tpl fld="4" item="96"/>
          <tpl hier="9" item="4"/>
          <tpl hier="11" item="6"/>
          <tpl hier="12" item="5"/>
          <tpl fld="1" item="0"/>
        </tpls>
      </n>
      <n v="1698678656">
        <tpls c="8">
          <tpl hier="2" item="0"/>
          <tpl hier="4" item="1"/>
          <tpl fld="2" item="32"/>
          <tpl fld="4" item="96"/>
          <tpl hier="9" item="4"/>
          <tpl hier="11" item="6"/>
          <tpl hier="12" item="5"/>
          <tpl fld="1" item="0"/>
        </tpls>
      </n>
      <n v="1060911744">
        <tpls c="8">
          <tpl hier="2" item="0"/>
          <tpl hier="4" item="1"/>
          <tpl fld="2" item="16"/>
          <tpl fld="4" item="96"/>
          <tpl hier="9" item="4"/>
          <tpl hier="11" item="6"/>
          <tpl hier="12" item="5"/>
          <tpl fld="1" item="0"/>
        </tpls>
      </n>
      <n v="253976624">
        <tpls c="8">
          <tpl hier="2" item="0"/>
          <tpl hier="4" item="1"/>
          <tpl fld="2" item="0"/>
          <tpl fld="4" item="96"/>
          <tpl hier="9" item="4"/>
          <tpl hier="11" item="6"/>
          <tpl hier="12" item="5"/>
          <tpl fld="1" item="0"/>
        </tpls>
      </n>
      <n v="189318545408">
        <tpls c="8">
          <tpl hier="2" item="0"/>
          <tpl hier="4" item="1"/>
          <tpl fld="2" item="35"/>
          <tpl fld="4" item="95"/>
          <tpl hier="9" item="4"/>
          <tpl hier="11" item="6"/>
          <tpl hier="12" item="5"/>
          <tpl fld="1" item="0"/>
        </tpls>
      </n>
      <n v="72250875904">
        <tpls c="8">
          <tpl hier="2" item="0"/>
          <tpl hier="4" item="1"/>
          <tpl fld="2" item="19"/>
          <tpl fld="4" item="95"/>
          <tpl hier="9" item="4"/>
          <tpl hier="11" item="6"/>
          <tpl hier="12" item="5"/>
          <tpl fld="1" item="0"/>
        </tpls>
      </n>
      <n v="10838587392">
        <tpls c="8">
          <tpl hier="2" item="0"/>
          <tpl hier="4" item="1"/>
          <tpl fld="2" item="3"/>
          <tpl fld="4" item="95"/>
          <tpl hier="9" item="4"/>
          <tpl hier="11" item="6"/>
          <tpl hier="12" item="5"/>
          <tpl fld="1" item="0"/>
        </tpls>
      </n>
      <n v="3294093312">
        <tpls c="8">
          <tpl hier="2" item="0"/>
          <tpl hier="4" item="1"/>
          <tpl fld="2" item="38"/>
          <tpl fld="4" item="94"/>
          <tpl hier="9" item="4"/>
          <tpl hier="11" item="6"/>
          <tpl hier="12" item="5"/>
          <tpl fld="1" item="0"/>
        </tpls>
      </n>
      <n v="1284766208">
        <tpls c="8">
          <tpl hier="2" item="0"/>
          <tpl hier="4" item="1"/>
          <tpl fld="2" item="22"/>
          <tpl fld="4" item="94"/>
          <tpl hier="9" item="4"/>
          <tpl hier="11" item="6"/>
          <tpl hier="12" item="5"/>
          <tpl fld="1" item="0"/>
        </tpls>
      </n>
      <n v="272539104">
        <tpls c="8">
          <tpl hier="2" item="0"/>
          <tpl hier="4" item="1"/>
          <tpl fld="2" item="6"/>
          <tpl fld="4" item="94"/>
          <tpl hier="9" item="4"/>
          <tpl hier="11" item="6"/>
          <tpl hier="12" item="5"/>
          <tpl fld="1" item="0"/>
        </tpls>
      </n>
      <n v="4422276608">
        <tpls c="8">
          <tpl hier="2" item="0"/>
          <tpl hier="4" item="1"/>
          <tpl fld="2" item="41"/>
          <tpl fld="4" item="93"/>
          <tpl hier="9" item="4"/>
          <tpl hier="11" item="6"/>
          <tpl hier="12" item="5"/>
          <tpl fld="1" item="0"/>
        </tpls>
      </n>
      <n v="691590528">
        <tpls c="8">
          <tpl hier="2" item="0"/>
          <tpl hier="4" item="1"/>
          <tpl fld="2" item="25"/>
          <tpl fld="4" item="93"/>
          <tpl hier="9" item="4"/>
          <tpl hier="11" item="6"/>
          <tpl hier="12" item="5"/>
          <tpl fld="1" item="0"/>
        </tpls>
      </n>
      <n v="782499968">
        <tpls c="8">
          <tpl hier="2" item="0"/>
          <tpl hier="4" item="1"/>
          <tpl fld="2" item="9"/>
          <tpl fld="4" item="93"/>
          <tpl hier="9" item="4"/>
          <tpl hier="11" item="6"/>
          <tpl hier="12" item="5"/>
          <tpl fld="1" item="0"/>
        </tpls>
      </n>
      <n v="64941776896">
        <tpls c="8">
          <tpl hier="2" item="0"/>
          <tpl hier="4" item="1"/>
          <tpl fld="2" item="44"/>
          <tpl fld="4" item="92"/>
          <tpl hier="9" item="4"/>
          <tpl hier="11" item="6"/>
          <tpl hier="12" item="5"/>
          <tpl fld="1" item="0"/>
        </tpls>
      </n>
      <n v="11250327552">
        <tpls c="8">
          <tpl hier="2" item="0"/>
          <tpl hier="4" item="1"/>
          <tpl fld="2" item="28"/>
          <tpl fld="4" item="92"/>
          <tpl hier="9" item="4"/>
          <tpl hier="11" item="6"/>
          <tpl hier="12" item="5"/>
          <tpl fld="1" item="0"/>
        </tpls>
      </n>
      <n v="9240000512">
        <tpls c="8">
          <tpl hier="2" item="0"/>
          <tpl hier="4" item="1"/>
          <tpl fld="2" item="12"/>
          <tpl fld="4" item="92"/>
          <tpl hier="9" item="4"/>
          <tpl hier="11" item="6"/>
          <tpl hier="12" item="5"/>
          <tpl fld="1" item="0"/>
        </tpls>
      </n>
      <n v="87428128768">
        <tpls c="8">
          <tpl hier="2" item="0"/>
          <tpl hier="4" item="1"/>
          <tpl fld="2" item="47"/>
          <tpl fld="4" item="91"/>
          <tpl hier="9" item="4"/>
          <tpl hier="11" item="6"/>
          <tpl hier="12" item="5"/>
          <tpl fld="1" item="0"/>
        </tpls>
      </n>
      <n v="15749753856">
        <tpls c="8">
          <tpl hier="2" item="0"/>
          <tpl hier="4" item="1"/>
          <tpl fld="2" item="31"/>
          <tpl fld="4" item="91"/>
          <tpl hier="9" item="4"/>
          <tpl hier="11" item="6"/>
          <tpl hier="12" item="5"/>
          <tpl fld="1" item="0"/>
        </tpls>
      </n>
      <n v="5978461184">
        <tpls c="8">
          <tpl hier="2" item="0"/>
          <tpl hier="4" item="1"/>
          <tpl fld="2" item="15"/>
          <tpl fld="4" item="91"/>
          <tpl hier="9" item="4"/>
          <tpl hier="11" item="6"/>
          <tpl hier="12" item="5"/>
          <tpl fld="1" item="0"/>
        </tpls>
      </n>
      <n v="8322958452736">
        <tpls c="8">
          <tpl hier="2" item="0"/>
          <tpl hier="4" item="1"/>
          <tpl hier="5" item="3"/>
          <tpl fld="4" item="90"/>
          <tpl hier="9" item="4"/>
          <tpl hier="11" item="6"/>
          <tpl hier="12" item="5"/>
          <tpl fld="1" item="0"/>
        </tpls>
      </n>
      <n v="228590026752">
        <tpls c="8">
          <tpl hier="2" item="0"/>
          <tpl hier="4" item="1"/>
          <tpl fld="2" item="34"/>
          <tpl fld="4" item="90"/>
          <tpl hier="9" item="4"/>
          <tpl hier="11" item="6"/>
          <tpl hier="12" item="5"/>
          <tpl fld="1" item="0"/>
        </tpls>
      </n>
      <n v="95176638464">
        <tpls c="8">
          <tpl hier="2" item="0"/>
          <tpl hier="4" item="1"/>
          <tpl fld="2" item="18"/>
          <tpl fld="4" item="90"/>
          <tpl hier="9" item="4"/>
          <tpl hier="11" item="6"/>
          <tpl hier="12" item="5"/>
          <tpl fld="1" item="0"/>
        </tpls>
      </n>
      <n v="21357436928">
        <tpls c="8">
          <tpl hier="2" item="0"/>
          <tpl hier="4" item="1"/>
          <tpl fld="2" item="2"/>
          <tpl fld="4" item="90"/>
          <tpl hier="9" item="4"/>
          <tpl hier="11" item="6"/>
          <tpl hier="12" item="5"/>
          <tpl fld="1" item="0"/>
        </tpls>
      </n>
      <n v="2158496768">
        <tpls c="8">
          <tpl hier="2" item="0"/>
          <tpl hier="4" item="1"/>
          <tpl fld="2" item="37"/>
          <tpl fld="4" item="89"/>
          <tpl hier="9" item="4"/>
          <tpl hier="11" item="6"/>
          <tpl hier="12" item="5"/>
          <tpl fld="1" item="0"/>
        </tpls>
      </n>
      <n v="779981440">
        <tpls c="8">
          <tpl hier="2" item="0"/>
          <tpl hier="4" item="1"/>
          <tpl fld="2" item="21"/>
          <tpl fld="4" item="89"/>
          <tpl hier="9" item="4"/>
          <tpl hier="11" item="6"/>
          <tpl hier="12" item="5"/>
          <tpl fld="1" item="0"/>
        </tpls>
      </n>
      <n v="679335872">
        <tpls c="8">
          <tpl hier="2" item="0"/>
          <tpl hier="4" item="1"/>
          <tpl fld="2" item="5"/>
          <tpl fld="4" item="89"/>
          <tpl hier="9" item="4"/>
          <tpl hier="11" item="6"/>
          <tpl hier="12" item="5"/>
          <tpl fld="1" item="0"/>
        </tpls>
      </n>
      <n v="969936512">
        <tpls c="8">
          <tpl hier="2" item="0"/>
          <tpl hier="4" item="1"/>
          <tpl fld="2" item="40"/>
          <tpl fld="4" item="88"/>
          <tpl hier="9" item="4"/>
          <tpl hier="11" item="6"/>
          <tpl hier="12" item="5"/>
          <tpl fld="1" item="0"/>
        </tpls>
      </n>
      <n v="486451200">
        <tpls c="8">
          <tpl hier="2" item="0"/>
          <tpl hier="4" item="1"/>
          <tpl fld="2" item="24"/>
          <tpl fld="4" item="88"/>
          <tpl hier="9" item="4"/>
          <tpl hier="11" item="6"/>
          <tpl hier="12" item="5"/>
          <tpl fld="1" item="0"/>
        </tpls>
      </n>
      <n v="85552368">
        <tpls c="8">
          <tpl hier="2" item="0"/>
          <tpl hier="4" item="1"/>
          <tpl fld="2" item="8"/>
          <tpl fld="4" item="88"/>
          <tpl hier="9" item="4"/>
          <tpl hier="11" item="6"/>
          <tpl hier="12" item="5"/>
          <tpl fld="1" item="0"/>
        </tpls>
      </n>
      <n v="18965571584">
        <tpls c="8">
          <tpl hier="2" item="0"/>
          <tpl hier="4" item="1"/>
          <tpl fld="2" item="43"/>
          <tpl fld="4" item="87"/>
          <tpl hier="9" item="4"/>
          <tpl hier="11" item="6"/>
          <tpl hier="12" item="5"/>
          <tpl fld="1" item="0"/>
        </tpls>
      </n>
      <n v="5915250176">
        <tpls c="8">
          <tpl hier="2" item="0"/>
          <tpl hier="4" item="1"/>
          <tpl fld="2" item="27"/>
          <tpl fld="4" item="87"/>
          <tpl hier="9" item="4"/>
          <tpl hier="11" item="6"/>
          <tpl hier="12" item="5"/>
          <tpl fld="1" item="0"/>
        </tpls>
      </n>
      <n v="4021697280">
        <tpls c="8">
          <tpl hier="2" item="0"/>
          <tpl hier="4" item="1"/>
          <tpl fld="2" item="11"/>
          <tpl fld="4" item="87"/>
          <tpl hier="9" item="4"/>
          <tpl hier="11" item="6"/>
          <tpl hier="12" item="5"/>
          <tpl fld="1" item="0"/>
        </tpls>
      </n>
      <n v="644935516160">
        <tpls c="8">
          <tpl hier="2" item="0"/>
          <tpl hier="4" item="1"/>
          <tpl fld="2" item="46"/>
          <tpl fld="4" item="86"/>
          <tpl hier="9" item="4"/>
          <tpl hier="11" item="6"/>
          <tpl hier="12" item="5"/>
          <tpl fld="1" item="0"/>
        </tpls>
      </n>
      <n v="189514924032">
        <tpls c="8">
          <tpl hier="2" item="0"/>
          <tpl hier="4" item="1"/>
          <tpl fld="2" item="30"/>
          <tpl fld="4" item="86"/>
          <tpl hier="9" item="4"/>
          <tpl hier="11" item="6"/>
          <tpl hier="12" item="5"/>
          <tpl fld="1" item="0"/>
        </tpls>
      </n>
      <n v="119624859648">
        <tpls c="8">
          <tpl hier="2" item="0"/>
          <tpl hier="4" item="1"/>
          <tpl fld="2" item="14"/>
          <tpl fld="4" item="86"/>
          <tpl hier="9" item="4"/>
          <tpl hier="11" item="6"/>
          <tpl hier="12" item="5"/>
          <tpl fld="1" item="0"/>
        </tpls>
      </n>
      <n v="10122472448">
        <tpls c="8">
          <tpl hier="2" item="0"/>
          <tpl hier="4" item="1"/>
          <tpl fld="2" item="49"/>
          <tpl fld="4" item="85"/>
          <tpl hier="9" item="4"/>
          <tpl hier="11" item="6"/>
          <tpl hier="12" item="5"/>
          <tpl fld="1" item="0"/>
        </tpls>
      </n>
      <n v="1846198784">
        <tpls c="8">
          <tpl hier="2" item="0"/>
          <tpl hier="4" item="1"/>
          <tpl fld="2" item="33"/>
          <tpl fld="4" item="85"/>
          <tpl hier="9" item="4"/>
          <tpl hier="11" item="6"/>
          <tpl hier="12" item="5"/>
          <tpl fld="1" item="0"/>
        </tpls>
      </n>
      <n v="2157434112">
        <tpls c="8">
          <tpl hier="2" item="0"/>
          <tpl hier="4" item="1"/>
          <tpl fld="2" item="17"/>
          <tpl fld="4" item="85"/>
          <tpl hier="9" item="4"/>
          <tpl hier="11" item="6"/>
          <tpl hier="12" item="5"/>
          <tpl fld="1" item="0"/>
        </tpls>
      </n>
      <n v="222952576">
        <tpls c="8">
          <tpl hier="2" item="0"/>
          <tpl hier="4" item="1"/>
          <tpl fld="2" item="1"/>
          <tpl fld="4" item="85"/>
          <tpl hier="9" item="4"/>
          <tpl hier="11" item="6"/>
          <tpl hier="12" item="5"/>
          <tpl fld="1" item="0"/>
        </tpls>
      </n>
      <n v="87276167168">
        <tpls c="8">
          <tpl hier="2" item="0"/>
          <tpl hier="4" item="1"/>
          <tpl fld="2" item="36"/>
          <tpl fld="4" item="84"/>
          <tpl hier="9" item="4"/>
          <tpl hier="11" item="6"/>
          <tpl hier="12" item="5"/>
          <tpl fld="1" item="0"/>
        </tpls>
      </n>
      <n v="30603919360">
        <tpls c="8">
          <tpl hier="2" item="0"/>
          <tpl hier="4" item="1"/>
          <tpl fld="2" item="20"/>
          <tpl fld="4" item="84"/>
          <tpl hier="9" item="4"/>
          <tpl hier="11" item="6"/>
          <tpl hier="12" item="5"/>
          <tpl fld="1" item="0"/>
        </tpls>
      </n>
      <n v="7684800000">
        <tpls c="8">
          <tpl hier="2" item="0"/>
          <tpl hier="4" item="1"/>
          <tpl fld="2" item="4"/>
          <tpl fld="4" item="84"/>
          <tpl hier="9" item="4"/>
          <tpl hier="11" item="6"/>
          <tpl hier="12" item="5"/>
          <tpl fld="1" item="0"/>
        </tpls>
      </n>
      <n v="176131653632">
        <tpls c="8">
          <tpl hier="2" item="0"/>
          <tpl hier="4" item="1"/>
          <tpl fld="2" item="39"/>
          <tpl fld="4" item="83"/>
          <tpl hier="9" item="4"/>
          <tpl hier="11" item="6"/>
          <tpl hier="12" item="5"/>
          <tpl fld="1" item="0"/>
        </tpls>
      </n>
      <n v="54368083968">
        <tpls c="8">
          <tpl hier="2" item="0"/>
          <tpl hier="4" item="1"/>
          <tpl fld="2" item="23"/>
          <tpl fld="4" item="83"/>
          <tpl hier="9" item="4"/>
          <tpl hier="11" item="6"/>
          <tpl hier="12" item="5"/>
          <tpl fld="1" item="0"/>
        </tpls>
      </n>
      <n v="19648106496">
        <tpls c="8">
          <tpl hier="2" item="0"/>
          <tpl hier="4" item="1"/>
          <tpl fld="2" item="7"/>
          <tpl fld="4" item="83"/>
          <tpl hier="9" item="4"/>
          <tpl hier="11" item="6"/>
          <tpl hier="12" item="5"/>
          <tpl fld="1" item="0"/>
        </tpls>
      </n>
      <n v="192649003008">
        <tpls c="8">
          <tpl hier="2" item="0"/>
          <tpl hier="4" item="1"/>
          <tpl fld="2" item="42"/>
          <tpl fld="4" item="82"/>
          <tpl hier="9" item="4"/>
          <tpl hier="11" item="6"/>
          <tpl hier="12" item="5"/>
          <tpl fld="1" item="0"/>
        </tpls>
      </n>
      <n v="55252414464">
        <tpls c="8">
          <tpl hier="2" item="0"/>
          <tpl hier="4" item="1"/>
          <tpl fld="2" item="26"/>
          <tpl fld="4" item="82"/>
          <tpl hier="9" item="4"/>
          <tpl hier="11" item="6"/>
          <tpl hier="12" item="5"/>
          <tpl fld="1" item="0"/>
        </tpls>
      </n>
      <n v="18134028288">
        <tpls c="8">
          <tpl hier="2" item="0"/>
          <tpl hier="4" item="1"/>
          <tpl fld="2" item="10"/>
          <tpl fld="4" item="82"/>
          <tpl hier="9" item="4"/>
          <tpl hier="11" item="6"/>
          <tpl hier="12" item="5"/>
          <tpl fld="1" item="0"/>
        </tpls>
      </n>
      <n v="36164067328">
        <tpls c="8">
          <tpl hier="2" item="0"/>
          <tpl hier="4" item="1"/>
          <tpl fld="2" item="45"/>
          <tpl fld="4" item="81"/>
          <tpl hier="9" item="4"/>
          <tpl hier="11" item="6"/>
          <tpl hier="12" item="5"/>
          <tpl fld="1" item="0"/>
        </tpls>
      </n>
      <n v="8837069824">
        <tpls c="8">
          <tpl hier="2" item="0"/>
          <tpl hier="4" item="1"/>
          <tpl fld="2" item="29"/>
          <tpl fld="4" item="81"/>
          <tpl hier="9" item="4"/>
          <tpl hier="11" item="6"/>
          <tpl hier="12" item="5"/>
          <tpl fld="1" item="0"/>
        </tpls>
      </n>
      <n v="5673248768">
        <tpls c="8">
          <tpl hier="2" item="0"/>
          <tpl hier="4" item="1"/>
          <tpl fld="2" item="13"/>
          <tpl fld="4" item="81"/>
          <tpl hier="9" item="4"/>
          <tpl hier="11" item="6"/>
          <tpl hier="12" item="5"/>
          <tpl fld="1" item="0"/>
        </tpls>
      </n>
      <n v="23412494336">
        <tpls c="8">
          <tpl hier="2" item="0"/>
          <tpl hier="4" item="1"/>
          <tpl fld="2" item="48"/>
          <tpl fld="4" item="80"/>
          <tpl hier="9" item="4"/>
          <tpl hier="11" item="6"/>
          <tpl hier="12" item="5"/>
          <tpl fld="1" item="0"/>
        </tpls>
      </n>
      <n v="2999511040">
        <tpls c="8">
          <tpl hier="2" item="0"/>
          <tpl hier="4" item="1"/>
          <tpl fld="2" item="32"/>
          <tpl fld="4" item="80"/>
          <tpl hier="9" item="4"/>
          <tpl hier="11" item="6"/>
          <tpl hier="12" item="5"/>
          <tpl fld="1" item="0"/>
        </tpls>
      </n>
      <n v="2648033792">
        <tpls c="8">
          <tpl hier="2" item="0"/>
          <tpl hier="4" item="1"/>
          <tpl fld="2" item="16"/>
          <tpl fld="4" item="80"/>
          <tpl hier="9" item="4"/>
          <tpl hier="11" item="6"/>
          <tpl hier="12" item="5"/>
          <tpl fld="1" item="0"/>
        </tpls>
      </n>
      <n v="645537152">
        <tpls c="8">
          <tpl hier="2" item="0"/>
          <tpl hier="4" item="1"/>
          <tpl fld="2" item="0"/>
          <tpl fld="4" item="80"/>
          <tpl hier="9" item="4"/>
          <tpl hier="11" item="6"/>
          <tpl hier="12" item="5"/>
          <tpl fld="1" item="0"/>
        </tpls>
      </n>
      <n v="16374393856">
        <tpls c="8">
          <tpl hier="2" item="0"/>
          <tpl hier="4" item="1"/>
          <tpl fld="2" item="35"/>
          <tpl fld="4" item="79"/>
          <tpl hier="9" item="4"/>
          <tpl hier="11" item="6"/>
          <tpl hier="12" item="5"/>
          <tpl fld="1" item="0"/>
        </tpls>
      </n>
      <n v="5918469632">
        <tpls c="8">
          <tpl hier="2" item="0"/>
          <tpl hier="4" item="1"/>
          <tpl fld="2" item="19"/>
          <tpl fld="4" item="79"/>
          <tpl hier="9" item="4"/>
          <tpl hier="11" item="6"/>
          <tpl hier="12" item="5"/>
          <tpl fld="1" item="0"/>
        </tpls>
      </n>
      <n v="1913793408">
        <tpls c="8">
          <tpl hier="2" item="0"/>
          <tpl hier="4" item="1"/>
          <tpl fld="2" item="3"/>
          <tpl fld="4" item="79"/>
          <tpl hier="9" item="4"/>
          <tpl hier="11" item="6"/>
          <tpl hier="12" item="5"/>
          <tpl fld="1" item="0"/>
        </tpls>
      </n>
      <n v="170077814784">
        <tpls c="8">
          <tpl hier="2" item="0"/>
          <tpl hier="4" item="1"/>
          <tpl fld="2" item="38"/>
          <tpl fld="4" item="78"/>
          <tpl hier="9" item="4"/>
          <tpl hier="11" item="6"/>
          <tpl hier="12" item="5"/>
          <tpl fld="1" item="0"/>
        </tpls>
      </n>
      <n v="48884604928">
        <tpls c="8">
          <tpl hier="2" item="0"/>
          <tpl hier="4" item="1"/>
          <tpl fld="2" item="22"/>
          <tpl fld="4" item="78"/>
          <tpl hier="9" item="4"/>
          <tpl hier="11" item="6"/>
          <tpl hier="12" item="5"/>
          <tpl fld="1" item="0"/>
        </tpls>
      </n>
      <n v="13168080896">
        <tpls c="8">
          <tpl hier="2" item="0"/>
          <tpl hier="4" item="1"/>
          <tpl fld="2" item="6"/>
          <tpl fld="4" item="78"/>
          <tpl hier="9" item="4"/>
          <tpl hier="11" item="6"/>
          <tpl hier="12" item="5"/>
          <tpl fld="1" item="0"/>
        </tpls>
      </n>
      <n v="68016906240">
        <tpls c="8">
          <tpl hier="2" item="0"/>
          <tpl hier="4" item="1"/>
          <tpl fld="2" item="41"/>
          <tpl fld="4" item="77"/>
          <tpl hier="9" item="4"/>
          <tpl hier="11" item="6"/>
          <tpl hier="12" item="5"/>
          <tpl fld="1" item="0"/>
        </tpls>
      </n>
      <n v="13802600448">
        <tpls c="8">
          <tpl hier="2" item="0"/>
          <tpl hier="4" item="1"/>
          <tpl fld="2" item="25"/>
          <tpl fld="4" item="77"/>
          <tpl hier="9" item="4"/>
          <tpl hier="11" item="6"/>
          <tpl hier="12" item="5"/>
          <tpl fld="1" item="0"/>
        </tpls>
      </n>
      <n v="3733352704">
        <tpls c="8">
          <tpl hier="2" item="0"/>
          <tpl hier="4" item="1"/>
          <tpl fld="2" item="9"/>
          <tpl fld="4" item="77"/>
          <tpl hier="9" item="4"/>
          <tpl hier="11" item="6"/>
          <tpl hier="12" item="5"/>
          <tpl fld="1" item="0"/>
        </tpls>
      </n>
      <n v="568498913280">
        <tpls c="8">
          <tpl hier="2" item="0"/>
          <tpl hier="4" item="1"/>
          <tpl fld="2" item="44"/>
          <tpl fld="4" item="76"/>
          <tpl hier="9" item="4"/>
          <tpl hier="11" item="6"/>
          <tpl hier="12" item="5"/>
          <tpl fld="1" item="0"/>
        </tpls>
      </n>
      <n v="54604050432">
        <tpls c="8">
          <tpl hier="2" item="0"/>
          <tpl hier="4" item="1"/>
          <tpl fld="2" item="28"/>
          <tpl fld="4" item="76"/>
          <tpl hier="9" item="4"/>
          <tpl hier="11" item="6"/>
          <tpl hier="12" item="5"/>
          <tpl fld="1" item="0"/>
        </tpls>
      </n>
      <n v="142769356800">
        <tpls c="8">
          <tpl hier="2" item="0"/>
          <tpl hier="4" item="1"/>
          <tpl fld="2" item="12"/>
          <tpl fld="4" item="76"/>
          <tpl hier="9" item="4"/>
          <tpl hier="11" item="6"/>
          <tpl hier="12" item="5"/>
          <tpl fld="1" item="0"/>
        </tpls>
      </n>
      <n v="11166063616">
        <tpls c="8">
          <tpl hier="2" item="0"/>
          <tpl hier="4" item="1"/>
          <tpl fld="2" item="47"/>
          <tpl fld="4" item="75"/>
          <tpl hier="9" item="4"/>
          <tpl hier="11" item="6"/>
          <tpl hier="12" item="5"/>
          <tpl fld="1" item="0"/>
        </tpls>
      </n>
      <n v="2445079040">
        <tpls c="8">
          <tpl hier="2" item="0"/>
          <tpl hier="4" item="1"/>
          <tpl fld="2" item="31"/>
          <tpl fld="4" item="75"/>
          <tpl hier="9" item="4"/>
          <tpl hier="11" item="6"/>
          <tpl hier="12" item="5"/>
          <tpl fld="1" item="0"/>
        </tpls>
      </n>
      <n v="1440581504">
        <tpls c="8">
          <tpl hier="2" item="0"/>
          <tpl hier="4" item="1"/>
          <tpl fld="2" item="15"/>
          <tpl fld="4" item="75"/>
          <tpl hier="9" item="4"/>
          <tpl hier="11" item="6"/>
          <tpl hier="12" item="5"/>
          <tpl fld="1" item="0"/>
        </tpls>
      </n>
      <n v="254121836736">
        <tpls c="8">
          <tpl hier="2" item="0"/>
          <tpl hier="4" item="1"/>
          <tpl hier="5" item="3"/>
          <tpl fld="4" item="74"/>
          <tpl hier="9" item="4"/>
          <tpl hier="11" item="6"/>
          <tpl hier="12" item="5"/>
          <tpl fld="1" item="0"/>
        </tpls>
      </n>
      <n v="5795568128">
        <tpls c="8">
          <tpl hier="2" item="0"/>
          <tpl hier="4" item="1"/>
          <tpl fld="2" item="34"/>
          <tpl fld="4" item="74"/>
          <tpl hier="9" item="4"/>
          <tpl hier="11" item="6"/>
          <tpl hier="12" item="5"/>
          <tpl fld="1" item="0"/>
        </tpls>
      </n>
      <n v="2630904320">
        <tpls c="8">
          <tpl hier="2" item="0"/>
          <tpl hier="4" item="1"/>
          <tpl fld="2" item="18"/>
          <tpl fld="4" item="74"/>
          <tpl hier="9" item="4"/>
          <tpl hier="11" item="6"/>
          <tpl hier="12" item="5"/>
          <tpl fld="1" item="0"/>
        </tpls>
      </n>
      <n v="880842880">
        <tpls c="8">
          <tpl hier="2" item="0"/>
          <tpl hier="4" item="1"/>
          <tpl fld="2" item="2"/>
          <tpl fld="4" item="74"/>
          <tpl hier="9" item="4"/>
          <tpl hier="11" item="6"/>
          <tpl hier="12" item="5"/>
          <tpl fld="1" item="0"/>
        </tpls>
      </n>
      <n v="10325617664">
        <tpls c="8">
          <tpl hier="2" item="0"/>
          <tpl hier="4" item="1"/>
          <tpl fld="2" item="37"/>
          <tpl fld="4" item="73"/>
          <tpl hier="9" item="4"/>
          <tpl hier="11" item="6"/>
          <tpl hier="12" item="5"/>
          <tpl fld="1" item="0"/>
        </tpls>
      </n>
      <n v="3921476096">
        <tpls c="8">
          <tpl hier="2" item="0"/>
          <tpl hier="4" item="1"/>
          <tpl fld="2" item="21"/>
          <tpl fld="4" item="73"/>
          <tpl hier="9" item="4"/>
          <tpl hier="11" item="6"/>
          <tpl hier="12" item="5"/>
          <tpl fld="1" item="0"/>
        </tpls>
      </n>
      <n v="1575789312">
        <tpls c="8">
          <tpl hier="2" item="0"/>
          <tpl hier="4" item="1"/>
          <tpl fld="2" item="5"/>
          <tpl fld="4" item="73"/>
          <tpl hier="9" item="4"/>
          <tpl hier="11" item="6"/>
          <tpl hier="12" item="5"/>
          <tpl fld="1" item="0"/>
        </tpls>
      </n>
      <n v="93216743424">
        <tpls c="8">
          <tpl hier="2" item="0"/>
          <tpl hier="4" item="1"/>
          <tpl fld="2" item="40"/>
          <tpl fld="4" item="72"/>
          <tpl hier="9" item="4"/>
          <tpl hier="11" item="6"/>
          <tpl hier="12" item="5"/>
          <tpl fld="1" item="0"/>
        </tpls>
      </n>
      <n v="35604135936">
        <tpls c="8">
          <tpl hier="2" item="0"/>
          <tpl hier="4" item="1"/>
          <tpl fld="2" item="24"/>
          <tpl fld="4" item="72"/>
          <tpl hier="9" item="4"/>
          <tpl hier="11" item="6"/>
          <tpl hier="12" item="5"/>
          <tpl fld="1" item="0"/>
        </tpls>
      </n>
      <n v="13236853760">
        <tpls c="8">
          <tpl hier="2" item="0"/>
          <tpl hier="4" item="1"/>
          <tpl fld="2" item="8"/>
          <tpl fld="4" item="72"/>
          <tpl hier="9" item="4"/>
          <tpl hier="11" item="6"/>
          <tpl hier="12" item="5"/>
          <tpl fld="1" item="0"/>
        </tpls>
      </n>
      <n v="1274443071488">
        <tpls c="8">
          <tpl hier="2" item="0"/>
          <tpl hier="4" item="1"/>
          <tpl fld="2" item="43"/>
          <tpl fld="4" item="71"/>
          <tpl hier="9" item="4"/>
          <tpl hier="11" item="6"/>
          <tpl hier="12" item="5"/>
          <tpl fld="1" item="0"/>
        </tpls>
      </n>
      <n v="500413497344">
        <tpls c="8">
          <tpl hier="2" item="0"/>
          <tpl hier="4" item="1"/>
          <tpl fld="2" item="27"/>
          <tpl fld="4" item="71"/>
          <tpl hier="9" item="4"/>
          <tpl hier="11" item="6"/>
          <tpl hier="12" item="5"/>
          <tpl fld="1" item="0"/>
        </tpls>
      </n>
      <n v="263959330816">
        <tpls c="8">
          <tpl hier="2" item="0"/>
          <tpl hier="4" item="1"/>
          <tpl fld="2" item="11"/>
          <tpl fld="4" item="71"/>
          <tpl hier="9" item="4"/>
          <tpl hier="11" item="6"/>
          <tpl hier="12" item="5"/>
          <tpl fld="1" item="0"/>
        </tpls>
      </n>
      <n v="6398744576">
        <tpls c="8">
          <tpl hier="2" item="0"/>
          <tpl hier="4" item="1"/>
          <tpl fld="2" item="46"/>
          <tpl fld="4" item="70"/>
          <tpl hier="9" item="4"/>
          <tpl hier="11" item="6"/>
          <tpl hier="12" item="5"/>
          <tpl fld="1" item="0"/>
        </tpls>
      </n>
      <n v="1779521152">
        <tpls c="8">
          <tpl hier="2" item="0"/>
          <tpl hier="4" item="1"/>
          <tpl fld="2" item="30"/>
          <tpl fld="4" item="70"/>
          <tpl hier="9" item="4"/>
          <tpl hier="11" item="6"/>
          <tpl hier="12" item="5"/>
          <tpl fld="1" item="0"/>
        </tpls>
      </n>
      <n v="1074373760">
        <tpls c="8">
          <tpl hier="2" item="0"/>
          <tpl hier="4" item="1"/>
          <tpl fld="2" item="14"/>
          <tpl fld="4" item="70"/>
          <tpl hier="9" item="4"/>
          <tpl hier="11" item="6"/>
          <tpl hier="12" item="5"/>
          <tpl fld="1" item="0"/>
        </tpls>
      </n>
      <n v="17510141952">
        <tpls c="8">
          <tpl hier="2" item="0"/>
          <tpl hier="4" item="1"/>
          <tpl fld="2" item="49"/>
          <tpl fld="4" item="69"/>
          <tpl hier="9" item="4"/>
          <tpl hier="11" item="6"/>
          <tpl hier="12" item="5"/>
          <tpl fld="1" item="0"/>
        </tpls>
      </n>
      <n v="4703504384">
        <tpls c="8">
          <tpl hier="2" item="0"/>
          <tpl hier="4" item="1"/>
          <tpl fld="2" item="33"/>
          <tpl fld="4" item="69"/>
          <tpl hier="9" item="4"/>
          <tpl hier="11" item="6"/>
          <tpl hier="12" item="5"/>
          <tpl fld="1" item="0"/>
        </tpls>
      </n>
      <n v="2090629760">
        <tpls c="8">
          <tpl hier="2" item="0"/>
          <tpl hier="4" item="1"/>
          <tpl fld="2" item="17"/>
          <tpl fld="4" item="69"/>
          <tpl hier="9" item="4"/>
          <tpl hier="11" item="6"/>
          <tpl hier="12" item="5"/>
          <tpl fld="1" item="0"/>
        </tpls>
      </n>
      <n v="430096736">
        <tpls c="8">
          <tpl hier="2" item="0"/>
          <tpl hier="4" item="1"/>
          <tpl fld="2" item="1"/>
          <tpl fld="4" item="69"/>
          <tpl hier="9" item="4"/>
          <tpl hier="11" item="6"/>
          <tpl hier="12" item="5"/>
          <tpl fld="1" item="0"/>
        </tpls>
      </n>
      <n v="162691235840">
        <tpls c="8">
          <tpl hier="2" item="0"/>
          <tpl hier="4" item="1"/>
          <tpl fld="2" item="36"/>
          <tpl fld="4" item="68"/>
          <tpl hier="9" item="4"/>
          <tpl hier="11" item="6"/>
          <tpl hier="12" item="5"/>
          <tpl fld="1" item="0"/>
        </tpls>
      </n>
      <n v="44024176640">
        <tpls c="8">
          <tpl hier="2" item="0"/>
          <tpl hier="4" item="1"/>
          <tpl fld="2" item="20"/>
          <tpl fld="4" item="68"/>
          <tpl hier="9" item="4"/>
          <tpl hier="11" item="6"/>
          <tpl hier="12" item="5"/>
          <tpl fld="1" item="0"/>
        </tpls>
      </n>
      <n v="9496074240">
        <tpls c="8">
          <tpl hier="2" item="0"/>
          <tpl hier="4" item="1"/>
          <tpl fld="2" item="4"/>
          <tpl fld="4" item="68"/>
          <tpl hier="9" item="4"/>
          <tpl hier="11" item="6"/>
          <tpl hier="12" item="5"/>
          <tpl fld="1" item="0"/>
        </tpls>
      </n>
      <n v="6191127552">
        <tpls c="8">
          <tpl hier="2" item="0"/>
          <tpl hier="4" item="1"/>
          <tpl fld="2" item="39"/>
          <tpl fld="4" item="67"/>
          <tpl hier="9" item="4"/>
          <tpl hier="11" item="6"/>
          <tpl hier="12" item="5"/>
          <tpl fld="1" item="0"/>
        </tpls>
      </n>
      <n v="2070636928">
        <tpls c="8">
          <tpl hier="2" item="0"/>
          <tpl hier="4" item="1"/>
          <tpl fld="2" item="23"/>
          <tpl fld="4" item="67"/>
          <tpl hier="9" item="4"/>
          <tpl hier="11" item="6"/>
          <tpl hier="12" item="5"/>
          <tpl fld="1" item="0"/>
        </tpls>
      </n>
      <n v="806290816">
        <tpls c="8">
          <tpl hier="2" item="0"/>
          <tpl hier="4" item="1"/>
          <tpl fld="2" item="7"/>
          <tpl fld="4" item="67"/>
          <tpl hier="9" item="4"/>
          <tpl hier="11" item="6"/>
          <tpl hier="12" item="5"/>
          <tpl fld="1" item="0"/>
        </tpls>
      </n>
      <n v="11578978304">
        <tpls c="8">
          <tpl hier="2" item="0"/>
          <tpl hier="4" item="1"/>
          <tpl fld="2" item="42"/>
          <tpl fld="4" item="66"/>
          <tpl hier="9" item="4"/>
          <tpl hier="11" item="6"/>
          <tpl hier="12" item="5"/>
          <tpl fld="1" item="0"/>
        </tpls>
      </n>
      <n v="4931860992">
        <tpls c="8">
          <tpl hier="2" item="0"/>
          <tpl hier="4" item="1"/>
          <tpl fld="2" item="26"/>
          <tpl fld="4" item="66"/>
          <tpl hier="9" item="4"/>
          <tpl hier="11" item="6"/>
          <tpl hier="12" item="5"/>
          <tpl fld="1" item="0"/>
        </tpls>
      </n>
      <n v="5201818112">
        <tpls c="8">
          <tpl hier="2" item="0"/>
          <tpl hier="4" item="1"/>
          <tpl fld="2" item="10"/>
          <tpl fld="4" item="66"/>
          <tpl hier="9" item="4"/>
          <tpl hier="11" item="6"/>
          <tpl hier="12" item="5"/>
          <tpl fld="1" item="0"/>
        </tpls>
      </n>
      <n v="2372280064">
        <tpls c="8">
          <tpl hier="2" item="0"/>
          <tpl hier="4" item="1"/>
          <tpl fld="2" item="45"/>
          <tpl fld="4" item="65"/>
          <tpl hier="9" item="4"/>
          <tpl hier="11" item="6"/>
          <tpl hier="12" item="5"/>
          <tpl fld="1" item="0"/>
        </tpls>
      </n>
      <n v="912771264">
        <tpls c="8">
          <tpl hier="2" item="0"/>
          <tpl hier="4" item="1"/>
          <tpl fld="2" item="29"/>
          <tpl fld="4" item="65"/>
          <tpl hier="9" item="4"/>
          <tpl hier="11" item="6"/>
          <tpl hier="12" item="5"/>
          <tpl fld="1" item="0"/>
        </tpls>
      </n>
      <n v="386699296">
        <tpls c="8">
          <tpl hier="2" item="0"/>
          <tpl hier="4" item="1"/>
          <tpl fld="2" item="13"/>
          <tpl fld="4" item="65"/>
          <tpl hier="9" item="4"/>
          <tpl hier="11" item="6"/>
          <tpl hier="12" item="5"/>
          <tpl fld="1" item="0"/>
        </tpls>
      </n>
      <n v="196737888">
        <tpls c="8">
          <tpl hier="2" item="0"/>
          <tpl hier="4" item="1"/>
          <tpl fld="2" item="48"/>
          <tpl fld="4" item="64"/>
          <tpl hier="9" item="4"/>
          <tpl hier="11" item="6"/>
          <tpl hier="12" item="5"/>
          <tpl fld="1" item="0"/>
        </tpls>
      </n>
      <n v="65967351811584">
        <tpls c="8">
          <tpl hier="2" item="0"/>
          <tpl hier="4" item="1"/>
          <tpl fld="2" item="42"/>
          <tpl hier="6" item="2"/>
          <tpl hier="9" item="4"/>
          <tpl hier="11" item="6"/>
          <tpl hier="12" item="5"/>
          <tpl fld="1" item="0"/>
        </tpls>
      </n>
      <n v="29256363481776">
        <tpls c="8">
          <tpl hier="2" item="0"/>
          <tpl hier="4" item="1"/>
          <tpl fld="2" item="26"/>
          <tpl hier="6" item="2"/>
          <tpl hier="9" item="4"/>
          <tpl hier="11" item="6"/>
          <tpl hier="12" item="5"/>
          <tpl fld="1" item="0"/>
        </tpls>
      </n>
      <n v="10237255701500">
        <tpls c="8">
          <tpl hier="2" item="0"/>
          <tpl hier="4" item="1"/>
          <tpl fld="2" item="10"/>
          <tpl hier="6" item="2"/>
          <tpl hier="9" item="4"/>
          <tpl hier="11" item="6"/>
          <tpl hier="12" item="5"/>
          <tpl fld="1" item="0"/>
        </tpls>
      </n>
      <n v="19963119616">
        <tpls c="8">
          <tpl hier="2" item="0"/>
          <tpl hier="4" item="1"/>
          <tpl fld="2" item="45"/>
          <tpl fld="4" item="102"/>
          <tpl hier="9" item="4"/>
          <tpl hier="11" item="6"/>
          <tpl hier="12" item="5"/>
          <tpl fld="1" item="0"/>
        </tpls>
      </n>
      <n v="6858013184">
        <tpls c="8">
          <tpl hier="2" item="0"/>
          <tpl hier="4" item="1"/>
          <tpl fld="2" item="29"/>
          <tpl fld="4" item="102"/>
          <tpl hier="9" item="4"/>
          <tpl hier="11" item="6"/>
          <tpl hier="12" item="5"/>
          <tpl fld="1" item="0"/>
        </tpls>
      </n>
      <n v="7764066816">
        <tpls c="8">
          <tpl hier="2" item="0"/>
          <tpl hier="4" item="1"/>
          <tpl fld="2" item="13"/>
          <tpl fld="4" item="102"/>
          <tpl hier="9" item="4"/>
          <tpl hier="11" item="6"/>
          <tpl hier="12" item="5"/>
          <tpl fld="1" item="0"/>
        </tpls>
      </n>
      <n v="27005239296">
        <tpls c="8">
          <tpl hier="2" item="0"/>
          <tpl hier="4" item="1"/>
          <tpl fld="2" item="48"/>
          <tpl fld="4" item="101"/>
          <tpl hier="9" item="4"/>
          <tpl hier="11" item="6"/>
          <tpl hier="12" item="5"/>
          <tpl fld="1" item="0"/>
        </tpls>
      </n>
      <n v="4193845760">
        <tpls c="8">
          <tpl hier="2" item="0"/>
          <tpl hier="4" item="1"/>
          <tpl fld="2" item="32"/>
          <tpl fld="4" item="101"/>
          <tpl hier="9" item="4"/>
          <tpl hier="11" item="6"/>
          <tpl hier="12" item="5"/>
          <tpl fld="1" item="0"/>
        </tpls>
      </n>
      <n v="1661948672">
        <tpls c="8">
          <tpl hier="2" item="0"/>
          <tpl hier="4" item="1"/>
          <tpl fld="2" item="16"/>
          <tpl fld="4" item="101"/>
          <tpl hier="9" item="4"/>
          <tpl hier="11" item="6"/>
          <tpl hier="12" item="5"/>
          <tpl fld="1" item="0"/>
        </tpls>
      </n>
      <n v="1825285760">
        <tpls c="8">
          <tpl hier="2" item="0"/>
          <tpl hier="4" item="1"/>
          <tpl fld="2" item="0"/>
          <tpl fld="4" item="101"/>
          <tpl hier="9" item="4"/>
          <tpl hier="11" item="6"/>
          <tpl hier="12" item="5"/>
          <tpl fld="1" item="0"/>
        </tpls>
      </n>
      <n v="17362857984">
        <tpls c="8">
          <tpl hier="2" item="0"/>
          <tpl hier="4" item="1"/>
          <tpl fld="2" item="35"/>
          <tpl fld="4" item="100"/>
          <tpl hier="9" item="4"/>
          <tpl hier="11" item="6"/>
          <tpl hier="12" item="5"/>
          <tpl fld="1" item="0"/>
        </tpls>
      </n>
      <n v="8438951424">
        <tpls c="8">
          <tpl hier="2" item="0"/>
          <tpl hier="4" item="1"/>
          <tpl fld="2" item="19"/>
          <tpl fld="4" item="100"/>
          <tpl hier="9" item="4"/>
          <tpl hier="11" item="6"/>
          <tpl hier="12" item="5"/>
          <tpl fld="1" item="0"/>
        </tpls>
      </n>
      <n v="3964295680">
        <tpls c="8">
          <tpl hier="2" item="0"/>
          <tpl hier="4" item="1"/>
          <tpl fld="2" item="3"/>
          <tpl fld="4" item="100"/>
          <tpl hier="9" item="4"/>
          <tpl hier="11" item="6"/>
          <tpl hier="12" item="5"/>
          <tpl fld="1" item="0"/>
        </tpls>
      </n>
      <n v="764335685632">
        <tpls c="8">
          <tpl hier="2" item="0"/>
          <tpl hier="4" item="1"/>
          <tpl fld="2" item="38"/>
          <tpl fld="4" item="99"/>
          <tpl hier="9" item="4"/>
          <tpl hier="11" item="6"/>
          <tpl hier="12" item="5"/>
          <tpl fld="1" item="0"/>
        </tpls>
      </n>
      <n v="158459133952">
        <tpls c="8">
          <tpl hier="2" item="0"/>
          <tpl hier="4" item="1"/>
          <tpl fld="2" item="22"/>
          <tpl fld="4" item="99"/>
          <tpl hier="9" item="4"/>
          <tpl hier="11" item="6"/>
          <tpl hier="12" item="5"/>
          <tpl fld="1" item="0"/>
        </tpls>
      </n>
      <n v="51280134144">
        <tpls c="8">
          <tpl hier="2" item="0"/>
          <tpl hier="4" item="1"/>
          <tpl fld="2" item="6"/>
          <tpl fld="4" item="99"/>
          <tpl hier="9" item="4"/>
          <tpl hier="11" item="6"/>
          <tpl hier="12" item="5"/>
          <tpl fld="1" item="0"/>
        </tpls>
      </n>
      <n v="45810626560">
        <tpls c="8">
          <tpl hier="2" item="0"/>
          <tpl hier="4" item="1"/>
          <tpl fld="2" item="41"/>
          <tpl fld="4" item="98"/>
          <tpl hier="9" item="4"/>
          <tpl hier="11" item="6"/>
          <tpl hier="12" item="5"/>
          <tpl fld="1" item="0"/>
        </tpls>
      </n>
      <n v="18030876672">
        <tpls c="8">
          <tpl hier="2" item="0"/>
          <tpl hier="4" item="1"/>
          <tpl fld="2" item="25"/>
          <tpl fld="4" item="98"/>
          <tpl hier="9" item="4"/>
          <tpl hier="11" item="6"/>
          <tpl hier="12" item="5"/>
          <tpl fld="1" item="0"/>
        </tpls>
      </n>
      <n v="7188191744">
        <tpls c="8">
          <tpl hier="2" item="0"/>
          <tpl hier="4" item="1"/>
          <tpl fld="2" item="9"/>
          <tpl fld="4" item="98"/>
          <tpl hier="9" item="4"/>
          <tpl hier="11" item="6"/>
          <tpl hier="12" item="5"/>
          <tpl fld="1" item="0"/>
        </tpls>
      </n>
      <n v="27615842304">
        <tpls c="8">
          <tpl hier="2" item="0"/>
          <tpl hier="4" item="1"/>
          <tpl fld="2" item="44"/>
          <tpl fld="4" item="97"/>
          <tpl hier="9" item="4"/>
          <tpl hier="11" item="6"/>
          <tpl hier="12" item="5"/>
          <tpl fld="1" item="0"/>
        </tpls>
      </n>
      <n v="6043694080">
        <tpls c="8">
          <tpl hier="2" item="0"/>
          <tpl hier="4" item="1"/>
          <tpl fld="2" item="28"/>
          <tpl fld="4" item="97"/>
          <tpl hier="9" item="4"/>
          <tpl hier="11" item="6"/>
          <tpl hier="12" item="5"/>
          <tpl fld="1" item="0"/>
        </tpls>
      </n>
      <n v="8140416512">
        <tpls c="8">
          <tpl hier="2" item="0"/>
          <tpl hier="4" item="1"/>
          <tpl fld="2" item="12"/>
          <tpl fld="4" item="97"/>
          <tpl hier="9" item="4"/>
          <tpl hier="11" item="6"/>
          <tpl hier="12" item="5"/>
          <tpl fld="1" item="0"/>
        </tpls>
      </n>
      <n v="4819950080">
        <tpls c="8">
          <tpl hier="2" item="0"/>
          <tpl hier="4" item="1"/>
          <tpl fld="2" item="47"/>
          <tpl fld="4" item="96"/>
          <tpl hier="9" item="4"/>
          <tpl hier="11" item="6"/>
          <tpl hier="12" item="5"/>
          <tpl fld="1" item="0"/>
        </tpls>
      </n>
      <n v="1481141888">
        <tpls c="8">
          <tpl hier="2" item="0"/>
          <tpl hier="4" item="1"/>
          <tpl fld="2" item="31"/>
          <tpl fld="4" item="96"/>
          <tpl hier="9" item="4"/>
          <tpl hier="11" item="6"/>
          <tpl hier="12" item="5"/>
          <tpl fld="1" item="0"/>
        </tpls>
      </n>
      <n v="762359744">
        <tpls c="8">
          <tpl hier="2" item="0"/>
          <tpl hier="4" item="1"/>
          <tpl fld="2" item="15"/>
          <tpl fld="4" item="96"/>
          <tpl hier="9" item="4"/>
          <tpl hier="11" item="6"/>
          <tpl hier="12" item="5"/>
          <tpl fld="1" item="0"/>
        </tpls>
      </n>
      <n v="8127348022784">
        <tpls c="8">
          <tpl hier="2" item="0"/>
          <tpl hier="4" item="1"/>
          <tpl hier="5" item="3"/>
          <tpl fld="4" item="95"/>
          <tpl hier="9" item="4"/>
          <tpl hier="11" item="6"/>
          <tpl hier="12" item="5"/>
          <tpl fld="1" item="0"/>
        </tpls>
      </n>
      <n v="172895748096">
        <tpls c="8">
          <tpl hier="2" item="0"/>
          <tpl hier="4" item="1"/>
          <tpl fld="2" item="34"/>
          <tpl fld="4" item="95"/>
          <tpl hier="9" item="4"/>
          <tpl hier="11" item="6"/>
          <tpl hier="12" item="5"/>
          <tpl fld="1" item="0"/>
        </tpls>
      </n>
      <n v="61667201024">
        <tpls c="8">
          <tpl hier="2" item="0"/>
          <tpl hier="4" item="1"/>
          <tpl fld="2" item="18"/>
          <tpl fld="4" item="95"/>
          <tpl hier="9" item="4"/>
          <tpl hier="11" item="6"/>
          <tpl hier="12" item="5"/>
          <tpl fld="1" item="0"/>
        </tpls>
      </n>
      <n v="8177884672">
        <tpls c="8">
          <tpl hier="2" item="0"/>
          <tpl hier="4" item="1"/>
          <tpl fld="2" item="2"/>
          <tpl fld="4" item="95"/>
          <tpl hier="9" item="4"/>
          <tpl hier="11" item="6"/>
          <tpl hier="12" item="5"/>
          <tpl fld="1" item="0"/>
        </tpls>
      </n>
      <n v="3469363968">
        <tpls c="8">
          <tpl hier="2" item="0"/>
          <tpl hier="4" item="1"/>
          <tpl fld="2" item="37"/>
          <tpl fld="4" item="94"/>
          <tpl hier="9" item="4"/>
          <tpl hier="11" item="6"/>
          <tpl hier="12" item="5"/>
          <tpl fld="1" item="0"/>
        </tpls>
      </n>
      <n v="1156141952">
        <tpls c="8">
          <tpl hier="2" item="0"/>
          <tpl hier="4" item="1"/>
          <tpl fld="2" item="21"/>
          <tpl fld="4" item="94"/>
          <tpl hier="9" item="4"/>
          <tpl hier="11" item="6"/>
          <tpl hier="12" item="5"/>
          <tpl fld="1" item="0"/>
        </tpls>
      </n>
      <n v="288302912">
        <tpls c="8">
          <tpl hier="2" item="0"/>
          <tpl hier="4" item="1"/>
          <tpl fld="2" item="5"/>
          <tpl fld="4" item="94"/>
          <tpl hier="9" item="4"/>
          <tpl hier="11" item="6"/>
          <tpl hier="12" item="5"/>
          <tpl fld="1" item="0"/>
        </tpls>
      </n>
      <n v="4368397824">
        <tpls c="8">
          <tpl hier="2" item="0"/>
          <tpl hier="4" item="1"/>
          <tpl fld="2" item="40"/>
          <tpl fld="4" item="93"/>
          <tpl hier="9" item="4"/>
          <tpl hier="11" item="6"/>
          <tpl hier="12" item="5"/>
          <tpl fld="1" item="0"/>
        </tpls>
      </n>
      <n v="605492544">
        <tpls c="8">
          <tpl hier="2" item="0"/>
          <tpl hier="4" item="1"/>
          <tpl fld="2" item="24"/>
          <tpl fld="4" item="93"/>
          <tpl hier="9" item="4"/>
          <tpl hier="11" item="6"/>
          <tpl hier="12" item="5"/>
          <tpl fld="1" item="0"/>
        </tpls>
      </n>
      <n v="735500032">
        <tpls c="8">
          <tpl hier="2" item="0"/>
          <tpl hier="4" item="1"/>
          <tpl fld="2" item="8"/>
          <tpl fld="4" item="93"/>
          <tpl hier="9" item="4"/>
          <tpl hier="11" item="6"/>
          <tpl hier="12" item="5"/>
          <tpl fld="1" item="0"/>
        </tpls>
      </n>
      <n v="57730424832">
        <tpls c="8">
          <tpl hier="2" item="0"/>
          <tpl hier="4" item="1"/>
          <tpl fld="2" item="43"/>
          <tpl fld="4" item="92"/>
          <tpl hier="9" item="4"/>
          <tpl hier="11" item="6"/>
          <tpl hier="12" item="5"/>
          <tpl fld="1" item="0"/>
        </tpls>
      </n>
      <n v="11681495040">
        <tpls c="8">
          <tpl hier="2" item="0"/>
          <tpl hier="4" item="1"/>
          <tpl fld="2" item="27"/>
          <tpl fld="4" item="92"/>
          <tpl hier="9" item="4"/>
          <tpl hier="11" item="6"/>
          <tpl hier="12" item="5"/>
          <tpl fld="1" item="0"/>
        </tpls>
      </n>
      <n v="10016499712">
        <tpls c="8">
          <tpl hier="2" item="0"/>
          <tpl hier="4" item="1"/>
          <tpl fld="2" item="11"/>
          <tpl fld="4" item="92"/>
          <tpl hier="9" item="4"/>
          <tpl hier="11" item="6"/>
          <tpl hier="12" item="5"/>
          <tpl fld="1" item="0"/>
        </tpls>
      </n>
      <n v="82401042432">
        <tpls c="8">
          <tpl hier="2" item="0"/>
          <tpl hier="4" item="1"/>
          <tpl fld="2" item="46"/>
          <tpl fld="4" item="91"/>
          <tpl hier="9" item="4"/>
          <tpl hier="11" item="6"/>
          <tpl hier="12" item="5"/>
          <tpl fld="1" item="0"/>
        </tpls>
      </n>
      <n v="16330814464">
        <tpls c="8">
          <tpl hier="2" item="0"/>
          <tpl hier="4" item="1"/>
          <tpl fld="2" item="30"/>
          <tpl fld="4" item="91"/>
          <tpl hier="9" item="4"/>
          <tpl hier="11" item="6"/>
          <tpl hier="12" item="5"/>
          <tpl fld="1" item="0"/>
        </tpls>
      </n>
      <n v="6043474944">
        <tpls c="8">
          <tpl hier="2" item="0"/>
          <tpl hier="4" item="1"/>
          <tpl fld="2" item="14"/>
          <tpl fld="4" item="91"/>
          <tpl hier="9" item="4"/>
          <tpl hier="11" item="6"/>
          <tpl hier="12" item="5"/>
          <tpl fld="1" item="0"/>
        </tpls>
      </n>
      <n v="351431655424">
        <tpls c="8">
          <tpl hier="2" item="0"/>
          <tpl hier="4" item="1"/>
          <tpl fld="2" item="49"/>
          <tpl fld="4" item="90"/>
          <tpl hier="9" item="4"/>
          <tpl hier="11" item="6"/>
          <tpl hier="12" item="5"/>
          <tpl fld="1" item="0"/>
        </tpls>
      </n>
      <n v="175256911872">
        <tpls c="8">
          <tpl hier="2" item="0"/>
          <tpl hier="4" item="1"/>
          <tpl fld="2" item="33"/>
          <tpl fld="4" item="90"/>
          <tpl hier="9" item="4"/>
          <tpl hier="11" item="6"/>
          <tpl hier="12" item="5"/>
          <tpl fld="1" item="0"/>
        </tpls>
      </n>
      <n v="88573698048">
        <tpls c="8">
          <tpl hier="2" item="0"/>
          <tpl hier="4" item="1"/>
          <tpl fld="2" item="17"/>
          <tpl fld="4" item="90"/>
          <tpl hier="9" item="4"/>
          <tpl hier="11" item="6"/>
          <tpl hier="12" item="5"/>
          <tpl fld="1" item="0"/>
        </tpls>
      </n>
      <n v="20333690880">
        <tpls c="8">
          <tpl hier="2" item="0"/>
          <tpl hier="4" item="1"/>
          <tpl fld="2" item="1"/>
          <tpl fld="4" item="90"/>
          <tpl hier="9" item="4"/>
          <tpl hier="11" item="6"/>
          <tpl hier="12" item="5"/>
          <tpl fld="1" item="0"/>
        </tpls>
      </n>
      <n v="1885112192">
        <tpls c="8">
          <tpl hier="2" item="0"/>
          <tpl hier="4" item="1"/>
          <tpl fld="2" item="36"/>
          <tpl fld="4" item="89"/>
          <tpl hier="9" item="4"/>
          <tpl hier="11" item="6"/>
          <tpl hier="12" item="5"/>
          <tpl fld="1" item="0"/>
        </tpls>
      </n>
      <n v="649644800">
        <tpls c="8">
          <tpl hier="2" item="0"/>
          <tpl hier="4" item="1"/>
          <tpl fld="2" item="20"/>
          <tpl fld="4" item="89"/>
          <tpl hier="9" item="4"/>
          <tpl hier="11" item="6"/>
          <tpl hier="12" item="5"/>
          <tpl fld="1" item="0"/>
        </tpls>
      </n>
      <n v="648590656">
        <tpls c="8">
          <tpl hier="2" item="0"/>
          <tpl hier="4" item="1"/>
          <tpl fld="2" item="4"/>
          <tpl fld="4" item="89"/>
          <tpl hier="9" item="4"/>
          <tpl hier="11" item="6"/>
          <tpl hier="12" item="5"/>
          <tpl fld="1" item="0"/>
        </tpls>
      </n>
      <n v="847397824">
        <tpls c="8">
          <tpl hier="2" item="0"/>
          <tpl hier="4" item="1"/>
          <tpl fld="2" item="39"/>
          <tpl fld="4" item="88"/>
          <tpl hier="9" item="4"/>
          <tpl hier="11" item="6"/>
          <tpl hier="12" item="5"/>
          <tpl fld="1" item="0"/>
        </tpls>
      </n>
      <n v="473916832">
        <tpls c="8">
          <tpl hier="2" item="0"/>
          <tpl hier="4" item="1"/>
          <tpl fld="2" item="23"/>
          <tpl fld="4" item="88"/>
          <tpl hier="9" item="4"/>
          <tpl hier="11" item="6"/>
          <tpl hier="12" item="5"/>
          <tpl fld="1" item="0"/>
        </tpls>
      </n>
      <n v="64526400">
        <tpls c="8">
          <tpl hier="2" item="0"/>
          <tpl hier="4" item="1"/>
          <tpl fld="2" item="7"/>
          <tpl fld="4" item="88"/>
          <tpl hier="9" item="4"/>
          <tpl hier="11" item="6"/>
          <tpl hier="12" item="5"/>
          <tpl fld="1" item="0"/>
        </tpls>
      </n>
      <n v="17824399360">
        <tpls c="8">
          <tpl hier="2" item="0"/>
          <tpl hier="4" item="1"/>
          <tpl fld="2" item="42"/>
          <tpl fld="4" item="87"/>
          <tpl hier="9" item="4"/>
          <tpl hier="11" item="6"/>
          <tpl hier="12" item="5"/>
          <tpl fld="1" item="0"/>
        </tpls>
      </n>
      <n v="6413189632">
        <tpls c="8">
          <tpl hier="2" item="0"/>
          <tpl hier="4" item="1"/>
          <tpl fld="2" item="26"/>
          <tpl fld="4" item="87"/>
          <tpl hier="9" item="4"/>
          <tpl hier="11" item="6"/>
          <tpl hier="12" item="5"/>
          <tpl fld="1" item="0"/>
        </tpls>
      </n>
      <n v="4435050496">
        <tpls c="8">
          <tpl hier="2" item="0"/>
          <tpl hier="4" item="1"/>
          <tpl fld="2" item="10"/>
          <tpl fld="4" item="87"/>
          <tpl hier="9" item="4"/>
          <tpl hier="11" item="6"/>
          <tpl hier="12" item="5"/>
          <tpl fld="1" item="0"/>
        </tpls>
      </n>
      <n v="654269874176">
        <tpls c="8">
          <tpl hier="2" item="0"/>
          <tpl hier="4" item="1"/>
          <tpl fld="2" item="45"/>
          <tpl fld="4" item="86"/>
          <tpl hier="9" item="4"/>
          <tpl hier="11" item="6"/>
          <tpl hier="12" item="5"/>
          <tpl fld="1" item="0"/>
        </tpls>
      </n>
      <n v="161716961280">
        <tpls c="8">
          <tpl hier="2" item="0"/>
          <tpl hier="4" item="1"/>
          <tpl fld="2" item="29"/>
          <tpl fld="4" item="86"/>
          <tpl hier="9" item="4"/>
          <tpl hier="11" item="6"/>
          <tpl hier="12" item="5"/>
          <tpl fld="1" item="0"/>
        </tpls>
      </n>
      <n v="129171636224">
        <tpls c="8">
          <tpl hier="2" item="0"/>
          <tpl hier="4" item="1"/>
          <tpl fld="2" item="13"/>
          <tpl fld="4" item="86"/>
          <tpl hier="9" item="4"/>
          <tpl hier="11" item="6"/>
          <tpl hier="12" item="5"/>
          <tpl fld="1" item="0"/>
        </tpls>
      </n>
      <n v="9627720704">
        <tpls c="8">
          <tpl hier="2" item="0"/>
          <tpl hier="4" item="1"/>
          <tpl fld="2" item="48"/>
          <tpl fld="4" item="85"/>
          <tpl hier="9" item="4"/>
          <tpl hier="11" item="6"/>
          <tpl hier="12" item="5"/>
          <tpl fld="1" item="0"/>
        </tpls>
      </n>
      <n v="1677552384">
        <tpls c="8">
          <tpl hier="2" item="0"/>
          <tpl hier="4" item="1"/>
          <tpl fld="2" item="32"/>
          <tpl fld="4" item="85"/>
          <tpl hier="9" item="4"/>
          <tpl hier="11" item="6"/>
          <tpl hier="12" item="5"/>
          <tpl fld="1" item="0"/>
        </tpls>
      </n>
      <n v="1944711040">
        <tpls c="8">
          <tpl hier="2" item="0"/>
          <tpl hier="4" item="1"/>
          <tpl fld="2" item="16"/>
          <tpl fld="4" item="85"/>
          <tpl hier="9" item="4"/>
          <tpl hier="11" item="6"/>
          <tpl hier="12" item="5"/>
          <tpl fld="1" item="0"/>
        </tpls>
      </n>
      <n v="219900000">
        <tpls c="8">
          <tpl hier="2" item="0"/>
          <tpl hier="4" item="1"/>
          <tpl fld="2" item="0"/>
          <tpl fld="4" item="85"/>
          <tpl hier="9" item="4"/>
          <tpl hier="11" item="6"/>
          <tpl hier="12" item="5"/>
          <tpl fld="1" item="0"/>
        </tpls>
      </n>
      <n v="83914522624">
        <tpls c="8">
          <tpl hier="2" item="0"/>
          <tpl hier="4" item="1"/>
          <tpl fld="2" item="35"/>
          <tpl fld="4" item="84"/>
          <tpl hier="9" item="4"/>
          <tpl hier="11" item="6"/>
          <tpl hier="12" item="5"/>
          <tpl fld="1" item="0"/>
        </tpls>
      </n>
      <n v="28161200128">
        <tpls c="8">
          <tpl hier="2" item="0"/>
          <tpl hier="4" item="1"/>
          <tpl fld="2" item="19"/>
          <tpl fld="4" item="84"/>
          <tpl hier="9" item="4"/>
          <tpl hier="11" item="6"/>
          <tpl hier="12" item="5"/>
          <tpl fld="1" item="0"/>
        </tpls>
      </n>
      <n v="7002399744">
        <tpls c="8">
          <tpl hier="2" item="0"/>
          <tpl hier="4" item="1"/>
          <tpl fld="2" item="3"/>
          <tpl fld="4" item="84"/>
          <tpl hier="9" item="4"/>
          <tpl hier="11" item="6"/>
          <tpl hier="12" item="5"/>
          <tpl fld="1" item="0"/>
        </tpls>
      </n>
      <n v="181006860288">
        <tpls c="8">
          <tpl hier="2" item="0"/>
          <tpl hier="4" item="1"/>
          <tpl fld="2" item="38"/>
          <tpl fld="4" item="83"/>
          <tpl hier="9" item="4"/>
          <tpl hier="11" item="6"/>
          <tpl hier="12" item="5"/>
          <tpl fld="1" item="0"/>
        </tpls>
      </n>
      <n v="52976345088">
        <tpls c="8">
          <tpl hier="2" item="0"/>
          <tpl hier="4" item="1"/>
          <tpl fld="2" item="22"/>
          <tpl fld="4" item="83"/>
          <tpl hier="9" item="4"/>
          <tpl hier="11" item="6"/>
          <tpl hier="12" item="5"/>
          <tpl fld="1" item="0"/>
        </tpls>
      </n>
      <n v="17097563136">
        <tpls c="8">
          <tpl hier="2" item="0"/>
          <tpl hier="4" item="1"/>
          <tpl fld="2" item="6"/>
          <tpl fld="4" item="83"/>
          <tpl hier="9" item="4"/>
          <tpl hier="11" item="6"/>
          <tpl hier="12" item="5"/>
          <tpl fld="1" item="0"/>
        </tpls>
      </n>
      <n v="171761729536">
        <tpls c="8">
          <tpl hier="2" item="0"/>
          <tpl hier="4" item="1"/>
          <tpl fld="2" item="41"/>
          <tpl fld="4" item="82"/>
          <tpl hier="9" item="4"/>
          <tpl hier="11" item="6"/>
          <tpl hier="12" item="5"/>
          <tpl fld="1" item="0"/>
        </tpls>
      </n>
      <n v="53312794624">
        <tpls c="8">
          <tpl hier="2" item="0"/>
          <tpl hier="4" item="1"/>
          <tpl fld="2" item="25"/>
          <tpl fld="4" item="82"/>
          <tpl hier="9" item="4"/>
          <tpl hier="11" item="6"/>
          <tpl hier="12" item="5"/>
          <tpl fld="1" item="0"/>
        </tpls>
      </n>
      <n v="15962459136">
        <tpls c="8">
          <tpl hier="2" item="0"/>
          <tpl hier="4" item="1"/>
          <tpl fld="2" item="9"/>
          <tpl fld="4" item="82"/>
          <tpl hier="9" item="4"/>
          <tpl hier="11" item="6"/>
          <tpl hier="12" item="5"/>
          <tpl fld="1" item="0"/>
        </tpls>
      </n>
      <n v="40276533248">
        <tpls c="8">
          <tpl hier="2" item="0"/>
          <tpl hier="4" item="1"/>
          <tpl fld="2" item="44"/>
          <tpl fld="4" item="81"/>
          <tpl hier="9" item="4"/>
          <tpl hier="11" item="6"/>
          <tpl hier="12" item="5"/>
          <tpl fld="1" item="0"/>
        </tpls>
      </n>
      <n v="9260481536">
        <tpls c="8">
          <tpl hier="2" item="0"/>
          <tpl hier="4" item="1"/>
          <tpl fld="2" item="28"/>
          <tpl fld="4" item="81"/>
          <tpl hier="9" item="4"/>
          <tpl hier="11" item="6"/>
          <tpl hier="12" item="5"/>
          <tpl fld="1" item="0"/>
        </tpls>
      </n>
      <n v="5419411968">
        <tpls c="8">
          <tpl hier="2" item="0"/>
          <tpl hier="4" item="1"/>
          <tpl fld="2" item="12"/>
          <tpl fld="4" item="81"/>
          <tpl hier="9" item="4"/>
          <tpl hier="11" item="6"/>
          <tpl hier="12" item="5"/>
          <tpl fld="1" item="0"/>
        </tpls>
      </n>
      <n v="22742614016">
        <tpls c="8">
          <tpl hier="2" item="0"/>
          <tpl hier="4" item="1"/>
          <tpl fld="2" item="47"/>
          <tpl fld="4" item="80"/>
          <tpl hier="9" item="4"/>
          <tpl hier="11" item="6"/>
          <tpl hier="12" item="5"/>
          <tpl fld="1" item="0"/>
        </tpls>
      </n>
      <n v="3081024256">
        <tpls c="8">
          <tpl hier="2" item="0"/>
          <tpl hier="4" item="1"/>
          <tpl fld="2" item="31"/>
          <tpl fld="4" item="80"/>
          <tpl hier="9" item="4"/>
          <tpl hier="11" item="6"/>
          <tpl hier="12" item="5"/>
          <tpl fld="1" item="0"/>
        </tpls>
      </n>
      <n v="2423373056">
        <tpls c="8">
          <tpl hier="2" item="0"/>
          <tpl hier="4" item="1"/>
          <tpl fld="2" item="15"/>
          <tpl fld="4" item="80"/>
          <tpl hier="9" item="4"/>
          <tpl hier="11" item="6"/>
          <tpl hier="12" item="5"/>
          <tpl fld="1" item="0"/>
        </tpls>
      </n>
      <n v="857406561152">
        <tpls c="8">
          <tpl hier="2" item="0"/>
          <tpl hier="4" item="1"/>
          <tpl hier="5" item="3"/>
          <tpl fld="4" item="79"/>
          <tpl hier="9" item="4"/>
          <tpl hier="11" item="6"/>
          <tpl hier="12" item="5"/>
          <tpl fld="1" item="0"/>
        </tpls>
      </n>
      <n v="15013382144">
        <tpls c="8">
          <tpl hier="2" item="0"/>
          <tpl hier="4" item="1"/>
          <tpl fld="2" item="34"/>
          <tpl fld="4" item="79"/>
          <tpl hier="9" item="4"/>
          <tpl hier="11" item="6"/>
          <tpl hier="12" item="5"/>
          <tpl fld="1" item="0"/>
        </tpls>
      </n>
      <n v="5902783488">
        <tpls c="8">
          <tpl hier="2" item="0"/>
          <tpl hier="4" item="1"/>
          <tpl fld="2" item="18"/>
          <tpl fld="4" item="79"/>
          <tpl hier="9" item="4"/>
          <tpl hier="11" item="6"/>
          <tpl hier="12" item="5"/>
          <tpl fld="1" item="0"/>
        </tpls>
      </n>
      <n v="1673411712">
        <tpls c="8">
          <tpl hier="2" item="0"/>
          <tpl hier="4" item="1"/>
          <tpl fld="2" item="2"/>
          <tpl fld="4" item="79"/>
          <tpl hier="9" item="4"/>
          <tpl hier="11" item="6"/>
          <tpl hier="12" item="5"/>
          <tpl fld="1" item="0"/>
        </tpls>
      </n>
      <n v="152385716224">
        <tpls c="8">
          <tpl hier="2" item="0"/>
          <tpl hier="4" item="1"/>
          <tpl fld="2" item="37"/>
          <tpl fld="4" item="78"/>
          <tpl hier="9" item="4"/>
          <tpl hier="11" item="6"/>
          <tpl hier="12" item="5"/>
          <tpl fld="1" item="0"/>
        </tpls>
      </n>
      <n v="45625233408">
        <tpls c="8">
          <tpl hier="2" item="0"/>
          <tpl hier="4" item="1"/>
          <tpl fld="2" item="21"/>
          <tpl fld="4" item="78"/>
          <tpl hier="9" item="4"/>
          <tpl hier="11" item="6"/>
          <tpl hier="12" item="5"/>
          <tpl fld="1" item="0"/>
        </tpls>
      </n>
      <n v="11230606336">
        <tpls c="8">
          <tpl hier="2" item="0"/>
          <tpl hier="4" item="1"/>
          <tpl fld="2" item="5"/>
          <tpl fld="4" item="78"/>
          <tpl hier="9" item="4"/>
          <tpl hier="11" item="6"/>
          <tpl hier="12" item="5"/>
          <tpl fld="1" item="0"/>
        </tpls>
      </n>
      <n v="57048113152">
        <tpls c="8">
          <tpl hier="2" item="0"/>
          <tpl hier="4" item="1"/>
          <tpl fld="2" item="40"/>
          <tpl fld="4" item="77"/>
          <tpl hier="9" item="4"/>
          <tpl hier="11" item="6"/>
          <tpl hier="12" item="5"/>
          <tpl fld="1" item="0"/>
        </tpls>
      </n>
      <n v="12918855680">
        <tpls c="8">
          <tpl hier="2" item="0"/>
          <tpl hier="4" item="1"/>
          <tpl fld="2" item="24"/>
          <tpl fld="4" item="77"/>
          <tpl hier="9" item="4"/>
          <tpl hier="11" item="6"/>
          <tpl hier="12" item="5"/>
          <tpl fld="1" item="0"/>
        </tpls>
      </n>
      <n v="2740301312">
        <tpls c="8">
          <tpl hier="2" item="0"/>
          <tpl hier="4" item="1"/>
          <tpl fld="2" item="8"/>
          <tpl fld="4" item="77"/>
          <tpl hier="9" item="4"/>
          <tpl hier="11" item="6"/>
          <tpl hier="12" item="5"/>
          <tpl fld="1" item="0"/>
        </tpls>
      </n>
      <n v="514966290432">
        <tpls c="8">
          <tpl hier="2" item="0"/>
          <tpl hier="4" item="1"/>
          <tpl fld="2" item="43"/>
          <tpl fld="4" item="76"/>
          <tpl hier="9" item="4"/>
          <tpl hier="11" item="6"/>
          <tpl hier="12" item="5"/>
          <tpl fld="1" item="0"/>
        </tpls>
      </n>
      <n v="54457835520">
        <tpls c="8">
          <tpl hier="2" item="0"/>
          <tpl hier="4" item="1"/>
          <tpl fld="2" item="27"/>
          <tpl fld="4" item="76"/>
          <tpl hier="9" item="4"/>
          <tpl hier="11" item="6"/>
          <tpl hier="12" item="5"/>
          <tpl fld="1" item="0"/>
        </tpls>
      </n>
      <n v="164475207680">
        <tpls c="8">
          <tpl hier="2" item="0"/>
          <tpl hier="4" item="1"/>
          <tpl fld="2" item="11"/>
          <tpl fld="4" item="76"/>
          <tpl hier="9" item="4"/>
          <tpl hier="11" item="6"/>
          <tpl hier="12" item="5"/>
          <tpl fld="1" item="0"/>
        </tpls>
      </n>
      <n v="10284626944">
        <tpls c="8">
          <tpl hier="2" item="0"/>
          <tpl hier="4" item="1"/>
          <tpl fld="2" item="46"/>
          <tpl fld="4" item="75"/>
          <tpl hier="9" item="4"/>
          <tpl hier="11" item="6"/>
          <tpl hier="12" item="5"/>
          <tpl fld="1" item="0"/>
        </tpls>
      </n>
      <n v="2238259712">
        <tpls c="8">
          <tpl hier="2" item="0"/>
          <tpl hier="4" item="1"/>
          <tpl fld="2" item="30"/>
          <tpl fld="4" item="75"/>
          <tpl hier="9" item="4"/>
          <tpl hier="11" item="6"/>
          <tpl hier="12" item="5"/>
          <tpl fld="1" item="0"/>
        </tpls>
      </n>
      <n v="1461243264">
        <tpls c="8">
          <tpl hier="2" item="0"/>
          <tpl hier="4" item="1"/>
          <tpl fld="2" item="14"/>
          <tpl fld="4" item="75"/>
          <tpl hier="9" item="4"/>
          <tpl hier="11" item="6"/>
          <tpl hier="12" item="5"/>
          <tpl fld="1" item="0"/>
        </tpls>
      </n>
      <n v="12520914944">
        <tpls c="8">
          <tpl hier="2" item="0"/>
          <tpl hier="4" item="1"/>
          <tpl fld="2" item="49"/>
          <tpl fld="4" item="74"/>
          <tpl hier="9" item="4"/>
          <tpl hier="11" item="6"/>
          <tpl hier="12" item="5"/>
          <tpl fld="1" item="0"/>
        </tpls>
      </n>
      <n v="5322455040">
        <tpls c="8">
          <tpl hier="2" item="0"/>
          <tpl hier="4" item="1"/>
          <tpl fld="2" item="33"/>
          <tpl fld="4" item="74"/>
          <tpl hier="9" item="4"/>
          <tpl hier="11" item="6"/>
          <tpl hier="12" item="5"/>
          <tpl fld="1" item="0"/>
        </tpls>
      </n>
      <n v="3851213824">
        <tpls c="8">
          <tpl hier="2" item="0"/>
          <tpl hier="4" item="1"/>
          <tpl fld="2" item="17"/>
          <tpl fld="4" item="74"/>
          <tpl hier="9" item="4"/>
          <tpl hier="11" item="6"/>
          <tpl hier="12" item="5"/>
          <tpl fld="1" item="0"/>
        </tpls>
      </n>
      <n v="826571392">
        <tpls c="8">
          <tpl hier="2" item="0"/>
          <tpl hier="4" item="1"/>
          <tpl fld="2" item="1"/>
          <tpl fld="4" item="74"/>
          <tpl hier="9" item="4"/>
          <tpl hier="11" item="6"/>
          <tpl hier="12" item="5"/>
          <tpl fld="1" item="0"/>
        </tpls>
      </n>
      <n v="9043715072">
        <tpls c="8">
          <tpl hier="2" item="0"/>
          <tpl hier="4" item="1"/>
          <tpl fld="2" item="36"/>
          <tpl fld="4" item="73"/>
          <tpl hier="9" item="4"/>
          <tpl hier="11" item="6"/>
          <tpl hier="12" item="5"/>
          <tpl fld="1" item="0"/>
        </tpls>
      </n>
      <n v="3627562496">
        <tpls c="8">
          <tpl hier="2" item="0"/>
          <tpl hier="4" item="1"/>
          <tpl fld="2" item="20"/>
          <tpl fld="4" item="73"/>
          <tpl hier="9" item="4"/>
          <tpl hier="11" item="6"/>
          <tpl hier="12" item="5"/>
          <tpl fld="1" item="0"/>
        </tpls>
      </n>
      <n v="1217953536">
        <tpls c="8">
          <tpl hier="2" item="0"/>
          <tpl hier="4" item="1"/>
          <tpl fld="2" item="4"/>
          <tpl fld="4" item="73"/>
          <tpl hier="9" item="4"/>
          <tpl hier="11" item="6"/>
          <tpl hier="12" item="5"/>
          <tpl fld="1" item="0"/>
        </tpls>
      </n>
      <n v="92897320960">
        <tpls c="8">
          <tpl hier="2" item="0"/>
          <tpl hier="4" item="1"/>
          <tpl fld="2" item="39"/>
          <tpl fld="4" item="72"/>
          <tpl hier="9" item="4"/>
          <tpl hier="11" item="6"/>
          <tpl hier="12" item="5"/>
          <tpl fld="1" item="0"/>
        </tpls>
      </n>
      <n v="31655473152">
        <tpls c="8">
          <tpl hier="2" item="0"/>
          <tpl hier="4" item="1"/>
          <tpl fld="2" item="23"/>
          <tpl fld="4" item="72"/>
          <tpl hier="9" item="4"/>
          <tpl hier="11" item="6"/>
          <tpl hier="12" item="5"/>
          <tpl fld="1" item="0"/>
        </tpls>
      </n>
      <n v="11049896960">
        <tpls c="8">
          <tpl hier="2" item="0"/>
          <tpl hier="4" item="1"/>
          <tpl fld="2" item="7"/>
          <tpl fld="4" item="72"/>
          <tpl hier="9" item="4"/>
          <tpl hier="11" item="6"/>
          <tpl hier="12" item="5"/>
          <tpl fld="1" item="0"/>
        </tpls>
      </n>
      <n v="1201089937408">
        <tpls c="8">
          <tpl hier="2" item="0"/>
          <tpl hier="4" item="1"/>
          <tpl fld="2" item="42"/>
          <tpl fld="4" item="71"/>
          <tpl hier="9" item="4"/>
          <tpl hier="11" item="6"/>
          <tpl hier="12" item="5"/>
          <tpl fld="1" item="0"/>
        </tpls>
      </n>
      <n v="410975600640">
        <tpls c="8">
          <tpl hier="2" item="0"/>
          <tpl hier="4" item="1"/>
          <tpl fld="2" item="26"/>
          <tpl fld="4" item="71"/>
          <tpl hier="9" item="4"/>
          <tpl hier="11" item="6"/>
          <tpl hier="12" item="5"/>
          <tpl fld="1" item="0"/>
        </tpls>
      </n>
      <n v="205139083264">
        <tpls c="8">
          <tpl hier="2" item="0"/>
          <tpl hier="4" item="1"/>
          <tpl fld="2" item="10"/>
          <tpl fld="4" item="71"/>
          <tpl hier="9" item="4"/>
          <tpl hier="11" item="6"/>
          <tpl hier="12" item="5"/>
          <tpl fld="1" item="0"/>
        </tpls>
      </n>
      <n v="6166857728">
        <tpls c="8">
          <tpl hier="2" item="0"/>
          <tpl hier="4" item="1"/>
          <tpl fld="2" item="45"/>
          <tpl fld="4" item="70"/>
          <tpl hier="9" item="4"/>
          <tpl hier="11" item="6"/>
          <tpl hier="12" item="5"/>
          <tpl fld="1" item="0"/>
        </tpls>
      </n>
      <n v="1985924352">
        <tpls c="8">
          <tpl hier="2" item="0"/>
          <tpl hier="4" item="1"/>
          <tpl fld="2" item="29"/>
          <tpl fld="4" item="70"/>
          <tpl hier="9" item="4"/>
          <tpl hier="11" item="6"/>
          <tpl hier="12" item="5"/>
          <tpl fld="1" item="0"/>
        </tpls>
      </n>
      <n v="1165170688">
        <tpls c="8">
          <tpl hier="2" item="0"/>
          <tpl hier="4" item="1"/>
          <tpl fld="2" item="13"/>
          <tpl fld="4" item="70"/>
          <tpl hier="9" item="4"/>
          <tpl hier="11" item="6"/>
          <tpl hier="12" item="5"/>
          <tpl fld="1" item="0"/>
        </tpls>
      </n>
      <n v="17172022272">
        <tpls c="8">
          <tpl hier="2" item="0"/>
          <tpl hier="4" item="1"/>
          <tpl fld="2" item="48"/>
          <tpl fld="4" item="69"/>
          <tpl hier="9" item="4"/>
          <tpl hier="11" item="6"/>
          <tpl hier="12" item="5"/>
          <tpl fld="1" item="0"/>
        </tpls>
      </n>
      <n v="3889757952">
        <tpls c="8">
          <tpl hier="2" item="0"/>
          <tpl hier="4" item="1"/>
          <tpl fld="2" item="32"/>
          <tpl fld="4" item="69"/>
          <tpl hier="9" item="4"/>
          <tpl hier="11" item="6"/>
          <tpl hier="12" item="5"/>
          <tpl fld="1" item="0"/>
        </tpls>
      </n>
      <n v="1852163456">
        <tpls c="8">
          <tpl hier="2" item="0"/>
          <tpl hier="4" item="1"/>
          <tpl fld="2" item="16"/>
          <tpl fld="4" item="69"/>
          <tpl hier="9" item="4"/>
          <tpl hier="11" item="6"/>
          <tpl hier="12" item="5"/>
          <tpl fld="1" item="0"/>
        </tpls>
      </n>
      <n v="359772352">
        <tpls c="8">
          <tpl hier="2" item="0"/>
          <tpl hier="4" item="1"/>
          <tpl fld="2" item="0"/>
          <tpl fld="4" item="69"/>
          <tpl hier="9" item="4"/>
          <tpl hier="11" item="6"/>
          <tpl hier="12" item="5"/>
          <tpl fld="1" item="0"/>
        </tpls>
      </n>
      <n v="143534096384">
        <tpls c="8">
          <tpl hier="2" item="0"/>
          <tpl hier="4" item="1"/>
          <tpl fld="2" item="35"/>
          <tpl fld="4" item="68"/>
          <tpl hier="9" item="4"/>
          <tpl hier="11" item="6"/>
          <tpl hier="12" item="5"/>
          <tpl fld="1" item="0"/>
        </tpls>
      </n>
      <n v="38848569344">
        <tpls c="8">
          <tpl hier="2" item="0"/>
          <tpl hier="4" item="1"/>
          <tpl fld="2" item="19"/>
          <tpl fld="4" item="68"/>
          <tpl hier="9" item="4"/>
          <tpl hier="11" item="6"/>
          <tpl hier="12" item="5"/>
          <tpl fld="1" item="0"/>
        </tpls>
      </n>
      <n v="7662996992">
        <tpls c="8">
          <tpl hier="2" item="0"/>
          <tpl hier="4" item="1"/>
          <tpl fld="2" item="3"/>
          <tpl fld="4" item="68"/>
          <tpl hier="9" item="4"/>
          <tpl hier="11" item="6"/>
          <tpl hier="12" item="5"/>
          <tpl fld="1" item="0"/>
        </tpls>
      </n>
      <n v="5321012224">
        <tpls c="8">
          <tpl hier="2" item="0"/>
          <tpl hier="4" item="1"/>
          <tpl fld="2" item="38"/>
          <tpl fld="4" item="67"/>
          <tpl hier="9" item="4"/>
          <tpl hier="11" item="6"/>
          <tpl hier="12" item="5"/>
          <tpl fld="1" item="0"/>
        </tpls>
      </n>
      <n v="1799517056">
        <tpls c="8">
          <tpl hier="2" item="0"/>
          <tpl hier="4" item="1"/>
          <tpl fld="2" item="22"/>
          <tpl fld="4" item="67"/>
          <tpl hier="9" item="4"/>
          <tpl hier="11" item="6"/>
          <tpl hier="12" item="5"/>
          <tpl fld="1" item="0"/>
        </tpls>
      </n>
      <n v="670317632">
        <tpls c="8">
          <tpl hier="2" item="0"/>
          <tpl hier="4" item="1"/>
          <tpl fld="2" item="6"/>
          <tpl fld="4" item="67"/>
          <tpl hier="9" item="4"/>
          <tpl hier="11" item="6"/>
          <tpl hier="12" item="5"/>
          <tpl fld="1" item="0"/>
        </tpls>
      </n>
      <n v="11551820800">
        <tpls c="8">
          <tpl hier="2" item="0"/>
          <tpl hier="4" item="1"/>
          <tpl fld="2" item="41"/>
          <tpl fld="4" item="66"/>
          <tpl hier="9" item="4"/>
          <tpl hier="11" item="6"/>
          <tpl hier="12" item="5"/>
          <tpl fld="1" item="0"/>
        </tpls>
      </n>
      <n v="3838100992">
        <tpls c="8">
          <tpl hier="2" item="0"/>
          <tpl hier="4" item="1"/>
          <tpl fld="2" item="25"/>
          <tpl fld="4" item="66"/>
          <tpl hier="9" item="4"/>
          <tpl hier="11" item="6"/>
          <tpl hier="12" item="5"/>
          <tpl fld="1" item="0"/>
        </tpls>
      </n>
      <n v="3463565824">
        <tpls c="8">
          <tpl hier="2" item="0"/>
          <tpl hier="4" item="1"/>
          <tpl fld="2" item="9"/>
          <tpl fld="4" item="66"/>
          <tpl hier="9" item="4"/>
          <tpl hier="11" item="6"/>
          <tpl hier="12" item="5"/>
          <tpl fld="1" item="0"/>
        </tpls>
      </n>
      <n v="2499803904">
        <tpls c="8">
          <tpl hier="2" item="0"/>
          <tpl hier="4" item="1"/>
          <tpl fld="2" item="44"/>
          <tpl fld="4" item="65"/>
          <tpl hier="9" item="4"/>
          <tpl hier="11" item="6"/>
          <tpl hier="12" item="5"/>
          <tpl fld="1" item="0"/>
        </tpls>
      </n>
      <n v="928458176">
        <tpls c="8">
          <tpl hier="2" item="0"/>
          <tpl hier="4" item="1"/>
          <tpl fld="2" item="28"/>
          <tpl fld="4" item="65"/>
          <tpl hier="9" item="4"/>
          <tpl hier="11" item="6"/>
          <tpl hier="12" item="5"/>
          <tpl fld="1" item="0"/>
        </tpls>
      </n>
      <n v="348746816">
        <tpls c="8">
          <tpl hier="2" item="0"/>
          <tpl hier="4" item="1"/>
          <tpl fld="2" item="12"/>
          <tpl fld="4" item="65"/>
          <tpl hier="9" item="4"/>
          <tpl hier="11" item="6"/>
          <tpl hier="12" item="5"/>
          <tpl fld="1" item="0"/>
        </tpls>
      </n>
      <n v="187276208">
        <tpls c="8">
          <tpl hier="2" item="0"/>
          <tpl hier="4" item="1"/>
          <tpl fld="2" item="47"/>
          <tpl fld="4" item="64"/>
          <tpl hier="9" item="4"/>
          <tpl hier="11" item="6"/>
          <tpl hier="12" item="5"/>
          <tpl fld="1" item="0"/>
        </tpls>
      </n>
      <n v="63101272">
        <tpls c="8">
          <tpl hier="2" item="0"/>
          <tpl hier="4" item="1"/>
          <tpl fld="2" item="31"/>
          <tpl fld="4" item="64"/>
          <tpl hier="9" item="4"/>
          <tpl hier="11" item="6"/>
          <tpl hier="12" item="5"/>
          <tpl fld="1" item="0"/>
        </tpls>
      </n>
      <n v="32125148">
        <tpls c="8">
          <tpl hier="2" item="0"/>
          <tpl hier="4" item="1"/>
          <tpl fld="2" item="15"/>
          <tpl fld="4" item="64"/>
          <tpl hier="9" item="4"/>
          <tpl hier="11" item="6"/>
          <tpl hier="12" item="5"/>
          <tpl fld="1" item="0"/>
        </tpls>
      </n>
      <n v="64751677696688">
        <tpls c="8">
          <tpl hier="2" item="0"/>
          <tpl hier="4" item="1"/>
          <tpl fld="2" item="41"/>
          <tpl hier="6" item="2"/>
          <tpl hier="9" item="4"/>
          <tpl hier="11" item="6"/>
          <tpl hier="12" item="5"/>
          <tpl fld="1" item="0"/>
        </tpls>
      </n>
      <n v="28703554520060">
        <tpls c="8">
          <tpl hier="2" item="0"/>
          <tpl hier="4" item="1"/>
          <tpl fld="2" item="25"/>
          <tpl hier="6" item="2"/>
          <tpl hier="9" item="4"/>
          <tpl hier="11" item="6"/>
          <tpl hier="12" item="5"/>
          <tpl fld="1" item="0"/>
        </tpls>
      </n>
      <n v="9120406888172">
        <tpls c="8">
          <tpl hier="2" item="0"/>
          <tpl hier="4" item="1"/>
          <tpl fld="2" item="9"/>
          <tpl hier="6" item="2"/>
          <tpl hier="9" item="4"/>
          <tpl hier="11" item="6"/>
          <tpl hier="12" item="5"/>
          <tpl fld="1" item="0"/>
        </tpls>
      </n>
      <n v="19495520256">
        <tpls c="8">
          <tpl hier="2" item="0"/>
          <tpl hier="4" item="1"/>
          <tpl fld="2" item="44"/>
          <tpl fld="4" item="102"/>
          <tpl hier="9" item="4"/>
          <tpl hier="11" item="6"/>
          <tpl hier="12" item="5"/>
          <tpl fld="1" item="0"/>
        </tpls>
      </n>
      <n v="6401968128">
        <tpls c="8">
          <tpl hier="2" item="0"/>
          <tpl hier="4" item="1"/>
          <tpl fld="2" item="28"/>
          <tpl fld="4" item="102"/>
          <tpl hier="9" item="4"/>
          <tpl hier="11" item="6"/>
          <tpl hier="12" item="5"/>
          <tpl fld="1" item="0"/>
        </tpls>
      </n>
      <n v="8539700736">
        <tpls c="8">
          <tpl hier="2" item="0"/>
          <tpl hier="4" item="1"/>
          <tpl fld="2" item="12"/>
          <tpl fld="4" item="102"/>
          <tpl hier="9" item="4"/>
          <tpl hier="11" item="6"/>
          <tpl hier="12" item="5"/>
          <tpl fld="1" item="0"/>
        </tpls>
      </n>
      <n v="25868142592">
        <tpls c="8">
          <tpl hier="2" item="0"/>
          <tpl hier="4" item="1"/>
          <tpl fld="2" item="47"/>
          <tpl fld="4" item="101"/>
          <tpl hier="9" item="4"/>
          <tpl hier="11" item="6"/>
          <tpl hier="12" item="5"/>
          <tpl fld="1" item="0"/>
        </tpls>
      </n>
      <n v="4094480896">
        <tpls c="8">
          <tpl hier="2" item="0"/>
          <tpl hier="4" item="1"/>
          <tpl fld="2" item="31"/>
          <tpl fld="4" item="101"/>
          <tpl hier="9" item="4"/>
          <tpl hier="11" item="6"/>
          <tpl hier="12" item="5"/>
          <tpl fld="1" item="0"/>
        </tpls>
      </n>
      <n v="2281257984">
        <tpls c="8">
          <tpl hier="2" item="0"/>
          <tpl hier="4" item="1"/>
          <tpl fld="2" item="15"/>
          <tpl fld="4" item="101"/>
          <tpl hier="9" item="4"/>
          <tpl hier="11" item="6"/>
          <tpl hier="12" item="5"/>
          <tpl fld="1" item="0"/>
        </tpls>
      </n>
      <n v="1033441147520">
        <tpls c="8">
          <tpl hier="2" item="0"/>
          <tpl hier="4" item="1"/>
          <tpl hier="5" item="3"/>
          <tpl fld="4" item="100"/>
          <tpl hier="9" item="4"/>
          <tpl hier="11" item="6"/>
          <tpl hier="12" item="5"/>
          <tpl fld="1" item="0"/>
        </tpls>
      </n>
      <n v="13686330368">
        <tpls c="8">
          <tpl hier="2" item="0"/>
          <tpl hier="4" item="1"/>
          <tpl fld="2" item="34"/>
          <tpl fld="4" item="100"/>
          <tpl hier="9" item="4"/>
          <tpl hier="11" item="6"/>
          <tpl hier="12" item="5"/>
          <tpl fld="1" item="0"/>
        </tpls>
      </n>
      <n v="8213515264">
        <tpls c="8">
          <tpl hier="2" item="0"/>
          <tpl hier="4" item="1"/>
          <tpl fld="2" item="18"/>
          <tpl fld="4" item="100"/>
          <tpl hier="9" item="4"/>
          <tpl hier="11" item="6"/>
          <tpl hier="12" item="5"/>
          <tpl fld="1" item="0"/>
        </tpls>
      </n>
      <n v="2189417984">
        <tpls c="8">
          <tpl hier="2" item="0"/>
          <tpl hier="4" item="1"/>
          <tpl fld="2" item="2"/>
          <tpl fld="4" item="100"/>
          <tpl hier="9" item="4"/>
          <tpl hier="11" item="6"/>
          <tpl hier="12" item="5"/>
          <tpl fld="1" item="0"/>
        </tpls>
      </n>
      <n v="675770138624">
        <tpls c="8">
          <tpl hier="2" item="0"/>
          <tpl hier="4" item="1"/>
          <tpl fld="2" item="37"/>
          <tpl fld="4" item="99"/>
          <tpl hier="9" item="4"/>
          <tpl hier="11" item="6"/>
          <tpl hier="12" item="5"/>
          <tpl fld="1" item="0"/>
        </tpls>
      </n>
      <n v="150027829248">
        <tpls c="8">
          <tpl hier="2" item="0"/>
          <tpl hier="4" item="1"/>
          <tpl fld="2" item="21"/>
          <tpl fld="4" item="99"/>
          <tpl hier="9" item="4"/>
          <tpl hier="11" item="6"/>
          <tpl hier="12" item="5"/>
          <tpl fld="1" item="0"/>
        </tpls>
      </n>
      <n v="44633706496">
        <tpls c="8">
          <tpl hier="2" item="0"/>
          <tpl hier="4" item="1"/>
          <tpl fld="2" item="5"/>
          <tpl fld="4" item="99"/>
          <tpl hier="9" item="4"/>
          <tpl hier="11" item="6"/>
          <tpl hier="12" item="5"/>
          <tpl fld="1" item="0"/>
        </tpls>
      </n>
      <n v="44050927616">
        <tpls c="8">
          <tpl hier="2" item="0"/>
          <tpl hier="4" item="1"/>
          <tpl fld="2" item="40"/>
          <tpl fld="4" item="98"/>
          <tpl hier="9" item="4"/>
          <tpl hier="11" item="6"/>
          <tpl hier="12" item="5"/>
          <tpl fld="1" item="0"/>
        </tpls>
      </n>
      <n v="15632463872">
        <tpls c="8">
          <tpl hier="2" item="0"/>
          <tpl hier="4" item="1"/>
          <tpl fld="2" item="24"/>
          <tpl fld="4" item="98"/>
          <tpl hier="9" item="4"/>
          <tpl hier="11" item="6"/>
          <tpl hier="12" item="5"/>
          <tpl fld="1" item="0"/>
        </tpls>
      </n>
      <n v="5968044032">
        <tpls c="8">
          <tpl hier="2" item="0"/>
          <tpl hier="4" item="1"/>
          <tpl fld="2" item="8"/>
          <tpl fld="4" item="98"/>
          <tpl hier="9" item="4"/>
          <tpl hier="11" item="6"/>
          <tpl hier="12" item="5"/>
          <tpl fld="1" item="0"/>
        </tpls>
      </n>
      <n v="27268478976">
        <tpls c="8">
          <tpl hier="2" item="0"/>
          <tpl hier="4" item="1"/>
          <tpl fld="2" item="43"/>
          <tpl fld="4" item="97"/>
          <tpl hier="9" item="4"/>
          <tpl hier="11" item="6"/>
          <tpl hier="12" item="5"/>
          <tpl fld="1" item="0"/>
        </tpls>
      </n>
      <n v="5737751552">
        <tpls c="8">
          <tpl hier="2" item="0"/>
          <tpl hier="4" item="1"/>
          <tpl fld="2" item="27"/>
          <tpl fld="4" item="97"/>
          <tpl hier="9" item="4"/>
          <tpl hier="11" item="6"/>
          <tpl hier="12" item="5"/>
          <tpl fld="1" item="0"/>
        </tpls>
      </n>
      <n v="6992083456">
        <tpls c="8">
          <tpl hier="2" item="0"/>
          <tpl hier="4" item="1"/>
          <tpl fld="2" item="11"/>
          <tpl fld="4" item="97"/>
          <tpl hier="9" item="4"/>
          <tpl hier="11" item="6"/>
          <tpl hier="12" item="5"/>
          <tpl fld="1" item="0"/>
        </tpls>
      </n>
      <n v="4486979072">
        <tpls c="8">
          <tpl hier="2" item="0"/>
          <tpl hier="4" item="1"/>
          <tpl fld="2" item="46"/>
          <tpl fld="4" item="96"/>
          <tpl hier="9" item="4"/>
          <tpl hier="11" item="6"/>
          <tpl hier="12" item="5"/>
          <tpl fld="1" item="0"/>
        </tpls>
      </n>
      <n v="1488185728">
        <tpls c="8">
          <tpl hier="2" item="0"/>
          <tpl hier="4" item="1"/>
          <tpl fld="2" item="30"/>
          <tpl fld="4" item="96"/>
          <tpl hier="9" item="4"/>
          <tpl hier="11" item="6"/>
          <tpl hier="12" item="5"/>
          <tpl fld="1" item="0"/>
        </tpls>
      </n>
      <n v="718148928">
        <tpls c="8">
          <tpl hier="2" item="0"/>
          <tpl hier="4" item="1"/>
          <tpl fld="2" item="14"/>
          <tpl fld="4" item="96"/>
          <tpl hier="9" item="4"/>
          <tpl hier="11" item="6"/>
          <tpl hier="12" item="5"/>
          <tpl fld="1" item="0"/>
        </tpls>
      </n>
      <n v="543649988608">
        <tpls c="8">
          <tpl hier="2" item="0"/>
          <tpl hier="4" item="1"/>
          <tpl fld="2" item="49"/>
          <tpl fld="4" item="95"/>
          <tpl hier="9" item="4"/>
          <tpl hier="11" item="6"/>
          <tpl hier="12" item="5"/>
          <tpl fld="1" item="0"/>
        </tpls>
      </n>
      <n v="152280678400">
        <tpls c="8">
          <tpl hier="2" item="0"/>
          <tpl hier="4" item="1"/>
          <tpl fld="2" item="33"/>
          <tpl fld="4" item="95"/>
          <tpl hier="9" item="4"/>
          <tpl hier="11" item="6"/>
          <tpl hier="12" item="5"/>
          <tpl fld="1" item="0"/>
        </tpls>
      </n>
      <n v="50535440384">
        <tpls c="8">
          <tpl hier="2" item="0"/>
          <tpl hier="4" item="1"/>
          <tpl fld="2" item="17"/>
          <tpl fld="4" item="95"/>
          <tpl hier="9" item="4"/>
          <tpl hier="11" item="6"/>
          <tpl hier="12" item="5"/>
          <tpl fld="1" item="0"/>
        </tpls>
      </n>
      <n v="7375000064">
        <tpls c="8">
          <tpl hier="2" item="0"/>
          <tpl hier="4" item="1"/>
          <tpl fld="2" item="1"/>
          <tpl fld="4" item="95"/>
          <tpl hier="9" item="4"/>
          <tpl hier="11" item="6"/>
          <tpl hier="12" item="5"/>
          <tpl fld="1" item="0"/>
        </tpls>
      </n>
      <n v="3291353856">
        <tpls c="8">
          <tpl hier="2" item="0"/>
          <tpl hier="4" item="1"/>
          <tpl fld="2" item="36"/>
          <tpl fld="4" item="94"/>
          <tpl hier="9" item="4"/>
          <tpl hier="11" item="6"/>
          <tpl hier="12" item="5"/>
          <tpl fld="1" item="0"/>
        </tpls>
      </n>
      <n v="1114703104">
        <tpls c="8">
          <tpl hier="2" item="0"/>
          <tpl hier="4" item="1"/>
          <tpl fld="2" item="20"/>
          <tpl fld="4" item="94"/>
          <tpl hier="9" item="4"/>
          <tpl hier="11" item="6"/>
          <tpl hier="12" item="5"/>
          <tpl fld="1" item="0"/>
        </tpls>
      </n>
      <n v="264312000">
        <tpls c="8">
          <tpl hier="2" item="0"/>
          <tpl hier="4" item="1"/>
          <tpl fld="2" item="4"/>
          <tpl fld="4" item="94"/>
          <tpl hier="9" item="4"/>
          <tpl hier="11" item="6"/>
          <tpl hier="12" item="5"/>
          <tpl fld="1" item="0"/>
        </tpls>
      </n>
      <n v="3875409920">
        <tpls c="8">
          <tpl hier="2" item="0"/>
          <tpl hier="4" item="1"/>
          <tpl fld="2" item="39"/>
          <tpl fld="4" item="93"/>
          <tpl hier="9" item="4"/>
          <tpl hier="11" item="6"/>
          <tpl hier="12" item="5"/>
          <tpl fld="1" item="0"/>
        </tpls>
      </n>
      <n v="428764704">
        <tpls c="8">
          <tpl hier="2" item="0"/>
          <tpl hier="4" item="1"/>
          <tpl fld="2" item="23"/>
          <tpl fld="4" item="93"/>
          <tpl hier="9" item="4"/>
          <tpl hier="11" item="6"/>
          <tpl hier="12" item="5"/>
          <tpl fld="1" item="0"/>
        </tpls>
      </n>
      <n v="641500032">
        <tpls c="8">
          <tpl hier="2" item="0"/>
          <tpl hier="4" item="1"/>
          <tpl fld="2" item="7"/>
          <tpl fld="4" item="93"/>
          <tpl hier="9" item="4"/>
          <tpl hier="11" item="6"/>
          <tpl hier="12" item="5"/>
          <tpl fld="1" item="0"/>
        </tpls>
      </n>
      <n v="52766720000">
        <tpls c="8">
          <tpl hier="2" item="0"/>
          <tpl hier="4" item="1"/>
          <tpl fld="2" item="42"/>
          <tpl fld="4" item="92"/>
          <tpl hier="9" item="4"/>
          <tpl hier="11" item="6"/>
          <tpl hier="12" item="5"/>
          <tpl fld="1" item="0"/>
        </tpls>
      </n>
      <n v="9018243072">
        <tpls c="8">
          <tpl hier="2" item="0"/>
          <tpl hier="4" item="1"/>
          <tpl fld="2" item="26"/>
          <tpl fld="4" item="92"/>
          <tpl hier="9" item="4"/>
          <tpl hier="11" item="6"/>
          <tpl hier="12" item="5"/>
          <tpl fld="1" item="0"/>
        </tpls>
      </n>
      <n v="7459833344">
        <tpls c="8">
          <tpl hier="2" item="0"/>
          <tpl hier="4" item="1"/>
          <tpl fld="2" item="10"/>
          <tpl fld="4" item="92"/>
          <tpl hier="9" item="4"/>
          <tpl hier="11" item="6"/>
          <tpl hier="12" item="5"/>
          <tpl fld="1" item="0"/>
        </tpls>
      </n>
      <n v="80604078080">
        <tpls c="8">
          <tpl hier="2" item="0"/>
          <tpl hier="4" item="1"/>
          <tpl fld="2" item="45"/>
          <tpl fld="4" item="91"/>
          <tpl hier="9" item="4"/>
          <tpl hier="11" item="6"/>
          <tpl hier="12" item="5"/>
          <tpl fld="1" item="0"/>
        </tpls>
      </n>
      <n v="15656328192">
        <tpls c="8">
          <tpl hier="2" item="0"/>
          <tpl hier="4" item="1"/>
          <tpl fld="2" item="29"/>
          <tpl fld="4" item="91"/>
          <tpl hier="9" item="4"/>
          <tpl hier="11" item="6"/>
          <tpl hier="12" item="5"/>
          <tpl fld="1" item="0"/>
        </tpls>
      </n>
      <n v="5167913472">
        <tpls c="8">
          <tpl hier="2" item="0"/>
          <tpl hier="4" item="1"/>
          <tpl fld="2" item="13"/>
          <tpl fld="4" item="91"/>
          <tpl hier="9" item="4"/>
          <tpl hier="11" item="6"/>
          <tpl hier="12" item="5"/>
          <tpl fld="1" item="0"/>
        </tpls>
      </n>
      <n v="368288923648">
        <tpls c="8">
          <tpl hier="2" item="0"/>
          <tpl hier="4" item="1"/>
          <tpl fld="2" item="48"/>
          <tpl fld="4" item="90"/>
          <tpl hier="9" item="4"/>
          <tpl hier="11" item="6"/>
          <tpl hier="12" item="5"/>
          <tpl fld="1" item="0"/>
        </tpls>
      </n>
      <n v="115482370048">
        <tpls c="8">
          <tpl hier="2" item="0"/>
          <tpl hier="4" item="1"/>
          <tpl fld="2" item="32"/>
          <tpl fld="4" item="90"/>
          <tpl hier="9" item="4"/>
          <tpl hier="11" item="6"/>
          <tpl hier="12" item="5"/>
          <tpl fld="1" item="0"/>
        </tpls>
      </n>
      <n v="67521601536">
        <tpls c="8">
          <tpl hier="2" item="0"/>
          <tpl hier="4" item="1"/>
          <tpl fld="2" item="16"/>
          <tpl fld="4" item="90"/>
          <tpl hier="9" item="4"/>
          <tpl hier="11" item="6"/>
          <tpl hier="12" item="5"/>
          <tpl fld="1" item="0"/>
        </tpls>
      </n>
      <n v="18418393088">
        <tpls c="8">
          <tpl hier="2" item="0"/>
          <tpl hier="4" item="1"/>
          <tpl fld="2" item="0"/>
          <tpl fld="4" item="90"/>
          <tpl hier="9" item="4"/>
          <tpl hier="11" item="6"/>
          <tpl hier="12" item="5"/>
          <tpl fld="1" item="0"/>
        </tpls>
      </n>
      <n v="1650494336">
        <tpls c="8">
          <tpl hier="2" item="0"/>
          <tpl hier="4" item="1"/>
          <tpl fld="2" item="35"/>
          <tpl fld="4" item="89"/>
          <tpl hier="9" item="4"/>
          <tpl hier="11" item="6"/>
          <tpl hier="12" item="5"/>
          <tpl fld="1" item="0"/>
        </tpls>
      </n>
      <n v="932974400">
        <tpls c="8">
          <tpl hier="2" item="0"/>
          <tpl hier="4" item="1"/>
          <tpl fld="2" item="19"/>
          <tpl fld="4" item="89"/>
          <tpl hier="9" item="4"/>
          <tpl hier="11" item="6"/>
          <tpl hier="12" item="5"/>
          <tpl fld="1" item="0"/>
        </tpls>
      </n>
      <n v="575230208">
        <tpls c="8">
          <tpl hier="2" item="0"/>
          <tpl hier="4" item="1"/>
          <tpl fld="2" item="3"/>
          <tpl fld="4" item="89"/>
          <tpl hier="9" item="4"/>
          <tpl hier="11" item="6"/>
          <tpl hier="12" item="5"/>
          <tpl fld="1" item="0"/>
        </tpls>
      </n>
      <n v="967199616">
        <tpls c="8">
          <tpl hier="2" item="0"/>
          <tpl hier="4" item="1"/>
          <tpl fld="2" item="38"/>
          <tpl fld="4" item="88"/>
          <tpl hier="9" item="4"/>
          <tpl hier="11" item="6"/>
          <tpl hier="12" item="5"/>
          <tpl fld="1" item="0"/>
        </tpls>
      </n>
      <n v="433667200">
        <tpls c="8">
          <tpl hier="2" item="0"/>
          <tpl hier="4" item="1"/>
          <tpl fld="2" item="22"/>
          <tpl fld="4" item="88"/>
          <tpl hier="9" item="4"/>
          <tpl hier="11" item="6"/>
          <tpl hier="12" item="5"/>
          <tpl fld="1" item="0"/>
        </tpls>
      </n>
      <n v="49278980">
        <tpls c="8">
          <tpl hier="2" item="0"/>
          <tpl hier="4" item="1"/>
          <tpl fld="2" item="6"/>
          <tpl fld="4" item="88"/>
          <tpl hier="9" item="4"/>
          <tpl hier="11" item="6"/>
          <tpl hier="12" item="5"/>
          <tpl fld="1" item="0"/>
        </tpls>
      </n>
      <n v="17902206976">
        <tpls c="8">
          <tpl hier="2" item="0"/>
          <tpl hier="4" item="1"/>
          <tpl fld="2" item="41"/>
          <tpl fld="4" item="87"/>
          <tpl hier="9" item="4"/>
          <tpl hier="11" item="6"/>
          <tpl hier="12" item="5"/>
          <tpl fld="1" item="0"/>
        </tpls>
      </n>
      <n v="6176312320">
        <tpls c="8">
          <tpl hier="2" item="0"/>
          <tpl hier="4" item="1"/>
          <tpl fld="2" item="25"/>
          <tpl fld="4" item="87"/>
          <tpl hier="9" item="4"/>
          <tpl hier="11" item="6"/>
          <tpl hier="12" item="5"/>
          <tpl fld="1" item="0"/>
        </tpls>
      </n>
      <n v="4084878592">
        <tpls c="8">
          <tpl hier="2" item="0"/>
          <tpl hier="4" item="1"/>
          <tpl fld="2" item="9"/>
          <tpl fld="4" item="87"/>
          <tpl hier="9" item="4"/>
          <tpl hier="11" item="6"/>
          <tpl hier="12" item="5"/>
          <tpl fld="1" item="0"/>
        </tpls>
      </n>
      <n v="756350320640">
        <tpls c="8">
          <tpl hier="2" item="0"/>
          <tpl hier="4" item="1"/>
          <tpl fld="2" item="44"/>
          <tpl fld="4" item="86"/>
          <tpl hier="9" item="4"/>
          <tpl hier="11" item="6"/>
          <tpl hier="12" item="5"/>
          <tpl fld="1" item="0"/>
        </tpls>
      </n>
      <n v="146775490560">
        <tpls c="8">
          <tpl hier="2" item="0"/>
          <tpl hier="4" item="1"/>
          <tpl fld="2" item="28"/>
          <tpl fld="4" item="86"/>
          <tpl hier="9" item="4"/>
          <tpl hier="11" item="6"/>
          <tpl hier="12" item="5"/>
          <tpl fld="1" item="0"/>
        </tpls>
      </n>
      <n v="153239011328">
        <tpls c="8">
          <tpl hier="2" item="0"/>
          <tpl hier="4" item="1"/>
          <tpl fld="2" item="12"/>
          <tpl fld="4" item="86"/>
          <tpl hier="9" item="4"/>
          <tpl hier="11" item="6"/>
          <tpl hier="12" item="5"/>
          <tpl fld="1" item="0"/>
        </tpls>
      </n>
      <n v="9253098496">
        <tpls c="8">
          <tpl hier="2" item="0"/>
          <tpl hier="4" item="1"/>
          <tpl fld="2" item="47"/>
          <tpl fld="4" item="85"/>
          <tpl hier="9" item="4"/>
          <tpl hier="11" item="6"/>
          <tpl hier="12" item="5"/>
          <tpl fld="1" item="0"/>
        </tpls>
      </n>
      <n v="1674685312">
        <tpls c="8">
          <tpl hier="2" item="0"/>
          <tpl hier="4" item="1"/>
          <tpl fld="2" item="31"/>
          <tpl fld="4" item="85"/>
          <tpl hier="9" item="4"/>
          <tpl hier="11" item="6"/>
          <tpl hier="12" item="5"/>
          <tpl fld="1" item="0"/>
        </tpls>
      </n>
      <n v="1715625856">
        <tpls c="8">
          <tpl hier="2" item="0"/>
          <tpl hier="4" item="1"/>
          <tpl fld="2" item="15"/>
          <tpl fld="4" item="85"/>
          <tpl hier="9" item="4"/>
          <tpl hier="11" item="6"/>
          <tpl hier="12" item="5"/>
          <tpl fld="1" item="0"/>
        </tpls>
      </n>
      <n v="2540136922624">
        <tpls c="8">
          <tpl hier="2" item="0"/>
          <tpl hier="4" item="1"/>
          <tpl hier="5" item="3"/>
          <tpl fld="4" item="84"/>
          <tpl hier="9" item="4"/>
          <tpl hier="11" item="6"/>
          <tpl hier="12" item="5"/>
          <tpl fld="1" item="0"/>
        </tpls>
      </n>
      <n v="80322314240">
        <tpls c="8">
          <tpl hier="2" item="0"/>
          <tpl hier="4" item="1"/>
          <tpl fld="2" item="34"/>
          <tpl fld="4" item="84"/>
          <tpl hier="9" item="4"/>
          <tpl hier="11" item="6"/>
          <tpl hier="12" item="5"/>
          <tpl fld="1" item="0"/>
        </tpls>
      </n>
      <n v="26385799168">
        <tpls c="8">
          <tpl hier="2" item="0"/>
          <tpl hier="4" item="1"/>
          <tpl fld="2" item="18"/>
          <tpl fld="4" item="84"/>
          <tpl hier="9" item="4"/>
          <tpl hier="11" item="6"/>
          <tpl hier="12" item="5"/>
          <tpl fld="1" item="0"/>
        </tpls>
      </n>
      <n v="6328900096">
        <tpls c="8">
          <tpl hier="2" item="0"/>
          <tpl hier="4" item="1"/>
          <tpl fld="2" item="2"/>
          <tpl fld="4" item="84"/>
          <tpl hier="9" item="4"/>
          <tpl hier="11" item="6"/>
          <tpl hier="12" item="5"/>
          <tpl fld="1" item="0"/>
        </tpls>
      </n>
      <n v="155980414976">
        <tpls c="8">
          <tpl hier="2" item="0"/>
          <tpl hier="4" item="1"/>
          <tpl fld="2" item="37"/>
          <tpl fld="4" item="83"/>
          <tpl hier="9" item="4"/>
          <tpl hier="11" item="6"/>
          <tpl hier="12" item="5"/>
          <tpl fld="1" item="0"/>
        </tpls>
      </n>
      <n v="45417562112">
        <tpls c="8">
          <tpl hier="2" item="0"/>
          <tpl hier="4" item="1"/>
          <tpl fld="2" item="21"/>
          <tpl fld="4" item="83"/>
          <tpl hier="9" item="4"/>
          <tpl hier="11" item="6"/>
          <tpl hier="12" item="5"/>
          <tpl fld="1" item="0"/>
        </tpls>
      </n>
      <n v="14893969408">
        <tpls c="8">
          <tpl hier="2" item="0"/>
          <tpl hier="4" item="1"/>
          <tpl fld="2" item="5"/>
          <tpl fld="4" item="83"/>
          <tpl hier="9" item="4"/>
          <tpl hier="11" item="6"/>
          <tpl hier="12" item="5"/>
          <tpl fld="1" item="0"/>
        </tpls>
      </n>
      <n v="147528941568">
        <tpls c="8">
          <tpl hier="2" item="0"/>
          <tpl hier="4" item="1"/>
          <tpl fld="2" item="40"/>
          <tpl fld="4" item="82"/>
          <tpl hier="9" item="4"/>
          <tpl hier="11" item="6"/>
          <tpl hier="12" item="5"/>
          <tpl fld="1" item="0"/>
        </tpls>
      </n>
      <n v="44882079744">
        <tpls c="8">
          <tpl hier="2" item="0"/>
          <tpl hier="4" item="1"/>
          <tpl fld="2" item="24"/>
          <tpl fld="4" item="82"/>
          <tpl hier="9" item="4"/>
          <tpl hier="11" item="6"/>
          <tpl hier="12" item="5"/>
          <tpl fld="1" item="0"/>
        </tpls>
      </n>
      <n v="12495779840">
        <tpls c="8">
          <tpl hier="2" item="0"/>
          <tpl hier="4" item="1"/>
          <tpl fld="2" item="8"/>
          <tpl fld="4" item="82"/>
          <tpl hier="9" item="4"/>
          <tpl hier="11" item="6"/>
          <tpl hier="12" item="5"/>
          <tpl fld="1" item="0"/>
        </tpls>
      </n>
      <n v="38585319424">
        <tpls c="8">
          <tpl hier="2" item="0"/>
          <tpl hier="4" item="1"/>
          <tpl fld="2" item="43"/>
          <tpl fld="4" item="81"/>
          <tpl hier="9" item="4"/>
          <tpl hier="11" item="6"/>
          <tpl hier="12" item="5"/>
          <tpl fld="1" item="0"/>
        </tpls>
      </n>
      <n v="9965225984">
        <tpls c="8">
          <tpl hier="2" item="0"/>
          <tpl hier="4" item="1"/>
          <tpl fld="2" item="27"/>
          <tpl fld="4" item="81"/>
          <tpl hier="9" item="4"/>
          <tpl hier="11" item="6"/>
          <tpl hier="12" item="5"/>
          <tpl fld="1" item="0"/>
        </tpls>
      </n>
      <n v="5624516096">
        <tpls c="8">
          <tpl hier="2" item="0"/>
          <tpl hier="4" item="1"/>
          <tpl fld="2" item="11"/>
          <tpl fld="4" item="81"/>
          <tpl hier="9" item="4"/>
          <tpl hier="11" item="6"/>
          <tpl hier="12" item="5"/>
          <tpl fld="1" item="0"/>
        </tpls>
      </n>
      <n v="20759068672">
        <tpls c="8">
          <tpl hier="2" item="0"/>
          <tpl hier="4" item="1"/>
          <tpl fld="2" item="46"/>
          <tpl fld="4" item="80"/>
          <tpl hier="9" item="4"/>
          <tpl hier="11" item="6"/>
          <tpl hier="12" item="5"/>
          <tpl fld="1" item="0"/>
        </tpls>
      </n>
      <n v="3521339648">
        <tpls c="8">
          <tpl hier="2" item="0"/>
          <tpl hier="4" item="1"/>
          <tpl fld="2" item="30"/>
          <tpl fld="4" item="80"/>
          <tpl hier="9" item="4"/>
          <tpl hier="11" item="6"/>
          <tpl hier="12" item="5"/>
          <tpl fld="1" item="0"/>
        </tpls>
      </n>
      <n v="2552526336">
        <tpls c="8">
          <tpl hier="2" item="0"/>
          <tpl hier="4" item="1"/>
          <tpl fld="2" item="14"/>
          <tpl fld="4" item="80"/>
          <tpl hier="9" item="4"/>
          <tpl hier="11" item="6"/>
          <tpl hier="12" item="5"/>
          <tpl fld="1" item="0"/>
        </tpls>
      </n>
      <n v="66800799744">
        <tpls c="8">
          <tpl hier="2" item="0"/>
          <tpl hier="4" item="1"/>
          <tpl fld="2" item="49"/>
          <tpl fld="4" item="79"/>
          <tpl hier="9" item="4"/>
          <tpl hier="11" item="6"/>
          <tpl hier="12" item="5"/>
          <tpl fld="1" item="0"/>
        </tpls>
      </n>
      <n v="13693981696">
        <tpls c="8">
          <tpl hier="2" item="0"/>
          <tpl hier="4" item="1"/>
          <tpl fld="2" item="33"/>
          <tpl fld="4" item="79"/>
          <tpl hier="9" item="4"/>
          <tpl hier="11" item="6"/>
          <tpl hier="12" item="5"/>
          <tpl fld="1" item="0"/>
        </tpls>
      </n>
      <n v="6827665408">
        <tpls c="8">
          <tpl hier="2" item="0"/>
          <tpl hier="4" item="1"/>
          <tpl fld="2" item="17"/>
          <tpl fld="4" item="79"/>
          <tpl hier="9" item="4"/>
          <tpl hier="11" item="6"/>
          <tpl hier="12" item="5"/>
          <tpl fld="1" item="0"/>
        </tpls>
      </n>
      <n v="1523917184">
        <tpls c="8">
          <tpl hier="2" item="0"/>
          <tpl hier="4" item="1"/>
          <tpl fld="2" item="1"/>
          <tpl fld="4" item="79"/>
          <tpl hier="9" item="4"/>
          <tpl hier="11" item="6"/>
          <tpl hier="12" item="5"/>
          <tpl fld="1" item="0"/>
        </tpls>
      </n>
      <n v="137264062464">
        <tpls c="8">
          <tpl hier="2" item="0"/>
          <tpl hier="4" item="1"/>
          <tpl fld="2" item="36"/>
          <tpl fld="4" item="78"/>
          <tpl hier="9" item="4"/>
          <tpl hier="11" item="6"/>
          <tpl hier="12" item="5"/>
          <tpl fld="1" item="0"/>
        </tpls>
      </n>
      <n v="40010424320">
        <tpls c="8">
          <tpl hier="2" item="0"/>
          <tpl hier="4" item="1"/>
          <tpl fld="2" item="20"/>
          <tpl fld="4" item="78"/>
          <tpl hier="9" item="4"/>
          <tpl hier="11" item="6"/>
          <tpl hier="12" item="5"/>
          <tpl fld="1" item="0"/>
        </tpls>
      </n>
      <n v="8899191808">
        <tpls c="8">
          <tpl hier="2" item="0"/>
          <tpl hier="4" item="1"/>
          <tpl fld="2" item="4"/>
          <tpl fld="4" item="78"/>
          <tpl hier="9" item="4"/>
          <tpl hier="11" item="6"/>
          <tpl hier="12" item="5"/>
          <tpl fld="1" item="0"/>
        </tpls>
      </n>
      <n v="48388296704">
        <tpls c="8">
          <tpl hier="2" item="0"/>
          <tpl hier="4" item="1"/>
          <tpl fld="2" item="39"/>
          <tpl fld="4" item="77"/>
          <tpl hier="9" item="4"/>
          <tpl hier="11" item="6"/>
          <tpl hier="12" item="5"/>
          <tpl fld="1" item="0"/>
        </tpls>
      </n>
      <n v="12493108224">
        <tpls c="8">
          <tpl hier="2" item="0"/>
          <tpl hier="4" item="1"/>
          <tpl fld="2" item="23"/>
          <tpl fld="4" item="77"/>
          <tpl hier="9" item="4"/>
          <tpl hier="11" item="6"/>
          <tpl hier="12" item="5"/>
          <tpl fld="1" item="0"/>
        </tpls>
      </n>
      <n v="2741169920">
        <tpls c="8">
          <tpl hier="2" item="0"/>
          <tpl hier="4" item="1"/>
          <tpl fld="2" item="7"/>
          <tpl fld="4" item="77"/>
          <tpl hier="9" item="4"/>
          <tpl hier="11" item="6"/>
          <tpl hier="12" item="5"/>
          <tpl fld="1" item="0"/>
        </tpls>
      </n>
      <n v="459376033792">
        <tpls c="8">
          <tpl hier="2" item="0"/>
          <tpl hier="4" item="1"/>
          <tpl fld="2" item="42"/>
          <tpl fld="4" item="76"/>
          <tpl hier="9" item="4"/>
          <tpl hier="11" item="6"/>
          <tpl hier="12" item="5"/>
          <tpl fld="1" item="0"/>
        </tpls>
      </n>
      <n v="51075813376">
        <tpls c="8">
          <tpl hier="2" item="0"/>
          <tpl hier="4" item="1"/>
          <tpl fld="2" item="26"/>
          <tpl fld="4" item="76"/>
          <tpl hier="9" item="4"/>
          <tpl hier="11" item="6"/>
          <tpl hier="12" item="5"/>
          <tpl fld="1" item="0"/>
        </tpls>
      </n>
      <n v="64201789440">
        <tpls c="8">
          <tpl hier="2" item="0"/>
          <tpl hier="4" item="1"/>
          <tpl fld="2" item="10"/>
          <tpl fld="4" item="76"/>
          <tpl hier="9" item="4"/>
          <tpl hier="11" item="6"/>
          <tpl hier="12" item="5"/>
          <tpl fld="1" item="0"/>
        </tpls>
      </n>
      <n v="9667589120">
        <tpls c="8">
          <tpl hier="2" item="0"/>
          <tpl hier="4" item="1"/>
          <tpl fld="2" item="45"/>
          <tpl fld="4" item="75"/>
          <tpl hier="9" item="4"/>
          <tpl hier="11" item="6"/>
          <tpl hier="12" item="5"/>
          <tpl fld="1" item="0"/>
        </tpls>
      </n>
      <n v="2520868608">
        <tpls c="8">
          <tpl hier="2" item="0"/>
          <tpl hier="4" item="1"/>
          <tpl fld="2" item="29"/>
          <tpl fld="4" item="75"/>
          <tpl hier="9" item="4"/>
          <tpl hier="11" item="6"/>
          <tpl hier="12" item="5"/>
          <tpl fld="1" item="0"/>
        </tpls>
      </n>
      <n v="1803099776">
        <tpls c="8">
          <tpl hier="2" item="0"/>
          <tpl hier="4" item="1"/>
          <tpl fld="2" item="13"/>
          <tpl fld="4" item="75"/>
          <tpl hier="9" item="4"/>
          <tpl hier="11" item="6"/>
          <tpl hier="12" item="5"/>
          <tpl fld="1" item="0"/>
        </tpls>
      </n>
      <n v="13063873536">
        <tpls c="8">
          <tpl hier="2" item="0"/>
          <tpl hier="4" item="1"/>
          <tpl fld="2" item="48"/>
          <tpl fld="4" item="74"/>
          <tpl hier="9" item="4"/>
          <tpl hier="11" item="6"/>
          <tpl hier="12" item="5"/>
          <tpl fld="1" item="0"/>
        </tpls>
      </n>
      <n v="5224212992">
        <tpls c="8">
          <tpl hier="2" item="0"/>
          <tpl hier="4" item="1"/>
          <tpl fld="2" item="32"/>
          <tpl fld="4" item="74"/>
          <tpl hier="9" item="4"/>
          <tpl hier="11" item="6"/>
          <tpl hier="12" item="5"/>
          <tpl fld="1" item="0"/>
        </tpls>
      </n>
      <n v="2885710592">
        <tpls c="8">
          <tpl hier="2" item="0"/>
          <tpl hier="4" item="1"/>
          <tpl fld="2" item="16"/>
          <tpl fld="4" item="74"/>
          <tpl hier="9" item="4"/>
          <tpl hier="11" item="6"/>
          <tpl hier="12" item="5"/>
          <tpl fld="1" item="0"/>
        </tpls>
      </n>
      <n v="776585664">
        <tpls c="8">
          <tpl hier="2" item="0"/>
          <tpl hier="4" item="1"/>
          <tpl fld="2" item="0"/>
          <tpl fld="4" item="74"/>
          <tpl hier="9" item="4"/>
          <tpl hier="11" item="6"/>
          <tpl hier="12" item="5"/>
          <tpl fld="1" item="0"/>
        </tpls>
      </n>
      <n v="8130257920">
        <tpls c="8">
          <tpl hier="2" item="0"/>
          <tpl hier="4" item="1"/>
          <tpl fld="2" item="35"/>
          <tpl fld="4" item="73"/>
          <tpl hier="9" item="4"/>
          <tpl hier="11" item="6"/>
          <tpl hier="12" item="5"/>
          <tpl fld="1" item="0"/>
        </tpls>
      </n>
      <n v="3525228032">
        <tpls c="8">
          <tpl hier="2" item="0"/>
          <tpl hier="4" item="1"/>
          <tpl fld="2" item="19"/>
          <tpl fld="4" item="73"/>
          <tpl hier="9" item="4"/>
          <tpl hier="11" item="6"/>
          <tpl hier="12" item="5"/>
          <tpl fld="1" item="0"/>
        </tpls>
      </n>
      <n v="972101696">
        <tpls c="8">
          <tpl hier="2" item="0"/>
          <tpl hier="4" item="1"/>
          <tpl fld="2" item="3"/>
          <tpl fld="4" item="73"/>
          <tpl hier="9" item="4"/>
          <tpl hier="11" item="6"/>
          <tpl hier="12" item="5"/>
          <tpl fld="1" item="0"/>
        </tpls>
      </n>
      <n v="92507258880">
        <tpls c="8">
          <tpl hier="2" item="0"/>
          <tpl hier="4" item="1"/>
          <tpl fld="2" item="38"/>
          <tpl fld="4" item="72"/>
          <tpl hier="9" item="4"/>
          <tpl hier="11" item="6"/>
          <tpl hier="12" item="5"/>
          <tpl fld="1" item="0"/>
        </tpls>
      </n>
      <n v="33711069184">
        <tpls c="8">
          <tpl hier="2" item="0"/>
          <tpl hier="4" item="1"/>
          <tpl fld="2" item="22"/>
          <tpl fld="4" item="72"/>
          <tpl hier="9" item="4"/>
          <tpl hier="11" item="6"/>
          <tpl hier="12" item="5"/>
          <tpl fld="1" item="0"/>
        </tpls>
      </n>
      <n v="9584323584">
        <tpls c="8">
          <tpl hier="2" item="0"/>
          <tpl hier="4" item="1"/>
          <tpl fld="2" item="6"/>
          <tpl fld="4" item="72"/>
          <tpl hier="9" item="4"/>
          <tpl hier="11" item="6"/>
          <tpl hier="12" item="5"/>
          <tpl fld="1" item="0"/>
        </tpls>
      </n>
      <n v="1180489613312">
        <tpls c="8">
          <tpl hier="2" item="0"/>
          <tpl hier="4" item="1"/>
          <tpl fld="2" item="41"/>
          <tpl fld="4" item="71"/>
          <tpl hier="9" item="4"/>
          <tpl hier="11" item="6"/>
          <tpl hier="12" item="5"/>
          <tpl fld="1" item="0"/>
        </tpls>
      </n>
      <n v="360073920512">
        <tpls c="8">
          <tpl hier="2" item="0"/>
          <tpl hier="4" item="1"/>
          <tpl fld="2" item="25"/>
          <tpl fld="4" item="71"/>
          <tpl hier="9" item="4"/>
          <tpl hier="11" item="6"/>
          <tpl hier="12" item="5"/>
          <tpl fld="1" item="0"/>
        </tpls>
      </n>
      <n v="134561406976">
        <tpls c="8">
          <tpl hier="2" item="0"/>
          <tpl hier="4" item="1"/>
          <tpl fld="2" item="9"/>
          <tpl fld="4" item="71"/>
          <tpl hier="9" item="4"/>
          <tpl hier="11" item="6"/>
          <tpl hier="12" item="5"/>
          <tpl fld="1" item="0"/>
        </tpls>
      </n>
      <n v="6592537600">
        <tpls c="8">
          <tpl hier="2" item="0"/>
          <tpl hier="4" item="1"/>
          <tpl fld="2" item="44"/>
          <tpl fld="4" item="70"/>
          <tpl hier="9" item="4"/>
          <tpl hier="11" item="6"/>
          <tpl hier="12" item="5"/>
          <tpl fld="1" item="0"/>
        </tpls>
      </n>
      <n v="2032345856">
        <tpls c="8">
          <tpl hier="2" item="0"/>
          <tpl hier="4" item="1"/>
          <tpl fld="2" item="28"/>
          <tpl fld="4" item="70"/>
          <tpl hier="9" item="4"/>
          <tpl hier="11" item="6"/>
          <tpl hier="12" item="5"/>
          <tpl fld="1" item="0"/>
        </tpls>
      </n>
      <n v="1108776064">
        <tpls c="8">
          <tpl hier="2" item="0"/>
          <tpl hier="4" item="1"/>
          <tpl fld="2" item="12"/>
          <tpl fld="4" item="70"/>
          <tpl hier="9" item="4"/>
          <tpl hier="11" item="6"/>
          <tpl hier="12" item="5"/>
          <tpl fld="1" item="0"/>
        </tpls>
      </n>
      <n v="15375605760">
        <tpls c="8">
          <tpl hier="2" item="0"/>
          <tpl hier="4" item="1"/>
          <tpl fld="2" item="47"/>
          <tpl fld="4" item="69"/>
          <tpl hier="9" item="4"/>
          <tpl hier="11" item="6"/>
          <tpl hier="12" item="5"/>
          <tpl fld="1" item="0"/>
        </tpls>
      </n>
      <n v="3465306112">
        <tpls c="8">
          <tpl hier="2" item="0"/>
          <tpl hier="4" item="1"/>
          <tpl fld="2" item="31"/>
          <tpl fld="4" item="69"/>
          <tpl hier="9" item="4"/>
          <tpl hier="11" item="6"/>
          <tpl hier="12" item="5"/>
          <tpl fld="1" item="0"/>
        </tpls>
      </n>
      <n v="1392195968">
        <tpls c="8">
          <tpl hier="2" item="0"/>
          <tpl hier="4" item="1"/>
          <tpl fld="2" item="15"/>
          <tpl fld="4" item="69"/>
          <tpl hier="9" item="4"/>
          <tpl hier="11" item="6"/>
          <tpl hier="12" item="5"/>
          <tpl fld="1" item="0"/>
        </tpls>
      </n>
      <n v="5770603855360">
        <tpls c="8">
          <tpl hier="2" item="0"/>
          <tpl hier="4" item="1"/>
          <tpl hier="5" item="3"/>
          <tpl fld="4" item="68"/>
          <tpl hier="9" item="4"/>
          <tpl hier="11" item="6"/>
          <tpl hier="12" item="5"/>
          <tpl fld="1" item="0"/>
        </tpls>
      </n>
      <n v="124749471744">
        <tpls c="8">
          <tpl hier="2" item="0"/>
          <tpl hier="4" item="1"/>
          <tpl fld="2" item="34"/>
          <tpl fld="4" item="68"/>
          <tpl hier="9" item="4"/>
          <tpl hier="11" item="6"/>
          <tpl hier="12" item="5"/>
          <tpl fld="1" item="0"/>
        </tpls>
      </n>
      <n v="35271880704">
        <tpls c="8">
          <tpl hier="2" item="0"/>
          <tpl hier="4" item="1"/>
          <tpl fld="2" item="18"/>
          <tpl fld="4" item="68"/>
          <tpl hier="9" item="4"/>
          <tpl hier="11" item="6"/>
          <tpl hier="12" item="5"/>
          <tpl fld="1" item="0"/>
        </tpls>
      </n>
      <n v="5043268608">
        <tpls c="8">
          <tpl hier="2" item="0"/>
          <tpl hier="4" item="1"/>
          <tpl fld="2" item="2"/>
          <tpl fld="4" item="68"/>
          <tpl hier="9" item="4"/>
          <tpl hier="11" item="6"/>
          <tpl hier="12" item="5"/>
          <tpl fld="1" item="0"/>
        </tpls>
      </n>
      <n v="4432936960">
        <tpls c="8">
          <tpl hier="2" item="0"/>
          <tpl hier="4" item="1"/>
          <tpl fld="2" item="37"/>
          <tpl fld="4" item="67"/>
          <tpl hier="9" item="4"/>
          <tpl hier="11" item="6"/>
          <tpl hier="12" item="5"/>
          <tpl fld="1" item="0"/>
        </tpls>
      </n>
      <n v="2203545856">
        <tpls c="8">
          <tpl hier="2" item="0"/>
          <tpl hier="4" item="1"/>
          <tpl fld="2" item="21"/>
          <tpl fld="4" item="67"/>
          <tpl hier="9" item="4"/>
          <tpl hier="11" item="6"/>
          <tpl hier="12" item="5"/>
          <tpl fld="1" item="0"/>
        </tpls>
      </n>
      <n v="613220672">
        <tpls c="8">
          <tpl hier="2" item="0"/>
          <tpl hier="4" item="1"/>
          <tpl fld="2" item="5"/>
          <tpl fld="4" item="67"/>
          <tpl hier="9" item="4"/>
          <tpl hier="11" item="6"/>
          <tpl hier="12" item="5"/>
          <tpl fld="1" item="0"/>
        </tpls>
      </n>
      <n v="9982710784">
        <tpls c="8">
          <tpl hier="2" item="0"/>
          <tpl hier="4" item="1"/>
          <tpl fld="2" item="40"/>
          <tpl fld="4" item="66"/>
          <tpl hier="9" item="4"/>
          <tpl hier="11" item="6"/>
          <tpl hier="12" item="5"/>
          <tpl fld="1" item="0"/>
        </tpls>
      </n>
      <n v="3522226944">
        <tpls c="8">
          <tpl hier="2" item="0"/>
          <tpl hier="4" item="1"/>
          <tpl fld="2" item="24"/>
          <tpl fld="4" item="66"/>
          <tpl hier="9" item="4"/>
          <tpl hier="11" item="6"/>
          <tpl hier="12" item="5"/>
          <tpl fld="1" item="0"/>
        </tpls>
      </n>
      <n v="2669755136">
        <tpls c="8">
          <tpl hier="2" item="0"/>
          <tpl hier="4" item="1"/>
          <tpl fld="2" item="8"/>
          <tpl fld="4" item="66"/>
          <tpl hier="9" item="4"/>
          <tpl hier="11" item="6"/>
          <tpl hier="12" item="5"/>
          <tpl fld="1" item="0"/>
        </tpls>
      </n>
      <n v="2421469952">
        <tpls c="8">
          <tpl hier="2" item="0"/>
          <tpl hier="4" item="1"/>
          <tpl fld="2" item="43"/>
          <tpl fld="4" item="65"/>
          <tpl hier="9" item="4"/>
          <tpl hier="11" item="6"/>
          <tpl hier="12" item="5"/>
          <tpl fld="1" item="0"/>
        </tpls>
      </n>
      <n v="997996032">
        <tpls c="8">
          <tpl hier="2" item="0"/>
          <tpl hier="4" item="1"/>
          <tpl fld="2" item="27"/>
          <tpl fld="4" item="65"/>
          <tpl hier="9" item="4"/>
          <tpl hier="11" item="6"/>
          <tpl hier="12" item="5"/>
          <tpl fld="1" item="0"/>
        </tpls>
      </n>
      <n v="434188032">
        <tpls c="8">
          <tpl hier="2" item="0"/>
          <tpl hier="4" item="1"/>
          <tpl fld="2" item="11"/>
          <tpl fld="4" item="65"/>
          <tpl hier="9" item="4"/>
          <tpl hier="11" item="6"/>
          <tpl hier="12" item="5"/>
          <tpl fld="1" item="0"/>
        </tpls>
      </n>
      <n v="178328880">
        <tpls c="8">
          <tpl hier="2" item="0"/>
          <tpl hier="4" item="1"/>
          <tpl fld="2" item="46"/>
          <tpl fld="4" item="64"/>
          <tpl hier="9" item="4"/>
          <tpl hier="11" item="6"/>
          <tpl hier="12" item="5"/>
          <tpl fld="1" item="0"/>
        </tpls>
      </n>
      <n v="67254176">
        <tpls c="8">
          <tpl hier="2" item="0"/>
          <tpl hier="4" item="1"/>
          <tpl fld="2" item="30"/>
          <tpl fld="4" item="64"/>
          <tpl hier="9" item="4"/>
          <tpl hier="11" item="6"/>
          <tpl hier="12" item="5"/>
          <tpl fld="1" item="0"/>
        </tpls>
      </n>
      <n v="41246160">
        <tpls c="8">
          <tpl hier="2" item="0"/>
          <tpl hier="4" item="1"/>
          <tpl fld="2" item="14"/>
          <tpl fld="4" item="64"/>
          <tpl hier="9" item="4"/>
          <tpl hier="11" item="6"/>
          <tpl hier="12" item="5"/>
          <tpl fld="1" item="0"/>
        </tpls>
      </n>
      <n v="58660606800448">
        <tpls c="8">
          <tpl hier="2" item="0"/>
          <tpl hier="4" item="1"/>
          <tpl fld="2" item="40"/>
          <tpl hier="6" item="2"/>
          <tpl hier="9" item="4"/>
          <tpl hier="11" item="6"/>
          <tpl hier="12" item="5"/>
          <tpl fld="1" item="0"/>
        </tpls>
      </n>
      <n v="25814337490704">
        <tpls c="8">
          <tpl hier="2" item="0"/>
          <tpl hier="4" item="1"/>
          <tpl fld="2" item="24"/>
          <tpl hier="6" item="2"/>
          <tpl hier="9" item="4"/>
          <tpl hier="11" item="6"/>
          <tpl hier="12" item="5"/>
          <tpl fld="1" item="0"/>
        </tpls>
      </n>
      <n v="7858910718292">
        <tpls c="8">
          <tpl hier="2" item="0"/>
          <tpl hier="4" item="1"/>
          <tpl fld="2" item="8"/>
          <tpl hier="6" item="2"/>
          <tpl hier="9" item="4"/>
          <tpl hier="11" item="6"/>
          <tpl hier="12" item="5"/>
          <tpl fld="1" item="0"/>
        </tpls>
      </n>
      <n v="19091019776">
        <tpls c="8">
          <tpl hier="2" item="0"/>
          <tpl hier="4" item="1"/>
          <tpl fld="2" item="43"/>
          <tpl fld="4" item="102"/>
          <tpl hier="9" item="4"/>
          <tpl hier="11" item="6"/>
          <tpl hier="12" item="5"/>
          <tpl fld="1" item="0"/>
        </tpls>
      </n>
      <n v="8529571840">
        <tpls c="8">
          <tpl hier="2" item="0"/>
          <tpl hier="4" item="1"/>
          <tpl fld="2" item="27"/>
          <tpl fld="4" item="102"/>
          <tpl hier="9" item="4"/>
          <tpl hier="11" item="6"/>
          <tpl hier="12" item="5"/>
          <tpl fld="1" item="0"/>
        </tpls>
      </n>
      <n v="8011373568">
        <tpls c="8">
          <tpl hier="2" item="0"/>
          <tpl hier="4" item="1"/>
          <tpl fld="2" item="11"/>
          <tpl fld="4" item="102"/>
          <tpl hier="9" item="4"/>
          <tpl hier="11" item="6"/>
          <tpl hier="12" item="5"/>
          <tpl fld="1" item="0"/>
        </tpls>
      </n>
      <n v="20954761216">
        <tpls c="8">
          <tpl hier="2" item="0"/>
          <tpl hier="4" item="1"/>
          <tpl fld="2" item="46"/>
          <tpl fld="4" item="101"/>
          <tpl hier="9" item="4"/>
          <tpl hier="11" item="6"/>
          <tpl hier="12" item="5"/>
          <tpl fld="1" item="0"/>
        </tpls>
      </n>
      <n v="3600683008">
        <tpls c="8">
          <tpl hier="2" item="0"/>
          <tpl hier="4" item="1"/>
          <tpl fld="2" item="30"/>
          <tpl fld="4" item="101"/>
          <tpl hier="9" item="4"/>
          <tpl hier="11" item="6"/>
          <tpl hier="12" item="5"/>
          <tpl fld="1" item="0"/>
        </tpls>
      </n>
      <n v="2739444480">
        <tpls c="8">
          <tpl hier="2" item="0"/>
          <tpl hier="4" item="1"/>
          <tpl fld="2" item="14"/>
          <tpl fld="4" item="101"/>
          <tpl hier="9" item="4"/>
          <tpl hier="11" item="6"/>
          <tpl hier="12" item="5"/>
          <tpl fld="1" item="0"/>
        </tpls>
      </n>
      <n v="56045912064">
        <tpls c="8">
          <tpl hier="2" item="0"/>
          <tpl hier="4" item="1"/>
          <tpl fld="2" item="49"/>
          <tpl fld="4" item="100"/>
          <tpl hier="9" item="4"/>
          <tpl hier="11" item="6"/>
          <tpl hier="12" item="5"/>
          <tpl fld="1" item="0"/>
        </tpls>
      </n>
      <n v="12045631488">
        <tpls c="8">
          <tpl hier="2" item="0"/>
          <tpl hier="4" item="1"/>
          <tpl fld="2" item="33"/>
          <tpl fld="4" item="100"/>
          <tpl hier="9" item="4"/>
          <tpl hier="11" item="6"/>
          <tpl hier="12" item="5"/>
          <tpl fld="1" item="0"/>
        </tpls>
      </n>
      <n v="7367494144">
        <tpls c="8">
          <tpl hier="2" item="0"/>
          <tpl hier="4" item="1"/>
          <tpl fld="2" item="17"/>
          <tpl fld="4" item="100"/>
          <tpl hier="9" item="4"/>
          <tpl hier="11" item="6"/>
          <tpl hier="12" item="5"/>
          <tpl fld="1" item="0"/>
        </tpls>
      </n>
      <n v="2807258112">
        <tpls c="8">
          <tpl hier="2" item="0"/>
          <tpl hier="4" item="1"/>
          <tpl fld="2" item="1"/>
          <tpl fld="4" item="100"/>
          <tpl hier="9" item="4"/>
          <tpl hier="11" item="6"/>
          <tpl hier="12" item="5"/>
          <tpl fld="1" item="0"/>
        </tpls>
      </n>
      <n v="552486895616">
        <tpls c="8">
          <tpl hier="2" item="0"/>
          <tpl hier="4" item="1"/>
          <tpl fld="2" item="36"/>
          <tpl fld="4" item="99"/>
          <tpl hier="9" item="4"/>
          <tpl hier="11" item="6"/>
          <tpl hier="12" item="5"/>
          <tpl fld="1" item="0"/>
        </tpls>
      </n>
      <n v="150676291584">
        <tpls c="8">
          <tpl hier="2" item="0"/>
          <tpl hier="4" item="1"/>
          <tpl fld="2" item="20"/>
          <tpl fld="4" item="99"/>
          <tpl hier="9" item="4"/>
          <tpl hier="11" item="6"/>
          <tpl hier="12" item="5"/>
          <tpl fld="1" item="0"/>
        </tpls>
      </n>
      <n v="35599912960">
        <tpls c="8">
          <tpl hier="2" item="0"/>
          <tpl hier="4" item="1"/>
          <tpl fld="2" item="4"/>
          <tpl fld="4" item="99"/>
          <tpl hier="9" item="4"/>
          <tpl hier="11" item="6"/>
          <tpl hier="12" item="5"/>
          <tpl fld="1" item="0"/>
        </tpls>
      </n>
      <n v="43454935040">
        <tpls c="8">
          <tpl hier="2" item="0"/>
          <tpl hier="4" item="1"/>
          <tpl fld="2" item="39"/>
          <tpl fld="4" item="98"/>
          <tpl hier="9" item="4"/>
          <tpl hier="11" item="6"/>
          <tpl hier="12" item="5"/>
          <tpl fld="1" item="0"/>
        </tpls>
      </n>
      <n v="14608947200">
        <tpls c="8">
          <tpl hier="2" item="0"/>
          <tpl hier="4" item="1"/>
          <tpl fld="2" item="23"/>
          <tpl fld="4" item="98"/>
          <tpl hier="9" item="4"/>
          <tpl hier="11" item="6"/>
          <tpl hier="12" item="5"/>
          <tpl fld="1" item="0"/>
        </tpls>
      </n>
      <n v="5109323776">
        <tpls c="8">
          <tpl hier="2" item="0"/>
          <tpl hier="4" item="1"/>
          <tpl fld="2" item="7"/>
          <tpl fld="4" item="98"/>
          <tpl hier="9" item="4"/>
          <tpl hier="11" item="6"/>
          <tpl hier="12" item="5"/>
          <tpl fld="1" item="0"/>
        </tpls>
      </n>
      <n v="25763219456">
        <tpls c="8">
          <tpl hier="2" item="0"/>
          <tpl hier="4" item="1"/>
          <tpl fld="2" item="42"/>
          <tpl fld="4" item="97"/>
          <tpl hier="9" item="4"/>
          <tpl hier="11" item="6"/>
          <tpl hier="12" item="5"/>
          <tpl fld="1" item="0"/>
        </tpls>
      </n>
      <n v="5759537664">
        <tpls c="8">
          <tpl hier="2" item="0"/>
          <tpl hier="4" item="1"/>
          <tpl fld="2" item="26"/>
          <tpl fld="4" item="97"/>
          <tpl hier="9" item="4"/>
          <tpl hier="11" item="6"/>
          <tpl hier="12" item="5"/>
          <tpl fld="1" item="0"/>
        </tpls>
      </n>
      <n v="6235833344">
        <tpls c="8">
          <tpl hier="2" item="0"/>
          <tpl hier="4" item="1"/>
          <tpl fld="2" item="10"/>
          <tpl fld="4" item="97"/>
          <tpl hier="9" item="4"/>
          <tpl hier="11" item="6"/>
          <tpl hier="12" item="5"/>
          <tpl fld="1" item="0"/>
        </tpls>
      </n>
      <n v="4180866304">
        <tpls c="8">
          <tpl hier="2" item="0"/>
          <tpl hier="4" item="1"/>
          <tpl fld="2" item="45"/>
          <tpl fld="4" item="96"/>
          <tpl hier="9" item="4"/>
          <tpl hier="11" item="6"/>
          <tpl hier="12" item="5"/>
          <tpl fld="1" item="0"/>
        </tpls>
      </n>
      <n v="1576094592">
        <tpls c="8">
          <tpl hier="2" item="0"/>
          <tpl hier="4" item="1"/>
          <tpl fld="2" item="29"/>
          <tpl fld="4" item="96"/>
          <tpl hier="9" item="4"/>
          <tpl hier="11" item="6"/>
          <tpl hier="12" item="5"/>
          <tpl fld="1" item="0"/>
        </tpls>
      </n>
      <n v="765746560">
        <tpls c="8">
          <tpl hier="2" item="0"/>
          <tpl hier="4" item="1"/>
          <tpl fld="2" item="13"/>
          <tpl fld="4" item="96"/>
          <tpl hier="9" item="4"/>
          <tpl hier="11" item="6"/>
          <tpl hier="12" item="5"/>
          <tpl fld="1" item="0"/>
        </tpls>
      </n>
      <n v="506514112512">
        <tpls c="8">
          <tpl hier="2" item="0"/>
          <tpl hier="4" item="1"/>
          <tpl fld="2" item="48"/>
          <tpl fld="4" item="95"/>
          <tpl hier="9" item="4"/>
          <tpl hier="11" item="6"/>
          <tpl hier="12" item="5"/>
          <tpl fld="1" item="0"/>
        </tpls>
      </n>
      <n v="134300852224">
        <tpls c="8">
          <tpl hier="2" item="0"/>
          <tpl hier="4" item="1"/>
          <tpl fld="2" item="32"/>
          <tpl fld="4" item="95"/>
          <tpl hier="9" item="4"/>
          <tpl hier="11" item="6"/>
          <tpl hier="12" item="5"/>
          <tpl fld="1" item="0"/>
        </tpls>
      </n>
      <n v="43096748032">
        <tpls c="8">
          <tpl hier="2" item="0"/>
          <tpl hier="4" item="1"/>
          <tpl fld="2" item="16"/>
          <tpl fld="4" item="95"/>
          <tpl hier="9" item="4"/>
          <tpl hier="11" item="6"/>
          <tpl hier="12" item="5"/>
          <tpl fld="1" item="0"/>
        </tpls>
      </n>
      <n v="7086538240">
        <tpls c="8">
          <tpl hier="2" item="0"/>
          <tpl hier="4" item="1"/>
          <tpl fld="2" item="0"/>
          <tpl fld="4" item="95"/>
          <tpl hier="9" item="4"/>
          <tpl hier="11" item="6"/>
          <tpl hier="12" item="5"/>
          <tpl fld="1" item="0"/>
        </tpls>
      </n>
      <n v="3178126592">
        <tpls c="8">
          <tpl hier="2" item="0"/>
          <tpl hier="4" item="1"/>
          <tpl fld="2" item="35"/>
          <tpl fld="4" item="94"/>
          <tpl hier="9" item="4"/>
          <tpl hier="11" item="6"/>
          <tpl hier="12" item="5"/>
          <tpl fld="1" item="0"/>
        </tpls>
      </n>
      <n v="696915456">
        <tpls c="8">
          <tpl hier="2" item="0"/>
          <tpl hier="4" item="1"/>
          <tpl fld="2" item="19"/>
          <tpl fld="4" item="94"/>
          <tpl hier="9" item="4"/>
          <tpl hier="11" item="6"/>
          <tpl hier="12" item="5"/>
          <tpl fld="1" item="0"/>
        </tpls>
      </n>
      <n v="221902016">
        <tpls c="8">
          <tpl hier="2" item="0"/>
          <tpl hier="4" item="1"/>
          <tpl fld="2" item="3"/>
          <tpl fld="4" item="94"/>
          <tpl hier="9" item="4"/>
          <tpl hier="11" item="6"/>
          <tpl hier="12" item="5"/>
          <tpl fld="1" item="0"/>
        </tpls>
      </n>
      <n v="3532968960">
        <tpls c="8">
          <tpl hier="2" item="0"/>
          <tpl hier="4" item="1"/>
          <tpl fld="2" item="38"/>
          <tpl fld="4" item="93"/>
          <tpl hier="9" item="4"/>
          <tpl hier="11" item="6"/>
          <tpl hier="12" item="5"/>
          <tpl fld="1" item="0"/>
        </tpls>
      </n>
      <n v="404600000">
        <tpls c="8">
          <tpl hier="2" item="0"/>
          <tpl hier="4" item="1"/>
          <tpl fld="2" item="22"/>
          <tpl fld="4" item="93"/>
          <tpl hier="9" item="4"/>
          <tpl hier="11" item="6"/>
          <tpl hier="12" item="5"/>
          <tpl fld="1" item="0"/>
        </tpls>
      </n>
      <n v="505500000">
        <tpls c="8">
          <tpl hier="2" item="0"/>
          <tpl hier="4" item="1"/>
          <tpl fld="2" item="6"/>
          <tpl fld="4" item="93"/>
          <tpl hier="9" item="4"/>
          <tpl hier="11" item="6"/>
          <tpl hier="12" item="5"/>
          <tpl fld="1" item="0"/>
        </tpls>
      </n>
      <n v="57891983360">
        <tpls c="8">
          <tpl hier="2" item="0"/>
          <tpl hier="4" item="1"/>
          <tpl fld="2" item="41"/>
          <tpl fld="4" item="92"/>
          <tpl hier="9" item="4"/>
          <tpl hier="11" item="6"/>
          <tpl hier="12" item="5"/>
          <tpl fld="1" item="0"/>
        </tpls>
      </n>
      <n v="13829744640">
        <tpls c="8">
          <tpl hier="2" item="0"/>
          <tpl hier="4" item="1"/>
          <tpl fld="2" item="25"/>
          <tpl fld="4" item="92"/>
          <tpl hier="9" item="4"/>
          <tpl hier="11" item="6"/>
          <tpl hier="12" item="5"/>
          <tpl fld="1" item="0"/>
        </tpls>
      </n>
      <n v="9032250368">
        <tpls c="8">
          <tpl hier="2" item="0"/>
          <tpl hier="4" item="1"/>
          <tpl fld="2" item="9"/>
          <tpl fld="4" item="92"/>
          <tpl hier="9" item="4"/>
          <tpl hier="11" item="6"/>
          <tpl hier="12" item="5"/>
          <tpl fld="1" item="0"/>
        </tpls>
      </n>
      <n v="79356452864">
        <tpls c="8">
          <tpl hier="2" item="0"/>
          <tpl hier="4" item="1"/>
          <tpl fld="2" item="44"/>
          <tpl fld="4" item="91"/>
          <tpl hier="9" item="4"/>
          <tpl hier="11" item="6"/>
          <tpl hier="12" item="5"/>
          <tpl fld="1" item="0"/>
        </tpls>
      </n>
      <n v="15794972672">
        <tpls c="8">
          <tpl hier="2" item="0"/>
          <tpl hier="4" item="1"/>
          <tpl fld="2" item="28"/>
          <tpl fld="4" item="91"/>
          <tpl hier="9" item="4"/>
          <tpl hier="11" item="6"/>
          <tpl hier="12" item="5"/>
          <tpl fld="1" item="0"/>
        </tpls>
      </n>
      <n v="4768764928">
        <tpls c="8">
          <tpl hier="2" item="0"/>
          <tpl hier="4" item="1"/>
          <tpl fld="2" item="12"/>
          <tpl fld="4" item="91"/>
          <tpl hier="9" item="4"/>
          <tpl hier="11" item="6"/>
          <tpl hier="12" item="5"/>
          <tpl fld="1" item="0"/>
        </tpls>
      </n>
      <n v="349554114560">
        <tpls c="8">
          <tpl hier="2" item="0"/>
          <tpl hier="4" item="1"/>
          <tpl fld="2" item="47"/>
          <tpl fld="4" item="90"/>
          <tpl hier="9" item="4"/>
          <tpl hier="11" item="6"/>
          <tpl hier="12" item="5"/>
          <tpl fld="1" item="0"/>
        </tpls>
      </n>
      <n v="121514655744">
        <tpls c="8">
          <tpl hier="2" item="0"/>
          <tpl hier="4" item="1"/>
          <tpl fld="2" item="31"/>
          <tpl fld="4" item="90"/>
          <tpl hier="9" item="4"/>
          <tpl hier="11" item="6"/>
          <tpl hier="12" item="5"/>
          <tpl fld="1" item="0"/>
        </tpls>
      </n>
      <n v="59082637312">
        <tpls c="8">
          <tpl hier="2" item="0"/>
          <tpl hier="4" item="1"/>
          <tpl fld="2" item="15"/>
          <tpl fld="4" item="90"/>
          <tpl hier="9" item="4"/>
          <tpl hier="11" item="6"/>
          <tpl hier="12" item="5"/>
          <tpl fld="1" item="0"/>
        </tpls>
      </n>
      <n v="79389110976">
        <tpls c="8">
          <tpl hier="2" item="0"/>
          <tpl hier="4" item="1"/>
          <tpl hier="5" item="3"/>
          <tpl fld="4" item="89"/>
          <tpl hier="9" item="4"/>
          <tpl hier="11" item="6"/>
          <tpl hier="12" item="5"/>
          <tpl fld="1" item="0"/>
        </tpls>
      </n>
      <n v="1448536576">
        <tpls c="8">
          <tpl hier="2" item="0"/>
          <tpl hier="4" item="1"/>
          <tpl fld="2" item="34"/>
          <tpl fld="4" item="89"/>
          <tpl hier="9" item="4"/>
          <tpl hier="11" item="6"/>
          <tpl hier="12" item="5"/>
          <tpl fld="1" item="0"/>
        </tpls>
      </n>
      <n v="1055083968">
        <tpls c="8">
          <tpl hier="2" item="0"/>
          <tpl hier="4" item="1"/>
          <tpl fld="2" item="18"/>
          <tpl fld="4" item="89"/>
          <tpl hier="9" item="4"/>
          <tpl hier="11" item="6"/>
          <tpl hier="12" item="5"/>
          <tpl fld="1" item="0"/>
        </tpls>
      </n>
      <n v="465381088">
        <tpls c="8">
          <tpl hier="2" item="0"/>
          <tpl hier="4" item="1"/>
          <tpl fld="2" item="2"/>
          <tpl fld="4" item="89"/>
          <tpl hier="9" item="4"/>
          <tpl hier="11" item="6"/>
          <tpl hier="12" item="5"/>
          <tpl fld="1" item="0"/>
        </tpls>
      </n>
      <n v="1033561664">
        <tpls c="8">
          <tpl hier="2" item="0"/>
          <tpl hier="4" item="1"/>
          <tpl fld="2" item="37"/>
          <tpl fld="4" item="88"/>
          <tpl hier="9" item="4"/>
          <tpl hier="11" item="6"/>
          <tpl hier="12" item="5"/>
          <tpl fld="1" item="0"/>
        </tpls>
      </n>
      <n v="374359552">
        <tpls c="8">
          <tpl hier="2" item="0"/>
          <tpl hier="4" item="1"/>
          <tpl fld="2" item="21"/>
          <tpl fld="4" item="88"/>
          <tpl hier="9" item="4"/>
          <tpl hier="11" item="6"/>
          <tpl hier="12" item="5"/>
          <tpl fld="1" item="0"/>
        </tpls>
      </n>
      <n v="47803144">
        <tpls c="8">
          <tpl hier="2" item="0"/>
          <tpl hier="4" item="1"/>
          <tpl fld="2" item="5"/>
          <tpl fld="4" item="88"/>
          <tpl hier="9" item="4"/>
          <tpl hier="11" item="6"/>
          <tpl hier="12" item="5"/>
          <tpl fld="1" item="0"/>
        </tpls>
      </n>
      <n v="16230888448">
        <tpls c="8">
          <tpl hier="2" item="0"/>
          <tpl hier="4" item="1"/>
          <tpl fld="2" item="40"/>
          <tpl fld="4" item="87"/>
          <tpl hier="9" item="4"/>
          <tpl hier="11" item="6"/>
          <tpl hier="12" item="5"/>
          <tpl fld="1" item="0"/>
        </tpls>
      </n>
      <n v="4908415488">
        <tpls c="8">
          <tpl hier="2" item="0"/>
          <tpl hier="4" item="1"/>
          <tpl fld="2" item="24"/>
          <tpl fld="4" item="87"/>
          <tpl hier="9" item="4"/>
          <tpl hier="11" item="6"/>
          <tpl hier="12" item="5"/>
          <tpl fld="1" item="0"/>
        </tpls>
      </n>
      <n v="3280354304">
        <tpls c="8">
          <tpl hier="2" item="0"/>
          <tpl hier="4" item="1"/>
          <tpl fld="2" item="8"/>
          <tpl fld="4" item="87"/>
          <tpl hier="9" item="4"/>
          <tpl hier="11" item="6"/>
          <tpl hier="12" item="5"/>
          <tpl fld="1" item="0"/>
        </tpls>
      </n>
      <n v="746647126016">
        <tpls c="8">
          <tpl hier="2" item="0"/>
          <tpl hier="4" item="1"/>
          <tpl fld="2" item="43"/>
          <tpl fld="4" item="86"/>
          <tpl hier="9" item="4"/>
          <tpl hier="11" item="6"/>
          <tpl hier="12" item="5"/>
          <tpl fld="1" item="0"/>
        </tpls>
      </n>
      <n v="165963563008">
        <tpls c="8">
          <tpl hier="2" item="0"/>
          <tpl hier="4" item="1"/>
          <tpl fld="2" item="27"/>
          <tpl fld="4" item="86"/>
          <tpl hier="9" item="4"/>
          <tpl hier="11" item="6"/>
          <tpl hier="12" item="5"/>
          <tpl fld="1" item="0"/>
        </tpls>
      </n>
      <n v="184291803136">
        <tpls c="8">
          <tpl hier="2" item="0"/>
          <tpl hier="4" item="1"/>
          <tpl fld="2" item="11"/>
          <tpl fld="4" item="86"/>
          <tpl hier="9" item="4"/>
          <tpl hier="11" item="6"/>
          <tpl hier="12" item="5"/>
          <tpl fld="1" item="0"/>
        </tpls>
      </n>
      <n v="8734161920">
        <tpls c="8">
          <tpl hier="2" item="0"/>
          <tpl hier="4" item="1"/>
          <tpl fld="2" item="46"/>
          <tpl fld="4" item="85"/>
          <tpl hier="9" item="4"/>
          <tpl hier="11" item="6"/>
          <tpl hier="12" item="5"/>
          <tpl fld="1" item="0"/>
        </tpls>
      </n>
      <n v="1734938624">
        <tpls c="8">
          <tpl hier="2" item="0"/>
          <tpl hier="4" item="1"/>
          <tpl fld="2" item="30"/>
          <tpl fld="4" item="85"/>
          <tpl hier="9" item="4"/>
          <tpl hier="11" item="6"/>
          <tpl hier="12" item="5"/>
          <tpl fld="1" item="0"/>
        </tpls>
      </n>
      <n v="1587412992">
        <tpls c="8">
          <tpl hier="2" item="0"/>
          <tpl hier="4" item="1"/>
          <tpl fld="2" item="14"/>
          <tpl fld="4" item="85"/>
          <tpl hier="9" item="4"/>
          <tpl hier="11" item="6"/>
          <tpl hier="12" item="5"/>
          <tpl fld="1" item="0"/>
        </tpls>
      </n>
      <n v="104988598272">
        <tpls c="8">
          <tpl hier="2" item="0"/>
          <tpl hier="4" item="1"/>
          <tpl fld="2" item="49"/>
          <tpl fld="4" item="84"/>
          <tpl hier="9" item="4"/>
          <tpl hier="11" item="6"/>
          <tpl hier="12" item="5"/>
          <tpl fld="1" item="0"/>
        </tpls>
      </n>
      <n v="74827399168">
        <tpls c="8">
          <tpl hier="2" item="0"/>
          <tpl hier="4" item="1"/>
          <tpl fld="2" item="33"/>
          <tpl fld="4" item="84"/>
          <tpl hier="9" item="4"/>
          <tpl hier="11" item="6"/>
          <tpl hier="12" item="5"/>
          <tpl fld="1" item="0"/>
        </tpls>
      </n>
      <n v="24025800704">
        <tpls c="8">
          <tpl hier="2" item="0"/>
          <tpl hier="4" item="1"/>
          <tpl fld="2" item="17"/>
          <tpl fld="4" item="84"/>
          <tpl hier="9" item="4"/>
          <tpl hier="11" item="6"/>
          <tpl hier="12" item="5"/>
          <tpl fld="1" item="0"/>
        </tpls>
      </n>
      <n v="5646799872">
        <tpls c="8">
          <tpl hier="2" item="0"/>
          <tpl hier="4" item="1"/>
          <tpl fld="2" item="1"/>
          <tpl fld="4" item="84"/>
          <tpl hier="9" item="4"/>
          <tpl hier="11" item="6"/>
          <tpl hier="12" item="5"/>
          <tpl fld="1" item="0"/>
        </tpls>
      </n>
      <n v="127652904960">
        <tpls c="8">
          <tpl hier="2" item="0"/>
          <tpl hier="4" item="1"/>
          <tpl fld="2" item="36"/>
          <tpl fld="4" item="83"/>
          <tpl hier="9" item="4"/>
          <tpl hier="11" item="6"/>
          <tpl hier="12" item="5"/>
          <tpl fld="1" item="0"/>
        </tpls>
      </n>
      <n v="44311592960">
        <tpls c="8">
          <tpl hier="2" item="0"/>
          <tpl hier="4" item="1"/>
          <tpl fld="2" item="20"/>
          <tpl fld="4" item="83"/>
          <tpl hier="9" item="4"/>
          <tpl hier="11" item="6"/>
          <tpl hier="12" item="5"/>
          <tpl fld="1" item="0"/>
        </tpls>
      </n>
      <n v="13781140480">
        <tpls c="8">
          <tpl hier="2" item="0"/>
          <tpl hier="4" item="1"/>
          <tpl fld="2" item="4"/>
          <tpl fld="4" item="83"/>
          <tpl hier="9" item="4"/>
          <tpl hier="11" item="6"/>
          <tpl hier="12" item="5"/>
          <tpl fld="1" item="0"/>
        </tpls>
      </n>
      <n v="120822988800">
        <tpls c="8">
          <tpl hier="2" item="0"/>
          <tpl hier="4" item="1"/>
          <tpl fld="2" item="39"/>
          <tpl fld="4" item="82"/>
          <tpl hier="9" item="4"/>
          <tpl hier="11" item="6"/>
          <tpl hier="12" item="5"/>
          <tpl fld="1" item="0"/>
        </tpls>
      </n>
      <n v="34832076800">
        <tpls c="8">
          <tpl hier="2" item="0"/>
          <tpl hier="4" item="1"/>
          <tpl fld="2" item="23"/>
          <tpl fld="4" item="82"/>
          <tpl hier="9" item="4"/>
          <tpl hier="11" item="6"/>
          <tpl hier="12" item="5"/>
          <tpl fld="1" item="0"/>
        </tpls>
      </n>
      <n v="14620386304">
        <tpls c="8">
          <tpl hier="2" item="0"/>
          <tpl hier="4" item="1"/>
          <tpl fld="2" item="7"/>
          <tpl fld="4" item="82"/>
          <tpl hier="9" item="4"/>
          <tpl hier="11" item="6"/>
          <tpl hier="12" item="5"/>
          <tpl fld="1" item="0"/>
        </tpls>
      </n>
      <n v="33283229696">
        <tpls c="8">
          <tpl hier="2" item="0"/>
          <tpl hier="4" item="1"/>
          <tpl fld="2" item="42"/>
          <tpl fld="4" item="81"/>
          <tpl hier="9" item="4"/>
          <tpl hier="11" item="6"/>
          <tpl hier="12" item="5"/>
          <tpl fld="1" item="0"/>
        </tpls>
      </n>
      <n v="9788391424">
        <tpls c="8">
          <tpl hier="2" item="0"/>
          <tpl hier="4" item="1"/>
          <tpl fld="2" item="26"/>
          <tpl fld="4" item="81"/>
          <tpl hier="9" item="4"/>
          <tpl hier="11" item="6"/>
          <tpl hier="12" item="5"/>
          <tpl fld="1" item="0"/>
        </tpls>
      </n>
      <n v="4448087552">
        <tpls c="8">
          <tpl hier="2" item="0"/>
          <tpl hier="4" item="1"/>
          <tpl fld="2" item="10"/>
          <tpl fld="4" item="81"/>
          <tpl hier="9" item="4"/>
          <tpl hier="11" item="6"/>
          <tpl hier="12" item="5"/>
          <tpl fld="1" item="0"/>
        </tpls>
      </n>
      <n v="21723531264">
        <tpls c="8">
          <tpl hier="2" item="0"/>
          <tpl hier="4" item="1"/>
          <tpl fld="2" item="45"/>
          <tpl fld="4" item="80"/>
          <tpl hier="9" item="4"/>
          <tpl hier="11" item="6"/>
          <tpl hier="12" item="5"/>
          <tpl fld="1" item="0"/>
        </tpls>
      </n>
      <n v="3477038080">
        <tpls c="8">
          <tpl hier="2" item="0"/>
          <tpl hier="4" item="1"/>
          <tpl fld="2" item="29"/>
          <tpl fld="4" item="80"/>
          <tpl hier="9" item="4"/>
          <tpl hier="11" item="6"/>
          <tpl hier="12" item="5"/>
          <tpl fld="1" item="0"/>
        </tpls>
      </n>
      <n v="2562492416">
        <tpls c="8">
          <tpl hier="2" item="0"/>
          <tpl hier="4" item="1"/>
          <tpl fld="2" item="13"/>
          <tpl fld="4" item="80"/>
          <tpl hier="9" item="4"/>
          <tpl hier="11" item="6"/>
          <tpl hier="12" item="5"/>
          <tpl fld="1" item="0"/>
        </tpls>
      </n>
      <n v="65128198144">
        <tpls c="8">
          <tpl hier="2" item="0"/>
          <tpl hier="4" item="1"/>
          <tpl fld="2" item="48"/>
          <tpl fld="4" item="79"/>
          <tpl hier="9" item="4"/>
          <tpl hier="11" item="6"/>
          <tpl hier="12" item="5"/>
          <tpl fld="1" item="0"/>
        </tpls>
      </n>
      <n v="12994310144">
        <tpls c="8">
          <tpl hier="2" item="0"/>
          <tpl hier="4" item="1"/>
          <tpl fld="2" item="32"/>
          <tpl fld="4" item="79"/>
          <tpl hier="9" item="4"/>
          <tpl hier="11" item="6"/>
          <tpl hier="12" item="5"/>
          <tpl fld="1" item="0"/>
        </tpls>
      </n>
      <n v="6797834240">
        <tpls c="8">
          <tpl hier="2" item="0"/>
          <tpl hier="4" item="1"/>
          <tpl fld="2" item="16"/>
          <tpl fld="4" item="79"/>
          <tpl hier="9" item="4"/>
          <tpl hier="11" item="6"/>
          <tpl hier="12" item="5"/>
          <tpl fld="1" item="0"/>
        </tpls>
      </n>
      <n v="1351006464">
        <tpls c="8">
          <tpl hier="2" item="0"/>
          <tpl hier="4" item="1"/>
          <tpl fld="2" item="0"/>
          <tpl fld="4" item="79"/>
          <tpl hier="9" item="4"/>
          <tpl hier="11" item="6"/>
          <tpl hier="12" item="5"/>
          <tpl fld="1" item="0"/>
        </tpls>
      </n>
      <n v="120055291904">
        <tpls c="8">
          <tpl hier="2" item="0"/>
          <tpl hier="4" item="1"/>
          <tpl fld="2" item="35"/>
          <tpl fld="4" item="78"/>
          <tpl hier="9" item="4"/>
          <tpl hier="11" item="6"/>
          <tpl hier="12" item="5"/>
          <tpl fld="1" item="0"/>
        </tpls>
      </n>
      <n v="40171016192">
        <tpls c="8">
          <tpl hier="2" item="0"/>
          <tpl hier="4" item="1"/>
          <tpl fld="2" item="19"/>
          <tpl fld="4" item="78"/>
          <tpl hier="9" item="4"/>
          <tpl hier="11" item="6"/>
          <tpl hier="12" item="5"/>
          <tpl fld="1" item="0"/>
        </tpls>
      </n>
      <n v="6383429632">
        <tpls c="8">
          <tpl hier="2" item="0"/>
          <tpl hier="4" item="1"/>
          <tpl fld="2" item="3"/>
          <tpl fld="4" item="78"/>
          <tpl hier="9" item="4"/>
          <tpl hier="11" item="6"/>
          <tpl hier="12" item="5"/>
          <tpl fld="1" item="0"/>
        </tpls>
      </n>
      <n v="60905332736">
        <tpls c="8">
          <tpl hier="2" item="0"/>
          <tpl hier="4" item="1"/>
          <tpl fld="2" item="38"/>
          <tpl fld="4" item="77"/>
          <tpl hier="9" item="4"/>
          <tpl hier="11" item="6"/>
          <tpl hier="12" item="5"/>
          <tpl fld="1" item="0"/>
        </tpls>
      </n>
      <n v="12452275200">
        <tpls c="8">
          <tpl hier="2" item="0"/>
          <tpl hier="4" item="1"/>
          <tpl fld="2" item="22"/>
          <tpl fld="4" item="77"/>
          <tpl hier="9" item="4"/>
          <tpl hier="11" item="6"/>
          <tpl hier="12" item="5"/>
          <tpl fld="1" item="0"/>
        </tpls>
      </n>
      <n v="2560220160">
        <tpls c="8">
          <tpl hier="2" item="0"/>
          <tpl hier="4" item="1"/>
          <tpl fld="2" item="6"/>
          <tpl fld="4" item="77"/>
          <tpl hier="9" item="4"/>
          <tpl hier="11" item="6"/>
          <tpl hier="12" item="5"/>
          <tpl fld="1" item="0"/>
        </tpls>
      </n>
      <n v="410334593024">
        <tpls c="8">
          <tpl hier="2" item="0"/>
          <tpl hier="4" item="1"/>
          <tpl fld="2" item="41"/>
          <tpl fld="4" item="76"/>
          <tpl hier="9" item="4"/>
          <tpl hier="11" item="6"/>
          <tpl hier="12" item="5"/>
          <tpl fld="1" item="0"/>
        </tpls>
      </n>
      <n v="44062466048">
        <tpls c="8">
          <tpl hier="2" item="0"/>
          <tpl hier="4" item="1"/>
          <tpl fld="2" item="25"/>
          <tpl fld="4" item="76"/>
          <tpl hier="9" item="4"/>
          <tpl hier="11" item="6"/>
          <tpl hier="12" item="5"/>
          <tpl fld="1" item="0"/>
        </tpls>
      </n>
      <n v="47259910144">
        <tpls c="8">
          <tpl hier="2" item="0"/>
          <tpl hier="4" item="1"/>
          <tpl fld="2" item="9"/>
          <tpl fld="4" item="76"/>
          <tpl hier="9" item="4"/>
          <tpl hier="11" item="6"/>
          <tpl hier="12" item="5"/>
          <tpl fld="1" item="0"/>
        </tpls>
      </n>
      <n v="10815312896">
        <tpls c="8">
          <tpl hier="2" item="0"/>
          <tpl hier="4" item="1"/>
          <tpl fld="2" item="44"/>
          <tpl fld="4" item="75"/>
          <tpl hier="9" item="4"/>
          <tpl hier="11" item="6"/>
          <tpl hier="12" item="5"/>
          <tpl fld="1" item="0"/>
        </tpls>
      </n>
      <n v="2625049600">
        <tpls c="8">
          <tpl hier="2" item="0"/>
          <tpl hier="4" item="1"/>
          <tpl fld="2" item="28"/>
          <tpl fld="4" item="75"/>
          <tpl hier="9" item="4"/>
          <tpl hier="11" item="6"/>
          <tpl hier="12" item="5"/>
          <tpl fld="1" item="0"/>
        </tpls>
      </n>
      <n v="2017611904">
        <tpls c="8">
          <tpl hier="2" item="0"/>
          <tpl hier="4" item="1"/>
          <tpl fld="2" item="12"/>
          <tpl fld="4" item="75"/>
          <tpl hier="9" item="4"/>
          <tpl hier="11" item="6"/>
          <tpl hier="12" item="5"/>
          <tpl fld="1" item="0"/>
        </tpls>
      </n>
      <n v="13785943040">
        <tpls c="8">
          <tpl hier="2" item="0"/>
          <tpl hier="4" item="1"/>
          <tpl fld="2" item="47"/>
          <tpl fld="4" item="74"/>
          <tpl hier="9" item="4"/>
          <tpl hier="11" item="6"/>
          <tpl hier="12" item="5"/>
          <tpl fld="1" item="0"/>
        </tpls>
      </n>
      <n v="5323146752">
        <tpls c="8">
          <tpl hier="2" item="0"/>
          <tpl hier="4" item="1"/>
          <tpl fld="2" item="31"/>
          <tpl fld="4" item="74"/>
          <tpl hier="9" item="4"/>
          <tpl hier="11" item="6"/>
          <tpl hier="12" item="5"/>
          <tpl fld="1" item="0"/>
        </tpls>
      </n>
      <n v="2683816192">
        <tpls c="8">
          <tpl hier="2" item="0"/>
          <tpl hier="4" item="1"/>
          <tpl fld="2" item="15"/>
          <tpl fld="4" item="74"/>
          <tpl hier="9" item="4"/>
          <tpl hier="11" item="6"/>
          <tpl hier="12" item="5"/>
          <tpl fld="1" item="0"/>
        </tpls>
      </n>
      <n v="387013870656">
        <tpls c="8">
          <tpl hier="2" item="0"/>
          <tpl hier="4" item="1"/>
          <tpl hier="5" item="3"/>
          <tpl fld="4" item="73"/>
          <tpl hier="9" item="4"/>
          <tpl hier="11" item="6"/>
          <tpl hier="12" item="5"/>
          <tpl fld="1" item="0"/>
        </tpls>
      </n>
      <n v="7273938432">
        <tpls c="8">
          <tpl hier="2" item="0"/>
          <tpl hier="4" item="1"/>
          <tpl fld="2" item="34"/>
          <tpl fld="4" item="73"/>
          <tpl hier="9" item="4"/>
          <tpl hier="11" item="6"/>
          <tpl hier="12" item="5"/>
          <tpl fld="1" item="0"/>
        </tpls>
      </n>
      <n v="3487009792">
        <tpls c="8">
          <tpl hier="2" item="0"/>
          <tpl hier="4" item="1"/>
          <tpl fld="2" item="18"/>
          <tpl fld="4" item="73"/>
          <tpl hier="9" item="4"/>
          <tpl hier="11" item="6"/>
          <tpl hier="12" item="5"/>
          <tpl fld="1" item="0"/>
        </tpls>
      </n>
      <n v="1024098816">
        <tpls c="8">
          <tpl hier="2" item="0"/>
          <tpl hier="4" item="1"/>
          <tpl fld="2" item="2"/>
          <tpl fld="4" item="73"/>
          <tpl hier="9" item="4"/>
          <tpl hier="11" item="6"/>
          <tpl hier="12" item="5"/>
          <tpl fld="1" item="0"/>
        </tpls>
      </n>
      <n v="79041298432">
        <tpls c="8">
          <tpl hier="2" item="0"/>
          <tpl hier="4" item="1"/>
          <tpl fld="2" item="37"/>
          <tpl fld="4" item="72"/>
          <tpl hier="9" item="4"/>
          <tpl hier="11" item="6"/>
          <tpl hier="12" item="5"/>
          <tpl fld="1" item="0"/>
        </tpls>
      </n>
      <n v="32285388800">
        <tpls c="8">
          <tpl hier="2" item="0"/>
          <tpl hier="4" item="1"/>
          <tpl fld="2" item="21"/>
          <tpl fld="4" item="72"/>
          <tpl hier="9" item="4"/>
          <tpl hier="11" item="6"/>
          <tpl hier="12" item="5"/>
          <tpl fld="1" item="0"/>
        </tpls>
      </n>
      <n v="8984823808">
        <tpls c="8">
          <tpl hier="2" item="0"/>
          <tpl hier="4" item="1"/>
          <tpl fld="2" item="5"/>
          <tpl fld="4" item="72"/>
          <tpl hier="9" item="4"/>
          <tpl hier="11" item="6"/>
          <tpl hier="12" item="5"/>
          <tpl fld="1" item="0"/>
        </tpls>
      </n>
      <n v="1057801306112">
        <tpls c="8">
          <tpl hier="2" item="0"/>
          <tpl hier="4" item="1"/>
          <tpl fld="2" item="40"/>
          <tpl fld="4" item="71"/>
          <tpl hier="9" item="4"/>
          <tpl hier="11" item="6"/>
          <tpl hier="12" item="5"/>
          <tpl fld="1" item="0"/>
        </tpls>
      </n>
      <n v="527813246976">
        <tpls c="8">
          <tpl hier="2" item="0"/>
          <tpl hier="4" item="1"/>
          <tpl fld="2" item="24"/>
          <tpl fld="4" item="71"/>
          <tpl hier="9" item="4"/>
          <tpl hier="11" item="6"/>
          <tpl hier="12" item="5"/>
          <tpl fld="1" item="0"/>
        </tpls>
      </n>
      <n v="102499999744">
        <tpls c="8">
          <tpl hier="2" item="0"/>
          <tpl hier="4" item="1"/>
          <tpl fld="2" item="8"/>
          <tpl fld="4" item="71"/>
          <tpl hier="9" item="4"/>
          <tpl hier="11" item="6"/>
          <tpl hier="12" item="5"/>
          <tpl fld="1" item="0"/>
        </tpls>
      </n>
      <n v="7223063040">
        <tpls c="8">
          <tpl hier="2" item="0"/>
          <tpl hier="4" item="1"/>
          <tpl fld="2" item="43"/>
          <tpl fld="4" item="70"/>
          <tpl hier="9" item="4"/>
          <tpl hier="11" item="6"/>
          <tpl hier="12" item="5"/>
          <tpl fld="1" item="0"/>
        </tpls>
      </n>
      <n v="2072001024">
        <tpls c="8">
          <tpl hier="2" item="0"/>
          <tpl hier="4" item="1"/>
          <tpl fld="2" item="27"/>
          <tpl fld="4" item="70"/>
          <tpl hier="9" item="4"/>
          <tpl hier="11" item="6"/>
          <tpl hier="12" item="5"/>
          <tpl fld="1" item="0"/>
        </tpls>
      </n>
      <n v="1105495424">
        <tpls c="8">
          <tpl hier="2" item="0"/>
          <tpl hier="4" item="1"/>
          <tpl fld="2" item="11"/>
          <tpl fld="4" item="70"/>
          <tpl hier="9" item="4"/>
          <tpl hier="11" item="6"/>
          <tpl hier="12" item="5"/>
          <tpl fld="1" item="0"/>
        </tpls>
      </n>
      <n v="14020002816">
        <tpls c="8">
          <tpl hier="2" item="0"/>
          <tpl hier="4" item="1"/>
          <tpl fld="2" item="46"/>
          <tpl fld="4" item="69"/>
          <tpl hier="9" item="4"/>
          <tpl hier="11" item="6"/>
          <tpl hier="12" item="5"/>
          <tpl fld="1" item="0"/>
        </tpls>
      </n>
      <n v="2954129664">
        <tpls c="8">
          <tpl hier="2" item="0"/>
          <tpl hier="4" item="1"/>
          <tpl fld="2" item="30"/>
          <tpl fld="4" item="69"/>
          <tpl hier="9" item="4"/>
          <tpl hier="11" item="6"/>
          <tpl hier="12" item="5"/>
          <tpl fld="1" item="0"/>
        </tpls>
      </n>
      <n v="1232931968">
        <tpls c="8">
          <tpl hier="2" item="0"/>
          <tpl hier="4" item="1"/>
          <tpl fld="2" item="14"/>
          <tpl fld="4" item="69"/>
          <tpl hier="9" item="4"/>
          <tpl hier="11" item="6"/>
          <tpl hier="12" item="5"/>
          <tpl fld="1" item="0"/>
        </tpls>
      </n>
      <n v="364701515776">
        <tpls c="8">
          <tpl hier="2" item="0"/>
          <tpl hier="4" item="1"/>
          <tpl fld="2" item="49"/>
          <tpl fld="4" item="68"/>
          <tpl hier="9" item="4"/>
          <tpl hier="11" item="6"/>
          <tpl hier="12" item="5"/>
          <tpl fld="1" item="0"/>
        </tpls>
      </n>
      <n v="110202372096">
        <tpls c="8">
          <tpl hier="2" item="0"/>
          <tpl hier="4" item="1"/>
          <tpl fld="2" item="33"/>
          <tpl fld="4" item="68"/>
          <tpl hier="9" item="4"/>
          <tpl hier="11" item="6"/>
          <tpl hier="12" item="5"/>
          <tpl fld="1" item="0"/>
        </tpls>
      </n>
      <n v="32181696512">
        <tpls c="8">
          <tpl hier="2" item="0"/>
          <tpl hier="4" item="1"/>
          <tpl fld="2" item="17"/>
          <tpl fld="4" item="68"/>
          <tpl hier="9" item="4"/>
          <tpl hier="11" item="6"/>
          <tpl hier="12" item="5"/>
          <tpl fld="1" item="0"/>
        </tpls>
      </n>
      <n v="4244340224">
        <tpls c="8">
          <tpl hier="2" item="0"/>
          <tpl hier="4" item="1"/>
          <tpl fld="2" item="1"/>
          <tpl fld="4" item="68"/>
          <tpl hier="9" item="4"/>
          <tpl hier="11" item="6"/>
          <tpl hier="12" item="5"/>
          <tpl fld="1" item="0"/>
        </tpls>
      </n>
      <n v="3998020096">
        <tpls c="8">
          <tpl hier="2" item="0"/>
          <tpl hier="4" item="1"/>
          <tpl fld="2" item="36"/>
          <tpl fld="4" item="67"/>
          <tpl hier="9" item="4"/>
          <tpl hier="11" item="6"/>
          <tpl hier="12" item="5"/>
          <tpl fld="1" item="0"/>
        </tpls>
      </n>
      <n v="1880771584">
        <tpls c="8">
          <tpl hier="2" item="0"/>
          <tpl hier="4" item="1"/>
          <tpl fld="2" item="20"/>
          <tpl fld="4" item="67"/>
          <tpl hier="9" item="4"/>
          <tpl hier="11" item="6"/>
          <tpl hier="12" item="5"/>
          <tpl fld="1" item="0"/>
        </tpls>
      </n>
      <n v="548620992">
        <tpls c="8">
          <tpl hier="2" item="0"/>
          <tpl hier="4" item="1"/>
          <tpl fld="2" item="4"/>
          <tpl fld="4" item="67"/>
          <tpl hier="9" item="4"/>
          <tpl hier="11" item="6"/>
          <tpl hier="12" item="5"/>
          <tpl fld="1" item="0"/>
        </tpls>
      </n>
      <n v="9616879616">
        <tpls c="8">
          <tpl hier="2" item="0"/>
          <tpl hier="4" item="1"/>
          <tpl fld="2" item="39"/>
          <tpl fld="4" item="66"/>
          <tpl hier="9" item="4"/>
          <tpl hier="11" item="6"/>
          <tpl hier="12" item="5"/>
          <tpl fld="1" item="0"/>
        </tpls>
      </n>
      <n v="4063298816">
        <tpls c="8">
          <tpl hier="2" item="0"/>
          <tpl hier="4" item="1"/>
          <tpl fld="2" item="23"/>
          <tpl fld="4" item="66"/>
          <tpl hier="9" item="4"/>
          <tpl hier="11" item="6"/>
          <tpl hier="12" item="5"/>
          <tpl fld="1" item="0"/>
        </tpls>
      </n>
      <n v="2358930432">
        <tpls c="8">
          <tpl hier="2" item="0"/>
          <tpl hier="4" item="1"/>
          <tpl fld="2" item="7"/>
          <tpl fld="4" item="66"/>
          <tpl hier="9" item="4"/>
          <tpl hier="11" item="6"/>
          <tpl hier="12" item="5"/>
          <tpl fld="1" item="0"/>
        </tpls>
      </n>
      <n v="2526185216">
        <tpls c="8">
          <tpl hier="2" item="0"/>
          <tpl hier="4" item="1"/>
          <tpl fld="2" item="42"/>
          <tpl fld="4" item="65"/>
          <tpl hier="9" item="4"/>
          <tpl hier="11" item="6"/>
          <tpl hier="12" item="5"/>
          <tpl fld="1" item="0"/>
        </tpls>
      </n>
      <n v="946123264">
        <tpls c="8">
          <tpl hier="2" item="0"/>
          <tpl hier="4" item="1"/>
          <tpl fld="2" item="26"/>
          <tpl fld="4" item="65"/>
          <tpl hier="9" item="4"/>
          <tpl hier="11" item="6"/>
          <tpl hier="12" item="5"/>
          <tpl fld="1" item="0"/>
        </tpls>
      </n>
      <n v="431561376">
        <tpls c="8">
          <tpl hier="2" item="0"/>
          <tpl hier="4" item="1"/>
          <tpl fld="2" item="10"/>
          <tpl fld="4" item="65"/>
          <tpl hier="9" item="4"/>
          <tpl hier="11" item="6"/>
          <tpl hier="12" item="5"/>
          <tpl fld="1" item="0"/>
        </tpls>
      </n>
      <n v="171117872">
        <tpls c="8">
          <tpl hier="2" item="0"/>
          <tpl hier="4" item="1"/>
          <tpl fld="2" item="45"/>
          <tpl fld="4" item="64"/>
          <tpl hier="9" item="4"/>
          <tpl hier="11" item="6"/>
          <tpl hier="12" item="5"/>
          <tpl fld="1" item="0"/>
        </tpls>
      </n>
      <n v="69032256">
        <tpls c="8">
          <tpl hier="2" item="0"/>
          <tpl hier="4" item="1"/>
          <tpl fld="2" item="29"/>
          <tpl fld="4" item="64"/>
          <tpl hier="9" item="4"/>
          <tpl hier="11" item="6"/>
          <tpl hier="12" item="5"/>
          <tpl fld="1" item="0"/>
        </tpls>
      </n>
      <n v="37837836">
        <tpls c="8">
          <tpl hier="2" item="0"/>
          <tpl hier="4" item="1"/>
          <tpl fld="2" item="13"/>
          <tpl fld="4" item="64"/>
          <tpl hier="9" item="4"/>
          <tpl hier="11" item="6"/>
          <tpl hier="12" item="5"/>
          <tpl fld="1" item="0"/>
        </tpls>
      </n>
      <n v="53975686789592">
        <tpls c="8">
          <tpl hier="2" item="0"/>
          <tpl hier="4" item="1"/>
          <tpl fld="2" item="39"/>
          <tpl hier="6" item="2"/>
          <tpl hier="9" item="4"/>
          <tpl hier="11" item="6"/>
          <tpl hier="12" item="5"/>
          <tpl fld="1" item="0"/>
        </tpls>
      </n>
      <n v="23965032148280">
        <tpls c="8">
          <tpl hier="2" item="0"/>
          <tpl hier="4" item="1"/>
          <tpl fld="2" item="23"/>
          <tpl hier="6" item="2"/>
          <tpl hier="9" item="4"/>
          <tpl hier="11" item="6"/>
          <tpl hier="12" item="5"/>
          <tpl fld="1" item="0"/>
        </tpls>
      </n>
      <n v="6635878970804">
        <tpls c="8">
          <tpl hier="2" item="0"/>
          <tpl hier="4" item="1"/>
          <tpl fld="2" item="7"/>
          <tpl hier="6" item="2"/>
          <tpl hier="9" item="4"/>
          <tpl hier="11" item="6"/>
          <tpl hier="12" item="5"/>
          <tpl fld="1" item="0"/>
        </tpls>
      </n>
      <n v="17114850304">
        <tpls c="8">
          <tpl hier="2" item="0"/>
          <tpl hier="4" item="1"/>
          <tpl fld="2" item="42"/>
          <tpl fld="4" item="102"/>
          <tpl hier="9" item="4"/>
          <tpl hier="11" item="6"/>
          <tpl hier="12" item="5"/>
          <tpl fld="1" item="0"/>
        </tpls>
      </n>
      <n v="8553146368">
        <tpls c="8">
          <tpl hier="2" item="0"/>
          <tpl hier="4" item="1"/>
          <tpl fld="2" item="26"/>
          <tpl fld="4" item="102"/>
          <tpl hier="9" item="4"/>
          <tpl hier="11" item="6"/>
          <tpl hier="12" item="5"/>
          <tpl fld="1" item="0"/>
        </tpls>
      </n>
      <n v="6678867968">
        <tpls c="8">
          <tpl hier="2" item="0"/>
          <tpl hier="4" item="1"/>
          <tpl fld="2" item="10"/>
          <tpl fld="4" item="102"/>
          <tpl hier="9" item="4"/>
          <tpl hier="11" item="6"/>
          <tpl hier="12" item="5"/>
          <tpl fld="1" item="0"/>
        </tpls>
      </n>
      <n v="21243346944">
        <tpls c="8">
          <tpl hier="2" item="0"/>
          <tpl hier="4" item="1"/>
          <tpl fld="2" item="45"/>
          <tpl fld="4" item="101"/>
          <tpl hier="9" item="4"/>
          <tpl hier="11" item="6"/>
          <tpl hier="12" item="5"/>
          <tpl fld="1" item="0"/>
        </tpls>
      </n>
      <n v="3404312064">
        <tpls c="8">
          <tpl hier="2" item="0"/>
          <tpl hier="4" item="1"/>
          <tpl fld="2" item="29"/>
          <tpl fld="4" item="101"/>
          <tpl hier="9" item="4"/>
          <tpl hier="11" item="6"/>
          <tpl hier="12" item="5"/>
          <tpl fld="1" item="0"/>
        </tpls>
      </n>
      <n v="3216307712">
        <tpls c="8">
          <tpl hier="2" item="0"/>
          <tpl hier="4" item="1"/>
          <tpl fld="2" item="13"/>
          <tpl fld="4" item="101"/>
          <tpl hier="9" item="4"/>
          <tpl hier="11" item="6"/>
          <tpl hier="12" item="5"/>
          <tpl fld="1" item="0"/>
        </tpls>
      </n>
      <n v="59596886016">
        <tpls c="8">
          <tpl hier="2" item="0"/>
          <tpl hier="4" item="1"/>
          <tpl fld="2" item="48"/>
          <tpl fld="4" item="100"/>
          <tpl hier="9" item="4"/>
          <tpl hier="11" item="6"/>
          <tpl hier="12" item="5"/>
          <tpl fld="1" item="0"/>
        </tpls>
      </n>
      <n v="13606494208">
        <tpls c="8">
          <tpl hier="2" item="0"/>
          <tpl hier="4" item="1"/>
          <tpl fld="2" item="32"/>
          <tpl fld="4" item="100"/>
          <tpl hier="9" item="4"/>
          <tpl hier="11" item="6"/>
          <tpl hier="12" item="5"/>
          <tpl fld="1" item="0"/>
        </tpls>
      </n>
      <n v="5880112640">
        <tpls c="8">
          <tpl hier="2" item="0"/>
          <tpl hier="4" item="1"/>
          <tpl fld="2" item="16"/>
          <tpl fld="4" item="100"/>
          <tpl hier="9" item="4"/>
          <tpl hier="11" item="6"/>
          <tpl hier="12" item="5"/>
          <tpl fld="1" item="0"/>
        </tpls>
      </n>
      <n v="2137096832">
        <tpls c="8">
          <tpl hier="2" item="0"/>
          <tpl hier="4" item="1"/>
          <tpl fld="2" item="0"/>
          <tpl fld="4" item="100"/>
          <tpl hier="9" item="4"/>
          <tpl hier="11" item="6"/>
          <tpl hier="12" item="5"/>
          <tpl fld="1" item="0"/>
        </tpls>
      </n>
      <n v="501416296448">
        <tpls c="8">
          <tpl hier="2" item="0"/>
          <tpl hier="4" item="1"/>
          <tpl fld="2" item="35"/>
          <tpl fld="4" item="99"/>
          <tpl hier="9" item="4"/>
          <tpl hier="11" item="6"/>
          <tpl hier="12" item="5"/>
          <tpl fld="1" item="0"/>
        </tpls>
      </n>
      <n v="107143348224">
        <tpls c="8">
          <tpl hier="2" item="0"/>
          <tpl hier="4" item="1"/>
          <tpl fld="2" item="19"/>
          <tpl fld="4" item="99"/>
          <tpl hier="9" item="4"/>
          <tpl hier="11" item="6"/>
          <tpl hier="12" item="5"/>
          <tpl fld="1" item="0"/>
        </tpls>
      </n>
      <n v="25724381184">
        <tpls c="8">
          <tpl hier="2" item="0"/>
          <tpl hier="4" item="1"/>
          <tpl fld="2" item="3"/>
          <tpl fld="4" item="99"/>
          <tpl hier="9" item="4"/>
          <tpl hier="11" item="6"/>
          <tpl hier="12" item="5"/>
          <tpl fld="1" item="0"/>
        </tpls>
      </n>
      <n v="44856586240">
        <tpls c="8">
          <tpl hier="2" item="0"/>
          <tpl hier="4" item="1"/>
          <tpl fld="2" item="38"/>
          <tpl fld="4" item="98"/>
          <tpl hier="9" item="4"/>
          <tpl hier="11" item="6"/>
          <tpl hier="12" item="5"/>
          <tpl fld="1" item="0"/>
        </tpls>
      </n>
      <n v="15497286656">
        <tpls c="8">
          <tpl hier="2" item="0"/>
          <tpl hier="4" item="1"/>
          <tpl fld="2" item="22"/>
          <tpl fld="4" item="98"/>
          <tpl hier="9" item="4"/>
          <tpl hier="11" item="6"/>
          <tpl hier="12" item="5"/>
          <tpl fld="1" item="0"/>
        </tpls>
      </n>
      <n v="4507929088">
        <tpls c="8">
          <tpl hier="2" item="0"/>
          <tpl hier="4" item="1"/>
          <tpl fld="2" item="6"/>
          <tpl fld="4" item="98"/>
          <tpl hier="9" item="4"/>
          <tpl hier="11" item="6"/>
          <tpl hier="12" item="5"/>
          <tpl fld="1" item="0"/>
        </tpls>
      </n>
      <n v="25433012224">
        <tpls c="8">
          <tpl hier="2" item="0"/>
          <tpl hier="4" item="1"/>
          <tpl fld="2" item="41"/>
          <tpl fld="4" item="97"/>
          <tpl hier="9" item="4"/>
          <tpl hier="11" item="6"/>
          <tpl hier="12" item="5"/>
          <tpl fld="1" item="0"/>
        </tpls>
      </n>
      <n v="5329213952">
        <tpls c="8">
          <tpl hier="2" item="0"/>
          <tpl hier="4" item="1"/>
          <tpl fld="2" item="25"/>
          <tpl fld="4" item="97"/>
          <tpl hier="9" item="4"/>
          <tpl hier="11" item="6"/>
          <tpl hier="12" item="5"/>
          <tpl fld="1" item="0"/>
        </tpls>
      </n>
      <n v="4602416640">
        <tpls c="8">
          <tpl hier="2" item="0"/>
          <tpl hier="4" item="1"/>
          <tpl fld="2" item="9"/>
          <tpl fld="4" item="97"/>
          <tpl hier="9" item="4"/>
          <tpl hier="11" item="6"/>
          <tpl hier="12" item="5"/>
          <tpl fld="1" item="0"/>
        </tpls>
      </n>
      <n v="4574986752">
        <tpls c="8">
          <tpl hier="2" item="0"/>
          <tpl hier="4" item="1"/>
          <tpl fld="2" item="44"/>
          <tpl fld="4" item="96"/>
          <tpl hier="9" item="4"/>
          <tpl hier="11" item="6"/>
          <tpl hier="12" item="5"/>
          <tpl fld="1" item="0"/>
        </tpls>
      </n>
      <n v="1587345920">
        <tpls c="8">
          <tpl hier="2" item="0"/>
          <tpl hier="4" item="1"/>
          <tpl fld="2" item="28"/>
          <tpl fld="4" item="96"/>
          <tpl hier="9" item="4"/>
          <tpl hier="11" item="6"/>
          <tpl hier="12" item="5"/>
          <tpl fld="1" item="0"/>
        </tpls>
      </n>
      <n v="821651904">
        <tpls c="8">
          <tpl hier="2" item="0"/>
          <tpl hier="4" item="1"/>
          <tpl fld="2" item="12"/>
          <tpl fld="4" item="96"/>
          <tpl hier="9" item="4"/>
          <tpl hier="11" item="6"/>
          <tpl hier="12" item="5"/>
          <tpl fld="1" item="0"/>
        </tpls>
      </n>
      <n v="456294694912">
        <tpls c="8">
          <tpl hier="2" item="0"/>
          <tpl hier="4" item="1"/>
          <tpl fld="2" item="47"/>
          <tpl fld="4" item="95"/>
          <tpl hier="9" item="4"/>
          <tpl hier="11" item="6"/>
          <tpl hier="12" item="5"/>
          <tpl fld="1" item="0"/>
        </tpls>
      </n>
      <n v="120296472576">
        <tpls c="8">
          <tpl hier="2" item="0"/>
          <tpl hier="4" item="1"/>
          <tpl fld="2" item="31"/>
          <tpl fld="4" item="95"/>
          <tpl hier="9" item="4"/>
          <tpl hier="11" item="6"/>
          <tpl hier="12" item="5"/>
          <tpl fld="1" item="0"/>
        </tpls>
      </n>
      <n v="38900690944">
        <tpls c="8">
          <tpl hier="2" item="0"/>
          <tpl hier="4" item="1"/>
          <tpl fld="2" item="15"/>
          <tpl fld="4" item="95"/>
          <tpl hier="9" item="4"/>
          <tpl hier="11" item="6"/>
          <tpl hier="12" item="5"/>
          <tpl fld="1" item="0"/>
        </tpls>
      </n>
      <n v="93594803376">
        <tpls c="8">
          <tpl hier="2" item="0"/>
          <tpl hier="4" item="1"/>
          <tpl hier="5" item="3"/>
          <tpl fld="4" item="94"/>
          <tpl hier="9" item="4"/>
          <tpl hier="11" item="6"/>
          <tpl hier="12" item="5"/>
          <tpl fld="1" item="0"/>
        </tpls>
      </n>
      <n v="2770082816">
        <tpls c="8">
          <tpl hier="2" item="0"/>
          <tpl hier="4" item="1"/>
          <tpl fld="2" item="34"/>
          <tpl fld="4" item="94"/>
          <tpl hier="9" item="4"/>
          <tpl hier="11" item="6"/>
          <tpl hier="12" item="5"/>
          <tpl fld="1" item="0"/>
        </tpls>
      </n>
      <n v="692016704">
        <tpls c="8">
          <tpl hier="2" item="0"/>
          <tpl hier="4" item="1"/>
          <tpl fld="2" item="18"/>
          <tpl fld="4" item="94"/>
          <tpl hier="9" item="4"/>
          <tpl hier="11" item="6"/>
          <tpl hier="12" item="5"/>
          <tpl fld="1" item="0"/>
        </tpls>
      </n>
      <n v="146741248">
        <tpls c="8">
          <tpl hier="2" item="0"/>
          <tpl hier="4" item="1"/>
          <tpl fld="2" item="2"/>
          <tpl fld="4" item="94"/>
          <tpl hier="9" item="4"/>
          <tpl hier="11" item="6"/>
          <tpl hier="12" item="5"/>
          <tpl fld="1" item="0"/>
        </tpls>
      </n>
      <n v="2936612096">
        <tpls c="8">
          <tpl hier="2" item="0"/>
          <tpl hier="4" item="1"/>
          <tpl fld="2" item="37"/>
          <tpl fld="4" item="93"/>
          <tpl hier="9" item="4"/>
          <tpl hier="11" item="6"/>
          <tpl hier="12" item="5"/>
          <tpl fld="1" item="0"/>
        </tpls>
      </n>
      <n v="448100000">
        <tpls c="8">
          <tpl hier="2" item="0"/>
          <tpl hier="4" item="1"/>
          <tpl fld="2" item="21"/>
          <tpl fld="4" item="93"/>
          <tpl hier="9" item="4"/>
          <tpl hier="11" item="6"/>
          <tpl hier="12" item="5"/>
          <tpl fld="1" item="0"/>
        </tpls>
      </n>
      <n v="465500000">
        <tpls c="8">
          <tpl hier="2" item="0"/>
          <tpl hier="4" item="1"/>
          <tpl fld="2" item="5"/>
          <tpl fld="4" item="93"/>
          <tpl hier="9" item="4"/>
          <tpl hier="11" item="6"/>
          <tpl hier="12" item="5"/>
          <tpl fld="1" item="0"/>
        </tpls>
      </n>
      <n v="61739814912">
        <tpls c="8">
          <tpl hier="2" item="0"/>
          <tpl hier="4" item="1"/>
          <tpl fld="2" item="40"/>
          <tpl fld="4" item="92"/>
          <tpl hier="9" item="4"/>
          <tpl hier="11" item="6"/>
          <tpl hier="12" item="5"/>
          <tpl fld="1" item="0"/>
        </tpls>
      </n>
      <n v="12794191872">
        <tpls c="8">
          <tpl hier="2" item="0"/>
          <tpl hier="4" item="1"/>
          <tpl fld="2" item="24"/>
          <tpl fld="4" item="92"/>
          <tpl hier="9" item="4"/>
          <tpl hier="11" item="6"/>
          <tpl hier="12" item="5"/>
          <tpl fld="1" item="0"/>
        </tpls>
      </n>
      <n v="7670499840">
        <tpls c="8">
          <tpl hier="2" item="0"/>
          <tpl hier="4" item="1"/>
          <tpl fld="2" item="8"/>
          <tpl fld="4" item="92"/>
          <tpl hier="9" item="4"/>
          <tpl hier="11" item="6"/>
          <tpl hier="12" item="5"/>
          <tpl fld="1" item="0"/>
        </tpls>
      </n>
      <n v="74317807616">
        <tpls c="8">
          <tpl hier="2" item="0"/>
          <tpl hier="4" item="1"/>
          <tpl fld="2" item="43"/>
          <tpl fld="4" item="91"/>
          <tpl hier="9" item="4"/>
          <tpl hier="11" item="6"/>
          <tpl hier="12" item="5"/>
          <tpl fld="1" item="0"/>
        </tpls>
      </n>
      <n v="15091913728">
        <tpls c="8">
          <tpl hier="2" item="0"/>
          <tpl hier="4" item="1"/>
          <tpl fld="2" item="27"/>
          <tpl fld="4" item="91"/>
          <tpl hier="9" item="4"/>
          <tpl hier="11" item="6"/>
          <tpl hier="12" item="5"/>
          <tpl fld="1" item="0"/>
        </tpls>
      </n>
      <n v="4415844352">
        <tpls c="8">
          <tpl hier="2" item="0"/>
          <tpl hier="4" item="1"/>
          <tpl fld="2" item="11"/>
          <tpl fld="4" item="91"/>
          <tpl hier="9" item="4"/>
          <tpl hier="11" item="6"/>
          <tpl hier="12" item="5"/>
          <tpl fld="1" item="0"/>
        </tpls>
      </n>
      <n v="296357298176">
        <tpls c="8">
          <tpl hier="2" item="0"/>
          <tpl hier="4" item="1"/>
          <tpl fld="2" item="46"/>
          <tpl fld="4" item="90"/>
          <tpl hier="9" item="4"/>
          <tpl hier="11" item="6"/>
          <tpl hier="12" item="5"/>
          <tpl fld="1" item="0"/>
        </tpls>
      </n>
      <n v="136361295872">
        <tpls c="8">
          <tpl hier="2" item="0"/>
          <tpl hier="4" item="1"/>
          <tpl fld="2" item="30"/>
          <tpl fld="4" item="90"/>
          <tpl hier="9" item="4"/>
          <tpl hier="11" item="6"/>
          <tpl hier="12" item="5"/>
          <tpl fld="1" item="0"/>
        </tpls>
      </n>
      <n v="77344096256">
        <tpls c="8">
          <tpl hier="2" item="0"/>
          <tpl hier="4" item="1"/>
          <tpl fld="2" item="14"/>
          <tpl fld="4" item="90"/>
          <tpl hier="9" item="4"/>
          <tpl hier="11" item="6"/>
          <tpl hier="12" item="5"/>
          <tpl fld="1" item="0"/>
        </tpls>
      </n>
      <n v="3941474304">
        <tpls c="8">
          <tpl hier="2" item="0"/>
          <tpl hier="4" item="1"/>
          <tpl fld="2" item="49"/>
          <tpl fld="4" item="89"/>
          <tpl hier="9" item="4"/>
          <tpl hier="11" item="6"/>
          <tpl hier="12" item="5"/>
          <tpl fld="1" item="0"/>
        </tpls>
      </n>
      <n v="1385810048">
        <tpls c="8">
          <tpl hier="2" item="0"/>
          <tpl hier="4" item="1"/>
          <tpl fld="2" item="33"/>
          <tpl fld="4" item="89"/>
          <tpl hier="9" item="4"/>
          <tpl hier="11" item="6"/>
          <tpl hier="12" item="5"/>
          <tpl fld="1" item="0"/>
        </tpls>
      </n>
      <n v="701307584">
        <tpls c="8">
          <tpl hier="2" item="0"/>
          <tpl hier="4" item="1"/>
          <tpl fld="2" item="17"/>
          <tpl fld="4" item="89"/>
          <tpl hier="9" item="4"/>
          <tpl hier="11" item="6"/>
          <tpl hier="12" item="5"/>
          <tpl fld="1" item="0"/>
        </tpls>
      </n>
      <n v="419549440">
        <tpls c="8">
          <tpl hier="2" item="0"/>
          <tpl hier="4" item="1"/>
          <tpl fld="2" item="1"/>
          <tpl fld="4" item="89"/>
          <tpl hier="9" item="4"/>
          <tpl hier="11" item="6"/>
          <tpl hier="12" item="5"/>
          <tpl fld="1" item="0"/>
        </tpls>
      </n>
      <n v="1016418240">
        <tpls c="8">
          <tpl hier="2" item="0"/>
          <tpl hier="4" item="1"/>
          <tpl fld="2" item="36"/>
          <tpl fld="4" item="88"/>
          <tpl hier="9" item="4"/>
          <tpl hier="11" item="6"/>
          <tpl hier="12" item="5"/>
          <tpl fld="1" item="0"/>
        </tpls>
      </n>
      <n v="368584768">
        <tpls c="8">
          <tpl hier="2" item="0"/>
          <tpl hier="4" item="1"/>
          <tpl fld="2" item="20"/>
          <tpl fld="4" item="88"/>
          <tpl hier="9" item="4"/>
          <tpl hier="11" item="6"/>
          <tpl hier="12" item="5"/>
          <tpl fld="1" item="0"/>
        </tpls>
      </n>
      <n v="43134500">
        <tpls c="8">
          <tpl hier="2" item="0"/>
          <tpl hier="4" item="1"/>
          <tpl fld="2" item="4"/>
          <tpl fld="4" item="88"/>
          <tpl hier="9" item="4"/>
          <tpl hier="11" item="6"/>
          <tpl hier="12" item="5"/>
          <tpl fld="1" item="0"/>
        </tpls>
      </n>
      <n v="16248212480">
        <tpls c="8">
          <tpl hier="2" item="0"/>
          <tpl hier="4" item="1"/>
          <tpl fld="2" item="39"/>
          <tpl fld="4" item="87"/>
          <tpl hier="9" item="4"/>
          <tpl hier="11" item="6"/>
          <tpl hier="12" item="5"/>
          <tpl fld="1" item="0"/>
        </tpls>
      </n>
      <n v="7189226496">
        <tpls c="8">
          <tpl hier="2" item="0"/>
          <tpl hier="4" item="1"/>
          <tpl fld="2" item="23"/>
          <tpl fld="4" item="87"/>
          <tpl hier="9" item="4"/>
          <tpl hier="11" item="6"/>
          <tpl hier="12" item="5"/>
          <tpl fld="1" item="0"/>
        </tpls>
      </n>
      <n v="2938046208">
        <tpls c="8">
          <tpl hier="2" item="0"/>
          <tpl hier="4" item="1"/>
          <tpl fld="2" item="7"/>
          <tpl fld="4" item="87"/>
          <tpl hier="9" item="4"/>
          <tpl hier="11" item="6"/>
          <tpl hier="12" item="5"/>
          <tpl fld="1" item="0"/>
        </tpls>
      </n>
      <n v="735974850560">
        <tpls c="8">
          <tpl hier="2" item="0"/>
          <tpl hier="4" item="1"/>
          <tpl fld="2" item="42"/>
          <tpl fld="4" item="86"/>
          <tpl hier="9" item="4"/>
          <tpl hier="11" item="6"/>
          <tpl hier="12" item="5"/>
          <tpl fld="1" item="0"/>
        </tpls>
      </n>
      <n v="158662393856">
        <tpls c="8">
          <tpl hier="2" item="0"/>
          <tpl hier="4" item="1"/>
          <tpl fld="2" item="26"/>
          <tpl fld="4" item="86"/>
          <tpl hier="9" item="4"/>
          <tpl hier="11" item="6"/>
          <tpl hier="12" item="5"/>
          <tpl fld="1" item="0"/>
        </tpls>
      </n>
      <n v="164541743104">
        <tpls c="8">
          <tpl hier="2" item="0"/>
          <tpl hier="4" item="1"/>
          <tpl fld="2" item="10"/>
          <tpl fld="4" item="86"/>
          <tpl hier="9" item="4"/>
          <tpl hier="11" item="6"/>
          <tpl hier="12" item="5"/>
          <tpl fld="1" item="0"/>
        </tpls>
      </n>
      <n v="8582588928">
        <tpls c="8">
          <tpl hier="2" item="0"/>
          <tpl hier="4" item="1"/>
          <tpl fld="2" item="45"/>
          <tpl fld="4" item="85"/>
          <tpl hier="9" item="4"/>
          <tpl hier="11" item="6"/>
          <tpl hier="12" item="5"/>
          <tpl fld="1" item="0"/>
        </tpls>
      </n>
      <n v="1817654528">
        <tpls c="8">
          <tpl hier="2" item="0"/>
          <tpl hier="4" item="1"/>
          <tpl fld="2" item="29"/>
          <tpl fld="4" item="85"/>
          <tpl hier="9" item="4"/>
          <tpl hier="11" item="6"/>
          <tpl hier="12" item="5"/>
          <tpl fld="1" item="0"/>
        </tpls>
      </n>
      <n v="1479688064">
        <tpls c="8">
          <tpl hier="2" item="0"/>
          <tpl hier="4" item="1"/>
          <tpl fld="2" item="13"/>
          <tpl fld="4" item="85"/>
          <tpl hier="9" item="4"/>
          <tpl hier="11" item="6"/>
          <tpl hier="12" item="5"/>
          <tpl fld="1" item="0"/>
        </tpls>
      </n>
      <n v="100979900416">
        <tpls c="8">
          <tpl hier="2" item="0"/>
          <tpl hier="4" item="1"/>
          <tpl fld="2" item="48"/>
          <tpl fld="4" item="84"/>
          <tpl hier="9" item="4"/>
          <tpl hier="11" item="6"/>
          <tpl hier="12" item="5"/>
          <tpl fld="1" item="0"/>
        </tpls>
      </n>
      <n v="71623499776">
        <tpls c="8">
          <tpl hier="2" item="0"/>
          <tpl hier="4" item="1"/>
          <tpl fld="2" item="32"/>
          <tpl fld="4" item="84"/>
          <tpl hier="9" item="4"/>
          <tpl hier="11" item="6"/>
          <tpl hier="12" item="5"/>
          <tpl fld="1" item="0"/>
        </tpls>
      </n>
      <n v="22009300992">
        <tpls c="8">
          <tpl hier="2" item="0"/>
          <tpl hier="4" item="1"/>
          <tpl fld="2" item="16"/>
          <tpl fld="4" item="84"/>
          <tpl hier="9" item="4"/>
          <tpl hier="11" item="6"/>
          <tpl hier="12" item="5"/>
          <tpl fld="1" item="0"/>
        </tpls>
      </n>
      <n v="5034699776">
        <tpls c="8">
          <tpl hier="2" item="0"/>
          <tpl hier="4" item="1"/>
          <tpl fld="2" item="0"/>
          <tpl fld="4" item="84"/>
          <tpl hier="9" item="4"/>
          <tpl hier="11" item="6"/>
          <tpl hier="12" item="5"/>
          <tpl fld="1" item="0"/>
        </tpls>
      </n>
      <n v="107419983872">
        <tpls c="8">
          <tpl hier="2" item="0"/>
          <tpl hier="4" item="1"/>
          <tpl fld="2" item="35"/>
          <tpl fld="4" item="83"/>
          <tpl hier="9" item="4"/>
          <tpl hier="11" item="6"/>
          <tpl hier="12" item="5"/>
          <tpl fld="1" item="0"/>
        </tpls>
      </n>
      <n v="42575183872">
        <tpls c="8">
          <tpl hier="2" item="0"/>
          <tpl hier="4" item="1"/>
          <tpl fld="2" item="19"/>
          <tpl fld="4" item="83"/>
          <tpl hier="9" item="4"/>
          <tpl hier="11" item="6"/>
          <tpl hier="12" item="5"/>
          <tpl fld="1" item="0"/>
        </tpls>
      </n>
      <n v="10082885632">
        <tpls c="8">
          <tpl hier="2" item="0"/>
          <tpl hier="4" item="1"/>
          <tpl fld="2" item="3"/>
          <tpl fld="4" item="83"/>
          <tpl hier="9" item="4"/>
          <tpl hier="11" item="6"/>
          <tpl hier="12" item="5"/>
          <tpl fld="1" item="0"/>
        </tpls>
      </n>
      <n v="120550596608">
        <tpls c="8">
          <tpl hier="2" item="0"/>
          <tpl hier="4" item="1"/>
          <tpl fld="2" item="38"/>
          <tpl fld="4" item="82"/>
          <tpl hier="9" item="4"/>
          <tpl hier="11" item="6"/>
          <tpl hier="12" item="5"/>
          <tpl fld="1" item="0"/>
        </tpls>
      </n>
      <n v="35966304256">
        <tpls c="8">
          <tpl hier="2" item="0"/>
          <tpl hier="4" item="1"/>
          <tpl fld="2" item="22"/>
          <tpl fld="4" item="82"/>
          <tpl hier="9" item="4"/>
          <tpl hier="11" item="6"/>
          <tpl hier="12" item="5"/>
          <tpl fld="1" item="0"/>
        </tpls>
      </n>
      <n v="15947709440">
        <tpls c="8">
          <tpl hier="2" item="0"/>
          <tpl hier="4" item="1"/>
          <tpl fld="2" item="6"/>
          <tpl fld="4" item="82"/>
          <tpl hier="9" item="4"/>
          <tpl hier="11" item="6"/>
          <tpl hier="12" item="5"/>
          <tpl fld="1" item="0"/>
        </tpls>
      </n>
      <n v="33715525632">
        <tpls c="8">
          <tpl hier="2" item="0"/>
          <tpl hier="4" item="1"/>
          <tpl fld="2" item="41"/>
          <tpl fld="4" item="81"/>
          <tpl hier="9" item="4"/>
          <tpl hier="11" item="6"/>
          <tpl hier="12" item="5"/>
          <tpl fld="1" item="0"/>
        </tpls>
      </n>
      <n v="9062131712">
        <tpls c="8">
          <tpl hier="2" item="0"/>
          <tpl hier="4" item="1"/>
          <tpl fld="2" item="25"/>
          <tpl fld="4" item="81"/>
          <tpl hier="9" item="4"/>
          <tpl hier="11" item="6"/>
          <tpl hier="12" item="5"/>
          <tpl fld="1" item="0"/>
        </tpls>
      </n>
      <n v="3416777728">
        <tpls c="8">
          <tpl hier="2" item="0"/>
          <tpl hier="4" item="1"/>
          <tpl fld="2" item="9"/>
          <tpl fld="4" item="81"/>
          <tpl hier="9" item="4"/>
          <tpl hier="11" item="6"/>
          <tpl hier="12" item="5"/>
          <tpl fld="1" item="0"/>
        </tpls>
      </n>
      <n v="23210682368">
        <tpls c="8">
          <tpl hier="2" item="0"/>
          <tpl hier="4" item="1"/>
          <tpl fld="2" item="44"/>
          <tpl fld="4" item="80"/>
          <tpl hier="9" item="4"/>
          <tpl hier="11" item="6"/>
          <tpl hier="12" item="5"/>
          <tpl fld="1" item="0"/>
        </tpls>
      </n>
      <n v="3789443072">
        <tpls c="8">
          <tpl hier="2" item="0"/>
          <tpl hier="4" item="1"/>
          <tpl fld="2" item="28"/>
          <tpl fld="4" item="80"/>
          <tpl hier="9" item="4"/>
          <tpl hier="11" item="6"/>
          <tpl hier="12" item="5"/>
          <tpl fld="1" item="0"/>
        </tpls>
      </n>
      <n v="2368584960">
        <tpls c="8">
          <tpl hier="2" item="0"/>
          <tpl hier="4" item="1"/>
          <tpl fld="2" item="12"/>
          <tpl fld="4" item="80"/>
          <tpl hier="9" item="4"/>
          <tpl hier="11" item="6"/>
          <tpl hier="12" item="5"/>
          <tpl fld="1" item="0"/>
        </tpls>
      </n>
      <n v="62219001856">
        <tpls c="8">
          <tpl hier="2" item="0"/>
          <tpl hier="4" item="1"/>
          <tpl fld="2" item="47"/>
          <tpl fld="4" item="79"/>
          <tpl hier="9" item="4"/>
          <tpl hier="11" item="6"/>
          <tpl hier="12" item="5"/>
          <tpl fld="1" item="0"/>
        </tpls>
      </n>
      <n v="12502012928">
        <tpls c="8">
          <tpl hier="2" item="0"/>
          <tpl hier="4" item="1"/>
          <tpl fld="2" item="31"/>
          <tpl fld="4" item="79"/>
          <tpl hier="9" item="4"/>
          <tpl hier="11" item="6"/>
          <tpl hier="12" item="5"/>
          <tpl fld="1" item="0"/>
        </tpls>
      </n>
      <n v="6541517312">
        <tpls c="8">
          <tpl hier="2" item="0"/>
          <tpl hier="4" item="1"/>
          <tpl fld="2" item="15"/>
          <tpl fld="4" item="79"/>
          <tpl hier="9" item="4"/>
          <tpl hier="11" item="6"/>
          <tpl hier="12" item="5"/>
          <tpl fld="1" item="0"/>
        </tpls>
      </n>
      <n v="4716105268224">
        <tpls c="8">
          <tpl hier="2" item="0"/>
          <tpl hier="4" item="1"/>
          <tpl hier="5" item="3"/>
          <tpl fld="4" item="78"/>
          <tpl hier="9" item="4"/>
          <tpl hier="11" item="6"/>
          <tpl hier="12" item="5"/>
          <tpl fld="1" item="0"/>
        </tpls>
      </n>
      <n v="107759681536">
        <tpls c="8">
          <tpl hier="2" item="0"/>
          <tpl hier="4" item="1"/>
          <tpl fld="2" item="34"/>
          <tpl fld="4" item="78"/>
          <tpl hier="9" item="4"/>
          <tpl hier="11" item="6"/>
          <tpl hier="12" item="5"/>
          <tpl fld="1" item="0"/>
        </tpls>
      </n>
      <n v="38472740864">
        <tpls c="8">
          <tpl hier="2" item="0"/>
          <tpl hier="4" item="1"/>
          <tpl fld="2" item="18"/>
          <tpl fld="4" item="78"/>
          <tpl hier="9" item="4"/>
          <tpl hier="11" item="6"/>
          <tpl hier="12" item="5"/>
          <tpl fld="1" item="0"/>
        </tpls>
      </n>
      <n v="9415016448">
        <tpls c="8">
          <tpl hier="2" item="0"/>
          <tpl hier="4" item="1"/>
          <tpl fld="2" item="2"/>
          <tpl fld="4" item="78"/>
          <tpl hier="9" item="4"/>
          <tpl hier="11" item="6"/>
          <tpl hier="12" item="5"/>
          <tpl fld="1" item="0"/>
        </tpls>
      </n>
      <n v="42085306368">
        <tpls c="8">
          <tpl hier="2" item="0"/>
          <tpl hier="4" item="1"/>
          <tpl fld="2" item="37"/>
          <tpl fld="4" item="77"/>
          <tpl hier="9" item="4"/>
          <tpl hier="11" item="6"/>
          <tpl hier="12" item="5"/>
          <tpl fld="1" item="0"/>
        </tpls>
      </n>
      <n v="11341481984">
        <tpls c="8">
          <tpl hier="2" item="0"/>
          <tpl hier="4" item="1"/>
          <tpl fld="2" item="21"/>
          <tpl fld="4" item="77"/>
          <tpl hier="9" item="4"/>
          <tpl hier="11" item="6"/>
          <tpl hier="12" item="5"/>
          <tpl fld="1" item="0"/>
        </tpls>
      </n>
      <n v="2096699136">
        <tpls c="8">
          <tpl hier="2" item="0"/>
          <tpl hier="4" item="1"/>
          <tpl fld="2" item="5"/>
          <tpl fld="4" item="77"/>
          <tpl hier="9" item="4"/>
          <tpl hier="11" item="6"/>
          <tpl hier="12" item="5"/>
          <tpl fld="1" item="0"/>
        </tpls>
      </n>
      <n v="363359895552">
        <tpls c="8">
          <tpl hier="2" item="0"/>
          <tpl hier="4" item="1"/>
          <tpl fld="2" item="40"/>
          <tpl fld="4" item="76"/>
          <tpl hier="9" item="4"/>
          <tpl hier="11" item="6"/>
          <tpl hier="12" item="5"/>
          <tpl fld="1" item="0"/>
        </tpls>
      </n>
      <n v="33833043968">
        <tpls c="8">
          <tpl hier="2" item="0"/>
          <tpl hier="4" item="1"/>
          <tpl fld="2" item="24"/>
          <tpl fld="4" item="76"/>
          <tpl hier="9" item="4"/>
          <tpl hier="11" item="6"/>
          <tpl hier="12" item="5"/>
          <tpl fld="1" item="0"/>
        </tpls>
      </n>
      <n v="36527861760">
        <tpls c="8">
          <tpl hier="2" item="0"/>
          <tpl hier="4" item="1"/>
          <tpl fld="2" item="8"/>
          <tpl fld="4" item="76"/>
          <tpl hier="9" item="4"/>
          <tpl hier="11" item="6"/>
          <tpl hier="12" item="5"/>
          <tpl fld="1" item="0"/>
        </tpls>
      </n>
      <n v="10156855296">
        <tpls c="8">
          <tpl hier="2" item="0"/>
          <tpl hier="4" item="1"/>
          <tpl fld="2" item="43"/>
          <tpl fld="4" item="75"/>
          <tpl hier="9" item="4"/>
          <tpl hier="11" item="6"/>
          <tpl hier="12" item="5"/>
          <tpl fld="1" item="0"/>
        </tpls>
      </n>
      <n v="2297228032">
        <tpls c="8">
          <tpl hier="2" item="0"/>
          <tpl hier="4" item="1"/>
          <tpl fld="2" item="27"/>
          <tpl fld="4" item="75"/>
          <tpl hier="9" item="4"/>
          <tpl hier="11" item="6"/>
          <tpl hier="12" item="5"/>
          <tpl fld="1" item="0"/>
        </tpls>
      </n>
      <n v="2170893056">
        <tpls c="8">
          <tpl hier="2" item="0"/>
          <tpl hier="4" item="1"/>
          <tpl fld="2" item="11"/>
          <tpl fld="4" item="75"/>
          <tpl hier="9" item="4"/>
          <tpl hier="11" item="6"/>
          <tpl hier="12" item="5"/>
          <tpl fld="1" item="0"/>
        </tpls>
      </n>
      <n v="13286048768">
        <tpls c="8">
          <tpl hier="2" item="0"/>
          <tpl hier="4" item="1"/>
          <tpl fld="2" item="46"/>
          <tpl fld="4" item="74"/>
          <tpl hier="9" item="4"/>
          <tpl hier="11" item="6"/>
          <tpl hier="12" item="5"/>
          <tpl fld="1" item="0"/>
        </tpls>
      </n>
      <n v="5107329024">
        <tpls c="8">
          <tpl hier="2" item="0"/>
          <tpl hier="4" item="1"/>
          <tpl fld="2" item="30"/>
          <tpl fld="4" item="74"/>
          <tpl hier="9" item="4"/>
          <tpl hier="11" item="6"/>
          <tpl hier="12" item="5"/>
          <tpl fld="1" item="0"/>
        </tpls>
      </n>
      <n v="3105517056">
        <tpls c="8">
          <tpl hier="2" item="0"/>
          <tpl hier="4" item="1"/>
          <tpl fld="2" item="14"/>
          <tpl fld="4" item="74"/>
          <tpl hier="9" item="4"/>
          <tpl hier="11" item="6"/>
          <tpl hier="12" item="5"/>
          <tpl fld="1" item="0"/>
        </tpls>
      </n>
      <n v="30641381376">
        <tpls c="8">
          <tpl hier="2" item="0"/>
          <tpl hier="4" item="1"/>
          <tpl fld="2" item="49"/>
          <tpl fld="4" item="73"/>
          <tpl hier="9" item="4"/>
          <tpl hier="11" item="6"/>
          <tpl hier="12" item="5"/>
          <tpl fld="1" item="0"/>
        </tpls>
      </n>
      <n v="6330472960">
        <tpls c="8">
          <tpl hier="2" item="0"/>
          <tpl hier="4" item="1"/>
          <tpl fld="2" item="33"/>
          <tpl fld="4" item="73"/>
          <tpl hier="9" item="4"/>
          <tpl hier="11" item="6"/>
          <tpl hier="12" item="5"/>
          <tpl fld="1" item="0"/>
        </tpls>
      </n>
      <n v="2957255424">
        <tpls c="8">
          <tpl hier="2" item="0"/>
          <tpl hier="4" item="1"/>
          <tpl fld="2" item="17"/>
          <tpl fld="4" item="73"/>
          <tpl hier="9" item="4"/>
          <tpl hier="11" item="6"/>
          <tpl hier="12" item="5"/>
          <tpl fld="1" item="0"/>
        </tpls>
      </n>
      <n v="882765440">
        <tpls c="8">
          <tpl hier="2" item="0"/>
          <tpl hier="4" item="1"/>
          <tpl fld="2" item="1"/>
          <tpl fld="4" item="73"/>
          <tpl hier="9" item="4"/>
          <tpl hier="11" item="6"/>
          <tpl hier="12" item="5"/>
          <tpl fld="1" item="0"/>
        </tpls>
      </n>
      <n v="68640825344">
        <tpls c="8">
          <tpl hier="2" item="0"/>
          <tpl hier="4" item="1"/>
          <tpl fld="2" item="36"/>
          <tpl fld="4" item="72"/>
          <tpl hier="9" item="4"/>
          <tpl hier="11" item="6"/>
          <tpl hier="12" item="5"/>
          <tpl fld="1" item="0"/>
        </tpls>
      </n>
      <n v="30180108288">
        <tpls c="8">
          <tpl hier="2" item="0"/>
          <tpl hier="4" item="1"/>
          <tpl fld="2" item="20"/>
          <tpl fld="4" item="72"/>
          <tpl hier="9" item="4"/>
          <tpl hier="11" item="6"/>
          <tpl hier="12" item="5"/>
          <tpl fld="1" item="0"/>
        </tpls>
      </n>
      <n v="7675408384">
        <tpls c="8">
          <tpl hier="2" item="0"/>
          <tpl hier="4" item="1"/>
          <tpl fld="2" item="4"/>
          <tpl fld="4" item="72"/>
          <tpl hier="9" item="4"/>
          <tpl hier="11" item="6"/>
          <tpl hier="12" item="5"/>
          <tpl fld="1" item="0"/>
        </tpls>
      </n>
      <n v="900045340672">
        <tpls c="8">
          <tpl hier="2" item="0"/>
          <tpl hier="4" item="1"/>
          <tpl fld="2" item="39"/>
          <tpl fld="4" item="71"/>
          <tpl hier="9" item="4"/>
          <tpl hier="11" item="6"/>
          <tpl hier="12" item="5"/>
          <tpl fld="1" item="0"/>
        </tpls>
      </n>
      <n v="500736065536">
        <tpls c="8">
          <tpl hier="2" item="0"/>
          <tpl hier="4" item="1"/>
          <tpl fld="2" item="23"/>
          <tpl fld="4" item="71"/>
          <tpl hier="9" item="4"/>
          <tpl hier="11" item="6"/>
          <tpl hier="12" item="5"/>
          <tpl fld="1" item="0"/>
        </tpls>
      </n>
      <n v="81814159360">
        <tpls c="8">
          <tpl hier="2" item="0"/>
          <tpl hier="4" item="1"/>
          <tpl fld="2" item="7"/>
          <tpl fld="4" item="71"/>
          <tpl hier="9" item="4"/>
          <tpl hier="11" item="6"/>
          <tpl hier="12" item="5"/>
          <tpl fld="1" item="0"/>
        </tpls>
      </n>
      <n v="6728208896">
        <tpls c="8">
          <tpl hier="2" item="0"/>
          <tpl hier="4" item="1"/>
          <tpl fld="2" item="42"/>
          <tpl fld="4" item="70"/>
          <tpl hier="9" item="4"/>
          <tpl hier="11" item="6"/>
          <tpl hier="12" item="5"/>
          <tpl fld="1" item="0"/>
        </tpls>
      </n>
      <n v="2132081920">
        <tpls c="8">
          <tpl hier="2" item="0"/>
          <tpl hier="4" item="1"/>
          <tpl fld="2" item="26"/>
          <tpl fld="4" item="70"/>
          <tpl hier="9" item="4"/>
          <tpl hier="11" item="6"/>
          <tpl hier="12" item="5"/>
          <tpl fld="1" item="0"/>
        </tpls>
      </n>
      <n v="1047924672">
        <tpls c="8">
          <tpl hier="2" item="0"/>
          <tpl hier="4" item="1"/>
          <tpl fld="2" item="10"/>
          <tpl fld="4" item="70"/>
          <tpl hier="9" item="4"/>
          <tpl hier="11" item="6"/>
          <tpl hier="12" item="5"/>
          <tpl fld="1" item="0"/>
        </tpls>
      </n>
      <n v="13104869376">
        <tpls c="8">
          <tpl hier="2" item="0"/>
          <tpl hier="4" item="1"/>
          <tpl fld="2" item="45"/>
          <tpl fld="4" item="69"/>
          <tpl hier="9" item="4"/>
          <tpl hier="11" item="6"/>
          <tpl hier="12" item="5"/>
          <tpl fld="1" item="0"/>
        </tpls>
      </n>
      <n v="3439463168">
        <tpls c="8">
          <tpl hier="2" item="0"/>
          <tpl hier="4" item="1"/>
          <tpl fld="2" item="29"/>
          <tpl fld="4" item="69"/>
          <tpl hier="9" item="4"/>
          <tpl hier="11" item="6"/>
          <tpl hier="12" item="5"/>
          <tpl fld="1" item="0"/>
        </tpls>
      </n>
      <n v="1297765504">
        <tpls c="8">
          <tpl hier="2" item="0"/>
          <tpl hier="4" item="1"/>
          <tpl fld="2" item="13"/>
          <tpl fld="4" item="69"/>
          <tpl hier="9" item="4"/>
          <tpl hier="11" item="6"/>
          <tpl hier="12" item="5"/>
          <tpl fld="1" item="0"/>
        </tpls>
      </n>
      <n v="358581927936">
        <tpls c="8">
          <tpl hier="2" item="0"/>
          <tpl hier="4" item="1"/>
          <tpl fld="2" item="48"/>
          <tpl fld="4" item="68"/>
          <tpl hier="9" item="4"/>
          <tpl hier="11" item="6"/>
          <tpl hier="12" item="5"/>
          <tpl fld="1" item="0"/>
        </tpls>
      </n>
      <n v="100845527040">
        <tpls c="8">
          <tpl hier="2" item="0"/>
          <tpl hier="4" item="1"/>
          <tpl fld="2" item="32"/>
          <tpl fld="4" item="68"/>
          <tpl hier="9" item="4"/>
          <tpl hier="11" item="6"/>
          <tpl hier="12" item="5"/>
          <tpl fld="1" item="0"/>
        </tpls>
      </n>
      <n v="27734562816">
        <tpls c="8">
          <tpl hier="2" item="0"/>
          <tpl hier="4" item="1"/>
          <tpl fld="2" item="16"/>
          <tpl fld="4" item="68"/>
          <tpl hier="9" item="4"/>
          <tpl hier="11" item="6"/>
          <tpl hier="12" item="5"/>
          <tpl fld="1" item="0"/>
        </tpls>
      </n>
      <n v="3864171008">
        <tpls c="8">
          <tpl hier="2" item="0"/>
          <tpl hier="4" item="1"/>
          <tpl fld="2" item="0"/>
          <tpl fld="4" item="68"/>
          <tpl hier="9" item="4"/>
          <tpl hier="11" item="6"/>
          <tpl hier="12" item="5"/>
          <tpl fld="1" item="0"/>
        </tpls>
      </n>
      <n v="3655909632">
        <tpls c="8">
          <tpl hier="2" item="0"/>
          <tpl hier="4" item="1"/>
          <tpl fld="2" item="35"/>
          <tpl fld="4" item="67"/>
          <tpl hier="9" item="4"/>
          <tpl hier="11" item="6"/>
          <tpl hier="12" item="5"/>
          <tpl fld="1" item="0"/>
        </tpls>
      </n>
      <n v="1590215552">
        <tpls c="8">
          <tpl hier="2" item="0"/>
          <tpl hier="4" item="1"/>
          <tpl fld="2" item="19"/>
          <tpl fld="4" item="67"/>
          <tpl hier="9" item="4"/>
          <tpl hier="11" item="6"/>
          <tpl hier="12" item="5"/>
          <tpl fld="1" item="0"/>
        </tpls>
      </n>
      <n v="444281696">
        <tpls c="8">
          <tpl hier="2" item="0"/>
          <tpl hier="4" item="1"/>
          <tpl fld="2" item="3"/>
          <tpl fld="4" item="67"/>
          <tpl hier="9" item="4"/>
          <tpl hier="11" item="6"/>
          <tpl hier="12" item="5"/>
          <tpl fld="1" item="0"/>
        </tpls>
      </n>
      <n v="10725137408">
        <tpls c="8">
          <tpl hier="2" item="0"/>
          <tpl hier="4" item="1"/>
          <tpl fld="2" item="38"/>
          <tpl fld="4" item="66"/>
          <tpl hier="9" item="4"/>
          <tpl hier="11" item="6"/>
          <tpl hier="12" item="5"/>
          <tpl fld="1" item="0"/>
        </tpls>
      </n>
      <n v="3714967040">
        <tpls c="8">
          <tpl hier="2" item="0"/>
          <tpl hier="4" item="1"/>
          <tpl fld="2" item="22"/>
          <tpl fld="4" item="66"/>
          <tpl hier="9" item="4"/>
          <tpl hier="11" item="6"/>
          <tpl hier="12" item="5"/>
          <tpl fld="1" item="0"/>
        </tpls>
      </n>
      <n v="2181844224">
        <tpls c="8">
          <tpl hier="2" item="0"/>
          <tpl hier="4" item="1"/>
          <tpl fld="2" item="6"/>
          <tpl fld="4" item="66"/>
          <tpl hier="9" item="4"/>
          <tpl hier="11" item="6"/>
          <tpl hier="12" item="5"/>
          <tpl fld="1" item="0"/>
        </tpls>
      </n>
      <n v="2622336256">
        <tpls c="8">
          <tpl hier="2" item="0"/>
          <tpl hier="4" item="1"/>
          <tpl fld="2" item="41"/>
          <tpl fld="4" item="65"/>
          <tpl hier="9" item="4"/>
          <tpl hier="11" item="6"/>
          <tpl hier="12" item="5"/>
          <tpl fld="1" item="0"/>
        </tpls>
      </n>
      <n v="1001889856">
        <tpls c="8">
          <tpl hier="2" item="0"/>
          <tpl hier="4" item="1"/>
          <tpl fld="2" item="25"/>
          <tpl fld="4" item="65"/>
          <tpl hier="9" item="4"/>
          <tpl hier="11" item="6"/>
          <tpl hier="12" item="5"/>
          <tpl fld="1" item="0"/>
        </tpls>
      </n>
      <n v="290142528">
        <tpls c="8">
          <tpl hier="2" item="0"/>
          <tpl hier="4" item="1"/>
          <tpl fld="2" item="9"/>
          <tpl fld="4" item="65"/>
          <tpl hier="9" item="4"/>
          <tpl hier="11" item="6"/>
          <tpl hier="12" item="5"/>
          <tpl fld="1" item="0"/>
        </tpls>
      </n>
      <n v="179703440">
        <tpls c="8">
          <tpl hier="2" item="0"/>
          <tpl hier="4" item="1"/>
          <tpl fld="2" item="44"/>
          <tpl fld="4" item="64"/>
          <tpl hier="9" item="4"/>
          <tpl hier="11" item="6"/>
          <tpl hier="12" item="5"/>
          <tpl fld="1" item="0"/>
        </tpls>
      </n>
      <n v="65334840">
        <tpls c="8">
          <tpl hier="2" item="0"/>
          <tpl hier="4" item="1"/>
          <tpl fld="2" item="28"/>
          <tpl fld="4" item="64"/>
          <tpl hier="9" item="4"/>
          <tpl hier="11" item="6"/>
          <tpl hier="12" item="5"/>
          <tpl fld="1" item="0"/>
        </tpls>
      </n>
      <n v="40572068">
        <tpls c="8">
          <tpl hier="2" item="0"/>
          <tpl hier="4" item="1"/>
          <tpl fld="2" item="12"/>
          <tpl fld="4" item="64"/>
          <tpl hier="9" item="4"/>
          <tpl hier="11" item="6"/>
          <tpl hier="12" item="5"/>
          <tpl fld="1" item="0"/>
        </tpls>
      </n>
      <n v="56362561385200">
        <tpls c="8">
          <tpl hier="2" item="0"/>
          <tpl hier="4" item="1"/>
          <tpl fld="2" item="38"/>
          <tpl hier="6" item="2"/>
          <tpl hier="9" item="4"/>
          <tpl hier="11" item="6"/>
          <tpl hier="12" item="5"/>
          <tpl fld="1" item="0"/>
        </tpls>
      </n>
      <n v="23604069354532">
        <tpls c="8">
          <tpl hier="2" item="0"/>
          <tpl hier="4" item="1"/>
          <tpl fld="2" item="22"/>
          <tpl hier="6" item="2"/>
          <tpl hier="9" item="4"/>
          <tpl hier="11" item="6"/>
          <tpl hier="12" item="5"/>
          <tpl fld="1" item="0"/>
        </tpls>
      </n>
      <n v="5878933438276">
        <tpls c="8">
          <tpl hier="2" item="0"/>
          <tpl hier="4" item="1"/>
          <tpl fld="2" item="6"/>
          <tpl hier="6" item="2"/>
          <tpl hier="9" item="4"/>
          <tpl hier="11" item="6"/>
          <tpl hier="12" item="5"/>
          <tpl fld="1" item="0"/>
        </tpls>
      </n>
      <n v="14101920768">
        <tpls c="8">
          <tpl hier="2" item="0"/>
          <tpl hier="4" item="1"/>
          <tpl fld="2" item="41"/>
          <tpl fld="4" item="102"/>
          <tpl hier="9" item="4"/>
          <tpl hier="11" item="6"/>
          <tpl hier="12" item="5"/>
          <tpl fld="1" item="0"/>
        </tpls>
      </n>
      <n v="7111270912">
        <tpls c="8">
          <tpl hier="2" item="0"/>
          <tpl hier="4" item="1"/>
          <tpl fld="2" item="25"/>
          <tpl fld="4" item="102"/>
          <tpl hier="9" item="4"/>
          <tpl hier="11" item="6"/>
          <tpl hier="12" item="5"/>
          <tpl fld="1" item="0"/>
        </tpls>
      </n>
      <n v="5177459200">
        <tpls c="8">
          <tpl hier="2" item="0"/>
          <tpl hier="4" item="1"/>
          <tpl fld="2" item="9"/>
          <tpl fld="4" item="102"/>
          <tpl hier="9" item="4"/>
          <tpl hier="11" item="6"/>
          <tpl hier="12" item="5"/>
          <tpl fld="1" item="0"/>
        </tpls>
      </n>
      <n v="27150647296">
        <tpls c="8">
          <tpl hier="2" item="0"/>
          <tpl hier="4" item="1"/>
          <tpl fld="2" item="44"/>
          <tpl fld="4" item="101"/>
          <tpl hier="9" item="4"/>
          <tpl hier="11" item="6"/>
          <tpl hier="12" item="5"/>
          <tpl fld="1" item="0"/>
        </tpls>
      </n>
      <n v="3537682944">
        <tpls c="8">
          <tpl hier="2" item="0"/>
          <tpl hier="4" item="1"/>
          <tpl fld="2" item="28"/>
          <tpl fld="4" item="101"/>
          <tpl hier="9" item="4"/>
          <tpl hier="11" item="6"/>
          <tpl hier="12" item="5"/>
          <tpl fld="1" item="0"/>
        </tpls>
      </n>
      <n v="3994777856">
        <tpls c="8">
          <tpl hier="2" item="0"/>
          <tpl hier="4" item="1"/>
          <tpl fld="2" item="12"/>
          <tpl fld="4" item="101"/>
          <tpl hier="9" item="4"/>
          <tpl hier="11" item="6"/>
          <tpl hier="12" item="5"/>
          <tpl fld="1" item="0"/>
        </tpls>
      </n>
      <n v="59530088448">
        <tpls c="8">
          <tpl hier="2" item="0"/>
          <tpl hier="4" item="1"/>
          <tpl fld="2" item="47"/>
          <tpl fld="4" item="100"/>
          <tpl hier="9" item="4"/>
          <tpl hier="11" item="6"/>
          <tpl hier="12" item="5"/>
          <tpl fld="1" item="0"/>
        </tpls>
      </n>
      <n v="20898789376">
        <tpls c="8">
          <tpl hier="2" item="0"/>
          <tpl hier="4" item="1"/>
          <tpl fld="2" item="31"/>
          <tpl fld="4" item="100"/>
          <tpl hier="9" item="4"/>
          <tpl hier="11" item="6"/>
          <tpl hier="12" item="5"/>
          <tpl fld="1" item="0"/>
        </tpls>
      </n>
      <n v="4732017664">
        <tpls c="8">
          <tpl hier="2" item="0"/>
          <tpl hier="4" item="1"/>
          <tpl fld="2" item="15"/>
          <tpl fld="4" item="100"/>
          <tpl hier="9" item="4"/>
          <tpl hier="11" item="6"/>
          <tpl hier="12" item="5"/>
          <tpl fld="1" item="0"/>
        </tpls>
      </n>
      <n v="16052927199232">
        <tpls c="8">
          <tpl hier="2" item="0"/>
          <tpl hier="4" item="1"/>
          <tpl hier="5" item="3"/>
          <tpl fld="4" item="99"/>
          <tpl hier="9" item="4"/>
          <tpl hier="11" item="6"/>
          <tpl hier="12" item="5"/>
          <tpl fld="1" item="0"/>
        </tpls>
      </n>
      <n v="404786741248">
        <tpls c="8">
          <tpl hier="2" item="0"/>
          <tpl hier="4" item="1"/>
          <tpl fld="2" item="34"/>
          <tpl fld="4" item="99"/>
          <tpl hier="9" item="4"/>
          <tpl hier="11" item="6"/>
          <tpl hier="12" item="5"/>
          <tpl fld="1" item="0"/>
        </tpls>
      </n>
      <n v="90852810752">
        <tpls c="8">
          <tpl hier="2" item="0"/>
          <tpl hier="4" item="1"/>
          <tpl fld="2" item="18"/>
          <tpl fld="4" item="99"/>
          <tpl hier="9" item="4"/>
          <tpl hier="11" item="6"/>
          <tpl hier="12" item="5"/>
          <tpl fld="1" item="0"/>
        </tpls>
      </n>
      <n v="20431095808">
        <tpls c="8">
          <tpl hier="2" item="0"/>
          <tpl hier="4" item="1"/>
          <tpl fld="2" item="2"/>
          <tpl fld="4" item="99"/>
          <tpl hier="9" item="4"/>
          <tpl hier="11" item="6"/>
          <tpl hier="12" item="5"/>
          <tpl fld="1" item="0"/>
        </tpls>
      </n>
      <n v="38908067840">
        <tpls c="8">
          <tpl hier="2" item="0"/>
          <tpl hier="4" item="1"/>
          <tpl fld="2" item="37"/>
          <tpl fld="4" item="98"/>
          <tpl hier="9" item="4"/>
          <tpl hier="11" item="6"/>
          <tpl hier="12" item="5"/>
          <tpl fld="1" item="0"/>
        </tpls>
      </n>
      <n v="13074782208">
        <tpls c="8">
          <tpl hier="2" item="0"/>
          <tpl hier="4" item="1"/>
          <tpl fld="2" item="21"/>
          <tpl fld="4" item="98"/>
          <tpl hier="9" item="4"/>
          <tpl hier="11" item="6"/>
          <tpl hier="12" item="5"/>
          <tpl fld="1" item="0"/>
        </tpls>
      </n>
      <n v="4328610304">
        <tpls c="8">
          <tpl hier="2" item="0"/>
          <tpl hier="4" item="1"/>
          <tpl fld="2" item="5"/>
          <tpl fld="4" item="98"/>
          <tpl hier="9" item="4"/>
          <tpl hier="11" item="6"/>
          <tpl hier="12" item="5"/>
          <tpl fld="1" item="0"/>
        </tpls>
      </n>
      <n v="22157948928">
        <tpls c="8">
          <tpl hier="2" item="0"/>
          <tpl hier="4" item="1"/>
          <tpl fld="2" item="40"/>
          <tpl fld="4" item="97"/>
          <tpl hier="9" item="4"/>
          <tpl hier="11" item="6"/>
          <tpl hier="12" item="5"/>
          <tpl fld="1" item="0"/>
        </tpls>
      </n>
      <n v="4947205632">
        <tpls c="8">
          <tpl hier="2" item="0"/>
          <tpl hier="4" item="1"/>
          <tpl fld="2" item="24"/>
          <tpl fld="4" item="97"/>
          <tpl hier="9" item="4"/>
          <tpl hier="11" item="6"/>
          <tpl hier="12" item="5"/>
          <tpl fld="1" item="0"/>
        </tpls>
      </n>
      <n v="3562333440">
        <tpls c="8">
          <tpl hier="2" item="0"/>
          <tpl hier="4" item="1"/>
          <tpl fld="2" item="8"/>
          <tpl fld="4" item="97"/>
          <tpl hier="9" item="4"/>
          <tpl hier="11" item="6"/>
          <tpl hier="12" item="5"/>
          <tpl fld="1" item="0"/>
        </tpls>
      </n>
      <n v="4321655808">
        <tpls c="8">
          <tpl hier="2" item="0"/>
          <tpl hier="4" item="1"/>
          <tpl fld="2" item="43"/>
          <tpl fld="4" item="96"/>
          <tpl hier="9" item="4"/>
          <tpl hier="11" item="6"/>
          <tpl hier="12" item="5"/>
          <tpl fld="1" item="0"/>
        </tpls>
      </n>
      <n v="1498950912">
        <tpls c="8">
          <tpl hier="2" item="0"/>
          <tpl hier="4" item="1"/>
          <tpl fld="2" item="27"/>
          <tpl fld="4" item="96"/>
          <tpl hier="9" item="4"/>
          <tpl hier="11" item="6"/>
          <tpl hier="12" item="5"/>
          <tpl fld="1" item="0"/>
        </tpls>
      </n>
      <n v="962347008">
        <tpls c="8">
          <tpl hier="2" item="0"/>
          <tpl hier="4" item="1"/>
          <tpl fld="2" item="11"/>
          <tpl fld="4" item="96"/>
          <tpl hier="9" item="4"/>
          <tpl hier="11" item="6"/>
          <tpl hier="12" item="5"/>
          <tpl fld="1" item="0"/>
        </tpls>
      </n>
      <n v="413430120448">
        <tpls c="8">
          <tpl hier="2" item="0"/>
          <tpl hier="4" item="1"/>
          <tpl fld="2" item="46"/>
          <tpl fld="4" item="95"/>
          <tpl hier="9" item="4"/>
          <tpl hier="11" item="6"/>
          <tpl hier="12" item="5"/>
          <tpl fld="1" item="0"/>
        </tpls>
      </n>
      <n v="126392229888">
        <tpls c="8">
          <tpl hier="2" item="0"/>
          <tpl hier="4" item="1"/>
          <tpl fld="2" item="30"/>
          <tpl fld="4" item="95"/>
          <tpl hier="9" item="4"/>
          <tpl hier="11" item="6"/>
          <tpl hier="12" item="5"/>
          <tpl fld="1" item="0"/>
        </tpls>
      </n>
      <n v="41797591040">
        <tpls c="8">
          <tpl hier="2" item="0"/>
          <tpl hier="4" item="1"/>
          <tpl fld="2" item="14"/>
          <tpl fld="4" item="95"/>
          <tpl hier="9" item="4"/>
          <tpl hier="11" item="6"/>
          <tpl hier="12" item="5"/>
          <tpl fld="1" item="0"/>
        </tpls>
      </n>
      <n v="4405405696">
        <tpls c="8">
          <tpl hier="2" item="0"/>
          <tpl hier="4" item="1"/>
          <tpl fld="2" item="49"/>
          <tpl fld="4" item="94"/>
          <tpl hier="9" item="4"/>
          <tpl hier="11" item="6"/>
          <tpl hier="12" item="5"/>
          <tpl fld="1" item="0"/>
        </tpls>
      </n>
      <n v="2197612800">
        <tpls c="8">
          <tpl hier="2" item="0"/>
          <tpl hier="4" item="1"/>
          <tpl fld="2" item="33"/>
          <tpl fld="4" item="94"/>
          <tpl hier="9" item="4"/>
          <tpl hier="11" item="6"/>
          <tpl hier="12" item="5"/>
          <tpl fld="1" item="0"/>
        </tpls>
      </n>
      <n v="584135552">
        <tpls c="8">
          <tpl hier="2" item="0"/>
          <tpl hier="4" item="1"/>
          <tpl fld="2" item="17"/>
          <tpl fld="4" item="94"/>
          <tpl hier="9" item="4"/>
          <tpl hier="11" item="6"/>
          <tpl hier="12" item="5"/>
          <tpl fld="1" item="0"/>
        </tpls>
      </n>
      <n v="136465328">
        <tpls c="8">
          <tpl hier="2" item="0"/>
          <tpl hier="4" item="1"/>
          <tpl fld="2" item="1"/>
          <tpl fld="4" item="94"/>
          <tpl hier="9" item="4"/>
          <tpl hier="11" item="6"/>
          <tpl hier="12" item="5"/>
          <tpl fld="1" item="0"/>
        </tpls>
      </n>
      <n v="2626380544">
        <tpls c="8">
          <tpl hier="2" item="0"/>
          <tpl hier="4" item="1"/>
          <tpl fld="2" item="36"/>
          <tpl fld="4" item="93"/>
          <tpl hier="9" item="4"/>
          <tpl hier="11" item="6"/>
          <tpl hier="12" item="5"/>
          <tpl fld="1" item="0"/>
        </tpls>
      </n>
      <n v="388400000">
        <tpls c="8">
          <tpl hier="2" item="0"/>
          <tpl hier="4" item="1"/>
          <tpl fld="2" item="20"/>
          <tpl fld="4" item="93"/>
          <tpl hier="9" item="4"/>
          <tpl hier="11" item="6"/>
          <tpl hier="12" item="5"/>
          <tpl fld="1" item="0"/>
        </tpls>
      </n>
      <n v="409849984">
        <tpls c="8">
          <tpl hier="2" item="0"/>
          <tpl hier="4" item="1"/>
          <tpl fld="2" item="4"/>
          <tpl fld="4" item="93"/>
          <tpl hier="9" item="4"/>
          <tpl hier="11" item="6"/>
          <tpl hier="12" item="5"/>
          <tpl fld="1" item="0"/>
        </tpls>
      </n>
      <n v="49957203968">
        <tpls c="8">
          <tpl hier="2" item="0"/>
          <tpl hier="4" item="1"/>
          <tpl fld="2" item="39"/>
          <tpl fld="4" item="92"/>
          <tpl hier="9" item="4"/>
          <tpl hier="11" item="6"/>
          <tpl hier="12" item="5"/>
          <tpl fld="1" item="0"/>
        </tpls>
      </n>
      <n v="8881785856">
        <tpls c="8">
          <tpl hier="2" item="0"/>
          <tpl hier="4" item="1"/>
          <tpl fld="2" item="23"/>
          <tpl fld="4" item="92"/>
          <tpl hier="9" item="4"/>
          <tpl hier="11" item="6"/>
          <tpl hier="12" item="5"/>
          <tpl fld="1" item="0"/>
        </tpls>
      </n>
      <n v="8704000000">
        <tpls c="8">
          <tpl hier="2" item="0"/>
          <tpl hier="4" item="1"/>
          <tpl fld="2" item="7"/>
          <tpl fld="4" item="92"/>
          <tpl hier="9" item="4"/>
          <tpl hier="11" item="6"/>
          <tpl hier="12" item="5"/>
          <tpl fld="1" item="0"/>
        </tpls>
      </n>
      <n v="68434407424">
        <tpls c="8">
          <tpl hier="2" item="0"/>
          <tpl hier="4" item="1"/>
          <tpl fld="2" item="42"/>
          <tpl fld="4" item="91"/>
          <tpl hier="9" item="4"/>
          <tpl hier="11" item="6"/>
          <tpl hier="12" item="5"/>
          <tpl fld="1" item="0"/>
        </tpls>
      </n>
      <n v="13897738240">
        <tpls c="8">
          <tpl hier="2" item="0"/>
          <tpl hier="4" item="1"/>
          <tpl fld="2" item="26"/>
          <tpl fld="4" item="91"/>
          <tpl hier="9" item="4"/>
          <tpl hier="11" item="6"/>
          <tpl hier="12" item="5"/>
          <tpl fld="1" item="0"/>
        </tpls>
      </n>
      <n v="4024621824">
        <tpls c="8">
          <tpl hier="2" item="0"/>
          <tpl hier="4" item="1"/>
          <tpl fld="2" item="10"/>
          <tpl fld="4" item="91"/>
          <tpl hier="9" item="4"/>
          <tpl hier="11" item="6"/>
          <tpl hier="12" item="5"/>
          <tpl fld="1" item="0"/>
        </tpls>
      </n>
      <n v="317620518912">
        <tpls c="8">
          <tpl hier="2" item="0"/>
          <tpl hier="4" item="1"/>
          <tpl fld="2" item="45"/>
          <tpl fld="4" item="90"/>
          <tpl hier="9" item="4"/>
          <tpl hier="11" item="6"/>
          <tpl hier="12" item="5"/>
          <tpl fld="1" item="0"/>
        </tpls>
      </n>
      <n v="136632320000">
        <tpls c="8">
          <tpl hier="2" item="0"/>
          <tpl hier="4" item="1"/>
          <tpl fld="2" item="29"/>
          <tpl fld="4" item="90"/>
          <tpl hier="9" item="4"/>
          <tpl hier="11" item="6"/>
          <tpl hier="12" item="5"/>
          <tpl fld="1" item="0"/>
        </tpls>
      </n>
      <n v="87415848960">
        <tpls c="8">
          <tpl hier="2" item="0"/>
          <tpl hier="4" item="1"/>
          <tpl fld="2" item="13"/>
          <tpl fld="4" item="90"/>
          <tpl hier="9" item="4"/>
          <tpl hier="11" item="6"/>
          <tpl hier="12" item="5"/>
          <tpl fld="1" item="0"/>
        </tpls>
      </n>
      <n v="4085114880">
        <tpls c="8">
          <tpl hier="2" item="0"/>
          <tpl hier="4" item="1"/>
          <tpl fld="2" item="48"/>
          <tpl fld="4" item="89"/>
          <tpl hier="9" item="4"/>
          <tpl hier="11" item="6"/>
          <tpl hier="12" item="5"/>
          <tpl fld="1" item="0"/>
        </tpls>
      </n>
      <n v="1253340544">
        <tpls c="8">
          <tpl hier="2" item="0"/>
          <tpl hier="4" item="1"/>
          <tpl fld="2" item="32"/>
          <tpl fld="4" item="89"/>
          <tpl hier="9" item="4"/>
          <tpl hier="11" item="6"/>
          <tpl hier="12" item="5"/>
          <tpl fld="1" item="0"/>
        </tpls>
      </n>
      <n v="490181472">
        <tpls c="8">
          <tpl hier="2" item="0"/>
          <tpl hier="4" item="1"/>
          <tpl fld="2" item="16"/>
          <tpl fld="4" item="89"/>
          <tpl hier="9" item="4"/>
          <tpl hier="11" item="6"/>
          <tpl hier="12" item="5"/>
          <tpl fld="1" item="0"/>
        </tpls>
      </n>
      <n v="434410368">
        <tpls c="8">
          <tpl hier="2" item="0"/>
          <tpl hier="4" item="1"/>
          <tpl fld="2" item="0"/>
          <tpl fld="4" item="89"/>
          <tpl hier="9" item="4"/>
          <tpl hier="11" item="6"/>
          <tpl hier="12" item="5"/>
          <tpl fld="1" item="0"/>
        </tpls>
      </n>
      <n v="919103232">
        <tpls c="8">
          <tpl hier="2" item="0"/>
          <tpl hier="4" item="1"/>
          <tpl fld="2" item="35"/>
          <tpl fld="4" item="88"/>
          <tpl hier="9" item="4"/>
          <tpl hier="11" item="6"/>
          <tpl hier="12" item="5"/>
          <tpl fld="1" item="0"/>
        </tpls>
      </n>
      <n v="304832864">
        <tpls c="8">
          <tpl hier="2" item="0"/>
          <tpl hier="4" item="1"/>
          <tpl fld="2" item="19"/>
          <tpl fld="4" item="88"/>
          <tpl hier="9" item="4"/>
          <tpl hier="11" item="6"/>
          <tpl hier="12" item="5"/>
          <tpl fld="1" item="0"/>
        </tpls>
      </n>
      <n v="36896280">
        <tpls c="8">
          <tpl hier="2" item="0"/>
          <tpl hier="4" item="1"/>
          <tpl fld="2" item="3"/>
          <tpl fld="4" item="88"/>
          <tpl hier="9" item="4"/>
          <tpl hier="11" item="6"/>
          <tpl hier="12" item="5"/>
          <tpl fld="1" item="0"/>
        </tpls>
      </n>
      <n v="16949789696">
        <tpls c="8">
          <tpl hier="2" item="0"/>
          <tpl hier="4" item="1"/>
          <tpl fld="2" item="38"/>
          <tpl fld="4" item="87"/>
          <tpl hier="9" item="4"/>
          <tpl hier="11" item="6"/>
          <tpl hier="12" item="5"/>
          <tpl fld="1" item="0"/>
        </tpls>
      </n>
      <n v="7602005504">
        <tpls c="8">
          <tpl hier="2" item="0"/>
          <tpl hier="4" item="1"/>
          <tpl fld="2" item="22"/>
          <tpl fld="4" item="87"/>
          <tpl hier="9" item="4"/>
          <tpl hier="11" item="6"/>
          <tpl hier="12" item="5"/>
          <tpl fld="1" item="0"/>
        </tpls>
      </n>
      <n v="2869777920">
        <tpls c="8">
          <tpl hier="2" item="0"/>
          <tpl hier="4" item="1"/>
          <tpl fld="2" item="6"/>
          <tpl fld="4" item="87"/>
          <tpl hier="9" item="4"/>
          <tpl hier="11" item="6"/>
          <tpl hier="12" item="5"/>
          <tpl fld="1" item="0"/>
        </tpls>
      </n>
      <n v="671238848512">
        <tpls c="8">
          <tpl hier="2" item="0"/>
          <tpl hier="4" item="1"/>
          <tpl fld="2" item="41"/>
          <tpl fld="4" item="86"/>
          <tpl hier="9" item="4"/>
          <tpl hier="11" item="6"/>
          <tpl hier="12" item="5"/>
          <tpl fld="1" item="0"/>
        </tpls>
      </n>
      <n v="143343042560">
        <tpls c="8">
          <tpl hier="2" item="0"/>
          <tpl hier="4" item="1"/>
          <tpl fld="2" item="25"/>
          <tpl fld="4" item="86"/>
          <tpl hier="9" item="4"/>
          <tpl hier="11" item="6"/>
          <tpl hier="12" item="5"/>
          <tpl fld="1" item="0"/>
        </tpls>
      </n>
      <n v="111859679232">
        <tpls c="8">
          <tpl hier="2" item="0"/>
          <tpl hier="4" item="1"/>
          <tpl fld="2" item="9"/>
          <tpl fld="4" item="86"/>
          <tpl hier="9" item="4"/>
          <tpl hier="11" item="6"/>
          <tpl hier="12" item="5"/>
          <tpl fld="1" item="0"/>
        </tpls>
      </n>
      <n v="8279480832">
        <tpls c="8">
          <tpl hier="2" item="0"/>
          <tpl hier="4" item="1"/>
          <tpl fld="2" item="44"/>
          <tpl fld="4" item="85"/>
          <tpl hier="9" item="4"/>
          <tpl hier="11" item="6"/>
          <tpl hier="12" item="5"/>
          <tpl fld="1" item="0"/>
        </tpls>
      </n>
      <n v="1989343488">
        <tpls c="8">
          <tpl hier="2" item="0"/>
          <tpl hier="4" item="1"/>
          <tpl fld="2" item="28"/>
          <tpl fld="4" item="85"/>
          <tpl hier="9" item="4"/>
          <tpl hier="11" item="6"/>
          <tpl hier="12" item="5"/>
          <tpl fld="1" item="0"/>
        </tpls>
      </n>
      <n v="1407242624">
        <tpls c="8">
          <tpl hier="2" item="0"/>
          <tpl hier="4" item="1"/>
          <tpl fld="2" item="12"/>
          <tpl fld="4" item="85"/>
          <tpl hier="9" item="4"/>
          <tpl hier="11" item="6"/>
          <tpl hier="12" item="5"/>
          <tpl fld="1" item="0"/>
        </tpls>
      </n>
      <n v="103445504000">
        <tpls c="8">
          <tpl hier="2" item="0"/>
          <tpl hier="4" item="1"/>
          <tpl fld="2" item="47"/>
          <tpl fld="4" item="84"/>
          <tpl hier="9" item="4"/>
          <tpl hier="11" item="6"/>
          <tpl hier="12" item="5"/>
          <tpl fld="1" item="0"/>
        </tpls>
      </n>
      <n v="69208399872">
        <tpls c="8">
          <tpl hier="2" item="0"/>
          <tpl hier="4" item="1"/>
          <tpl fld="2" item="31"/>
          <tpl fld="4" item="84"/>
          <tpl hier="9" item="4"/>
          <tpl hier="11" item="6"/>
          <tpl hier="12" item="5"/>
          <tpl fld="1" item="0"/>
        </tpls>
      </n>
      <n v="20289200128">
        <tpls c="8">
          <tpl hier="2" item="0"/>
          <tpl hier="4" item="1"/>
          <tpl fld="2" item="15"/>
          <tpl fld="4" item="84"/>
          <tpl hier="9" item="4"/>
          <tpl hier="11" item="6"/>
          <tpl hier="12" item="5"/>
          <tpl fld="1" item="0"/>
        </tpls>
      </n>
      <n v="5287829860864">
        <tpls c="8">
          <tpl hier="2" item="0"/>
          <tpl hier="4" item="1"/>
          <tpl hier="5" item="3"/>
          <tpl fld="4" item="83"/>
          <tpl hier="9" item="4"/>
          <tpl hier="11" item="6"/>
          <tpl hier="12" item="5"/>
          <tpl fld="1" item="0"/>
        </tpls>
      </n>
      <n v="95001993216">
        <tpls c="8">
          <tpl hier="2" item="0"/>
          <tpl hier="4" item="1"/>
          <tpl fld="2" item="34"/>
          <tpl fld="4" item="83"/>
          <tpl hier="9" item="4"/>
          <tpl hier="11" item="6"/>
          <tpl hier="12" item="5"/>
          <tpl fld="1" item="0"/>
        </tpls>
      </n>
      <n v="37885440000">
        <tpls c="8">
          <tpl hier="2" item="0"/>
          <tpl hier="4" item="1"/>
          <tpl fld="2" item="18"/>
          <tpl fld="4" item="83"/>
          <tpl hier="9" item="4"/>
          <tpl hier="11" item="6"/>
          <tpl hier="12" item="5"/>
          <tpl fld="1" item="0"/>
        </tpls>
      </n>
      <n v="8017468928">
        <tpls c="8">
          <tpl hier="2" item="0"/>
          <tpl hier="4" item="1"/>
          <tpl fld="2" item="2"/>
          <tpl fld="4" item="83"/>
          <tpl hier="9" item="4"/>
          <tpl hier="11" item="6"/>
          <tpl hier="12" item="5"/>
          <tpl fld="1" item="0"/>
        </tpls>
      </n>
      <n v="102170984448">
        <tpls c="8">
          <tpl hier="2" item="0"/>
          <tpl hier="4" item="1"/>
          <tpl fld="2" item="37"/>
          <tpl fld="4" item="82"/>
          <tpl hier="9" item="4"/>
          <tpl hier="11" item="6"/>
          <tpl hier="12" item="5"/>
          <tpl fld="1" item="0"/>
        </tpls>
      </n>
      <n v="34341466112">
        <tpls c="8">
          <tpl hier="2" item="0"/>
          <tpl hier="4" item="1"/>
          <tpl fld="2" item="21"/>
          <tpl fld="4" item="82"/>
          <tpl hier="9" item="4"/>
          <tpl hier="11" item="6"/>
          <tpl hier="12" item="5"/>
          <tpl fld="1" item="0"/>
        </tpls>
      </n>
      <n v="16877163520">
        <tpls c="8">
          <tpl hier="2" item="0"/>
          <tpl hier="4" item="1"/>
          <tpl fld="2" item="5"/>
          <tpl fld="4" item="82"/>
          <tpl hier="9" item="4"/>
          <tpl hier="11" item="6"/>
          <tpl hier="12" item="5"/>
          <tpl fld="1" item="0"/>
        </tpls>
      </n>
      <n v="27215968256">
        <tpls c="8">
          <tpl hier="2" item="0"/>
          <tpl hier="4" item="1"/>
          <tpl fld="2" item="40"/>
          <tpl fld="4" item="81"/>
          <tpl hier="9" item="4"/>
          <tpl hier="11" item="6"/>
          <tpl hier="12" item="5"/>
          <tpl fld="1" item="0"/>
        </tpls>
      </n>
      <n v="7870982144">
        <tpls c="8">
          <tpl hier="2" item="0"/>
          <tpl hier="4" item="1"/>
          <tpl fld="2" item="24"/>
          <tpl fld="4" item="81"/>
          <tpl hier="9" item="4"/>
          <tpl hier="11" item="6"/>
          <tpl hier="12" item="5"/>
          <tpl fld="1" item="0"/>
        </tpls>
      </n>
      <n v="2559857152">
        <tpls c="8">
          <tpl hier="2" item="0"/>
          <tpl hier="4" item="1"/>
          <tpl fld="2" item="8"/>
          <tpl fld="4" item="81"/>
          <tpl hier="9" item="4"/>
          <tpl hier="11" item="6"/>
          <tpl hier="12" item="5"/>
          <tpl fld="1" item="0"/>
        </tpls>
      </n>
      <n v="21261432832">
        <tpls c="8">
          <tpl hier="2" item="0"/>
          <tpl hier="4" item="1"/>
          <tpl fld="2" item="43"/>
          <tpl fld="4" item="80"/>
          <tpl hier="9" item="4"/>
          <tpl hier="11" item="6"/>
          <tpl hier="12" item="5"/>
          <tpl fld="1" item="0"/>
        </tpls>
      </n>
      <n v="4936615424">
        <tpls c="8">
          <tpl hier="2" item="0"/>
          <tpl hier="4" item="1"/>
          <tpl fld="2" item="27"/>
          <tpl fld="4" item="80"/>
          <tpl hier="9" item="4"/>
          <tpl hier="11" item="6"/>
          <tpl hier="12" item="5"/>
          <tpl fld="1" item="0"/>
        </tpls>
      </n>
      <n v="2498068224">
        <tpls c="8">
          <tpl hier="2" item="0"/>
          <tpl hier="4" item="1"/>
          <tpl fld="2" item="11"/>
          <tpl fld="4" item="80"/>
          <tpl hier="9" item="4"/>
          <tpl hier="11" item="6"/>
          <tpl hier="12" item="5"/>
          <tpl fld="1" item="0"/>
        </tpls>
      </n>
      <n v="57907699712">
        <tpls c="8">
          <tpl hier="2" item="0"/>
          <tpl hier="4" item="1"/>
          <tpl fld="2" item="46"/>
          <tpl fld="4" item="79"/>
          <tpl hier="9" item="4"/>
          <tpl hier="11" item="6"/>
          <tpl hier="12" item="5"/>
          <tpl fld="1" item="0"/>
        </tpls>
      </n>
      <n v="12304114688">
        <tpls c="8">
          <tpl hier="2" item="0"/>
          <tpl hier="4" item="1"/>
          <tpl fld="2" item="30"/>
          <tpl fld="4" item="79"/>
          <tpl hier="9" item="4"/>
          <tpl hier="11" item="6"/>
          <tpl hier="12" item="5"/>
          <tpl fld="1" item="0"/>
        </tpls>
      </n>
      <n v="6183387136">
        <tpls c="8">
          <tpl hier="2" item="0"/>
          <tpl hier="4" item="1"/>
          <tpl fld="2" item="14"/>
          <tpl fld="4" item="79"/>
          <tpl hier="9" item="4"/>
          <tpl hier="11" item="6"/>
          <tpl hier="12" item="5"/>
          <tpl fld="1" item="0"/>
        </tpls>
      </n>
      <n v="278221914112">
        <tpls c="8">
          <tpl hier="2" item="0"/>
          <tpl hier="4" item="1"/>
          <tpl fld="2" item="49"/>
          <tpl fld="4" item="78"/>
          <tpl hier="9" item="4"/>
          <tpl hier="11" item="6"/>
          <tpl hier="12" item="5"/>
          <tpl fld="1" item="0"/>
        </tpls>
      </n>
      <n v="91760541696">
        <tpls c="8">
          <tpl hier="2" item="0"/>
          <tpl hier="4" item="1"/>
          <tpl fld="2" item="33"/>
          <tpl fld="4" item="78"/>
          <tpl hier="9" item="4"/>
          <tpl hier="11" item="6"/>
          <tpl hier="12" item="5"/>
          <tpl fld="1" item="0"/>
        </tpls>
      </n>
      <n v="33351528448">
        <tpls c="8">
          <tpl hier="2" item="0"/>
          <tpl hier="4" item="1"/>
          <tpl fld="2" item="17"/>
          <tpl fld="4" item="78"/>
          <tpl hier="9" item="4"/>
          <tpl hier="11" item="6"/>
          <tpl hier="12" item="5"/>
          <tpl fld="1" item="0"/>
        </tpls>
      </n>
      <n v="10665896960">
        <tpls c="8">
          <tpl hier="2" item="0"/>
          <tpl hier="4" item="1"/>
          <tpl fld="2" item="1"/>
          <tpl fld="4" item="78"/>
          <tpl hier="9" item="4"/>
          <tpl hier="11" item="6"/>
          <tpl hier="12" item="5"/>
          <tpl fld="1" item="0"/>
        </tpls>
      </n>
      <n v="37215862784">
        <tpls c="8">
          <tpl hier="2" item="0"/>
          <tpl hier="4" item="1"/>
          <tpl fld="2" item="36"/>
          <tpl fld="4" item="77"/>
          <tpl hier="9" item="4"/>
          <tpl hier="11" item="6"/>
          <tpl hier="12" item="5"/>
          <tpl fld="1" item="0"/>
        </tpls>
      </n>
      <n v="11685045248">
        <tpls c="8">
          <tpl hier="2" item="0"/>
          <tpl hier="4" item="1"/>
          <tpl fld="2" item="20"/>
          <tpl fld="4" item="77"/>
          <tpl hier="9" item="4"/>
          <tpl hier="11" item="6"/>
          <tpl hier="12" item="5"/>
          <tpl fld="1" item="0"/>
        </tpls>
      </n>
      <n v="1645917824">
        <tpls c="8">
          <tpl hier="2" item="0"/>
          <tpl hier="4" item="1"/>
          <tpl fld="2" item="4"/>
          <tpl fld="4" item="77"/>
          <tpl hier="9" item="4"/>
          <tpl hier="11" item="6"/>
          <tpl hier="12" item="5"/>
          <tpl fld="1" item="0"/>
        </tpls>
      </n>
      <n v="291880206336">
        <tpls c="8">
          <tpl hier="2" item="0"/>
          <tpl hier="4" item="1"/>
          <tpl fld="2" item="39"/>
          <tpl fld="4" item="76"/>
          <tpl hier="9" item="4"/>
          <tpl hier="11" item="6"/>
          <tpl hier="12" item="5"/>
          <tpl fld="1" item="0"/>
        </tpls>
      </n>
      <n v="27752204288">
        <tpls c="8">
          <tpl hier="2" item="0"/>
          <tpl hier="4" item="1"/>
          <tpl fld="2" item="23"/>
          <tpl fld="4" item="76"/>
          <tpl hier="9" item="4"/>
          <tpl hier="11" item="6"/>
          <tpl hier="12" item="5"/>
          <tpl fld="1" item="0"/>
        </tpls>
      </n>
      <n v="36035407872">
        <tpls c="8">
          <tpl hier="2" item="0"/>
          <tpl hier="4" item="1"/>
          <tpl fld="2" item="7"/>
          <tpl fld="4" item="76"/>
          <tpl hier="9" item="4"/>
          <tpl hier="11" item="6"/>
          <tpl hier="12" item="5"/>
          <tpl fld="1" item="0"/>
        </tpls>
      </n>
      <n v="9366515712">
        <tpls c="8">
          <tpl hier="2" item="0"/>
          <tpl hier="4" item="1"/>
          <tpl fld="2" item="42"/>
          <tpl fld="4" item="75"/>
          <tpl hier="9" item="4"/>
          <tpl hier="11" item="6"/>
          <tpl hier="12" item="5"/>
          <tpl fld="1" item="0"/>
        </tpls>
      </n>
      <n v="2417146624">
        <tpls c="8">
          <tpl hier="2" item="0"/>
          <tpl hier="4" item="1"/>
          <tpl fld="2" item="26"/>
          <tpl fld="4" item="75"/>
          <tpl hier="9" item="4"/>
          <tpl hier="11" item="6"/>
          <tpl hier="12" item="5"/>
          <tpl fld="1" item="0"/>
        </tpls>
      </n>
      <n v="2508524288">
        <tpls c="8">
          <tpl hier="2" item="0"/>
          <tpl hier="4" item="1"/>
          <tpl fld="2" item="10"/>
          <tpl fld="4" item="75"/>
          <tpl hier="9" item="4"/>
          <tpl hier="11" item="6"/>
          <tpl hier="12" item="5"/>
          <tpl fld="1" item="0"/>
        </tpls>
      </n>
      <n v="12756706304">
        <tpls c="8">
          <tpl hier="2" item="0"/>
          <tpl hier="4" item="1"/>
          <tpl fld="2" item="45"/>
          <tpl fld="4" item="74"/>
          <tpl hier="9" item="4"/>
          <tpl hier="11" item="6"/>
          <tpl hier="12" item="5"/>
          <tpl fld="1" item="0"/>
        </tpls>
      </n>
      <n v="4855717888">
        <tpls c="8">
          <tpl hier="2" item="0"/>
          <tpl hier="4" item="1"/>
          <tpl fld="2" item="29"/>
          <tpl fld="4" item="74"/>
          <tpl hier="9" item="4"/>
          <tpl hier="11" item="6"/>
          <tpl hier="12" item="5"/>
          <tpl fld="1" item="0"/>
        </tpls>
      </n>
      <n v="2743341824">
        <tpls c="8">
          <tpl hier="2" item="0"/>
          <tpl hier="4" item="1"/>
          <tpl fld="2" item="13"/>
          <tpl fld="4" item="74"/>
          <tpl hier="9" item="4"/>
          <tpl hier="11" item="6"/>
          <tpl hier="12" item="5"/>
          <tpl fld="1" item="0"/>
        </tpls>
      </n>
      <n v="29173514240">
        <tpls c="8">
          <tpl hier="2" item="0"/>
          <tpl hier="4" item="1"/>
          <tpl fld="2" item="48"/>
          <tpl fld="4" item="73"/>
          <tpl hier="9" item="4"/>
          <tpl hier="11" item="6"/>
          <tpl hier="12" item="5"/>
          <tpl fld="1" item="0"/>
        </tpls>
      </n>
      <n v="6050875904">
        <tpls c="8">
          <tpl hier="2" item="0"/>
          <tpl hier="4" item="1"/>
          <tpl fld="2" item="32"/>
          <tpl fld="4" item="73"/>
          <tpl hier="9" item="4"/>
          <tpl hier="11" item="6"/>
          <tpl hier="12" item="5"/>
          <tpl fld="1" item="0"/>
        </tpls>
      </n>
      <n v="2850784512">
        <tpls c="8">
          <tpl hier="2" item="0"/>
          <tpl hier="4" item="1"/>
          <tpl fld="2" item="16"/>
          <tpl fld="4" item="73"/>
          <tpl hier="9" item="4"/>
          <tpl hier="11" item="6"/>
          <tpl hier="12" item="5"/>
          <tpl fld="1" item="0"/>
        </tpls>
      </n>
      <n v="865975296">
        <tpls c="8">
          <tpl hier="2" item="0"/>
          <tpl hier="4" item="1"/>
          <tpl fld="2" item="0"/>
          <tpl fld="4" item="73"/>
          <tpl hier="9" item="4"/>
          <tpl hier="11" item="6"/>
          <tpl hier="12" item="5"/>
          <tpl fld="1" item="0"/>
        </tpls>
      </n>
      <n v="62343024640">
        <tpls c="8">
          <tpl hier="2" item="0"/>
          <tpl hier="4" item="1"/>
          <tpl fld="2" item="35"/>
          <tpl fld="4" item="72"/>
          <tpl hier="9" item="4"/>
          <tpl hier="11" item="6"/>
          <tpl hier="12" item="5"/>
          <tpl fld="1" item="0"/>
        </tpls>
      </n>
      <n v="26314219520">
        <tpls c="8">
          <tpl hier="2" item="0"/>
          <tpl hier="4" item="1"/>
          <tpl fld="2" item="19"/>
          <tpl fld="4" item="72"/>
          <tpl hier="9" item="4"/>
          <tpl hier="11" item="6"/>
          <tpl hier="12" item="5"/>
          <tpl fld="1" item="0"/>
        </tpls>
      </n>
      <n v="6242178048">
        <tpls c="8">
          <tpl hier="2" item="0"/>
          <tpl hier="4" item="1"/>
          <tpl fld="2" item="3"/>
          <tpl fld="4" item="72"/>
          <tpl hier="9" item="4"/>
          <tpl hier="11" item="6"/>
          <tpl hier="12" item="5"/>
          <tpl fld="1" item="0"/>
        </tpls>
      </n>
      <n v="1109988999168">
        <tpls c="8">
          <tpl hier="2" item="0"/>
          <tpl hier="4" item="1"/>
          <tpl fld="2" item="38"/>
          <tpl fld="4" item="71"/>
          <tpl hier="9" item="4"/>
          <tpl hier="11" item="6"/>
          <tpl hier="12" item="5"/>
          <tpl fld="1" item="0"/>
        </tpls>
      </n>
      <n v="363157585920">
        <tpls c="8">
          <tpl hier="2" item="0"/>
          <tpl hier="4" item="1"/>
          <tpl fld="2" item="22"/>
          <tpl fld="4" item="71"/>
          <tpl hier="9" item="4"/>
          <tpl hier="11" item="6"/>
          <tpl hier="12" item="5"/>
          <tpl fld="1" item="0"/>
        </tpls>
      </n>
      <n v="89025970176">
        <tpls c="8">
          <tpl hier="2" item="0"/>
          <tpl hier="4" item="1"/>
          <tpl fld="2" item="6"/>
          <tpl fld="4" item="71"/>
          <tpl hier="9" item="4"/>
          <tpl hier="11" item="6"/>
          <tpl hier="12" item="5"/>
          <tpl fld="1" item="0"/>
        </tpls>
      </n>
      <n v="6764635648">
        <tpls c="8">
          <tpl hier="2" item="0"/>
          <tpl hier="4" item="1"/>
          <tpl fld="2" item="41"/>
          <tpl fld="4" item="70"/>
          <tpl hier="9" item="4"/>
          <tpl hier="11" item="6"/>
          <tpl hier="12" item="5"/>
          <tpl fld="1" item="0"/>
        </tpls>
      </n>
      <n v="2091731456">
        <tpls c="8">
          <tpl hier="2" item="0"/>
          <tpl hier="4" item="1"/>
          <tpl fld="2" item="25"/>
          <tpl fld="4" item="70"/>
          <tpl hier="9" item="4"/>
          <tpl hier="11" item="6"/>
          <tpl hier="12" item="5"/>
          <tpl fld="1" item="0"/>
        </tpls>
      </n>
      <n v="951900928">
        <tpls c="8">
          <tpl hier="2" item="0"/>
          <tpl hier="4" item="1"/>
          <tpl fld="2" item="9"/>
          <tpl fld="4" item="70"/>
          <tpl hier="9" item="4"/>
          <tpl hier="11" item="6"/>
          <tpl hier="12" item="5"/>
          <tpl fld="1" item="0"/>
        </tpls>
      </n>
      <n v="14365345792">
        <tpls c="8">
          <tpl hier="2" item="0"/>
          <tpl hier="4" item="1"/>
          <tpl fld="2" item="44"/>
          <tpl fld="4" item="69"/>
          <tpl hier="9" item="4"/>
          <tpl hier="11" item="6"/>
          <tpl hier="12" item="5"/>
          <tpl fld="1" item="0"/>
        </tpls>
      </n>
      <n v="2920358656">
        <tpls c="8">
          <tpl hier="2" item="0"/>
          <tpl hier="4" item="1"/>
          <tpl fld="2" item="28"/>
          <tpl fld="4" item="69"/>
          <tpl hier="9" item="4"/>
          <tpl hier="11" item="6"/>
          <tpl hier="12" item="5"/>
          <tpl fld="1" item="0"/>
        </tpls>
      </n>
      <n v="1333753984">
        <tpls c="8">
          <tpl hier="2" item="0"/>
          <tpl hier="4" item="1"/>
          <tpl fld="2" item="12"/>
          <tpl fld="4" item="69"/>
          <tpl hier="9" item="4"/>
          <tpl hier="11" item="6"/>
          <tpl hier="12" item="5"/>
          <tpl fld="1" item="0"/>
        </tpls>
      </n>
      <n v="318958239744">
        <tpls c="8">
          <tpl hier="2" item="0"/>
          <tpl hier="4" item="1"/>
          <tpl fld="2" item="47"/>
          <tpl fld="4" item="68"/>
          <tpl hier="9" item="4"/>
          <tpl hier="11" item="6"/>
          <tpl hier="12" item="5"/>
          <tpl fld="1" item="0"/>
        </tpls>
      </n>
      <n v="92783943680">
        <tpls c="8">
          <tpl hier="2" item="0"/>
          <tpl hier="4" item="1"/>
          <tpl fld="2" item="31"/>
          <tpl fld="4" item="68"/>
          <tpl hier="9" item="4"/>
          <tpl hier="11" item="6"/>
          <tpl hier="12" item="5"/>
          <tpl fld="1" item="0"/>
        </tpls>
      </n>
      <n v="31200161792">
        <tpls c="8">
          <tpl hier="2" item="0"/>
          <tpl hier="4" item="1"/>
          <tpl fld="2" item="15"/>
          <tpl fld="4" item="68"/>
          <tpl hier="9" item="4"/>
          <tpl hier="11" item="6"/>
          <tpl hier="12" item="5"/>
          <tpl fld="1" item="0"/>
        </tpls>
      </n>
      <n v="140203486688">
        <tpls c="8">
          <tpl hier="2" item="0"/>
          <tpl hier="4" item="1"/>
          <tpl hier="5" item="3"/>
          <tpl fld="4" item="67"/>
          <tpl hier="9" item="4"/>
          <tpl hier="11" item="6"/>
          <tpl hier="12" item="5"/>
          <tpl fld="1" item="0"/>
        </tpls>
      </n>
      <n v="3476094464">
        <tpls c="8">
          <tpl hier="2" item="0"/>
          <tpl hier="4" item="1"/>
          <tpl fld="2" item="34"/>
          <tpl fld="4" item="67"/>
          <tpl hier="9" item="4"/>
          <tpl hier="11" item="6"/>
          <tpl hier="12" item="5"/>
          <tpl fld="1" item="0"/>
        </tpls>
      </n>
      <n v="1379924224">
        <tpls c="8">
          <tpl hier="2" item="0"/>
          <tpl hier="4" item="1"/>
          <tpl fld="2" item="18"/>
          <tpl fld="4" item="67"/>
          <tpl hier="9" item="4"/>
          <tpl hier="11" item="6"/>
          <tpl hier="12" item="5"/>
          <tpl fld="1" item="0"/>
        </tpls>
      </n>
      <n v="406062880">
        <tpls c="8">
          <tpl hier="2" item="0"/>
          <tpl hier="4" item="1"/>
          <tpl fld="2" item="2"/>
          <tpl fld="4" item="67"/>
          <tpl hier="9" item="4"/>
          <tpl hier="11" item="6"/>
          <tpl hier="12" item="5"/>
          <tpl fld="1" item="0"/>
        </tpls>
      </n>
      <n v="8524620800">
        <tpls c="8">
          <tpl hier="2" item="0"/>
          <tpl hier="4" item="1"/>
          <tpl fld="2" item="37"/>
          <tpl fld="4" item="66"/>
          <tpl hier="9" item="4"/>
          <tpl hier="11" item="6"/>
          <tpl hier="12" item="5"/>
          <tpl fld="1" item="0"/>
        </tpls>
      </n>
      <n v="3254713088">
        <tpls c="8">
          <tpl hier="2" item="0"/>
          <tpl hier="4" item="1"/>
          <tpl fld="2" item="21"/>
          <tpl fld="4" item="66"/>
          <tpl hier="9" item="4"/>
          <tpl hier="11" item="6"/>
          <tpl hier="12" item="5"/>
          <tpl fld="1" item="0"/>
        </tpls>
      </n>
      <n v="2283049216">
        <tpls c="8">
          <tpl hier="2" item="0"/>
          <tpl hier="4" item="1"/>
          <tpl fld="2" item="5"/>
          <tpl fld="4" item="66"/>
          <tpl hier="9" item="4"/>
          <tpl hier="11" item="6"/>
          <tpl hier="12" item="5"/>
          <tpl fld="1" item="0"/>
        </tpls>
      </n>
      <n v="2269525760">
        <tpls c="8">
          <tpl hier="2" item="0"/>
          <tpl hier="4" item="1"/>
          <tpl fld="2" item="40"/>
          <tpl fld="4" item="65"/>
          <tpl hier="9" item="4"/>
          <tpl hier="11" item="6"/>
          <tpl hier="12" item="5"/>
          <tpl fld="1" item="0"/>
        </tpls>
      </n>
      <n v="878250432">
        <tpls c="8">
          <tpl hier="2" item="0"/>
          <tpl hier="4" item="1"/>
          <tpl fld="2" item="24"/>
          <tpl fld="4" item="65"/>
          <tpl hier="9" item="4"/>
          <tpl hier="11" item="6"/>
          <tpl hier="12" item="5"/>
          <tpl fld="1" item="0"/>
        </tpls>
      </n>
      <n v="266559344">
        <tpls c="8">
          <tpl hier="2" item="0"/>
          <tpl hier="4" item="1"/>
          <tpl fld="2" item="8"/>
          <tpl fld="4" item="65"/>
          <tpl hier="9" item="4"/>
          <tpl hier="11" item="6"/>
          <tpl hier="12" item="5"/>
          <tpl fld="1" item="0"/>
        </tpls>
      </n>
      <n v="185113920">
        <tpls c="8">
          <tpl hier="2" item="0"/>
          <tpl hier="4" item="1"/>
          <tpl fld="2" item="43"/>
          <tpl fld="4" item="64"/>
          <tpl hier="9" item="4"/>
          <tpl hier="11" item="6"/>
          <tpl hier="12" item="5"/>
          <tpl fld="1" item="0"/>
        </tpls>
      </n>
      <n v="67537480">
        <tpls c="8">
          <tpl hier="2" item="0"/>
          <tpl hier="4" item="1"/>
          <tpl fld="2" item="27"/>
          <tpl fld="4" item="64"/>
          <tpl hier="9" item="4"/>
          <tpl hier="11" item="6"/>
          <tpl hier="12" item="5"/>
          <tpl fld="1" item="0"/>
        </tpls>
      </n>
      <n v="41369800">
        <tpls c="8">
          <tpl hier="2" item="0"/>
          <tpl hier="4" item="1"/>
          <tpl fld="2" item="11"/>
          <tpl fld="4" item="64"/>
          <tpl hier="9" item="4"/>
          <tpl hier="11" item="6"/>
          <tpl hier="12" item="5"/>
          <tpl fld="1" item="0"/>
        </tpls>
      </n>
      <n v="52038732761472">
        <tpls c="8">
          <tpl hier="2" item="0"/>
          <tpl hier="4" item="1"/>
          <tpl fld="2" item="37"/>
          <tpl hier="6" item="2"/>
          <tpl hier="9" item="4"/>
          <tpl hier="11" item="6"/>
          <tpl hier="12" item="5"/>
          <tpl fld="1" item="0"/>
        </tpls>
      </n>
      <n v="22155469687540">
        <tpls c="8">
          <tpl hier="2" item="0"/>
          <tpl hier="4" item="1"/>
          <tpl fld="2" item="21"/>
          <tpl hier="6" item="2"/>
          <tpl hier="9" item="4"/>
          <tpl hier="11" item="6"/>
          <tpl hier="12" item="5"/>
          <tpl fld="1" item="0"/>
        </tpls>
      </n>
      <n v="5429630191888">
        <tpls c="8">
          <tpl hier="2" item="0"/>
          <tpl hier="4" item="1"/>
          <tpl fld="2" item="5"/>
          <tpl hier="6" item="2"/>
          <tpl hier="9" item="4"/>
          <tpl hier="11" item="6"/>
          <tpl hier="12" item="5"/>
          <tpl fld="1" item="0"/>
        </tpls>
      </n>
      <n v="12041655296">
        <tpls c="8">
          <tpl hier="2" item="0"/>
          <tpl hier="4" item="1"/>
          <tpl fld="2" item="40"/>
          <tpl fld="4" item="102"/>
          <tpl hier="9" item="4"/>
          <tpl hier="11" item="6"/>
          <tpl hier="12" item="5"/>
          <tpl fld="1" item="0"/>
        </tpls>
      </n>
      <n v="6890675200">
        <tpls c="8">
          <tpl hier="2" item="0"/>
          <tpl hier="4" item="1"/>
          <tpl fld="2" item="24"/>
          <tpl fld="4" item="102"/>
          <tpl hier="9" item="4"/>
          <tpl hier="11" item="6"/>
          <tpl hier="12" item="5"/>
          <tpl fld="1" item="0"/>
        </tpls>
      </n>
      <n v="4351600640">
        <tpls c="8">
          <tpl hier="2" item="0"/>
          <tpl hier="4" item="1"/>
          <tpl fld="2" item="8"/>
          <tpl fld="4" item="102"/>
          <tpl hier="9" item="4"/>
          <tpl hier="11" item="6"/>
          <tpl hier="12" item="5"/>
          <tpl fld="1" item="0"/>
        </tpls>
      </n>
      <n v="28045512704">
        <tpls c="8">
          <tpl hier="2" item="0"/>
          <tpl hier="4" item="1"/>
          <tpl fld="2" item="43"/>
          <tpl fld="4" item="101"/>
          <tpl hier="9" item="4"/>
          <tpl hier="11" item="6"/>
          <tpl hier="12" item="5"/>
          <tpl fld="1" item="0"/>
        </tpls>
      </n>
      <n v="4303282176">
        <tpls c="8">
          <tpl hier="2" item="0"/>
          <tpl hier="4" item="1"/>
          <tpl fld="2" item="27"/>
          <tpl fld="4" item="101"/>
          <tpl hier="9" item="4"/>
          <tpl hier="11" item="6"/>
          <tpl hier="12" item="5"/>
          <tpl fld="1" item="0"/>
        </tpls>
      </n>
      <n v="3872666624">
        <tpls c="8">
          <tpl hier="2" item="0"/>
          <tpl hier="4" item="1"/>
          <tpl fld="2" item="11"/>
          <tpl fld="4" item="101"/>
          <tpl hier="9" item="4"/>
          <tpl hier="11" item="6"/>
          <tpl hier="12" item="5"/>
          <tpl fld="1" item="0"/>
        </tpls>
      </n>
      <n v="52687613952">
        <tpls c="8">
          <tpl hier="2" item="0"/>
          <tpl hier="4" item="1"/>
          <tpl fld="2" item="46"/>
          <tpl fld="4" item="100"/>
          <tpl hier="9" item="4"/>
          <tpl hier="11" item="6"/>
          <tpl hier="12" item="5"/>
          <tpl fld="1" item="0"/>
        </tpls>
      </n>
      <n v="22823256064">
        <tpls c="8">
          <tpl hier="2" item="0"/>
          <tpl hier="4" item="1"/>
          <tpl fld="2" item="30"/>
          <tpl fld="4" item="100"/>
          <tpl hier="9" item="4"/>
          <tpl hier="11" item="6"/>
          <tpl hier="12" item="5"/>
          <tpl fld="1" item="0"/>
        </tpls>
      </n>
      <n v="4850241536">
        <tpls c="8">
          <tpl hier="2" item="0"/>
          <tpl hier="4" item="1"/>
          <tpl fld="2" item="14"/>
          <tpl fld="4" item="100"/>
          <tpl hier="9" item="4"/>
          <tpl hier="11" item="6"/>
          <tpl hier="12" item="5"/>
          <tpl fld="1" item="0"/>
        </tpls>
      </n>
      <n v="754411700224">
        <tpls c="8">
          <tpl hier="2" item="0"/>
          <tpl hier="4" item="1"/>
          <tpl fld="2" item="49"/>
          <tpl fld="4" item="99"/>
          <tpl hier="9" item="4"/>
          <tpl hier="11" item="6"/>
          <tpl hier="12" item="5"/>
          <tpl fld="1" item="0"/>
        </tpls>
      </n>
      <n v="311823007744">
        <tpls c="8">
          <tpl hier="2" item="0"/>
          <tpl hier="4" item="1"/>
          <tpl fld="2" item="33"/>
          <tpl fld="4" item="99"/>
          <tpl hier="9" item="4"/>
          <tpl hier="11" item="6"/>
          <tpl hier="12" item="5"/>
          <tpl fld="1" item="0"/>
        </tpls>
      </n>
      <n v="87172792320">
        <tpls c="8">
          <tpl hier="2" item="0"/>
          <tpl hier="4" item="1"/>
          <tpl fld="2" item="17"/>
          <tpl fld="4" item="99"/>
          <tpl hier="9" item="4"/>
          <tpl hier="11" item="6"/>
          <tpl hier="12" item="5"/>
          <tpl fld="1" item="0"/>
        </tpls>
      </n>
      <n v="16256619520">
        <tpls c="8">
          <tpl hier="2" item="0"/>
          <tpl hier="4" item="1"/>
          <tpl fld="2" item="1"/>
          <tpl fld="4" item="99"/>
          <tpl hier="9" item="4"/>
          <tpl hier="11" item="6"/>
          <tpl hier="12" item="5"/>
          <tpl fld="1" item="0"/>
        </tpls>
      </n>
      <n v="34378436608">
        <tpls c="8">
          <tpl hier="2" item="0"/>
          <tpl hier="4" item="1"/>
          <tpl fld="2" item="36"/>
          <tpl fld="4" item="98"/>
          <tpl hier="9" item="4"/>
          <tpl hier="11" item="6"/>
          <tpl hier="12" item="5"/>
          <tpl fld="1" item="0"/>
        </tpls>
      </n>
      <n v="12290568192">
        <tpls c="8">
          <tpl hier="2" item="0"/>
          <tpl hier="4" item="1"/>
          <tpl fld="2" item="20"/>
          <tpl fld="4" item="98"/>
          <tpl hier="9" item="4"/>
          <tpl hier="11" item="6"/>
          <tpl hier="12" item="5"/>
          <tpl fld="1" item="0"/>
        </tpls>
      </n>
      <n v="3545933568">
        <tpls c="8">
          <tpl hier="2" item="0"/>
          <tpl hier="4" item="1"/>
          <tpl fld="2" item="4"/>
          <tpl fld="4" item="98"/>
          <tpl hier="9" item="4"/>
          <tpl hier="11" item="6"/>
          <tpl hier="12" item="5"/>
          <tpl fld="1" item="0"/>
        </tpls>
      </n>
      <n v="19172165632">
        <tpls c="8">
          <tpl hier="2" item="0"/>
          <tpl hier="4" item="1"/>
          <tpl fld="2" item="39"/>
          <tpl fld="4" item="97"/>
          <tpl hier="9" item="4"/>
          <tpl hier="11" item="6"/>
          <tpl hier="12" item="5"/>
          <tpl fld="1" item="0"/>
        </tpls>
      </n>
      <n v="4669488640">
        <tpls c="8">
          <tpl hier="2" item="0"/>
          <tpl hier="4" item="1"/>
          <tpl fld="2" item="23"/>
          <tpl fld="4" item="97"/>
          <tpl hier="9" item="4"/>
          <tpl hier="11" item="6"/>
          <tpl hier="12" item="5"/>
          <tpl fld="1" item="0"/>
        </tpls>
      </n>
      <n v="3138666752">
        <tpls c="8">
          <tpl hier="2" item="0"/>
          <tpl hier="4" item="1"/>
          <tpl fld="2" item="7"/>
          <tpl fld="4" item="97"/>
          <tpl hier="9" item="4"/>
          <tpl hier="11" item="6"/>
          <tpl hier="12" item="5"/>
          <tpl fld="1" item="0"/>
        </tpls>
      </n>
      <n v="3873308416">
        <tpls c="8">
          <tpl hier="2" item="0"/>
          <tpl hier="4" item="1"/>
          <tpl fld="2" item="42"/>
          <tpl fld="4" item="96"/>
          <tpl hier="9" item="4"/>
          <tpl hier="11" item="6"/>
          <tpl hier="12" item="5"/>
          <tpl fld="1" item="0"/>
        </tpls>
      </n>
      <n v="1465448320">
        <tpls c="8">
          <tpl hier="2" item="0"/>
          <tpl hier="4" item="1"/>
          <tpl fld="2" item="26"/>
          <tpl fld="4" item="96"/>
          <tpl hier="9" item="4"/>
          <tpl hier="11" item="6"/>
          <tpl hier="12" item="5"/>
          <tpl fld="1" item="0"/>
        </tpls>
      </n>
      <n v="1136408832">
        <tpls c="8">
          <tpl hier="2" item="0"/>
          <tpl hier="4" item="1"/>
          <tpl fld="2" item="10"/>
          <tpl fld="4" item="96"/>
          <tpl hier="9" item="4"/>
          <tpl hier="11" item="6"/>
          <tpl hier="12" item="5"/>
          <tpl fld="1" item="0"/>
        </tpls>
      </n>
      <n v="401295933440">
        <tpls c="8">
          <tpl hier="2" item="0"/>
          <tpl hier="4" item="1"/>
          <tpl fld="2" item="45"/>
          <tpl fld="4" item="95"/>
          <tpl hier="9" item="4"/>
          <tpl hier="11" item="6"/>
          <tpl hier="12" item="5"/>
          <tpl fld="1" item="0"/>
        </tpls>
      </n>
      <n v="126669062144">
        <tpls c="8">
          <tpl hier="2" item="0"/>
          <tpl hier="4" item="1"/>
          <tpl fld="2" item="29"/>
          <tpl fld="4" item="95"/>
          <tpl hier="9" item="4"/>
          <tpl hier="11" item="6"/>
          <tpl hier="12" item="5"/>
          <tpl fld="1" item="0"/>
        </tpls>
      </n>
      <n v="40042827776">
        <tpls c="8">
          <tpl hier="2" item="0"/>
          <tpl hier="4" item="1"/>
          <tpl fld="2" item="13"/>
          <tpl fld="4" item="95"/>
          <tpl hier="9" item="4"/>
          <tpl hier="11" item="6"/>
          <tpl hier="12" item="5"/>
          <tpl fld="1" item="0"/>
        </tpls>
      </n>
      <n v="4710618624">
        <tpls c="8">
          <tpl hier="2" item="0"/>
          <tpl hier="4" item="1"/>
          <tpl fld="2" item="48"/>
          <tpl fld="4" item="94"/>
          <tpl hier="9" item="4"/>
          <tpl hier="11" item="6"/>
          <tpl hier="12" item="5"/>
          <tpl fld="1" item="0"/>
        </tpls>
      </n>
      <n v="1432228224">
        <tpls c="8">
          <tpl hier="2" item="0"/>
          <tpl hier="4" item="1"/>
          <tpl fld="2" item="32"/>
          <tpl fld="4" item="94"/>
          <tpl hier="9" item="4"/>
          <tpl hier="11" item="6"/>
          <tpl hier="12" item="5"/>
          <tpl fld="1" item="0"/>
        </tpls>
      </n>
      <n v="449146624">
        <tpls c="8">
          <tpl hier="2" item="0"/>
          <tpl hier="4" item="1"/>
          <tpl fld="2" item="16"/>
          <tpl fld="4" item="94"/>
          <tpl hier="9" item="4"/>
          <tpl hier="11" item="6"/>
          <tpl hier="12" item="5"/>
          <tpl fld="1" item="0"/>
        </tpls>
      </n>
      <n v="112137760">
        <tpls c="8">
          <tpl hier="2" item="0"/>
          <tpl hier="4" item="1"/>
          <tpl fld="2" item="0"/>
          <tpl fld="4" item="94"/>
          <tpl hier="9" item="4"/>
          <tpl hier="11" item="6"/>
          <tpl hier="12" item="5"/>
          <tpl fld="1" item="0"/>
        </tpls>
      </n>
      <n v="1793388672">
        <tpls c="8">
          <tpl hier="2" item="0"/>
          <tpl hier="4" item="1"/>
          <tpl fld="2" item="35"/>
          <tpl fld="4" item="93"/>
          <tpl hier="9" item="4"/>
          <tpl hier="11" item="6"/>
          <tpl hier="12" item="5"/>
          <tpl fld="1" item="0"/>
        </tpls>
      </n>
      <n v="542600000">
        <tpls c="8">
          <tpl hier="2" item="0"/>
          <tpl hier="4" item="1"/>
          <tpl fld="2" item="19"/>
          <tpl fld="4" item="93"/>
          <tpl hier="9" item="4"/>
          <tpl hier="11" item="6"/>
          <tpl hier="12" item="5"/>
          <tpl fld="1" item="0"/>
        </tpls>
      </n>
      <n v="339449984">
        <tpls c="8">
          <tpl hier="2" item="0"/>
          <tpl hier="4" item="1"/>
          <tpl fld="2" item="3"/>
          <tpl fld="4" item="93"/>
          <tpl hier="9" item="4"/>
          <tpl hier="11" item="6"/>
          <tpl hier="12" item="5"/>
          <tpl fld="1" item="0"/>
        </tpls>
      </n>
      <n v="54526578688">
        <tpls c="8">
          <tpl hier="2" item="0"/>
          <tpl hier="4" item="1"/>
          <tpl fld="2" item="38"/>
          <tpl fld="4" item="92"/>
          <tpl hier="9" item="4"/>
          <tpl hier="11" item="6"/>
          <tpl hier="12" item="5"/>
          <tpl fld="1" item="0"/>
        </tpls>
      </n>
      <n v="7034219520">
        <tpls c="8">
          <tpl hier="2" item="0"/>
          <tpl hier="4" item="1"/>
          <tpl fld="2" item="22"/>
          <tpl fld="4" item="92"/>
          <tpl hier="9" item="4"/>
          <tpl hier="11" item="6"/>
          <tpl hier="12" item="5"/>
          <tpl fld="1" item="0"/>
        </tpls>
      </n>
      <n v="6979333120">
        <tpls c="8">
          <tpl hier="2" item="0"/>
          <tpl hier="4" item="1"/>
          <tpl fld="2" item="6"/>
          <tpl fld="4" item="92"/>
          <tpl hier="9" item="4"/>
          <tpl hier="11" item="6"/>
          <tpl hier="12" item="5"/>
          <tpl fld="1" item="0"/>
        </tpls>
      </n>
      <n v="65292754944">
        <tpls c="8">
          <tpl hier="2" item="0"/>
          <tpl hier="4" item="1"/>
          <tpl fld="2" item="41"/>
          <tpl fld="4" item="91"/>
          <tpl hier="9" item="4"/>
          <tpl hier="11" item="6"/>
          <tpl hier="12" item="5"/>
          <tpl fld="1" item="0"/>
        </tpls>
      </n>
      <n v="13029697536">
        <tpls c="8">
          <tpl hier="2" item="0"/>
          <tpl hier="4" item="1"/>
          <tpl fld="2" item="25"/>
          <tpl fld="4" item="91"/>
          <tpl hier="9" item="4"/>
          <tpl hier="11" item="6"/>
          <tpl hier="12" item="5"/>
          <tpl fld="1" item="0"/>
        </tpls>
      </n>
      <n v="3364611328">
        <tpls c="8">
          <tpl hier="2" item="0"/>
          <tpl hier="4" item="1"/>
          <tpl fld="2" item="9"/>
          <tpl fld="4" item="91"/>
          <tpl hier="9" item="4"/>
          <tpl hier="11" item="6"/>
          <tpl hier="12" item="5"/>
          <tpl fld="1" item="0"/>
        </tpls>
      </n>
      <n v="350904582144">
        <tpls c="8">
          <tpl hier="2" item="0"/>
          <tpl hier="4" item="1"/>
          <tpl fld="2" item="44"/>
          <tpl fld="4" item="90"/>
          <tpl hier="9" item="4"/>
          <tpl hier="11" item="6"/>
          <tpl hier="12" item="5"/>
          <tpl fld="1" item="0"/>
        </tpls>
      </n>
      <n v="137774759936">
        <tpls c="8">
          <tpl hier="2" item="0"/>
          <tpl hier="4" item="1"/>
          <tpl fld="2" item="28"/>
          <tpl fld="4" item="90"/>
          <tpl hier="9" item="4"/>
          <tpl hier="11" item="6"/>
          <tpl hier="12" item="5"/>
          <tpl fld="1" item="0"/>
        </tpls>
      </n>
      <n v="78423056384">
        <tpls c="8">
          <tpl hier="2" item="0"/>
          <tpl hier="4" item="1"/>
          <tpl fld="2" item="12"/>
          <tpl fld="4" item="90"/>
          <tpl hier="9" item="4"/>
          <tpl hier="11" item="6"/>
          <tpl hier="12" item="5"/>
          <tpl fld="1" item="0"/>
        </tpls>
      </n>
      <n v="3739577856">
        <tpls c="8">
          <tpl hier="2" item="0"/>
          <tpl hier="4" item="1"/>
          <tpl fld="2" item="47"/>
          <tpl fld="4" item="89"/>
          <tpl hier="9" item="4"/>
          <tpl hier="11" item="6"/>
          <tpl hier="12" item="5"/>
          <tpl fld="1" item="0"/>
        </tpls>
      </n>
      <n v="1090467712">
        <tpls c="8">
          <tpl hier="2" item="0"/>
          <tpl hier="4" item="1"/>
          <tpl fld="2" item="31"/>
          <tpl fld="4" item="89"/>
          <tpl hier="9" item="4"/>
          <tpl hier="11" item="6"/>
          <tpl hier="12" item="5"/>
          <tpl fld="1" item="0"/>
        </tpls>
      </n>
      <n v="856890496">
        <tpls c="8">
          <tpl hier="2" item="0"/>
          <tpl hier="4" item="1"/>
          <tpl fld="2" item="15"/>
          <tpl fld="4" item="89"/>
          <tpl hier="9" item="4"/>
          <tpl hier="11" item="6"/>
          <tpl hier="12" item="5"/>
          <tpl fld="1" item="0"/>
        </tpls>
      </n>
      <n v="29074949840">
        <tpls c="8">
          <tpl hier="2" item="0"/>
          <tpl hier="4" item="1"/>
          <tpl hier="5" item="3"/>
          <tpl fld="4" item="88"/>
          <tpl hier="9" item="4"/>
          <tpl hier="11" item="6"/>
          <tpl hier="12" item="5"/>
          <tpl fld="1" item="0"/>
        </tpls>
      </n>
      <n v="839319936">
        <tpls c="8">
          <tpl hier="2" item="0"/>
          <tpl hier="4" item="1"/>
          <tpl fld="2" item="34"/>
          <tpl fld="4" item="88"/>
          <tpl hier="9" item="4"/>
          <tpl hier="11" item="6"/>
          <tpl hier="12" item="5"/>
          <tpl fld="1" item="0"/>
        </tpls>
      </n>
      <n v="283828768">
        <tpls c="8">
          <tpl hier="2" item="0"/>
          <tpl hier="4" item="1"/>
          <tpl fld="2" item="18"/>
          <tpl fld="4" item="88"/>
          <tpl hier="9" item="4"/>
          <tpl hier="11" item="6"/>
          <tpl hier="12" item="5"/>
          <tpl fld="1" item="0"/>
        </tpls>
      </n>
      <n v="30645120">
        <tpls c="8">
          <tpl hier="2" item="0"/>
          <tpl hier="4" item="1"/>
          <tpl fld="2" item="2"/>
          <tpl fld="4" item="88"/>
          <tpl hier="9" item="4"/>
          <tpl hier="11" item="6"/>
          <tpl hier="12" item="5"/>
          <tpl fld="1" item="0"/>
        </tpls>
      </n>
      <n v="14285970432">
        <tpls c="8">
          <tpl hier="2" item="0"/>
          <tpl hier="4" item="1"/>
          <tpl fld="2" item="37"/>
          <tpl fld="4" item="87"/>
          <tpl hier="9" item="4"/>
          <tpl hier="11" item="6"/>
          <tpl hier="12" item="5"/>
          <tpl fld="1" item="0"/>
        </tpls>
      </n>
      <n v="7111252992">
        <tpls c="8">
          <tpl hier="2" item="0"/>
          <tpl hier="4" item="1"/>
          <tpl fld="2" item="21"/>
          <tpl fld="4" item="87"/>
          <tpl hier="9" item="4"/>
          <tpl hier="11" item="6"/>
          <tpl hier="12" item="5"/>
          <tpl fld="1" item="0"/>
        </tpls>
      </n>
      <n v="2830388480">
        <tpls c="8">
          <tpl hier="2" item="0"/>
          <tpl hier="4" item="1"/>
          <tpl fld="2" item="5"/>
          <tpl fld="4" item="87"/>
          <tpl hier="9" item="4"/>
          <tpl hier="11" item="6"/>
          <tpl hier="12" item="5"/>
          <tpl fld="1" item="0"/>
        </tpls>
      </n>
      <n v="528207183872">
        <tpls c="8">
          <tpl hier="2" item="0"/>
          <tpl hier="4" item="1"/>
          <tpl fld="2" item="40"/>
          <tpl fld="4" item="86"/>
          <tpl hier="9" item="4"/>
          <tpl hier="11" item="6"/>
          <tpl hier="12" item="5"/>
          <tpl fld="1" item="0"/>
        </tpls>
      </n>
      <n v="135174889472">
        <tpls c="8">
          <tpl hier="2" item="0"/>
          <tpl hier="4" item="1"/>
          <tpl fld="2" item="24"/>
          <tpl fld="4" item="86"/>
          <tpl hier="9" item="4"/>
          <tpl hier="11" item="6"/>
          <tpl hier="12" item="5"/>
          <tpl fld="1" item="0"/>
        </tpls>
      </n>
      <n v="80265617408">
        <tpls c="8">
          <tpl hier="2" item="0"/>
          <tpl hier="4" item="1"/>
          <tpl fld="2" item="8"/>
          <tpl fld="4" item="86"/>
          <tpl hier="9" item="4"/>
          <tpl hier="11" item="6"/>
          <tpl hier="12" item="5"/>
          <tpl fld="1" item="0"/>
        </tpls>
      </n>
      <n v="7851127808">
        <tpls c="8">
          <tpl hier="2" item="0"/>
          <tpl hier="4" item="1"/>
          <tpl fld="2" item="43"/>
          <tpl fld="4" item="85"/>
          <tpl hier="9" item="4"/>
          <tpl hier="11" item="6"/>
          <tpl hier="12" item="5"/>
          <tpl fld="1" item="0"/>
        </tpls>
      </n>
      <n v="1851558272">
        <tpls c="8">
          <tpl hier="2" item="0"/>
          <tpl hier="4" item="1"/>
          <tpl fld="2" item="27"/>
          <tpl fld="4" item="85"/>
          <tpl hier="9" item="4"/>
          <tpl hier="11" item="6"/>
          <tpl hier="12" item="5"/>
          <tpl fld="1" item="0"/>
        </tpls>
      </n>
      <n v="1407062656">
        <tpls c="8">
          <tpl hier="2" item="0"/>
          <tpl hier="4" item="1"/>
          <tpl fld="2" item="11"/>
          <tpl fld="4" item="85"/>
          <tpl hier="9" item="4"/>
          <tpl hier="11" item="6"/>
          <tpl hier="12" item="5"/>
          <tpl fld="1" item="0"/>
        </tpls>
      </n>
      <n v="104336703488">
        <tpls c="8">
          <tpl hier="2" item="0"/>
          <tpl hier="4" item="1"/>
          <tpl fld="2" item="46"/>
          <tpl fld="4" item="84"/>
          <tpl hier="9" item="4"/>
          <tpl hier="11" item="6"/>
          <tpl hier="12" item="5"/>
          <tpl fld="1" item="0"/>
        </tpls>
      </n>
      <n v="61701799936">
        <tpls c="8">
          <tpl hier="2" item="0"/>
          <tpl hier="4" item="1"/>
          <tpl fld="2" item="30"/>
          <tpl fld="4" item="84"/>
          <tpl hier="9" item="4"/>
          <tpl hier="11" item="6"/>
          <tpl hier="12" item="5"/>
          <tpl fld="1" item="0"/>
        </tpls>
      </n>
      <n v="19162599424">
        <tpls c="8">
          <tpl hier="2" item="0"/>
          <tpl hier="4" item="1"/>
          <tpl fld="2" item="14"/>
          <tpl fld="4" item="84"/>
          <tpl hier="9" item="4"/>
          <tpl hier="11" item="6"/>
          <tpl hier="12" item="5"/>
          <tpl fld="1" item="0"/>
        </tpls>
      </n>
      <n v="376795496448">
        <tpls c="8">
          <tpl hier="2" item="0"/>
          <tpl hier="4" item="1"/>
          <tpl fld="2" item="49"/>
          <tpl fld="4" item="83"/>
          <tpl hier="9" item="4"/>
          <tpl hier="11" item="6"/>
          <tpl hier="12" item="5"/>
          <tpl fld="1" item="0"/>
        </tpls>
      </n>
      <n v="87039148032">
        <tpls c="8">
          <tpl hier="2" item="0"/>
          <tpl hier="4" item="1"/>
          <tpl fld="2" item="33"/>
          <tpl fld="4" item="83"/>
          <tpl hier="9" item="4"/>
          <tpl hier="11" item="6"/>
          <tpl hier="12" item="5"/>
          <tpl fld="1" item="0"/>
        </tpls>
      </n>
      <n v="33195933696">
        <tpls c="8">
          <tpl hier="2" item="0"/>
          <tpl hier="4" item="1"/>
          <tpl fld="2" item="17"/>
          <tpl fld="4" item="83"/>
          <tpl hier="9" item="4"/>
          <tpl hier="11" item="6"/>
          <tpl hier="12" item="5"/>
          <tpl fld="1" item="0"/>
        </tpls>
      </n>
      <n v="7408305664">
        <tpls c="8">
          <tpl hier="2" item="0"/>
          <tpl hier="4" item="1"/>
          <tpl fld="2" item="1"/>
          <tpl fld="4" item="83"/>
          <tpl hier="9" item="4"/>
          <tpl hier="11" item="6"/>
          <tpl hier="12" item="5"/>
          <tpl fld="1" item="0"/>
        </tpls>
      </n>
      <n v="88643190784">
        <tpls c="8">
          <tpl hier="2" item="0"/>
          <tpl hier="4" item="1"/>
          <tpl fld="2" item="36"/>
          <tpl fld="4" item="82"/>
          <tpl hier="9" item="4"/>
          <tpl hier="11" item="6"/>
          <tpl hier="12" item="5"/>
          <tpl fld="1" item="0"/>
        </tpls>
      </n>
      <n v="26410387456">
        <tpls c="8">
          <tpl hier="2" item="0"/>
          <tpl hier="4" item="1"/>
          <tpl fld="2" item="20"/>
          <tpl fld="4" item="82"/>
          <tpl hier="9" item="4"/>
          <tpl hier="11" item="6"/>
          <tpl hier="12" item="5"/>
          <tpl fld="1" item="0"/>
        </tpls>
      </n>
      <n v="13858441216">
        <tpls c="8">
          <tpl hier="2" item="0"/>
          <tpl hier="4" item="1"/>
          <tpl fld="2" item="4"/>
          <tpl fld="4" item="82"/>
          <tpl hier="9" item="4"/>
          <tpl hier="11" item="6"/>
          <tpl hier="12" item="5"/>
          <tpl fld="1" item="0"/>
        </tpls>
      </n>
      <n v="22341754880">
        <tpls c="8">
          <tpl hier="2" item="0"/>
          <tpl hier="4" item="1"/>
          <tpl fld="2" item="39"/>
          <tpl fld="4" item="81"/>
          <tpl hier="9" item="4"/>
          <tpl hier="11" item="6"/>
          <tpl hier="12" item="5"/>
          <tpl fld="1" item="0"/>
        </tpls>
      </n>
      <n v="7249533440">
        <tpls c="8">
          <tpl hier="2" item="0"/>
          <tpl hier="4" item="1"/>
          <tpl fld="2" item="23"/>
          <tpl fld="4" item="81"/>
          <tpl hier="9" item="4"/>
          <tpl hier="11" item="6"/>
          <tpl hier="12" item="5"/>
          <tpl fld="1" item="0"/>
        </tpls>
      </n>
      <n v="2092158720">
        <tpls c="8">
          <tpl hier="2" item="0"/>
          <tpl hier="4" item="1"/>
          <tpl fld="2" item="7"/>
          <tpl fld="4" item="81"/>
          <tpl hier="9" item="4"/>
          <tpl hier="11" item="6"/>
          <tpl hier="12" item="5"/>
          <tpl fld="1" item="0"/>
        </tpls>
      </n>
      <n v="21295659008">
        <tpls c="8">
          <tpl hier="2" item="0"/>
          <tpl hier="4" item="1"/>
          <tpl fld="2" item="42"/>
          <tpl fld="4" item="80"/>
          <tpl hier="9" item="4"/>
          <tpl hier="11" item="6"/>
          <tpl hier="12" item="5"/>
          <tpl fld="1" item="0"/>
        </tpls>
      </n>
      <n v="5155311104">
        <tpls c="8">
          <tpl hier="2" item="0"/>
          <tpl hier="4" item="1"/>
          <tpl fld="2" item="26"/>
          <tpl fld="4" item="80"/>
          <tpl hier="9" item="4"/>
          <tpl hier="11" item="6"/>
          <tpl hier="12" item="5"/>
          <tpl fld="1" item="0"/>
        </tpls>
      </n>
      <n v="2545982976">
        <tpls c="8">
          <tpl hier="2" item="0"/>
          <tpl hier="4" item="1"/>
          <tpl fld="2" item="10"/>
          <tpl fld="4" item="80"/>
          <tpl hier="9" item="4"/>
          <tpl hier="11" item="6"/>
          <tpl hier="12" item="5"/>
          <tpl fld="1" item="0"/>
        </tpls>
      </n>
      <n v="54091698176">
        <tpls c="8">
          <tpl hier="2" item="0"/>
          <tpl hier="4" item="1"/>
          <tpl fld="2" item="45"/>
          <tpl fld="4" item="79"/>
          <tpl hier="9" item="4"/>
          <tpl hier="11" item="6"/>
          <tpl hier="12" item="5"/>
          <tpl fld="1" item="0"/>
        </tpls>
      </n>
      <n v="12130251776">
        <tpls c="8">
          <tpl hier="2" item="0"/>
          <tpl hier="4" item="1"/>
          <tpl fld="2" item="29"/>
          <tpl fld="4" item="79"/>
          <tpl hier="9" item="4"/>
          <tpl hier="11" item="6"/>
          <tpl hier="12" item="5"/>
          <tpl fld="1" item="0"/>
        </tpls>
      </n>
      <n v="5923756032">
        <tpls c="8">
          <tpl hier="2" item="0"/>
          <tpl hier="4" item="1"/>
          <tpl fld="2" item="13"/>
          <tpl fld="4" item="79"/>
          <tpl hier="9" item="4"/>
          <tpl hier="11" item="6"/>
          <tpl hier="12" item="5"/>
          <tpl fld="1" item="0"/>
        </tpls>
      </n>
      <n v="314567557120">
        <tpls c="8">
          <tpl hier="2" item="0"/>
          <tpl hier="4" item="1"/>
          <tpl fld="2" item="48"/>
          <tpl fld="4" item="78"/>
          <tpl hier="9" item="4"/>
          <tpl hier="11" item="6"/>
          <tpl hier="12" item="5"/>
          <tpl fld="1" item="0"/>
        </tpls>
      </n>
      <n v="79904989184">
        <tpls c="8">
          <tpl hier="2" item="0"/>
          <tpl hier="4" item="1"/>
          <tpl fld="2" item="32"/>
          <tpl fld="4" item="78"/>
          <tpl hier="9" item="4"/>
          <tpl hier="11" item="6"/>
          <tpl hier="12" item="5"/>
          <tpl fld="1" item="0"/>
        </tpls>
      </n>
      <n v="31899070464">
        <tpls c="8">
          <tpl hier="2" item="0"/>
          <tpl hier="4" item="1"/>
          <tpl fld="2" item="16"/>
          <tpl fld="4" item="78"/>
          <tpl hier="9" item="4"/>
          <tpl hier="11" item="6"/>
          <tpl hier="12" item="5"/>
          <tpl fld="1" item="0"/>
        </tpls>
      </n>
      <n v="10027509760">
        <tpls c="8">
          <tpl hier="2" item="0"/>
          <tpl hier="4" item="1"/>
          <tpl fld="2" item="0"/>
          <tpl fld="4" item="78"/>
          <tpl hier="9" item="4"/>
          <tpl hier="11" item="6"/>
          <tpl hier="12" item="5"/>
          <tpl fld="1" item="0"/>
        </tpls>
      </n>
      <n v="31081924608">
        <tpls c="8">
          <tpl hier="2" item="0"/>
          <tpl hier="4" item="1"/>
          <tpl fld="2" item="35"/>
          <tpl fld="4" item="77"/>
          <tpl hier="9" item="4"/>
          <tpl hier="11" item="6"/>
          <tpl hier="12" item="5"/>
          <tpl fld="1" item="0"/>
        </tpls>
      </n>
      <n v="9372171264">
        <tpls c="8">
          <tpl hier="2" item="0"/>
          <tpl hier="4" item="1"/>
          <tpl fld="2" item="19"/>
          <tpl fld="4" item="77"/>
          <tpl hier="9" item="4"/>
          <tpl hier="11" item="6"/>
          <tpl hier="12" item="5"/>
          <tpl fld="1" item="0"/>
        </tpls>
      </n>
      <n v="483033920">
        <tpls c="8">
          <tpl hier="2" item="0"/>
          <tpl hier="4" item="1"/>
          <tpl fld="2" item="3"/>
          <tpl fld="4" item="77"/>
          <tpl hier="9" item="4"/>
          <tpl hier="11" item="6"/>
          <tpl hier="12" item="5"/>
          <tpl fld="1" item="0"/>
        </tpls>
      </n>
      <n v="337035526144">
        <tpls c="8">
          <tpl hier="2" item="0"/>
          <tpl hier="4" item="1"/>
          <tpl fld="2" item="38"/>
          <tpl fld="4" item="76"/>
          <tpl hier="9" item="4"/>
          <tpl hier="11" item="6"/>
          <tpl hier="12" item="5"/>
          <tpl fld="1" item="0"/>
        </tpls>
      </n>
      <n v="47794925568">
        <tpls c="8">
          <tpl hier="2" item="0"/>
          <tpl hier="4" item="1"/>
          <tpl fld="2" item="22"/>
          <tpl fld="4" item="76"/>
          <tpl hier="9" item="4"/>
          <tpl hier="11" item="6"/>
          <tpl hier="12" item="5"/>
          <tpl fld="1" item="0"/>
        </tpls>
      </n>
      <n v="36308881408">
        <tpls c="8">
          <tpl hier="2" item="0"/>
          <tpl hier="4" item="1"/>
          <tpl fld="2" item="6"/>
          <tpl fld="4" item="76"/>
          <tpl hier="9" item="4"/>
          <tpl hier="11" item="6"/>
          <tpl hier="12" item="5"/>
          <tpl fld="1" item="0"/>
        </tpls>
      </n>
      <n v="8701085696">
        <tpls c="8">
          <tpl hier="2" item="0"/>
          <tpl hier="4" item="1"/>
          <tpl fld="2" item="41"/>
          <tpl fld="4" item="75"/>
          <tpl hier="9" item="4"/>
          <tpl hier="11" item="6"/>
          <tpl hier="12" item="5"/>
          <tpl fld="1" item="0"/>
        </tpls>
      </n>
      <n v="2313555968">
        <tpls c="8">
          <tpl hier="2" item="0"/>
          <tpl hier="4" item="1"/>
          <tpl fld="2" item="25"/>
          <tpl fld="4" item="75"/>
          <tpl hier="9" item="4"/>
          <tpl hier="11" item="6"/>
          <tpl hier="12" item="5"/>
          <tpl fld="1" item="0"/>
        </tpls>
      </n>
      <n v="2109278080">
        <tpls c="8">
          <tpl hier="2" item="0"/>
          <tpl hier="4" item="1"/>
          <tpl fld="2" item="9"/>
          <tpl fld="4" item="75"/>
          <tpl hier="9" item="4"/>
          <tpl hier="11" item="6"/>
          <tpl hier="12" item="5"/>
          <tpl fld="1" item="0"/>
        </tpls>
      </n>
      <n v="11880472576">
        <tpls c="8">
          <tpl hier="2" item="0"/>
          <tpl hier="4" item="1"/>
          <tpl fld="2" item="44"/>
          <tpl fld="4" item="74"/>
          <tpl hier="9" item="4"/>
          <tpl hier="11" item="6"/>
          <tpl hier="12" item="5"/>
          <tpl fld="1" item="0"/>
        </tpls>
      </n>
      <n v="4635267072">
        <tpls c="8">
          <tpl hier="2" item="0"/>
          <tpl hier="4" item="1"/>
          <tpl fld="2" item="28"/>
          <tpl fld="4" item="74"/>
          <tpl hier="9" item="4"/>
          <tpl hier="11" item="6"/>
          <tpl hier="12" item="5"/>
          <tpl fld="1" item="0"/>
        </tpls>
      </n>
      <n v="2465165056">
        <tpls c="8">
          <tpl hier="2" item="0"/>
          <tpl hier="4" item="1"/>
          <tpl fld="2" item="12"/>
          <tpl fld="4" item="74"/>
          <tpl hier="9" item="4"/>
          <tpl hier="11" item="6"/>
          <tpl hier="12" item="5"/>
          <tpl fld="1" item="0"/>
        </tpls>
      </n>
      <n v="25180583936">
        <tpls c="8">
          <tpl hier="2" item="0"/>
          <tpl hier="4" item="1"/>
          <tpl fld="2" item="47"/>
          <tpl fld="4" item="73"/>
          <tpl hier="9" item="4"/>
          <tpl hier="11" item="6"/>
          <tpl hier="12" item="5"/>
          <tpl fld="1" item="0"/>
        </tpls>
      </n>
      <n v="6007054848">
        <tpls c="8">
          <tpl hier="2" item="0"/>
          <tpl hier="4" item="1"/>
          <tpl fld="2" item="31"/>
          <tpl fld="4" item="73"/>
          <tpl hier="9" item="4"/>
          <tpl hier="11" item="6"/>
          <tpl hier="12" item="5"/>
          <tpl fld="1" item="0"/>
        </tpls>
      </n>
      <n v="2619913984">
        <tpls c="8">
          <tpl hier="2" item="0"/>
          <tpl hier="4" item="1"/>
          <tpl fld="2" item="15"/>
          <tpl fld="4" item="73"/>
          <tpl hier="9" item="4"/>
          <tpl hier="11" item="6"/>
          <tpl hier="12" item="5"/>
          <tpl fld="1" item="0"/>
        </tpls>
      </n>
      <n v="2339096732672">
        <tpls c="8">
          <tpl hier="2" item="0"/>
          <tpl hier="4" item="1"/>
          <tpl hier="5" item="3"/>
          <tpl fld="4" item="72"/>
          <tpl hier="9" item="4"/>
          <tpl hier="11" item="6"/>
          <tpl hier="12" item="5"/>
          <tpl fld="1" item="0"/>
        </tpls>
      </n>
      <n v="59626020864">
        <tpls c="8">
          <tpl hier="2" item="0"/>
          <tpl hier="4" item="1"/>
          <tpl fld="2" item="34"/>
          <tpl fld="4" item="72"/>
          <tpl hier="9" item="4"/>
          <tpl hier="11" item="6"/>
          <tpl hier="12" item="5"/>
          <tpl fld="1" item="0"/>
        </tpls>
      </n>
      <n v="25705295872">
        <tpls c="8">
          <tpl hier="2" item="0"/>
          <tpl hier="4" item="1"/>
          <tpl fld="2" item="18"/>
          <tpl fld="4" item="72"/>
          <tpl hier="9" item="4"/>
          <tpl hier="11" item="6"/>
          <tpl hier="12" item="5"/>
          <tpl fld="1" item="0"/>
        </tpls>
      </n>
      <n v="5074117632">
        <tpls c="8">
          <tpl hier="2" item="0"/>
          <tpl hier="4" item="1"/>
          <tpl fld="2" item="2"/>
          <tpl fld="4" item="72"/>
          <tpl hier="9" item="4"/>
          <tpl hier="11" item="6"/>
          <tpl hier="12" item="5"/>
          <tpl fld="1" item="0"/>
        </tpls>
      </n>
      <n v="1052696313856">
        <tpls c="8">
          <tpl hier="2" item="0"/>
          <tpl hier="4" item="1"/>
          <tpl fld="2" item="37"/>
          <tpl fld="4" item="71"/>
          <tpl hier="9" item="4"/>
          <tpl hier="11" item="6"/>
          <tpl hier="12" item="5"/>
          <tpl fld="1" item="0"/>
        </tpls>
      </n>
      <n v="313142771712">
        <tpls c="8">
          <tpl hier="2" item="0"/>
          <tpl hier="4" item="1"/>
          <tpl fld="2" item="21"/>
          <tpl fld="4" item="71"/>
          <tpl hier="9" item="4"/>
          <tpl hier="11" item="6"/>
          <tpl hier="12" item="5"/>
          <tpl fld="1" item="0"/>
        </tpls>
      </n>
      <n v="88000004096">
        <tpls c="8">
          <tpl hier="2" item="0"/>
          <tpl hier="4" item="1"/>
          <tpl fld="2" item="5"/>
          <tpl fld="4" item="71"/>
          <tpl hier="9" item="4"/>
          <tpl hier="11" item="6"/>
          <tpl hier="12" item="5"/>
          <tpl fld="1" item="0"/>
        </tpls>
      </n>
      <n v="5628882432">
        <tpls c="8">
          <tpl hier="2" item="0"/>
          <tpl hier="4" item="1"/>
          <tpl fld="2" item="40"/>
          <tpl fld="4" item="70"/>
          <tpl hier="9" item="4"/>
          <tpl hier="11" item="6"/>
          <tpl hier="12" item="5"/>
          <tpl fld="1" item="0"/>
        </tpls>
      </n>
      <n v="1944876800">
        <tpls c="8">
          <tpl hier="2" item="0"/>
          <tpl hier="4" item="1"/>
          <tpl fld="2" item="24"/>
          <tpl fld="4" item="70"/>
          <tpl hier="9" item="4"/>
          <tpl hier="11" item="6"/>
          <tpl hier="12" item="5"/>
          <tpl fld="1" item="0"/>
        </tpls>
      </n>
      <n v="804629888">
        <tpls c="8">
          <tpl hier="2" item="0"/>
          <tpl hier="4" item="1"/>
          <tpl fld="2" item="8"/>
          <tpl fld="4" item="70"/>
          <tpl hier="9" item="4"/>
          <tpl hier="11" item="6"/>
          <tpl hier="12" item="5"/>
          <tpl fld="1" item="0"/>
        </tpls>
      </n>
      <n v="13242680320">
        <tpls c="8">
          <tpl hier="2" item="0"/>
          <tpl hier="4" item="1"/>
          <tpl fld="2" item="43"/>
          <tpl fld="4" item="69"/>
          <tpl hier="9" item="4"/>
          <tpl hier="11" item="6"/>
          <tpl hier="12" item="5"/>
          <tpl fld="1" item="0"/>
        </tpls>
      </n>
      <n v="2697105664">
        <tpls c="8">
          <tpl hier="2" item="0"/>
          <tpl hier="4" item="1"/>
          <tpl fld="2" item="27"/>
          <tpl fld="4" item="69"/>
          <tpl hier="9" item="4"/>
          <tpl hier="11" item="6"/>
          <tpl hier="12" item="5"/>
          <tpl fld="1" item="0"/>
        </tpls>
      </n>
      <n v="1538972160">
        <tpls c="8">
          <tpl hier="2" item="0"/>
          <tpl hier="4" item="1"/>
          <tpl fld="2" item="11"/>
          <tpl fld="4" item="69"/>
          <tpl hier="9" item="4"/>
          <tpl hier="11" item="6"/>
          <tpl hier="12" item="5"/>
          <tpl fld="1" item="0"/>
        </tpls>
      </n>
      <n v="301255458816">
        <tpls c="8">
          <tpl hier="2" item="0"/>
          <tpl hier="4" item="1"/>
          <tpl fld="2" item="46"/>
          <tpl fld="4" item="68"/>
          <tpl hier="9" item="4"/>
          <tpl hier="11" item="6"/>
          <tpl hier="12" item="5"/>
          <tpl fld="1" item="0"/>
        </tpls>
      </n>
      <n v="93789732864">
        <tpls c="8">
          <tpl hier="2" item="0"/>
          <tpl hier="4" item="1"/>
          <tpl fld="2" item="30"/>
          <tpl fld="4" item="68"/>
          <tpl hier="9" item="4"/>
          <tpl hier="11" item="6"/>
          <tpl hier="12" item="5"/>
          <tpl fld="1" item="0"/>
        </tpls>
      </n>
      <n v="33943504896">
        <tpls c="8">
          <tpl hier="2" item="0"/>
          <tpl hier="4" item="1"/>
          <tpl fld="2" item="14"/>
          <tpl fld="4" item="68"/>
          <tpl hier="9" item="4"/>
          <tpl hier="11" item="6"/>
          <tpl hier="12" item="5"/>
          <tpl fld="1" item="0"/>
        </tpls>
      </n>
      <n v="7666704384">
        <tpls c="8">
          <tpl hier="2" item="0"/>
          <tpl hier="4" item="1"/>
          <tpl fld="2" item="49"/>
          <tpl fld="4" item="67"/>
          <tpl hier="9" item="4"/>
          <tpl hier="11" item="6"/>
          <tpl hier="12" item="5"/>
          <tpl fld="1" item="0"/>
        </tpls>
      </n>
      <n v="3208837120">
        <tpls c="8">
          <tpl hier="2" item="0"/>
          <tpl hier="4" item="1"/>
          <tpl fld="2" item="33"/>
          <tpl fld="4" item="67"/>
          <tpl hier="9" item="4"/>
          <tpl hier="11" item="6"/>
          <tpl hier="12" item="5"/>
          <tpl fld="1" item="0"/>
        </tpls>
      </n>
      <n v="1183094144">
        <tpls c="8">
          <tpl hier="2" item="0"/>
          <tpl hier="4" item="1"/>
          <tpl fld="2" item="17"/>
          <tpl fld="4" item="67"/>
          <tpl hier="9" item="4"/>
          <tpl hier="11" item="6"/>
          <tpl hier="12" item="5"/>
          <tpl fld="1" item="0"/>
        </tpls>
      </n>
      <n v="365386944">
        <tpls c="8">
          <tpl hier="2" item="0"/>
          <tpl hier="4" item="1"/>
          <tpl fld="2" item="1"/>
          <tpl fld="4" item="67"/>
          <tpl hier="9" item="4"/>
          <tpl hier="11" item="6"/>
          <tpl hier="12" item="5"/>
          <tpl fld="1" item="0"/>
        </tpls>
      </n>
      <n v="6395712512">
        <tpls c="8">
          <tpl hier="2" item="0"/>
          <tpl hier="4" item="1"/>
          <tpl fld="2" item="36"/>
          <tpl fld="4" item="66"/>
          <tpl hier="9" item="4"/>
          <tpl hier="11" item="6"/>
          <tpl hier="12" item="5"/>
          <tpl fld="1" item="0"/>
        </tpls>
      </n>
      <n v="3931334912">
        <tpls c="8">
          <tpl hier="2" item="0"/>
          <tpl hier="4" item="1"/>
          <tpl fld="2" item="20"/>
          <tpl fld="4" item="66"/>
          <tpl hier="9" item="4"/>
          <tpl hier="11" item="6"/>
          <tpl hier="12" item="5"/>
          <tpl fld="1" item="0"/>
        </tpls>
      </n>
      <n v="1917508224">
        <tpls c="8">
          <tpl hier="2" item="0"/>
          <tpl hier="4" item="1"/>
          <tpl fld="2" item="4"/>
          <tpl fld="4" item="66"/>
          <tpl hier="9" item="4"/>
          <tpl hier="11" item="6"/>
          <tpl hier="12" item="5"/>
          <tpl fld="1" item="0"/>
        </tpls>
      </n>
      <n v="1773199488">
        <tpls c="8">
          <tpl hier="2" item="0"/>
          <tpl hier="4" item="1"/>
          <tpl fld="2" item="39"/>
          <tpl fld="4" item="65"/>
          <tpl hier="9" item="4"/>
          <tpl hier="11" item="6"/>
          <tpl hier="12" item="5"/>
          <tpl fld="1" item="0"/>
        </tpls>
      </n>
      <n v="835592832">
        <tpls c="8">
          <tpl hier="2" item="0"/>
          <tpl hier="4" item="1"/>
          <tpl fld="2" item="23"/>
          <tpl fld="4" item="65"/>
          <tpl hier="9" item="4"/>
          <tpl hier="11" item="6"/>
          <tpl hier="12" item="5"/>
          <tpl fld="1" item="0"/>
        </tpls>
      </n>
      <n v="193307264">
        <tpls c="8">
          <tpl hier="2" item="0"/>
          <tpl hier="4" item="1"/>
          <tpl fld="2" item="7"/>
          <tpl fld="4" item="65"/>
          <tpl hier="9" item="4"/>
          <tpl hier="11" item="6"/>
          <tpl hier="12" item="5"/>
          <tpl fld="1" item="0"/>
        </tpls>
      </n>
      <n v="190243328">
        <tpls c="8">
          <tpl hier="2" item="0"/>
          <tpl hier="4" item="1"/>
          <tpl fld="2" item="42"/>
          <tpl fld="4" item="64"/>
          <tpl hier="9" item="4"/>
          <tpl hier="11" item="6"/>
          <tpl hier="12" item="5"/>
          <tpl fld="1" item="0"/>
        </tpls>
      </n>
      <n v="66515376">
        <tpls c="8">
          <tpl hier="2" item="0"/>
          <tpl hier="4" item="1"/>
          <tpl fld="2" item="26"/>
          <tpl fld="4" item="64"/>
          <tpl hier="9" item="4"/>
          <tpl hier="11" item="6"/>
          <tpl hier="12" item="5"/>
          <tpl fld="1" item="0"/>
        </tpls>
      </n>
      <n v="38715556">
        <tpls c="8">
          <tpl hier="2" item="0"/>
          <tpl hier="4" item="1"/>
          <tpl fld="2" item="10"/>
          <tpl fld="4" item="64"/>
          <tpl hier="9" item="4"/>
          <tpl hier="11" item="6"/>
          <tpl hier="12" item="5"/>
          <tpl fld="1" item="0"/>
        </tpls>
      </n>
      <n v="46637571964920">
        <tpls c="8">
          <tpl hier="2" item="0"/>
          <tpl hier="4" item="1"/>
          <tpl fld="2" item="36"/>
          <tpl hier="6" item="2"/>
          <tpl hier="9" item="4"/>
          <tpl hier="11" item="6"/>
          <tpl hier="12" item="5"/>
          <tpl fld="1" item="0"/>
        </tpls>
      </n>
      <n v="21025501311764">
        <tpls c="8">
          <tpl hier="2" item="0"/>
          <tpl hier="4" item="1"/>
          <tpl fld="2" item="20"/>
          <tpl hier="6" item="2"/>
          <tpl hier="9" item="4"/>
          <tpl hier="11" item="6"/>
          <tpl hier="12" item="5"/>
          <tpl fld="1" item="0"/>
        </tpls>
      </n>
      <n v="4875445044516">
        <tpls c="8">
          <tpl hier="2" item="0"/>
          <tpl hier="4" item="1"/>
          <tpl fld="2" item="4"/>
          <tpl hier="6" item="2"/>
          <tpl hier="9" item="4"/>
          <tpl hier="11" item="6"/>
          <tpl hier="12" item="5"/>
          <tpl fld="1" item="0"/>
        </tpls>
      </n>
      <n v="9665793024">
        <tpls c="8">
          <tpl hier="2" item="0"/>
          <tpl hier="4" item="1"/>
          <tpl fld="2" item="39"/>
          <tpl fld="4" item="102"/>
          <tpl hier="9" item="4"/>
          <tpl hier="11" item="6"/>
          <tpl hier="12" item="5"/>
          <tpl fld="1" item="0"/>
        </tpls>
      </n>
      <n v="6563813376">
        <tpls c="8">
          <tpl hier="2" item="0"/>
          <tpl hier="4" item="1"/>
          <tpl fld="2" item="23"/>
          <tpl fld="4" item="102"/>
          <tpl hier="9" item="4"/>
          <tpl hier="11" item="6"/>
          <tpl hier="12" item="5"/>
          <tpl fld="1" item="0"/>
        </tpls>
      </n>
      <n v="4364382208">
        <tpls c="8">
          <tpl hier="2" item="0"/>
          <tpl hier="4" item="1"/>
          <tpl fld="2" item="7"/>
          <tpl fld="4" item="102"/>
          <tpl hier="9" item="4"/>
          <tpl hier="11" item="6"/>
          <tpl hier="12" item="5"/>
          <tpl fld="1" item="0"/>
        </tpls>
      </n>
      <n v="25503059968">
        <tpls c="8">
          <tpl hier="2" item="0"/>
          <tpl hier="4" item="1"/>
          <tpl fld="2" item="42"/>
          <tpl fld="4" item="101"/>
          <tpl hier="9" item="4"/>
          <tpl hier="11" item="6"/>
          <tpl hier="12" item="5"/>
          <tpl fld="1" item="0"/>
        </tpls>
      </n>
      <n v="3597220864">
        <tpls c="8">
          <tpl hier="2" item="0"/>
          <tpl hier="4" item="1"/>
          <tpl fld="2" item="26"/>
          <tpl fld="4" item="101"/>
          <tpl hier="9" item="4"/>
          <tpl hier="11" item="6"/>
          <tpl hier="12" item="5"/>
          <tpl fld="1" item="0"/>
        </tpls>
      </n>
      <n v="3829499904">
        <tpls c="8">
          <tpl hier="2" item="0"/>
          <tpl hier="4" item="1"/>
          <tpl fld="2" item="10"/>
          <tpl fld="4" item="101"/>
          <tpl hier="9" item="4"/>
          <tpl hier="11" item="6"/>
          <tpl hier="12" item="5"/>
          <tpl fld="1" item="0"/>
        </tpls>
      </n>
      <n v="53274304512">
        <tpls c="8">
          <tpl hier="2" item="0"/>
          <tpl hier="4" item="1"/>
          <tpl fld="2" item="45"/>
          <tpl fld="4" item="100"/>
          <tpl hier="9" item="4"/>
          <tpl hier="11" item="6"/>
          <tpl hier="12" item="5"/>
          <tpl fld="1" item="0"/>
        </tpls>
      </n>
      <n v="23983945728">
        <tpls c="8">
          <tpl hier="2" item="0"/>
          <tpl hier="4" item="1"/>
          <tpl fld="2" item="29"/>
          <tpl fld="4" item="100"/>
          <tpl hier="9" item="4"/>
          <tpl hier="11" item="6"/>
          <tpl hier="12" item="5"/>
          <tpl fld="1" item="0"/>
        </tpls>
      </n>
      <n v="5102281216">
        <tpls c="8">
          <tpl hier="2" item="0"/>
          <tpl hier="4" item="1"/>
          <tpl fld="2" item="13"/>
          <tpl fld="4" item="100"/>
          <tpl hier="9" item="4"/>
          <tpl hier="11" item="6"/>
          <tpl hier="12" item="5"/>
          <tpl fld="1" item="0"/>
        </tpls>
      </n>
      <n v="771350331392">
        <tpls c="8">
          <tpl hier="2" item="0"/>
          <tpl hier="4" item="1"/>
          <tpl fld="2" item="48"/>
          <tpl fld="4" item="99"/>
          <tpl hier="9" item="4"/>
          <tpl hier="11" item="6"/>
          <tpl hier="12" item="5"/>
          <tpl fld="1" item="0"/>
        </tpls>
      </n>
      <n v="238428127232">
        <tpls c="8">
          <tpl hier="2" item="0"/>
          <tpl hier="4" item="1"/>
          <tpl fld="2" item="32"/>
          <tpl fld="4" item="99"/>
          <tpl hier="9" item="4"/>
          <tpl hier="11" item="6"/>
          <tpl hier="12" item="5"/>
          <tpl fld="1" item="0"/>
        </tpls>
      </n>
      <n v="75728011264">
        <tpls c="8">
          <tpl hier="2" item="0"/>
          <tpl hier="4" item="1"/>
          <tpl fld="2" item="16"/>
          <tpl fld="4" item="99"/>
          <tpl hier="9" item="4"/>
          <tpl hier="11" item="6"/>
          <tpl hier="12" item="5"/>
          <tpl fld="1" item="0"/>
        </tpls>
      </n>
      <n v="17086956544">
        <tpls c="8">
          <tpl hier="2" item="0"/>
          <tpl hier="4" item="1"/>
          <tpl fld="2" item="0"/>
          <tpl fld="4" item="99"/>
          <tpl hier="9" item="4"/>
          <tpl hier="11" item="6"/>
          <tpl hier="12" item="5"/>
          <tpl fld="1" item="0"/>
        </tpls>
      </n>
      <n v="32273006592">
        <tpls c="8">
          <tpl hier="2" item="0"/>
          <tpl hier="4" item="1"/>
          <tpl fld="2" item="35"/>
          <tpl fld="4" item="98"/>
          <tpl hier="9" item="4"/>
          <tpl hier="11" item="6"/>
          <tpl hier="12" item="5"/>
          <tpl fld="1" item="0"/>
        </tpls>
      </n>
      <n v="10102075392">
        <tpls c="8">
          <tpl hier="2" item="0"/>
          <tpl hier="4" item="1"/>
          <tpl fld="2" item="19"/>
          <tpl fld="4" item="98"/>
          <tpl hier="9" item="4"/>
          <tpl hier="11" item="6"/>
          <tpl hier="12" item="5"/>
          <tpl fld="1" item="0"/>
        </tpls>
      </n>
      <n v="2730787584">
        <tpls c="8">
          <tpl hier="2" item="0"/>
          <tpl hier="4" item="1"/>
          <tpl fld="2" item="3"/>
          <tpl fld="4" item="98"/>
          <tpl hier="9" item="4"/>
          <tpl hier="11" item="6"/>
          <tpl hier="12" item="5"/>
          <tpl fld="1" item="0"/>
        </tpls>
      </n>
      <n v="27871588352">
        <tpls c="8">
          <tpl hier="2" item="0"/>
          <tpl hier="4" item="1"/>
          <tpl fld="2" item="38"/>
          <tpl fld="4" item="97"/>
          <tpl hier="9" item="4"/>
          <tpl hier="11" item="6"/>
          <tpl hier="12" item="5"/>
          <tpl fld="1" item="0"/>
        </tpls>
      </n>
      <n v="5439553024">
        <tpls c="8">
          <tpl hier="2" item="0"/>
          <tpl hier="4" item="1"/>
          <tpl fld="2" item="22"/>
          <tpl fld="4" item="97"/>
          <tpl hier="9" item="4"/>
          <tpl hier="11" item="6"/>
          <tpl hier="12" item="5"/>
          <tpl fld="1" item="0"/>
        </tpls>
      </n>
      <n v="2500410624">
        <tpls c="8">
          <tpl hier="2" item="0"/>
          <tpl hier="4" item="1"/>
          <tpl fld="2" item="6"/>
          <tpl fld="4" item="97"/>
          <tpl hier="9" item="4"/>
          <tpl hier="11" item="6"/>
          <tpl hier="12" item="5"/>
          <tpl fld="1" item="0"/>
        </tpls>
      </n>
      <n v="3872459264">
        <tpls c="8">
          <tpl hier="2" item="0"/>
          <tpl hier="4" item="1"/>
          <tpl fld="2" item="41"/>
          <tpl fld="4" item="96"/>
          <tpl hier="9" item="4"/>
          <tpl hier="11" item="6"/>
          <tpl hier="12" item="5"/>
          <tpl fld="1" item="0"/>
        </tpls>
      </n>
      <n v="1309382912">
        <tpls c="8">
          <tpl hier="2" item="0"/>
          <tpl hier="4" item="1"/>
          <tpl fld="2" item="25"/>
          <tpl fld="4" item="96"/>
          <tpl hier="9" item="4"/>
          <tpl hier="11" item="6"/>
          <tpl hier="12" item="5"/>
          <tpl fld="1" item="0"/>
        </tpls>
      </n>
      <n v="891775936">
        <tpls c="8">
          <tpl hier="2" item="0"/>
          <tpl hier="4" item="1"/>
          <tpl fld="2" item="9"/>
          <tpl fld="4" item="96"/>
          <tpl hier="9" item="4"/>
          <tpl hier="11" item="6"/>
          <tpl hier="12" item="5"/>
          <tpl fld="1" item="0"/>
        </tpls>
      </n>
      <n v="407339368448">
        <tpls c="8">
          <tpl hier="2" item="0"/>
          <tpl hier="4" item="1"/>
          <tpl fld="2" item="44"/>
          <tpl fld="4" item="95"/>
          <tpl hier="9" item="4"/>
          <tpl hier="11" item="6"/>
          <tpl hier="12" item="5"/>
          <tpl fld="1" item="0"/>
        </tpls>
      </n>
      <n v="113675558912">
        <tpls c="8">
          <tpl hier="2" item="0"/>
          <tpl hier="4" item="1"/>
          <tpl fld="2" item="28"/>
          <tpl fld="4" item="95"/>
          <tpl hier="9" item="4"/>
          <tpl hier="11" item="6"/>
          <tpl hier="12" item="5"/>
          <tpl fld="1" item="0"/>
        </tpls>
      </n>
      <n v="36589797376">
        <tpls c="8">
          <tpl hier="2" item="0"/>
          <tpl hier="4" item="1"/>
          <tpl fld="2" item="12"/>
          <tpl fld="4" item="95"/>
          <tpl hier="9" item="4"/>
          <tpl hier="11" item="6"/>
          <tpl hier="12" item="5"/>
          <tpl fld="1" item="0"/>
        </tpls>
      </n>
      <n v="4446248448">
        <tpls c="8">
          <tpl hier="2" item="0"/>
          <tpl hier="4" item="1"/>
          <tpl fld="2" item="47"/>
          <tpl fld="4" item="94"/>
          <tpl hier="9" item="4"/>
          <tpl hier="11" item="6"/>
          <tpl hier="12" item="5"/>
          <tpl fld="1" item="0"/>
        </tpls>
      </n>
      <n v="1542477312">
        <tpls c="8">
          <tpl hier="2" item="0"/>
          <tpl hier="4" item="1"/>
          <tpl fld="2" item="31"/>
          <tpl fld="4" item="94"/>
          <tpl hier="9" item="4"/>
          <tpl hier="11" item="6"/>
          <tpl hier="12" item="5"/>
          <tpl fld="1" item="0"/>
        </tpls>
      </n>
      <n v="361014880">
        <tpls c="8">
          <tpl hier="2" item="0"/>
          <tpl hier="4" item="1"/>
          <tpl fld="2" item="15"/>
          <tpl fld="4" item="94"/>
          <tpl hier="9" item="4"/>
          <tpl hier="11" item="6"/>
          <tpl hier="12" item="5"/>
          <tpl fld="1" item="0"/>
        </tpls>
      </n>
      <n v="83439006752">
        <tpls c="8">
          <tpl hier="2" item="0"/>
          <tpl hier="4" item="1"/>
          <tpl hier="5" item="3"/>
          <tpl fld="4" item="93"/>
          <tpl hier="9" item="4"/>
          <tpl hier="11" item="6"/>
          <tpl hier="12" item="5"/>
          <tpl fld="1" item="0"/>
        </tpls>
      </n>
      <n v="1484092544">
        <tpls c="8">
          <tpl hier="2" item="0"/>
          <tpl hier="4" item="1"/>
          <tpl fld="2" item="34"/>
          <tpl fld="4" item="93"/>
          <tpl hier="9" item="4"/>
          <tpl hier="11" item="6"/>
          <tpl hier="12" item="5"/>
          <tpl fld="1" item="0"/>
        </tpls>
      </n>
      <n v="1160999936">
        <tpls c="8">
          <tpl hier="2" item="0"/>
          <tpl hier="4" item="1"/>
          <tpl fld="2" item="18"/>
          <tpl fld="4" item="93"/>
          <tpl hier="9" item="4"/>
          <tpl hier="11" item="6"/>
          <tpl hier="12" item="5"/>
          <tpl fld="1" item="0"/>
        </tpls>
      </n>
      <n v="311950016">
        <tpls c="8">
          <tpl hier="2" item="0"/>
          <tpl hier="4" item="1"/>
          <tpl fld="2" item="2"/>
          <tpl fld="4" item="93"/>
          <tpl hier="9" item="4"/>
          <tpl hier="11" item="6"/>
          <tpl hier="12" item="5"/>
          <tpl fld="1" item="0"/>
        </tpls>
      </n>
      <n v="45898948608">
        <tpls c="8">
          <tpl hier="2" item="0"/>
          <tpl hier="4" item="1"/>
          <tpl fld="2" item="37"/>
          <tpl fld="4" item="92"/>
          <tpl hier="9" item="4"/>
          <tpl hier="11" item="6"/>
          <tpl hier="12" item="5"/>
          <tpl fld="1" item="0"/>
        </tpls>
      </n>
      <n v="11379222528">
        <tpls c="8">
          <tpl hier="2" item="0"/>
          <tpl hier="4" item="1"/>
          <tpl fld="2" item="21"/>
          <tpl fld="4" item="92"/>
          <tpl hier="9" item="4"/>
          <tpl hier="11" item="6"/>
          <tpl hier="12" item="5"/>
          <tpl fld="1" item="0"/>
        </tpls>
      </n>
      <n v="5598000128">
        <tpls c="8">
          <tpl hier="2" item="0"/>
          <tpl hier="4" item="1"/>
          <tpl fld="2" item="5"/>
          <tpl fld="4" item="92"/>
          <tpl hier="9" item="4"/>
          <tpl hier="11" item="6"/>
          <tpl hier="12" item="5"/>
          <tpl fld="1" item="0"/>
        </tpls>
      </n>
      <n v="56725749760">
        <tpls c="8">
          <tpl hier="2" item="0"/>
          <tpl hier="4" item="1"/>
          <tpl fld="2" item="40"/>
          <tpl fld="4" item="91"/>
          <tpl hier="9" item="4"/>
          <tpl hier="11" item="6"/>
          <tpl hier="12" item="5"/>
          <tpl fld="1" item="0"/>
        </tpls>
      </n>
      <n v="11717604352">
        <tpls c="8">
          <tpl hier="2" item="0"/>
          <tpl hier="4" item="1"/>
          <tpl fld="2" item="24"/>
          <tpl fld="4" item="91"/>
          <tpl hier="9" item="4"/>
          <tpl hier="11" item="6"/>
          <tpl hier="12" item="5"/>
          <tpl fld="1" item="0"/>
        </tpls>
      </n>
      <n v="2733183744">
        <tpls c="8">
          <tpl hier="2" item="0"/>
          <tpl hier="4" item="1"/>
          <tpl fld="2" item="8"/>
          <tpl fld="4" item="91"/>
          <tpl hier="9" item="4"/>
          <tpl hier="11" item="6"/>
          <tpl hier="12" item="5"/>
          <tpl fld="1" item="0"/>
        </tpls>
      </n>
      <n v="366829404160">
        <tpls c="8">
          <tpl hier="2" item="0"/>
          <tpl hier="4" item="1"/>
          <tpl fld="2" item="43"/>
          <tpl fld="4" item="90"/>
          <tpl hier="9" item="4"/>
          <tpl hier="11" item="6"/>
          <tpl hier="12" item="5"/>
          <tpl fld="1" item="0"/>
        </tpls>
      </n>
      <n v="152587419648">
        <tpls c="8">
          <tpl hier="2" item="0"/>
          <tpl hier="4" item="1"/>
          <tpl fld="2" item="27"/>
          <tpl fld="4" item="90"/>
          <tpl hier="9" item="4"/>
          <tpl hier="11" item="6"/>
          <tpl hier="12" item="5"/>
          <tpl fld="1" item="0"/>
        </tpls>
      </n>
      <n v="85454422016">
        <tpls c="8">
          <tpl hier="2" item="0"/>
          <tpl hier="4" item="1"/>
          <tpl fld="2" item="11"/>
          <tpl fld="4" item="90"/>
          <tpl hier="9" item="4"/>
          <tpl hier="11" item="6"/>
          <tpl hier="12" item="5"/>
          <tpl fld="1" item="0"/>
        </tpls>
      </n>
      <n v="3674794496">
        <tpls c="8">
          <tpl hier="2" item="0"/>
          <tpl hier="4" item="1"/>
          <tpl fld="2" item="46"/>
          <tpl fld="4" item="89"/>
          <tpl hier="9" item="4"/>
          <tpl hier="11" item="6"/>
          <tpl hier="12" item="5"/>
          <tpl fld="1" item="0"/>
        </tpls>
      </n>
      <n v="635873984">
        <tpls c="8">
          <tpl hier="2" item="0"/>
          <tpl hier="4" item="1"/>
          <tpl fld="2" item="30"/>
          <tpl fld="4" item="89"/>
          <tpl hier="9" item="4"/>
          <tpl hier="11" item="6"/>
          <tpl hier="12" item="5"/>
          <tpl fld="1" item="0"/>
        </tpls>
      </n>
      <n v="1087471872">
        <tpls c="8">
          <tpl hier="2" item="0"/>
          <tpl hier="4" item="1"/>
          <tpl fld="2" item="14"/>
          <tpl fld="4" item="89"/>
          <tpl hier="9" item="4"/>
          <tpl hier="11" item="6"/>
          <tpl hier="12" item="5"/>
          <tpl fld="1" item="0"/>
        </tpls>
      </n>
      <n v="1698843008">
        <tpls c="8">
          <tpl hier="2" item="0"/>
          <tpl hier="4" item="1"/>
          <tpl fld="2" item="49"/>
          <tpl fld="4" item="88"/>
          <tpl hier="9" item="4"/>
          <tpl hier="11" item="6"/>
          <tpl hier="12" item="5"/>
          <tpl fld="1" item="0"/>
        </tpls>
      </n>
      <n v="705704832">
        <tpls c="8">
          <tpl hier="2" item="0"/>
          <tpl hier="4" item="1"/>
          <tpl fld="2" item="33"/>
          <tpl fld="4" item="88"/>
          <tpl hier="9" item="4"/>
          <tpl hier="11" item="6"/>
          <tpl hier="12" item="5"/>
          <tpl fld="1" item="0"/>
        </tpls>
      </n>
      <n v="249267040">
        <tpls c="8">
          <tpl hier="2" item="0"/>
          <tpl hier="4" item="1"/>
          <tpl fld="2" item="17"/>
          <tpl fld="4" item="88"/>
          <tpl hier="9" item="4"/>
          <tpl hier="11" item="6"/>
          <tpl hier="12" item="5"/>
          <tpl fld="1" item="0"/>
        </tpls>
      </n>
      <n v="21965952">
        <tpls c="8">
          <tpl hier="2" item="0"/>
          <tpl hier="4" item="1"/>
          <tpl fld="2" item="1"/>
          <tpl fld="4" item="88"/>
          <tpl hier="9" item="4"/>
          <tpl hier="11" item="6"/>
          <tpl hier="12" item="5"/>
          <tpl fld="1" item="0"/>
        </tpls>
      </n>
      <n v="11847847936">
        <tpls c="8">
          <tpl hier="2" item="0"/>
          <tpl hier="4" item="1"/>
          <tpl fld="2" item="36"/>
          <tpl fld="4" item="87"/>
          <tpl hier="9" item="4"/>
          <tpl hier="11" item="6"/>
          <tpl hier="12" item="5"/>
          <tpl fld="1" item="0"/>
        </tpls>
      </n>
      <n v="7237100544">
        <tpls c="8">
          <tpl hier="2" item="0"/>
          <tpl hier="4" item="1"/>
          <tpl fld="2" item="20"/>
          <tpl fld="4" item="87"/>
          <tpl hier="9" item="4"/>
          <tpl hier="11" item="6"/>
          <tpl hier="12" item="5"/>
          <tpl fld="1" item="0"/>
        </tpls>
      </n>
      <n v="2099324928">
        <tpls c="8">
          <tpl hier="2" item="0"/>
          <tpl hier="4" item="1"/>
          <tpl fld="2" item="4"/>
          <tpl fld="4" item="87"/>
          <tpl hier="9" item="4"/>
          <tpl hier="11" item="6"/>
          <tpl hier="12" item="5"/>
          <tpl fld="1" item="0"/>
        </tpls>
      </n>
      <n v="429097877504">
        <tpls c="8">
          <tpl hier="2" item="0"/>
          <tpl hier="4" item="1"/>
          <tpl fld="2" item="39"/>
          <tpl fld="4" item="86"/>
          <tpl hier="9" item="4"/>
          <tpl hier="11" item="6"/>
          <tpl hier="12" item="5"/>
          <tpl fld="1" item="0"/>
        </tpls>
      </n>
      <n v="132967899136">
        <tpls c="8">
          <tpl hier="2" item="0"/>
          <tpl hier="4" item="1"/>
          <tpl fld="2" item="23"/>
          <tpl fld="4" item="86"/>
          <tpl hier="9" item="4"/>
          <tpl hier="11" item="6"/>
          <tpl hier="12" item="5"/>
          <tpl fld="1" item="0"/>
        </tpls>
      </n>
      <n v="74188251136">
        <tpls c="8">
          <tpl hier="2" item="0"/>
          <tpl hier="4" item="1"/>
          <tpl fld="2" item="7"/>
          <tpl fld="4" item="86"/>
          <tpl hier="9" item="4"/>
          <tpl hier="11" item="6"/>
          <tpl hier="12" item="5"/>
          <tpl fld="1" item="0"/>
        </tpls>
      </n>
      <n v="7687521792">
        <tpls c="8">
          <tpl hier="2" item="0"/>
          <tpl hier="4" item="1"/>
          <tpl fld="2" item="42"/>
          <tpl fld="4" item="85"/>
          <tpl hier="9" item="4"/>
          <tpl hier="11" item="6"/>
          <tpl hier="12" item="5"/>
          <tpl fld="1" item="0"/>
        </tpls>
      </n>
      <n v="1382334848">
        <tpls c="8">
          <tpl hier="2" item="0"/>
          <tpl hier="4" item="1"/>
          <tpl fld="2" item="26"/>
          <tpl fld="4" item="85"/>
          <tpl hier="9" item="4"/>
          <tpl hier="11" item="6"/>
          <tpl hier="12" item="5"/>
          <tpl fld="1" item="0"/>
        </tpls>
      </n>
      <n v="1254765312">
        <tpls c="8">
          <tpl hier="2" item="0"/>
          <tpl hier="4" item="1"/>
          <tpl fld="2" item="10"/>
          <tpl fld="4" item="85"/>
          <tpl hier="9" item="4"/>
          <tpl hier="11" item="6"/>
          <tpl hier="12" item="5"/>
          <tpl fld="1" item="0"/>
        </tpls>
      </n>
      <n v="103375503360">
        <tpls c="8">
          <tpl hier="2" item="0"/>
          <tpl hier="4" item="1"/>
          <tpl fld="2" item="45"/>
          <tpl fld="4" item="84"/>
          <tpl hier="9" item="4"/>
          <tpl hier="11" item="6"/>
          <tpl hier="12" item="5"/>
          <tpl fld="1" item="0"/>
        </tpls>
      </n>
      <n v="57841000448">
        <tpls c="8">
          <tpl hier="2" item="0"/>
          <tpl hier="4" item="1"/>
          <tpl fld="2" item="29"/>
          <tpl fld="4" item="84"/>
          <tpl hier="9" item="4"/>
          <tpl hier="11" item="6"/>
          <tpl hier="12" item="5"/>
          <tpl fld="1" item="0"/>
        </tpls>
      </n>
      <n v="17276600320">
        <tpls c="8">
          <tpl hier="2" item="0"/>
          <tpl hier="4" item="1"/>
          <tpl fld="2" item="13"/>
          <tpl fld="4" item="84"/>
          <tpl hier="9" item="4"/>
          <tpl hier="11" item="6"/>
          <tpl hier="12" item="5"/>
          <tpl fld="1" item="0"/>
        </tpls>
      </n>
      <n v="346841907200">
        <tpls c="8">
          <tpl hier="2" item="0"/>
          <tpl hier="4" item="1"/>
          <tpl fld="2" item="48"/>
          <tpl fld="4" item="83"/>
          <tpl hier="9" item="4"/>
          <tpl hier="11" item="6"/>
          <tpl hier="12" item="5"/>
          <tpl fld="1" item="0"/>
        </tpls>
      </n>
      <n v="84307369984">
        <tpls c="8">
          <tpl hier="2" item="0"/>
          <tpl hier="4" item="1"/>
          <tpl fld="2" item="32"/>
          <tpl fld="4" item="83"/>
          <tpl hier="9" item="4"/>
          <tpl hier="11" item="6"/>
          <tpl hier="12" item="5"/>
          <tpl fld="1" item="0"/>
        </tpls>
      </n>
      <n v="29868339200">
        <tpls c="8">
          <tpl hier="2" item="0"/>
          <tpl hier="4" item="1"/>
          <tpl fld="2" item="16"/>
          <tpl fld="4" item="83"/>
          <tpl hier="9" item="4"/>
          <tpl hier="11" item="6"/>
          <tpl hier="12" item="5"/>
          <tpl fld="1" item="0"/>
        </tpls>
      </n>
      <n v="6687204864">
        <tpls c="8">
          <tpl hier="2" item="0"/>
          <tpl hier="4" item="1"/>
          <tpl fld="2" item="0"/>
          <tpl fld="4" item="83"/>
          <tpl hier="9" item="4"/>
          <tpl hier="11" item="6"/>
          <tpl hier="12" item="5"/>
          <tpl fld="1" item="0"/>
        </tpls>
      </n>
      <n v="76060606464">
        <tpls c="8">
          <tpl hier="2" item="0"/>
          <tpl hier="4" item="1"/>
          <tpl fld="2" item="35"/>
          <tpl fld="4" item="82"/>
          <tpl hier="9" item="4"/>
          <tpl hier="11" item="6"/>
          <tpl hier="12" item="5"/>
          <tpl fld="1" item="0"/>
        </tpls>
      </n>
      <n v="22499559424">
        <tpls c="8">
          <tpl hier="2" item="0"/>
          <tpl hier="4" item="1"/>
          <tpl fld="2" item="19"/>
          <tpl fld="4" item="82"/>
          <tpl hier="9" item="4"/>
          <tpl hier="11" item="6"/>
          <tpl hier="12" item="5"/>
          <tpl fld="1" item="0"/>
        </tpls>
      </n>
      <n v="10994381824">
        <tpls c="8">
          <tpl hier="2" item="0"/>
          <tpl hier="4" item="1"/>
          <tpl fld="2" item="3"/>
          <tpl fld="4" item="82"/>
          <tpl hier="9" item="4"/>
          <tpl hier="11" item="6"/>
          <tpl hier="12" item="5"/>
          <tpl fld="1" item="0"/>
        </tpls>
      </n>
      <n v="24578068480">
        <tpls c="8">
          <tpl hier="2" item="0"/>
          <tpl hier="4" item="1"/>
          <tpl fld="2" item="38"/>
          <tpl fld="4" item="81"/>
          <tpl hier="9" item="4"/>
          <tpl hier="11" item="6"/>
          <tpl hier="12" item="5"/>
          <tpl fld="1" item="0"/>
        </tpls>
      </n>
      <n v="7157424128">
        <tpls c="8">
          <tpl hier="2" item="0"/>
          <tpl hier="4" item="1"/>
          <tpl fld="2" item="22"/>
          <tpl fld="4" item="81"/>
          <tpl hier="9" item="4"/>
          <tpl hier="11" item="6"/>
          <tpl hier="12" item="5"/>
          <tpl fld="1" item="0"/>
        </tpls>
      </n>
      <n v="1698960256">
        <tpls c="8">
          <tpl hier="2" item="0"/>
          <tpl hier="4" item="1"/>
          <tpl fld="2" item="6"/>
          <tpl fld="4" item="81"/>
          <tpl hier="9" item="4"/>
          <tpl hier="11" item="6"/>
          <tpl hier="12" item="5"/>
          <tpl fld="1" item="0"/>
        </tpls>
      </n>
      <n v="17984911360">
        <tpls c="8">
          <tpl hier="2" item="0"/>
          <tpl hier="4" item="1"/>
          <tpl fld="2" item="41"/>
          <tpl fld="4" item="80"/>
          <tpl hier="9" item="4"/>
          <tpl hier="11" item="6"/>
          <tpl hier="12" item="5"/>
          <tpl fld="1" item="0"/>
        </tpls>
      </n>
      <n v="4636057600">
        <tpls c="8">
          <tpl hier="2" item="0"/>
          <tpl hier="4" item="1"/>
          <tpl fld="2" item="25"/>
          <tpl fld="4" item="80"/>
          <tpl hier="9" item="4"/>
          <tpl hier="11" item="6"/>
          <tpl hier="12" item="5"/>
          <tpl fld="1" item="0"/>
        </tpls>
      </n>
      <n v="2293622016">
        <tpls c="8">
          <tpl hier="2" item="0"/>
          <tpl hier="4" item="1"/>
          <tpl fld="2" item="9"/>
          <tpl fld="4" item="80"/>
          <tpl hier="9" item="4"/>
          <tpl hier="11" item="6"/>
          <tpl hier="12" item="5"/>
          <tpl fld="1" item="0"/>
        </tpls>
      </n>
      <n v="49921499136">
        <tpls c="8">
          <tpl hier="2" item="0"/>
          <tpl hier="4" item="1"/>
          <tpl fld="2" item="44"/>
          <tpl fld="4" item="79"/>
          <tpl hier="9" item="4"/>
          <tpl hier="11" item="6"/>
          <tpl hier="12" item="5"/>
          <tpl fld="1" item="0"/>
        </tpls>
      </n>
      <n v="11575486464">
        <tpls c="8">
          <tpl hier="2" item="0"/>
          <tpl hier="4" item="1"/>
          <tpl fld="2" item="28"/>
          <tpl fld="4" item="79"/>
          <tpl hier="9" item="4"/>
          <tpl hier="11" item="6"/>
          <tpl hier="12" item="5"/>
          <tpl fld="1" item="0"/>
        </tpls>
      </n>
      <n v="5769767936">
        <tpls c="8">
          <tpl hier="2" item="0"/>
          <tpl hier="4" item="1"/>
          <tpl fld="2" item="12"/>
          <tpl fld="4" item="79"/>
          <tpl hier="9" item="4"/>
          <tpl hier="11" item="6"/>
          <tpl hier="12" item="5"/>
          <tpl fld="1" item="0"/>
        </tpls>
      </n>
      <n v="304567255040">
        <tpls c="8">
          <tpl hier="2" item="0"/>
          <tpl hier="4" item="1"/>
          <tpl fld="2" item="47"/>
          <tpl fld="4" item="78"/>
          <tpl hier="9" item="4"/>
          <tpl hier="11" item="6"/>
          <tpl hier="12" item="5"/>
          <tpl fld="1" item="0"/>
        </tpls>
      </n>
      <n v="79484403712">
        <tpls c="8">
          <tpl hier="2" item="0"/>
          <tpl hier="4" item="1"/>
          <tpl fld="2" item="31"/>
          <tpl fld="4" item="78"/>
          <tpl hier="9" item="4"/>
          <tpl hier="11" item="6"/>
          <tpl hier="12" item="5"/>
          <tpl fld="1" item="0"/>
        </tpls>
      </n>
      <n v="31144921088">
        <tpls c="8">
          <tpl hier="2" item="0"/>
          <tpl hier="4" item="1"/>
          <tpl fld="2" item="15"/>
          <tpl fld="4" item="78"/>
          <tpl hier="9" item="4"/>
          <tpl hier="11" item="6"/>
          <tpl hier="12" item="5"/>
          <tpl fld="1" item="0"/>
        </tpls>
      </n>
      <n v="1280435368256">
        <tpls c="8">
          <tpl hier="2" item="0"/>
          <tpl hier="4" item="1"/>
          <tpl hier="5" item="3"/>
          <tpl fld="4" item="77"/>
          <tpl hier="9" item="4"/>
          <tpl hier="11" item="6"/>
          <tpl hier="12" item="5"/>
          <tpl fld="1" item="0"/>
        </tpls>
      </n>
      <n v="24763588608">
        <tpls c="8">
          <tpl hier="2" item="0"/>
          <tpl hier="4" item="1"/>
          <tpl fld="2" item="34"/>
          <tpl fld="4" item="77"/>
          <tpl hier="9" item="4"/>
          <tpl hier="11" item="6"/>
          <tpl hier="12" item="5"/>
          <tpl fld="1" item="0"/>
        </tpls>
      </n>
      <n v="8386215936">
        <tpls c="8">
          <tpl hier="2" item="0"/>
          <tpl hier="4" item="1"/>
          <tpl fld="2" item="18"/>
          <tpl fld="4" item="77"/>
          <tpl hier="9" item="4"/>
          <tpl hier="11" item="6"/>
          <tpl hier="12" item="5"/>
          <tpl fld="1" item="0"/>
        </tpls>
      </n>
      <n v="366857728">
        <tpls c="8">
          <tpl hier="2" item="0"/>
          <tpl hier="4" item="1"/>
          <tpl fld="2" item="2"/>
          <tpl fld="4" item="77"/>
          <tpl hier="9" item="4"/>
          <tpl hier="11" item="6"/>
          <tpl hier="12" item="5"/>
          <tpl fld="1" item="0"/>
        </tpls>
      </n>
      <n v="275625672704">
        <tpls c="8">
          <tpl hier="2" item="0"/>
          <tpl hier="4" item="1"/>
          <tpl fld="2" item="37"/>
          <tpl fld="4" item="76"/>
          <tpl hier="9" item="4"/>
          <tpl hier="11" item="6"/>
          <tpl hier="12" item="5"/>
          <tpl fld="1" item="0"/>
        </tpls>
      </n>
      <n v="49118433280">
        <tpls c="8">
          <tpl hier="2" item="0"/>
          <tpl hier="4" item="1"/>
          <tpl fld="2" item="21"/>
          <tpl fld="4" item="76"/>
          <tpl hier="9" item="4"/>
          <tpl hier="11" item="6"/>
          <tpl hier="12" item="5"/>
          <tpl fld="1" item="0"/>
        </tpls>
      </n>
      <n v="27778934784">
        <tpls c="8">
          <tpl hier="2" item="0"/>
          <tpl hier="4" item="1"/>
          <tpl fld="2" item="5"/>
          <tpl fld="4" item="76"/>
          <tpl hier="9" item="4"/>
          <tpl hier="11" item="6"/>
          <tpl hier="12" item="5"/>
          <tpl fld="1" item="0"/>
        </tpls>
      </n>
      <n v="7792420864">
        <tpls c="8">
          <tpl hier="2" item="0"/>
          <tpl hier="4" item="1"/>
          <tpl fld="2" item="40"/>
          <tpl fld="4" item="75"/>
          <tpl hier="9" item="4"/>
          <tpl hier="11" item="6"/>
          <tpl hier="12" item="5"/>
          <tpl fld="1" item="0"/>
        </tpls>
      </n>
      <n v="1947256704">
        <tpls c="8">
          <tpl hier="2" item="0"/>
          <tpl hier="4" item="1"/>
          <tpl fld="2" item="24"/>
          <tpl fld="4" item="75"/>
          <tpl hier="9" item="4"/>
          <tpl hier="11" item="6"/>
          <tpl hier="12" item="5"/>
          <tpl fld="1" item="0"/>
        </tpls>
      </n>
      <n v="1774365312">
        <tpls c="8">
          <tpl hier="2" item="0"/>
          <tpl hier="4" item="1"/>
          <tpl fld="2" item="8"/>
          <tpl fld="4" item="75"/>
          <tpl hier="9" item="4"/>
          <tpl hier="11" item="6"/>
          <tpl hier="12" item="5"/>
          <tpl fld="1" item="0"/>
        </tpls>
      </n>
      <n v="10982979584">
        <tpls c="8">
          <tpl hier="2" item="0"/>
          <tpl hier="4" item="1"/>
          <tpl fld="2" item="43"/>
          <tpl fld="4" item="74"/>
          <tpl hier="9" item="4"/>
          <tpl hier="11" item="6"/>
          <tpl hier="12" item="5"/>
          <tpl fld="1" item="0"/>
        </tpls>
      </n>
      <n v="4389965824">
        <tpls c="8">
          <tpl hier="2" item="0"/>
          <tpl hier="4" item="1"/>
          <tpl fld="2" item="27"/>
          <tpl fld="4" item="74"/>
          <tpl hier="9" item="4"/>
          <tpl hier="11" item="6"/>
          <tpl hier="12" item="5"/>
          <tpl fld="1" item="0"/>
        </tpls>
      </n>
      <n v="2448290048">
        <tpls c="8">
          <tpl hier="2" item="0"/>
          <tpl hier="4" item="1"/>
          <tpl fld="2" item="11"/>
          <tpl fld="4" item="74"/>
          <tpl hier="9" item="4"/>
          <tpl hier="11" item="6"/>
          <tpl hier="12" item="5"/>
          <tpl fld="1" item="0"/>
        </tpls>
      </n>
      <n v="21185923072">
        <tpls c="8">
          <tpl hier="2" item="0"/>
          <tpl hier="4" item="1"/>
          <tpl fld="2" item="46"/>
          <tpl fld="4" item="73"/>
          <tpl hier="9" item="4"/>
          <tpl hier="11" item="6"/>
          <tpl hier="12" item="5"/>
          <tpl fld="1" item="0"/>
        </tpls>
      </n>
      <n v="5494252032">
        <tpls c="8">
          <tpl hier="2" item="0"/>
          <tpl hier="4" item="1"/>
          <tpl fld="2" item="30"/>
          <tpl fld="4" item="73"/>
          <tpl hier="9" item="4"/>
          <tpl hier="11" item="6"/>
          <tpl hier="12" item="5"/>
          <tpl fld="1" item="0"/>
        </tpls>
      </n>
      <n v="2581207296">
        <tpls c="8">
          <tpl hier="2" item="0"/>
          <tpl hier="4" item="1"/>
          <tpl fld="2" item="14"/>
          <tpl fld="4" item="73"/>
          <tpl hier="9" item="4"/>
          <tpl hier="11" item="6"/>
          <tpl hier="12" item="5"/>
          <tpl fld="1" item="0"/>
        </tpls>
      </n>
      <n v="118725279744">
        <tpls c="8">
          <tpl hier="2" item="0"/>
          <tpl hier="4" item="1"/>
          <tpl fld="2" item="49"/>
          <tpl fld="4" item="72"/>
          <tpl hier="9" item="4"/>
          <tpl hier="11" item="6"/>
          <tpl hier="12" item="5"/>
          <tpl fld="1" item="0"/>
        </tpls>
      </n>
      <n v="52064059392">
        <tpls c="8">
          <tpl hier="2" item="0"/>
          <tpl hier="4" item="1"/>
          <tpl fld="2" item="33"/>
          <tpl fld="4" item="72"/>
          <tpl hier="9" item="4"/>
          <tpl hier="11" item="6"/>
          <tpl hier="12" item="5"/>
          <tpl fld="1" item="0"/>
        </tpls>
      </n>
      <n v="21765261312">
        <tpls c="8">
          <tpl hier="2" item="0"/>
          <tpl hier="4" item="1"/>
          <tpl fld="2" item="17"/>
          <tpl fld="4" item="72"/>
          <tpl hier="9" item="4"/>
          <tpl hier="11" item="6"/>
          <tpl hier="12" item="5"/>
          <tpl fld="1" item="0"/>
        </tpls>
      </n>
      <n v="4356633600">
        <tpls c="8">
          <tpl hier="2" item="0"/>
          <tpl hier="4" item="1"/>
          <tpl fld="2" item="1"/>
          <tpl fld="4" item="72"/>
          <tpl hier="9" item="4"/>
          <tpl hier="11" item="6"/>
          <tpl hier="12" item="5"/>
          <tpl fld="1" item="0"/>
        </tpls>
      </n>
      <n v="975387099136">
        <tpls c="8">
          <tpl hier="2" item="0"/>
          <tpl hier="4" item="1"/>
          <tpl fld="2" item="36"/>
          <tpl fld="4" item="71"/>
          <tpl hier="9" item="4"/>
          <tpl hier="11" item="6"/>
          <tpl hier="12" item="5"/>
          <tpl fld="1" item="0"/>
        </tpls>
      </n>
      <n v="261253578752">
        <tpls c="8">
          <tpl hier="2" item="0"/>
          <tpl hier="4" item="1"/>
          <tpl fld="2" item="20"/>
          <tpl fld="4" item="71"/>
          <tpl hier="9" item="4"/>
          <tpl hier="11" item="6"/>
          <tpl hier="12" item="5"/>
          <tpl fld="1" item="0"/>
        </tpls>
      </n>
      <n v="71999995904">
        <tpls c="8">
          <tpl hier="2" item="0"/>
          <tpl hier="4" item="1"/>
          <tpl fld="2" item="4"/>
          <tpl fld="4" item="71"/>
          <tpl hier="9" item="4"/>
          <tpl hier="11" item="6"/>
          <tpl hier="12" item="5"/>
          <tpl fld="1" item="0"/>
        </tpls>
      </n>
      <n v="4725200384">
        <tpls c="8">
          <tpl hier="2" item="0"/>
          <tpl hier="4" item="1"/>
          <tpl fld="2" item="39"/>
          <tpl fld="4" item="70"/>
          <tpl hier="9" item="4"/>
          <tpl hier="11" item="6"/>
          <tpl hier="12" item="5"/>
          <tpl fld="1" item="0"/>
        </tpls>
      </n>
      <n v="1847350656">
        <tpls c="8">
          <tpl hier="2" item="0"/>
          <tpl hier="4" item="1"/>
          <tpl fld="2" item="23"/>
          <tpl fld="4" item="70"/>
          <tpl hier="9" item="4"/>
          <tpl hier="11" item="6"/>
          <tpl hier="12" item="5"/>
          <tpl fld="1" item="0"/>
        </tpls>
      </n>
      <n v="799029696">
        <tpls c="8">
          <tpl hier="2" item="0"/>
          <tpl hier="4" item="1"/>
          <tpl fld="2" item="7"/>
          <tpl fld="4" item="70"/>
          <tpl hier="9" item="4"/>
          <tpl hier="11" item="6"/>
          <tpl hier="12" item="5"/>
          <tpl fld="1" item="0"/>
        </tpls>
      </n>
      <n v="12441946112">
        <tpls c="8">
          <tpl hier="2" item="0"/>
          <tpl hier="4" item="1"/>
          <tpl fld="2" item="42"/>
          <tpl fld="4" item="69"/>
          <tpl hier="9" item="4"/>
          <tpl hier="11" item="6"/>
          <tpl hier="12" item="5"/>
          <tpl fld="1" item="0"/>
        </tpls>
      </n>
      <n v="2780422144">
        <tpls c="8">
          <tpl hier="2" item="0"/>
          <tpl hier="4" item="1"/>
          <tpl fld="2" item="26"/>
          <tpl fld="4" item="69"/>
          <tpl hier="9" item="4"/>
          <tpl hier="11" item="6"/>
          <tpl hier="12" item="5"/>
          <tpl fld="1" item="0"/>
        </tpls>
      </n>
      <n v="1759690752">
        <tpls c="8">
          <tpl hier="2" item="0"/>
          <tpl hier="4" item="1"/>
          <tpl fld="2" item="10"/>
          <tpl fld="4" item="69"/>
          <tpl hier="9" item="4"/>
          <tpl hier="11" item="6"/>
          <tpl hier="12" item="5"/>
          <tpl fld="1" item="0"/>
        </tpls>
      </n>
      <n v="301354745856">
        <tpls c="8">
          <tpl hier="2" item="0"/>
          <tpl hier="4" item="1"/>
          <tpl fld="2" item="45"/>
          <tpl fld="4" item="68"/>
          <tpl hier="9" item="4"/>
          <tpl hier="11" item="6"/>
          <tpl hier="12" item="5"/>
          <tpl fld="1" item="0"/>
        </tpls>
      </n>
      <n v="79148417024">
        <tpls c="8">
          <tpl hier="2" item="0"/>
          <tpl hier="4" item="1"/>
          <tpl fld="2" item="29"/>
          <tpl fld="4" item="68"/>
          <tpl hier="9" item="4"/>
          <tpl hier="11" item="6"/>
          <tpl hier="12" item="5"/>
          <tpl fld="1" item="0"/>
        </tpls>
      </n>
      <n v="30346788864">
        <tpls c="8">
          <tpl hier="2" item="0"/>
          <tpl hier="4" item="1"/>
          <tpl fld="2" item="13"/>
          <tpl fld="4" item="68"/>
          <tpl hier="9" item="4"/>
          <tpl hier="11" item="6"/>
          <tpl hier="12" item="5"/>
          <tpl fld="1" item="0"/>
        </tpls>
      </n>
      <n v="6917301760">
        <tpls c="8">
          <tpl hier="2" item="0"/>
          <tpl hier="4" item="1"/>
          <tpl fld="2" item="48"/>
          <tpl fld="4" item="67"/>
          <tpl hier="9" item="4"/>
          <tpl hier="11" item="6"/>
          <tpl hier="12" item="5"/>
          <tpl fld="1" item="0"/>
        </tpls>
      </n>
      <n v="3495748352">
        <tpls c="8">
          <tpl hier="2" item="0"/>
          <tpl hier="4" item="1"/>
          <tpl fld="2" item="32"/>
          <tpl fld="4" item="67"/>
          <tpl hier="9" item="4"/>
          <tpl hier="11" item="6"/>
          <tpl hier="12" item="5"/>
          <tpl fld="1" item="0"/>
        </tpls>
      </n>
      <n v="1183654784">
        <tpls c="8">
          <tpl hier="2" item="0"/>
          <tpl hier="4" item="1"/>
          <tpl fld="2" item="16"/>
          <tpl fld="4" item="67"/>
          <tpl hier="9" item="4"/>
          <tpl hier="11" item="6"/>
          <tpl hier="12" item="5"/>
          <tpl fld="1" item="0"/>
        </tpls>
      </n>
      <n v="290531616">
        <tpls c="8">
          <tpl hier="2" item="0"/>
          <tpl hier="4" item="1"/>
          <tpl fld="2" item="0"/>
          <tpl fld="4" item="67"/>
          <tpl hier="9" item="4"/>
          <tpl hier="11" item="6"/>
          <tpl hier="12" item="5"/>
          <tpl fld="1" item="0"/>
        </tpls>
      </n>
      <n v="5859269632">
        <tpls c="8">
          <tpl hier="2" item="0"/>
          <tpl hier="4" item="1"/>
          <tpl fld="2" item="35"/>
          <tpl fld="4" item="66"/>
          <tpl hier="9" item="4"/>
          <tpl hier="11" item="6"/>
          <tpl hier="12" item="5"/>
          <tpl fld="1" item="0"/>
        </tpls>
      </n>
      <n v="3175638272">
        <tpls c="8">
          <tpl hier="2" item="0"/>
          <tpl hier="4" item="1"/>
          <tpl fld="2" item="19"/>
          <tpl fld="4" item="66"/>
          <tpl hier="9" item="4"/>
          <tpl hier="11" item="6"/>
          <tpl hier="12" item="5"/>
          <tpl fld="1" item="0"/>
        </tpls>
      </n>
      <n v="1653062400">
        <tpls c="8">
          <tpl hier="2" item="0"/>
          <tpl hier="4" item="1"/>
          <tpl fld="2" item="3"/>
          <tpl fld="4" item="66"/>
          <tpl hier="9" item="4"/>
          <tpl hier="11" item="6"/>
          <tpl hier="12" item="5"/>
          <tpl fld="1" item="0"/>
        </tpls>
      </n>
      <n v="1758535040">
        <tpls c="8">
          <tpl hier="2" item="0"/>
          <tpl hier="4" item="1"/>
          <tpl fld="2" item="38"/>
          <tpl fld="4" item="65"/>
          <tpl hier="9" item="4"/>
          <tpl hier="11" item="6"/>
          <tpl hier="12" item="5"/>
          <tpl fld="1" item="0"/>
        </tpls>
      </n>
      <n v="831033920">
        <tpls c="8">
          <tpl hier="2" item="0"/>
          <tpl hier="4" item="1"/>
          <tpl fld="2" item="22"/>
          <tpl fld="4" item="65"/>
          <tpl hier="9" item="4"/>
          <tpl hier="11" item="6"/>
          <tpl hier="12" item="5"/>
          <tpl fld="1" item="0"/>
        </tpls>
      </n>
      <n v="147654096">
        <tpls c="8">
          <tpl hier="2" item="0"/>
          <tpl hier="4" item="1"/>
          <tpl fld="2" item="6"/>
          <tpl fld="4" item="65"/>
          <tpl hier="9" item="4"/>
          <tpl hier="11" item="6"/>
          <tpl hier="12" item="5"/>
          <tpl fld="1" item="0"/>
        </tpls>
      </n>
      <n v="181705008">
        <tpls c="8">
          <tpl hier="2" item="0"/>
          <tpl hier="4" item="1"/>
          <tpl fld="2" item="41"/>
          <tpl fld="4" item="64"/>
          <tpl hier="9" item="4"/>
          <tpl hier="11" item="6"/>
          <tpl hier="12" item="5"/>
          <tpl fld="1" item="0"/>
        </tpls>
      </n>
      <n v="56338028">
        <tpls c="8">
          <tpl hier="2" item="0"/>
          <tpl hier="4" item="1"/>
          <tpl fld="2" item="25"/>
          <tpl fld="4" item="64"/>
          <tpl hier="9" item="4"/>
          <tpl hier="11" item="6"/>
          <tpl hier="12" item="5"/>
          <tpl fld="1" item="0"/>
        </tpls>
      </n>
      <n v="43434950330872">
        <tpls c="8">
          <tpl hier="2" item="0"/>
          <tpl hier="4" item="1"/>
          <tpl fld="2" item="35"/>
          <tpl hier="6" item="2"/>
          <tpl hier="9" item="4"/>
          <tpl hier="11" item="6"/>
          <tpl hier="12" item="5"/>
          <tpl fld="1" item="0"/>
        </tpls>
      </n>
      <n v="18569097937304">
        <tpls c="8">
          <tpl hier="2" item="0"/>
          <tpl hier="4" item="1"/>
          <tpl fld="2" item="19"/>
          <tpl hier="6" item="2"/>
          <tpl hier="9" item="4"/>
          <tpl hier="11" item="6"/>
          <tpl hier="12" item="5"/>
          <tpl fld="1" item="0"/>
        </tpls>
      </n>
      <n v="4260682783610">
        <tpls c="8">
          <tpl hier="2" item="0"/>
          <tpl hier="4" item="1"/>
          <tpl fld="2" item="3"/>
          <tpl hier="6" item="2"/>
          <tpl hier="9" item="4"/>
          <tpl hier="11" item="6"/>
          <tpl hier="12" item="5"/>
          <tpl fld="1" item="0"/>
        </tpls>
      </n>
      <n v="4415703040">
        <tpls c="8">
          <tpl hier="2" item="0"/>
          <tpl hier="4" item="1"/>
          <tpl fld="2" item="38"/>
          <tpl fld="4" item="102"/>
          <tpl hier="9" item="4"/>
          <tpl hier="11" item="6"/>
          <tpl hier="12" item="5"/>
          <tpl fld="1" item="0"/>
        </tpls>
      </n>
      <n v="6751472128">
        <tpls c="8">
          <tpl hier="2" item="0"/>
          <tpl hier="4" item="1"/>
          <tpl fld="2" item="22"/>
          <tpl fld="4" item="102"/>
          <tpl hier="9" item="4"/>
          <tpl hier="11" item="6"/>
          <tpl hier="12" item="5"/>
          <tpl fld="1" item="0"/>
        </tpls>
      </n>
      <n v="4318371840">
        <tpls c="8">
          <tpl hier="2" item="0"/>
          <tpl hier="4" item="1"/>
          <tpl fld="2" item="6"/>
          <tpl fld="4" item="102"/>
          <tpl hier="9" item="4"/>
          <tpl hier="11" item="6"/>
          <tpl hier="12" item="5"/>
          <tpl fld="1" item="0"/>
        </tpls>
      </n>
      <n v="23459514368">
        <tpls c="8">
          <tpl hier="2" item="0"/>
          <tpl hier="4" item="1"/>
          <tpl fld="2" item="41"/>
          <tpl fld="4" item="101"/>
          <tpl hier="9" item="4"/>
          <tpl hier="11" item="6"/>
          <tpl hier="12" item="5"/>
          <tpl fld="1" item="0"/>
        </tpls>
      </n>
      <n v="3807067136">
        <tpls c="8">
          <tpl hier="2" item="0"/>
          <tpl hier="4" item="1"/>
          <tpl fld="2" item="25"/>
          <tpl fld="4" item="101"/>
          <tpl hier="9" item="4"/>
          <tpl hier="11" item="6"/>
          <tpl hier="12" item="5"/>
          <tpl fld="1" item="0"/>
        </tpls>
      </n>
      <n v="3325499904">
        <tpls c="8">
          <tpl hier="2" item="0"/>
          <tpl hier="4" item="1"/>
          <tpl fld="2" item="9"/>
          <tpl fld="4" item="101"/>
          <tpl hier="9" item="4"/>
          <tpl hier="11" item="6"/>
          <tpl hier="12" item="5"/>
          <tpl fld="1" item="0"/>
        </tpls>
      </n>
      <n v="57236013056">
        <tpls c="8">
          <tpl hier="2" item="0"/>
          <tpl hier="4" item="1"/>
          <tpl fld="2" item="44"/>
          <tpl fld="4" item="100"/>
          <tpl hier="9" item="4"/>
          <tpl hier="11" item="6"/>
          <tpl hier="12" item="5"/>
          <tpl fld="1" item="0"/>
        </tpls>
      </n>
      <n v="25385928704">
        <tpls c="8">
          <tpl hier="2" item="0"/>
          <tpl hier="4" item="1"/>
          <tpl fld="2" item="28"/>
          <tpl fld="4" item="100"/>
          <tpl hier="9" item="4"/>
          <tpl hier="11" item="6"/>
          <tpl hier="12" item="5"/>
          <tpl fld="1" item="0"/>
        </tpls>
      </n>
      <n v="9178802176">
        <tpls c="8">
          <tpl hier="2" item="0"/>
          <tpl hier="4" item="1"/>
          <tpl fld="2" item="12"/>
          <tpl fld="4" item="100"/>
          <tpl hier="9" item="4"/>
          <tpl hier="11" item="6"/>
          <tpl hier="12" item="5"/>
          <tpl fld="1" item="0"/>
        </tpls>
      </n>
      <n v="852676771840">
        <tpls c="8">
          <tpl hier="2" item="0"/>
          <tpl hier="4" item="1"/>
          <tpl fld="2" item="47"/>
          <tpl fld="4" item="99"/>
          <tpl hier="9" item="4"/>
          <tpl hier="11" item="6"/>
          <tpl hier="12" item="5"/>
          <tpl fld="1" item="0"/>
        </tpls>
      </n>
      <n v="200251932672">
        <tpls c="8">
          <tpl hier="2" item="0"/>
          <tpl hier="4" item="1"/>
          <tpl fld="2" item="31"/>
          <tpl fld="4" item="99"/>
          <tpl hier="9" item="4"/>
          <tpl hier="11" item="6"/>
          <tpl hier="12" item="5"/>
          <tpl fld="1" item="0"/>
        </tpls>
      </n>
      <n v="67234947072">
        <tpls c="8">
          <tpl hier="2" item="0"/>
          <tpl hier="4" item="1"/>
          <tpl fld="2" item="15"/>
          <tpl fld="4" item="99"/>
          <tpl hier="9" item="4"/>
          <tpl hier="11" item="6"/>
          <tpl hier="12" item="5"/>
          <tpl fld="1" item="0"/>
        </tpls>
      </n>
      <n v="1053513524992">
        <tpls c="8">
          <tpl hier="2" item="0"/>
          <tpl hier="4" item="1"/>
          <tpl hier="5" item="3"/>
          <tpl fld="4" item="98"/>
          <tpl hier="9" item="4"/>
          <tpl hier="11" item="6"/>
          <tpl hier="12" item="5"/>
          <tpl fld="1" item="0"/>
        </tpls>
      </n>
      <n v="31183138816">
        <tpls c="8">
          <tpl hier="2" item="0"/>
          <tpl hier="4" item="1"/>
          <tpl fld="2" item="34"/>
          <tpl fld="4" item="98"/>
          <tpl hier="9" item="4"/>
          <tpl hier="11" item="6"/>
          <tpl hier="12" item="5"/>
          <tpl fld="1" item="0"/>
        </tpls>
      </n>
      <n v="10096292864">
        <tpls c="8">
          <tpl hier="2" item="0"/>
          <tpl hier="4" item="1"/>
          <tpl fld="2" item="18"/>
          <tpl fld="4" item="98"/>
          <tpl hier="9" item="4"/>
          <tpl hier="11" item="6"/>
          <tpl hier="12" item="5"/>
          <tpl fld="1" item="0"/>
        </tpls>
      </n>
      <n v="2237476352">
        <tpls c="8">
          <tpl hier="2" item="0"/>
          <tpl hier="4" item="1"/>
          <tpl fld="2" item="2"/>
          <tpl fld="4" item="98"/>
          <tpl hier="9" item="4"/>
          <tpl hier="11" item="6"/>
          <tpl hier="12" item="5"/>
          <tpl fld="1" item="0"/>
        </tpls>
      </n>
      <n v="21641619456">
        <tpls c="8">
          <tpl hier="2" item="0"/>
          <tpl hier="4" item="1"/>
          <tpl fld="2" item="37"/>
          <tpl fld="4" item="97"/>
          <tpl hier="9" item="4"/>
          <tpl hier="11" item="6"/>
          <tpl hier="12" item="5"/>
          <tpl fld="1" item="0"/>
        </tpls>
      </n>
      <n v="5307906048">
        <tpls c="8">
          <tpl hier="2" item="0"/>
          <tpl hier="4" item="1"/>
          <tpl fld="2" item="21"/>
          <tpl fld="4" item="97"/>
          <tpl hier="9" item="4"/>
          <tpl hier="11" item="6"/>
          <tpl hier="12" item="5"/>
          <tpl fld="1" item="0"/>
        </tpls>
      </n>
      <n v="2442667520">
        <tpls c="8">
          <tpl hier="2" item="0"/>
          <tpl hier="4" item="1"/>
          <tpl fld="2" item="5"/>
          <tpl fld="4" item="97"/>
          <tpl hier="9" item="4"/>
          <tpl hier="11" item="6"/>
          <tpl hier="12" item="5"/>
          <tpl fld="1" item="0"/>
        </tpls>
      </n>
      <n v="3429461504">
        <tpls c="8">
          <tpl hier="2" item="0"/>
          <tpl hier="4" item="1"/>
          <tpl fld="2" item="40"/>
          <tpl fld="4" item="96"/>
          <tpl hier="9" item="4"/>
          <tpl hier="11" item="6"/>
          <tpl hier="12" item="5"/>
          <tpl fld="1" item="0"/>
        </tpls>
      </n>
      <n v="982624320">
        <tpls c="8">
          <tpl hier="2" item="0"/>
          <tpl hier="4" item="1"/>
          <tpl fld="2" item="24"/>
          <tpl fld="4" item="96"/>
          <tpl hier="9" item="4"/>
          <tpl hier="11" item="6"/>
          <tpl hier="12" item="5"/>
          <tpl fld="1" item="0"/>
        </tpls>
      </n>
      <n v="824263872">
        <tpls c="8">
          <tpl hier="2" item="0"/>
          <tpl hier="4" item="1"/>
          <tpl fld="2" item="8"/>
          <tpl fld="4" item="96"/>
          <tpl hier="9" item="4"/>
          <tpl hier="11" item="6"/>
          <tpl hier="12" item="5"/>
          <tpl fld="1" item="0"/>
        </tpls>
      </n>
      <n v="420333191168">
        <tpls c="8">
          <tpl hier="2" item="0"/>
          <tpl hier="4" item="1"/>
          <tpl fld="2" item="43"/>
          <tpl fld="4" item="95"/>
          <tpl hier="9" item="4"/>
          <tpl hier="11" item="6"/>
          <tpl hier="12" item="5"/>
          <tpl fld="1" item="0"/>
        </tpls>
      </n>
      <n v="150180626432">
        <tpls c="8">
          <tpl hier="2" item="0"/>
          <tpl hier="4" item="1"/>
          <tpl fld="2" item="27"/>
          <tpl fld="4" item="95"/>
          <tpl hier="9" item="4"/>
          <tpl hier="11" item="6"/>
          <tpl hier="12" item="5"/>
          <tpl fld="1" item="0"/>
        </tpls>
      </n>
      <n v="34846109696">
        <tpls c="8">
          <tpl hier="2" item="0"/>
          <tpl hier="4" item="1"/>
          <tpl fld="2" item="11"/>
          <tpl fld="4" item="95"/>
          <tpl hier="9" item="4"/>
          <tpl hier="11" item="6"/>
          <tpl hier="12" item="5"/>
          <tpl fld="1" item="0"/>
        </tpls>
      </n>
      <n v="3840677888">
        <tpls c="8">
          <tpl hier="2" item="0"/>
          <tpl hier="4" item="1"/>
          <tpl fld="2" item="46"/>
          <tpl fld="4" item="94"/>
          <tpl hier="9" item="4"/>
          <tpl hier="11" item="6"/>
          <tpl hier="12" item="5"/>
          <tpl fld="1" item="0"/>
        </tpls>
      </n>
      <n v="1738100864">
        <tpls c="8">
          <tpl hier="2" item="0"/>
          <tpl hier="4" item="1"/>
          <tpl fld="2" item="30"/>
          <tpl fld="4" item="94"/>
          <tpl hier="9" item="4"/>
          <tpl hier="11" item="6"/>
          <tpl hier="12" item="5"/>
          <tpl fld="1" item="0"/>
        </tpls>
      </n>
      <n v="494475712">
        <tpls c="8">
          <tpl hier="2" item="0"/>
          <tpl hier="4" item="1"/>
          <tpl fld="2" item="14"/>
          <tpl fld="4" item="94"/>
          <tpl hier="9" item="4"/>
          <tpl hier="11" item="6"/>
          <tpl hier="12" item="5"/>
          <tpl fld="1" item="0"/>
        </tpls>
      </n>
      <n v="3985250816">
        <tpls c="8">
          <tpl hier="2" item="0"/>
          <tpl hier="4" item="1"/>
          <tpl fld="2" item="49"/>
          <tpl fld="4" item="93"/>
          <tpl hier="9" item="4"/>
          <tpl hier="11" item="6"/>
          <tpl hier="12" item="5"/>
          <tpl fld="1" item="0"/>
        </tpls>
      </n>
      <n v="1274190336">
        <tpls c="8">
          <tpl hier="2" item="0"/>
          <tpl hier="4" item="1"/>
          <tpl fld="2" item="33"/>
          <tpl fld="4" item="93"/>
          <tpl hier="9" item="4"/>
          <tpl hier="11" item="6"/>
          <tpl hier="12" item="5"/>
          <tpl fld="1" item="0"/>
        </tpls>
      </n>
      <n v="980000000">
        <tpls c="8">
          <tpl hier="2" item="0"/>
          <tpl hier="4" item="1"/>
          <tpl fld="2" item="17"/>
          <tpl fld="4" item="93"/>
          <tpl hier="9" item="4"/>
          <tpl hier="11" item="6"/>
          <tpl hier="12" item="5"/>
          <tpl fld="1" item="0"/>
        </tpls>
      </n>
      <n v="301000000">
        <tpls c="8">
          <tpl hier="2" item="0"/>
          <tpl hier="4" item="1"/>
          <tpl fld="2" item="1"/>
          <tpl fld="4" item="93"/>
          <tpl hier="9" item="4"/>
          <tpl hier="11" item="6"/>
          <tpl hier="12" item="5"/>
          <tpl fld="1" item="0"/>
        </tpls>
      </n>
      <n v="35822407680">
        <tpls c="8">
          <tpl hier="2" item="0"/>
          <tpl hier="4" item="1"/>
          <tpl fld="2" item="36"/>
          <tpl fld="4" item="92"/>
          <tpl hier="9" item="4"/>
          <tpl hier="11" item="6"/>
          <tpl hier="12" item="5"/>
          <tpl fld="1" item="0"/>
        </tpls>
      </n>
      <n v="12408647680">
        <tpls c="8">
          <tpl hier="2" item="0"/>
          <tpl hier="4" item="1"/>
          <tpl fld="2" item="20"/>
          <tpl fld="4" item="92"/>
          <tpl hier="9" item="4"/>
          <tpl hier="11" item="6"/>
          <tpl hier="12" item="5"/>
          <tpl fld="1" item="0"/>
        </tpls>
      </n>
      <n v="4594999808">
        <tpls c="8">
          <tpl hier="2" item="0"/>
          <tpl hier="4" item="1"/>
          <tpl fld="2" item="4"/>
          <tpl fld="4" item="92"/>
          <tpl hier="9" item="4"/>
          <tpl hier="11" item="6"/>
          <tpl hier="12" item="5"/>
          <tpl fld="1" item="0"/>
        </tpls>
      </n>
      <n v="42066219008">
        <tpls c="8">
          <tpl hier="2" item="0"/>
          <tpl hier="4" item="1"/>
          <tpl fld="2" item="39"/>
          <tpl fld="4" item="91"/>
          <tpl hier="9" item="4"/>
          <tpl hier="11" item="6"/>
          <tpl hier="12" item="5"/>
          <tpl fld="1" item="0"/>
        </tpls>
      </n>
      <n v="10338679808">
        <tpls c="8">
          <tpl hier="2" item="0"/>
          <tpl hier="4" item="1"/>
          <tpl fld="2" item="23"/>
          <tpl fld="4" item="91"/>
          <tpl hier="9" item="4"/>
          <tpl hier="11" item="6"/>
          <tpl hier="12" item="5"/>
          <tpl fld="1" item="0"/>
        </tpls>
      </n>
      <n v="4104509696">
        <tpls c="8">
          <tpl hier="2" item="0"/>
          <tpl hier="4" item="1"/>
          <tpl fld="2" item="7"/>
          <tpl fld="4" item="91"/>
          <tpl hier="9" item="4"/>
          <tpl hier="11" item="6"/>
          <tpl hier="12" item="5"/>
          <tpl fld="1" item="0"/>
        </tpls>
      </n>
      <n v="396332695552">
        <tpls c="8">
          <tpl hier="2" item="0"/>
          <tpl hier="4" item="1"/>
          <tpl fld="2" item="42"/>
          <tpl fld="4" item="90"/>
          <tpl hier="9" item="4"/>
          <tpl hier="11" item="6"/>
          <tpl hier="12" item="5"/>
          <tpl fld="1" item="0"/>
        </tpls>
      </n>
      <n v="147606290432">
        <tpls c="8">
          <tpl hier="2" item="0"/>
          <tpl hier="4" item="1"/>
          <tpl fld="2" item="26"/>
          <tpl fld="4" item="90"/>
          <tpl hier="9" item="4"/>
          <tpl hier="11" item="6"/>
          <tpl hier="12" item="5"/>
          <tpl fld="1" item="0"/>
        </tpls>
      </n>
      <n v="82980487168">
        <tpls c="8">
          <tpl hier="2" item="0"/>
          <tpl hier="4" item="1"/>
          <tpl fld="2" item="10"/>
          <tpl fld="4" item="90"/>
          <tpl hier="9" item="4"/>
          <tpl hier="11" item="6"/>
          <tpl hier="12" item="5"/>
          <tpl fld="1" item="0"/>
        </tpls>
      </n>
      <n v="4218723840">
        <tpls c="8">
          <tpl hier="2" item="0"/>
          <tpl hier="4" item="1"/>
          <tpl fld="2" item="45"/>
          <tpl fld="4" item="89"/>
          <tpl hier="9" item="4"/>
          <tpl hier="11" item="6"/>
          <tpl hier="12" item="5"/>
          <tpl fld="1" item="0"/>
        </tpls>
      </n>
      <n v="669384768">
        <tpls c="8">
          <tpl hier="2" item="0"/>
          <tpl hier="4" item="1"/>
          <tpl fld="2" item="29"/>
          <tpl fld="4" item="89"/>
          <tpl hier="9" item="4"/>
          <tpl hier="11" item="6"/>
          <tpl hier="12" item="5"/>
          <tpl fld="1" item="0"/>
        </tpls>
      </n>
      <n v="995104320">
        <tpls c="8">
          <tpl hier="2" item="0"/>
          <tpl hier="4" item="1"/>
          <tpl fld="2" item="13"/>
          <tpl fld="4" item="89"/>
          <tpl hier="9" item="4"/>
          <tpl hier="11" item="6"/>
          <tpl hier="12" item="5"/>
          <tpl fld="1" item="0"/>
        </tpls>
      </n>
      <n v="1586008960">
        <tpls c="8">
          <tpl hier="2" item="0"/>
          <tpl hier="4" item="1"/>
          <tpl fld="2" item="48"/>
          <tpl fld="4" item="88"/>
          <tpl hier="9" item="4"/>
          <tpl hier="11" item="6"/>
          <tpl hier="12" item="5"/>
          <tpl fld="1" item="0"/>
        </tpls>
      </n>
      <n v="697518272">
        <tpls c="8">
          <tpl hier="2" item="0"/>
          <tpl hier="4" item="1"/>
          <tpl fld="2" item="32"/>
          <tpl fld="4" item="88"/>
          <tpl hier="9" item="4"/>
          <tpl hier="11" item="6"/>
          <tpl hier="12" item="5"/>
          <tpl fld="1" item="0"/>
        </tpls>
      </n>
      <n v="207850624">
        <tpls c="8">
          <tpl hier="2" item="0"/>
          <tpl hier="4" item="1"/>
          <tpl fld="2" item="16"/>
          <tpl fld="4" item="88"/>
          <tpl hier="9" item="4"/>
          <tpl hier="11" item="6"/>
          <tpl hier="12" item="5"/>
          <tpl fld="1" item="0"/>
        </tpls>
      </n>
      <n v="18432032">
        <tpls c="8">
          <tpl hier="2" item="0"/>
          <tpl hier="4" item="1"/>
          <tpl fld="2" item="0"/>
          <tpl fld="4" item="88"/>
          <tpl hier="9" item="4"/>
          <tpl hier="11" item="6"/>
          <tpl hier="12" item="5"/>
          <tpl fld="1" item="0"/>
        </tpls>
      </n>
      <n v="11022821376">
        <tpls c="8">
          <tpl hier="2" item="0"/>
          <tpl hier="4" item="1"/>
          <tpl fld="2" item="35"/>
          <tpl fld="4" item="87"/>
          <tpl hier="9" item="4"/>
          <tpl hier="11" item="6"/>
          <tpl hier="12" item="5"/>
          <tpl fld="1" item="0"/>
        </tpls>
      </n>
      <n v="6219793408">
        <tpls c="8">
          <tpl hier="2" item="0"/>
          <tpl hier="4" item="1"/>
          <tpl fld="2" item="19"/>
          <tpl fld="4" item="87"/>
          <tpl hier="9" item="4"/>
          <tpl hier="11" item="6"/>
          <tpl hier="12" item="5"/>
          <tpl fld="1" item="0"/>
        </tpls>
      </n>
      <n v="1863398400">
        <tpls c="8">
          <tpl hier="2" item="0"/>
          <tpl hier="4" item="1"/>
          <tpl fld="2" item="3"/>
          <tpl fld="4" item="87"/>
          <tpl hier="9" item="4"/>
          <tpl hier="11" item="6"/>
          <tpl hier="12" item="5"/>
          <tpl fld="1" item="0"/>
        </tpls>
      </n>
      <n v="519796785152">
        <tpls c="8">
          <tpl hier="2" item="0"/>
          <tpl hier="4" item="1"/>
          <tpl fld="2" item="38"/>
          <tpl fld="4" item="86"/>
          <tpl hier="9" item="4"/>
          <tpl hier="11" item="6"/>
          <tpl hier="12" item="5"/>
          <tpl fld="1" item="0"/>
        </tpls>
      </n>
      <n v="137087877120">
        <tpls c="8">
          <tpl hier="2" item="0"/>
          <tpl hier="4" item="1"/>
          <tpl fld="2" item="22"/>
          <tpl fld="4" item="86"/>
          <tpl hier="9" item="4"/>
          <tpl hier="11" item="6"/>
          <tpl hier="12" item="5"/>
          <tpl fld="1" item="0"/>
        </tpls>
      </n>
      <n v="64005664768">
        <tpls c="8">
          <tpl hier="2" item="0"/>
          <tpl hier="4" item="1"/>
          <tpl fld="2" item="6"/>
          <tpl fld="4" item="86"/>
          <tpl hier="9" item="4"/>
          <tpl hier="11" item="6"/>
          <tpl hier="12" item="5"/>
          <tpl fld="1" item="0"/>
        </tpls>
      </n>
      <n v="6912074240">
        <tpls c="8">
          <tpl hier="2" item="0"/>
          <tpl hier="4" item="1"/>
          <tpl fld="2" item="41"/>
          <tpl fld="4" item="85"/>
          <tpl hier="9" item="4"/>
          <tpl hier="11" item="6"/>
          <tpl hier="12" item="5"/>
          <tpl fld="1" item="0"/>
        </tpls>
      </n>
      <n v="1293534976">
        <tpls c="8">
          <tpl hier="2" item="0"/>
          <tpl hier="4" item="1"/>
          <tpl fld="2" item="25"/>
          <tpl fld="4" item="85"/>
          <tpl hier="9" item="4"/>
          <tpl hier="11" item="6"/>
          <tpl hier="12" item="5"/>
          <tpl fld="1" item="0"/>
        </tpls>
      </n>
      <n v="1109346176">
        <tpls c="8">
          <tpl hier="2" item="0"/>
          <tpl hier="4" item="1"/>
          <tpl fld="2" item="9"/>
          <tpl fld="4" item="85"/>
          <tpl hier="9" item="4"/>
          <tpl hier="11" item="6"/>
          <tpl hier="12" item="5"/>
          <tpl fld="1" item="0"/>
        </tpls>
      </n>
      <n v="102445801472">
        <tpls c="8">
          <tpl hier="2" item="0"/>
          <tpl hier="4" item="1"/>
          <tpl fld="2" item="44"/>
          <tpl fld="4" item="84"/>
          <tpl hier="9" item="4"/>
          <tpl hier="11" item="6"/>
          <tpl hier="12" item="5"/>
          <tpl fld="1" item="0"/>
        </tpls>
      </n>
      <n v="54086402048">
        <tpls c="8">
          <tpl hier="2" item="0"/>
          <tpl hier="4" item="1"/>
          <tpl fld="2" item="28"/>
          <tpl fld="4" item="84"/>
          <tpl hier="9" item="4"/>
          <tpl hier="11" item="6"/>
          <tpl hier="12" item="5"/>
          <tpl fld="1" item="0"/>
        </tpls>
      </n>
      <n v="16764199936">
        <tpls c="8">
          <tpl hier="2" item="0"/>
          <tpl hier="4" item="1"/>
          <tpl fld="2" item="12"/>
          <tpl fld="4" item="84"/>
          <tpl hier="9" item="4"/>
          <tpl hier="11" item="6"/>
          <tpl hier="12" item="5"/>
          <tpl fld="1" item="0"/>
        </tpls>
      </n>
      <n v="328480751616">
        <tpls c="8">
          <tpl hier="2" item="0"/>
          <tpl hier="4" item="1"/>
          <tpl fld="2" item="47"/>
          <tpl fld="4" item="83"/>
          <tpl hier="9" item="4"/>
          <tpl hier="11" item="6"/>
          <tpl hier="12" item="5"/>
          <tpl fld="1" item="0"/>
        </tpls>
      </n>
      <n v="78921072640">
        <tpls c="8">
          <tpl hier="2" item="0"/>
          <tpl hier="4" item="1"/>
          <tpl fld="2" item="31"/>
          <tpl fld="4" item="83"/>
          <tpl hier="9" item="4"/>
          <tpl hier="11" item="6"/>
          <tpl hier="12" item="5"/>
          <tpl fld="1" item="0"/>
        </tpls>
      </n>
      <n v="30734336000">
        <tpls c="8">
          <tpl hier="2" item="0"/>
          <tpl hier="4" item="1"/>
          <tpl fld="2" item="15"/>
          <tpl fld="4" item="83"/>
          <tpl hier="9" item="4"/>
          <tpl hier="11" item="6"/>
          <tpl hier="12" item="5"/>
          <tpl fld="1" item="0"/>
        </tpls>
      </n>
      <n v="3509264170496">
        <tpls c="8">
          <tpl hier="2" item="0"/>
          <tpl hier="4" item="1"/>
          <tpl hier="5" item="3"/>
          <tpl fld="4" item="82"/>
          <tpl hier="9" item="4"/>
          <tpl hier="11" item="6"/>
          <tpl hier="12" item="5"/>
          <tpl fld="1" item="0"/>
        </tpls>
      </n>
      <n v="66768703488">
        <tpls c="8">
          <tpl hier="2" item="0"/>
          <tpl hier="4" item="1"/>
          <tpl fld="2" item="34"/>
          <tpl fld="4" item="82"/>
          <tpl hier="9" item="4"/>
          <tpl hier="11" item="6"/>
          <tpl hier="12" item="5"/>
          <tpl fld="1" item="0"/>
        </tpls>
      </n>
      <n v="15439408128">
        <tpls c="8">
          <tpl hier="2" item="0"/>
          <tpl hier="4" item="1"/>
          <tpl fld="2" item="18"/>
          <tpl fld="4" item="82"/>
          <tpl hier="9" item="4"/>
          <tpl hier="11" item="6"/>
          <tpl hier="12" item="5"/>
          <tpl fld="1" item="0"/>
        </tpls>
      </n>
      <n v="9189413888">
        <tpls c="8">
          <tpl hier="2" item="0"/>
          <tpl hier="4" item="1"/>
          <tpl fld="2" item="2"/>
          <tpl fld="4" item="82"/>
          <tpl hier="9" item="4"/>
          <tpl hier="11" item="6"/>
          <tpl hier="12" item="5"/>
          <tpl fld="1" item="0"/>
        </tpls>
      </n>
      <n v="17856270336">
        <tpls c="8">
          <tpl hier="2" item="0"/>
          <tpl hier="4" item="1"/>
          <tpl fld="2" item="37"/>
          <tpl fld="4" item="81"/>
          <tpl hier="9" item="4"/>
          <tpl hier="11" item="6"/>
          <tpl hier="12" item="5"/>
          <tpl fld="1" item="0"/>
        </tpls>
      </n>
      <n v="6984367616">
        <tpls c="8">
          <tpl hier="2" item="0"/>
          <tpl hier="4" item="1"/>
          <tpl fld="2" item="21"/>
          <tpl fld="4" item="81"/>
          <tpl hier="9" item="4"/>
          <tpl hier="11" item="6"/>
          <tpl hier="12" item="5"/>
          <tpl fld="1" item="0"/>
        </tpls>
      </n>
      <n v="1511420672">
        <tpls c="8">
          <tpl hier="2" item="0"/>
          <tpl hier="4" item="1"/>
          <tpl fld="2" item="5"/>
          <tpl fld="4" item="81"/>
          <tpl hier="9" item="4"/>
          <tpl hier="11" item="6"/>
          <tpl hier="12" item="5"/>
          <tpl fld="1" item="0"/>
        </tpls>
      </n>
      <n v="14250755072">
        <tpls c="8">
          <tpl hier="2" item="0"/>
          <tpl hier="4" item="1"/>
          <tpl fld="2" item="40"/>
          <tpl fld="4" item="80"/>
          <tpl hier="9" item="4"/>
          <tpl hier="11" item="6"/>
          <tpl hier="12" item="5"/>
          <tpl fld="1" item="0"/>
        </tpls>
      </n>
      <n v="5502786048">
        <tpls c="8">
          <tpl hier="2" item="0"/>
          <tpl hier="4" item="1"/>
          <tpl fld="2" item="24"/>
          <tpl fld="4" item="80"/>
          <tpl hier="9" item="4"/>
          <tpl hier="11" item="6"/>
          <tpl hier="12" item="5"/>
          <tpl fld="1" item="0"/>
        </tpls>
      </n>
      <n v="1947947520">
        <tpls c="8">
          <tpl hier="2" item="0"/>
          <tpl hier="4" item="1"/>
          <tpl fld="2" item="8"/>
          <tpl fld="4" item="80"/>
          <tpl hier="9" item="4"/>
          <tpl hier="11" item="6"/>
          <tpl hier="12" item="5"/>
          <tpl fld="1" item="0"/>
        </tpls>
      </n>
      <n v="45599997952">
        <tpls c="8">
          <tpl hier="2" item="0"/>
          <tpl hier="4" item="1"/>
          <tpl fld="2" item="43"/>
          <tpl fld="4" item="79"/>
          <tpl hier="9" item="4"/>
          <tpl hier="11" item="6"/>
          <tpl hier="12" item="5"/>
          <tpl fld="1" item="0"/>
        </tpls>
      </n>
      <n v="10677285888">
        <tpls c="8">
          <tpl hier="2" item="0"/>
          <tpl hier="4" item="1"/>
          <tpl fld="2" item="27"/>
          <tpl fld="4" item="79"/>
          <tpl hier="9" item="4"/>
          <tpl hier="11" item="6"/>
          <tpl hier="12" item="5"/>
          <tpl fld="1" item="0"/>
        </tpls>
      </n>
      <n v="5222421504">
        <tpls c="8">
          <tpl hier="2" item="0"/>
          <tpl hier="4" item="1"/>
          <tpl fld="2" item="11"/>
          <tpl fld="4" item="79"/>
          <tpl hier="9" item="4"/>
          <tpl hier="11" item="6"/>
          <tpl hier="12" item="5"/>
          <tpl fld="1" item="0"/>
        </tpls>
      </n>
      <n v="278654648320">
        <tpls c="8">
          <tpl hier="2" item="0"/>
          <tpl hier="4" item="1"/>
          <tpl fld="2" item="46"/>
          <tpl fld="4" item="78"/>
          <tpl hier="9" item="4"/>
          <tpl hier="11" item="6"/>
          <tpl hier="12" item="5"/>
          <tpl fld="1" item="0"/>
        </tpls>
      </n>
      <n v="82017746944">
        <tpls c="8">
          <tpl hier="2" item="0"/>
          <tpl hier="4" item="1"/>
          <tpl fld="2" item="30"/>
          <tpl fld="4" item="78"/>
          <tpl hier="9" item="4"/>
          <tpl hier="11" item="6"/>
          <tpl hier="12" item="5"/>
          <tpl fld="1" item="0"/>
        </tpls>
      </n>
      <n v="31151824896">
        <tpls c="8">
          <tpl hier="2" item="0"/>
          <tpl hier="4" item="1"/>
          <tpl fld="2" item="14"/>
          <tpl fld="4" item="78"/>
          <tpl hier="9" item="4"/>
          <tpl hier="11" item="6"/>
          <tpl hier="12" item="5"/>
          <tpl fld="1" item="0"/>
        </tpls>
      </n>
      <n v="76983091200">
        <tpls c="8">
          <tpl hier="2" item="0"/>
          <tpl hier="4" item="1"/>
          <tpl fld="2" item="49"/>
          <tpl fld="4" item="77"/>
          <tpl hier="9" item="4"/>
          <tpl hier="11" item="6"/>
          <tpl hier="12" item="5"/>
          <tpl fld="1" item="0"/>
        </tpls>
      </n>
      <n v="21633810432">
        <tpls c="8">
          <tpl hier="2" item="0"/>
          <tpl hier="4" item="1"/>
          <tpl fld="2" item="33"/>
          <tpl fld="4" item="77"/>
          <tpl hier="9" item="4"/>
          <tpl hier="11" item="6"/>
          <tpl hier="12" item="5"/>
          <tpl fld="1" item="0"/>
        </tpls>
      </n>
      <n v="7811183104">
        <tpls c="8">
          <tpl hier="2" item="0"/>
          <tpl hier="4" item="1"/>
          <tpl fld="2" item="17"/>
          <tpl fld="4" item="77"/>
          <tpl hier="9" item="4"/>
          <tpl hier="11" item="6"/>
          <tpl hier="12" item="5"/>
          <tpl fld="1" item="0"/>
        </tpls>
      </n>
      <n v="301010592">
        <tpls c="8">
          <tpl hier="2" item="0"/>
          <tpl hier="4" item="1"/>
          <tpl fld="2" item="1"/>
          <tpl fld="4" item="77"/>
          <tpl hier="9" item="4"/>
          <tpl hier="11" item="6"/>
          <tpl hier="12" item="5"/>
          <tpl fld="1" item="0"/>
        </tpls>
      </n>
      <n v="236103974912">
        <tpls c="8">
          <tpl hier="2" item="0"/>
          <tpl hier="4" item="1"/>
          <tpl fld="2" item="36"/>
          <tpl fld="4" item="76"/>
          <tpl hier="9" item="4"/>
          <tpl hier="11" item="6"/>
          <tpl hier="12" item="5"/>
          <tpl fld="1" item="0"/>
        </tpls>
      </n>
      <n v="54035795968">
        <tpls c="8">
          <tpl hier="2" item="0"/>
          <tpl hier="4" item="1"/>
          <tpl fld="2" item="20"/>
          <tpl fld="4" item="76"/>
          <tpl hier="9" item="4"/>
          <tpl hier="11" item="6"/>
          <tpl hier="12" item="5"/>
          <tpl fld="1" item="0"/>
        </tpls>
      </n>
      <n v="24846641152">
        <tpls c="8">
          <tpl hier="2" item="0"/>
          <tpl hier="4" item="1"/>
          <tpl fld="2" item="4"/>
          <tpl fld="4" item="76"/>
          <tpl hier="9" item="4"/>
          <tpl hier="11" item="6"/>
          <tpl hier="12" item="5"/>
          <tpl fld="1" item="0"/>
        </tpls>
      </n>
      <n v="7278718464">
        <tpls c="8">
          <tpl hier="2" item="0"/>
          <tpl hier="4" item="1"/>
          <tpl fld="2" item="39"/>
          <tpl fld="4" item="75"/>
          <tpl hier="9" item="4"/>
          <tpl hier="11" item="6"/>
          <tpl hier="12" item="5"/>
          <tpl fld="1" item="0"/>
        </tpls>
      </n>
      <n v="2225270528">
        <tpls c="8">
          <tpl hier="2" item="0"/>
          <tpl hier="4" item="1"/>
          <tpl fld="2" item="23"/>
          <tpl fld="4" item="75"/>
          <tpl hier="9" item="4"/>
          <tpl hier="11" item="6"/>
          <tpl hier="12" item="5"/>
          <tpl fld="1" item="0"/>
        </tpls>
      </n>
      <n v="1291457920">
        <tpls c="8">
          <tpl hier="2" item="0"/>
          <tpl hier="4" item="1"/>
          <tpl fld="2" item="7"/>
          <tpl fld="4" item="75"/>
          <tpl hier="9" item="4"/>
          <tpl hier="11" item="6"/>
          <tpl hier="12" item="5"/>
          <tpl fld="1" item="0"/>
        </tpls>
      </n>
      <n v="10531963904">
        <tpls c="8">
          <tpl hier="2" item="0"/>
          <tpl hier="4" item="1"/>
          <tpl fld="2" item="42"/>
          <tpl fld="4" item="74"/>
          <tpl hier="9" item="4"/>
          <tpl hier="11" item="6"/>
          <tpl hier="12" item="5"/>
          <tpl fld="1" item="0"/>
        </tpls>
      </n>
      <n v="4308352000">
        <tpls c="8">
          <tpl hier="2" item="0"/>
          <tpl hier="4" item="1"/>
          <tpl fld="2" item="26"/>
          <tpl fld="4" item="74"/>
          <tpl hier="9" item="4"/>
          <tpl hier="11" item="6"/>
          <tpl hier="12" item="5"/>
          <tpl fld="1" item="0"/>
        </tpls>
      </n>
      <n v="2189347328">
        <tpls c="8">
          <tpl hier="2" item="0"/>
          <tpl hier="4" item="1"/>
          <tpl fld="2" item="10"/>
          <tpl fld="4" item="74"/>
          <tpl hier="9" item="4"/>
          <tpl hier="11" item="6"/>
          <tpl hier="12" item="5"/>
          <tpl fld="1" item="0"/>
        </tpls>
      </n>
      <n v="21410840576">
        <tpls c="8">
          <tpl hier="2" item="0"/>
          <tpl hier="4" item="1"/>
          <tpl fld="2" item="45"/>
          <tpl fld="4" item="73"/>
          <tpl hier="9" item="4"/>
          <tpl hier="11" item="6"/>
          <tpl hier="12" item="5"/>
          <tpl fld="1" item="0"/>
        </tpls>
      </n>
      <n v="5033642496">
        <tpls c="8">
          <tpl hier="2" item="0"/>
          <tpl hier="4" item="1"/>
          <tpl fld="2" item="29"/>
          <tpl fld="4" item="73"/>
          <tpl hier="9" item="4"/>
          <tpl hier="11" item="6"/>
          <tpl hier="12" item="5"/>
          <tpl fld="1" item="0"/>
        </tpls>
      </n>
      <n v="2447174912">
        <tpls c="8">
          <tpl hier="2" item="0"/>
          <tpl hier="4" item="1"/>
          <tpl fld="2" item="13"/>
          <tpl fld="4" item="73"/>
          <tpl hier="9" item="4"/>
          <tpl hier="11" item="6"/>
          <tpl hier="12" item="5"/>
          <tpl fld="1" item="0"/>
        </tpls>
      </n>
      <n v="117921390592">
        <tpls c="8">
          <tpl hier="2" item="0"/>
          <tpl hier="4" item="1"/>
          <tpl fld="2" item="48"/>
          <tpl fld="4" item="72"/>
          <tpl hier="9" item="4"/>
          <tpl hier="11" item="6"/>
          <tpl hier="12" item="5"/>
          <tpl fld="1" item="0"/>
        </tpls>
      </n>
      <n v="42236837888">
        <tpls c="8">
          <tpl hier="2" item="0"/>
          <tpl hier="4" item="1"/>
          <tpl fld="2" item="32"/>
          <tpl fld="4" item="72"/>
          <tpl hier="9" item="4"/>
          <tpl hier="11" item="6"/>
          <tpl hier="12" item="5"/>
          <tpl fld="1" item="0"/>
        </tpls>
      </n>
      <n v="19462174720">
        <tpls c="8">
          <tpl hier="2" item="0"/>
          <tpl hier="4" item="1"/>
          <tpl fld="2" item="16"/>
          <tpl fld="4" item="72"/>
          <tpl hier="9" item="4"/>
          <tpl hier="11" item="6"/>
          <tpl hier="12" item="5"/>
          <tpl fld="1" item="0"/>
        </tpls>
      </n>
      <n v="3956328448">
        <tpls c="8">
          <tpl hier="2" item="0"/>
          <tpl hier="4" item="1"/>
          <tpl fld="2" item="0"/>
          <tpl fld="4" item="72"/>
          <tpl hier="9" item="4"/>
          <tpl hier="11" item="6"/>
          <tpl hier="12" item="5"/>
          <tpl fld="1" item="0"/>
        </tpls>
      </n>
      <n v="877476249600">
        <tpls c="8">
          <tpl hier="2" item="0"/>
          <tpl hier="4" item="1"/>
          <tpl fld="2" item="35"/>
          <tpl fld="4" item="71"/>
          <tpl hier="9" item="4"/>
          <tpl hier="11" item="6"/>
          <tpl hier="12" item="5"/>
          <tpl fld="1" item="0"/>
        </tpls>
      </n>
      <n v="221400662016">
        <tpls c="8">
          <tpl hier="2" item="0"/>
          <tpl hier="4" item="1"/>
          <tpl fld="2" item="19"/>
          <tpl fld="4" item="71"/>
          <tpl hier="9" item="4"/>
          <tpl hier="11" item="6"/>
          <tpl hier="12" item="5"/>
          <tpl fld="1" item="0"/>
        </tpls>
      </n>
      <n v="55280001024">
        <tpls c="8">
          <tpl hier="2" item="0"/>
          <tpl hier="4" item="1"/>
          <tpl fld="2" item="3"/>
          <tpl fld="4" item="71"/>
          <tpl hier="9" item="4"/>
          <tpl hier="11" item="6"/>
          <tpl hier="12" item="5"/>
          <tpl fld="1" item="0"/>
        </tpls>
      </n>
      <n v="5138471424">
        <tpls c="8">
          <tpl hier="2" item="0"/>
          <tpl hier="4" item="1"/>
          <tpl fld="2" item="38"/>
          <tpl fld="4" item="70"/>
          <tpl hier="9" item="4"/>
          <tpl hier="11" item="6"/>
          <tpl hier="12" item="5"/>
          <tpl fld="1" item="0"/>
        </tpls>
      </n>
      <n v="2164292096">
        <tpls c="8">
          <tpl hier="2" item="0"/>
          <tpl hier="4" item="1"/>
          <tpl fld="2" item="22"/>
          <tpl fld="4" item="70"/>
          <tpl hier="9" item="4"/>
          <tpl hier="11" item="6"/>
          <tpl hier="12" item="5"/>
          <tpl fld="1" item="0"/>
        </tpls>
      </n>
      <n v="775046400">
        <tpls c="8">
          <tpl hier="2" item="0"/>
          <tpl hier="4" item="1"/>
          <tpl fld="2" item="6"/>
          <tpl fld="4" item="70"/>
          <tpl hier="9" item="4"/>
          <tpl hier="11" item="6"/>
          <tpl hier="12" item="5"/>
          <tpl fld="1" item="0"/>
        </tpls>
      </n>
      <n v="12995075072">
        <tpls c="8">
          <tpl hier="2" item="0"/>
          <tpl hier="4" item="1"/>
          <tpl fld="2" item="41"/>
          <tpl fld="4" item="69"/>
          <tpl hier="9" item="4"/>
          <tpl hier="11" item="6"/>
          <tpl hier="12" item="5"/>
          <tpl fld="1" item="0"/>
        </tpls>
      </n>
      <n v="2706425344">
        <tpls c="8">
          <tpl hier="2" item="0"/>
          <tpl hier="4" item="1"/>
          <tpl fld="2" item="25"/>
          <tpl fld="4" item="69"/>
          <tpl hier="9" item="4"/>
          <tpl hier="11" item="6"/>
          <tpl hier="12" item="5"/>
          <tpl fld="1" item="0"/>
        </tpls>
      </n>
      <n v="1595423232">
        <tpls c="8">
          <tpl hier="2" item="0"/>
          <tpl hier="4" item="1"/>
          <tpl fld="2" item="9"/>
          <tpl fld="4" item="69"/>
          <tpl hier="9" item="4"/>
          <tpl hier="11" item="6"/>
          <tpl hier="12" item="5"/>
          <tpl fld="1" item="0"/>
        </tpls>
      </n>
      <n v="338061950976">
        <tpls c="8">
          <tpl hier="2" item="0"/>
          <tpl hier="4" item="1"/>
          <tpl fld="2" item="44"/>
          <tpl fld="4" item="68"/>
          <tpl hier="9" item="4"/>
          <tpl hier="11" item="6"/>
          <tpl hier="12" item="5"/>
          <tpl fld="1" item="0"/>
        </tpls>
      </n>
      <n v="72167497728">
        <tpls c="8">
          <tpl hier="2" item="0"/>
          <tpl hier="4" item="1"/>
          <tpl fld="2" item="28"/>
          <tpl fld="4" item="68"/>
          <tpl hier="9" item="4"/>
          <tpl hier="11" item="6"/>
          <tpl hier="12" item="5"/>
          <tpl fld="1" item="0"/>
        </tpls>
      </n>
      <n v="26804402176">
        <tpls c="8">
          <tpl hier="2" item="0"/>
          <tpl hier="4" item="1"/>
          <tpl fld="2" item="12"/>
          <tpl fld="4" item="68"/>
          <tpl hier="9" item="4"/>
          <tpl hier="11" item="6"/>
          <tpl hier="12" item="5"/>
          <tpl fld="1" item="0"/>
        </tpls>
      </n>
      <n v="6303292416">
        <tpls c="8">
          <tpl hier="2" item="0"/>
          <tpl hier="4" item="1"/>
          <tpl fld="2" item="47"/>
          <tpl fld="4" item="67"/>
          <tpl hier="9" item="4"/>
          <tpl hier="11" item="6"/>
          <tpl hier="12" item="5"/>
          <tpl fld="1" item="0"/>
        </tpls>
      </n>
      <n v="1716502912">
        <tpls c="8">
          <tpl hier="2" item="0"/>
          <tpl hier="4" item="1"/>
          <tpl fld="2" item="31"/>
          <tpl fld="4" item="67"/>
          <tpl hier="9" item="4"/>
          <tpl hier="11" item="6"/>
          <tpl hier="12" item="5"/>
          <tpl fld="1" item="0"/>
        </tpls>
      </n>
      <n v="1131347840">
        <tpls c="8">
          <tpl hier="2" item="0"/>
          <tpl hier="4" item="1"/>
          <tpl fld="2" item="15"/>
          <tpl fld="4" item="67"/>
          <tpl hier="9" item="4"/>
          <tpl hier="11" item="6"/>
          <tpl hier="12" item="5"/>
          <tpl fld="1" item="0"/>
        </tpls>
      </n>
      <n v="291770532608">
        <tpls c="8">
          <tpl hier="2" item="0"/>
          <tpl hier="4" item="1"/>
          <tpl hier="5" item="3"/>
          <tpl fld="4" item="66"/>
          <tpl hier="9" item="4"/>
          <tpl hier="11" item="6"/>
          <tpl hier="12" item="5"/>
          <tpl fld="1" item="0"/>
        </tpls>
      </n>
      <n v="5064732672">
        <tpls c="8">
          <tpl hier="2" item="0"/>
          <tpl hier="4" item="1"/>
          <tpl fld="2" item="34"/>
          <tpl fld="4" item="66"/>
          <tpl hier="9" item="4"/>
          <tpl hier="11" item="6"/>
          <tpl hier="12" item="5"/>
          <tpl fld="1" item="0"/>
        </tpls>
      </n>
      <n v="3189456896">
        <tpls c="8">
          <tpl hier="2" item="0"/>
          <tpl hier="4" item="1"/>
          <tpl fld="2" item="18"/>
          <tpl fld="4" item="66"/>
          <tpl hier="9" item="4"/>
          <tpl hier="11" item="6"/>
          <tpl hier="12" item="5"/>
          <tpl fld="1" item="0"/>
        </tpls>
      </n>
      <n v="1341590656">
        <tpls c="8">
          <tpl hier="2" item="0"/>
          <tpl hier="4" item="1"/>
          <tpl fld="2" item="2"/>
          <tpl fld="4" item="66"/>
          <tpl hier="9" item="4"/>
          <tpl hier="11" item="6"/>
          <tpl hier="12" item="5"/>
          <tpl fld="1" item="0"/>
        </tpls>
      </n>
      <n v="1716262784">
        <tpls c="8">
          <tpl hier="2" item="0"/>
          <tpl hier="4" item="1"/>
          <tpl fld="2" item="37"/>
          <tpl fld="4" item="65"/>
          <tpl hier="9" item="4"/>
          <tpl hier="11" item="6"/>
          <tpl hier="12" item="5"/>
          <tpl fld="1" item="0"/>
        </tpls>
      </n>
      <n v="704329216">
        <tpls c="8">
          <tpl hier="2" item="0"/>
          <tpl hier="4" item="1"/>
          <tpl fld="2" item="21"/>
          <tpl fld="4" item="65"/>
          <tpl hier="9" item="4"/>
          <tpl hier="11" item="6"/>
          <tpl hier="12" item="5"/>
          <tpl fld="1" item="0"/>
        </tpls>
      </n>
      <n v="149560512">
        <tpls c="8">
          <tpl hier="2" item="0"/>
          <tpl hier="4" item="1"/>
          <tpl fld="2" item="5"/>
          <tpl fld="4" item="65"/>
          <tpl hier="9" item="4"/>
          <tpl hier="11" item="6"/>
          <tpl hier="12" item="5"/>
          <tpl fld="1" item="0"/>
        </tpls>
      </n>
      <n v="156120896">
        <tpls c="8">
          <tpl hier="2" item="0"/>
          <tpl hier="4" item="1"/>
          <tpl fld="2" item="40"/>
          <tpl fld="4" item="64"/>
          <tpl hier="9" item="4"/>
          <tpl hier="11" item="6"/>
          <tpl hier="12" item="5"/>
          <tpl fld="1" item="0"/>
        </tpls>
      </n>
      <n v="54832576">
        <tpls c="8">
          <tpl hier="2" item="0"/>
          <tpl hier="4" item="1"/>
          <tpl fld="2" item="24"/>
          <tpl fld="4" item="64"/>
          <tpl hier="9" item="4"/>
          <tpl hier="11" item="6"/>
          <tpl hier="12" item="5"/>
          <tpl fld="1" item="0"/>
        </tpls>
      </n>
      <n v="45210028">
        <tpls c="8">
          <tpl hier="2" item="0"/>
          <tpl hier="4" item="1"/>
          <tpl fld="2" item="8"/>
          <tpl fld="4" item="64"/>
          <tpl hier="9" item="4"/>
          <tpl hier="11" item="6"/>
          <tpl hier="12" item="5"/>
          <tpl fld="1" item="0"/>
        </tpls>
      </n>
      <n v="1560681130831102">
        <tpls c="8">
          <tpl hier="2" item="0"/>
          <tpl hier="4" item="1"/>
          <tpl hier="5" item="3"/>
          <tpl hier="6" item="2"/>
          <tpl hier="9" item="4"/>
          <tpl hier="11" item="6"/>
          <tpl hier="12" item="5"/>
          <tpl fld="1" item="0"/>
        </tpls>
      </n>
      <n v="435808942592">
        <tpls c="8">
          <tpl hier="2" item="0"/>
          <tpl hier="4" item="1"/>
          <tpl hier="5" item="3"/>
          <tpl fld="4" item="102"/>
          <tpl hier="9" item="4"/>
          <tpl hier="11" item="6"/>
          <tpl hier="12" item="5"/>
          <tpl fld="1" item="0"/>
        </tpls>
      </n>
      <n v="3982161408">
        <tpls c="8">
          <tpl hier="2" item="0"/>
          <tpl hier="4" item="1"/>
          <tpl fld="2" item="4"/>
          <tpl fld="4" item="102"/>
          <tpl hier="9" item="4"/>
          <tpl hier="11" item="6"/>
          <tpl hier="12" item="5"/>
          <tpl fld="1" item="0"/>
        </tpls>
      </n>
      <n v="3998637568">
        <tpls c="8">
          <tpl hier="2" item="0"/>
          <tpl hier="4" item="1"/>
          <tpl fld="2" item="19"/>
          <tpl fld="4" item="101"/>
          <tpl hier="9" item="4"/>
          <tpl hier="11" item="6"/>
          <tpl hier="12" item="5"/>
          <tpl fld="1" item="0"/>
        </tpls>
      </n>
      <n v="17474648064">
        <tpls c="8">
          <tpl hier="2" item="0"/>
          <tpl hier="4" item="1"/>
          <tpl fld="2" item="24"/>
          <tpl fld="4" item="100"/>
          <tpl hier="9" item="4"/>
          <tpl hier="11" item="6"/>
          <tpl hier="12" item="5"/>
          <tpl fld="1" item="0"/>
        </tpls>
      </n>
      <n v="255884296192">
        <tpls c="8">
          <tpl hier="2" item="0"/>
          <tpl hier="4" item="1"/>
          <tpl fld="2" item="29"/>
          <tpl fld="4" item="99"/>
          <tpl hier="9" item="4"/>
          <tpl hier="11" item="6"/>
          <tpl hier="12" item="5"/>
          <tpl fld="1" item="0"/>
        </tpls>
      </n>
      <n v="47632326656">
        <tpls c="8">
          <tpl hier="2" item="0"/>
          <tpl hier="4" item="1"/>
          <tpl fld="2" item="44"/>
          <tpl fld="4" item="98"/>
          <tpl hier="9" item="4"/>
          <tpl hier="11" item="6"/>
          <tpl hier="12" item="5"/>
          <tpl fld="1" item="0"/>
        </tpls>
      </n>
      <n v="24100202496">
        <tpls c="8">
          <tpl hier="2" item="0"/>
          <tpl hier="4" item="1"/>
          <tpl fld="2" item="49"/>
          <tpl fld="4" item="97"/>
          <tpl hier="9" item="4"/>
          <tpl hier="11" item="6"/>
          <tpl hier="12" item="5"/>
          <tpl fld="1" item="0"/>
        </tpls>
      </n>
      <n v="1308799488">
        <tpls c="8">
          <tpl hier="2" item="0"/>
          <tpl hier="4" item="1"/>
          <tpl fld="2" item="3"/>
          <tpl fld="4" item="97"/>
          <tpl hier="9" item="4"/>
          <tpl hier="11" item="6"/>
          <tpl hier="12" item="5"/>
          <tpl fld="1" item="0"/>
        </tpls>
      </n>
      <n v="1378847488">
        <tpls c="8">
          <tpl hier="2" item="0"/>
          <tpl hier="4" item="1"/>
          <tpl fld="2" item="18"/>
          <tpl fld="4" item="96"/>
          <tpl hier="9" item="4"/>
          <tpl hier="11" item="6"/>
          <tpl hier="12" item="5"/>
          <tpl fld="1" item="0"/>
        </tpls>
      </n>
      <n v="128889315328">
        <tpls c="8">
          <tpl hier="2" item="0"/>
          <tpl hier="4" item="1"/>
          <tpl fld="2" item="23"/>
          <tpl fld="4" item="95"/>
          <tpl hier="9" item="4"/>
          <tpl hier="11" item="6"/>
          <tpl hier="12" item="5"/>
          <tpl fld="1" item="0"/>
        </tpls>
      </n>
      <n v="1576904320">
        <tpls c="8">
          <tpl hier="2" item="0"/>
          <tpl hier="4" item="1"/>
          <tpl fld="2" item="28"/>
          <tpl fld="4" item="94"/>
          <tpl hier="9" item="4"/>
          <tpl hier="11" item="6"/>
          <tpl hier="12" item="5"/>
          <tpl fld="1" item="0"/>
        </tpls>
      </n>
      <n v="5145757696">
        <tpls c="8">
          <tpl hier="2" item="0"/>
          <tpl hier="4" item="1"/>
          <tpl fld="2" item="43"/>
          <tpl fld="4" item="93"/>
          <tpl hier="9" item="4"/>
          <tpl hier="11" item="6"/>
          <tpl hier="12" item="5"/>
          <tpl fld="1" item="0"/>
        </tpls>
      </n>
      <n v="26078607360">
        <tpls c="8">
          <tpl hier="2" item="0"/>
          <tpl hier="4" item="1"/>
          <tpl fld="2" item="48"/>
          <tpl fld="4" item="92"/>
          <tpl hier="9" item="4"/>
          <tpl hier="11" item="6"/>
          <tpl hier="12" item="5"/>
          <tpl fld="1" item="0"/>
        </tpls>
      </n>
      <n v="2881999872">
        <tpls c="8">
          <tpl hier="2" item="0"/>
          <tpl hier="4" item="1"/>
          <tpl fld="2" item="2"/>
          <tpl fld="4" item="92"/>
          <tpl hier="9" item="4"/>
          <tpl hier="11" item="6"/>
          <tpl hier="12" item="5"/>
          <tpl fld="1" item="0"/>
        </tpls>
      </n>
      <n v="6682167296">
        <tpls c="8">
          <tpl hier="2" item="0"/>
          <tpl hier="4" item="1"/>
          <tpl fld="2" item="17"/>
          <tpl fld="4" item="91"/>
          <tpl hier="9" item="4"/>
          <tpl hier="11" item="6"/>
          <tpl hier="12" item="5"/>
          <tpl fld="1" item="0"/>
        </tpls>
      </n>
      <n v="134544564224">
        <tpls c="8">
          <tpl hier="2" item="0"/>
          <tpl hier="4" item="1"/>
          <tpl fld="2" item="22"/>
          <tpl fld="4" item="90"/>
          <tpl hier="9" item="4"/>
          <tpl hier="11" item="6"/>
          <tpl hier="12" item="5"/>
          <tpl fld="1" item="0"/>
        </tpls>
      </n>
      <n v="850218048">
        <tpls c="8">
          <tpl hier="2" item="0"/>
          <tpl hier="4" item="1"/>
          <tpl fld="2" item="27"/>
          <tpl fld="4" item="89"/>
          <tpl hier="9" item="4"/>
          <tpl hier="11" item="6"/>
          <tpl hier="12" item="5"/>
          <tpl fld="1" item="0"/>
        </tpls>
      </n>
      <n v="1060226112">
        <tpls c="8">
          <tpl hier="2" item="0"/>
          <tpl hier="4" item="1"/>
          <tpl fld="2" item="42"/>
          <tpl fld="4" item="88"/>
          <tpl hier="9" item="4"/>
          <tpl hier="11" item="6"/>
          <tpl hier="12" item="5"/>
          <tpl fld="1" item="0"/>
        </tpls>
      </n>
      <n v="20996564992">
        <tpls c="8">
          <tpl hier="2" item="0"/>
          <tpl hier="4" item="1"/>
          <tpl fld="2" item="47"/>
          <tpl fld="4" item="87"/>
          <tpl hier="9" item="4"/>
          <tpl hier="11" item="6"/>
          <tpl hier="12" item="5"/>
          <tpl fld="1" item="0"/>
        </tpls>
      </n>
      <n v="1339548800">
        <tpls c="8">
          <tpl hier="2" item="0"/>
          <tpl hier="4" item="1"/>
          <tpl fld="2" item="1"/>
          <tpl fld="4" item="87"/>
          <tpl hier="9" item="4"/>
          <tpl hier="11" item="6"/>
          <tpl hier="12" item="5"/>
          <tpl fld="1" item="0"/>
        </tpls>
      </n>
      <n v="86961922048">
        <tpls c="8">
          <tpl hier="2" item="0"/>
          <tpl hier="4" item="1"/>
          <tpl fld="2" item="16"/>
          <tpl fld="4" item="86"/>
          <tpl hier="9" item="4"/>
          <tpl hier="11" item="6"/>
          <tpl hier="12" item="5"/>
          <tpl fld="1" item="0"/>
        </tpls>
      </n>
      <n v="1911601024">
        <tpls c="8">
          <tpl hier="2" item="0"/>
          <tpl hier="4" item="1"/>
          <tpl fld="2" item="21"/>
          <tpl fld="4" item="85"/>
          <tpl hier="9" item="4"/>
          <tpl hier="11" item="6"/>
          <tpl hier="12" item="5"/>
          <tpl fld="1" item="0"/>
        </tpls>
      </n>
      <n v="45340835840">
        <tpls c="8">
          <tpl hier="2" item="0"/>
          <tpl hier="4" item="1"/>
          <tpl fld="2" item="26"/>
          <tpl fld="4" item="84"/>
          <tpl hier="9" item="4"/>
          <tpl hier="11" item="6"/>
          <tpl hier="12" item="5"/>
          <tpl fld="1" item="0"/>
        </tpls>
      </n>
      <n v="234216734720">
        <tpls c="8">
          <tpl hier="2" item="0"/>
          <tpl hier="4" item="1"/>
          <tpl fld="2" item="41"/>
          <tpl fld="4" item="83"/>
          <tpl hier="9" item="4"/>
          <tpl hier="11" item="6"/>
          <tpl hier="12" item="5"/>
          <tpl fld="1" item="0"/>
        </tpls>
      </n>
      <n v="226848047104">
        <tpls c="8">
          <tpl hier="2" item="0"/>
          <tpl hier="4" item="1"/>
          <tpl fld="2" item="49"/>
          <tpl fld="4" item="82"/>
          <tpl hier="9" item="4"/>
          <tpl hier="11" item="6"/>
          <tpl hier="12" item="5"/>
          <tpl fld="1" item="0"/>
        </tpls>
      </n>
      <n v="16548827136">
        <tpls c="8">
          <tpl hier="2" item="0"/>
          <tpl hier="4" item="1"/>
          <tpl fld="2" item="15"/>
          <tpl fld="4" item="82"/>
          <tpl hier="9" item="4"/>
          <tpl hier="11" item="6"/>
          <tpl hier="12" item="5"/>
          <tpl fld="1" item="0"/>
        </tpls>
      </n>
      <n v="7196260864">
        <tpls c="8">
          <tpl hier="2" item="0"/>
          <tpl hier="4" item="1"/>
          <tpl fld="2" item="32"/>
          <tpl fld="4" item="81"/>
          <tpl hier="9" item="4"/>
          <tpl hier="11" item="6"/>
          <tpl hier="12" item="5"/>
          <tpl fld="1" item="0"/>
        </tpls>
      </n>
      <n v="24969611264">
        <tpls c="8">
          <tpl hier="2" item="0"/>
          <tpl hier="4" item="1"/>
          <tpl fld="2" item="49"/>
          <tpl fld="4" item="80"/>
          <tpl hier="9" item="4"/>
          <tpl hier="11" item="6"/>
          <tpl hier="12" item="5"/>
          <tpl fld="1" item="0"/>
        </tpls>
      </n>
      <n v="1511856640">
        <tpls c="8">
          <tpl hier="2" item="0"/>
          <tpl hier="4" item="1"/>
          <tpl fld="2" item="6"/>
          <tpl fld="4" item="80"/>
          <tpl hier="9" item="4"/>
          <tpl hier="11" item="6"/>
          <tpl hier="12" item="5"/>
          <tpl fld="1" item="0"/>
        </tpls>
      </n>
      <n v="8782585856">
        <tpls c="8">
          <tpl hier="2" item="0"/>
          <tpl hier="4" item="1"/>
          <tpl fld="2" item="23"/>
          <tpl fld="4" item="79"/>
          <tpl hier="9" item="4"/>
          <tpl hier="11" item="6"/>
          <tpl hier="12" item="5"/>
          <tpl fld="1" item="0"/>
        </tpls>
      </n>
      <n v="177165631488">
        <tpls c="8">
          <tpl hier="2" item="0"/>
          <tpl hier="4" item="1"/>
          <tpl fld="2" item="40"/>
          <tpl fld="4" item="78"/>
          <tpl hier="9" item="4"/>
          <tpl hier="11" item="6"/>
          <tpl hier="12" item="5"/>
          <tpl fld="1" item="0"/>
        </tpls>
      </n>
      <n v="79275425792">
        <tpls c="8">
          <tpl hier="2" item="0"/>
          <tpl hier="4" item="1"/>
          <tpl fld="2" item="48"/>
          <tpl fld="4" item="77"/>
          <tpl hier="9" item="4"/>
          <tpl hier="11" item="6"/>
          <tpl hier="12" item="5"/>
          <tpl fld="1" item="0"/>
        </tpls>
      </n>
      <n v="8821366784">
        <tpls c="8">
          <tpl hier="2" item="0"/>
          <tpl hier="4" item="1"/>
          <tpl fld="2" item="14"/>
          <tpl fld="4" item="77"/>
          <tpl hier="9" item="4"/>
          <tpl hier="11" item="6"/>
          <tpl hier="12" item="5"/>
          <tpl fld="1" item="0"/>
        </tpls>
      </n>
      <n v="74030366720">
        <tpls c="8">
          <tpl hier="2" item="0"/>
          <tpl hier="4" item="1"/>
          <tpl fld="2" item="31"/>
          <tpl fld="4" item="76"/>
          <tpl hier="9" item="4"/>
          <tpl hier="11" item="6"/>
          <tpl hier="12" item="5"/>
          <tpl fld="1" item="0"/>
        </tpls>
      </n>
      <n v="12826750976">
        <tpls c="8">
          <tpl hier="2" item="0"/>
          <tpl hier="4" item="1"/>
          <tpl fld="2" item="48"/>
          <tpl fld="4" item="75"/>
          <tpl hier="9" item="4"/>
          <tpl hier="11" item="6"/>
          <tpl hier="12" item="5"/>
          <tpl fld="1" item="0"/>
        </tpls>
      </n>
      <n v="1048690944">
        <tpls c="8">
          <tpl hier="2" item="0"/>
          <tpl hier="4" item="1"/>
          <tpl fld="2" item="5"/>
          <tpl fld="4" item="75"/>
          <tpl hier="9" item="4"/>
          <tpl hier="11" item="6"/>
          <tpl hier="12" item="5"/>
          <tpl fld="1" item="0"/>
        </tpls>
      </n>
      <n v="1792800000">
        <tpls c="8">
          <tpl hier="2" item="0"/>
          <tpl hier="4" item="1"/>
          <tpl fld="2" item="22"/>
          <tpl fld="4" item="74"/>
          <tpl hier="9" item="4"/>
          <tpl hier="11" item="6"/>
          <tpl hier="12" item="5"/>
          <tpl fld="1" item="0"/>
        </tpls>
      </n>
      <n v="12854985728">
        <tpls c="8">
          <tpl hier="2" item="0"/>
          <tpl hier="4" item="1"/>
          <tpl fld="2" item="39"/>
          <tpl fld="4" item="73"/>
          <tpl hier="9" item="4"/>
          <tpl hier="11" item="6"/>
          <tpl hier="12" item="5"/>
          <tpl fld="1" item="0"/>
        </tpls>
      </n>
      <n v="109714300928">
        <tpls c="8">
          <tpl hier="2" item="0"/>
          <tpl hier="4" item="1"/>
          <tpl fld="2" item="47"/>
          <tpl fld="4" item="72"/>
          <tpl hier="9" item="4"/>
          <tpl hier="11" item="6"/>
          <tpl hier="12" item="5"/>
          <tpl fld="1" item="0"/>
        </tpls>
      </n>
      <n v="16251460608">
        <tpls c="8">
          <tpl hier="2" item="0"/>
          <tpl hier="4" item="1"/>
          <tpl fld="2" item="13"/>
          <tpl fld="4" item="72"/>
          <tpl hier="9" item="4"/>
          <tpl hier="11" item="6"/>
          <tpl hier="12" item="5"/>
          <tpl fld="1" item="0"/>
        </tpls>
      </n>
      <n v="707906764800">
        <tpls c="8">
          <tpl hier="2" item="0"/>
          <tpl hier="4" item="1"/>
          <tpl fld="2" item="30"/>
          <tpl fld="4" item="71"/>
          <tpl hier="9" item="4"/>
          <tpl hier="11" item="6"/>
          <tpl hier="12" item="5"/>
          <tpl fld="1" item="0"/>
        </tpls>
      </n>
      <n v="6758390784">
        <tpls c="8">
          <tpl hier="2" item="0"/>
          <tpl hier="4" item="1"/>
          <tpl fld="2" item="47"/>
          <tpl fld="4" item="70"/>
          <tpl hier="9" item="4"/>
          <tpl hier="11" item="6"/>
          <tpl hier="12" item="5"/>
          <tpl fld="1" item="0"/>
        </tpls>
      </n>
      <n v="613010944">
        <tpls c="8">
          <tpl hier="2" item="0"/>
          <tpl hier="4" item="1"/>
          <tpl fld="2" item="4"/>
          <tpl fld="4" item="70"/>
          <tpl hier="9" item="4"/>
          <tpl hier="11" item="6"/>
          <tpl hier="12" item="5"/>
          <tpl fld="1" item="0"/>
        </tpls>
      </n>
      <n v="2724131584">
        <tpls c="8">
          <tpl hier="2" item="0"/>
          <tpl hier="4" item="1"/>
          <tpl fld="2" item="21"/>
          <tpl fld="4" item="69"/>
          <tpl hier="9" item="4"/>
          <tpl hier="11" item="6"/>
          <tpl hier="12" item="5"/>
          <tpl fld="1" item="0"/>
        </tpls>
      </n>
      <n v="230813892608">
        <tpls c="8">
          <tpl hier="2" item="0"/>
          <tpl hier="4" item="1"/>
          <tpl fld="2" item="38"/>
          <tpl fld="4" item="68"/>
          <tpl hier="9" item="4"/>
          <tpl hier="11" item="6"/>
          <tpl hier="12" item="5"/>
          <tpl fld="1" item="0"/>
        </tpls>
      </n>
      <n v="5433040384">
        <tpls c="8">
          <tpl hier="2" item="0"/>
          <tpl hier="4" item="1"/>
          <tpl fld="2" item="46"/>
          <tpl fld="4" item="67"/>
          <tpl hier="9" item="4"/>
          <tpl hier="11" item="6"/>
          <tpl hier="12" item="5"/>
          <tpl fld="1" item="0"/>
        </tpls>
      </n>
      <n v="1180104192">
        <tpls c="8">
          <tpl hier="2" item="0"/>
          <tpl hier="4" item="1"/>
          <tpl fld="2" item="12"/>
          <tpl fld="4" item="67"/>
          <tpl hier="9" item="4"/>
          <tpl hier="11" item="6"/>
          <tpl hier="12" item="5"/>
          <tpl fld="1" item="0"/>
        </tpls>
      </n>
      <n v="4277903872">
        <tpls c="8">
          <tpl hier="2" item="0"/>
          <tpl hier="4" item="1"/>
          <tpl fld="2" item="29"/>
          <tpl fld="4" item="66"/>
          <tpl hier="9" item="4"/>
          <tpl hier="11" item="6"/>
          <tpl hier="12" item="5"/>
          <tpl fld="1" item="0"/>
        </tpls>
      </n>
      <n v="2165408256">
        <tpls c="8">
          <tpl hier="2" item="0"/>
          <tpl hier="4" item="1"/>
          <tpl fld="2" item="46"/>
          <tpl fld="4" item="65"/>
          <tpl hier="9" item="4"/>
          <tpl hier="11" item="6"/>
          <tpl hier="12" item="5"/>
          <tpl fld="1" item="0"/>
        </tpls>
      </n>
      <n v="121181560">
        <tpls c="8">
          <tpl hier="2" item="0"/>
          <tpl hier="4" item="1"/>
          <tpl fld="2" item="3"/>
          <tpl fld="4" item="65"/>
          <tpl hier="9" item="4"/>
          <tpl hier="11" item="6"/>
          <tpl hier="12" item="5"/>
          <tpl fld="1" item="0"/>
        </tpls>
      </n>
      <n v="47515188">
        <tpls c="8">
          <tpl hier="2" item="0"/>
          <tpl hier="4" item="1"/>
          <tpl fld="2" item="21"/>
          <tpl fld="4" item="64"/>
          <tpl hier="9" item="4"/>
          <tpl hier="11" item="6"/>
          <tpl hier="12" item="5"/>
          <tpl fld="1" item="0"/>
        </tpls>
      </n>
      <n v="95503089664">
        <tpls c="8">
          <tpl hier="2" item="0"/>
          <tpl hier="4" item="1"/>
          <tpl fld="2" item="49"/>
          <tpl fld="4" item="63"/>
          <tpl hier="9" item="4"/>
          <tpl hier="11" item="6"/>
          <tpl hier="12" item="5"/>
          <tpl fld="1" item="0"/>
        </tpls>
      </n>
      <n v="14904517632">
        <tpls c="8">
          <tpl hier="2" item="0"/>
          <tpl hier="4" item="1"/>
          <tpl fld="2" item="33"/>
          <tpl fld="4" item="63"/>
          <tpl hier="9" item="4"/>
          <tpl hier="11" item="6"/>
          <tpl hier="12" item="5"/>
          <tpl fld="1" item="0"/>
        </tpls>
      </n>
      <n v="7970820608">
        <tpls c="8">
          <tpl hier="2" item="0"/>
          <tpl hier="4" item="1"/>
          <tpl fld="2" item="17"/>
          <tpl fld="4" item="63"/>
          <tpl hier="9" item="4"/>
          <tpl hier="11" item="6"/>
          <tpl hier="12" item="5"/>
          <tpl fld="1" item="0"/>
        </tpls>
      </n>
      <n v="1778391296">
        <tpls c="8">
          <tpl hier="2" item="0"/>
          <tpl hier="4" item="1"/>
          <tpl fld="2" item="1"/>
          <tpl fld="4" item="63"/>
          <tpl hier="9" item="4"/>
          <tpl hier="11" item="6"/>
          <tpl hier="12" item="5"/>
          <tpl fld="1" item="0"/>
        </tpls>
      </n>
      <n v="11901912064">
        <tpls c="8">
          <tpl hier="2" item="0"/>
          <tpl hier="4" item="1"/>
          <tpl fld="2" item="36"/>
          <tpl fld="4" item="62"/>
          <tpl hier="9" item="4"/>
          <tpl hier="11" item="6"/>
          <tpl hier="12" item="5"/>
          <tpl fld="1" item="0"/>
        </tpls>
      </n>
      <n v="4592224256">
        <tpls c="8">
          <tpl hier="2" item="0"/>
          <tpl hier="4" item="1"/>
          <tpl fld="2" item="20"/>
          <tpl fld="4" item="62"/>
          <tpl hier="9" item="4"/>
          <tpl hier="11" item="6"/>
          <tpl hier="12" item="5"/>
          <tpl fld="1" item="0"/>
        </tpls>
      </n>
      <n v="2375096320">
        <tpls c="8">
          <tpl hier="2" item="0"/>
          <tpl hier="4" item="1"/>
          <tpl fld="2" item="4"/>
          <tpl fld="4" item="62"/>
          <tpl hier="9" item="4"/>
          <tpl hier="11" item="6"/>
          <tpl hier="12" item="5"/>
          <tpl fld="1" item="0"/>
        </tpls>
      </n>
      <n v="111660851200">
        <tpls c="8">
          <tpl hier="2" item="0"/>
          <tpl hier="4" item="1"/>
          <tpl fld="2" item="39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3"/>
          <tpl fld="4" item="61"/>
          <tpl hier="9" item="4"/>
          <tpl hier="11" item="6"/>
          <tpl hier="12" item="5"/>
          <tpl fld="1" item="0"/>
        </tpls>
      </m>
      <n v="19838130176">
        <tpls c="8">
          <tpl hier="2" item="0"/>
          <tpl hier="4" item="1"/>
          <tpl fld="2" item="7"/>
          <tpl fld="4" item="61"/>
          <tpl hier="9" item="4"/>
          <tpl hier="11" item="6"/>
          <tpl hier="12" item="5"/>
          <tpl fld="1" item="0"/>
        </tpls>
      </n>
      <n v="1827637821440">
        <tpls c="8">
          <tpl hier="2" item="0"/>
          <tpl hier="4" item="1"/>
          <tpl fld="2" item="42"/>
          <tpl fld="4" item="60"/>
          <tpl hier="9" item="4"/>
          <tpl hier="11" item="6"/>
          <tpl hier="12" item="5"/>
          <tpl fld="1" item="0"/>
        </tpls>
      </n>
      <n v="392897069056">
        <tpls c="8">
          <tpl hier="2" item="0"/>
          <tpl hier="4" item="1"/>
          <tpl fld="2" item="26"/>
          <tpl fld="4" item="60"/>
          <tpl hier="9" item="4"/>
          <tpl hier="11" item="6"/>
          <tpl hier="12" item="5"/>
          <tpl fld="1" item="0"/>
        </tpls>
      </n>
      <n v="186325352448">
        <tpls c="8">
          <tpl hier="2" item="0"/>
          <tpl hier="4" item="1"/>
          <tpl fld="2" item="10"/>
          <tpl fld="4" item="60"/>
          <tpl hier="9" item="4"/>
          <tpl hier="11" item="6"/>
          <tpl hier="12" item="5"/>
          <tpl fld="1" item="0"/>
        </tpls>
      </n>
      <n v="20979767296">
        <tpls c="8">
          <tpl hier="2" item="0"/>
          <tpl hier="4" item="1"/>
          <tpl fld="2" item="45"/>
          <tpl fld="4" item="59"/>
          <tpl hier="9" item="4"/>
          <tpl hier="11" item="6"/>
          <tpl hier="12" item="5"/>
          <tpl fld="1" item="0"/>
        </tpls>
      </n>
      <n v="6414520320">
        <tpls c="8">
          <tpl hier="2" item="0"/>
          <tpl hier="4" item="1"/>
          <tpl fld="2" item="29"/>
          <tpl fld="4" item="59"/>
          <tpl hier="9" item="4"/>
          <tpl hier="11" item="6"/>
          <tpl hier="12" item="5"/>
          <tpl fld="1" item="0"/>
        </tpls>
      </n>
      <n v="4476697088">
        <tpls c="8">
          <tpl hier="2" item="0"/>
          <tpl hier="4" item="1"/>
          <tpl fld="2" item="13"/>
          <tpl fld="4" item="59"/>
          <tpl hier="9" item="4"/>
          <tpl hier="11" item="6"/>
          <tpl hier="12" item="5"/>
          <tpl fld="1" item="0"/>
        </tpls>
      </n>
      <n v="9658721280">
        <tpls c="8">
          <tpl hier="2" item="0"/>
          <tpl hier="4" item="1"/>
          <tpl fld="2" item="48"/>
          <tpl fld="4" item="58"/>
          <tpl hier="9" item="4"/>
          <tpl hier="11" item="6"/>
          <tpl hier="12" item="5"/>
          <tpl fld="1" item="0"/>
        </tpls>
      </n>
      <n v="3472192000">
        <tpls c="8">
          <tpl hier="2" item="0"/>
          <tpl hier="4" item="1"/>
          <tpl fld="2" item="32"/>
          <tpl fld="4" item="58"/>
          <tpl hier="9" item="4"/>
          <tpl hier="11" item="6"/>
          <tpl hier="12" item="5"/>
          <tpl fld="1" item="0"/>
        </tpls>
      </n>
      <n v="2318000128">
        <tpls c="8">
          <tpl hier="2" item="0"/>
          <tpl hier="4" item="1"/>
          <tpl fld="2" item="16"/>
          <tpl fld="4" item="58"/>
          <tpl hier="9" item="4"/>
          <tpl hier="11" item="6"/>
          <tpl hier="12" item="5"/>
          <tpl fld="1" item="0"/>
        </tpls>
      </n>
      <n v="331200000">
        <tpls c="8">
          <tpl hier="2" item="0"/>
          <tpl hier="4" item="1"/>
          <tpl fld="2" item="0"/>
          <tpl fld="4" item="58"/>
          <tpl hier="9" item="4"/>
          <tpl hier="11" item="6"/>
          <tpl hier="12" item="5"/>
          <tpl fld="1" item="0"/>
        </tpls>
      </n>
      <n v="824880576">
        <tpls c="8">
          <tpl hier="2" item="0"/>
          <tpl hier="4" item="1"/>
          <tpl fld="2" item="35"/>
          <tpl fld="4" item="57"/>
          <tpl hier="9" item="4"/>
          <tpl hier="11" item="6"/>
          <tpl hier="12" item="5"/>
          <tpl fld="1" item="0"/>
        </tpls>
      </n>
      <n v="379779392">
        <tpls c="8">
          <tpl hier="2" item="0"/>
          <tpl hier="4" item="1"/>
          <tpl fld="2" item="19"/>
          <tpl fld="4" item="57"/>
          <tpl hier="9" item="4"/>
          <tpl hier="11" item="6"/>
          <tpl hier="12" item="5"/>
          <tpl fld="1" item="0"/>
        </tpls>
      </n>
      <n v="307047616">
        <tpls c="8">
          <tpl hier="2" item="0"/>
          <tpl hier="4" item="1"/>
          <tpl fld="2" item="3"/>
          <tpl fld="4" item="57"/>
          <tpl hier="9" item="4"/>
          <tpl hier="11" item="6"/>
          <tpl hier="12" item="5"/>
          <tpl fld="1" item="0"/>
        </tpls>
      </n>
      <n v="864654784">
        <tpls c="8">
          <tpl hier="2" item="0"/>
          <tpl hier="4" item="1"/>
          <tpl fld="2" item="38"/>
          <tpl fld="4" item="56"/>
          <tpl hier="9" item="4"/>
          <tpl hier="11" item="6"/>
          <tpl hier="12" item="5"/>
          <tpl fld="1" item="0"/>
        </tpls>
      </n>
      <n v="226313440">
        <tpls c="8">
          <tpl hier="2" item="0"/>
          <tpl hier="4" item="1"/>
          <tpl fld="2" item="22"/>
          <tpl fld="4" item="56"/>
          <tpl hier="9" item="4"/>
          <tpl hier="11" item="6"/>
          <tpl hier="12" item="5"/>
          <tpl fld="1" item="0"/>
        </tpls>
      </n>
      <n v="112386488">
        <tpls c="8">
          <tpl hier="2" item="0"/>
          <tpl hier="4" item="1"/>
          <tpl fld="2" item="6"/>
          <tpl fld="4" item="56"/>
          <tpl hier="9" item="4"/>
          <tpl hier="11" item="6"/>
          <tpl hier="12" item="5"/>
          <tpl fld="1" item="0"/>
        </tpls>
      </n>
      <n v="47654785024">
        <tpls c="8">
          <tpl hier="2" item="0"/>
          <tpl hier="4" item="1"/>
          <tpl fld="2" item="41"/>
          <tpl fld="4" item="55"/>
          <tpl hier="9" item="4"/>
          <tpl hier="11" item="6"/>
          <tpl hier="12" item="5"/>
          <tpl fld="1" item="0"/>
        </tpls>
      </n>
      <n v="14655404032">
        <tpls c="8">
          <tpl hier="2" item="0"/>
          <tpl hier="4" item="1"/>
          <tpl fld="2" item="25"/>
          <tpl fld="4" item="55"/>
          <tpl hier="9" item="4"/>
          <tpl hier="11" item="6"/>
          <tpl hier="12" item="5"/>
          <tpl fld="1" item="0"/>
        </tpls>
      </n>
      <n v="6902600192">
        <tpls c="8">
          <tpl hier="2" item="0"/>
          <tpl hier="4" item="1"/>
          <tpl fld="2" item="9"/>
          <tpl fld="4" item="55"/>
          <tpl hier="9" item="4"/>
          <tpl hier="11" item="6"/>
          <tpl hier="12" item="5"/>
          <tpl fld="1" item="0"/>
        </tpls>
      </n>
      <n v="53660340224">
        <tpls c="8">
          <tpl hier="2" item="0"/>
          <tpl hier="4" item="1"/>
          <tpl fld="2" item="44"/>
          <tpl fld="4" item="54"/>
          <tpl hier="9" item="4"/>
          <tpl hier="11" item="6"/>
          <tpl hier="12" item="5"/>
          <tpl fld="1" item="0"/>
        </tpls>
      </n>
      <n v="7480968704">
        <tpls c="8">
          <tpl hier="2" item="0"/>
          <tpl hier="4" item="1"/>
          <tpl fld="2" item="28"/>
          <tpl fld="4" item="54"/>
          <tpl hier="9" item="4"/>
          <tpl hier="11" item="6"/>
          <tpl hier="12" item="5"/>
          <tpl fld="1" item="0"/>
        </tpls>
      </n>
      <n v="4035994368">
        <tpls c="8">
          <tpl hier="2" item="0"/>
          <tpl hier="4" item="1"/>
          <tpl fld="2" item="12"/>
          <tpl fld="4" item="54"/>
          <tpl hier="9" item="4"/>
          <tpl hier="11" item="6"/>
          <tpl hier="12" item="5"/>
          <tpl fld="1" item="0"/>
        </tpls>
      </n>
      <n v="1498044544">
        <tpls c="8">
          <tpl hier="2" item="0"/>
          <tpl hier="4" item="1"/>
          <tpl fld="2" item="47"/>
          <tpl fld="4" item="53"/>
          <tpl hier="9" item="4"/>
          <tpl hier="11" item="6"/>
          <tpl hier="12" item="5"/>
          <tpl fld="1" item="0"/>
        </tpls>
      </n>
      <n v="687408832">
        <tpls c="8">
          <tpl hier="2" item="0"/>
          <tpl hier="4" item="1"/>
          <tpl fld="2" item="31"/>
          <tpl fld="4" item="53"/>
          <tpl hier="9" item="4"/>
          <tpl hier="11" item="6"/>
          <tpl hier="12" item="5"/>
          <tpl fld="1" item="0"/>
        </tpls>
      </n>
      <n v="40435964116704">
        <tpls c="8">
          <tpl hier="2" item="0"/>
          <tpl hier="4" item="1"/>
          <tpl fld="2" item="34"/>
          <tpl hier="6" item="2"/>
          <tpl hier="9" item="4"/>
          <tpl hier="11" item="6"/>
          <tpl hier="12" item="5"/>
          <tpl fld="1" item="0"/>
        </tpls>
      </n>
      <n v="21440759808">
        <tpls c="8">
          <tpl hier="2" item="0"/>
          <tpl hier="4" item="1"/>
          <tpl fld="2" item="49"/>
          <tpl fld="4" item="102"/>
          <tpl hier="9" item="4"/>
          <tpl hier="11" item="6"/>
          <tpl hier="12" item="5"/>
          <tpl fld="1" item="0"/>
        </tpls>
      </n>
      <n v="3309353472">
        <tpls c="8">
          <tpl hier="2" item="0"/>
          <tpl hier="4" item="1"/>
          <tpl fld="2" item="3"/>
          <tpl fld="4" item="102"/>
          <tpl hier="9" item="4"/>
          <tpl hier="11" item="6"/>
          <tpl hier="12" item="5"/>
          <tpl fld="1" item="0"/>
        </tpls>
      </n>
      <n v="2813374976">
        <tpls c="8">
          <tpl hier="2" item="0"/>
          <tpl hier="4" item="1"/>
          <tpl fld="2" item="8"/>
          <tpl fld="4" item="101"/>
          <tpl hier="9" item="4"/>
          <tpl hier="11" item="6"/>
          <tpl hier="12" item="5"/>
          <tpl fld="1" item="0"/>
        </tpls>
      </n>
      <n v="15002106880">
        <tpls c="8">
          <tpl hier="2" item="0"/>
          <tpl hier="4" item="1"/>
          <tpl fld="2" item="23"/>
          <tpl fld="4" item="100"/>
          <tpl hier="9" item="4"/>
          <tpl hier="11" item="6"/>
          <tpl hier="12" item="5"/>
          <tpl fld="1" item="0"/>
        </tpls>
      </n>
      <n v="275768705024">
        <tpls c="8">
          <tpl hier="2" item="0"/>
          <tpl hier="4" item="1"/>
          <tpl fld="2" item="28"/>
          <tpl fld="4" item="99"/>
          <tpl hier="9" item="4"/>
          <tpl hier="11" item="6"/>
          <tpl hier="12" item="5"/>
          <tpl fld="1" item="0"/>
        </tpls>
      </n>
      <n v="27453085696">
        <tpls c="8">
          <tpl hier="2" item="0"/>
          <tpl hier="4" item="1"/>
          <tpl fld="2" item="33"/>
          <tpl fld="4" item="98"/>
          <tpl hier="9" item="4"/>
          <tpl hier="11" item="6"/>
          <tpl hier="12" item="5"/>
          <tpl fld="1" item="0"/>
        </tpls>
      </n>
      <n v="23808147456">
        <tpls c="8">
          <tpl hier="2" item="0"/>
          <tpl hier="4" item="1"/>
          <tpl fld="2" item="48"/>
          <tpl fld="4" item="97"/>
          <tpl hier="9" item="4"/>
          <tpl hier="11" item="6"/>
          <tpl hier="12" item="5"/>
          <tpl fld="1" item="0"/>
        </tpls>
      </n>
      <n v="1083380992">
        <tpls c="8">
          <tpl hier="2" item="0"/>
          <tpl hier="4" item="1"/>
          <tpl fld="2" item="2"/>
          <tpl fld="4" item="97"/>
          <tpl hier="9" item="4"/>
          <tpl hier="11" item="6"/>
          <tpl hier="12" item="5"/>
          <tpl fld="1" item="0"/>
        </tpls>
      </n>
      <n v="777435008">
        <tpls c="8">
          <tpl hier="2" item="0"/>
          <tpl hier="4" item="1"/>
          <tpl fld="2" item="7"/>
          <tpl fld="4" item="96"/>
          <tpl hier="9" item="4"/>
          <tpl hier="11" item="6"/>
          <tpl hier="12" item="5"/>
          <tpl fld="1" item="0"/>
        </tpls>
      </n>
      <n v="111452872704">
        <tpls c="8">
          <tpl hier="2" item="0"/>
          <tpl hier="4" item="1"/>
          <tpl fld="2" item="22"/>
          <tpl fld="4" item="95"/>
          <tpl hier="9" item="4"/>
          <tpl hier="11" item="6"/>
          <tpl hier="12" item="5"/>
          <tpl fld="1" item="0"/>
        </tpls>
      </n>
      <n v="1716699904">
        <tpls c="8">
          <tpl hier="2" item="0"/>
          <tpl hier="4" item="1"/>
          <tpl fld="2" item="27"/>
          <tpl fld="4" item="94"/>
          <tpl hier="9" item="4"/>
          <tpl hier="11" item="6"/>
          <tpl hier="12" item="5"/>
          <tpl fld="1" item="0"/>
        </tpls>
      </n>
      <n v="1093574528">
        <tpls c="8">
          <tpl hier="2" item="0"/>
          <tpl hier="4" item="1"/>
          <tpl fld="2" item="32"/>
          <tpl fld="4" item="93"/>
          <tpl hier="9" item="4"/>
          <tpl hier="11" item="6"/>
          <tpl hier="12" item="5"/>
          <tpl fld="1" item="0"/>
        </tpls>
      </n>
      <n v="45379129344">
        <tpls c="8">
          <tpl hier="2" item="0"/>
          <tpl hier="4" item="1"/>
          <tpl fld="2" item="47"/>
          <tpl fld="4" item="92"/>
          <tpl hier="9" item="4"/>
          <tpl hier="11" item="6"/>
          <tpl hier="12" item="5"/>
          <tpl fld="1" item="0"/>
        </tpls>
      </n>
      <n v="2656000000">
        <tpls c="8">
          <tpl hier="2" item="0"/>
          <tpl hier="4" item="1"/>
          <tpl fld="2" item="1"/>
          <tpl fld="4" item="92"/>
          <tpl hier="9" item="4"/>
          <tpl hier="11" item="6"/>
          <tpl hier="12" item="5"/>
          <tpl fld="1" item="0"/>
        </tpls>
      </n>
      <n v="3591319808">
        <tpls c="8">
          <tpl hier="2" item="0"/>
          <tpl hier="4" item="1"/>
          <tpl fld="2" item="6"/>
          <tpl fld="4" item="91"/>
          <tpl hier="9" item="4"/>
          <tpl hier="11" item="6"/>
          <tpl hier="12" item="5"/>
          <tpl fld="1" item="0"/>
        </tpls>
      </n>
      <n v="123942756352">
        <tpls c="8">
          <tpl hier="2" item="0"/>
          <tpl hier="4" item="1"/>
          <tpl fld="2" item="21"/>
          <tpl fld="4" item="90"/>
          <tpl hier="9" item="4"/>
          <tpl hier="11" item="6"/>
          <tpl hier="12" item="5"/>
          <tpl fld="1" item="0"/>
        </tpls>
      </n>
      <n v="941742144">
        <tpls c="8">
          <tpl hier="2" item="0"/>
          <tpl hier="4" item="1"/>
          <tpl fld="2" item="26"/>
          <tpl fld="4" item="89"/>
          <tpl hier="9" item="4"/>
          <tpl hier="11" item="6"/>
          <tpl hier="12" item="5"/>
          <tpl fld="1" item="0"/>
        </tpls>
      </n>
      <n v="622262080">
        <tpls c="8">
          <tpl hier="2" item="0"/>
          <tpl hier="4" item="1"/>
          <tpl fld="2" item="31"/>
          <tpl fld="4" item="88"/>
          <tpl hier="9" item="4"/>
          <tpl hier="11" item="6"/>
          <tpl hier="12" item="5"/>
          <tpl fld="1" item="0"/>
        </tpls>
      </n>
      <n v="19040313344">
        <tpls c="8">
          <tpl hier="2" item="0"/>
          <tpl hier="4" item="1"/>
          <tpl fld="2" item="46"/>
          <tpl fld="4" item="87"/>
          <tpl hier="9" item="4"/>
          <tpl hier="11" item="6"/>
          <tpl hier="12" item="5"/>
          <tpl fld="1" item="0"/>
        </tpls>
      </n>
      <n v="1297407872">
        <tpls c="8">
          <tpl hier="2" item="0"/>
          <tpl hier="4" item="1"/>
          <tpl fld="2" item="0"/>
          <tpl fld="4" item="87"/>
          <tpl hier="9" item="4"/>
          <tpl hier="11" item="6"/>
          <tpl hier="12" item="5"/>
          <tpl fld="1" item="0"/>
        </tpls>
      </n>
      <n v="46773366784">
        <tpls c="8">
          <tpl hier="2" item="0"/>
          <tpl hier="4" item="1"/>
          <tpl fld="2" item="5"/>
          <tpl fld="4" item="86"/>
          <tpl hier="9" item="4"/>
          <tpl hier="11" item="6"/>
          <tpl hier="12" item="5"/>
          <tpl fld="1" item="0"/>
        </tpls>
      </n>
      <n v="2550185728">
        <tpls c="8">
          <tpl hier="2" item="0"/>
          <tpl hier="4" item="1"/>
          <tpl fld="2" item="20"/>
          <tpl fld="4" item="85"/>
          <tpl hier="9" item="4"/>
          <tpl hier="11" item="6"/>
          <tpl hier="12" item="5"/>
          <tpl fld="1" item="0"/>
        </tpls>
      </n>
      <n v="42647330816">
        <tpls c="8">
          <tpl hier="2" item="0"/>
          <tpl hier="4" item="1"/>
          <tpl fld="2" item="25"/>
          <tpl fld="4" item="84"/>
          <tpl hier="9" item="4"/>
          <tpl hier="11" item="6"/>
          <tpl hier="12" item="5"/>
          <tpl fld="1" item="0"/>
        </tpls>
      </n>
      <n v="208368893952">
        <tpls c="8">
          <tpl hier="2" item="0"/>
          <tpl hier="4" item="1"/>
          <tpl fld="2" item="40"/>
          <tpl fld="4" item="83"/>
          <tpl hier="9" item="4"/>
          <tpl hier="11" item="6"/>
          <tpl hier="12" item="5"/>
          <tpl fld="1" item="0"/>
        </tpls>
      </n>
      <n v="222044962816">
        <tpls c="8">
          <tpl hier="2" item="0"/>
          <tpl hier="4" item="1"/>
          <tpl fld="2" item="48"/>
          <tpl fld="4" item="82"/>
          <tpl hier="9" item="4"/>
          <tpl hier="11" item="6"/>
          <tpl hier="12" item="5"/>
          <tpl fld="1" item="0"/>
        </tpls>
      </n>
      <n v="17599660032">
        <tpls c="8">
          <tpl hier="2" item="0"/>
          <tpl hier="4" item="1"/>
          <tpl fld="2" item="14"/>
          <tpl fld="4" item="82"/>
          <tpl hier="9" item="4"/>
          <tpl hier="11" item="6"/>
          <tpl hier="12" item="5"/>
          <tpl fld="1" item="0"/>
        </tpls>
      </n>
      <n v="8495806464">
        <tpls c="8">
          <tpl hier="2" item="0"/>
          <tpl hier="4" item="1"/>
          <tpl fld="2" item="31"/>
          <tpl fld="4" item="81"/>
          <tpl hier="9" item="4"/>
          <tpl hier="11" item="6"/>
          <tpl hier="12" item="5"/>
          <tpl fld="1" item="0"/>
        </tpls>
      </n>
      <n v="11619638272">
        <tpls c="8">
          <tpl hier="2" item="0"/>
          <tpl hier="4" item="1"/>
          <tpl fld="2" item="39"/>
          <tpl fld="4" item="80"/>
          <tpl hier="9" item="4"/>
          <tpl hier="11" item="6"/>
          <tpl hier="12" item="5"/>
          <tpl fld="1" item="0"/>
        </tpls>
      </n>
      <n v="1356591232">
        <tpls c="8">
          <tpl hier="2" item="0"/>
          <tpl hier="4" item="1"/>
          <tpl fld="2" item="5"/>
          <tpl fld="4" item="80"/>
          <tpl hier="9" item="4"/>
          <tpl hier="11" item="6"/>
          <tpl hier="12" item="5"/>
          <tpl fld="1" item="0"/>
        </tpls>
      </n>
      <n v="8042337792">
        <tpls c="8">
          <tpl hier="2" item="0"/>
          <tpl hier="4" item="1"/>
          <tpl fld="2" item="22"/>
          <tpl fld="4" item="79"/>
          <tpl hier="9" item="4"/>
          <tpl hier="11" item="6"/>
          <tpl hier="12" item="5"/>
          <tpl fld="1" item="0"/>
        </tpls>
      </n>
      <n v="168152776704">
        <tpls c="8">
          <tpl hier="2" item="0"/>
          <tpl hier="4" item="1"/>
          <tpl fld="2" item="39"/>
          <tpl fld="4" item="78"/>
          <tpl hier="9" item="4"/>
          <tpl hier="11" item="6"/>
          <tpl hier="12" item="5"/>
          <tpl fld="1" item="0"/>
        </tpls>
      </n>
      <n v="70599999488">
        <tpls c="8">
          <tpl hier="2" item="0"/>
          <tpl hier="4" item="1"/>
          <tpl fld="2" item="47"/>
          <tpl fld="4" item="77"/>
          <tpl hier="9" item="4"/>
          <tpl hier="11" item="6"/>
          <tpl hier="12" item="5"/>
          <tpl fld="1" item="0"/>
        </tpls>
      </n>
      <n v="7932541440">
        <tpls c="8">
          <tpl hier="2" item="0"/>
          <tpl hier="4" item="1"/>
          <tpl fld="2" item="13"/>
          <tpl fld="4" item="77"/>
          <tpl hier="9" item="4"/>
          <tpl hier="11" item="6"/>
          <tpl hier="12" item="5"/>
          <tpl fld="1" item="0"/>
        </tpls>
      </n>
      <n v="69448753152">
        <tpls c="8">
          <tpl hier="2" item="0"/>
          <tpl hier="4" item="1"/>
          <tpl fld="2" item="30"/>
          <tpl fld="4" item="76"/>
          <tpl hier="9" item="4"/>
          <tpl hier="11" item="6"/>
          <tpl hier="12" item="5"/>
          <tpl fld="1" item="0"/>
        </tpls>
      </n>
      <n v="7220003840">
        <tpls c="8">
          <tpl hier="2" item="0"/>
          <tpl hier="4" item="1"/>
          <tpl fld="2" item="38"/>
          <tpl fld="4" item="75"/>
          <tpl hier="9" item="4"/>
          <tpl hier="11" item="6"/>
          <tpl hier="12" item="5"/>
          <tpl fld="1" item="0"/>
        </tpls>
      </n>
      <n v="1026136960">
        <tpls c="8">
          <tpl hier="2" item="0"/>
          <tpl hier="4" item="1"/>
          <tpl fld="2" item="4"/>
          <tpl fld="4" item="75"/>
          <tpl hier="9" item="4"/>
          <tpl hier="11" item="6"/>
          <tpl hier="12" item="5"/>
          <tpl fld="1" item="0"/>
        </tpls>
      </n>
      <n v="1488804096">
        <tpls c="8">
          <tpl hier="2" item="0"/>
          <tpl hier="4" item="1"/>
          <tpl fld="2" item="21"/>
          <tpl fld="4" item="74"/>
          <tpl hier="9" item="4"/>
          <tpl hier="11" item="6"/>
          <tpl hier="12" item="5"/>
          <tpl fld="1" item="0"/>
        </tpls>
      </n>
      <n v="12545438720">
        <tpls c="8">
          <tpl hier="2" item="0"/>
          <tpl hier="4" item="1"/>
          <tpl fld="2" item="38"/>
          <tpl fld="4" item="73"/>
          <tpl hier="9" item="4"/>
          <tpl hier="11" item="6"/>
          <tpl hier="12" item="5"/>
          <tpl fld="1" item="0"/>
        </tpls>
      </n>
      <n v="103311646720">
        <tpls c="8">
          <tpl hier="2" item="0"/>
          <tpl hier="4" item="1"/>
          <tpl fld="2" item="46"/>
          <tpl fld="4" item="72"/>
          <tpl hier="9" item="4"/>
          <tpl hier="11" item="6"/>
          <tpl hier="12" item="5"/>
          <tpl fld="1" item="0"/>
        </tpls>
      </n>
      <n v="17692342272">
        <tpls c="8">
          <tpl hier="2" item="0"/>
          <tpl hier="4" item="1"/>
          <tpl fld="2" item="12"/>
          <tpl fld="4" item="72"/>
          <tpl hier="9" item="4"/>
          <tpl hier="11" item="6"/>
          <tpl hier="12" item="5"/>
          <tpl fld="1" item="0"/>
        </tpls>
      </n>
      <n v="600232886272">
        <tpls c="8">
          <tpl hier="2" item="0"/>
          <tpl hier="4" item="1"/>
          <tpl fld="2" item="29"/>
          <tpl fld="4" item="71"/>
          <tpl hier="9" item="4"/>
          <tpl hier="11" item="6"/>
          <tpl hier="12" item="5"/>
          <tpl fld="1" item="0"/>
        </tpls>
      </n>
      <n v="4328063488">
        <tpls c="8">
          <tpl hier="2" item="0"/>
          <tpl hier="4" item="1"/>
          <tpl fld="2" item="37"/>
          <tpl fld="4" item="70"/>
          <tpl hier="9" item="4"/>
          <tpl hier="11" item="6"/>
          <tpl hier="12" item="5"/>
          <tpl fld="1" item="0"/>
        </tpls>
      </n>
      <n v="493237536">
        <tpls c="8">
          <tpl hier="2" item="0"/>
          <tpl hier="4" item="1"/>
          <tpl fld="2" item="3"/>
          <tpl fld="4" item="70"/>
          <tpl hier="9" item="4"/>
          <tpl hier="11" item="6"/>
          <tpl hier="12" item="5"/>
          <tpl fld="1" item="0"/>
        </tpls>
      </n>
      <n v="2681912064">
        <tpls c="8">
          <tpl hier="2" item="0"/>
          <tpl hier="4" item="1"/>
          <tpl fld="2" item="20"/>
          <tpl fld="4" item="69"/>
          <tpl hier="9" item="4"/>
          <tpl hier="11" item="6"/>
          <tpl hier="12" item="5"/>
          <tpl fld="1" item="0"/>
        </tpls>
      </n>
      <n v="193547829248">
        <tpls c="8">
          <tpl hier="2" item="0"/>
          <tpl hier="4" item="1"/>
          <tpl fld="2" item="37"/>
          <tpl fld="4" item="68"/>
          <tpl hier="9" item="4"/>
          <tpl hier="11" item="6"/>
          <tpl hier="12" item="5"/>
          <tpl fld="1" item="0"/>
        </tpls>
      </n>
      <n v="6373212672">
        <tpls c="8">
          <tpl hier="2" item="0"/>
          <tpl hier="4" item="1"/>
          <tpl fld="2" item="45"/>
          <tpl fld="4" item="67"/>
          <tpl hier="9" item="4"/>
          <tpl hier="11" item="6"/>
          <tpl hier="12" item="5"/>
          <tpl fld="1" item="0"/>
        </tpls>
      </n>
      <n v="1237685632">
        <tpls c="8">
          <tpl hier="2" item="0"/>
          <tpl hier="4" item="1"/>
          <tpl fld="2" item="11"/>
          <tpl fld="4" item="67"/>
          <tpl hier="9" item="4"/>
          <tpl hier="11" item="6"/>
          <tpl hier="12" item="5"/>
          <tpl fld="1" item="0"/>
        </tpls>
      </n>
      <n v="4401967616">
        <tpls c="8">
          <tpl hier="2" item="0"/>
          <tpl hier="4" item="1"/>
          <tpl fld="2" item="28"/>
          <tpl fld="4" item="66"/>
          <tpl hier="9" item="4"/>
          <tpl hier="11" item="6"/>
          <tpl hier="12" item="5"/>
          <tpl fld="1" item="0"/>
        </tpls>
      </n>
      <n v="1800105600">
        <tpls c="8">
          <tpl hier="2" item="0"/>
          <tpl hier="4" item="1"/>
          <tpl fld="2" item="36"/>
          <tpl fld="4" item="65"/>
          <tpl hier="9" item="4"/>
          <tpl hier="11" item="6"/>
          <tpl hier="12" item="5"/>
          <tpl fld="1" item="0"/>
        </tpls>
      </n>
      <n v="80915832">
        <tpls c="8">
          <tpl hier="2" item="0"/>
          <tpl hier="4" item="1"/>
          <tpl fld="2" item="2"/>
          <tpl fld="4" item="65"/>
          <tpl hier="9" item="4"/>
          <tpl hier="11" item="6"/>
          <tpl hier="12" item="5"/>
          <tpl fld="1" item="0"/>
        </tpls>
      </n>
      <n v="39809540">
        <tpls c="8">
          <tpl hier="2" item="0"/>
          <tpl hier="4" item="1"/>
          <tpl fld="2" item="20"/>
          <tpl fld="4" item="64"/>
          <tpl hier="9" item="4"/>
          <tpl hier="11" item="6"/>
          <tpl hier="12" item="5"/>
          <tpl fld="1" item="0"/>
        </tpls>
      </n>
      <n v="87778582528">
        <tpls c="8">
          <tpl hier="2" item="0"/>
          <tpl hier="4" item="1"/>
          <tpl fld="2" item="48"/>
          <tpl fld="4" item="63"/>
          <tpl hier="9" item="4"/>
          <tpl hier="11" item="6"/>
          <tpl hier="12" item="5"/>
          <tpl fld="1" item="0"/>
        </tpls>
      </n>
      <n v="36044833728496">
        <tpls c="8">
          <tpl hier="2" item="0"/>
          <tpl hier="4" item="1"/>
          <tpl fld="2" item="33"/>
          <tpl hier="6" item="2"/>
          <tpl hier="9" item="4"/>
          <tpl hier="11" item="6"/>
          <tpl hier="12" item="5"/>
          <tpl fld="1" item="0"/>
        </tpls>
      </n>
      <n v="24311560192">
        <tpls c="8">
          <tpl hier="2" item="0"/>
          <tpl hier="4" item="1"/>
          <tpl fld="2" item="48"/>
          <tpl fld="4" item="102"/>
          <tpl hier="9" item="4"/>
          <tpl hier="11" item="6"/>
          <tpl hier="12" item="5"/>
          <tpl fld="1" item="0"/>
        </tpls>
      </n>
      <n v="2677729280">
        <tpls c="8">
          <tpl hier="2" item="0"/>
          <tpl hier="4" item="1"/>
          <tpl fld="2" item="2"/>
          <tpl fld="4" item="102"/>
          <tpl hier="9" item="4"/>
          <tpl hier="11" item="6"/>
          <tpl hier="12" item="5"/>
          <tpl fld="1" item="0"/>
        </tpls>
      </n>
      <n v="2483000064">
        <tpls c="8">
          <tpl hier="2" item="0"/>
          <tpl hier="4" item="1"/>
          <tpl fld="2" item="7"/>
          <tpl fld="4" item="101"/>
          <tpl hier="9" item="4"/>
          <tpl hier="11" item="6"/>
          <tpl hier="12" item="5"/>
          <tpl fld="1" item="0"/>
        </tpls>
      </n>
      <n v="12878199808">
        <tpls c="8">
          <tpl hier="2" item="0"/>
          <tpl hier="4" item="1"/>
          <tpl fld="2" item="22"/>
          <tpl fld="4" item="100"/>
          <tpl hier="9" item="4"/>
          <tpl hier="11" item="6"/>
          <tpl hier="12" item="5"/>
          <tpl fld="1" item="0"/>
        </tpls>
      </n>
      <n v="189834641408">
        <tpls c="8">
          <tpl hier="2" item="0"/>
          <tpl hier="4" item="1"/>
          <tpl fld="2" item="27"/>
          <tpl fld="4" item="99"/>
          <tpl hier="9" item="4"/>
          <tpl hier="11" item="6"/>
          <tpl hier="12" item="5"/>
          <tpl fld="1" item="0"/>
        </tpls>
      </n>
      <n v="23142293504">
        <tpls c="8">
          <tpl hier="2" item="0"/>
          <tpl hier="4" item="1"/>
          <tpl fld="2" item="32"/>
          <tpl fld="4" item="98"/>
          <tpl hier="9" item="4"/>
          <tpl hier="11" item="6"/>
          <tpl hier="12" item="5"/>
          <tpl fld="1" item="0"/>
        </tpls>
      </n>
      <n v="22474827776">
        <tpls c="8">
          <tpl hier="2" item="0"/>
          <tpl hier="4" item="1"/>
          <tpl fld="2" item="47"/>
          <tpl fld="4" item="97"/>
          <tpl hier="9" item="4"/>
          <tpl hier="11" item="6"/>
          <tpl hier="12" item="5"/>
          <tpl fld="1" item="0"/>
        </tpls>
      </n>
      <n v="896754304">
        <tpls c="8">
          <tpl hier="2" item="0"/>
          <tpl hier="4" item="1"/>
          <tpl fld="2" item="1"/>
          <tpl fld="4" item="97"/>
          <tpl hier="9" item="4"/>
          <tpl hier="11" item="6"/>
          <tpl hier="12" item="5"/>
          <tpl fld="1" item="0"/>
        </tpls>
      </n>
      <n v="619375104">
        <tpls c="8">
          <tpl hier="2" item="0"/>
          <tpl hier="4" item="1"/>
          <tpl fld="2" item="6"/>
          <tpl fld="4" item="96"/>
          <tpl hier="9" item="4"/>
          <tpl hier="11" item="6"/>
          <tpl hier="12" item="5"/>
          <tpl fld="1" item="0"/>
        </tpls>
      </n>
      <n v="98234695680">
        <tpls c="8">
          <tpl hier="2" item="0"/>
          <tpl hier="4" item="1"/>
          <tpl fld="2" item="21"/>
          <tpl fld="4" item="95"/>
          <tpl hier="9" item="4"/>
          <tpl hier="11" item="6"/>
          <tpl hier="12" item="5"/>
          <tpl fld="1" item="0"/>
        </tpls>
      </n>
      <n v="1602760064">
        <tpls c="8">
          <tpl hier="2" item="0"/>
          <tpl hier="4" item="1"/>
          <tpl fld="2" item="26"/>
          <tpl fld="4" item="94"/>
          <tpl hier="9" item="4"/>
          <tpl hier="11" item="6"/>
          <tpl hier="12" item="5"/>
          <tpl fld="1" item="0"/>
        </tpls>
      </n>
      <n v="834279360">
        <tpls c="8">
          <tpl hier="2" item="0"/>
          <tpl hier="4" item="1"/>
          <tpl fld="2" item="31"/>
          <tpl fld="4" item="93"/>
          <tpl hier="9" item="4"/>
          <tpl hier="11" item="6"/>
          <tpl hier="12" item="5"/>
          <tpl fld="1" item="0"/>
        </tpls>
      </n>
      <n v="51772231680">
        <tpls c="8">
          <tpl hier="2" item="0"/>
          <tpl hier="4" item="1"/>
          <tpl fld="2" item="46"/>
          <tpl fld="4" item="92"/>
          <tpl hier="9" item="4"/>
          <tpl hier="11" item="6"/>
          <tpl hier="12" item="5"/>
          <tpl fld="1" item="0"/>
        </tpls>
      </n>
      <n v="2437666560">
        <tpls c="8">
          <tpl hier="2" item="0"/>
          <tpl hier="4" item="1"/>
          <tpl fld="2" item="0"/>
          <tpl fld="4" item="92"/>
          <tpl hier="9" item="4"/>
          <tpl hier="11" item="6"/>
          <tpl hier="12" item="5"/>
          <tpl fld="1" item="0"/>
        </tpls>
      </n>
      <n v="3791298048">
        <tpls c="8">
          <tpl hier="2" item="0"/>
          <tpl hier="4" item="1"/>
          <tpl fld="2" item="5"/>
          <tpl fld="4" item="91"/>
          <tpl hier="9" item="4"/>
          <tpl hier="11" item="6"/>
          <tpl hier="12" item="5"/>
          <tpl fld="1" item="0"/>
        </tpls>
      </n>
      <n v="115552346112">
        <tpls c="8">
          <tpl hier="2" item="0"/>
          <tpl hier="4" item="1"/>
          <tpl fld="2" item="20"/>
          <tpl fld="4" item="90"/>
          <tpl hier="9" item="4"/>
          <tpl hier="11" item="6"/>
          <tpl hier="12" item="5"/>
          <tpl fld="1" item="0"/>
        </tpls>
      </n>
      <n v="870758720">
        <tpls c="8">
          <tpl hier="2" item="0"/>
          <tpl hier="4" item="1"/>
          <tpl fld="2" item="25"/>
          <tpl fld="4" item="89"/>
          <tpl hier="9" item="4"/>
          <tpl hier="11" item="6"/>
          <tpl hier="12" item="5"/>
          <tpl fld="1" item="0"/>
        </tpls>
      </n>
      <n v="614879744">
        <tpls c="8">
          <tpl hier="2" item="0"/>
          <tpl hier="4" item="1"/>
          <tpl fld="2" item="30"/>
          <tpl fld="4" item="88"/>
          <tpl hier="9" item="4"/>
          <tpl hier="11" item="6"/>
          <tpl hier="12" item="5"/>
          <tpl fld="1" item="0"/>
        </tpls>
      </n>
      <n v="17774766080">
        <tpls c="8">
          <tpl hier="2" item="0"/>
          <tpl hier="4" item="1"/>
          <tpl fld="2" item="45"/>
          <tpl fld="4" item="87"/>
          <tpl hier="9" item="4"/>
          <tpl hier="11" item="6"/>
          <tpl hier="12" item="5"/>
          <tpl fld="1" item="0"/>
        </tpls>
      </n>
      <n v="13215975756288">
        <tpls c="8">
          <tpl hier="2" item="0"/>
          <tpl hier="4" item="1"/>
          <tpl hier="5" item="3"/>
          <tpl fld="4" item="86"/>
          <tpl hier="9" item="4"/>
          <tpl hier="11" item="6"/>
          <tpl hier="12" item="5"/>
          <tpl fld="1" item="0"/>
        </tpls>
      </n>
      <n v="45412958208">
        <tpls c="8">
          <tpl hier="2" item="0"/>
          <tpl hier="4" item="1"/>
          <tpl fld="2" item="4"/>
          <tpl fld="4" item="86"/>
          <tpl hier="9" item="4"/>
          <tpl hier="11" item="6"/>
          <tpl hier="12" item="5"/>
          <tpl fld="1" item="0"/>
        </tpls>
      </n>
      <n v="2405021952">
        <tpls c="8">
          <tpl hier="2" item="0"/>
          <tpl hier="4" item="1"/>
          <tpl fld="2" item="19"/>
          <tpl fld="4" item="85"/>
          <tpl hier="9" item="4"/>
          <tpl hier="11" item="6"/>
          <tpl hier="12" item="5"/>
          <tpl fld="1" item="0"/>
        </tpls>
      </n>
      <n v="39690629120">
        <tpls c="8">
          <tpl hier="2" item="0"/>
          <tpl hier="4" item="1"/>
          <tpl fld="2" item="24"/>
          <tpl fld="4" item="84"/>
          <tpl hier="9" item="4"/>
          <tpl hier="11" item="6"/>
          <tpl hier="12" item="5"/>
          <tpl fld="1" item="0"/>
        </tpls>
      </n>
      <n v="83670261760">
        <tpls c="8">
          <tpl hier="2" item="0"/>
          <tpl hier="4" item="1"/>
          <tpl fld="2" item="30"/>
          <tpl fld="4" item="83"/>
          <tpl hier="9" item="4"/>
          <tpl hier="11" item="6"/>
          <tpl hier="12" item="5"/>
          <tpl fld="1" item="0"/>
        </tpls>
      </n>
      <n v="211007209472">
        <tpls c="8">
          <tpl hier="2" item="0"/>
          <tpl hier="4" item="1"/>
          <tpl fld="2" item="47"/>
          <tpl fld="4" item="82"/>
          <tpl hier="9" item="4"/>
          <tpl hier="11" item="6"/>
          <tpl hier="12" item="5"/>
          <tpl fld="1" item="0"/>
        </tpls>
      </n>
      <n v="17345624064">
        <tpls c="8">
          <tpl hier="2" item="0"/>
          <tpl hier="4" item="1"/>
          <tpl fld="2" item="13"/>
          <tpl fld="4" item="82"/>
          <tpl hier="9" item="4"/>
          <tpl hier="11" item="6"/>
          <tpl hier="12" item="5"/>
          <tpl fld="1" item="0"/>
        </tpls>
      </n>
      <n v="8855705600">
        <tpls c="8">
          <tpl hier="2" item="0"/>
          <tpl hier="4" item="1"/>
          <tpl fld="2" item="30"/>
          <tpl fld="4" item="81"/>
          <tpl hier="9" item="4"/>
          <tpl hier="11" item="6"/>
          <tpl hier="12" item="5"/>
          <tpl fld="1" item="0"/>
        </tpls>
      </n>
      <n v="11670841344">
        <tpls c="8">
          <tpl hier="2" item="0"/>
          <tpl hier="4" item="1"/>
          <tpl fld="2" item="38"/>
          <tpl fld="4" item="80"/>
          <tpl hier="9" item="4"/>
          <tpl hier="11" item="6"/>
          <tpl hier="12" item="5"/>
          <tpl fld="1" item="0"/>
        </tpls>
      </n>
      <n v="1467346048">
        <tpls c="8">
          <tpl hier="2" item="0"/>
          <tpl hier="4" item="1"/>
          <tpl fld="2" item="4"/>
          <tpl fld="4" item="80"/>
          <tpl hier="9" item="4"/>
          <tpl hier="11" item="6"/>
          <tpl hier="12" item="5"/>
          <tpl fld="1" item="0"/>
        </tpls>
      </n>
      <n v="7074675712">
        <tpls c="8">
          <tpl hier="2" item="0"/>
          <tpl hier="4" item="1"/>
          <tpl fld="2" item="21"/>
          <tpl fld="4" item="79"/>
          <tpl hier="9" item="4"/>
          <tpl hier="11" item="6"/>
          <tpl hier="12" item="5"/>
          <tpl fld="1" item="0"/>
        </tpls>
      </n>
      <n v="62973853696">
        <tpls c="8">
          <tpl hier="2" item="0"/>
          <tpl hier="4" item="1"/>
          <tpl fld="2" item="29"/>
          <tpl fld="4" item="78"/>
          <tpl hier="9" item="4"/>
          <tpl hier="11" item="6"/>
          <tpl hier="12" item="5"/>
          <tpl fld="1" item="0"/>
        </tpls>
      </n>
      <n v="65481146368">
        <tpls c="8">
          <tpl hier="2" item="0"/>
          <tpl hier="4" item="1"/>
          <tpl fld="2" item="46"/>
          <tpl fld="4" item="77"/>
          <tpl hier="9" item="4"/>
          <tpl hier="11" item="6"/>
          <tpl hier="12" item="5"/>
          <tpl fld="1" item="0"/>
        </tpls>
      </n>
      <n v="7554719232">
        <tpls c="8">
          <tpl hier="2" item="0"/>
          <tpl hier="4" item="1"/>
          <tpl fld="2" item="12"/>
          <tpl fld="4" item="77"/>
          <tpl hier="9" item="4"/>
          <tpl hier="11" item="6"/>
          <tpl hier="12" item="5"/>
          <tpl fld="1" item="0"/>
        </tpls>
      </n>
      <n v="59372613632">
        <tpls c="8">
          <tpl hier="2" item="0"/>
          <tpl hier="4" item="1"/>
          <tpl fld="2" item="29"/>
          <tpl fld="4" item="76"/>
          <tpl hier="9" item="4"/>
          <tpl hier="11" item="6"/>
          <tpl hier="12" item="5"/>
          <tpl fld="1" item="0"/>
        </tpls>
      </n>
      <n v="5694716928">
        <tpls c="8">
          <tpl hier="2" item="0"/>
          <tpl hier="4" item="1"/>
          <tpl fld="2" item="37"/>
          <tpl fld="4" item="75"/>
          <tpl hier="9" item="4"/>
          <tpl hier="11" item="6"/>
          <tpl hier="12" item="5"/>
          <tpl fld="1" item="0"/>
        </tpls>
      </n>
      <n v="946385024">
        <tpls c="8">
          <tpl hier="2" item="0"/>
          <tpl hier="4" item="1"/>
          <tpl fld="2" item="3"/>
          <tpl fld="4" item="75"/>
          <tpl hier="9" item="4"/>
          <tpl hier="11" item="6"/>
          <tpl hier="12" item="5"/>
          <tpl fld="1" item="0"/>
        </tpls>
      </n>
      <n v="1009455488">
        <tpls c="8">
          <tpl hier="2" item="0"/>
          <tpl hier="4" item="1"/>
          <tpl fld="2" item="20"/>
          <tpl fld="4" item="74"/>
          <tpl hier="9" item="4"/>
          <tpl hier="11" item="6"/>
          <tpl hier="12" item="5"/>
          <tpl fld="1" item="0"/>
        </tpls>
      </n>
      <n v="4856254976">
        <tpls c="8">
          <tpl hier="2" item="0"/>
          <tpl hier="4" item="1"/>
          <tpl fld="2" item="28"/>
          <tpl fld="4" item="73"/>
          <tpl hier="9" item="4"/>
          <tpl hier="11" item="6"/>
          <tpl hier="12" item="5"/>
          <tpl fld="1" item="0"/>
        </tpls>
      </n>
      <n v="101179809792">
        <tpls c="8">
          <tpl hier="2" item="0"/>
          <tpl hier="4" item="1"/>
          <tpl fld="2" item="45"/>
          <tpl fld="4" item="72"/>
          <tpl hier="9" item="4"/>
          <tpl hier="11" item="6"/>
          <tpl hier="12" item="5"/>
          <tpl fld="1" item="0"/>
        </tpls>
      </n>
      <n v="17788172288">
        <tpls c="8">
          <tpl hier="2" item="0"/>
          <tpl hier="4" item="1"/>
          <tpl fld="2" item="11"/>
          <tpl fld="4" item="72"/>
          <tpl hier="9" item="4"/>
          <tpl hier="11" item="6"/>
          <tpl hier="12" item="5"/>
          <tpl fld="1" item="0"/>
        </tpls>
      </n>
      <n v="526502133760">
        <tpls c="8">
          <tpl hier="2" item="0"/>
          <tpl hier="4" item="1"/>
          <tpl fld="2" item="28"/>
          <tpl fld="4" item="71"/>
          <tpl hier="9" item="4"/>
          <tpl hier="11" item="6"/>
          <tpl hier="12" item="5"/>
          <tpl fld="1" item="0"/>
        </tpls>
      </n>
      <n v="4008583936">
        <tpls c="8">
          <tpl hier="2" item="0"/>
          <tpl hier="4" item="1"/>
          <tpl fld="2" item="36"/>
          <tpl fld="4" item="70"/>
          <tpl hier="9" item="4"/>
          <tpl hier="11" item="6"/>
          <tpl hier="12" item="5"/>
          <tpl fld="1" item="0"/>
        </tpls>
      </n>
      <n v="391669440">
        <tpls c="8">
          <tpl hier="2" item="0"/>
          <tpl hier="4" item="1"/>
          <tpl fld="2" item="2"/>
          <tpl fld="4" item="70"/>
          <tpl hier="9" item="4"/>
          <tpl hier="11" item="6"/>
          <tpl hier="12" item="5"/>
          <tpl fld="1" item="0"/>
        </tpls>
      </n>
      <n v="2181821952">
        <tpls c="8">
          <tpl hier="2" item="0"/>
          <tpl hier="4" item="1"/>
          <tpl fld="2" item="19"/>
          <tpl fld="4" item="69"/>
          <tpl hier="9" item="4"/>
          <tpl hier="11" item="6"/>
          <tpl hier="12" item="5"/>
          <tpl fld="1" item="0"/>
        </tpls>
      </n>
      <n v="100005322752">
        <tpls c="8">
          <tpl hier="2" item="0"/>
          <tpl hier="4" item="1"/>
          <tpl fld="2" item="27"/>
          <tpl fld="4" item="68"/>
          <tpl hier="9" item="4"/>
          <tpl hier="11" item="6"/>
          <tpl hier="12" item="5"/>
          <tpl fld="1" item="0"/>
        </tpls>
      </n>
      <n v="6047813632">
        <tpls c="8">
          <tpl hier="2" item="0"/>
          <tpl hier="4" item="1"/>
          <tpl fld="2" item="44"/>
          <tpl fld="4" item="67"/>
          <tpl hier="9" item="4"/>
          <tpl hier="11" item="6"/>
          <tpl hier="12" item="5"/>
          <tpl fld="1" item="0"/>
        </tpls>
      </n>
      <n v="1237655424">
        <tpls c="8">
          <tpl hier="2" item="0"/>
          <tpl hier="4" item="1"/>
          <tpl fld="2" item="10"/>
          <tpl fld="4" item="67"/>
          <tpl hier="9" item="4"/>
          <tpl hier="11" item="6"/>
          <tpl hier="12" item="5"/>
          <tpl fld="1" item="0"/>
        </tpls>
      </n>
      <n v="4262965248">
        <tpls c="8">
          <tpl hier="2" item="0"/>
          <tpl hier="4" item="1"/>
          <tpl fld="2" item="27"/>
          <tpl fld="4" item="66"/>
          <tpl hier="9" item="4"/>
          <tpl hier="11" item="6"/>
          <tpl hier="12" item="5"/>
          <tpl fld="1" item="0"/>
        </tpls>
      </n>
      <n v="1682350976">
        <tpls c="8">
          <tpl hier="2" item="0"/>
          <tpl hier="4" item="1"/>
          <tpl fld="2" item="35"/>
          <tpl fld="4" item="65"/>
          <tpl hier="9" item="4"/>
          <tpl hier="11" item="6"/>
          <tpl hier="12" item="5"/>
          <tpl fld="1" item="0"/>
        </tpls>
      </n>
      <n v="76482104">
        <tpls c="8">
          <tpl hier="2" item="0"/>
          <tpl hier="4" item="1"/>
          <tpl fld="2" item="1"/>
          <tpl fld="4" item="65"/>
          <tpl hier="9" item="4"/>
          <tpl hier="11" item="6"/>
          <tpl hier="12" item="5"/>
          <tpl fld="1" item="0"/>
        </tpls>
      </n>
      <n v="41119720">
        <tpls c="8">
          <tpl hier="2" item="0"/>
          <tpl hier="4" item="1"/>
          <tpl fld="2" item="19"/>
          <tpl fld="4" item="64"/>
          <tpl hier="9" item="4"/>
          <tpl hier="11" item="6"/>
          <tpl hier="12" item="5"/>
          <tpl fld="1" item="0"/>
        </tpls>
      </n>
      <n v="78965006336">
        <tpls c="8">
          <tpl hier="2" item="0"/>
          <tpl hier="4" item="1"/>
          <tpl fld="2" item="47"/>
          <tpl fld="4" item="63"/>
          <tpl hier="9" item="4"/>
          <tpl hier="11" item="6"/>
          <tpl hier="12" item="5"/>
          <tpl fld="1" item="0"/>
        </tpls>
      </n>
      <n v="32164282353288">
        <tpls c="8">
          <tpl hier="2" item="0"/>
          <tpl hier="4" item="1"/>
          <tpl fld="2" item="32"/>
          <tpl hier="6" item="2"/>
          <tpl hier="9" item="4"/>
          <tpl hier="11" item="6"/>
          <tpl hier="12" item="5"/>
          <tpl fld="1" item="0"/>
        </tpls>
      </n>
      <n v="5291950080">
        <tpls c="8">
          <tpl hier="2" item="0"/>
          <tpl hier="4" item="1"/>
          <tpl fld="2" item="37"/>
          <tpl fld="4" item="102"/>
          <tpl hier="9" item="4"/>
          <tpl hier="11" item="6"/>
          <tpl hier="12" item="5"/>
          <tpl fld="1" item="0"/>
        </tpls>
      </n>
      <n v="2178716416">
        <tpls c="8">
          <tpl hier="2" item="0"/>
          <tpl hier="4" item="1"/>
          <tpl fld="2" item="1"/>
          <tpl fld="4" item="102"/>
          <tpl hier="9" item="4"/>
          <tpl hier="11" item="6"/>
          <tpl hier="12" item="5"/>
          <tpl fld="1" item="0"/>
        </tpls>
      </n>
      <n v="2746714368">
        <tpls c="8">
          <tpl hier="2" item="0"/>
          <tpl hier="4" item="1"/>
          <tpl fld="2" item="6"/>
          <tpl fld="4" item="101"/>
          <tpl hier="9" item="4"/>
          <tpl hier="11" item="6"/>
          <tpl hier="12" item="5"/>
          <tpl fld="1" item="0"/>
        </tpls>
      </n>
      <n v="11048335360">
        <tpls c="8">
          <tpl hier="2" item="0"/>
          <tpl hier="4" item="1"/>
          <tpl fld="2" item="11"/>
          <tpl fld="4" item="100"/>
          <tpl hier="9" item="4"/>
          <tpl hier="11" item="6"/>
          <tpl hier="12" item="5"/>
          <tpl fld="1" item="0"/>
        </tpls>
      </n>
      <n v="181475557376">
        <tpls c="8">
          <tpl hier="2" item="0"/>
          <tpl hier="4" item="1"/>
          <tpl fld="2" item="26"/>
          <tpl fld="4" item="99"/>
          <tpl hier="9" item="4"/>
          <tpl hier="11" item="6"/>
          <tpl hier="12" item="5"/>
          <tpl fld="1" item="0"/>
        </tpls>
      </n>
      <n v="22066102272">
        <tpls c="8">
          <tpl hier="2" item="0"/>
          <tpl hier="4" item="1"/>
          <tpl fld="2" item="31"/>
          <tpl fld="4" item="98"/>
          <tpl hier="9" item="4"/>
          <tpl hier="11" item="6"/>
          <tpl hier="12" item="5"/>
          <tpl fld="1" item="0"/>
        </tpls>
      </n>
      <n v="18369361920">
        <tpls c="8">
          <tpl hier="2" item="0"/>
          <tpl hier="4" item="1"/>
          <tpl fld="2" item="36"/>
          <tpl fld="4" item="97"/>
          <tpl hier="9" item="4"/>
          <tpl hier="11" item="6"/>
          <tpl hier="12" item="5"/>
          <tpl fld="1" item="0"/>
        </tpls>
      </n>
      <n v="821849984">
        <tpls c="8">
          <tpl hier="2" item="0"/>
          <tpl hier="4" item="1"/>
          <tpl fld="2" item="0"/>
          <tpl fld="4" item="97"/>
          <tpl hier="9" item="4"/>
          <tpl hier="11" item="6"/>
          <tpl hier="12" item="5"/>
          <tpl fld="1" item="0"/>
        </tpls>
      </n>
      <n v="617321664">
        <tpls c="8">
          <tpl hier="2" item="0"/>
          <tpl hier="4" item="1"/>
          <tpl fld="2" item="5"/>
          <tpl fld="4" item="96"/>
          <tpl hier="9" item="4"/>
          <tpl hier="11" item="6"/>
          <tpl hier="12" item="5"/>
          <tpl fld="1" item="0"/>
        </tpls>
      </n>
      <n v="32353439744">
        <tpls c="8">
          <tpl hier="2" item="0"/>
          <tpl hier="4" item="1"/>
          <tpl fld="2" item="10"/>
          <tpl fld="4" item="95"/>
          <tpl hier="9" item="4"/>
          <tpl hier="11" item="6"/>
          <tpl hier="12" item="5"/>
          <tpl fld="1" item="0"/>
        </tpls>
      </n>
      <n v="1698982400">
        <tpls c="8">
          <tpl hier="2" item="0"/>
          <tpl hier="4" item="1"/>
          <tpl fld="2" item="25"/>
          <tpl fld="4" item="94"/>
          <tpl hier="9" item="4"/>
          <tpl hier="11" item="6"/>
          <tpl hier="12" item="5"/>
          <tpl fld="1" item="0"/>
        </tpls>
      </n>
      <n v="947672000">
        <tpls c="8">
          <tpl hier="2" item="0"/>
          <tpl hier="4" item="1"/>
          <tpl fld="2" item="30"/>
          <tpl fld="4" item="93"/>
          <tpl hier="9" item="4"/>
          <tpl hier="11" item="6"/>
          <tpl hier="12" item="5"/>
          <tpl fld="1" item="0"/>
        </tpls>
      </n>
      <n v="26524538880">
        <tpls c="8">
          <tpl hier="2" item="0"/>
          <tpl hier="4" item="1"/>
          <tpl fld="2" item="35"/>
          <tpl fld="4" item="92"/>
          <tpl hier="9" item="4"/>
          <tpl hier="11" item="6"/>
          <tpl hier="12" item="5"/>
          <tpl fld="1" item="0"/>
        </tpls>
      </n>
      <n v="1233942181632">
        <tpls c="8">
          <tpl hier="2" item="0"/>
          <tpl hier="4" item="1"/>
          <tpl hier="5" item="3"/>
          <tpl fld="4" item="91"/>
          <tpl hier="9" item="4"/>
          <tpl hier="11" item="6"/>
          <tpl hier="12" item="5"/>
          <tpl fld="1" item="0"/>
        </tpls>
      </n>
      <n v="3574586368">
        <tpls c="8">
          <tpl hier="2" item="0"/>
          <tpl hier="4" item="1"/>
          <tpl fld="2" item="4"/>
          <tpl fld="4" item="91"/>
          <tpl hier="9" item="4"/>
          <tpl hier="11" item="6"/>
          <tpl hier="12" item="5"/>
          <tpl fld="1" item="0"/>
        </tpls>
      </n>
      <n v="57645719552">
        <tpls c="8">
          <tpl hier="2" item="0"/>
          <tpl hier="4" item="1"/>
          <tpl fld="2" item="9"/>
          <tpl fld="4" item="90"/>
          <tpl hier="9" item="4"/>
          <tpl hier="11" item="6"/>
          <tpl hier="12" item="5"/>
          <tpl fld="1" item="0"/>
        </tpls>
      </n>
      <n v="911915968">
        <tpls c="8">
          <tpl hier="2" item="0"/>
          <tpl hier="4" item="1"/>
          <tpl fld="2" item="24"/>
          <tpl fld="4" item="89"/>
          <tpl hier="9" item="4"/>
          <tpl hier="11" item="6"/>
          <tpl hier="12" item="5"/>
          <tpl fld="1" item="0"/>
        </tpls>
      </n>
      <n v="622985472">
        <tpls c="8">
          <tpl hier="2" item="0"/>
          <tpl hier="4" item="1"/>
          <tpl fld="2" item="29"/>
          <tpl fld="4" item="88"/>
          <tpl hier="9" item="4"/>
          <tpl hier="11" item="6"/>
          <tpl hier="12" item="5"/>
          <tpl fld="1" item="0"/>
        </tpls>
      </n>
      <n v="10167441408">
        <tpls c="8">
          <tpl hier="2" item="0"/>
          <tpl hier="4" item="1"/>
          <tpl fld="2" item="34"/>
          <tpl fld="4" item="87"/>
          <tpl hier="9" item="4"/>
          <tpl hier="11" item="6"/>
          <tpl hier="12" item="5"/>
          <tpl fld="1" item="0"/>
        </tpls>
      </n>
      <n v="792966856704">
        <tpls c="8">
          <tpl hier="2" item="0"/>
          <tpl hier="4" item="1"/>
          <tpl fld="2" item="49"/>
          <tpl fld="4" item="86"/>
          <tpl hier="9" item="4"/>
          <tpl hier="11" item="6"/>
          <tpl hier="12" item="5"/>
          <tpl fld="1" item="0"/>
        </tpls>
      </n>
      <n v="14947391488">
        <tpls c="8">
          <tpl hier="2" item="0"/>
          <tpl hier="4" item="1"/>
          <tpl fld="2" item="3"/>
          <tpl fld="4" item="86"/>
          <tpl hier="9" item="4"/>
          <tpl hier="11" item="6"/>
          <tpl hier="12" item="5"/>
          <tpl fld="1" item="0"/>
        </tpls>
      </n>
      <n v="905709120">
        <tpls c="8">
          <tpl hier="2" item="0"/>
          <tpl hier="4" item="1"/>
          <tpl fld="2" item="8"/>
          <tpl fld="4" item="85"/>
          <tpl hier="9" item="4"/>
          <tpl hier="11" item="6"/>
          <tpl hier="12" item="5"/>
          <tpl fld="1" item="0"/>
        </tpls>
      </n>
      <n v="36922454016">
        <tpls c="8">
          <tpl hier="2" item="0"/>
          <tpl hier="4" item="1"/>
          <tpl fld="2" item="23"/>
          <tpl fld="4" item="84"/>
          <tpl hier="9" item="4"/>
          <tpl hier="11" item="6"/>
          <tpl hier="12" item="5"/>
          <tpl fld="1" item="0"/>
        </tpls>
      </n>
      <n v="82995142656">
        <tpls c="8">
          <tpl hier="2" item="0"/>
          <tpl hier="4" item="1"/>
          <tpl fld="2" item="29"/>
          <tpl fld="4" item="83"/>
          <tpl hier="9" item="4"/>
          <tpl hier="11" item="6"/>
          <tpl hier="12" item="5"/>
          <tpl fld="1" item="0"/>
        </tpls>
      </n>
      <n v="191895945216">
        <tpls c="8">
          <tpl hier="2" item="0"/>
          <tpl hier="4" item="1"/>
          <tpl fld="2" item="46"/>
          <tpl fld="4" item="82"/>
          <tpl hier="9" item="4"/>
          <tpl hier="11" item="6"/>
          <tpl hier="12" item="5"/>
          <tpl fld="1" item="0"/>
        </tpls>
      </n>
      <n v="21793497088">
        <tpls c="8">
          <tpl hier="2" item="0"/>
          <tpl hier="4" item="1"/>
          <tpl fld="2" item="12"/>
          <tpl fld="4" item="82"/>
          <tpl hier="9" item="4"/>
          <tpl hier="11" item="6"/>
          <tpl hier="12" item="5"/>
          <tpl fld="1" item="0"/>
        </tpls>
      </n>
      <n v="5812114432">
        <tpls c="8">
          <tpl hier="2" item="0"/>
          <tpl hier="4" item="1"/>
          <tpl fld="2" item="20"/>
          <tpl fld="4" item="81"/>
          <tpl hier="9" item="4"/>
          <tpl hier="11" item="6"/>
          <tpl hier="12" item="5"/>
          <tpl fld="1" item="0"/>
        </tpls>
      </n>
      <n v="9545177088">
        <tpls c="8">
          <tpl hier="2" item="0"/>
          <tpl hier="4" item="1"/>
          <tpl fld="2" item="37"/>
          <tpl fld="4" item="80"/>
          <tpl hier="9" item="4"/>
          <tpl hier="11" item="6"/>
          <tpl hier="12" item="5"/>
          <tpl fld="1" item="0"/>
        </tpls>
      </n>
      <n v="1299105280">
        <tpls c="8">
          <tpl hier="2" item="0"/>
          <tpl hier="4" item="1"/>
          <tpl fld="2" item="3"/>
          <tpl fld="4" item="80"/>
          <tpl hier="9" item="4"/>
          <tpl hier="11" item="6"/>
          <tpl hier="12" item="5"/>
          <tpl fld="1" item="0"/>
        </tpls>
      </n>
      <n v="6433967104">
        <tpls c="8">
          <tpl hier="2" item="0"/>
          <tpl hier="4" item="1"/>
          <tpl fld="2" item="20"/>
          <tpl fld="4" item="79"/>
          <tpl hier="9" item="4"/>
          <tpl hier="11" item="6"/>
          <tpl hier="12" item="5"/>
          <tpl fld="1" item="0"/>
        </tpls>
      </n>
      <n v="62191955968">
        <tpls c="8">
          <tpl hier="2" item="0"/>
          <tpl hier="4" item="1"/>
          <tpl fld="2" item="28"/>
          <tpl fld="4" item="78"/>
          <tpl hier="9" item="4"/>
          <tpl hier="11" item="6"/>
          <tpl hier="12" item="5"/>
          <tpl fld="1" item="0"/>
        </tpls>
      </n>
      <n v="68400259072">
        <tpls c="8">
          <tpl hier="2" item="0"/>
          <tpl hier="4" item="1"/>
          <tpl fld="2" item="45"/>
          <tpl fld="4" item="77"/>
          <tpl hier="9" item="4"/>
          <tpl hier="11" item="6"/>
          <tpl hier="12" item="5"/>
          <tpl fld="1" item="0"/>
        </tpls>
      </n>
      <n v="7259120128">
        <tpls c="8">
          <tpl hier="2" item="0"/>
          <tpl hier="4" item="1"/>
          <tpl fld="2" item="11"/>
          <tpl fld="4" item="77"/>
          <tpl hier="9" item="4"/>
          <tpl hier="11" item="6"/>
          <tpl hier="12" item="5"/>
          <tpl fld="1" item="0"/>
        </tpls>
      </n>
      <n v="44003061760">
        <tpls c="8">
          <tpl hier="2" item="0"/>
          <tpl hier="4" item="1"/>
          <tpl fld="2" item="19"/>
          <tpl fld="4" item="76"/>
          <tpl hier="9" item="4"/>
          <tpl hier="11" item="6"/>
          <tpl hier="12" item="5"/>
          <tpl fld="1" item="0"/>
        </tpls>
      </n>
      <n v="4743059456">
        <tpls c="8">
          <tpl hier="2" item="0"/>
          <tpl hier="4" item="1"/>
          <tpl fld="2" item="36"/>
          <tpl fld="4" item="75"/>
          <tpl hier="9" item="4"/>
          <tpl hier="11" item="6"/>
          <tpl hier="12" item="5"/>
          <tpl fld="1" item="0"/>
        </tpls>
      </n>
      <n v="742779712">
        <tpls c="8">
          <tpl hier="2" item="0"/>
          <tpl hier="4" item="1"/>
          <tpl fld="2" item="2"/>
          <tpl fld="4" item="75"/>
          <tpl hier="9" item="4"/>
          <tpl hier="11" item="6"/>
          <tpl hier="12" item="5"/>
          <tpl fld="1" item="0"/>
        </tpls>
      </n>
      <n v="1013184768">
        <tpls c="8">
          <tpl hier="2" item="0"/>
          <tpl hier="4" item="1"/>
          <tpl fld="2" item="19"/>
          <tpl fld="4" item="74"/>
          <tpl hier="9" item="4"/>
          <tpl hier="11" item="6"/>
          <tpl hier="12" item="5"/>
          <tpl fld="1" item="0"/>
        </tpls>
      </n>
      <n v="4918691840">
        <tpls c="8">
          <tpl hier="2" item="0"/>
          <tpl hier="4" item="1"/>
          <tpl fld="2" item="27"/>
          <tpl fld="4" item="73"/>
          <tpl hier="9" item="4"/>
          <tpl hier="11" item="6"/>
          <tpl hier="12" item="5"/>
          <tpl fld="1" item="0"/>
        </tpls>
      </n>
      <n v="110081245184">
        <tpls c="8">
          <tpl hier="2" item="0"/>
          <tpl hier="4" item="1"/>
          <tpl fld="2" item="44"/>
          <tpl fld="4" item="72"/>
          <tpl hier="9" item="4"/>
          <tpl hier="11" item="6"/>
          <tpl hier="12" item="5"/>
          <tpl fld="1" item="0"/>
        </tpls>
      </n>
      <n v="21728770048">
        <tpls c="8">
          <tpl hier="2" item="0"/>
          <tpl hier="4" item="1"/>
          <tpl fld="2" item="10"/>
          <tpl fld="4" item="72"/>
          <tpl hier="9" item="4"/>
          <tpl hier="11" item="6"/>
          <tpl hier="12" item="5"/>
          <tpl fld="1" item="0"/>
        </tpls>
      </n>
      <n v="181611544576">
        <tpls c="8">
          <tpl hier="2" item="0"/>
          <tpl hier="4" item="1"/>
          <tpl fld="2" item="18"/>
          <tpl fld="4" item="71"/>
          <tpl hier="9" item="4"/>
          <tpl hier="11" item="6"/>
          <tpl hier="12" item="5"/>
          <tpl fld="1" item="0"/>
        </tpls>
      </n>
      <n v="2936019456">
        <tpls c="8">
          <tpl hier="2" item="0"/>
          <tpl hier="4" item="1"/>
          <tpl fld="2" item="35"/>
          <tpl fld="4" item="70"/>
          <tpl hier="9" item="4"/>
          <tpl hier="11" item="6"/>
          <tpl hier="12" item="5"/>
          <tpl fld="1" item="0"/>
        </tpls>
      </n>
      <n v="335569088">
        <tpls c="8">
          <tpl hier="2" item="0"/>
          <tpl hier="4" item="1"/>
          <tpl fld="2" item="1"/>
          <tpl fld="4" item="70"/>
          <tpl hier="9" item="4"/>
          <tpl hier="11" item="6"/>
          <tpl hier="12" item="5"/>
          <tpl fld="1" item="0"/>
        </tpls>
      </n>
      <n v="2169040640">
        <tpls c="8">
          <tpl hier="2" item="0"/>
          <tpl hier="4" item="1"/>
          <tpl fld="2" item="18"/>
          <tpl fld="4" item="69"/>
          <tpl hier="9" item="4"/>
          <tpl hier="11" item="6"/>
          <tpl hier="12" item="5"/>
          <tpl fld="1" item="0"/>
        </tpls>
      </n>
      <n v="100855390208">
        <tpls c="8">
          <tpl hier="2" item="0"/>
          <tpl hier="4" item="1"/>
          <tpl fld="2" item="26"/>
          <tpl fld="4" item="68"/>
          <tpl hier="9" item="4"/>
          <tpl hier="11" item="6"/>
          <tpl hier="12" item="5"/>
          <tpl fld="1" item="0"/>
        </tpls>
      </n>
      <n v="5518880768">
        <tpls c="8">
          <tpl hier="2" item="0"/>
          <tpl hier="4" item="1"/>
          <tpl fld="2" item="43"/>
          <tpl fld="4" item="67"/>
          <tpl hier="9" item="4"/>
          <tpl hier="11" item="6"/>
          <tpl hier="12" item="5"/>
          <tpl fld="1" item="0"/>
        </tpls>
      </n>
      <n v="1058269056">
        <tpls c="8">
          <tpl hier="2" item="0"/>
          <tpl hier="4" item="1"/>
          <tpl fld="2" item="9"/>
          <tpl fld="4" item="67"/>
          <tpl hier="9" item="4"/>
          <tpl hier="11" item="6"/>
          <tpl hier="12" item="5"/>
          <tpl fld="1" item="0"/>
        </tpls>
      </n>
      <n v="3212900608">
        <tpls c="8">
          <tpl hier="2" item="0"/>
          <tpl hier="4" item="1"/>
          <tpl fld="2" item="17"/>
          <tpl fld="4" item="66"/>
          <tpl hier="9" item="4"/>
          <tpl hier="11" item="6"/>
          <tpl hier="12" item="5"/>
          <tpl fld="1" item="0"/>
        </tpls>
      </n>
      <n v="1511236608">
        <tpls c="8">
          <tpl hier="2" item="0"/>
          <tpl hier="4" item="1"/>
          <tpl fld="2" item="34"/>
          <tpl fld="4" item="65"/>
          <tpl hier="9" item="4"/>
          <tpl hier="11" item="6"/>
          <tpl hier="12" item="5"/>
          <tpl fld="1" item="0"/>
        </tpls>
      </n>
      <n v="68738624">
        <tpls c="8">
          <tpl hier="2" item="0"/>
          <tpl hier="4" item="1"/>
          <tpl fld="2" item="0"/>
          <tpl fld="4" item="65"/>
          <tpl hier="9" item="4"/>
          <tpl hier="11" item="6"/>
          <tpl hier="12" item="5"/>
          <tpl fld="1" item="0"/>
        </tpls>
      </n>
      <n v="42972108">
        <tpls c="8">
          <tpl hier="2" item="0"/>
          <tpl hier="4" item="1"/>
          <tpl fld="2" item="18"/>
          <tpl fld="4" item="64"/>
          <tpl hier="9" item="4"/>
          <tpl hier="11" item="6"/>
          <tpl hier="12" item="5"/>
          <tpl fld="1" item="0"/>
        </tpls>
      </n>
      <n v="69188755456">
        <tpls c="8">
          <tpl hier="2" item="0"/>
          <tpl hier="4" item="1"/>
          <tpl fld="2" item="46"/>
          <tpl fld="4" item="63"/>
          <tpl hier="9" item="4"/>
          <tpl hier="11" item="6"/>
          <tpl hier="12" item="5"/>
          <tpl fld="1" item="0"/>
        </tpls>
      </n>
      <n v="31017838508664">
        <tpls c="8">
          <tpl hier="2" item="0"/>
          <tpl hier="4" item="1"/>
          <tpl fld="2" item="31"/>
          <tpl hier="6" item="2"/>
          <tpl hier="9" item="4"/>
          <tpl hier="11" item="6"/>
          <tpl hier="12" item="5"/>
          <tpl fld="1" item="0"/>
        </tpls>
      </n>
      <n v="5443896320">
        <tpls c="8">
          <tpl hier="2" item="0"/>
          <tpl hier="4" item="1"/>
          <tpl fld="2" item="36"/>
          <tpl fld="4" item="102"/>
          <tpl hier="9" item="4"/>
          <tpl hier="11" item="6"/>
          <tpl hier="12" item="5"/>
          <tpl fld="1" item="0"/>
        </tpls>
      </n>
      <n v="1884206336">
        <tpls c="8">
          <tpl hier="2" item="0"/>
          <tpl hier="4" item="1"/>
          <tpl fld="2" item="0"/>
          <tpl fld="4" item="102"/>
          <tpl hier="9" item="4"/>
          <tpl hier="11" item="6"/>
          <tpl hier="12" item="5"/>
          <tpl fld="1" item="0"/>
        </tpls>
      </n>
      <n v="2618666752">
        <tpls c="8">
          <tpl hier="2" item="0"/>
          <tpl hier="4" item="1"/>
          <tpl fld="2" item="5"/>
          <tpl fld="4" item="101"/>
          <tpl hier="9" item="4"/>
          <tpl hier="11" item="6"/>
          <tpl hier="12" item="5"/>
          <tpl fld="1" item="0"/>
        </tpls>
      </n>
      <n v="10163019776">
        <tpls c="8">
          <tpl hier="2" item="0"/>
          <tpl hier="4" item="1"/>
          <tpl fld="2" item="10"/>
          <tpl fld="4" item="100"/>
          <tpl hier="9" item="4"/>
          <tpl hier="11" item="6"/>
          <tpl hier="12" item="5"/>
          <tpl fld="1" item="0"/>
        </tpls>
      </n>
      <n v="169485942784">
        <tpls c="8">
          <tpl hier="2" item="0"/>
          <tpl hier="4" item="1"/>
          <tpl fld="2" item="25"/>
          <tpl fld="4" item="99"/>
          <tpl hier="9" item="4"/>
          <tpl hier="11" item="6"/>
          <tpl hier="12" item="5"/>
          <tpl fld="1" item="0"/>
        </tpls>
      </n>
      <n v="21473189888">
        <tpls c="8">
          <tpl hier="2" item="0"/>
          <tpl hier="4" item="1"/>
          <tpl fld="2" item="30"/>
          <tpl fld="4" item="98"/>
          <tpl hier="9" item="4"/>
          <tpl hier="11" item="6"/>
          <tpl hier="12" item="5"/>
          <tpl fld="1" item="0"/>
        </tpls>
      </n>
      <n v="15982282752">
        <tpls c="8">
          <tpl hier="2" item="0"/>
          <tpl hier="4" item="1"/>
          <tpl fld="2" item="35"/>
          <tpl fld="4" item="97"/>
          <tpl hier="9" item="4"/>
          <tpl hier="11" item="6"/>
          <tpl hier="12" item="5"/>
          <tpl fld="1" item="0"/>
        </tpls>
      </n>
      <n v="97734971408">
        <tpls c="8">
          <tpl hier="2" item="0"/>
          <tpl hier="4" item="1"/>
          <tpl hier="5" item="3"/>
          <tpl fld="4" item="96"/>
          <tpl hier="9" item="4"/>
          <tpl hier="11" item="6"/>
          <tpl hier="12" item="5"/>
          <tpl fld="1" item="0"/>
        </tpls>
      </n>
      <n v="560437760">
        <tpls c="8">
          <tpl hier="2" item="0"/>
          <tpl hier="4" item="1"/>
          <tpl fld="2" item="4"/>
          <tpl fld="4" item="96"/>
          <tpl hier="9" item="4"/>
          <tpl hier="11" item="6"/>
          <tpl hier="12" item="5"/>
          <tpl fld="1" item="0"/>
        </tpls>
      </n>
      <n v="27371698176">
        <tpls c="8">
          <tpl hier="2" item="0"/>
          <tpl hier="4" item="1"/>
          <tpl fld="2" item="9"/>
          <tpl fld="4" item="95"/>
          <tpl hier="9" item="4"/>
          <tpl hier="11" item="6"/>
          <tpl hier="12" item="5"/>
          <tpl fld="1" item="0"/>
        </tpls>
      </n>
      <n v="1419293440">
        <tpls c="8">
          <tpl hier="2" item="0"/>
          <tpl hier="4" item="1"/>
          <tpl fld="2" item="24"/>
          <tpl fld="4" item="94"/>
          <tpl hier="9" item="4"/>
          <tpl hier="11" item="6"/>
          <tpl hier="12" item="5"/>
          <tpl fld="1" item="0"/>
        </tpls>
      </n>
      <n v="886290688">
        <tpls c="8">
          <tpl hier="2" item="0"/>
          <tpl hier="4" item="1"/>
          <tpl fld="2" item="29"/>
          <tpl fld="4" item="93"/>
          <tpl hier="9" item="4"/>
          <tpl hier="11" item="6"/>
          <tpl hier="12" item="5"/>
          <tpl fld="1" item="0"/>
        </tpls>
      </n>
      <n v="21457469440">
        <tpls c="8">
          <tpl hier="2" item="0"/>
          <tpl hier="4" item="1"/>
          <tpl fld="2" item="34"/>
          <tpl fld="4" item="92"/>
          <tpl hier="9" item="4"/>
          <tpl hier="11" item="6"/>
          <tpl hier="12" item="5"/>
          <tpl fld="1" item="0"/>
        </tpls>
      </n>
      <n v="84008779776">
        <tpls c="8">
          <tpl hier="2" item="0"/>
          <tpl hier="4" item="1"/>
          <tpl fld="2" item="49"/>
          <tpl fld="4" item="91"/>
          <tpl hier="9" item="4"/>
          <tpl hier="11" item="6"/>
          <tpl hier="12" item="5"/>
          <tpl fld="1" item="0"/>
        </tpls>
      </n>
      <n v="2875624960">
        <tpls c="8">
          <tpl hier="2" item="0"/>
          <tpl hier="4" item="1"/>
          <tpl fld="2" item="3"/>
          <tpl fld="4" item="91"/>
          <tpl hier="9" item="4"/>
          <tpl hier="11" item="6"/>
          <tpl hier="12" item="5"/>
          <tpl fld="1" item="0"/>
        </tpls>
      </n>
      <n v="46739451904">
        <tpls c="8">
          <tpl hier="2" item="0"/>
          <tpl hier="4" item="1"/>
          <tpl fld="2" item="8"/>
          <tpl fld="4" item="90"/>
          <tpl hier="9" item="4"/>
          <tpl hier="11" item="6"/>
          <tpl hier="12" item="5"/>
          <tpl fld="1" item="0"/>
        </tpls>
      </n>
      <n v="768812352">
        <tpls c="8">
          <tpl hier="2" item="0"/>
          <tpl hier="4" item="1"/>
          <tpl fld="2" item="23"/>
          <tpl fld="4" item="89"/>
          <tpl hier="9" item="4"/>
          <tpl hier="11" item="6"/>
          <tpl hier="12" item="5"/>
          <tpl fld="1" item="0"/>
        </tpls>
      </n>
      <n v="608369280">
        <tpls c="8">
          <tpl hier="2" item="0"/>
          <tpl hier="4" item="1"/>
          <tpl fld="2" item="28"/>
          <tpl fld="4" item="88"/>
          <tpl hier="9" item="4"/>
          <tpl hier="11" item="6"/>
          <tpl hier="12" item="5"/>
          <tpl fld="1" item="0"/>
        </tpls>
      </n>
      <n v="8683229184">
        <tpls c="8">
          <tpl hier="2" item="0"/>
          <tpl hier="4" item="1"/>
          <tpl fld="2" item="33"/>
          <tpl fld="4" item="87"/>
          <tpl hier="9" item="4"/>
          <tpl hier="11" item="6"/>
          <tpl hier="12" item="5"/>
          <tpl fld="1" item="0"/>
        </tpls>
      </n>
      <n v="786521849856">
        <tpls c="8">
          <tpl hier="2" item="0"/>
          <tpl hier="4" item="1"/>
          <tpl fld="2" item="48"/>
          <tpl fld="4" item="86"/>
          <tpl hier="9" item="4"/>
          <tpl hier="11" item="6"/>
          <tpl hier="12" item="5"/>
          <tpl fld="1" item="0"/>
        </tpls>
      </n>
      <n v="9664157696">
        <tpls c="8">
          <tpl hier="2" item="0"/>
          <tpl hier="4" item="1"/>
          <tpl fld="2" item="2"/>
          <tpl fld="4" item="86"/>
          <tpl hier="9" item="4"/>
          <tpl hier="11" item="6"/>
          <tpl hier="12" item="5"/>
          <tpl fld="1" item="0"/>
        </tpls>
      </n>
      <n v="746650560">
        <tpls c="8">
          <tpl hier="2" item="0"/>
          <tpl hier="4" item="1"/>
          <tpl fld="2" item="7"/>
          <tpl fld="4" item="85"/>
          <tpl hier="9" item="4"/>
          <tpl hier="11" item="6"/>
          <tpl hier="12" item="5"/>
          <tpl fld="1" item="0"/>
        </tpls>
      </n>
      <n v="34630430720">
        <tpls c="8">
          <tpl hier="2" item="0"/>
          <tpl hier="4" item="1"/>
          <tpl fld="2" item="22"/>
          <tpl fld="4" item="84"/>
          <tpl hier="9" item="4"/>
          <tpl hier="11" item="6"/>
          <tpl hier="12" item="5"/>
          <tpl fld="1" item="0"/>
        </tpls>
      </n>
      <n v="72207032320">
        <tpls c="8">
          <tpl hier="2" item="0"/>
          <tpl hier="4" item="1"/>
          <tpl fld="2" item="28"/>
          <tpl fld="4" item="83"/>
          <tpl hier="9" item="4"/>
          <tpl hier="11" item="6"/>
          <tpl hier="12" item="5"/>
          <tpl fld="1" item="0"/>
        </tpls>
      </n>
      <n v="189805297664">
        <tpls c="8">
          <tpl hier="2" item="0"/>
          <tpl hier="4" item="1"/>
          <tpl fld="2" item="45"/>
          <tpl fld="4" item="82"/>
          <tpl hier="9" item="4"/>
          <tpl hier="11" item="6"/>
          <tpl hier="12" item="5"/>
          <tpl fld="1" item="0"/>
        </tpls>
      </n>
      <n v="21649137664">
        <tpls c="8">
          <tpl hier="2" item="0"/>
          <tpl hier="4" item="1"/>
          <tpl fld="2" item="11"/>
          <tpl fld="4" item="82"/>
          <tpl hier="9" item="4"/>
          <tpl hier="11" item="6"/>
          <tpl hier="12" item="5"/>
          <tpl fld="1" item="0"/>
        </tpls>
      </n>
      <n v="4757732352">
        <tpls c="8">
          <tpl hier="2" item="0"/>
          <tpl hier="4" item="1"/>
          <tpl fld="2" item="19"/>
          <tpl fld="4" item="81"/>
          <tpl hier="9" item="4"/>
          <tpl hier="11" item="6"/>
          <tpl hier="12" item="5"/>
          <tpl fld="1" item="0"/>
        </tpls>
      </n>
      <n v="8355006464">
        <tpls c="8">
          <tpl hier="2" item="0"/>
          <tpl hier="4" item="1"/>
          <tpl fld="2" item="36"/>
          <tpl fld="4" item="80"/>
          <tpl hier="9" item="4"/>
          <tpl hier="11" item="6"/>
          <tpl hier="12" item="5"/>
          <tpl fld="1" item="0"/>
        </tpls>
      </n>
      <n v="858802048">
        <tpls c="8">
          <tpl hier="2" item="0"/>
          <tpl hier="4" item="1"/>
          <tpl fld="2" item="2"/>
          <tpl fld="4" item="80"/>
          <tpl hier="9" item="4"/>
          <tpl hier="11" item="6"/>
          <tpl hier="12" item="5"/>
          <tpl fld="1" item="0"/>
        </tpls>
      </n>
      <n v="4614086656">
        <tpls c="8">
          <tpl hier="2" item="0"/>
          <tpl hier="4" item="1"/>
          <tpl fld="2" item="10"/>
          <tpl fld="4" item="79"/>
          <tpl hier="9" item="4"/>
          <tpl hier="11" item="6"/>
          <tpl hier="12" item="5"/>
          <tpl fld="1" item="0"/>
        </tpls>
      </n>
      <n v="62433300480">
        <tpls c="8">
          <tpl hier="2" item="0"/>
          <tpl hier="4" item="1"/>
          <tpl fld="2" item="27"/>
          <tpl fld="4" item="78"/>
          <tpl hier="9" item="4"/>
          <tpl hier="11" item="6"/>
          <tpl hier="12" item="5"/>
          <tpl fld="1" item="0"/>
        </tpls>
      </n>
      <n v="81076461568">
        <tpls c="8">
          <tpl hier="2" item="0"/>
          <tpl hier="4" item="1"/>
          <tpl fld="2" item="44"/>
          <tpl fld="4" item="77"/>
          <tpl hier="9" item="4"/>
          <tpl hier="11" item="6"/>
          <tpl hier="12" item="5"/>
          <tpl fld="1" item="0"/>
        </tpls>
      </n>
      <n v="5981760512">
        <tpls c="8">
          <tpl hier="2" item="0"/>
          <tpl hier="4" item="1"/>
          <tpl fld="2" item="10"/>
          <tpl fld="4" item="77"/>
          <tpl hier="9" item="4"/>
          <tpl hier="11" item="6"/>
          <tpl hier="12" item="5"/>
          <tpl fld="1" item="0"/>
        </tpls>
      </n>
      <n v="49648472064">
        <tpls c="8">
          <tpl hier="2" item="0"/>
          <tpl hier="4" item="1"/>
          <tpl fld="2" item="18"/>
          <tpl fld="4" item="76"/>
          <tpl hier="9" item="4"/>
          <tpl hier="11" item="6"/>
          <tpl hier="12" item="5"/>
          <tpl fld="1" item="0"/>
        </tpls>
      </n>
      <n v="4374678016">
        <tpls c="8">
          <tpl hier="2" item="0"/>
          <tpl hier="4" item="1"/>
          <tpl fld="2" item="35"/>
          <tpl fld="4" item="75"/>
          <tpl hier="9" item="4"/>
          <tpl hier="11" item="6"/>
          <tpl hier="12" item="5"/>
          <tpl fld="1" item="0"/>
        </tpls>
      </n>
      <n v="693573568">
        <tpls c="8">
          <tpl hier="2" item="0"/>
          <tpl hier="4" item="1"/>
          <tpl fld="2" item="1"/>
          <tpl fld="4" item="75"/>
          <tpl hier="9" item="4"/>
          <tpl hier="11" item="6"/>
          <tpl hier="12" item="5"/>
          <tpl fld="1" item="0"/>
        </tpls>
      </n>
      <n v="1527852672">
        <tpls c="8">
          <tpl hier="2" item="0"/>
          <tpl hier="4" item="1"/>
          <tpl fld="2" item="9"/>
          <tpl fld="4" item="74"/>
          <tpl hier="9" item="4"/>
          <tpl hier="11" item="6"/>
          <tpl hier="12" item="5"/>
          <tpl fld="1" item="0"/>
        </tpls>
      </n>
      <n v="4521580544">
        <tpls c="8">
          <tpl hier="2" item="0"/>
          <tpl hier="4" item="1"/>
          <tpl fld="2" item="26"/>
          <tpl fld="4" item="73"/>
          <tpl hier="9" item="4"/>
          <tpl hier="11" item="6"/>
          <tpl hier="12" item="5"/>
          <tpl fld="1" item="0"/>
        </tpls>
      </n>
      <n v="106825646080">
        <tpls c="8">
          <tpl hier="2" item="0"/>
          <tpl hier="4" item="1"/>
          <tpl fld="2" item="43"/>
          <tpl fld="4" item="72"/>
          <tpl hier="9" item="4"/>
          <tpl hier="11" item="6"/>
          <tpl hier="12" item="5"/>
          <tpl fld="1" item="0"/>
        </tpls>
      </n>
      <n v="15912133632">
        <tpls c="8">
          <tpl hier="2" item="0"/>
          <tpl hier="4" item="1"/>
          <tpl fld="2" item="9"/>
          <tpl fld="4" item="72"/>
          <tpl hier="9" item="4"/>
          <tpl hier="11" item="6"/>
          <tpl hier="12" item="5"/>
          <tpl fld="1" item="0"/>
        </tpls>
      </n>
      <n v="147540738048">
        <tpls c="8">
          <tpl hier="2" item="0"/>
          <tpl hier="4" item="1"/>
          <tpl fld="2" item="17"/>
          <tpl fld="4" item="71"/>
          <tpl hier="9" item="4"/>
          <tpl hier="11" item="6"/>
          <tpl hier="12" item="5"/>
          <tpl fld="1" item="0"/>
        </tpls>
      </n>
      <n v="2362501120">
        <tpls c="8">
          <tpl hier="2" item="0"/>
          <tpl hier="4" item="1"/>
          <tpl fld="2" item="34"/>
          <tpl fld="4" item="70"/>
          <tpl hier="9" item="4"/>
          <tpl hier="11" item="6"/>
          <tpl hier="12" item="5"/>
          <tpl fld="1" item="0"/>
        </tpls>
      </n>
      <n v="309405312">
        <tpls c="8">
          <tpl hier="2" item="0"/>
          <tpl hier="4" item="1"/>
          <tpl fld="2" item="0"/>
          <tpl fld="4" item="70"/>
          <tpl hier="9" item="4"/>
          <tpl hier="11" item="6"/>
          <tpl hier="12" item="5"/>
          <tpl fld="1" item="0"/>
        </tpls>
      </n>
      <n v="1222702336">
        <tpls c="8">
          <tpl hier="2" item="0"/>
          <tpl hier="4" item="1"/>
          <tpl fld="2" item="8"/>
          <tpl fld="4" item="69"/>
          <tpl hier="9" item="4"/>
          <tpl hier="11" item="6"/>
          <tpl hier="12" item="5"/>
          <tpl fld="1" item="0"/>
        </tpls>
      </n>
      <n v="88705343488">
        <tpls c="8">
          <tpl hier="2" item="0"/>
          <tpl hier="4" item="1"/>
          <tpl fld="2" item="25"/>
          <tpl fld="4" item="68"/>
          <tpl hier="9" item="4"/>
          <tpl hier="11" item="6"/>
          <tpl hier="12" item="5"/>
          <tpl fld="1" item="0"/>
        </tpls>
      </n>
      <n v="6028487680">
        <tpls c="8">
          <tpl hier="2" item="0"/>
          <tpl hier="4" item="1"/>
          <tpl fld="2" item="42"/>
          <tpl fld="4" item="67"/>
          <tpl hier="9" item="4"/>
          <tpl hier="11" item="6"/>
          <tpl hier="12" item="5"/>
          <tpl fld="1" item="0"/>
        </tpls>
      </n>
      <n v="949034048">
        <tpls c="8">
          <tpl hier="2" item="0"/>
          <tpl hier="4" item="1"/>
          <tpl fld="2" item="8"/>
          <tpl fld="4" item="67"/>
          <tpl hier="9" item="4"/>
          <tpl hier="11" item="6"/>
          <tpl hier="12" item="5"/>
          <tpl fld="1" item="0"/>
        </tpls>
      </n>
      <n v="4347990016">
        <tpls c="8">
          <tpl hier="2" item="0"/>
          <tpl hier="4" item="1"/>
          <tpl fld="2" item="16"/>
          <tpl fld="4" item="66"/>
          <tpl hier="9" item="4"/>
          <tpl hier="11" item="6"/>
          <tpl hier="12" item="5"/>
          <tpl fld="1" item="0"/>
        </tpls>
      </n>
      <n v="1157832960">
        <tpls c="8">
          <tpl hier="2" item="0"/>
          <tpl hier="4" item="1"/>
          <tpl fld="2" item="33"/>
          <tpl fld="4" item="65"/>
          <tpl hier="9" item="4"/>
          <tpl hier="11" item="6"/>
          <tpl hier="12" item="5"/>
          <tpl fld="1" item="0"/>
        </tpls>
      </n>
      <n v="4176502246">
        <tpls c="8">
          <tpl hier="2" item="0"/>
          <tpl hier="4" item="1"/>
          <tpl hier="5" item="3"/>
          <tpl fld="4" item="64"/>
          <tpl hier="9" item="4"/>
          <tpl hier="11" item="6"/>
          <tpl hier="12" item="5"/>
          <tpl fld="1" item="0"/>
        </tpls>
      </n>
      <n v="33608740">
        <tpls c="8">
          <tpl hier="2" item="0"/>
          <tpl hier="4" item="1"/>
          <tpl fld="2" item="17"/>
          <tpl fld="4" item="64"/>
          <tpl hier="9" item="4"/>
          <tpl hier="11" item="6"/>
          <tpl hier="12" item="5"/>
          <tpl fld="1" item="0"/>
        </tpls>
      </n>
      <n v="64007749632">
        <tpls c="8">
          <tpl hier="2" item="0"/>
          <tpl hier="4" item="1"/>
          <tpl fld="2" item="45"/>
          <tpl fld="4" item="63"/>
          <tpl hier="9" item="4"/>
          <tpl hier="11" item="6"/>
          <tpl hier="12" item="5"/>
          <tpl fld="1" item="0"/>
        </tpls>
      </n>
      <n v="12896013312">
        <tpls c="8">
          <tpl hier="2" item="0"/>
          <tpl hier="4" item="1"/>
          <tpl fld="2" item="29"/>
          <tpl fld="4" item="63"/>
          <tpl hier="9" item="4"/>
          <tpl hier="11" item="6"/>
          <tpl hier="12" item="5"/>
          <tpl fld="1" item="0"/>
        </tpls>
      </n>
      <n v="5979198464">
        <tpls c="8">
          <tpl hier="2" item="0"/>
          <tpl hier="4" item="1"/>
          <tpl fld="2" item="13"/>
          <tpl fld="4" item="63"/>
          <tpl hier="9" item="4"/>
          <tpl hier="11" item="6"/>
          <tpl hier="12" item="5"/>
          <tpl fld="1" item="0"/>
        </tpls>
      </n>
      <n v="31292025457632">
        <tpls c="8">
          <tpl hier="2" item="0"/>
          <tpl hier="4" item="1"/>
          <tpl fld="2" item="30"/>
          <tpl hier="6" item="2"/>
          <tpl hier="9" item="4"/>
          <tpl hier="11" item="6"/>
          <tpl hier="12" item="5"/>
          <tpl fld="1" item="0"/>
        </tpls>
      </n>
      <n v="5755215360">
        <tpls c="8">
          <tpl hier="2" item="0"/>
          <tpl hier="4" item="1"/>
          <tpl fld="2" item="35"/>
          <tpl fld="4" item="102"/>
          <tpl hier="9" item="4"/>
          <tpl hier="11" item="6"/>
          <tpl hier="12" item="5"/>
          <tpl fld="1" item="0"/>
        </tpls>
      </n>
      <n v="20265560064">
        <tpls c="8">
          <tpl hier="2" item="0"/>
          <tpl hier="4" item="1"/>
          <tpl fld="2" item="40"/>
          <tpl fld="4" item="101"/>
          <tpl hier="9" item="4"/>
          <tpl hier="11" item="6"/>
          <tpl hier="12" item="5"/>
          <tpl fld="1" item="0"/>
        </tpls>
      </n>
      <n v="3121833216">
        <tpls c="8">
          <tpl hier="2" item="0"/>
          <tpl hier="4" item="1"/>
          <tpl fld="2" item="4"/>
          <tpl fld="4" item="101"/>
          <tpl hier="9" item="4"/>
          <tpl hier="11" item="6"/>
          <tpl hier="12" item="5"/>
          <tpl fld="1" item="0"/>
        </tpls>
      </n>
      <n v="7181185024">
        <tpls c="8">
          <tpl hier="2" item="0"/>
          <tpl hier="4" item="1"/>
          <tpl fld="2" item="9"/>
          <tpl fld="4" item="100"/>
          <tpl hier="9" item="4"/>
          <tpl hier="11" item="6"/>
          <tpl hier="12" item="5"/>
          <tpl fld="1" item="0"/>
        </tpls>
      </n>
      <n v="59989909504">
        <tpls c="8">
          <tpl hier="2" item="0"/>
          <tpl hier="4" item="1"/>
          <tpl fld="2" item="14"/>
          <tpl fld="4" item="99"/>
          <tpl hier="9" item="4"/>
          <tpl hier="11" item="6"/>
          <tpl hier="12" item="5"/>
          <tpl fld="1" item="0"/>
        </tpls>
      </n>
      <n v="22943686656">
        <tpls c="8">
          <tpl hier="2" item="0"/>
          <tpl hier="4" item="1"/>
          <tpl fld="2" item="29"/>
          <tpl fld="4" item="98"/>
          <tpl hier="9" item="4"/>
          <tpl hier="11" item="6"/>
          <tpl hier="12" item="5"/>
          <tpl fld="1" item="0"/>
        </tpls>
      </n>
      <n v="13280275456">
        <tpls c="8">
          <tpl hier="2" item="0"/>
          <tpl hier="4" item="1"/>
          <tpl fld="2" item="34"/>
          <tpl fld="4" item="97"/>
          <tpl hier="9" item="4"/>
          <tpl hier="11" item="6"/>
          <tpl hier="12" item="5"/>
          <tpl fld="1" item="0"/>
        </tpls>
      </n>
      <n v="3365711872">
        <tpls c="8">
          <tpl hier="2" item="0"/>
          <tpl hier="4" item="1"/>
          <tpl fld="2" item="39"/>
          <tpl fld="4" item="96"/>
          <tpl hier="9" item="4"/>
          <tpl hier="11" item="6"/>
          <tpl hier="12" item="5"/>
          <tpl fld="1" item="0"/>
        </tpls>
      </n>
      <n v="406479904">
        <tpls c="8">
          <tpl hier="2" item="0"/>
          <tpl hier="4" item="1"/>
          <tpl fld="2" item="3"/>
          <tpl fld="4" item="96"/>
          <tpl hier="9" item="4"/>
          <tpl hier="11" item="6"/>
          <tpl hier="12" item="5"/>
          <tpl fld="1" item="0"/>
        </tpls>
      </n>
      <n v="24006569984">
        <tpls c="8">
          <tpl hier="2" item="0"/>
          <tpl hier="4" item="1"/>
          <tpl fld="2" item="8"/>
          <tpl fld="4" item="95"/>
          <tpl hier="9" item="4"/>
          <tpl hier="11" item="6"/>
          <tpl hier="12" item="5"/>
          <tpl fld="1" item="0"/>
        </tpls>
      </n>
      <n v="555336128">
        <tpls c="8">
          <tpl hier="2" item="0"/>
          <tpl hier="4" item="1"/>
          <tpl fld="2" item="13"/>
          <tpl fld="4" item="94"/>
          <tpl hier="9" item="4"/>
          <tpl hier="11" item="6"/>
          <tpl hier="12" item="5"/>
          <tpl fld="1" item="0"/>
        </tpls>
      </n>
      <n v="1110850048">
        <tpls c="8">
          <tpl hier="2" item="0"/>
          <tpl hier="4" item="1"/>
          <tpl fld="2" item="28"/>
          <tpl fld="4" item="93"/>
          <tpl hier="9" item="4"/>
          <tpl hier="11" item="6"/>
          <tpl hier="12" item="5"/>
          <tpl fld="1" item="0"/>
        </tpls>
      </n>
      <n v="17646503936">
        <tpls c="8">
          <tpl hier="2" item="0"/>
          <tpl hier="4" item="1"/>
          <tpl fld="2" item="33"/>
          <tpl fld="4" item="92"/>
          <tpl hier="9" item="4"/>
          <tpl hier="11" item="6"/>
          <tpl hier="12" item="5"/>
          <tpl fld="1" item="0"/>
        </tpls>
      </n>
      <n v="40713814016">
        <tpls c="8">
          <tpl hier="2" item="0"/>
          <tpl hier="4" item="1"/>
          <tpl fld="2" item="38"/>
          <tpl fld="4" item="91"/>
          <tpl hier="9" item="4"/>
          <tpl hier="11" item="6"/>
          <tpl hier="12" item="5"/>
          <tpl fld="1" item="0"/>
        </tpls>
      </n>
      <n v="2553936384">
        <tpls c="8">
          <tpl hier="2" item="0"/>
          <tpl hier="4" item="1"/>
          <tpl fld="2" item="2"/>
          <tpl fld="4" item="91"/>
          <tpl hier="9" item="4"/>
          <tpl hier="11" item="6"/>
          <tpl hier="12" item="5"/>
          <tpl fld="1" item="0"/>
        </tpls>
      </n>
      <n v="40651350016">
        <tpls c="8">
          <tpl hier="2" item="0"/>
          <tpl hier="4" item="1"/>
          <tpl fld="2" item="7"/>
          <tpl fld="4" item="90"/>
          <tpl hier="9" item="4"/>
          <tpl hier="11" item="6"/>
          <tpl hier="12" item="5"/>
          <tpl fld="1" item="0"/>
        </tpls>
      </n>
      <n v="1295361920">
        <tpls c="8">
          <tpl hier="2" item="0"/>
          <tpl hier="4" item="1"/>
          <tpl fld="2" item="12"/>
          <tpl fld="4" item="89"/>
          <tpl hier="9" item="4"/>
          <tpl hier="11" item="6"/>
          <tpl hier="12" item="5"/>
          <tpl fld="1" item="0"/>
        </tpls>
      </n>
      <n v="562958848">
        <tpls c="8">
          <tpl hier="2" item="0"/>
          <tpl hier="4" item="1"/>
          <tpl fld="2" item="27"/>
          <tpl fld="4" item="88"/>
          <tpl hier="9" item="4"/>
          <tpl hier="11" item="6"/>
          <tpl hier="12" item="5"/>
          <tpl fld="1" item="0"/>
        </tpls>
      </n>
      <n v="6752510464">
        <tpls c="8">
          <tpl hier="2" item="0"/>
          <tpl hier="4" item="1"/>
          <tpl fld="2" item="32"/>
          <tpl fld="4" item="87"/>
          <tpl hier="9" item="4"/>
          <tpl hier="11" item="6"/>
          <tpl hier="12" item="5"/>
          <tpl fld="1" item="0"/>
        </tpls>
      </n>
      <n v="415964495872">
        <tpls c="8">
          <tpl hier="2" item="0"/>
          <tpl hier="4" item="1"/>
          <tpl fld="2" item="37"/>
          <tpl fld="4" item="86"/>
          <tpl hier="9" item="4"/>
          <tpl hier="11" item="6"/>
          <tpl hier="12" item="5"/>
          <tpl fld="1" item="0"/>
        </tpls>
      </n>
      <n v="7184853504">
        <tpls c="8">
          <tpl hier="2" item="0"/>
          <tpl hier="4" item="1"/>
          <tpl fld="2" item="1"/>
          <tpl fld="4" item="86"/>
          <tpl hier="9" item="4"/>
          <tpl hier="11" item="6"/>
          <tpl hier="12" item="5"/>
          <tpl fld="1" item="0"/>
        </tpls>
      </n>
      <n v="637754176">
        <tpls c="8">
          <tpl hier="2" item="0"/>
          <tpl hier="4" item="1"/>
          <tpl fld="2" item="6"/>
          <tpl fld="4" item="85"/>
          <tpl hier="9" item="4"/>
          <tpl hier="11" item="6"/>
          <tpl hier="12" item="5"/>
          <tpl fld="1" item="0"/>
        </tpls>
      </n>
      <n v="15955699712">
        <tpls c="8">
          <tpl hier="2" item="0"/>
          <tpl hier="4" item="1"/>
          <tpl fld="2" item="11"/>
          <tpl fld="4" item="84"/>
          <tpl hier="9" item="4"/>
          <tpl hier="11" item="6"/>
          <tpl hier="12" item="5"/>
          <tpl fld="1" item="0"/>
        </tpls>
      </n>
      <n v="82344263680">
        <tpls c="8">
          <tpl hier="2" item="0"/>
          <tpl hier="4" item="1"/>
          <tpl fld="2" item="27"/>
          <tpl fld="4" item="83"/>
          <tpl hier="9" item="4"/>
          <tpl hier="11" item="6"/>
          <tpl hier="12" item="5"/>
          <tpl fld="1" item="0"/>
        </tpls>
      </n>
      <n v="200789360640">
        <tpls c="8">
          <tpl hier="2" item="0"/>
          <tpl hier="4" item="1"/>
          <tpl fld="2" item="44"/>
          <tpl fld="4" item="82"/>
          <tpl hier="9" item="4"/>
          <tpl hier="11" item="6"/>
          <tpl hier="12" item="5"/>
          <tpl fld="1" item="0"/>
        </tpls>
      </n>
      <n v="8289583104">
        <tpls c="8">
          <tpl hier="2" item="0"/>
          <tpl hier="4" item="1"/>
          <tpl fld="2" item="1"/>
          <tpl fld="4" item="82"/>
          <tpl hier="9" item="4"/>
          <tpl hier="11" item="6"/>
          <tpl hier="12" item="5"/>
          <tpl fld="1" item="0"/>
        </tpls>
      </n>
      <n v="4255683584">
        <tpls c="8">
          <tpl hier="2" item="0"/>
          <tpl hier="4" item="1"/>
          <tpl fld="2" item="18"/>
          <tpl fld="4" item="81"/>
          <tpl hier="9" item="4"/>
          <tpl hier="11" item="6"/>
          <tpl hier="12" item="5"/>
          <tpl fld="1" item="0"/>
        </tpls>
      </n>
      <n v="4865892864">
        <tpls c="8">
          <tpl hier="2" item="0"/>
          <tpl hier="4" item="1"/>
          <tpl fld="2" item="35"/>
          <tpl fld="4" item="80"/>
          <tpl hier="9" item="4"/>
          <tpl hier="11" item="6"/>
          <tpl hier="12" item="5"/>
          <tpl fld="1" item="0"/>
        </tpls>
      </n>
      <n v="717716160">
        <tpls c="8">
          <tpl hier="2" item="0"/>
          <tpl hier="4" item="1"/>
          <tpl fld="2" item="1"/>
          <tpl fld="4" item="80"/>
          <tpl hier="9" item="4"/>
          <tpl hier="11" item="6"/>
          <tpl hier="12" item="5"/>
          <tpl fld="1" item="0"/>
        </tpls>
      </n>
      <n v="3704551680">
        <tpls c="8">
          <tpl hier="2" item="0"/>
          <tpl hier="4" item="1"/>
          <tpl fld="2" item="9"/>
          <tpl fld="4" item="79"/>
          <tpl hier="9" item="4"/>
          <tpl hier="11" item="6"/>
          <tpl hier="12" item="5"/>
          <tpl fld="1" item="0"/>
        </tpls>
      </n>
      <n v="63320121344">
        <tpls c="8">
          <tpl hier="2" item="0"/>
          <tpl hier="4" item="1"/>
          <tpl fld="2" item="26"/>
          <tpl fld="4" item="78"/>
          <tpl hier="9" item="4"/>
          <tpl hier="11" item="6"/>
          <tpl hier="12" item="5"/>
          <tpl fld="1" item="0"/>
        </tpls>
      </n>
      <n v="78784397312">
        <tpls c="8">
          <tpl hier="2" item="0"/>
          <tpl hier="4" item="1"/>
          <tpl fld="2" item="43"/>
          <tpl fld="4" item="77"/>
          <tpl hier="9" item="4"/>
          <tpl hier="11" item="6"/>
          <tpl hier="12" item="5"/>
          <tpl fld="1" item="0"/>
        </tpls>
      </n>
      <n v="256299488">
        <tpls c="8">
          <tpl hier="2" item="0"/>
          <tpl hier="4" item="1"/>
          <tpl fld="2" item="0"/>
          <tpl fld="4" item="77"/>
          <tpl hier="9" item="4"/>
          <tpl hier="11" item="6"/>
          <tpl hier="12" item="5"/>
          <tpl fld="1" item="0"/>
        </tpls>
      </n>
      <n v="52676042752">
        <tpls c="8">
          <tpl hier="2" item="0"/>
          <tpl hier="4" item="1"/>
          <tpl fld="2" item="17"/>
          <tpl fld="4" item="76"/>
          <tpl hier="9" item="4"/>
          <tpl hier="11" item="6"/>
          <tpl hier="12" item="5"/>
          <tpl fld="1" item="0"/>
        </tpls>
      </n>
      <n v="3742134272">
        <tpls c="8">
          <tpl hier="2" item="0"/>
          <tpl hier="4" item="1"/>
          <tpl fld="2" item="34"/>
          <tpl fld="4" item="75"/>
          <tpl hier="9" item="4"/>
          <tpl hier="11" item="6"/>
          <tpl hier="12" item="5"/>
          <tpl fld="1" item="0"/>
        </tpls>
      </n>
      <n v="649916736">
        <tpls c="8">
          <tpl hier="2" item="0"/>
          <tpl hier="4" item="1"/>
          <tpl fld="2" item="0"/>
          <tpl fld="4" item="75"/>
          <tpl hier="9" item="4"/>
          <tpl hier="11" item="6"/>
          <tpl hier="12" item="5"/>
          <tpl fld="1" item="0"/>
        </tpls>
      </n>
      <n v="2142128640">
        <tpls c="8">
          <tpl hier="2" item="0"/>
          <tpl hier="4" item="1"/>
          <tpl fld="2" item="8"/>
          <tpl fld="4" item="74"/>
          <tpl hier="9" item="4"/>
          <tpl hier="11" item="6"/>
          <tpl hier="12" item="5"/>
          <tpl fld="1" item="0"/>
        </tpls>
      </n>
      <n v="4401104384">
        <tpls c="8">
          <tpl hier="2" item="0"/>
          <tpl hier="4" item="1"/>
          <tpl fld="2" item="25"/>
          <tpl fld="4" item="73"/>
          <tpl hier="9" item="4"/>
          <tpl hier="11" item="6"/>
          <tpl hier="12" item="5"/>
          <tpl fld="1" item="0"/>
        </tpls>
      </n>
      <n v="98266308608">
        <tpls c="8">
          <tpl hier="2" item="0"/>
          <tpl hier="4" item="1"/>
          <tpl fld="2" item="42"/>
          <tpl fld="4" item="72"/>
          <tpl hier="9" item="4"/>
          <tpl hier="11" item="6"/>
          <tpl hier="12" item="5"/>
          <tpl fld="1" item="0"/>
        </tpls>
      </n>
      <n v="27559322718208">
        <tpls c="8">
          <tpl hier="2" item="0"/>
          <tpl hier="4" item="1"/>
          <tpl hier="5" item="3"/>
          <tpl fld="4" item="71"/>
          <tpl hier="9" item="4"/>
          <tpl hier="11" item="6"/>
          <tpl hier="12" item="5"/>
          <tpl fld="1" item="0"/>
        </tpls>
      </n>
      <n v="134550093824">
        <tpls c="8">
          <tpl hier="2" item="0"/>
          <tpl hier="4" item="1"/>
          <tpl fld="2" item="16"/>
          <tpl fld="4" item="71"/>
          <tpl hier="9" item="4"/>
          <tpl hier="11" item="6"/>
          <tpl hier="12" item="5"/>
          <tpl fld="1" item="0"/>
        </tpls>
      </n>
      <n v="2051147648">
        <tpls c="8">
          <tpl hier="2" item="0"/>
          <tpl hier="4" item="1"/>
          <tpl fld="2" item="33"/>
          <tpl fld="4" item="70"/>
          <tpl hier="9" item="4"/>
          <tpl hier="11" item="6"/>
          <tpl hier="12" item="5"/>
          <tpl fld="1" item="0"/>
        </tpls>
      </n>
      <n v="255209189088">
        <tpls c="8">
          <tpl hier="2" item="0"/>
          <tpl hier="4" item="1"/>
          <tpl hier="5" item="3"/>
          <tpl fld="4" item="69"/>
          <tpl hier="9" item="4"/>
          <tpl hier="11" item="6"/>
          <tpl hier="12" item="5"/>
          <tpl fld="1" item="0"/>
        </tpls>
      </n>
      <n v="1049838464">
        <tpls c="8">
          <tpl hier="2" item="0"/>
          <tpl hier="4" item="1"/>
          <tpl fld="2" item="7"/>
          <tpl fld="4" item="69"/>
          <tpl hier="9" item="4"/>
          <tpl hier="11" item="6"/>
          <tpl hier="12" item="5"/>
          <tpl fld="1" item="0"/>
        </tpls>
      </n>
      <n v="74478354432">
        <tpls c="8">
          <tpl hier="2" item="0"/>
          <tpl hier="4" item="1"/>
          <tpl fld="2" item="24"/>
          <tpl fld="4" item="68"/>
          <tpl hier="9" item="4"/>
          <tpl hier="11" item="6"/>
          <tpl hier="12" item="5"/>
          <tpl fld="1" item="0"/>
        </tpls>
      </n>
      <n v="8004000768">
        <tpls c="8">
          <tpl hier="2" item="0"/>
          <tpl hier="4" item="1"/>
          <tpl fld="2" item="41"/>
          <tpl fld="4" item="67"/>
          <tpl hier="9" item="4"/>
          <tpl hier="11" item="6"/>
          <tpl hier="12" item="5"/>
          <tpl fld="1" item="0"/>
        </tpls>
      </n>
      <n v="14083906560">
        <tpls c="8">
          <tpl hier="2" item="0"/>
          <tpl hier="4" item="1"/>
          <tpl fld="2" item="49"/>
          <tpl fld="4" item="66"/>
          <tpl hier="9" item="4"/>
          <tpl hier="11" item="6"/>
          <tpl hier="12" item="5"/>
          <tpl fld="1" item="0"/>
        </tpls>
      </n>
      <n v="3802557952">
        <tpls c="8">
          <tpl hier="2" item="0"/>
          <tpl hier="4" item="1"/>
          <tpl fld="2" item="15"/>
          <tpl fld="4" item="66"/>
          <tpl hier="9" item="4"/>
          <tpl hier="11" item="6"/>
          <tpl hier="12" item="5"/>
          <tpl fld="1" item="0"/>
        </tpls>
      </n>
      <n v="775780672">
        <tpls c="8">
          <tpl hier="2" item="0"/>
          <tpl hier="4" item="1"/>
          <tpl fld="2" item="32"/>
          <tpl fld="4" item="65"/>
          <tpl hier="9" item="4"/>
          <tpl hier="11" item="6"/>
          <tpl hier="12" item="5"/>
          <tpl fld="1" item="0"/>
        </tpls>
      </n>
      <n v="194647200">
        <tpls c="8">
          <tpl hier="2" item="0"/>
          <tpl hier="4" item="1"/>
          <tpl fld="2" item="49"/>
          <tpl fld="4" item="64"/>
          <tpl hier="9" item="4"/>
          <tpl hier="11" item="6"/>
          <tpl hier="12" item="5"/>
          <tpl fld="1" item="0"/>
        </tpls>
      </n>
      <n v="32085562">
        <tpls c="8">
          <tpl hier="2" item="0"/>
          <tpl hier="4" item="1"/>
          <tpl fld="2" item="16"/>
          <tpl fld="4" item="64"/>
          <tpl hier="9" item="4"/>
          <tpl hier="11" item="6"/>
          <tpl hier="12" item="5"/>
          <tpl fld="1" item="0"/>
        </tpls>
      </n>
      <n v="61448048640">
        <tpls c="8">
          <tpl hier="2" item="0"/>
          <tpl hier="4" item="1"/>
          <tpl fld="2" item="44"/>
          <tpl fld="4" item="63"/>
          <tpl hier="9" item="4"/>
          <tpl hier="11" item="6"/>
          <tpl hier="12" item="5"/>
          <tpl fld="1" item="0"/>
        </tpls>
      </n>
      <n v="14093999104">
        <tpls c="8">
          <tpl hier="2" item="0"/>
          <tpl hier="4" item="1"/>
          <tpl fld="2" item="28"/>
          <tpl fld="4" item="63"/>
          <tpl hier="9" item="4"/>
          <tpl hier="11" item="6"/>
          <tpl hier="12" item="5"/>
          <tpl fld="1" item="0"/>
        </tpls>
      </n>
      <n v="6431579136">
        <tpls c="8">
          <tpl hier="2" item="0"/>
          <tpl hier="4" item="1"/>
          <tpl fld="2" item="12"/>
          <tpl fld="4" item="63"/>
          <tpl hier="9" item="4"/>
          <tpl hier="11" item="6"/>
          <tpl hier="12" item="5"/>
          <tpl fld="1" item="0"/>
        </tpls>
      </n>
      <n v="14806340608">
        <tpls c="8">
          <tpl hier="2" item="0"/>
          <tpl hier="4" item="1"/>
          <tpl fld="2" item="47"/>
          <tpl fld="4" item="62"/>
          <tpl hier="9" item="4"/>
          <tpl hier="11" item="6"/>
          <tpl hier="12" item="5"/>
          <tpl fld="1" item="0"/>
        </tpls>
      </n>
      <n v="9178016768">
        <tpls c="8">
          <tpl hier="2" item="0"/>
          <tpl hier="4" item="1"/>
          <tpl fld="2" item="31"/>
          <tpl fld="4" item="62"/>
          <tpl hier="9" item="4"/>
          <tpl hier="11" item="6"/>
          <tpl hier="12" item="5"/>
          <tpl fld="1" item="0"/>
        </tpls>
      </n>
      <n v="2100223104">
        <tpls c="8">
          <tpl hier="2" item="0"/>
          <tpl hier="4" item="1"/>
          <tpl fld="2" item="15"/>
          <tpl fld="4" item="62"/>
          <tpl hier="9" item="4"/>
          <tpl hier="11" item="6"/>
          <tpl hier="12" item="5"/>
          <tpl fld="1" item="0"/>
        </tpls>
      </n>
      <n v="3323982269440">
        <tpls c="8">
          <tpl hier="2" item="0"/>
          <tpl hier="4" item="1"/>
          <tpl hier="5" item="3"/>
          <tpl fld="4" item="61"/>
          <tpl hier="9" item="4"/>
          <tpl hier="11" item="6"/>
          <tpl hier="12" item="5"/>
          <tpl fld="1" item="0"/>
        </tpls>
      </n>
      <n v="36627902464">
        <tpls c="8">
          <tpl hier="2" item="0"/>
          <tpl hier="4" item="1"/>
          <tpl fld="2" item="34"/>
          <tpl fld="4" item="61"/>
          <tpl hier="9" item="4"/>
          <tpl hier="11" item="6"/>
          <tpl hier="12" item="5"/>
          <tpl fld="1" item="0"/>
        </tpls>
      </n>
      <n v="62503055360">
        <tpls c="8">
          <tpl hier="2" item="0"/>
          <tpl hier="4" item="1"/>
          <tpl fld="2" item="18"/>
          <tpl fld="4" item="61"/>
          <tpl hier="9" item="4"/>
          <tpl hier="11" item="6"/>
          <tpl hier="12" item="5"/>
          <tpl fld="1" item="0"/>
        </tpls>
      </n>
      <n v="4113848064">
        <tpls c="8">
          <tpl hier="2" item="0"/>
          <tpl hier="4" item="1"/>
          <tpl fld="2" item="2"/>
          <tpl fld="4" item="61"/>
          <tpl hier="9" item="4"/>
          <tpl hier="11" item="6"/>
          <tpl hier="12" item="5"/>
          <tpl fld="1" item="0"/>
        </tpls>
      </n>
      <n v="1216735477760">
        <tpls c="8">
          <tpl hier="2" item="0"/>
          <tpl hier="4" item="1"/>
          <tpl fld="2" item="37"/>
          <tpl fld="4" item="60"/>
          <tpl hier="9" item="4"/>
          <tpl hier="11" item="6"/>
          <tpl hier="12" item="5"/>
          <tpl fld="1" item="0"/>
        </tpls>
      </n>
      <n v="270105346048">
        <tpls c="8">
          <tpl hier="2" item="0"/>
          <tpl hier="4" item="1"/>
          <tpl fld="2" item="21"/>
          <tpl fld="4" item="60"/>
          <tpl hier="9" item="4"/>
          <tpl hier="11" item="6"/>
          <tpl hier="12" item="5"/>
          <tpl fld="1" item="0"/>
        </tpls>
      </n>
      <n v="30418451224512">
        <tpls c="8">
          <tpl hier="2" item="0"/>
          <tpl hier="4" item="1"/>
          <tpl fld="2" item="29"/>
          <tpl hier="6" item="2"/>
          <tpl hier="9" item="4"/>
          <tpl hier="11" item="6"/>
          <tpl hier="12" item="5"/>
          <tpl fld="1" item="0"/>
        </tpls>
      </n>
      <n v="5805598208">
        <tpls c="8">
          <tpl hier="2" item="0"/>
          <tpl hier="4" item="1"/>
          <tpl fld="2" item="34"/>
          <tpl fld="4" item="102"/>
          <tpl hier="9" item="4"/>
          <tpl hier="11" item="6"/>
          <tpl hier="12" item="5"/>
          <tpl fld="1" item="0"/>
        </tpls>
      </n>
      <n v="15328342016">
        <tpls c="8">
          <tpl hier="2" item="0"/>
          <tpl hier="4" item="1"/>
          <tpl fld="2" item="39"/>
          <tpl fld="4" item="101"/>
          <tpl hier="9" item="4"/>
          <tpl hier="11" item="6"/>
          <tpl hier="12" item="5"/>
          <tpl fld="1" item="0"/>
        </tpls>
      </n>
      <n v="2268714240">
        <tpls c="8">
          <tpl hier="2" item="0"/>
          <tpl hier="4" item="1"/>
          <tpl fld="2" item="3"/>
          <tpl fld="4" item="101"/>
          <tpl hier="9" item="4"/>
          <tpl hier="11" item="6"/>
          <tpl hier="12" item="5"/>
          <tpl fld="1" item="0"/>
        </tpls>
      </n>
      <n v="4910257152">
        <tpls c="8">
          <tpl hier="2" item="0"/>
          <tpl hier="4" item="1"/>
          <tpl fld="2" item="8"/>
          <tpl fld="4" item="100"/>
          <tpl hier="9" item="4"/>
          <tpl hier="11" item="6"/>
          <tpl hier="12" item="5"/>
          <tpl fld="1" item="0"/>
        </tpls>
      </n>
      <n v="61678280704">
        <tpls c="8">
          <tpl hier="2" item="0"/>
          <tpl hier="4" item="1"/>
          <tpl fld="2" item="13"/>
          <tpl fld="4" item="99"/>
          <tpl hier="9" item="4"/>
          <tpl hier="11" item="6"/>
          <tpl hier="12" item="5"/>
          <tpl fld="1" item="0"/>
        </tpls>
      </n>
      <n v="21803372544">
        <tpls c="8">
          <tpl hier="2" item="0"/>
          <tpl hier="4" item="1"/>
          <tpl fld="2" item="28"/>
          <tpl fld="4" item="98"/>
          <tpl hier="9" item="4"/>
          <tpl hier="11" item="6"/>
          <tpl hier="12" item="5"/>
          <tpl fld="1" item="0"/>
        </tpls>
      </n>
      <n v="11305459712">
        <tpls c="8">
          <tpl hier="2" item="0"/>
          <tpl hier="4" item="1"/>
          <tpl fld="2" item="33"/>
          <tpl fld="4" item="97"/>
          <tpl hier="9" item="4"/>
          <tpl hier="11" item="6"/>
          <tpl hier="12" item="5"/>
          <tpl fld="1" item="0"/>
        </tpls>
      </n>
      <n v="3310277888">
        <tpls c="8">
          <tpl hier="2" item="0"/>
          <tpl hier="4" item="1"/>
          <tpl fld="2" item="38"/>
          <tpl fld="4" item="96"/>
          <tpl hier="9" item="4"/>
          <tpl hier="11" item="6"/>
          <tpl hier="12" item="5"/>
          <tpl fld="1" item="0"/>
        </tpls>
      </n>
      <n v="335677632">
        <tpls c="8">
          <tpl hier="2" item="0"/>
          <tpl hier="4" item="1"/>
          <tpl fld="2" item="2"/>
          <tpl fld="4" item="96"/>
          <tpl hier="9" item="4"/>
          <tpl hier="11" item="6"/>
          <tpl hier="12" item="5"/>
          <tpl fld="1" item="0"/>
        </tpls>
      </n>
      <n v="19779315712">
        <tpls c="8">
          <tpl hier="2" item="0"/>
          <tpl hier="4" item="1"/>
          <tpl fld="2" item="7"/>
          <tpl fld="4" item="95"/>
          <tpl hier="9" item="4"/>
          <tpl hier="11" item="6"/>
          <tpl hier="12" item="5"/>
          <tpl fld="1" item="0"/>
        </tpls>
      </n>
      <n v="537576000">
        <tpls c="8">
          <tpl hier="2" item="0"/>
          <tpl hier="4" item="1"/>
          <tpl fld="2" item="12"/>
          <tpl fld="4" item="94"/>
          <tpl hier="9" item="4"/>
          <tpl hier="11" item="6"/>
          <tpl hier="12" item="5"/>
          <tpl fld="1" item="0"/>
        </tpls>
      </n>
      <n v="926422528">
        <tpls c="8">
          <tpl hier="2" item="0"/>
          <tpl hier="4" item="1"/>
          <tpl fld="2" item="27"/>
          <tpl fld="4" item="93"/>
          <tpl hier="9" item="4"/>
          <tpl hier="11" item="6"/>
          <tpl hier="12" item="5"/>
          <tpl fld="1" item="0"/>
        </tpls>
      </n>
      <n v="14803188736">
        <tpls c="8">
          <tpl hier="2" item="0"/>
          <tpl hier="4" item="1"/>
          <tpl fld="2" item="32"/>
          <tpl fld="4" item="92"/>
          <tpl hier="9" item="4"/>
          <tpl hier="11" item="6"/>
          <tpl hier="12" item="5"/>
          <tpl fld="1" item="0"/>
        </tpls>
      </n>
      <n v="32350248960">
        <tpls c="8">
          <tpl hier="2" item="0"/>
          <tpl hier="4" item="1"/>
          <tpl fld="2" item="37"/>
          <tpl fld="4" item="91"/>
          <tpl hier="9" item="4"/>
          <tpl hier="11" item="6"/>
          <tpl hier="12" item="5"/>
          <tpl fld="1" item="0"/>
        </tpls>
      </n>
      <n v="2369308672">
        <tpls c="8">
          <tpl hier="2" item="0"/>
          <tpl hier="4" item="1"/>
          <tpl fld="2" item="1"/>
          <tpl fld="4" item="91"/>
          <tpl hier="9" item="4"/>
          <tpl hier="11" item="6"/>
          <tpl hier="12" item="5"/>
          <tpl fld="1" item="0"/>
        </tpls>
      </n>
      <n v="36603351040">
        <tpls c="8">
          <tpl hier="2" item="0"/>
          <tpl hier="4" item="1"/>
          <tpl fld="2" item="6"/>
          <tpl fld="4" item="90"/>
          <tpl hier="9" item="4"/>
          <tpl hier="11" item="6"/>
          <tpl hier="12" item="5"/>
          <tpl fld="1" item="0"/>
        </tpls>
      </n>
      <n v="1114830464">
        <tpls c="8">
          <tpl hier="2" item="0"/>
          <tpl hier="4" item="1"/>
          <tpl fld="2" item="11"/>
          <tpl fld="4" item="89"/>
          <tpl hier="9" item="4"/>
          <tpl hier="11" item="6"/>
          <tpl hier="12" item="5"/>
          <tpl fld="1" item="0"/>
        </tpls>
      </n>
      <n v="503068480">
        <tpls c="8">
          <tpl hier="2" item="0"/>
          <tpl hier="4" item="1"/>
          <tpl fld="2" item="26"/>
          <tpl fld="4" item="88"/>
          <tpl hier="9" item="4"/>
          <tpl hier="11" item="6"/>
          <tpl hier="12" item="5"/>
          <tpl fld="1" item="0"/>
        </tpls>
      </n>
      <n v="6174898176">
        <tpls c="8">
          <tpl hier="2" item="0"/>
          <tpl hier="4" item="1"/>
          <tpl fld="2" item="31"/>
          <tpl fld="4" item="87"/>
          <tpl hier="9" item="4"/>
          <tpl hier="11" item="6"/>
          <tpl hier="12" item="5"/>
          <tpl fld="1" item="0"/>
        </tpls>
      </n>
      <n v="376900124672">
        <tpls c="8">
          <tpl hier="2" item="0"/>
          <tpl hier="4" item="1"/>
          <tpl fld="2" item="36"/>
          <tpl fld="4" item="86"/>
          <tpl hier="9" item="4"/>
          <tpl hier="11" item="6"/>
          <tpl hier="12" item="5"/>
          <tpl fld="1" item="0"/>
        </tpls>
      </n>
      <n v="5377333248">
        <tpls c="8">
          <tpl hier="2" item="0"/>
          <tpl hier="4" item="1"/>
          <tpl fld="2" item="0"/>
          <tpl fld="4" item="86"/>
          <tpl hier="9" item="4"/>
          <tpl hier="11" item="6"/>
          <tpl hier="12" item="5"/>
          <tpl fld="1" item="0"/>
        </tpls>
      </n>
      <n v="571863296">
        <tpls c="8">
          <tpl hier="2" item="0"/>
          <tpl hier="4" item="1"/>
          <tpl fld="2" item="5"/>
          <tpl fld="4" item="85"/>
          <tpl hier="9" item="4"/>
          <tpl hier="11" item="6"/>
          <tpl hier="12" item="5"/>
          <tpl fld="1" item="0"/>
        </tpls>
      </n>
      <n v="14436100096">
        <tpls c="8">
          <tpl hier="2" item="0"/>
          <tpl hier="4" item="1"/>
          <tpl fld="2" item="10"/>
          <tpl fld="4" item="84"/>
          <tpl hier="9" item="4"/>
          <tpl hier="11" item="6"/>
          <tpl hier="12" item="5"/>
          <tpl fld="1" item="0"/>
        </tpls>
      </n>
      <n v="82848137216">
        <tpls c="8">
          <tpl hier="2" item="0"/>
          <tpl hier="4" item="1"/>
          <tpl fld="2" item="26"/>
          <tpl fld="4" item="83"/>
          <tpl hier="9" item="4"/>
          <tpl hier="11" item="6"/>
          <tpl hier="12" item="5"/>
          <tpl fld="1" item="0"/>
        </tpls>
      </n>
      <n v="201175465984">
        <tpls c="8">
          <tpl hier="2" item="0"/>
          <tpl hier="4" item="1"/>
          <tpl fld="2" item="43"/>
          <tpl fld="4" item="82"/>
          <tpl hier="9" item="4"/>
          <tpl hier="11" item="6"/>
          <tpl hier="12" item="5"/>
          <tpl fld="1" item="0"/>
        </tpls>
      </n>
      <n v="7432223232">
        <tpls c="8">
          <tpl hier="2" item="0"/>
          <tpl hier="4" item="1"/>
          <tpl fld="2" item="0"/>
          <tpl fld="4" item="82"/>
          <tpl hier="9" item="4"/>
          <tpl hier="11" item="6"/>
          <tpl hier="12" item="5"/>
          <tpl fld="1" item="0"/>
        </tpls>
      </n>
      <n v="3971044608">
        <tpls c="8">
          <tpl hier="2" item="0"/>
          <tpl hier="4" item="1"/>
          <tpl fld="2" item="17"/>
          <tpl fld="4" item="81"/>
          <tpl hier="9" item="4"/>
          <tpl hier="11" item="6"/>
          <tpl hier="12" item="5"/>
          <tpl fld="1" item="0"/>
        </tpls>
      </n>
      <n v="3927157760">
        <tpls c="8">
          <tpl hier="2" item="0"/>
          <tpl hier="4" item="1"/>
          <tpl fld="2" item="34"/>
          <tpl fld="4" item="80"/>
          <tpl hier="9" item="4"/>
          <tpl hier="11" item="6"/>
          <tpl hier="12" item="5"/>
          <tpl fld="1" item="0"/>
        </tpls>
      </n>
      <n v="40429699072">
        <tpls c="8">
          <tpl hier="2" item="0"/>
          <tpl hier="4" item="1"/>
          <tpl fld="2" item="42"/>
          <tpl fld="4" item="79"/>
          <tpl hier="9" item="4"/>
          <tpl hier="11" item="6"/>
          <tpl hier="12" item="5"/>
          <tpl fld="1" item="0"/>
        </tpls>
      </n>
      <n v="3244558592">
        <tpls c="8">
          <tpl hier="2" item="0"/>
          <tpl hier="4" item="1"/>
          <tpl fld="2" item="8"/>
          <tpl fld="4" item="79"/>
          <tpl hier="9" item="4"/>
          <tpl hier="11" item="6"/>
          <tpl hier="12" item="5"/>
          <tpl fld="1" item="0"/>
        </tpls>
      </n>
      <n v="60636020736">
        <tpls c="8">
          <tpl hier="2" item="0"/>
          <tpl hier="4" item="1"/>
          <tpl fld="2" item="25"/>
          <tpl fld="4" item="78"/>
          <tpl hier="9" item="4"/>
          <tpl hier="11" item="6"/>
          <tpl hier="12" item="5"/>
          <tpl fld="1" item="0"/>
        </tpls>
      </n>
      <n v="76615868416">
        <tpls c="8">
          <tpl hier="2" item="0"/>
          <tpl hier="4" item="1"/>
          <tpl fld="2" item="42"/>
          <tpl fld="4" item="77"/>
          <tpl hier="9" item="4"/>
          <tpl hier="11" item="6"/>
          <tpl hier="12" item="5"/>
          <tpl fld="1" item="0"/>
        </tpls>
      </n>
      <n v="7785671687168">
        <tpls c="8">
          <tpl hier="2" item="0"/>
          <tpl hier="4" item="1"/>
          <tpl hier="5" item="3"/>
          <tpl fld="4" item="76"/>
          <tpl hier="9" item="4"/>
          <tpl hier="11" item="6"/>
          <tpl hier="12" item="5"/>
          <tpl fld="1" item="0"/>
        </tpls>
      </n>
      <n v="54805852160">
        <tpls c="8">
          <tpl hier="2" item="0"/>
          <tpl hier="4" item="1"/>
          <tpl fld="2" item="16"/>
          <tpl fld="4" item="76"/>
          <tpl hier="9" item="4"/>
          <tpl hier="11" item="6"/>
          <tpl hier="12" item="5"/>
          <tpl fld="1" item="0"/>
        </tpls>
      </n>
      <n v="3387804160">
        <tpls c="8">
          <tpl hier="2" item="0"/>
          <tpl hier="4" item="1"/>
          <tpl fld="2" item="33"/>
          <tpl fld="4" item="75"/>
          <tpl hier="9" item="4"/>
          <tpl hier="11" item="6"/>
          <tpl hier="12" item="5"/>
          <tpl fld="1" item="0"/>
        </tpls>
      </n>
      <n v="9774262272">
        <tpls c="8">
          <tpl hier="2" item="0"/>
          <tpl hier="4" item="1"/>
          <tpl fld="2" item="41"/>
          <tpl fld="4" item="74"/>
          <tpl hier="9" item="4"/>
          <tpl hier="11" item="6"/>
          <tpl hier="12" item="5"/>
          <tpl fld="1" item="0"/>
        </tpls>
      </n>
      <n v="2239857152">
        <tpls c="8">
          <tpl hier="2" item="0"/>
          <tpl hier="4" item="1"/>
          <tpl fld="2" item="7"/>
          <tpl fld="4" item="74"/>
          <tpl hier="9" item="4"/>
          <tpl hier="11" item="6"/>
          <tpl hier="12" item="5"/>
          <tpl fld="1" item="0"/>
        </tpls>
      </n>
      <n v="4066775552">
        <tpls c="8">
          <tpl hier="2" item="0"/>
          <tpl hier="4" item="1"/>
          <tpl fld="2" item="24"/>
          <tpl fld="4" item="73"/>
          <tpl hier="9" item="4"/>
          <tpl hier="11" item="6"/>
          <tpl hier="12" item="5"/>
          <tpl fld="1" item="0"/>
        </tpls>
      </n>
      <n v="101370470400">
        <tpls c="8">
          <tpl hier="2" item="0"/>
          <tpl hier="4" item="1"/>
          <tpl fld="2" item="41"/>
          <tpl fld="4" item="72"/>
          <tpl hier="9" item="4"/>
          <tpl hier="11" item="6"/>
          <tpl hier="12" item="5"/>
          <tpl fld="1" item="0"/>
        </tpls>
      </n>
      <n v="1258286743552">
        <tpls c="8">
          <tpl hier="2" item="0"/>
          <tpl hier="4" item="1"/>
          <tpl fld="2" item="49"/>
          <tpl fld="4" item="71"/>
          <tpl hier="9" item="4"/>
          <tpl hier="11" item="6"/>
          <tpl hier="12" item="5"/>
          <tpl fld="1" item="0"/>
        </tpls>
      </n>
      <n v="195219783680">
        <tpls c="8">
          <tpl hier="2" item="0"/>
          <tpl hier="4" item="1"/>
          <tpl fld="2" item="15"/>
          <tpl fld="4" item="71"/>
          <tpl hier="9" item="4"/>
          <tpl hier="11" item="6"/>
          <tpl hier="12" item="5"/>
          <tpl fld="1" item="0"/>
        </tpls>
      </n>
      <n v="1777058560">
        <tpls c="8">
          <tpl hier="2" item="0"/>
          <tpl hier="4" item="1"/>
          <tpl fld="2" item="32"/>
          <tpl fld="4" item="70"/>
          <tpl hier="9" item="4"/>
          <tpl hier="11" item="6"/>
          <tpl hier="12" item="5"/>
          <tpl fld="1" item="0"/>
        </tpls>
      </n>
      <n v="10689167360">
        <tpls c="8">
          <tpl hier="2" item="0"/>
          <tpl hier="4" item="1"/>
          <tpl fld="2" item="40"/>
          <tpl fld="4" item="69"/>
          <tpl hier="9" item="4"/>
          <tpl hier="11" item="6"/>
          <tpl hier="12" item="5"/>
          <tpl fld="1" item="0"/>
        </tpls>
      </n>
      <n v="939227968">
        <tpls c="8">
          <tpl hier="2" item="0"/>
          <tpl hier="4" item="1"/>
          <tpl fld="2" item="6"/>
          <tpl fld="4" item="69"/>
          <tpl hier="9" item="4"/>
          <tpl hier="11" item="6"/>
          <tpl hier="12" item="5"/>
          <tpl fld="1" item="0"/>
        </tpls>
      </n>
      <n v="66894835712">
        <tpls c="8">
          <tpl hier="2" item="0"/>
          <tpl hier="4" item="1"/>
          <tpl fld="2" item="23"/>
          <tpl fld="4" item="68"/>
          <tpl hier="9" item="4"/>
          <tpl hier="11" item="6"/>
          <tpl hier="12" item="5"/>
          <tpl fld="1" item="0"/>
        </tpls>
      </n>
      <n v="6959655424">
        <tpls c="8">
          <tpl hier="2" item="0"/>
          <tpl hier="4" item="1"/>
          <tpl fld="2" item="40"/>
          <tpl fld="4" item="67"/>
          <tpl hier="9" item="4"/>
          <tpl hier="11" item="6"/>
          <tpl hier="12" item="5"/>
          <tpl fld="1" item="0"/>
        </tpls>
      </n>
      <n v="13853433856">
        <tpls c="8">
          <tpl hier="2" item="0"/>
          <tpl hier="4" item="1"/>
          <tpl fld="2" item="48"/>
          <tpl fld="4" item="66"/>
          <tpl hier="9" item="4"/>
          <tpl hier="11" item="6"/>
          <tpl hier="12" item="5"/>
          <tpl fld="1" item="0"/>
        </tpls>
      </n>
      <n v="3905938432">
        <tpls c="8">
          <tpl hier="2" item="0"/>
          <tpl hier="4" item="1"/>
          <tpl fld="2" item="14"/>
          <tpl fld="4" item="66"/>
          <tpl hier="9" item="4"/>
          <tpl hier="11" item="6"/>
          <tpl hier="12" item="5"/>
          <tpl fld="1" item="0"/>
        </tpls>
      </n>
      <n v="825706944">
        <tpls c="8">
          <tpl hier="2" item="0"/>
          <tpl hier="4" item="1"/>
          <tpl fld="2" item="31"/>
          <tpl fld="4" item="65"/>
          <tpl hier="9" item="4"/>
          <tpl hier="11" item="6"/>
          <tpl hier="12" item="5"/>
          <tpl fld="1" item="0"/>
        </tpls>
      </n>
      <n v="132420056">
        <tpls c="8">
          <tpl hier="2" item="0"/>
          <tpl hier="4" item="1"/>
          <tpl fld="2" item="39"/>
          <tpl fld="4" item="64"/>
          <tpl hier="9" item="4"/>
          <tpl hier="11" item="6"/>
          <tpl hier="12" item="5"/>
          <tpl fld="1" item="0"/>
        </tpls>
      </n>
      <n v="42620164">
        <tpls c="8">
          <tpl hier="2" item="0"/>
          <tpl hier="4" item="1"/>
          <tpl fld="2" item="9"/>
          <tpl fld="4" item="64"/>
          <tpl hier="9" item="4"/>
          <tpl hier="11" item="6"/>
          <tpl hier="12" item="5"/>
          <tpl fld="1" item="0"/>
        </tpls>
      </n>
      <n v="55096729600">
        <tpls c="8">
          <tpl hier="2" item="0"/>
          <tpl hier="4" item="1"/>
          <tpl fld="2" item="43"/>
          <tpl fld="4" item="63"/>
          <tpl hier="9" item="4"/>
          <tpl hier="11" item="6"/>
          <tpl hier="12" item="5"/>
          <tpl fld="1" item="0"/>
        </tpls>
      </n>
      <n v="13115773952">
        <tpls c="8">
          <tpl hier="2" item="0"/>
          <tpl hier="4" item="1"/>
          <tpl fld="2" item="27"/>
          <tpl fld="4" item="63"/>
          <tpl hier="9" item="4"/>
          <tpl hier="11" item="6"/>
          <tpl hier="12" item="5"/>
          <tpl fld="1" item="0"/>
        </tpls>
      </n>
      <n v="6854491648">
        <tpls c="8">
          <tpl hier="2" item="0"/>
          <tpl hier="4" item="1"/>
          <tpl fld="2" item="11"/>
          <tpl fld="4" item="63"/>
          <tpl hier="9" item="4"/>
          <tpl hier="11" item="6"/>
          <tpl hier="12" item="5"/>
          <tpl fld="1" item="0"/>
        </tpls>
      </n>
      <n v="14075894784">
        <tpls c="8">
          <tpl hier="2" item="0"/>
          <tpl hier="4" item="1"/>
          <tpl fld="2" item="46"/>
          <tpl fld="4" item="62"/>
          <tpl hier="9" item="4"/>
          <tpl hier="11" item="6"/>
          <tpl hier="12" item="5"/>
          <tpl fld="1" item="0"/>
        </tpls>
      </n>
      <n v="8985353216">
        <tpls c="8">
          <tpl hier="2" item="0"/>
          <tpl hier="4" item="1"/>
          <tpl fld="2" item="30"/>
          <tpl fld="4" item="62"/>
          <tpl hier="9" item="4"/>
          <tpl hier="11" item="6"/>
          <tpl hier="12" item="5"/>
          <tpl fld="1" item="0"/>
        </tpls>
      </n>
      <n v="2373566976">
        <tpls c="8">
          <tpl hier="2" item="0"/>
          <tpl hier="4" item="1"/>
          <tpl fld="2" item="14"/>
          <tpl fld="4" item="62"/>
          <tpl hier="9" item="4"/>
          <tpl hier="11" item="6"/>
          <tpl hier="12" item="5"/>
          <tpl fld="1" item="0"/>
        </tpls>
      </n>
      <n v="234094034944">
        <tpls c="8">
          <tpl hier="2" item="0"/>
          <tpl hier="4" item="1"/>
          <tpl fld="2" item="49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33"/>
          <tpl fld="4" item="61"/>
          <tpl hier="9" item="4"/>
          <tpl hier="11" item="6"/>
          <tpl hier="12" item="5"/>
          <tpl fld="1" item="0"/>
        </tpls>
      </m>
      <n v="56609841152">
        <tpls c="8">
          <tpl hier="2" item="0"/>
          <tpl hier="4" item="1"/>
          <tpl fld="2" item="17"/>
          <tpl fld="4" item="61"/>
          <tpl hier="9" item="4"/>
          <tpl hier="11" item="6"/>
          <tpl hier="12" item="5"/>
          <tpl fld="1" item="0"/>
        </tpls>
      </n>
      <n v="3865346560">
        <tpls c="8">
          <tpl hier="2" item="0"/>
          <tpl hier="4" item="1"/>
          <tpl fld="2" item="1"/>
          <tpl fld="4" item="61"/>
          <tpl hier="9" item="4"/>
          <tpl hier="11" item="6"/>
          <tpl hier="12" item="5"/>
          <tpl fld="1" item="0"/>
        </tpls>
      </n>
      <n v="940259868672">
        <tpls c="8">
          <tpl hier="2" item="0"/>
          <tpl hier="4" item="1"/>
          <tpl fld="2" item="36"/>
          <tpl fld="4" item="60"/>
          <tpl hier="9" item="4"/>
          <tpl hier="11" item="6"/>
          <tpl hier="12" item="5"/>
          <tpl fld="1" item="0"/>
        </tpls>
      </n>
      <n v="320979042304">
        <tpls c="8">
          <tpl hier="2" item="0"/>
          <tpl hier="4" item="1"/>
          <tpl fld="2" item="20"/>
          <tpl fld="4" item="60"/>
          <tpl hier="9" item="4"/>
          <tpl hier="11" item="6"/>
          <tpl hier="12" item="5"/>
          <tpl fld="1" item="0"/>
        </tpls>
      </n>
      <n v="99525902336">
        <tpls c="8">
          <tpl hier="2" item="0"/>
          <tpl hier="4" item="1"/>
          <tpl fld="2" item="4"/>
          <tpl fld="4" item="60"/>
          <tpl hier="9" item="4"/>
          <tpl hier="11" item="6"/>
          <tpl hier="12" item="5"/>
          <tpl fld="1" item="0"/>
        </tpls>
      </n>
      <n v="14587496448">
        <tpls c="8">
          <tpl hier="2" item="0"/>
          <tpl hier="4" item="1"/>
          <tpl fld="2" item="39"/>
          <tpl fld="4" item="59"/>
          <tpl hier="9" item="4"/>
          <tpl hier="11" item="6"/>
          <tpl hier="12" item="5"/>
          <tpl fld="1" item="0"/>
        </tpls>
      </n>
      <n v="4926728704">
        <tpls c="8">
          <tpl hier="2" item="0"/>
          <tpl hier="4" item="1"/>
          <tpl fld="2" item="23"/>
          <tpl fld="4" item="59"/>
          <tpl hier="9" item="4"/>
          <tpl hier="11" item="6"/>
          <tpl hier="12" item="5"/>
          <tpl fld="1" item="0"/>
        </tpls>
      </n>
      <n v="1669499904">
        <tpls c="8">
          <tpl hier="2" item="0"/>
          <tpl hier="4" item="1"/>
          <tpl fld="2" item="7"/>
          <tpl fld="4" item="59"/>
          <tpl hier="9" item="4"/>
          <tpl hier="11" item="6"/>
          <tpl hier="12" item="5"/>
          <tpl fld="1" item="0"/>
        </tpls>
      </n>
      <n v="7890647040">
        <tpls c="8">
          <tpl hier="2" item="0"/>
          <tpl hier="4" item="1"/>
          <tpl fld="2" item="42"/>
          <tpl fld="4" item="58"/>
          <tpl hier="9" item="4"/>
          <tpl hier="11" item="6"/>
          <tpl hier="12" item="5"/>
          <tpl fld="1" item="0"/>
        </tpls>
      </n>
      <n v="2907514624">
        <tpls c="8">
          <tpl hier="2" item="0"/>
          <tpl hier="4" item="1"/>
          <tpl fld="2" item="26"/>
          <tpl fld="4" item="58"/>
          <tpl hier="9" item="4"/>
          <tpl hier="11" item="6"/>
          <tpl hier="12" item="5"/>
          <tpl fld="1" item="0"/>
        </tpls>
      </n>
      <n v="1383800064">
        <tpls c="8">
          <tpl hier="2" item="0"/>
          <tpl hier="4" item="1"/>
          <tpl fld="2" item="10"/>
          <tpl fld="4" item="58"/>
          <tpl hier="9" item="4"/>
          <tpl hier="11" item="6"/>
          <tpl hier="12" item="5"/>
          <tpl fld="1" item="0"/>
        </tpls>
      </n>
      <n v="3197220352">
        <tpls c="8">
          <tpl hier="2" item="0"/>
          <tpl hier="4" item="1"/>
          <tpl fld="2" item="45"/>
          <tpl fld="4" item="57"/>
          <tpl hier="9" item="4"/>
          <tpl hier="11" item="6"/>
          <tpl hier="12" item="5"/>
          <tpl fld="1" item="0"/>
        </tpls>
      </n>
      <n v="694755008">
        <tpls c="8">
          <tpl hier="2" item="0"/>
          <tpl hier="4" item="1"/>
          <tpl fld="2" item="29"/>
          <tpl fld="4" item="57"/>
          <tpl hier="9" item="4"/>
          <tpl hier="11" item="6"/>
          <tpl hier="12" item="5"/>
          <tpl fld="1" item="0"/>
        </tpls>
      </n>
      <n v="489333344">
        <tpls c="8">
          <tpl hier="2" item="0"/>
          <tpl hier="4" item="1"/>
          <tpl fld="2" item="13"/>
          <tpl fld="4" item="57"/>
          <tpl hier="9" item="4"/>
          <tpl hier="11" item="6"/>
          <tpl hier="12" item="5"/>
          <tpl fld="1" item="0"/>
        </tpls>
      </n>
      <n v="1458156032">
        <tpls c="8">
          <tpl hier="2" item="0"/>
          <tpl hier="4" item="1"/>
          <tpl fld="2" item="48"/>
          <tpl fld="4" item="56"/>
          <tpl hier="9" item="4"/>
          <tpl hier="11" item="6"/>
          <tpl hier="12" item="5"/>
          <tpl fld="1" item="0"/>
        </tpls>
      </n>
      <n v="415843488">
        <tpls c="8">
          <tpl hier="2" item="0"/>
          <tpl hier="4" item="1"/>
          <tpl fld="2" item="32"/>
          <tpl fld="4" item="56"/>
          <tpl hier="9" item="4"/>
          <tpl hier="11" item="6"/>
          <tpl hier="12" item="5"/>
          <tpl fld="1" item="0"/>
        </tpls>
      </n>
      <n v="130225016">
        <tpls c="8">
          <tpl hier="2" item="0"/>
          <tpl hier="4" item="1"/>
          <tpl fld="2" item="16"/>
          <tpl fld="4" item="56"/>
          <tpl hier="9" item="4"/>
          <tpl hier="11" item="6"/>
          <tpl hier="12" item="5"/>
          <tpl fld="1" item="0"/>
        </tpls>
      </n>
      <n v="78733592">
        <tpls c="8">
          <tpl hier="2" item="0"/>
          <tpl hier="4" item="1"/>
          <tpl fld="2" item="0"/>
          <tpl fld="4" item="56"/>
          <tpl hier="9" item="4"/>
          <tpl hier="11" item="6"/>
          <tpl hier="12" item="5"/>
          <tpl fld="1" item="0"/>
        </tpls>
      </n>
      <n v="27211376640">
        <tpls c="8">
          <tpl hier="2" item="0"/>
          <tpl hier="4" item="1"/>
          <tpl fld="2" item="35"/>
          <tpl fld="4" item="55"/>
          <tpl hier="9" item="4"/>
          <tpl hier="11" item="6"/>
          <tpl hier="12" item="5"/>
          <tpl fld="1" item="0"/>
        </tpls>
      </n>
      <n v="8410724352">
        <tpls c="8">
          <tpl hier="2" item="0"/>
          <tpl hier="4" item="1"/>
          <tpl fld="2" item="19"/>
          <tpl fld="4" item="55"/>
          <tpl hier="9" item="4"/>
          <tpl hier="11" item="6"/>
          <tpl hier="12" item="5"/>
          <tpl fld="1" item="0"/>
        </tpls>
      </n>
      <n v="2569200128">
        <tpls c="8">
          <tpl hier="2" item="0"/>
          <tpl hier="4" item="1"/>
          <tpl fld="2" item="3"/>
          <tpl fld="4" item="55"/>
          <tpl hier="9" item="4"/>
          <tpl hier="11" item="6"/>
          <tpl hier="12" item="5"/>
          <tpl fld="1" item="0"/>
        </tpls>
      </n>
      <n v="28526891008">
        <tpls c="8">
          <tpl hier="2" item="0"/>
          <tpl hier="4" item="1"/>
          <tpl fld="2" item="38"/>
          <tpl fld="4" item="54"/>
          <tpl hier="9" item="4"/>
          <tpl hier="11" item="6"/>
          <tpl hier="12" item="5"/>
          <tpl fld="1" item="0"/>
        </tpls>
      </n>
      <n v="6413901824">
        <tpls c="8">
          <tpl hier="2" item="0"/>
          <tpl hier="4" item="1"/>
          <tpl fld="2" item="22"/>
          <tpl fld="4" item="54"/>
          <tpl hier="9" item="4"/>
          <tpl hier="11" item="6"/>
          <tpl hier="12" item="5"/>
          <tpl fld="1" item="0"/>
        </tpls>
      </n>
      <n v="2765254144">
        <tpls c="8">
          <tpl hier="2" item="0"/>
          <tpl hier="4" item="1"/>
          <tpl fld="2" item="6"/>
          <tpl fld="4" item="54"/>
          <tpl hier="9" item="4"/>
          <tpl hier="11" item="6"/>
          <tpl hier="12" item="5"/>
          <tpl fld="1" item="0"/>
        </tpls>
      </n>
      <n v="1409694592">
        <tpls c="8">
          <tpl hier="2" item="0"/>
          <tpl hier="4" item="1"/>
          <tpl fld="2" item="41"/>
          <tpl fld="4" item="53"/>
          <tpl hier="9" item="4"/>
          <tpl hier="11" item="6"/>
          <tpl hier="12" item="5"/>
          <tpl fld="1" item="0"/>
        </tpls>
      </n>
      <n v="785996992">
        <tpls c="8">
          <tpl hier="2" item="0"/>
          <tpl hier="4" item="1"/>
          <tpl fld="2" item="25"/>
          <tpl fld="4" item="53"/>
          <tpl hier="9" item="4"/>
          <tpl hier="11" item="6"/>
          <tpl hier="12" item="5"/>
          <tpl fld="1" item="0"/>
        </tpls>
      </n>
      <n v="207114384">
        <tpls c="8">
          <tpl hier="2" item="0"/>
          <tpl hier="4" item="1"/>
          <tpl fld="2" item="9"/>
          <tpl fld="4" item="53"/>
          <tpl hier="9" item="4"/>
          <tpl hier="11" item="6"/>
          <tpl hier="12" item="5"/>
          <tpl fld="1" item="0"/>
        </tpls>
      </n>
      <n v="18203967488">
        <tpls c="8">
          <tpl hier="2" item="0"/>
          <tpl hier="4" item="1"/>
          <tpl fld="2" item="44"/>
          <tpl fld="4" item="52"/>
          <tpl hier="9" item="4"/>
          <tpl hier="11" item="6"/>
          <tpl hier="12" item="5"/>
          <tpl fld="1" item="0"/>
        </tpls>
      </n>
      <n v="4483417088">
        <tpls c="8">
          <tpl hier="2" item="0"/>
          <tpl hier="4" item="1"/>
          <tpl fld="2" item="28"/>
          <tpl fld="4" item="52"/>
          <tpl hier="9" item="4"/>
          <tpl hier="11" item="6"/>
          <tpl hier="12" item="5"/>
          <tpl fld="1" item="0"/>
        </tpls>
      </n>
      <n v="3618007808">
        <tpls c="8">
          <tpl hier="2" item="0"/>
          <tpl hier="4" item="1"/>
          <tpl fld="2" item="12"/>
          <tpl fld="4" item="52"/>
          <tpl hier="9" item="4"/>
          <tpl hier="11" item="6"/>
          <tpl hier="12" item="5"/>
          <tpl fld="1" item="0"/>
        </tpls>
      </n>
      <n v="5353404416">
        <tpls c="8">
          <tpl hier="2" item="0"/>
          <tpl hier="4" item="1"/>
          <tpl fld="2" item="47"/>
          <tpl fld="4" item="51"/>
          <tpl hier="9" item="4"/>
          <tpl hier="11" item="6"/>
          <tpl hier="12" item="5"/>
          <tpl fld="1" item="0"/>
        </tpls>
      </n>
      <n v="1660102400">
        <tpls c="8">
          <tpl hier="2" item="0"/>
          <tpl hier="4" item="1"/>
          <tpl fld="2" item="31"/>
          <tpl fld="4" item="51"/>
          <tpl hier="9" item="4"/>
          <tpl hier="11" item="6"/>
          <tpl hier="12" item="5"/>
          <tpl fld="1" item="0"/>
        </tpls>
      </n>
      <n v="1141210112">
        <tpls c="8">
          <tpl hier="2" item="0"/>
          <tpl hier="4" item="1"/>
          <tpl fld="2" item="15"/>
          <tpl fld="4" item="51"/>
          <tpl hier="9" item="4"/>
          <tpl hier="11" item="6"/>
          <tpl hier="12" item="5"/>
          <tpl fld="1" item="0"/>
        </tpls>
      </n>
      <n v="516750811520">
        <tpls c="8">
          <tpl hier="2" item="0"/>
          <tpl hier="4" item="1"/>
          <tpl hier="5" item="3"/>
          <tpl fld="4" item="50"/>
          <tpl hier="9" item="4"/>
          <tpl hier="11" item="6"/>
          <tpl hier="12" item="5"/>
          <tpl fld="1" item="0"/>
        </tpls>
      </n>
      <n v="13724811264">
        <tpls c="8">
          <tpl hier="2" item="0"/>
          <tpl hier="4" item="1"/>
          <tpl fld="2" item="34"/>
          <tpl fld="4" item="50"/>
          <tpl hier="9" item="4"/>
          <tpl hier="11" item="6"/>
          <tpl hier="12" item="5"/>
          <tpl fld="1" item="0"/>
        </tpls>
      </n>
      <n v="4189880064">
        <tpls c="8">
          <tpl hier="2" item="0"/>
          <tpl hier="4" item="1"/>
          <tpl fld="2" item="18"/>
          <tpl fld="4" item="50"/>
          <tpl hier="9" item="4"/>
          <tpl hier="11" item="6"/>
          <tpl hier="12" item="5"/>
          <tpl fld="1" item="0"/>
        </tpls>
      </n>
      <n v="1263719936">
        <tpls c="8">
          <tpl hier="2" item="0"/>
          <tpl hier="4" item="1"/>
          <tpl fld="2" item="2"/>
          <tpl fld="4" item="50"/>
          <tpl hier="9" item="4"/>
          <tpl hier="11" item="6"/>
          <tpl hier="12" item="5"/>
          <tpl fld="1" item="0"/>
        </tpls>
      </n>
      <n v="51007778816">
        <tpls c="8">
          <tpl hier="2" item="0"/>
          <tpl hier="4" item="1"/>
          <tpl fld="2" item="37"/>
          <tpl fld="4" item="49"/>
          <tpl hier="9" item="4"/>
          <tpl hier="11" item="6"/>
          <tpl hier="12" item="5"/>
          <tpl fld="1" item="0"/>
        </tpls>
      </n>
      <n v="16988534784">
        <tpls c="8">
          <tpl hier="2" item="0"/>
          <tpl hier="4" item="1"/>
          <tpl fld="2" item="21"/>
          <tpl fld="4" item="49"/>
          <tpl hier="9" item="4"/>
          <tpl hier="11" item="6"/>
          <tpl hier="12" item="5"/>
          <tpl fld="1" item="0"/>
        </tpls>
      </n>
      <n v="7731677184">
        <tpls c="8">
          <tpl hier="2" item="0"/>
          <tpl hier="4" item="1"/>
          <tpl fld="2" item="5"/>
          <tpl fld="4" item="49"/>
          <tpl hier="9" item="4"/>
          <tpl hier="11" item="6"/>
          <tpl hier="12" item="5"/>
          <tpl fld="1" item="0"/>
        </tpls>
      </n>
      <n v="53860175872">
        <tpls c="8">
          <tpl hier="2" item="0"/>
          <tpl hier="4" item="1"/>
          <tpl fld="2" item="40"/>
          <tpl fld="4" item="48"/>
          <tpl hier="9" item="4"/>
          <tpl hier="11" item="6"/>
          <tpl hier="12" item="5"/>
          <tpl fld="1" item="0"/>
        </tpls>
      </n>
      <n v="14664238080">
        <tpls c="8">
          <tpl hier="2" item="0"/>
          <tpl hier="4" item="1"/>
          <tpl fld="2" item="24"/>
          <tpl fld="4" item="48"/>
          <tpl hier="9" item="4"/>
          <tpl hier="11" item="6"/>
          <tpl hier="12" item="5"/>
          <tpl fld="1" item="0"/>
        </tpls>
      </n>
      <n v="4734400000">
        <tpls c="8">
          <tpl hier="2" item="0"/>
          <tpl hier="4" item="1"/>
          <tpl fld="2" item="8"/>
          <tpl fld="4" item="48"/>
          <tpl hier="9" item="4"/>
          <tpl hier="11" item="6"/>
          <tpl hier="12" item="5"/>
          <tpl fld="1" item="0"/>
        </tpls>
      </n>
      <n v="31273074688">
        <tpls c="8">
          <tpl hier="2" item="0"/>
          <tpl hier="4" item="1"/>
          <tpl fld="2" item="43"/>
          <tpl fld="4" item="47"/>
          <tpl hier="9" item="4"/>
          <tpl hier="11" item="6"/>
          <tpl hier="12" item="5"/>
          <tpl fld="1" item="0"/>
        </tpls>
      </n>
      <n v="11722142720">
        <tpls c="8">
          <tpl hier="2" item="0"/>
          <tpl hier="4" item="1"/>
          <tpl fld="2" item="27"/>
          <tpl fld="4" item="47"/>
          <tpl hier="9" item="4"/>
          <tpl hier="11" item="6"/>
          <tpl hier="12" item="5"/>
          <tpl fld="1" item="0"/>
        </tpls>
      </n>
      <n v="8432588288">
        <tpls c="8">
          <tpl hier="2" item="0"/>
          <tpl hier="4" item="1"/>
          <tpl fld="2" item="11"/>
          <tpl fld="4" item="47"/>
          <tpl hier="9" item="4"/>
          <tpl hier="11" item="6"/>
          <tpl hier="12" item="5"/>
          <tpl fld="1" item="0"/>
        </tpls>
      </n>
      <n v="57157992448">
        <tpls c="8">
          <tpl hier="2" item="0"/>
          <tpl hier="4" item="1"/>
          <tpl fld="2" item="46"/>
          <tpl fld="4" item="46"/>
          <tpl hier="9" item="4"/>
          <tpl hier="11" item="6"/>
          <tpl hier="12" item="5"/>
          <tpl fld="1" item="0"/>
        </tpls>
      </n>
      <n v="14949514240">
        <tpls c="8">
          <tpl hier="2" item="0"/>
          <tpl hier="4" item="1"/>
          <tpl fld="2" item="30"/>
          <tpl fld="4" item="46"/>
          <tpl hier="9" item="4"/>
          <tpl hier="11" item="6"/>
          <tpl hier="12" item="5"/>
          <tpl fld="1" item="0"/>
        </tpls>
      </n>
      <n v="3660476416">
        <tpls c="8">
          <tpl hier="2" item="0"/>
          <tpl hier="4" item="1"/>
          <tpl fld="2" item="14"/>
          <tpl fld="4" item="46"/>
          <tpl hier="9" item="4"/>
          <tpl hier="11" item="6"/>
          <tpl hier="12" item="5"/>
          <tpl fld="1" item="0"/>
        </tpls>
      </n>
      <n v="10820591616">
        <tpls c="8">
          <tpl hier="2" item="0"/>
          <tpl hier="4" item="1"/>
          <tpl fld="2" item="49"/>
          <tpl fld="4" item="45"/>
          <tpl hier="9" item="4"/>
          <tpl hier="11" item="6"/>
          <tpl hier="12" item="5"/>
          <tpl fld="1" item="0"/>
        </tpls>
      </n>
      <n v="3495868928">
        <tpls c="8">
          <tpl hier="2" item="0"/>
          <tpl hier="4" item="1"/>
          <tpl fld="2" item="33"/>
          <tpl fld="4" item="45"/>
          <tpl hier="9" item="4"/>
          <tpl hier="11" item="6"/>
          <tpl hier="12" item="5"/>
          <tpl fld="1" item="0"/>
        </tpls>
      </n>
      <n v="2297753600">
        <tpls c="8">
          <tpl hier="2" item="0"/>
          <tpl hier="4" item="1"/>
          <tpl fld="2" item="17"/>
          <tpl fld="4" item="45"/>
          <tpl hier="9" item="4"/>
          <tpl hier="11" item="6"/>
          <tpl hier="12" item="5"/>
          <tpl fld="1" item="0"/>
        </tpls>
      </n>
      <n v="322128032">
        <tpls c="8">
          <tpl hier="2" item="0"/>
          <tpl hier="4" item="1"/>
          <tpl fld="2" item="1"/>
          <tpl fld="4" item="45"/>
          <tpl hier="9" item="4"/>
          <tpl hier="11" item="6"/>
          <tpl hier="12" item="5"/>
          <tpl fld="1" item="0"/>
        </tpls>
      </n>
      <n v="14451902464">
        <tpls c="8">
          <tpl hier="2" item="0"/>
          <tpl hier="4" item="1"/>
          <tpl fld="2" item="36"/>
          <tpl fld="4" item="44"/>
          <tpl hier="9" item="4"/>
          <tpl hier="11" item="6"/>
          <tpl hier="12" item="5"/>
          <tpl fld="1" item="0"/>
        </tpls>
      </n>
      <n v="9349764096">
        <tpls c="8">
          <tpl hier="2" item="0"/>
          <tpl hier="4" item="1"/>
          <tpl fld="2" item="20"/>
          <tpl fld="4" item="44"/>
          <tpl hier="9" item="4"/>
          <tpl hier="11" item="6"/>
          <tpl hier="12" item="5"/>
          <tpl fld="1" item="0"/>
        </tpls>
      </n>
      <n v="9596959744">
        <tpls c="8">
          <tpl hier="2" item="0"/>
          <tpl hier="4" item="1"/>
          <tpl fld="2" item="4"/>
          <tpl fld="4" item="44"/>
          <tpl hier="9" item="4"/>
          <tpl hier="11" item="6"/>
          <tpl hier="12" item="5"/>
          <tpl fld="1" item="0"/>
        </tpls>
      </n>
      <n v="232397832192">
        <tpls c="8">
          <tpl hier="2" item="0"/>
          <tpl hier="4" item="1"/>
          <tpl fld="2" item="39"/>
          <tpl fld="4" item="43"/>
          <tpl hier="9" item="4"/>
          <tpl hier="11" item="6"/>
          <tpl hier="12" item="5"/>
          <tpl fld="1" item="0"/>
        </tpls>
      </n>
      <n v="66446802944">
        <tpls c="8">
          <tpl hier="2" item="0"/>
          <tpl hier="4" item="1"/>
          <tpl fld="2" item="23"/>
          <tpl fld="4" item="43"/>
          <tpl hier="9" item="4"/>
          <tpl hier="11" item="6"/>
          <tpl hier="12" item="5"/>
          <tpl fld="1" item="0"/>
        </tpls>
      </n>
      <n v="19470960640">
        <tpls c="8">
          <tpl hier="2" item="0"/>
          <tpl hier="4" item="1"/>
          <tpl fld="2" item="7"/>
          <tpl fld="4" item="43"/>
          <tpl hier="9" item="4"/>
          <tpl hier="11" item="6"/>
          <tpl hier="12" item="5"/>
          <tpl fld="1" item="0"/>
        </tpls>
      </n>
      <n v="267122327552">
        <tpls c="8">
          <tpl hier="2" item="0"/>
          <tpl hier="4" item="1"/>
          <tpl fld="2" item="42"/>
          <tpl fld="4" item="42"/>
          <tpl hier="9" item="4"/>
          <tpl hier="11" item="6"/>
          <tpl hier="12" item="5"/>
          <tpl fld="1" item="0"/>
        </tpls>
      </n>
      <n v="78039572480">
        <tpls c="8">
          <tpl hier="2" item="0"/>
          <tpl hier="4" item="1"/>
          <tpl fld="2" item="26"/>
          <tpl fld="4" item="42"/>
          <tpl hier="9" item="4"/>
          <tpl hier="11" item="6"/>
          <tpl hier="12" item="5"/>
          <tpl fld="1" item="0"/>
        </tpls>
      </n>
      <n v="29036709888">
        <tpls c="8">
          <tpl hier="2" item="0"/>
          <tpl hier="4" item="1"/>
          <tpl fld="2" item="10"/>
          <tpl fld="4" item="42"/>
          <tpl hier="9" item="4"/>
          <tpl hier="11" item="6"/>
          <tpl hier="12" item="5"/>
          <tpl fld="1" item="0"/>
        </tpls>
      </n>
      <n v="10950391808">
        <tpls c="8">
          <tpl hier="2" item="0"/>
          <tpl hier="4" item="1"/>
          <tpl fld="2" item="45"/>
          <tpl fld="4" item="41"/>
          <tpl hier="9" item="4"/>
          <tpl hier="11" item="6"/>
          <tpl hier="12" item="5"/>
          <tpl fld="1" item="0"/>
        </tpls>
      </n>
      <n v="1534673536">
        <tpls c="8">
          <tpl hier="2" item="0"/>
          <tpl hier="4" item="1"/>
          <tpl fld="2" item="29"/>
          <tpl fld="4" item="41"/>
          <tpl hier="9" item="4"/>
          <tpl hier="11" item="6"/>
          <tpl hier="12" item="5"/>
          <tpl fld="1" item="0"/>
        </tpls>
      </n>
      <n v="832415808">
        <tpls c="8">
          <tpl hier="2" item="0"/>
          <tpl hier="4" item="1"/>
          <tpl fld="2" item="13"/>
          <tpl fld="4" item="41"/>
          <tpl hier="9" item="4"/>
          <tpl hier="11" item="6"/>
          <tpl hier="12" item="5"/>
          <tpl fld="1" item="0"/>
        </tpls>
      </n>
      <n v="2220978944">
        <tpls c="8">
          <tpl hier="2" item="0"/>
          <tpl hier="4" item="1"/>
          <tpl fld="2" item="48"/>
          <tpl fld="4" item="40"/>
          <tpl hier="9" item="4"/>
          <tpl hier="11" item="6"/>
          <tpl hier="12" item="5"/>
          <tpl fld="1" item="0"/>
        </tpls>
      </n>
      <n v="991387840">
        <tpls c="8">
          <tpl hier="2" item="0"/>
          <tpl hier="4" item="1"/>
          <tpl fld="2" item="32"/>
          <tpl fld="4" item="40"/>
          <tpl hier="9" item="4"/>
          <tpl hier="11" item="6"/>
          <tpl hier="12" item="5"/>
          <tpl fld="1" item="0"/>
        </tpls>
      </n>
      <n v="17712353180188">
        <tpls c="8">
          <tpl hier="2" item="0"/>
          <tpl hier="4" item="1"/>
          <tpl fld="2" item="18"/>
          <tpl hier="6" item="2"/>
          <tpl hier="9" item="4"/>
          <tpl hier="11" item="6"/>
          <tpl hier="12" item="5"/>
          <tpl fld="1" item="0"/>
        </tpls>
      </n>
      <n v="5727591936">
        <tpls c="8">
          <tpl hier="2" item="0"/>
          <tpl hier="4" item="1"/>
          <tpl fld="2" item="33"/>
          <tpl fld="4" item="102"/>
          <tpl hier="9" item="4"/>
          <tpl hier="11" item="6"/>
          <tpl hier="12" item="5"/>
          <tpl fld="1" item="0"/>
        </tpls>
      </n>
      <n v="17910857728">
        <tpls c="8">
          <tpl hier="2" item="0"/>
          <tpl hier="4" item="1"/>
          <tpl fld="2" item="38"/>
          <tpl fld="4" item="101"/>
          <tpl hier="9" item="4"/>
          <tpl hier="11" item="6"/>
          <tpl hier="12" item="5"/>
          <tpl fld="1" item="0"/>
        </tpls>
      </n>
      <n v="57531232256">
        <tpls c="8">
          <tpl hier="2" item="0"/>
          <tpl hier="4" item="1"/>
          <tpl fld="2" item="43"/>
          <tpl fld="4" item="100"/>
          <tpl hier="9" item="4"/>
          <tpl hier="11" item="6"/>
          <tpl hier="12" item="5"/>
          <tpl fld="1" item="0"/>
        </tpls>
      </n>
      <n v="4114667008">
        <tpls c="8">
          <tpl hier="2" item="0"/>
          <tpl hier="4" item="1"/>
          <tpl fld="2" item="7"/>
          <tpl fld="4" item="100"/>
          <tpl hier="9" item="4"/>
          <tpl hier="11" item="6"/>
          <tpl hier="12" item="5"/>
          <tpl fld="1" item="0"/>
        </tpls>
      </n>
      <n v="64546332672">
        <tpls c="8">
          <tpl hier="2" item="0"/>
          <tpl hier="4" item="1"/>
          <tpl fld="2" item="12"/>
          <tpl fld="4" item="99"/>
          <tpl hier="9" item="4"/>
          <tpl hier="11" item="6"/>
          <tpl hier="12" item="5"/>
          <tpl fld="1" item="0"/>
        </tpls>
      </n>
      <n v="9696271360">
        <tpls c="8">
          <tpl hier="2" item="0"/>
          <tpl hier="4" item="1"/>
          <tpl fld="2" item="17"/>
          <tpl fld="4" item="98"/>
          <tpl hier="9" item="4"/>
          <tpl hier="11" item="6"/>
          <tpl hier="12" item="5"/>
          <tpl fld="1" item="0"/>
        </tpls>
      </n>
      <n v="9008273408">
        <tpls c="8">
          <tpl hier="2" item="0"/>
          <tpl hier="4" item="1"/>
          <tpl fld="2" item="32"/>
          <tpl fld="4" item="97"/>
          <tpl hier="9" item="4"/>
          <tpl hier="11" item="6"/>
          <tpl hier="12" item="5"/>
          <tpl fld="1" item="0"/>
        </tpls>
      </n>
      <n v="2659095040">
        <tpls c="8">
          <tpl hier="2" item="0"/>
          <tpl hier="4" item="1"/>
          <tpl fld="2" item="37"/>
          <tpl fld="4" item="96"/>
          <tpl hier="9" item="4"/>
          <tpl hier="11" item="6"/>
          <tpl hier="12" item="5"/>
          <tpl fld="1" item="0"/>
        </tpls>
      </n>
      <n v="397558218752">
        <tpls c="8">
          <tpl hier="2" item="0"/>
          <tpl hier="4" item="1"/>
          <tpl fld="2" item="42"/>
          <tpl fld="4" item="95"/>
          <tpl hier="9" item="4"/>
          <tpl hier="11" item="6"/>
          <tpl hier="12" item="5"/>
          <tpl fld="1" item="0"/>
        </tpls>
      </n>
      <n v="16985210880">
        <tpls c="8">
          <tpl hier="2" item="0"/>
          <tpl hier="4" item="1"/>
          <tpl fld="2" item="6"/>
          <tpl fld="4" item="95"/>
          <tpl hier="9" item="4"/>
          <tpl hier="11" item="6"/>
          <tpl hier="12" item="5"/>
          <tpl fld="1" item="0"/>
        </tpls>
      </n>
      <n v="571542656">
        <tpls c="8">
          <tpl hier="2" item="0"/>
          <tpl hier="4" item="1"/>
          <tpl fld="2" item="11"/>
          <tpl fld="4" item="94"/>
          <tpl hier="9" item="4"/>
          <tpl hier="11" item="6"/>
          <tpl hier="12" item="5"/>
          <tpl fld="1" item="0"/>
        </tpls>
      </n>
      <n v="891000000">
        <tpls c="8">
          <tpl hier="2" item="0"/>
          <tpl hier="4" item="1"/>
          <tpl fld="2" item="16"/>
          <tpl fld="4" item="93"/>
          <tpl hier="9" item="4"/>
          <tpl hier="11" item="6"/>
          <tpl hier="12" item="5"/>
          <tpl fld="1" item="0"/>
        </tpls>
      </n>
      <n v="13182980096">
        <tpls c="8">
          <tpl hier="2" item="0"/>
          <tpl hier="4" item="1"/>
          <tpl fld="2" item="31"/>
          <tpl fld="4" item="92"/>
          <tpl hier="9" item="4"/>
          <tpl hier="11" item="6"/>
          <tpl hier="12" item="5"/>
          <tpl fld="1" item="0"/>
        </tpls>
      </n>
      <n v="28279814144">
        <tpls c="8">
          <tpl hier="2" item="0"/>
          <tpl hier="4" item="1"/>
          <tpl fld="2" item="36"/>
          <tpl fld="4" item="91"/>
          <tpl hier="9" item="4"/>
          <tpl hier="11" item="6"/>
          <tpl hier="12" item="5"/>
          <tpl fld="1" item="0"/>
        </tpls>
      </n>
      <n v="416418889728">
        <tpls c="8">
          <tpl hier="2" item="0"/>
          <tpl hier="4" item="1"/>
          <tpl fld="2" item="41"/>
          <tpl fld="4" item="90"/>
          <tpl hier="9" item="4"/>
          <tpl hier="11" item="6"/>
          <tpl hier="12" item="5"/>
          <tpl fld="1" item="0"/>
        </tpls>
      </n>
      <n v="38114541568">
        <tpls c="8">
          <tpl hier="2" item="0"/>
          <tpl hier="4" item="1"/>
          <tpl fld="2" item="5"/>
          <tpl fld="4" item="90"/>
          <tpl hier="9" item="4"/>
          <tpl hier="11" item="6"/>
          <tpl hier="12" item="5"/>
          <tpl fld="1" item="0"/>
        </tpls>
      </n>
      <n v="1100685824">
        <tpls c="8">
          <tpl hier="2" item="0"/>
          <tpl hier="4" item="1"/>
          <tpl fld="2" item="10"/>
          <tpl fld="4" item="89"/>
          <tpl hier="9" item="4"/>
          <tpl hier="11" item="6"/>
          <tpl hier="12" item="5"/>
          <tpl fld="1" item="0"/>
        </tpls>
      </n>
      <n v="168887536">
        <tpls c="8">
          <tpl hier="2" item="0"/>
          <tpl hier="4" item="1"/>
          <tpl fld="2" item="15"/>
          <tpl fld="4" item="88"/>
          <tpl hier="9" item="4"/>
          <tpl hier="11" item="6"/>
          <tpl hier="12" item="5"/>
          <tpl fld="1" item="0"/>
        </tpls>
      </n>
      <n v="5924239872">
        <tpls c="8">
          <tpl hier="2" item="0"/>
          <tpl hier="4" item="1"/>
          <tpl fld="2" item="30"/>
          <tpl fld="4" item="87"/>
          <tpl hier="9" item="4"/>
          <tpl hier="11" item="6"/>
          <tpl hier="12" item="5"/>
          <tpl fld="1" item="0"/>
        </tpls>
      </n>
      <n v="328459616256">
        <tpls c="8">
          <tpl hier="2" item="0"/>
          <tpl hier="4" item="1"/>
          <tpl fld="2" item="35"/>
          <tpl fld="4" item="86"/>
          <tpl hier="9" item="4"/>
          <tpl hier="11" item="6"/>
          <tpl hier="12" item="5"/>
          <tpl fld="1" item="0"/>
        </tpls>
      </n>
      <n v="6147525120">
        <tpls c="8">
          <tpl hier="2" item="0"/>
          <tpl hier="4" item="1"/>
          <tpl fld="2" item="40"/>
          <tpl fld="4" item="85"/>
          <tpl hier="9" item="4"/>
          <tpl hier="11" item="6"/>
          <tpl hier="12" item="5"/>
          <tpl fld="1" item="0"/>
        </tpls>
      </n>
      <n v="308458432">
        <tpls c="8">
          <tpl hier="2" item="0"/>
          <tpl hier="4" item="1"/>
          <tpl fld="2" item="4"/>
          <tpl fld="4" item="85"/>
          <tpl hier="9" item="4"/>
          <tpl hier="11" item="6"/>
          <tpl hier="12" item="5"/>
          <tpl fld="1" item="0"/>
        </tpls>
      </n>
      <n v="12750000128">
        <tpls c="8">
          <tpl hier="2" item="0"/>
          <tpl hier="4" item="1"/>
          <tpl fld="2" item="9"/>
          <tpl fld="4" item="84"/>
          <tpl hier="9" item="4"/>
          <tpl hier="11" item="6"/>
          <tpl hier="12" item="5"/>
          <tpl fld="1" item="0"/>
        </tpls>
      </n>
      <n v="74119987200">
        <tpls c="8">
          <tpl hier="2" item="0"/>
          <tpl hier="4" item="1"/>
          <tpl fld="2" item="25"/>
          <tpl fld="4" item="83"/>
          <tpl hier="9" item="4"/>
          <tpl hier="11" item="6"/>
          <tpl hier="12" item="5"/>
          <tpl fld="1" item="0"/>
        </tpls>
      </n>
      <n v="58731028480">
        <tpls c="8">
          <tpl hier="2" item="0"/>
          <tpl hier="4" item="1"/>
          <tpl fld="2" item="33"/>
          <tpl fld="4" item="82"/>
          <tpl hier="9" item="4"/>
          <tpl hier="11" item="6"/>
          <tpl hier="12" item="5"/>
          <tpl fld="1" item="0"/>
        </tpls>
      </n>
      <n v="636923169856">
        <tpls c="8">
          <tpl hier="2" item="0"/>
          <tpl hier="4" item="1"/>
          <tpl hier="5" item="3"/>
          <tpl fld="4" item="81"/>
          <tpl hier="9" item="4"/>
          <tpl hier="11" item="6"/>
          <tpl hier="12" item="5"/>
          <tpl fld="1" item="0"/>
        </tpls>
      </n>
      <n v="3723993856">
        <tpls c="8">
          <tpl hier="2" item="0"/>
          <tpl hier="4" item="1"/>
          <tpl fld="2" item="16"/>
          <tpl fld="4" item="81"/>
          <tpl hier="9" item="4"/>
          <tpl hier="11" item="6"/>
          <tpl hier="12" item="5"/>
          <tpl fld="1" item="0"/>
        </tpls>
      </n>
      <n v="3536411904">
        <tpls c="8">
          <tpl hier="2" item="0"/>
          <tpl hier="4" item="1"/>
          <tpl fld="2" item="33"/>
          <tpl fld="4" item="80"/>
          <tpl hier="9" item="4"/>
          <tpl hier="11" item="6"/>
          <tpl hier="12" item="5"/>
          <tpl fld="1" item="0"/>
        </tpls>
      </n>
      <n v="34686201856">
        <tpls c="8">
          <tpl hier="2" item="0"/>
          <tpl hier="4" item="1"/>
          <tpl fld="2" item="41"/>
          <tpl fld="4" item="79"/>
          <tpl hier="9" item="4"/>
          <tpl hier="11" item="6"/>
          <tpl hier="12" item="5"/>
          <tpl fld="1" item="0"/>
        </tpls>
      </n>
      <n v="2738262016">
        <tpls c="8">
          <tpl hier="2" item="0"/>
          <tpl hier="4" item="1"/>
          <tpl fld="2" item="7"/>
          <tpl fld="4" item="79"/>
          <tpl hier="9" item="4"/>
          <tpl hier="11" item="6"/>
          <tpl hier="12" item="5"/>
          <tpl fld="1" item="0"/>
        </tpls>
      </n>
      <n v="52293455872">
        <tpls c="8">
          <tpl hier="2" item="0"/>
          <tpl hier="4" item="1"/>
          <tpl fld="2" item="24"/>
          <tpl fld="4" item="78"/>
          <tpl hier="9" item="4"/>
          <tpl hier="11" item="6"/>
          <tpl hier="12" item="5"/>
          <tpl fld="1" item="0"/>
        </tpls>
      </n>
      <n v="20142782464">
        <tpls c="8">
          <tpl hier="2" item="0"/>
          <tpl hier="4" item="1"/>
          <tpl fld="2" item="32"/>
          <tpl fld="4" item="77"/>
          <tpl hier="9" item="4"/>
          <tpl hier="11" item="6"/>
          <tpl hier="12" item="5"/>
          <tpl fld="1" item="0"/>
        </tpls>
      </n>
      <n v="448120422400">
        <tpls c="8">
          <tpl hier="2" item="0"/>
          <tpl hier="4" item="1"/>
          <tpl fld="2" item="49"/>
          <tpl fld="4" item="76"/>
          <tpl hier="9" item="4"/>
          <tpl hier="11" item="6"/>
          <tpl hier="12" item="5"/>
          <tpl fld="1" item="0"/>
        </tpls>
      </n>
      <n v="73745817600">
        <tpls c="8">
          <tpl hier="2" item="0"/>
          <tpl hier="4" item="1"/>
          <tpl fld="2" item="15"/>
          <tpl fld="4" item="76"/>
          <tpl hier="9" item="4"/>
          <tpl hier="11" item="6"/>
          <tpl hier="12" item="5"/>
          <tpl fld="1" item="0"/>
        </tpls>
      </n>
      <n v="2768787456">
        <tpls c="8">
          <tpl hier="2" item="0"/>
          <tpl hier="4" item="1"/>
          <tpl fld="2" item="32"/>
          <tpl fld="4" item="75"/>
          <tpl hier="9" item="4"/>
          <tpl hier="11" item="6"/>
          <tpl hier="12" item="5"/>
          <tpl fld="1" item="0"/>
        </tpls>
      </n>
      <n v="8758638592">
        <tpls c="8">
          <tpl hier="2" item="0"/>
          <tpl hier="4" item="1"/>
          <tpl fld="2" item="40"/>
          <tpl fld="4" item="74"/>
          <tpl hier="9" item="4"/>
          <tpl hier="11" item="6"/>
          <tpl hier="12" item="5"/>
          <tpl fld="1" item="0"/>
        </tpls>
      </n>
      <n v="1847871360">
        <tpls c="8">
          <tpl hier="2" item="0"/>
          <tpl hier="4" item="1"/>
          <tpl fld="2" item="6"/>
          <tpl fld="4" item="74"/>
          <tpl hier="9" item="4"/>
          <tpl hier="11" item="6"/>
          <tpl hier="12" item="5"/>
          <tpl fld="1" item="0"/>
        </tpls>
      </n>
      <n v="3660041728">
        <tpls c="8">
          <tpl hier="2" item="0"/>
          <tpl hier="4" item="1"/>
          <tpl fld="2" item="23"/>
          <tpl fld="4" item="73"/>
          <tpl hier="9" item="4"/>
          <tpl hier="11" item="6"/>
          <tpl hier="12" item="5"/>
          <tpl fld="1" item="0"/>
        </tpls>
      </n>
      <n v="39459581952">
        <tpls c="8">
          <tpl hier="2" item="0"/>
          <tpl hier="4" item="1"/>
          <tpl fld="2" item="31"/>
          <tpl fld="4" item="72"/>
          <tpl hier="9" item="4"/>
          <tpl hier="11" item="6"/>
          <tpl hier="12" item="5"/>
          <tpl fld="1" item="0"/>
        </tpls>
      </n>
      <n v="1220699488256">
        <tpls c="8">
          <tpl hier="2" item="0"/>
          <tpl hier="4" item="1"/>
          <tpl fld="2" item="48"/>
          <tpl fld="4" item="71"/>
          <tpl hier="9" item="4"/>
          <tpl hier="11" item="6"/>
          <tpl hier="12" item="5"/>
          <tpl fld="1" item="0"/>
        </tpls>
      </n>
      <n v="184261492736">
        <tpls c="8">
          <tpl hier="2" item="0"/>
          <tpl hier="4" item="1"/>
          <tpl fld="2" item="14"/>
          <tpl fld="4" item="71"/>
          <tpl hier="9" item="4"/>
          <tpl hier="11" item="6"/>
          <tpl hier="12" item="5"/>
          <tpl fld="1" item="0"/>
        </tpls>
      </n>
      <n v="1746064768">
        <tpls c="8">
          <tpl hier="2" item="0"/>
          <tpl hier="4" item="1"/>
          <tpl fld="2" item="31"/>
          <tpl fld="4" item="70"/>
          <tpl hier="9" item="4"/>
          <tpl hier="11" item="6"/>
          <tpl hier="12" item="5"/>
          <tpl fld="1" item="0"/>
        </tpls>
      </n>
      <n v="10190945280">
        <tpls c="8">
          <tpl hier="2" item="0"/>
          <tpl hier="4" item="1"/>
          <tpl fld="2" item="39"/>
          <tpl fld="4" item="69"/>
          <tpl hier="9" item="4"/>
          <tpl hier="11" item="6"/>
          <tpl hier="12" item="5"/>
          <tpl fld="1" item="0"/>
        </tpls>
      </n>
      <n v="830710592">
        <tpls c="8">
          <tpl hier="2" item="0"/>
          <tpl hier="4" item="1"/>
          <tpl fld="2" item="5"/>
          <tpl fld="4" item="69"/>
          <tpl hier="9" item="4"/>
          <tpl hier="11" item="6"/>
          <tpl hier="12" item="5"/>
          <tpl fld="1" item="0"/>
        </tpls>
      </n>
      <n v="59167551488">
        <tpls c="8">
          <tpl hier="2" item="0"/>
          <tpl hier="4" item="1"/>
          <tpl fld="2" item="22"/>
          <tpl fld="4" item="68"/>
          <tpl hier="9" item="4"/>
          <tpl hier="11" item="6"/>
          <tpl hier="12" item="5"/>
          <tpl fld="1" item="0"/>
        </tpls>
      </n>
      <n v="1743506560">
        <tpls c="8">
          <tpl hier="2" item="0"/>
          <tpl hier="4" item="1"/>
          <tpl fld="2" item="30"/>
          <tpl fld="4" item="67"/>
          <tpl hier="9" item="4"/>
          <tpl hier="11" item="6"/>
          <tpl hier="12" item="5"/>
          <tpl fld="1" item="0"/>
        </tpls>
      </n>
      <n v="13176312832">
        <tpls c="8">
          <tpl hier="2" item="0"/>
          <tpl hier="4" item="1"/>
          <tpl fld="2" item="47"/>
          <tpl fld="4" item="66"/>
          <tpl hier="9" item="4"/>
          <tpl hier="11" item="6"/>
          <tpl hier="12" item="5"/>
          <tpl fld="1" item="0"/>
        </tpls>
      </n>
      <n v="4686456832">
        <tpls c="8">
          <tpl hier="2" item="0"/>
          <tpl hier="4" item="1"/>
          <tpl fld="2" item="13"/>
          <tpl fld="4" item="66"/>
          <tpl hier="9" item="4"/>
          <tpl hier="11" item="6"/>
          <tpl hier="12" item="5"/>
          <tpl fld="1" item="0"/>
        </tpls>
      </n>
      <n v="887295296">
        <tpls c="8">
          <tpl hier="2" item="0"/>
          <tpl hier="4" item="1"/>
          <tpl fld="2" item="30"/>
          <tpl fld="4" item="65"/>
          <tpl hier="9" item="4"/>
          <tpl hier="11" item="6"/>
          <tpl hier="12" item="5"/>
          <tpl fld="1" item="0"/>
        </tpls>
      </n>
      <n v="141042608">
        <tpls c="8">
          <tpl hier="2" item="0"/>
          <tpl hier="4" item="1"/>
          <tpl fld="2" item="38"/>
          <tpl fld="4" item="64"/>
          <tpl hier="9" item="4"/>
          <tpl hier="11" item="6"/>
          <tpl hier="12" item="5"/>
          <tpl fld="1" item="0"/>
        </tpls>
      </n>
      <n v="38748060">
        <tpls c="8">
          <tpl hier="2" item="0"/>
          <tpl hier="4" item="1"/>
          <tpl fld="2" item="7"/>
          <tpl fld="4" item="64"/>
          <tpl hier="9" item="4"/>
          <tpl hier="11" item="6"/>
          <tpl hier="12" item="5"/>
          <tpl fld="1" item="0"/>
        </tpls>
      </n>
      <n v="50412752896">
        <tpls c="8">
          <tpl hier="2" item="0"/>
          <tpl hier="4" item="1"/>
          <tpl fld="2" item="42"/>
          <tpl fld="4" item="63"/>
          <tpl hier="9" item="4"/>
          <tpl hier="11" item="6"/>
          <tpl hier="12" item="5"/>
          <tpl fld="1" item="0"/>
        </tpls>
      </n>
      <n v="12045858816">
        <tpls c="8">
          <tpl hier="2" item="0"/>
          <tpl hier="4" item="1"/>
          <tpl fld="2" item="26"/>
          <tpl fld="4" item="63"/>
          <tpl hier="9" item="4"/>
          <tpl hier="11" item="6"/>
          <tpl hier="12" item="5"/>
          <tpl fld="1" item="0"/>
        </tpls>
      </n>
      <n v="7265315328">
        <tpls c="8">
          <tpl hier="2" item="0"/>
          <tpl hier="4" item="1"/>
          <tpl fld="2" item="10"/>
          <tpl fld="4" item="63"/>
          <tpl hier="9" item="4"/>
          <tpl hier="11" item="6"/>
          <tpl hier="12" item="5"/>
          <tpl fld="1" item="0"/>
        </tpls>
      </n>
      <n v="14187696128">
        <tpls c="8">
          <tpl hier="2" item="0"/>
          <tpl hier="4" item="1"/>
          <tpl fld="2" item="45"/>
          <tpl fld="4" item="62"/>
          <tpl hier="9" item="4"/>
          <tpl hier="11" item="6"/>
          <tpl hier="12" item="5"/>
          <tpl fld="1" item="0"/>
        </tpls>
      </n>
      <n v="8851581952">
        <tpls c="8">
          <tpl hier="2" item="0"/>
          <tpl hier="4" item="1"/>
          <tpl fld="2" item="29"/>
          <tpl fld="4" item="62"/>
          <tpl hier="9" item="4"/>
          <tpl hier="11" item="6"/>
          <tpl hier="12" item="5"/>
          <tpl fld="1" item="0"/>
        </tpls>
      </n>
      <n v="3619294208">
        <tpls c="8">
          <tpl hier="2" item="0"/>
          <tpl hier="4" item="1"/>
          <tpl fld="2" item="13"/>
          <tpl fld="4" item="62"/>
          <tpl hier="9" item="4"/>
          <tpl hier="11" item="6"/>
          <tpl hier="12" item="5"/>
          <tpl fld="1" item="0"/>
        </tpls>
      </n>
      <n v="224228016128">
        <tpls c="8">
          <tpl hier="2" item="0"/>
          <tpl hier="4" item="1"/>
          <tpl fld="2" item="48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32"/>
          <tpl fld="4" item="61"/>
          <tpl hier="9" item="4"/>
          <tpl hier="11" item="6"/>
          <tpl hier="12" item="5"/>
          <tpl fld="1" item="0"/>
        </tpls>
      </m>
      <n v="47127695360">
        <tpls c="8">
          <tpl hier="2" item="0"/>
          <tpl hier="4" item="1"/>
          <tpl fld="2" item="16"/>
          <tpl fld="4" item="61"/>
          <tpl hier="9" item="4"/>
          <tpl hier="11" item="6"/>
          <tpl hier="12" item="5"/>
          <tpl fld="1" item="0"/>
        </tpls>
      </n>
      <n v="3281713920">
        <tpls c="8">
          <tpl hier="2" item="0"/>
          <tpl hier="4" item="1"/>
          <tpl fld="2" item="0"/>
          <tpl fld="4" item="61"/>
          <tpl hier="9" item="4"/>
          <tpl hier="11" item="6"/>
          <tpl hier="12" item="5"/>
          <tpl fld="1" item="0"/>
        </tpls>
      </n>
      <n v="820381614080">
        <tpls c="8">
          <tpl hier="2" item="0"/>
          <tpl hier="4" item="1"/>
          <tpl fld="2" item="35"/>
          <tpl fld="4" item="60"/>
          <tpl hier="9" item="4"/>
          <tpl hier="11" item="6"/>
          <tpl hier="12" item="5"/>
          <tpl fld="1" item="0"/>
        </tpls>
      </n>
      <n v="296042364928">
        <tpls c="8">
          <tpl hier="2" item="0"/>
          <tpl hier="4" item="1"/>
          <tpl fld="2" item="19"/>
          <tpl fld="4" item="60"/>
          <tpl hier="9" item="4"/>
          <tpl hier="11" item="6"/>
          <tpl hier="12" item="5"/>
          <tpl fld="1" item="0"/>
        </tpls>
      </n>
      <n v="85515272192">
        <tpls c="8">
          <tpl hier="2" item="0"/>
          <tpl hier="4" item="1"/>
          <tpl fld="2" item="3"/>
          <tpl fld="4" item="60"/>
          <tpl hier="9" item="4"/>
          <tpl hier="11" item="6"/>
          <tpl hier="12" item="5"/>
          <tpl fld="1" item="0"/>
        </tpls>
      </n>
      <n v="13789715456">
        <tpls c="8">
          <tpl hier="2" item="0"/>
          <tpl hier="4" item="1"/>
          <tpl fld="2" item="38"/>
          <tpl fld="4" item="59"/>
          <tpl hier="9" item="4"/>
          <tpl hier="11" item="6"/>
          <tpl hier="12" item="5"/>
          <tpl fld="1" item="0"/>
        </tpls>
      </n>
      <n v="4943700480">
        <tpls c="8">
          <tpl hier="2" item="0"/>
          <tpl hier="4" item="1"/>
          <tpl fld="2" item="22"/>
          <tpl fld="4" item="59"/>
          <tpl hier="9" item="4"/>
          <tpl hier="11" item="6"/>
          <tpl hier="12" item="5"/>
          <tpl fld="1" item="0"/>
        </tpls>
      </n>
      <n v="1348000000">
        <tpls c="8">
          <tpl hier="2" item="0"/>
          <tpl hier="4" item="1"/>
          <tpl fld="2" item="6"/>
          <tpl fld="4" item="59"/>
          <tpl hier="9" item="4"/>
          <tpl hier="11" item="6"/>
          <tpl hier="12" item="5"/>
          <tpl fld="1" item="0"/>
        </tpls>
      </n>
      <n v="7516834304">
        <tpls c="8">
          <tpl hier="2" item="0"/>
          <tpl hier="4" item="1"/>
          <tpl fld="2" item="41"/>
          <tpl fld="4" item="58"/>
          <tpl hier="9" item="4"/>
          <tpl hier="11" item="6"/>
          <tpl hier="12" item="5"/>
          <tpl fld="1" item="0"/>
        </tpls>
      </n>
      <n v="2813313280">
        <tpls c="8">
          <tpl hier="2" item="0"/>
          <tpl hier="4" item="1"/>
          <tpl fld="2" item="25"/>
          <tpl fld="4" item="58"/>
          <tpl hier="9" item="4"/>
          <tpl hier="11" item="6"/>
          <tpl hier="12" item="5"/>
          <tpl fld="1" item="0"/>
        </tpls>
      </n>
      <n v="1080600064">
        <tpls c="8">
          <tpl hier="2" item="0"/>
          <tpl hier="4" item="1"/>
          <tpl fld="2" item="9"/>
          <tpl fld="4" item="58"/>
          <tpl hier="9" item="4"/>
          <tpl hier="11" item="6"/>
          <tpl hier="12" item="5"/>
          <tpl fld="1" item="0"/>
        </tpls>
      </n>
      <n v="3077643264">
        <tpls c="8">
          <tpl hier="2" item="0"/>
          <tpl hier="4" item="1"/>
          <tpl fld="2" item="44"/>
          <tpl fld="4" item="57"/>
          <tpl hier="9" item="4"/>
          <tpl hier="11" item="6"/>
          <tpl hier="12" item="5"/>
          <tpl fld="1" item="0"/>
        </tpls>
      </n>
      <n v="717530688">
        <tpls c="8">
          <tpl hier="2" item="0"/>
          <tpl hier="4" item="1"/>
          <tpl fld="2" item="28"/>
          <tpl fld="4" item="57"/>
          <tpl hier="9" item="4"/>
          <tpl hier="11" item="6"/>
          <tpl hier="12" item="5"/>
          <tpl fld="1" item="0"/>
        </tpls>
      </n>
      <n v="482000000">
        <tpls c="8">
          <tpl hier="2" item="0"/>
          <tpl hier="4" item="1"/>
          <tpl fld="2" item="12"/>
          <tpl fld="4" item="57"/>
          <tpl hier="9" item="4"/>
          <tpl hier="11" item="6"/>
          <tpl hier="12" item="5"/>
          <tpl fld="1" item="0"/>
        </tpls>
      </n>
      <n v="1346841856">
        <tpls c="8">
          <tpl hier="2" item="0"/>
          <tpl hier="4" item="1"/>
          <tpl fld="2" item="47"/>
          <tpl fld="4" item="56"/>
          <tpl hier="9" item="4"/>
          <tpl hier="11" item="6"/>
          <tpl hier="12" item="5"/>
          <tpl fld="1" item="0"/>
        </tpls>
      </n>
      <n v="392278176">
        <tpls c="8">
          <tpl hier="2" item="0"/>
          <tpl hier="4" item="1"/>
          <tpl fld="2" item="31"/>
          <tpl fld="4" item="56"/>
          <tpl hier="9" item="4"/>
          <tpl hier="11" item="6"/>
          <tpl hier="12" item="5"/>
          <tpl fld="1" item="0"/>
        </tpls>
      </n>
      <n v="143856256">
        <tpls c="8">
          <tpl hier="2" item="0"/>
          <tpl hier="4" item="1"/>
          <tpl fld="2" item="15"/>
          <tpl fld="4" item="56"/>
          <tpl hier="9" item="4"/>
          <tpl hier="11" item="6"/>
          <tpl hier="12" item="5"/>
          <tpl fld="1" item="0"/>
        </tpls>
      </n>
      <n v="1132901165056">
        <tpls c="8">
          <tpl hier="2" item="0"/>
          <tpl hier="4" item="1"/>
          <tpl hier="5" item="3"/>
          <tpl fld="4" item="55"/>
          <tpl hier="9" item="4"/>
          <tpl hier="11" item="6"/>
          <tpl hier="12" item="5"/>
          <tpl fld="1" item="0"/>
        </tpls>
      </n>
      <n v="23965276160">
        <tpls c="8">
          <tpl hier="2" item="0"/>
          <tpl hier="4" item="1"/>
          <tpl fld="2" item="34"/>
          <tpl fld="4" item="55"/>
          <tpl hier="9" item="4"/>
          <tpl hier="11" item="6"/>
          <tpl hier="12" item="5"/>
          <tpl fld="1" item="0"/>
        </tpls>
      </n>
      <n v="7841603072">
        <tpls c="8">
          <tpl hier="2" item="0"/>
          <tpl hier="4" item="1"/>
          <tpl fld="2" item="18"/>
          <tpl fld="4" item="55"/>
          <tpl hier="9" item="4"/>
          <tpl hier="11" item="6"/>
          <tpl hier="12" item="5"/>
          <tpl fld="1" item="0"/>
        </tpls>
      </n>
      <n v="2101299968">
        <tpls c="8">
          <tpl hier="2" item="0"/>
          <tpl hier="4" item="1"/>
          <tpl fld="2" item="2"/>
          <tpl fld="4" item="55"/>
          <tpl hier="9" item="4"/>
          <tpl hier="11" item="6"/>
          <tpl hier="12" item="5"/>
          <tpl fld="1" item="0"/>
        </tpls>
      </n>
      <n v="24758818816">
        <tpls c="8">
          <tpl hier="2" item="0"/>
          <tpl hier="4" item="1"/>
          <tpl fld="2" item="37"/>
          <tpl fld="4" item="54"/>
          <tpl hier="9" item="4"/>
          <tpl hier="11" item="6"/>
          <tpl hier="12" item="5"/>
          <tpl fld="1" item="0"/>
        </tpls>
      </n>
      <n v="6596546048">
        <tpls c="8">
          <tpl hier="2" item="0"/>
          <tpl hier="4" item="1"/>
          <tpl fld="2" item="21"/>
          <tpl fld="4" item="54"/>
          <tpl hier="9" item="4"/>
          <tpl hier="11" item="6"/>
          <tpl hier="12" item="5"/>
          <tpl fld="1" item="0"/>
        </tpls>
      </n>
      <n v="2810106368">
        <tpls c="8">
          <tpl hier="2" item="0"/>
          <tpl hier="4" item="1"/>
          <tpl fld="2" item="5"/>
          <tpl fld="4" item="54"/>
          <tpl hier="9" item="4"/>
          <tpl hier="11" item="6"/>
          <tpl hier="12" item="5"/>
          <tpl fld="1" item="0"/>
        </tpls>
      </n>
      <n v="1543292416">
        <tpls c="8">
          <tpl hier="2" item="0"/>
          <tpl hier="4" item="1"/>
          <tpl fld="2" item="40"/>
          <tpl fld="4" item="53"/>
          <tpl hier="9" item="4"/>
          <tpl hier="11" item="6"/>
          <tpl hier="12" item="5"/>
          <tpl fld="1" item="0"/>
        </tpls>
      </n>
      <n v="746491712">
        <tpls c="8">
          <tpl hier="2" item="0"/>
          <tpl hier="4" item="1"/>
          <tpl fld="2" item="24"/>
          <tpl fld="4" item="53"/>
          <tpl hier="9" item="4"/>
          <tpl hier="11" item="6"/>
          <tpl hier="12" item="5"/>
          <tpl fld="1" item="0"/>
        </tpls>
      </n>
      <n v="171836800">
        <tpls c="8">
          <tpl hier="2" item="0"/>
          <tpl hier="4" item="1"/>
          <tpl fld="2" item="8"/>
          <tpl fld="4" item="53"/>
          <tpl hier="9" item="4"/>
          <tpl hier="11" item="6"/>
          <tpl hier="12" item="5"/>
          <tpl fld="1" item="0"/>
        </tpls>
      </n>
      <n v="17595746304">
        <tpls c="8">
          <tpl hier="2" item="0"/>
          <tpl hier="4" item="1"/>
          <tpl fld="2" item="43"/>
          <tpl fld="4" item="52"/>
          <tpl hier="9" item="4"/>
          <tpl hier="11" item="6"/>
          <tpl hier="12" item="5"/>
          <tpl fld="1" item="0"/>
        </tpls>
      </n>
      <n v="5326816768">
        <tpls c="8">
          <tpl hier="2" item="0"/>
          <tpl hier="4" item="1"/>
          <tpl fld="2" item="27"/>
          <tpl fld="4" item="52"/>
          <tpl hier="9" item="4"/>
          <tpl hier="11" item="6"/>
          <tpl hier="12" item="5"/>
          <tpl fld="1" item="0"/>
        </tpls>
      </n>
      <n v="3862269184">
        <tpls c="8">
          <tpl hier="2" item="0"/>
          <tpl hier="4" item="1"/>
          <tpl fld="2" item="11"/>
          <tpl fld="4" item="52"/>
          <tpl hier="9" item="4"/>
          <tpl hier="11" item="6"/>
          <tpl hier="12" item="5"/>
          <tpl fld="1" item="0"/>
        </tpls>
      </n>
      <n v="4930204160">
        <tpls c="8">
          <tpl hier="2" item="0"/>
          <tpl hier="4" item="1"/>
          <tpl fld="2" item="46"/>
          <tpl fld="4" item="51"/>
          <tpl hier="9" item="4"/>
          <tpl hier="11" item="6"/>
          <tpl hier="12" item="5"/>
          <tpl fld="1" item="0"/>
        </tpls>
      </n>
      <n v="1684109696">
        <tpls c="8">
          <tpl hier="2" item="0"/>
          <tpl hier="4" item="1"/>
          <tpl fld="2" item="30"/>
          <tpl fld="4" item="51"/>
          <tpl hier="9" item="4"/>
          <tpl hier="11" item="6"/>
          <tpl hier="12" item="5"/>
          <tpl fld="1" item="0"/>
        </tpls>
      </n>
      <n v="1177997440">
        <tpls c="8">
          <tpl hier="2" item="0"/>
          <tpl hier="4" item="1"/>
          <tpl fld="2" item="14"/>
          <tpl fld="4" item="51"/>
          <tpl hier="9" item="4"/>
          <tpl hier="11" item="6"/>
          <tpl hier="12" item="5"/>
          <tpl fld="1" item="0"/>
        </tpls>
      </n>
      <n v="27022639104">
        <tpls c="8">
          <tpl hier="2" item="0"/>
          <tpl hier="4" item="1"/>
          <tpl fld="2" item="49"/>
          <tpl fld="4" item="50"/>
          <tpl hier="9" item="4"/>
          <tpl hier="11" item="6"/>
          <tpl hier="12" item="5"/>
          <tpl fld="1" item="0"/>
        </tpls>
      </n>
      <n v="13243891712">
        <tpls c="8">
          <tpl hier="2" item="0"/>
          <tpl hier="4" item="1"/>
          <tpl fld="2" item="33"/>
          <tpl fld="4" item="50"/>
          <tpl hier="9" item="4"/>
          <tpl hier="11" item="6"/>
          <tpl hier="12" item="5"/>
          <tpl fld="1" item="0"/>
        </tpls>
      </n>
      <n v="3958045696">
        <tpls c="8">
          <tpl hier="2" item="0"/>
          <tpl hier="4" item="1"/>
          <tpl fld="2" item="17"/>
          <tpl fld="4" item="50"/>
          <tpl hier="9" item="4"/>
          <tpl hier="11" item="6"/>
          <tpl hier="12" item="5"/>
          <tpl fld="1" item="0"/>
        </tpls>
      </n>
      <n v="1186119936">
        <tpls c="8">
          <tpl hier="2" item="0"/>
          <tpl hier="4" item="1"/>
          <tpl fld="2" item="1"/>
          <tpl fld="4" item="50"/>
          <tpl hier="9" item="4"/>
          <tpl hier="11" item="6"/>
          <tpl hier="12" item="5"/>
          <tpl fld="1" item="0"/>
        </tpls>
      </n>
      <n v="46802042880">
        <tpls c="8">
          <tpl hier="2" item="0"/>
          <tpl hier="4" item="1"/>
          <tpl fld="2" item="36"/>
          <tpl fld="4" item="49"/>
          <tpl hier="9" item="4"/>
          <tpl hier="11" item="6"/>
          <tpl hier="12" item="5"/>
          <tpl fld="1" item="0"/>
        </tpls>
      </n>
      <n v="15239278592">
        <tpls c="8">
          <tpl hier="2" item="0"/>
          <tpl hier="4" item="1"/>
          <tpl fld="2" item="20"/>
          <tpl fld="4" item="49"/>
          <tpl hier="9" item="4"/>
          <tpl hier="11" item="6"/>
          <tpl hier="12" item="5"/>
          <tpl fld="1" item="0"/>
        </tpls>
      </n>
      <n v="6599259648">
        <tpls c="8">
          <tpl hier="2" item="0"/>
          <tpl hier="4" item="1"/>
          <tpl fld="2" item="4"/>
          <tpl fld="4" item="49"/>
          <tpl hier="9" item="4"/>
          <tpl hier="11" item="6"/>
          <tpl hier="12" item="5"/>
          <tpl fld="1" item="0"/>
        </tpls>
      </n>
      <n v="48261033984">
        <tpls c="8">
          <tpl hier="2" item="0"/>
          <tpl hier="4" item="1"/>
          <tpl fld="2" item="39"/>
          <tpl fld="4" item="48"/>
          <tpl hier="9" item="4"/>
          <tpl hier="11" item="6"/>
          <tpl hier="12" item="5"/>
          <tpl fld="1" item="0"/>
        </tpls>
      </n>
      <n v="13081041920">
        <tpls c="8">
          <tpl hier="2" item="0"/>
          <tpl hier="4" item="1"/>
          <tpl fld="2" item="23"/>
          <tpl fld="4" item="48"/>
          <tpl hier="9" item="4"/>
          <tpl hier="11" item="6"/>
          <tpl hier="12" item="5"/>
          <tpl fld="1" item="0"/>
        </tpls>
      </n>
      <n v="4587100160">
        <tpls c="8">
          <tpl hier="2" item="0"/>
          <tpl hier="4" item="1"/>
          <tpl fld="2" item="7"/>
          <tpl fld="4" item="48"/>
          <tpl hier="9" item="4"/>
          <tpl hier="11" item="6"/>
          <tpl hier="12" item="5"/>
          <tpl fld="1" item="0"/>
        </tpls>
      </n>
      <n v="26789048320">
        <tpls c="8">
          <tpl hier="2" item="0"/>
          <tpl hier="4" item="1"/>
          <tpl fld="2" item="42"/>
          <tpl fld="4" item="47"/>
          <tpl hier="9" item="4"/>
          <tpl hier="11" item="6"/>
          <tpl hier="12" item="5"/>
          <tpl fld="1" item="0"/>
        </tpls>
      </n>
      <n v="12139235328">
        <tpls c="8">
          <tpl hier="2" item="0"/>
          <tpl hier="4" item="1"/>
          <tpl fld="2" item="26"/>
          <tpl fld="4" item="47"/>
          <tpl hier="9" item="4"/>
          <tpl hier="11" item="6"/>
          <tpl hier="12" item="5"/>
          <tpl fld="1" item="0"/>
        </tpls>
      </n>
      <n v="10175614976">
        <tpls c="8">
          <tpl hier="2" item="0"/>
          <tpl hier="4" item="1"/>
          <tpl fld="2" item="10"/>
          <tpl fld="4" item="47"/>
          <tpl hier="9" item="4"/>
          <tpl hier="11" item="6"/>
          <tpl hier="12" item="5"/>
          <tpl fld="1" item="0"/>
        </tpls>
      </n>
      <n v="54775996416">
        <tpls c="8">
          <tpl hier="2" item="0"/>
          <tpl hier="4" item="1"/>
          <tpl fld="2" item="45"/>
          <tpl fld="4" item="46"/>
          <tpl hier="9" item="4"/>
          <tpl hier="11" item="6"/>
          <tpl hier="12" item="5"/>
          <tpl fld="1" item="0"/>
        </tpls>
      </n>
      <n v="14195622912">
        <tpls c="8">
          <tpl hier="2" item="0"/>
          <tpl hier="4" item="1"/>
          <tpl fld="2" item="29"/>
          <tpl fld="4" item="46"/>
          <tpl hier="9" item="4"/>
          <tpl hier="11" item="6"/>
          <tpl hier="12" item="5"/>
          <tpl fld="1" item="0"/>
        </tpls>
      </n>
      <n v="3146770176">
        <tpls c="8">
          <tpl hier="2" item="0"/>
          <tpl hier="4" item="1"/>
          <tpl fld="2" item="13"/>
          <tpl fld="4" item="46"/>
          <tpl hier="9" item="4"/>
          <tpl hier="11" item="6"/>
          <tpl hier="12" item="5"/>
          <tpl fld="1" item="0"/>
        </tpls>
      </n>
      <n v="11662700544">
        <tpls c="8">
          <tpl hier="2" item="0"/>
          <tpl hier="4" item="1"/>
          <tpl fld="2" item="48"/>
          <tpl fld="4" item="45"/>
          <tpl hier="9" item="4"/>
          <tpl hier="11" item="6"/>
          <tpl hier="12" item="5"/>
          <tpl fld="1" item="0"/>
        </tpls>
      </n>
      <n v="3019993856">
        <tpls c="8">
          <tpl hier="2" item="0"/>
          <tpl hier="4" item="1"/>
          <tpl fld="2" item="32"/>
          <tpl fld="4" item="45"/>
          <tpl hier="9" item="4"/>
          <tpl hier="11" item="6"/>
          <tpl hier="12" item="5"/>
          <tpl fld="1" item="0"/>
        </tpls>
      </n>
      <n v="1849268224">
        <tpls c="8">
          <tpl hier="2" item="0"/>
          <tpl hier="4" item="1"/>
          <tpl fld="2" item="16"/>
          <tpl fld="4" item="45"/>
          <tpl hier="9" item="4"/>
          <tpl hier="11" item="6"/>
          <tpl hier="12" item="5"/>
          <tpl fld="1" item="0"/>
        </tpls>
      </n>
      <n v="274960704">
        <tpls c="8">
          <tpl hier="2" item="0"/>
          <tpl hier="4" item="1"/>
          <tpl fld="2" item="0"/>
          <tpl fld="4" item="45"/>
          <tpl hier="9" item="4"/>
          <tpl hier="11" item="6"/>
          <tpl hier="12" item="5"/>
          <tpl fld="1" item="0"/>
        </tpls>
      </n>
      <n v="11964484608">
        <tpls c="8">
          <tpl hier="2" item="0"/>
          <tpl hier="4" item="1"/>
          <tpl fld="2" item="35"/>
          <tpl fld="4" item="44"/>
          <tpl hier="9" item="4"/>
          <tpl hier="11" item="6"/>
          <tpl hier="12" item="5"/>
          <tpl fld="1" item="0"/>
        </tpls>
      </n>
      <n v="9021862912">
        <tpls c="8">
          <tpl hier="2" item="0"/>
          <tpl hier="4" item="1"/>
          <tpl fld="2" item="19"/>
          <tpl fld="4" item="44"/>
          <tpl hier="9" item="4"/>
          <tpl hier="11" item="6"/>
          <tpl hier="12" item="5"/>
          <tpl fld="1" item="0"/>
        </tpls>
      </n>
      <n v="7870239232">
        <tpls c="8">
          <tpl hier="2" item="0"/>
          <tpl hier="4" item="1"/>
          <tpl fld="2" item="3"/>
          <tpl fld="4" item="44"/>
          <tpl hier="9" item="4"/>
          <tpl hier="11" item="6"/>
          <tpl hier="12" item="5"/>
          <tpl fld="1" item="0"/>
        </tpls>
      </n>
      <n v="242186944512">
        <tpls c="8">
          <tpl hier="2" item="0"/>
          <tpl hier="4" item="1"/>
          <tpl fld="2" item="38"/>
          <tpl fld="4" item="43"/>
          <tpl hier="9" item="4"/>
          <tpl hier="11" item="6"/>
          <tpl hier="12" item="5"/>
          <tpl fld="1" item="0"/>
        </tpls>
      </n>
      <n v="58418987008">
        <tpls c="8">
          <tpl hier="2" item="0"/>
          <tpl hier="4" item="1"/>
          <tpl fld="2" item="22"/>
          <tpl fld="4" item="43"/>
          <tpl hier="9" item="4"/>
          <tpl hier="11" item="6"/>
          <tpl hier="12" item="5"/>
          <tpl fld="1" item="0"/>
        </tpls>
      </n>
      <n v="15341404160">
        <tpls c="8">
          <tpl hier="2" item="0"/>
          <tpl hier="4" item="1"/>
          <tpl fld="2" item="6"/>
          <tpl fld="4" item="43"/>
          <tpl hier="9" item="4"/>
          <tpl hier="11" item="6"/>
          <tpl hier="12" item="5"/>
          <tpl fld="1" item="0"/>
        </tpls>
      </n>
      <n v="252251996160">
        <tpls c="8">
          <tpl hier="2" item="0"/>
          <tpl hier="4" item="1"/>
          <tpl fld="2" item="41"/>
          <tpl fld="4" item="42"/>
          <tpl hier="9" item="4"/>
          <tpl hier="11" item="6"/>
          <tpl hier="12" item="5"/>
          <tpl fld="1" item="0"/>
        </tpls>
      </n>
      <n v="73447063552">
        <tpls c="8">
          <tpl hier="2" item="0"/>
          <tpl hier="4" item="1"/>
          <tpl fld="2" item="25"/>
          <tpl fld="4" item="42"/>
          <tpl hier="9" item="4"/>
          <tpl hier="11" item="6"/>
          <tpl hier="12" item="5"/>
          <tpl fld="1" item="0"/>
        </tpls>
      </n>
      <n v="15779364657508">
        <tpls c="8">
          <tpl hier="2" item="0"/>
          <tpl hier="4" item="1"/>
          <tpl fld="2" item="17"/>
          <tpl hier="6" item="2"/>
          <tpl hier="9" item="4"/>
          <tpl hier="11" item="6"/>
          <tpl hier="12" item="5"/>
          <tpl fld="1" item="0"/>
        </tpls>
      </n>
      <n v="6342116352">
        <tpls c="8">
          <tpl hier="2" item="0"/>
          <tpl hier="4" item="1"/>
          <tpl fld="2" item="32"/>
          <tpl fld="4" item="102"/>
          <tpl hier="9" item="4"/>
          <tpl hier="11" item="6"/>
          <tpl hier="12" item="5"/>
          <tpl fld="1" item="0"/>
        </tpls>
      </n>
      <n v="14056957952">
        <tpls c="8">
          <tpl hier="2" item="0"/>
          <tpl hier="4" item="1"/>
          <tpl fld="2" item="37"/>
          <tpl fld="4" item="101"/>
          <tpl hier="9" item="4"/>
          <tpl hier="11" item="6"/>
          <tpl hier="12" item="5"/>
          <tpl fld="1" item="0"/>
        </tpls>
      </n>
      <n v="51264389120">
        <tpls c="8">
          <tpl hier="2" item="0"/>
          <tpl hier="4" item="1"/>
          <tpl fld="2" item="42"/>
          <tpl fld="4" item="100"/>
          <tpl hier="9" item="4"/>
          <tpl hier="11" item="6"/>
          <tpl hier="12" item="5"/>
          <tpl fld="1" item="0"/>
        </tpls>
      </n>
      <n v="3667161344">
        <tpls c="8">
          <tpl hier="2" item="0"/>
          <tpl hier="4" item="1"/>
          <tpl fld="2" item="6"/>
          <tpl fld="4" item="100"/>
          <tpl hier="9" item="4"/>
          <tpl hier="11" item="6"/>
          <tpl hier="12" item="5"/>
          <tpl fld="1" item="0"/>
        </tpls>
      </n>
      <n v="71040016384">
        <tpls c="8">
          <tpl hier="2" item="0"/>
          <tpl hier="4" item="1"/>
          <tpl fld="2" item="11"/>
          <tpl fld="4" item="99"/>
          <tpl hier="9" item="4"/>
          <tpl hier="11" item="6"/>
          <tpl hier="12" item="5"/>
          <tpl fld="1" item="0"/>
        </tpls>
      </n>
      <n v="9018135552">
        <tpls c="8">
          <tpl hier="2" item="0"/>
          <tpl hier="4" item="1"/>
          <tpl fld="2" item="16"/>
          <tpl fld="4" item="98"/>
          <tpl hier="9" item="4"/>
          <tpl hier="11" item="6"/>
          <tpl hier="12" item="5"/>
          <tpl fld="1" item="0"/>
        </tpls>
      </n>
      <n v="8824872960">
        <tpls c="8">
          <tpl hier="2" item="0"/>
          <tpl hier="4" item="1"/>
          <tpl fld="2" item="31"/>
          <tpl fld="4" item="97"/>
          <tpl hier="9" item="4"/>
          <tpl hier="11" item="6"/>
          <tpl hier="12" item="5"/>
          <tpl fld="1" item="0"/>
        </tpls>
      </n>
      <n v="2349495552">
        <tpls c="8">
          <tpl hier="2" item="0"/>
          <tpl hier="4" item="1"/>
          <tpl fld="2" item="36"/>
          <tpl fld="4" item="96"/>
          <tpl hier="9" item="4"/>
          <tpl hier="11" item="6"/>
          <tpl hier="12" item="5"/>
          <tpl fld="1" item="0"/>
        </tpls>
      </n>
      <n v="370819137536">
        <tpls c="8">
          <tpl hier="2" item="0"/>
          <tpl hier="4" item="1"/>
          <tpl fld="2" item="41"/>
          <tpl fld="4" item="95"/>
          <tpl hier="9" item="4"/>
          <tpl hier="11" item="6"/>
          <tpl hier="12" item="5"/>
          <tpl fld="1" item="0"/>
        </tpls>
      </n>
      <n v="14882748416">
        <tpls c="8">
          <tpl hier="2" item="0"/>
          <tpl hier="4" item="1"/>
          <tpl fld="2" item="5"/>
          <tpl fld="4" item="95"/>
          <tpl hier="9" item="4"/>
          <tpl hier="11" item="6"/>
          <tpl hier="12" item="5"/>
          <tpl fld="1" item="0"/>
        </tpls>
      </n>
      <n v="542000512">
        <tpls c="8">
          <tpl hier="2" item="0"/>
          <tpl hier="4" item="1"/>
          <tpl fld="2" item="10"/>
          <tpl fld="4" item="94"/>
          <tpl hier="9" item="4"/>
          <tpl hier="11" item="6"/>
          <tpl hier="12" item="5"/>
          <tpl fld="1" item="0"/>
        </tpls>
      </n>
      <n v="873000000">
        <tpls c="8">
          <tpl hier="2" item="0"/>
          <tpl hier="4" item="1"/>
          <tpl fld="2" item="15"/>
          <tpl fld="4" item="93"/>
          <tpl hier="9" item="4"/>
          <tpl hier="11" item="6"/>
          <tpl hier="12" item="5"/>
          <tpl fld="1" item="0"/>
        </tpls>
      </n>
      <n v="12257418240">
        <tpls c="8">
          <tpl hier="2" item="0"/>
          <tpl hier="4" item="1"/>
          <tpl fld="2" item="30"/>
          <tpl fld="4" item="92"/>
          <tpl hier="9" item="4"/>
          <tpl hier="11" item="6"/>
          <tpl hier="12" item="5"/>
          <tpl fld="1" item="0"/>
        </tpls>
      </n>
      <n v="24405790720">
        <tpls c="8">
          <tpl hier="2" item="0"/>
          <tpl hier="4" item="1"/>
          <tpl fld="2" item="35"/>
          <tpl fld="4" item="91"/>
          <tpl hier="9" item="4"/>
          <tpl hier="11" item="6"/>
          <tpl hier="12" item="5"/>
          <tpl fld="1" item="0"/>
        </tpls>
      </n>
      <n v="375349444608">
        <tpls c="8">
          <tpl hier="2" item="0"/>
          <tpl hier="4" item="1"/>
          <tpl fld="2" item="40"/>
          <tpl fld="4" item="90"/>
          <tpl hier="9" item="4"/>
          <tpl hier="11" item="6"/>
          <tpl hier="12" item="5"/>
          <tpl fld="1" item="0"/>
        </tpls>
      </n>
      <n v="36807720960">
        <tpls c="8">
          <tpl hier="2" item="0"/>
          <tpl hier="4" item="1"/>
          <tpl fld="2" item="4"/>
          <tpl fld="4" item="90"/>
          <tpl hier="9" item="4"/>
          <tpl hier="11" item="6"/>
          <tpl hier="12" item="5"/>
          <tpl fld="1" item="0"/>
        </tpls>
      </n>
      <n v="1109374720">
        <tpls c="8">
          <tpl hier="2" item="0"/>
          <tpl hier="4" item="1"/>
          <tpl fld="2" item="9"/>
          <tpl fld="4" item="89"/>
          <tpl hier="9" item="4"/>
          <tpl hier="11" item="6"/>
          <tpl hier="12" item="5"/>
          <tpl fld="1" item="0"/>
        </tpls>
      </n>
      <n v="151313248">
        <tpls c="8">
          <tpl hier="2" item="0"/>
          <tpl hier="4" item="1"/>
          <tpl fld="2" item="14"/>
          <tpl fld="4" item="88"/>
          <tpl hier="9" item="4"/>
          <tpl hier="11" item="6"/>
          <tpl hier="12" item="5"/>
          <tpl fld="1" item="0"/>
        </tpls>
      </n>
      <n v="6512207872">
        <tpls c="8">
          <tpl hier="2" item="0"/>
          <tpl hier="4" item="1"/>
          <tpl fld="2" item="29"/>
          <tpl fld="4" item="87"/>
          <tpl hier="9" item="4"/>
          <tpl hier="11" item="6"/>
          <tpl hier="12" item="5"/>
          <tpl fld="1" item="0"/>
        </tpls>
      </n>
      <n v="258742140928">
        <tpls c="8">
          <tpl hier="2" item="0"/>
          <tpl hier="4" item="1"/>
          <tpl fld="2" item="34"/>
          <tpl fld="4" item="86"/>
          <tpl hier="9" item="4"/>
          <tpl hier="11" item="6"/>
          <tpl hier="12" item="5"/>
          <tpl fld="1" item="0"/>
        </tpls>
      </n>
      <n v="5694132224">
        <tpls c="8">
          <tpl hier="2" item="0"/>
          <tpl hier="4" item="1"/>
          <tpl fld="2" item="39"/>
          <tpl fld="4" item="85"/>
          <tpl hier="9" item="4"/>
          <tpl hier="11" item="6"/>
          <tpl hier="12" item="5"/>
          <tpl fld="1" item="0"/>
        </tpls>
      </n>
      <n v="290746144">
        <tpls c="8">
          <tpl hier="2" item="0"/>
          <tpl hier="4" item="1"/>
          <tpl fld="2" item="3"/>
          <tpl fld="4" item="85"/>
          <tpl hier="9" item="4"/>
          <tpl hier="11" item="6"/>
          <tpl hier="12" item="5"/>
          <tpl fld="1" item="0"/>
        </tpls>
      </n>
      <n v="11164999680">
        <tpls c="8">
          <tpl hier="2" item="0"/>
          <tpl hier="4" item="1"/>
          <tpl fld="2" item="8"/>
          <tpl fld="4" item="84"/>
          <tpl hier="9" item="4"/>
          <tpl hier="11" item="6"/>
          <tpl hier="12" item="5"/>
          <tpl fld="1" item="0"/>
        </tpls>
      </n>
      <n v="64084459520">
        <tpls c="8">
          <tpl hier="2" item="0"/>
          <tpl hier="4" item="1"/>
          <tpl fld="2" item="24"/>
          <tpl fld="4" item="83"/>
          <tpl hier="9" item="4"/>
          <tpl hier="11" item="6"/>
          <tpl hier="12" item="5"/>
          <tpl fld="1" item="0"/>
        </tpls>
      </n>
      <n v="54777552896">
        <tpls c="8">
          <tpl hier="2" item="0"/>
          <tpl hier="4" item="1"/>
          <tpl fld="2" item="32"/>
          <tpl fld="4" item="82"/>
          <tpl hier="9" item="4"/>
          <tpl hier="11" item="6"/>
          <tpl hier="12" item="5"/>
          <tpl fld="1" item="0"/>
        </tpls>
      </n>
      <n v="38145290240">
        <tpls c="8">
          <tpl hier="2" item="0"/>
          <tpl hier="4" item="1"/>
          <tpl fld="2" item="49"/>
          <tpl fld="4" item="81"/>
          <tpl hier="9" item="4"/>
          <tpl hier="11" item="6"/>
          <tpl hier="12" item="5"/>
          <tpl fld="1" item="0"/>
        </tpls>
      </n>
      <n v="3282449152">
        <tpls c="8">
          <tpl hier="2" item="0"/>
          <tpl hier="4" item="1"/>
          <tpl fld="2" item="15"/>
          <tpl fld="4" item="81"/>
          <tpl hier="9" item="4"/>
          <tpl hier="11" item="6"/>
          <tpl hier="12" item="5"/>
          <tpl fld="1" item="0"/>
        </tpls>
      </n>
      <n v="4974550528">
        <tpls c="8">
          <tpl hier="2" item="0"/>
          <tpl hier="4" item="1"/>
          <tpl fld="2" item="23"/>
          <tpl fld="4" item="80"/>
          <tpl hier="9" item="4"/>
          <tpl hier="11" item="6"/>
          <tpl hier="12" item="5"/>
          <tpl fld="1" item="0"/>
        </tpls>
      </n>
      <n v="29440299008">
        <tpls c="8">
          <tpl hier="2" item="0"/>
          <tpl hier="4" item="1"/>
          <tpl fld="2" item="40"/>
          <tpl fld="4" item="79"/>
          <tpl hier="9" item="4"/>
          <tpl hier="11" item="6"/>
          <tpl hier="12" item="5"/>
          <tpl fld="1" item="0"/>
        </tpls>
      </n>
      <n v="2588105984">
        <tpls c="8">
          <tpl hier="2" item="0"/>
          <tpl hier="4" item="1"/>
          <tpl fld="2" item="6"/>
          <tpl fld="4" item="79"/>
          <tpl hier="9" item="4"/>
          <tpl hier="11" item="6"/>
          <tpl hier="12" item="5"/>
          <tpl fld="1" item="0"/>
        </tpls>
      </n>
      <n v="51809947648">
        <tpls c="8">
          <tpl hier="2" item="0"/>
          <tpl hier="4" item="1"/>
          <tpl fld="2" item="23"/>
          <tpl fld="4" item="78"/>
          <tpl hier="9" item="4"/>
          <tpl hier="11" item="6"/>
          <tpl hier="12" item="5"/>
          <tpl fld="1" item="0"/>
        </tpls>
      </n>
      <n v="19452014592">
        <tpls c="8">
          <tpl hier="2" item="0"/>
          <tpl hier="4" item="1"/>
          <tpl fld="2" item="31"/>
          <tpl fld="4" item="77"/>
          <tpl hier="9" item="4"/>
          <tpl hier="11" item="6"/>
          <tpl hier="12" item="5"/>
          <tpl fld="1" item="0"/>
        </tpls>
      </n>
      <n v="398160396288">
        <tpls c="8">
          <tpl hier="2" item="0"/>
          <tpl hier="4" item="1"/>
          <tpl fld="2" item="48"/>
          <tpl fld="4" item="76"/>
          <tpl hier="9" item="4"/>
          <tpl hier="11" item="6"/>
          <tpl hier="12" item="5"/>
          <tpl fld="1" item="0"/>
        </tpls>
      </n>
      <n v="73484361728">
        <tpls c="8">
          <tpl hier="2" item="0"/>
          <tpl hier="4" item="1"/>
          <tpl fld="2" item="14"/>
          <tpl fld="4" item="76"/>
          <tpl hier="9" item="4"/>
          <tpl hier="11" item="6"/>
          <tpl hier="12" item="5"/>
          <tpl fld="1" item="0"/>
        </tpls>
      </n>
      <n v="3411197184">
        <tpls c="8">
          <tpl hier="2" item="0"/>
          <tpl hier="4" item="1"/>
          <tpl fld="2" item="22"/>
          <tpl fld="4" item="75"/>
          <tpl hier="9" item="4"/>
          <tpl hier="11" item="6"/>
          <tpl hier="12" item="5"/>
          <tpl fld="1" item="0"/>
        </tpls>
      </n>
      <n v="8298679808">
        <tpls c="8">
          <tpl hier="2" item="0"/>
          <tpl hier="4" item="1"/>
          <tpl fld="2" item="39"/>
          <tpl fld="4" item="74"/>
          <tpl hier="9" item="4"/>
          <tpl hier="11" item="6"/>
          <tpl hier="12" item="5"/>
          <tpl fld="1" item="0"/>
        </tpls>
      </n>
      <n v="1590428544">
        <tpls c="8">
          <tpl hier="2" item="0"/>
          <tpl hier="4" item="1"/>
          <tpl fld="2" item="5"/>
          <tpl fld="4" item="74"/>
          <tpl hier="9" item="4"/>
          <tpl hier="11" item="6"/>
          <tpl hier="12" item="5"/>
          <tpl fld="1" item="0"/>
        </tpls>
      </n>
      <n v="3401211648">
        <tpls c="8">
          <tpl hier="2" item="0"/>
          <tpl hier="4" item="1"/>
          <tpl fld="2" item="22"/>
          <tpl fld="4" item="73"/>
          <tpl hier="9" item="4"/>
          <tpl hier="11" item="6"/>
          <tpl hier="12" item="5"/>
          <tpl fld="1" item="0"/>
        </tpls>
      </n>
      <n v="38857252864">
        <tpls c="8">
          <tpl hier="2" item="0"/>
          <tpl hier="4" item="1"/>
          <tpl fld="2" item="30"/>
          <tpl fld="4" item="72"/>
          <tpl hier="9" item="4"/>
          <tpl hier="11" item="6"/>
          <tpl hier="12" item="5"/>
          <tpl fld="1" item="0"/>
        </tpls>
      </n>
      <n v="1157736169472">
        <tpls c="8">
          <tpl hier="2" item="0"/>
          <tpl hier="4" item="1"/>
          <tpl fld="2" item="47"/>
          <tpl fld="4" item="71"/>
          <tpl hier="9" item="4"/>
          <tpl hier="11" item="6"/>
          <tpl hier="12" item="5"/>
          <tpl fld="1" item="0"/>
        </tpls>
      </n>
      <n v="156159197184">
        <tpls c="8">
          <tpl hier="2" item="0"/>
          <tpl hier="4" item="1"/>
          <tpl fld="2" item="13"/>
          <tpl fld="4" item="71"/>
          <tpl hier="9" item="4"/>
          <tpl hier="11" item="6"/>
          <tpl hier="12" item="5"/>
          <tpl fld="1" item="0"/>
        </tpls>
      </n>
      <n v="2133693440">
        <tpls c="8">
          <tpl hier="2" item="0"/>
          <tpl hier="4" item="1"/>
          <tpl fld="2" item="21"/>
          <tpl fld="4" item="70"/>
          <tpl hier="9" item="4"/>
          <tpl hier="11" item="6"/>
          <tpl hier="12" item="5"/>
          <tpl fld="1" item="0"/>
        </tpls>
      </n>
      <n v="9798740992">
        <tpls c="8">
          <tpl hier="2" item="0"/>
          <tpl hier="4" item="1"/>
          <tpl fld="2" item="38"/>
          <tpl fld="4" item="69"/>
          <tpl hier="9" item="4"/>
          <tpl hier="11" item="6"/>
          <tpl hier="12" item="5"/>
          <tpl fld="1" item="0"/>
        </tpls>
      </n>
      <n v="538747264">
        <tpls c="8">
          <tpl hier="2" item="0"/>
          <tpl hier="4" item="1"/>
          <tpl fld="2" item="4"/>
          <tpl fld="4" item="69"/>
          <tpl hier="9" item="4"/>
          <tpl hier="11" item="6"/>
          <tpl hier="12" item="5"/>
          <tpl fld="1" item="0"/>
        </tpls>
      </n>
      <n v="49143148544">
        <tpls c="8">
          <tpl hier="2" item="0"/>
          <tpl hier="4" item="1"/>
          <tpl fld="2" item="21"/>
          <tpl fld="4" item="68"/>
          <tpl hier="9" item="4"/>
          <tpl hier="11" item="6"/>
          <tpl hier="12" item="5"/>
          <tpl fld="1" item="0"/>
        </tpls>
      </n>
      <n v="1775921664">
        <tpls c="8">
          <tpl hier="2" item="0"/>
          <tpl hier="4" item="1"/>
          <tpl fld="2" item="29"/>
          <tpl fld="4" item="67"/>
          <tpl hier="9" item="4"/>
          <tpl hier="11" item="6"/>
          <tpl hier="12" item="5"/>
          <tpl fld="1" item="0"/>
        </tpls>
      </n>
      <n v="11848614912">
        <tpls c="8">
          <tpl hier="2" item="0"/>
          <tpl hier="4" item="1"/>
          <tpl fld="2" item="46"/>
          <tpl fld="4" item="66"/>
          <tpl hier="9" item="4"/>
          <tpl hier="11" item="6"/>
          <tpl hier="12" item="5"/>
          <tpl fld="1" item="0"/>
        </tpls>
      </n>
      <n v="4784977408">
        <tpls c="8">
          <tpl hier="2" item="0"/>
          <tpl hier="4" item="1"/>
          <tpl fld="2" item="12"/>
          <tpl fld="4" item="66"/>
          <tpl hier="9" item="4"/>
          <tpl hier="11" item="6"/>
          <tpl hier="12" item="5"/>
          <tpl fld="1" item="0"/>
        </tpls>
      </n>
      <n v="596415104">
        <tpls c="8">
          <tpl hier="2" item="0"/>
          <tpl hier="4" item="1"/>
          <tpl fld="2" item="20"/>
          <tpl fld="4" item="65"/>
          <tpl hier="9" item="4"/>
          <tpl hier="11" item="6"/>
          <tpl hier="12" item="5"/>
          <tpl fld="1" item="0"/>
        </tpls>
      </n>
      <n v="132671744">
        <tpls c="8">
          <tpl hier="2" item="0"/>
          <tpl hier="4" item="1"/>
          <tpl fld="2" item="37"/>
          <tpl fld="4" item="64"/>
          <tpl hier="9" item="4"/>
          <tpl hier="11" item="6"/>
          <tpl hier="12" item="5"/>
          <tpl fld="1" item="0"/>
        </tpls>
      </n>
      <n v="41109616">
        <tpls c="8">
          <tpl hier="2" item="0"/>
          <tpl hier="4" item="1"/>
          <tpl fld="2" item="6"/>
          <tpl fld="4" item="64"/>
          <tpl hier="9" item="4"/>
          <tpl hier="11" item="6"/>
          <tpl hier="12" item="5"/>
          <tpl fld="1" item="0"/>
        </tpls>
      </n>
      <n v="41953431552">
        <tpls c="8">
          <tpl hier="2" item="0"/>
          <tpl hier="4" item="1"/>
          <tpl fld="2" item="41"/>
          <tpl fld="4" item="63"/>
          <tpl hier="9" item="4"/>
          <tpl hier="11" item="6"/>
          <tpl hier="12" item="5"/>
          <tpl fld="1" item="0"/>
        </tpls>
      </n>
      <n v="9046326272">
        <tpls c="8">
          <tpl hier="2" item="0"/>
          <tpl hier="4" item="1"/>
          <tpl fld="2" item="25"/>
          <tpl fld="4" item="63"/>
          <tpl hier="9" item="4"/>
          <tpl hier="11" item="6"/>
          <tpl hier="12" item="5"/>
          <tpl fld="1" item="0"/>
        </tpls>
      </n>
      <n v="6234391040">
        <tpls c="8">
          <tpl hier="2" item="0"/>
          <tpl hier="4" item="1"/>
          <tpl fld="2" item="9"/>
          <tpl fld="4" item="63"/>
          <tpl hier="9" item="4"/>
          <tpl hier="11" item="6"/>
          <tpl hier="12" item="5"/>
          <tpl fld="1" item="0"/>
        </tpls>
      </n>
      <n v="13897804800">
        <tpls c="8">
          <tpl hier="2" item="0"/>
          <tpl hier="4" item="1"/>
          <tpl fld="2" item="44"/>
          <tpl fld="4" item="62"/>
          <tpl hier="9" item="4"/>
          <tpl hier="11" item="6"/>
          <tpl hier="12" item="5"/>
          <tpl fld="1" item="0"/>
        </tpls>
      </n>
      <n v="8763219968">
        <tpls c="8">
          <tpl hier="2" item="0"/>
          <tpl hier="4" item="1"/>
          <tpl fld="2" item="28"/>
          <tpl fld="4" item="62"/>
          <tpl hier="9" item="4"/>
          <tpl hier="11" item="6"/>
          <tpl hier="12" item="5"/>
          <tpl fld="1" item="0"/>
        </tpls>
      </n>
      <n v="3293533184">
        <tpls c="8">
          <tpl hier="2" item="0"/>
          <tpl hier="4" item="1"/>
          <tpl fld="2" item="12"/>
          <tpl fld="4" item="62"/>
          <tpl hier="9" item="4"/>
          <tpl hier="11" item="6"/>
          <tpl hier="12" item="5"/>
          <tpl fld="1" item="0"/>
        </tpls>
      </n>
      <n v="195473047552">
        <tpls c="8">
          <tpl hier="2" item="0"/>
          <tpl hier="4" item="1"/>
          <tpl fld="2" item="47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31"/>
          <tpl fld="4" item="61"/>
          <tpl hier="9" item="4"/>
          <tpl hier="11" item="6"/>
          <tpl hier="12" item="5"/>
          <tpl fld="1" item="0"/>
        </tpls>
      </m>
      <n v="48284979200">
        <tpls c="8">
          <tpl hier="2" item="0"/>
          <tpl hier="4" item="1"/>
          <tpl fld="2" item="15"/>
          <tpl fld="4" item="61"/>
          <tpl hier="9" item="4"/>
          <tpl hier="11" item="6"/>
          <tpl hier="12" item="5"/>
          <tpl fld="1" item="0"/>
        </tpls>
      </n>
      <n v="37063826472960">
        <tpls c="8">
          <tpl hier="2" item="0"/>
          <tpl hier="4" item="1"/>
          <tpl hier="5" item="3"/>
          <tpl fld="4" item="60"/>
          <tpl hier="9" item="4"/>
          <tpl hier="11" item="6"/>
          <tpl hier="12" item="5"/>
          <tpl fld="1" item="0"/>
        </tpls>
      </n>
      <n v="709148540928">
        <tpls c="8">
          <tpl hier="2" item="0"/>
          <tpl hier="4" item="1"/>
          <tpl fld="2" item="34"/>
          <tpl fld="4" item="60"/>
          <tpl hier="9" item="4"/>
          <tpl hier="11" item="6"/>
          <tpl hier="12" item="5"/>
          <tpl fld="1" item="0"/>
        </tpls>
      </n>
      <n v="296589000704">
        <tpls c="8">
          <tpl hier="2" item="0"/>
          <tpl hier="4" item="1"/>
          <tpl fld="2" item="18"/>
          <tpl fld="4" item="60"/>
          <tpl hier="9" item="4"/>
          <tpl hier="11" item="6"/>
          <tpl hier="12" item="5"/>
          <tpl fld="1" item="0"/>
        </tpls>
      </n>
      <n v="71463190528">
        <tpls c="8">
          <tpl hier="2" item="0"/>
          <tpl hier="4" item="1"/>
          <tpl fld="2" item="2"/>
          <tpl fld="4" item="60"/>
          <tpl hier="9" item="4"/>
          <tpl hier="11" item="6"/>
          <tpl hier="12" item="5"/>
          <tpl fld="1" item="0"/>
        </tpls>
      </n>
      <n v="12275502080">
        <tpls c="8">
          <tpl hier="2" item="0"/>
          <tpl hier="4" item="1"/>
          <tpl fld="2" item="37"/>
          <tpl fld="4" item="59"/>
          <tpl hier="9" item="4"/>
          <tpl hier="11" item="6"/>
          <tpl hier="12" item="5"/>
          <tpl fld="1" item="0"/>
        </tpls>
      </n>
      <n v="4648668672">
        <tpls c="8">
          <tpl hier="2" item="0"/>
          <tpl hier="4" item="1"/>
          <tpl fld="2" item="21"/>
          <tpl fld="4" item="59"/>
          <tpl hier="9" item="4"/>
          <tpl hier="11" item="6"/>
          <tpl hier="12" item="5"/>
          <tpl fld="1" item="0"/>
        </tpls>
      </n>
      <n v="1124000000">
        <tpls c="8">
          <tpl hier="2" item="0"/>
          <tpl hier="4" item="1"/>
          <tpl fld="2" item="5"/>
          <tpl fld="4" item="59"/>
          <tpl hier="9" item="4"/>
          <tpl hier="11" item="6"/>
          <tpl hier="12" item="5"/>
          <tpl fld="1" item="0"/>
        </tpls>
      </n>
      <n v="6622541312">
        <tpls c="8">
          <tpl hier="2" item="0"/>
          <tpl hier="4" item="1"/>
          <tpl fld="2" item="40"/>
          <tpl fld="4" item="58"/>
          <tpl hier="9" item="4"/>
          <tpl hier="11" item="6"/>
          <tpl hier="12" item="5"/>
          <tpl fld="1" item="0"/>
        </tpls>
      </n>
      <n v="2167564288">
        <tpls c="8">
          <tpl hier="2" item="0"/>
          <tpl hier="4" item="1"/>
          <tpl fld="2" item="24"/>
          <tpl fld="4" item="58"/>
          <tpl hier="9" item="4"/>
          <tpl hier="11" item="6"/>
          <tpl hier="12" item="5"/>
          <tpl fld="1" item="0"/>
        </tpls>
      </n>
      <n v="974200000">
        <tpls c="8">
          <tpl hier="2" item="0"/>
          <tpl hier="4" item="1"/>
          <tpl fld="2" item="8"/>
          <tpl fld="4" item="58"/>
          <tpl hier="9" item="4"/>
          <tpl hier="11" item="6"/>
          <tpl hier="12" item="5"/>
          <tpl fld="1" item="0"/>
        </tpls>
      </n>
      <n v="2987684096">
        <tpls c="8">
          <tpl hier="2" item="0"/>
          <tpl hier="4" item="1"/>
          <tpl fld="2" item="43"/>
          <tpl fld="4" item="57"/>
          <tpl hier="9" item="4"/>
          <tpl hier="11" item="6"/>
          <tpl hier="12" item="5"/>
          <tpl fld="1" item="0"/>
        </tpls>
      </n>
      <n v="749137984">
        <tpls c="8">
          <tpl hier="2" item="0"/>
          <tpl hier="4" item="1"/>
          <tpl fld="2" item="27"/>
          <tpl fld="4" item="57"/>
          <tpl hier="9" item="4"/>
          <tpl hier="11" item="6"/>
          <tpl hier="12" item="5"/>
          <tpl fld="1" item="0"/>
        </tpls>
      </n>
      <n v="570357120">
        <tpls c="8">
          <tpl hier="2" item="0"/>
          <tpl hier="4" item="1"/>
          <tpl fld="2" item="11"/>
          <tpl fld="4" item="57"/>
          <tpl hier="9" item="4"/>
          <tpl hier="11" item="6"/>
          <tpl hier="12" item="5"/>
          <tpl fld="1" item="0"/>
        </tpls>
      </n>
      <n v="1178204544">
        <tpls c="8">
          <tpl hier="2" item="0"/>
          <tpl hier="4" item="1"/>
          <tpl fld="2" item="46"/>
          <tpl fld="4" item="56"/>
          <tpl hier="9" item="4"/>
          <tpl hier="11" item="6"/>
          <tpl hier="12" item="5"/>
          <tpl fld="1" item="0"/>
        </tpls>
      </n>
      <n v="370173824">
        <tpls c="8">
          <tpl hier="2" item="0"/>
          <tpl hier="4" item="1"/>
          <tpl fld="2" item="30"/>
          <tpl fld="4" item="56"/>
          <tpl hier="9" item="4"/>
          <tpl hier="11" item="6"/>
          <tpl hier="12" item="5"/>
          <tpl fld="1" item="0"/>
        </tpls>
      </n>
      <n v="138478896">
        <tpls c="8">
          <tpl hier="2" item="0"/>
          <tpl hier="4" item="1"/>
          <tpl fld="2" item="14"/>
          <tpl fld="4" item="56"/>
          <tpl hier="9" item="4"/>
          <tpl hier="11" item="6"/>
          <tpl hier="12" item="5"/>
          <tpl fld="1" item="0"/>
        </tpls>
      </n>
      <n v="76710387712">
        <tpls c="8">
          <tpl hier="2" item="0"/>
          <tpl hier="4" item="1"/>
          <tpl fld="2" item="49"/>
          <tpl fld="4" item="55"/>
          <tpl hier="9" item="4"/>
          <tpl hier="11" item="6"/>
          <tpl hier="12" item="5"/>
          <tpl fld="1" item="0"/>
        </tpls>
      </n>
      <n v="21917429760">
        <tpls c="8">
          <tpl hier="2" item="0"/>
          <tpl hier="4" item="1"/>
          <tpl fld="2" item="33"/>
          <tpl fld="4" item="55"/>
          <tpl hier="9" item="4"/>
          <tpl hier="11" item="6"/>
          <tpl hier="12" item="5"/>
          <tpl fld="1" item="0"/>
        </tpls>
      </n>
      <n v="7084399616">
        <tpls c="8">
          <tpl hier="2" item="0"/>
          <tpl hier="4" item="1"/>
          <tpl fld="2" item="17"/>
          <tpl fld="4" item="55"/>
          <tpl hier="9" item="4"/>
          <tpl hier="11" item="6"/>
          <tpl hier="12" item="5"/>
          <tpl fld="1" item="0"/>
        </tpls>
      </n>
      <n v="1984800000">
        <tpls c="8">
          <tpl hier="2" item="0"/>
          <tpl hier="4" item="1"/>
          <tpl fld="2" item="1"/>
          <tpl fld="4" item="55"/>
          <tpl hier="9" item="4"/>
          <tpl hier="11" item="6"/>
          <tpl hier="12" item="5"/>
          <tpl fld="1" item="0"/>
        </tpls>
      </n>
      <n v="20409667584">
        <tpls c="8">
          <tpl hier="2" item="0"/>
          <tpl hier="4" item="1"/>
          <tpl fld="2" item="36"/>
          <tpl fld="4" item="54"/>
          <tpl hier="9" item="4"/>
          <tpl hier="11" item="6"/>
          <tpl hier="12" item="5"/>
          <tpl fld="1" item="0"/>
        </tpls>
      </n>
      <n v="5889175040">
        <tpls c="8">
          <tpl hier="2" item="0"/>
          <tpl hier="4" item="1"/>
          <tpl fld="2" item="20"/>
          <tpl fld="4" item="54"/>
          <tpl hier="9" item="4"/>
          <tpl hier="11" item="6"/>
          <tpl hier="12" item="5"/>
          <tpl fld="1" item="0"/>
        </tpls>
      </n>
      <n v="2894409984">
        <tpls c="8">
          <tpl hier="2" item="0"/>
          <tpl hier="4" item="1"/>
          <tpl fld="2" item="4"/>
          <tpl fld="4" item="54"/>
          <tpl hier="9" item="4"/>
          <tpl hier="11" item="6"/>
          <tpl hier="12" item="5"/>
          <tpl fld="1" item="0"/>
        </tpls>
      </n>
      <n v="1450140416">
        <tpls c="8">
          <tpl hier="2" item="0"/>
          <tpl hier="4" item="1"/>
          <tpl fld="2" item="39"/>
          <tpl fld="4" item="53"/>
          <tpl hier="9" item="4"/>
          <tpl hier="11" item="6"/>
          <tpl hier="12" item="5"/>
          <tpl fld="1" item="0"/>
        </tpls>
      </n>
      <n v="13762897910146">
        <tpls c="8">
          <tpl hier="2" item="0"/>
          <tpl hier="4" item="1"/>
          <tpl fld="2" item="16"/>
          <tpl hier="6" item="2"/>
          <tpl hier="9" item="4"/>
          <tpl hier="11" item="6"/>
          <tpl hier="12" item="5"/>
          <tpl fld="1" item="0"/>
        </tpls>
      </n>
      <n v="8641481728">
        <tpls c="8">
          <tpl hier="2" item="0"/>
          <tpl hier="4" item="1"/>
          <tpl fld="2" item="21"/>
          <tpl fld="4" item="102"/>
          <tpl hier="9" item="4"/>
          <tpl hier="11" item="6"/>
          <tpl hier="12" item="5"/>
          <tpl fld="1" item="0"/>
        </tpls>
      </n>
      <n v="12756858880">
        <tpls c="8">
          <tpl hier="2" item="0"/>
          <tpl hier="4" item="1"/>
          <tpl fld="2" item="36"/>
          <tpl fld="4" item="101"/>
          <tpl hier="9" item="4"/>
          <tpl hier="11" item="6"/>
          <tpl hier="12" item="5"/>
          <tpl fld="1" item="0"/>
        </tpls>
      </n>
      <n v="47962439680">
        <tpls c="8">
          <tpl hier="2" item="0"/>
          <tpl hier="4" item="1"/>
          <tpl fld="2" item="41"/>
          <tpl fld="4" item="100"/>
          <tpl hier="9" item="4"/>
          <tpl hier="11" item="6"/>
          <tpl hier="12" item="5"/>
          <tpl fld="1" item="0"/>
        </tpls>
      </n>
      <n v="863721619456">
        <tpls c="8">
          <tpl hier="2" item="0"/>
          <tpl hier="4" item="1"/>
          <tpl fld="2" item="46"/>
          <tpl fld="4" item="99"/>
          <tpl hier="9" item="4"/>
          <tpl hier="11" item="6"/>
          <tpl hier="12" item="5"/>
          <tpl fld="1" item="0"/>
        </tpls>
      </n>
      <n v="68789288960">
        <tpls c="8">
          <tpl hier="2" item="0"/>
          <tpl hier="4" item="1"/>
          <tpl fld="2" item="10"/>
          <tpl fld="4" item="99"/>
          <tpl hier="9" item="4"/>
          <tpl hier="11" item="6"/>
          <tpl hier="12" item="5"/>
          <tpl fld="1" item="0"/>
        </tpls>
      </n>
      <n v="8410185728">
        <tpls c="8">
          <tpl hier="2" item="0"/>
          <tpl hier="4" item="1"/>
          <tpl fld="2" item="15"/>
          <tpl fld="4" item="98"/>
          <tpl hier="9" item="4"/>
          <tpl hier="11" item="6"/>
          <tpl hier="12" item="5"/>
          <tpl fld="1" item="0"/>
        </tpls>
      </n>
      <n v="5068000256">
        <tpls c="8">
          <tpl hier="2" item="0"/>
          <tpl hier="4" item="1"/>
          <tpl fld="2" item="20"/>
          <tpl fld="4" item="97"/>
          <tpl hier="9" item="4"/>
          <tpl hier="11" item="6"/>
          <tpl hier="12" item="5"/>
          <tpl fld="1" item="0"/>
        </tpls>
      </n>
      <n v="2280575744">
        <tpls c="8">
          <tpl hier="2" item="0"/>
          <tpl hier="4" item="1"/>
          <tpl fld="2" item="35"/>
          <tpl fld="4" item="96"/>
          <tpl hier="9" item="4"/>
          <tpl hier="11" item="6"/>
          <tpl hier="12" item="5"/>
          <tpl fld="1" item="0"/>
        </tpls>
      </n>
      <n v="341104820224">
        <tpls c="8">
          <tpl hier="2" item="0"/>
          <tpl hier="4" item="1"/>
          <tpl fld="2" item="40"/>
          <tpl fld="4" item="95"/>
          <tpl hier="9" item="4"/>
          <tpl hier="11" item="6"/>
          <tpl hier="12" item="5"/>
          <tpl fld="1" item="0"/>
        </tpls>
      </n>
      <n v="4073391104">
        <tpls c="8">
          <tpl hier="2" item="0"/>
          <tpl hier="4" item="1"/>
          <tpl fld="2" item="45"/>
          <tpl fld="4" item="94"/>
          <tpl hier="9" item="4"/>
          <tpl hier="11" item="6"/>
          <tpl hier="12" item="5"/>
          <tpl fld="1" item="0"/>
        </tpls>
      </n>
      <n v="412093120">
        <tpls c="8">
          <tpl hier="2" item="0"/>
          <tpl hier="4" item="1"/>
          <tpl fld="2" item="9"/>
          <tpl fld="4" item="94"/>
          <tpl hier="9" item="4"/>
          <tpl hier="11" item="6"/>
          <tpl hier="12" item="5"/>
          <tpl fld="1" item="0"/>
        </tpls>
      </n>
      <n v="864000000">
        <tpls c="8">
          <tpl hier="2" item="0"/>
          <tpl hier="4" item="1"/>
          <tpl fld="2" item="14"/>
          <tpl fld="4" item="93"/>
          <tpl hier="9" item="4"/>
          <tpl hier="11" item="6"/>
          <tpl hier="12" item="5"/>
          <tpl fld="1" item="0"/>
        </tpls>
      </n>
      <n v="15291507712">
        <tpls c="8">
          <tpl hier="2" item="0"/>
          <tpl hier="4" item="1"/>
          <tpl fld="2" item="19"/>
          <tpl fld="4" item="92"/>
          <tpl hier="9" item="4"/>
          <tpl hier="11" item="6"/>
          <tpl hier="12" item="5"/>
          <tpl fld="1" item="0"/>
        </tpls>
      </n>
      <n v="20662525952">
        <tpls c="8">
          <tpl hier="2" item="0"/>
          <tpl hier="4" item="1"/>
          <tpl fld="2" item="34"/>
          <tpl fld="4" item="91"/>
          <tpl hier="9" item="4"/>
          <tpl hier="11" item="6"/>
          <tpl hier="12" item="5"/>
          <tpl fld="1" item="0"/>
        </tpls>
      </n>
      <n v="295936491520">
        <tpls c="8">
          <tpl hier="2" item="0"/>
          <tpl hier="4" item="1"/>
          <tpl fld="2" item="39"/>
          <tpl fld="4" item="90"/>
          <tpl hier="9" item="4"/>
          <tpl hier="11" item="6"/>
          <tpl hier="12" item="5"/>
          <tpl fld="1" item="0"/>
        </tpls>
      </n>
      <n v="5015157760">
        <tpls c="8">
          <tpl hier="2" item="0"/>
          <tpl hier="4" item="1"/>
          <tpl fld="2" item="44"/>
          <tpl fld="4" item="89"/>
          <tpl hier="9" item="4"/>
          <tpl hier="11" item="6"/>
          <tpl hier="12" item="5"/>
          <tpl fld="1" item="0"/>
        </tpls>
      </n>
      <n v="960728320">
        <tpls c="8">
          <tpl hier="2" item="0"/>
          <tpl hier="4" item="1"/>
          <tpl fld="2" item="8"/>
          <tpl fld="4" item="89"/>
          <tpl hier="9" item="4"/>
          <tpl hier="11" item="6"/>
          <tpl hier="12" item="5"/>
          <tpl fld="1" item="0"/>
        </tpls>
      </n>
      <n v="146712848">
        <tpls c="8">
          <tpl hier="2" item="0"/>
          <tpl hier="4" item="1"/>
          <tpl fld="2" item="13"/>
          <tpl fld="4" item="88"/>
          <tpl hier="9" item="4"/>
          <tpl hier="11" item="6"/>
          <tpl hier="12" item="5"/>
          <tpl fld="1" item="0"/>
        </tpls>
      </n>
      <n v="6311054848">
        <tpls c="8">
          <tpl hier="2" item="0"/>
          <tpl hier="4" item="1"/>
          <tpl fld="2" item="18"/>
          <tpl fld="4" item="87"/>
          <tpl hier="9" item="4"/>
          <tpl hier="11" item="6"/>
          <tpl hier="12" item="5"/>
          <tpl fld="1" item="0"/>
        </tpls>
      </n>
      <n v="215807655936">
        <tpls c="8">
          <tpl hier="2" item="0"/>
          <tpl hier="4" item="1"/>
          <tpl fld="2" item="33"/>
          <tpl fld="4" item="86"/>
          <tpl hier="9" item="4"/>
          <tpl hier="11" item="6"/>
          <tpl hier="12" item="5"/>
          <tpl fld="1" item="0"/>
        </tpls>
      </n>
      <n v="5198063104">
        <tpls c="8">
          <tpl hier="2" item="0"/>
          <tpl hier="4" item="1"/>
          <tpl fld="2" item="38"/>
          <tpl fld="4" item="85"/>
          <tpl hier="9" item="4"/>
          <tpl hier="11" item="6"/>
          <tpl hier="12" item="5"/>
          <tpl fld="1" item="0"/>
        </tpls>
      </n>
      <n v="102450003968">
        <tpls c="8">
          <tpl hier="2" item="0"/>
          <tpl hier="4" item="1"/>
          <tpl fld="2" item="43"/>
          <tpl fld="4" item="84"/>
          <tpl hier="9" item="4"/>
          <tpl hier="11" item="6"/>
          <tpl hier="12" item="5"/>
          <tpl fld="1" item="0"/>
        </tpls>
      </n>
      <n v="9910899712">
        <tpls c="8">
          <tpl hier="2" item="0"/>
          <tpl hier="4" item="1"/>
          <tpl fld="2" item="7"/>
          <tpl fld="4" item="84"/>
          <tpl hier="9" item="4"/>
          <tpl hier="11" item="6"/>
          <tpl hier="12" item="5"/>
          <tpl fld="1" item="0"/>
        </tpls>
      </n>
      <n v="31408492544">
        <tpls c="8">
          <tpl hier="2" item="0"/>
          <tpl hier="4" item="1"/>
          <tpl fld="2" item="14"/>
          <tpl fld="4" item="83"/>
          <tpl hier="9" item="4"/>
          <tpl hier="11" item="6"/>
          <tpl hier="12" item="5"/>
          <tpl fld="1" item="0"/>
        </tpls>
      </n>
      <n v="52030156800">
        <tpls c="8">
          <tpl hier="2" item="0"/>
          <tpl hier="4" item="1"/>
          <tpl fld="2" item="31"/>
          <tpl fld="4" item="82"/>
          <tpl hier="9" item="4"/>
          <tpl hier="11" item="6"/>
          <tpl hier="12" item="5"/>
          <tpl fld="1" item="0"/>
        </tpls>
      </n>
      <n v="40384692224">
        <tpls c="8">
          <tpl hier="2" item="0"/>
          <tpl hier="4" item="1"/>
          <tpl fld="2" item="48"/>
          <tpl fld="4" item="81"/>
          <tpl hier="9" item="4"/>
          <tpl hier="11" item="6"/>
          <tpl hier="12" item="5"/>
          <tpl fld="1" item="0"/>
        </tpls>
      </n>
      <n v="4502462976">
        <tpls c="8">
          <tpl hier="2" item="0"/>
          <tpl hier="4" item="1"/>
          <tpl fld="2" item="14"/>
          <tpl fld="4" item="81"/>
          <tpl hier="9" item="4"/>
          <tpl hier="11" item="6"/>
          <tpl hier="12" item="5"/>
          <tpl fld="1" item="0"/>
        </tpls>
      </n>
      <n v="4377980416">
        <tpls c="8">
          <tpl hier="2" item="0"/>
          <tpl hier="4" item="1"/>
          <tpl fld="2" item="22"/>
          <tpl fld="4" item="80"/>
          <tpl hier="9" item="4"/>
          <tpl hier="11" item="6"/>
          <tpl hier="12" item="5"/>
          <tpl fld="1" item="0"/>
        </tpls>
      </n>
      <n v="27116636160">
        <tpls c="8">
          <tpl hier="2" item="0"/>
          <tpl hier="4" item="1"/>
          <tpl fld="2" item="39"/>
          <tpl fld="4" item="79"/>
          <tpl hier="9" item="4"/>
          <tpl hier="11" item="6"/>
          <tpl hier="12" item="5"/>
          <tpl fld="1" item="0"/>
        </tpls>
      </n>
      <n v="2435304192">
        <tpls c="8">
          <tpl hier="2" item="0"/>
          <tpl hier="4" item="1"/>
          <tpl fld="2" item="5"/>
          <tpl fld="4" item="79"/>
          <tpl hier="9" item="4"/>
          <tpl hier="11" item="6"/>
          <tpl hier="12" item="5"/>
          <tpl fld="1" item="0"/>
        </tpls>
      </n>
      <n v="28691890176">
        <tpls c="8">
          <tpl hier="2" item="0"/>
          <tpl hier="4" item="1"/>
          <tpl fld="2" item="13"/>
          <tpl fld="4" item="78"/>
          <tpl hier="9" item="4"/>
          <tpl hier="11" item="6"/>
          <tpl hier="12" item="5"/>
          <tpl fld="1" item="0"/>
        </tpls>
      </n>
      <n v="19507412992">
        <tpls c="8">
          <tpl hier="2" item="0"/>
          <tpl hier="4" item="1"/>
          <tpl fld="2" item="30"/>
          <tpl fld="4" item="77"/>
          <tpl hier="9" item="4"/>
          <tpl hier="11" item="6"/>
          <tpl hier="12" item="5"/>
          <tpl fld="1" item="0"/>
        </tpls>
      </n>
      <n v="375745478656">
        <tpls c="8">
          <tpl hier="2" item="0"/>
          <tpl hier="4" item="1"/>
          <tpl fld="2" item="47"/>
          <tpl fld="4" item="76"/>
          <tpl hier="9" item="4"/>
          <tpl hier="11" item="6"/>
          <tpl hier="12" item="5"/>
          <tpl fld="1" item="0"/>
        </tpls>
      </n>
      <n v="97094909952">
        <tpls c="8">
          <tpl hier="2" item="0"/>
          <tpl hier="4" item="1"/>
          <tpl fld="2" item="13"/>
          <tpl fld="4" item="76"/>
          <tpl hier="9" item="4"/>
          <tpl hier="11" item="6"/>
          <tpl hier="12" item="5"/>
          <tpl fld="1" item="0"/>
        </tpls>
      </n>
      <n v="3309124352">
        <tpls c="8">
          <tpl hier="2" item="0"/>
          <tpl hier="4" item="1"/>
          <tpl fld="2" item="21"/>
          <tpl fld="4" item="75"/>
          <tpl hier="9" item="4"/>
          <tpl hier="11" item="6"/>
          <tpl hier="12" item="5"/>
          <tpl fld="1" item="0"/>
        </tpls>
      </n>
      <n v="8496946688">
        <tpls c="8">
          <tpl hier="2" item="0"/>
          <tpl hier="4" item="1"/>
          <tpl fld="2" item="38"/>
          <tpl fld="4" item="74"/>
          <tpl hier="9" item="4"/>
          <tpl hier="11" item="6"/>
          <tpl hier="12" item="5"/>
          <tpl fld="1" item="0"/>
        </tpls>
      </n>
      <n v="1520900096">
        <tpls c="8">
          <tpl hier="2" item="0"/>
          <tpl hier="4" item="1"/>
          <tpl fld="2" item="4"/>
          <tpl fld="4" item="74"/>
          <tpl hier="9" item="4"/>
          <tpl hier="11" item="6"/>
          <tpl hier="12" item="5"/>
          <tpl fld="1" item="0"/>
        </tpls>
      </n>
      <n v="2395429888">
        <tpls c="8">
          <tpl hier="2" item="0"/>
          <tpl hier="4" item="1"/>
          <tpl fld="2" item="12"/>
          <tpl fld="4" item="73"/>
          <tpl hier="9" item="4"/>
          <tpl hier="11" item="6"/>
          <tpl hier="12" item="5"/>
          <tpl fld="1" item="0"/>
        </tpls>
      </n>
      <n v="41632026624">
        <tpls c="8">
          <tpl hier="2" item="0"/>
          <tpl hier="4" item="1"/>
          <tpl fld="2" item="29"/>
          <tpl fld="4" item="72"/>
          <tpl hier="9" item="4"/>
          <tpl hier="11" item="6"/>
          <tpl hier="12" item="5"/>
          <tpl fld="1" item="0"/>
        </tpls>
      </n>
      <n v="1077903622144">
        <tpls c="8">
          <tpl hier="2" item="0"/>
          <tpl hier="4" item="1"/>
          <tpl fld="2" item="46"/>
          <tpl fld="4" item="71"/>
          <tpl hier="9" item="4"/>
          <tpl hier="11" item="6"/>
          <tpl hier="12" item="5"/>
          <tpl fld="1" item="0"/>
        </tpls>
      </n>
      <n v="184609161216">
        <tpls c="8">
          <tpl hier="2" item="0"/>
          <tpl hier="4" item="1"/>
          <tpl fld="2" item="12"/>
          <tpl fld="4" item="71"/>
          <tpl hier="9" item="4"/>
          <tpl hier="11" item="6"/>
          <tpl hier="12" item="5"/>
          <tpl fld="1" item="0"/>
        </tpls>
      </n>
      <n v="1506914432">
        <tpls c="8">
          <tpl hier="2" item="0"/>
          <tpl hier="4" item="1"/>
          <tpl fld="2" item="20"/>
          <tpl fld="4" item="70"/>
          <tpl hier="9" item="4"/>
          <tpl hier="11" item="6"/>
          <tpl hier="12" item="5"/>
          <tpl fld="1" item="0"/>
        </tpls>
      </n>
      <n v="8145694720">
        <tpls c="8">
          <tpl hier="2" item="0"/>
          <tpl hier="4" item="1"/>
          <tpl fld="2" item="37"/>
          <tpl fld="4" item="69"/>
          <tpl hier="9" item="4"/>
          <tpl hier="11" item="6"/>
          <tpl hier="12" item="5"/>
          <tpl fld="1" item="0"/>
        </tpls>
      </n>
      <n v="563683648">
        <tpls c="8">
          <tpl hier="2" item="0"/>
          <tpl hier="4" item="1"/>
          <tpl fld="2" item="3"/>
          <tpl fld="4" item="69"/>
          <tpl hier="9" item="4"/>
          <tpl hier="11" item="6"/>
          <tpl hier="12" item="5"/>
          <tpl fld="1" item="0"/>
        </tpls>
      </n>
      <n v="25004556288">
        <tpls c="8">
          <tpl hier="2" item="0"/>
          <tpl hier="4" item="1"/>
          <tpl fld="2" item="11"/>
          <tpl fld="4" item="68"/>
          <tpl hier="9" item="4"/>
          <tpl hier="11" item="6"/>
          <tpl hier="12" item="5"/>
          <tpl fld="1" item="0"/>
        </tpls>
      </n>
      <n v="1750584320">
        <tpls c="8">
          <tpl hier="2" item="0"/>
          <tpl hier="4" item="1"/>
          <tpl fld="2" item="28"/>
          <tpl fld="4" item="67"/>
          <tpl hier="9" item="4"/>
          <tpl hier="11" item="6"/>
          <tpl hier="12" item="5"/>
          <tpl fld="1" item="0"/>
        </tpls>
      </n>
      <n v="11323023360">
        <tpls c="8">
          <tpl hier="2" item="0"/>
          <tpl hier="4" item="1"/>
          <tpl fld="2" item="45"/>
          <tpl fld="4" item="66"/>
          <tpl hier="9" item="4"/>
          <tpl hier="11" item="6"/>
          <tpl hier="12" item="5"/>
          <tpl fld="1" item="0"/>
        </tpls>
      </n>
      <n v="4759333888">
        <tpls c="8">
          <tpl hier="2" item="0"/>
          <tpl hier="4" item="1"/>
          <tpl fld="2" item="11"/>
          <tpl fld="4" item="66"/>
          <tpl hier="9" item="4"/>
          <tpl hier="11" item="6"/>
          <tpl hier="12" item="5"/>
          <tpl fld="1" item="0"/>
        </tpls>
      </n>
      <n v="495404896">
        <tpls c="8">
          <tpl hier="2" item="0"/>
          <tpl hier="4" item="1"/>
          <tpl fld="2" item="19"/>
          <tpl fld="4" item="65"/>
          <tpl hier="9" item="4"/>
          <tpl hier="11" item="6"/>
          <tpl hier="12" item="5"/>
          <tpl fld="1" item="0"/>
        </tpls>
      </n>
      <n v="110234936">
        <tpls c="8">
          <tpl hier="2" item="0"/>
          <tpl hier="4" item="1"/>
          <tpl fld="2" item="36"/>
          <tpl fld="4" item="64"/>
          <tpl hier="9" item="4"/>
          <tpl hier="11" item="6"/>
          <tpl hier="12" item="5"/>
          <tpl fld="1" item="0"/>
        </tpls>
      </n>
      <n v="55081816">
        <tpls c="8">
          <tpl hier="2" item="0"/>
          <tpl hier="4" item="1"/>
          <tpl fld="2" item="5"/>
          <tpl fld="4" item="64"/>
          <tpl hier="9" item="4"/>
          <tpl hier="11" item="6"/>
          <tpl hier="12" item="5"/>
          <tpl fld="1" item="0"/>
        </tpls>
      </n>
      <n v="11587743619580">
        <tpls c="8">
          <tpl hier="2" item="0"/>
          <tpl hier="4" item="1"/>
          <tpl fld="2" item="15"/>
          <tpl hier="6" item="2"/>
          <tpl hier="9" item="4"/>
          <tpl hier="11" item="6"/>
          <tpl hier="12" item="5"/>
          <tpl fld="1" item="0"/>
        </tpls>
      </n>
      <n v="8783816704">
        <tpls c="8">
          <tpl hier="2" item="0"/>
          <tpl hier="4" item="1"/>
          <tpl fld="2" item="20"/>
          <tpl fld="4" item="102"/>
          <tpl hier="9" item="4"/>
          <tpl hier="11" item="6"/>
          <tpl hier="12" item="5"/>
          <tpl fld="1" item="0"/>
        </tpls>
      </n>
      <n v="8331870208">
        <tpls c="8">
          <tpl hier="2" item="0"/>
          <tpl hier="4" item="1"/>
          <tpl fld="2" item="35"/>
          <tpl fld="4" item="101"/>
          <tpl hier="9" item="4"/>
          <tpl hier="11" item="6"/>
          <tpl hier="12" item="5"/>
          <tpl fld="1" item="0"/>
        </tpls>
      </n>
      <n v="40284483584">
        <tpls c="8">
          <tpl hier="2" item="0"/>
          <tpl hier="4" item="1"/>
          <tpl fld="2" item="40"/>
          <tpl fld="4" item="100"/>
          <tpl hier="9" item="4"/>
          <tpl hier="11" item="6"/>
          <tpl hier="12" item="5"/>
          <tpl fld="1" item="0"/>
        </tpls>
      </n>
      <n v="859796865024">
        <tpls c="8">
          <tpl hier="2" item="0"/>
          <tpl hier="4" item="1"/>
          <tpl fld="2" item="45"/>
          <tpl fld="4" item="99"/>
          <tpl hier="9" item="4"/>
          <tpl hier="11" item="6"/>
          <tpl hier="12" item="5"/>
          <tpl fld="1" item="0"/>
        </tpls>
      </n>
      <n v="89394085888">
        <tpls c="8">
          <tpl hier="2" item="0"/>
          <tpl hier="4" item="1"/>
          <tpl fld="2" item="9"/>
          <tpl fld="4" item="99"/>
          <tpl hier="9" item="4"/>
          <tpl hier="11" item="6"/>
          <tpl hier="12" item="5"/>
          <tpl fld="1" item="0"/>
        </tpls>
      </n>
      <n v="8254892032">
        <tpls c="8">
          <tpl hier="2" item="0"/>
          <tpl hier="4" item="1"/>
          <tpl fld="2" item="14"/>
          <tpl fld="4" item="98"/>
          <tpl hier="9" item="4"/>
          <tpl hier="11" item="6"/>
          <tpl hier="12" item="5"/>
          <tpl fld="1" item="0"/>
        </tpls>
      </n>
      <n v="4323058688">
        <tpls c="8">
          <tpl hier="2" item="0"/>
          <tpl hier="4" item="1"/>
          <tpl fld="2" item="19"/>
          <tpl fld="4" item="97"/>
          <tpl hier="9" item="4"/>
          <tpl hier="11" item="6"/>
          <tpl hier="12" item="5"/>
          <tpl fld="1" item="0"/>
        </tpls>
      </n>
      <n v="2255942144">
        <tpls c="8">
          <tpl hier="2" item="0"/>
          <tpl hier="4" item="1"/>
          <tpl fld="2" item="34"/>
          <tpl fld="4" item="96"/>
          <tpl hier="9" item="4"/>
          <tpl hier="11" item="6"/>
          <tpl hier="12" item="5"/>
          <tpl fld="1" item="0"/>
        </tpls>
      </n>
      <n v="281710428160">
        <tpls c="8">
          <tpl hier="2" item="0"/>
          <tpl hier="4" item="1"/>
          <tpl fld="2" item="39"/>
          <tpl fld="4" item="95"/>
          <tpl hier="9" item="4"/>
          <tpl hier="11" item="6"/>
          <tpl hier="12" item="5"/>
          <tpl fld="1" item="0"/>
        </tpls>
      </n>
      <n v="4422304768">
        <tpls c="8">
          <tpl hier="2" item="0"/>
          <tpl hier="4" item="1"/>
          <tpl fld="2" item="44"/>
          <tpl fld="4" item="94"/>
          <tpl hier="9" item="4"/>
          <tpl hier="11" item="6"/>
          <tpl hier="12" item="5"/>
          <tpl fld="1" item="0"/>
        </tpls>
      </n>
      <n v="340616384">
        <tpls c="8">
          <tpl hier="2" item="0"/>
          <tpl hier="4" item="1"/>
          <tpl fld="2" item="8"/>
          <tpl fld="4" item="94"/>
          <tpl hier="9" item="4"/>
          <tpl hier="11" item="6"/>
          <tpl hier="12" item="5"/>
          <tpl fld="1" item="0"/>
        </tpls>
      </n>
      <n v="883500032">
        <tpls c="8">
          <tpl hier="2" item="0"/>
          <tpl hier="4" item="1"/>
          <tpl fld="2" item="13"/>
          <tpl fld="4" item="93"/>
          <tpl hier="9" item="4"/>
          <tpl hier="11" item="6"/>
          <tpl hier="12" item="5"/>
          <tpl fld="1" item="0"/>
        </tpls>
      </n>
      <n v="15399166976">
        <tpls c="8">
          <tpl hier="2" item="0"/>
          <tpl hier="4" item="1"/>
          <tpl fld="2" item="18"/>
          <tpl fld="4" item="92"/>
          <tpl hier="9" item="4"/>
          <tpl hier="11" item="6"/>
          <tpl hier="12" item="5"/>
          <tpl fld="1" item="0"/>
        </tpls>
      </n>
      <n v="18881765376">
        <tpls c="8">
          <tpl hier="2" item="0"/>
          <tpl hier="4" item="1"/>
          <tpl fld="2" item="33"/>
          <tpl fld="4" item="91"/>
          <tpl hier="9" item="4"/>
          <tpl hier="11" item="6"/>
          <tpl hier="12" item="5"/>
          <tpl fld="1" item="0"/>
        </tpls>
      </n>
      <n v="286769840128">
        <tpls c="8">
          <tpl hier="2" item="0"/>
          <tpl hier="4" item="1"/>
          <tpl fld="2" item="38"/>
          <tpl fld="4" item="90"/>
          <tpl hier="9" item="4"/>
          <tpl hier="11" item="6"/>
          <tpl hier="12" item="5"/>
          <tpl fld="1" item="0"/>
        </tpls>
      </n>
      <n v="4920343040">
        <tpls c="8">
          <tpl hier="2" item="0"/>
          <tpl hier="4" item="1"/>
          <tpl fld="2" item="43"/>
          <tpl fld="4" item="89"/>
          <tpl hier="9" item="4"/>
          <tpl hier="11" item="6"/>
          <tpl hier="12" item="5"/>
          <tpl fld="1" item="0"/>
        </tpls>
      </n>
      <n v="691777728">
        <tpls c="8">
          <tpl hier="2" item="0"/>
          <tpl hier="4" item="1"/>
          <tpl fld="2" item="7"/>
          <tpl fld="4" item="89"/>
          <tpl hier="9" item="4"/>
          <tpl hier="11" item="6"/>
          <tpl hier="12" item="5"/>
          <tpl fld="1" item="0"/>
        </tpls>
      </n>
      <n v="147912064">
        <tpls c="8">
          <tpl hier="2" item="0"/>
          <tpl hier="4" item="1"/>
          <tpl fld="2" item="12"/>
          <tpl fld="4" item="88"/>
          <tpl hier="9" item="4"/>
          <tpl hier="11" item="6"/>
          <tpl hier="12" item="5"/>
          <tpl fld="1" item="0"/>
        </tpls>
      </n>
      <n v="6381385728">
        <tpls c="8">
          <tpl hier="2" item="0"/>
          <tpl hier="4" item="1"/>
          <tpl fld="2" item="17"/>
          <tpl fld="4" item="87"/>
          <tpl hier="9" item="4"/>
          <tpl hier="11" item="6"/>
          <tpl hier="12" item="5"/>
          <tpl fld="1" item="0"/>
        </tpls>
      </n>
      <n v="189605920768">
        <tpls c="8">
          <tpl hier="2" item="0"/>
          <tpl hier="4" item="1"/>
          <tpl fld="2" item="32"/>
          <tpl fld="4" item="86"/>
          <tpl hier="9" item="4"/>
          <tpl hier="11" item="6"/>
          <tpl hier="12" item="5"/>
          <tpl fld="1" item="0"/>
        </tpls>
      </n>
      <n v="4083515136">
        <tpls c="8">
          <tpl hier="2" item="0"/>
          <tpl hier="4" item="1"/>
          <tpl fld="2" item="37"/>
          <tpl fld="4" item="85"/>
          <tpl hier="9" item="4"/>
          <tpl hier="11" item="6"/>
          <tpl hier="12" item="5"/>
          <tpl fld="1" item="0"/>
        </tpls>
      </n>
      <n v="101564801024">
        <tpls c="8">
          <tpl hier="2" item="0"/>
          <tpl hier="4" item="1"/>
          <tpl fld="2" item="42"/>
          <tpl fld="4" item="84"/>
          <tpl hier="9" item="4"/>
          <tpl hier="11" item="6"/>
          <tpl hier="12" item="5"/>
          <tpl fld="1" item="0"/>
        </tpls>
      </n>
      <n v="8968599552">
        <tpls c="8">
          <tpl hier="2" item="0"/>
          <tpl hier="4" item="1"/>
          <tpl fld="2" item="6"/>
          <tpl fld="4" item="84"/>
          <tpl hier="9" item="4"/>
          <tpl hier="11" item="6"/>
          <tpl hier="12" item="5"/>
          <tpl fld="1" item="0"/>
        </tpls>
      </n>
      <n v="33212180480">
        <tpls c="8">
          <tpl hier="2" item="0"/>
          <tpl hier="4" item="1"/>
          <tpl fld="2" item="13"/>
          <tpl fld="4" item="83"/>
          <tpl hier="9" item="4"/>
          <tpl hier="11" item="6"/>
          <tpl hier="12" item="5"/>
          <tpl fld="1" item="0"/>
        </tpls>
      </n>
      <n v="51744747520">
        <tpls c="8">
          <tpl hier="2" item="0"/>
          <tpl hier="4" item="1"/>
          <tpl fld="2" item="30"/>
          <tpl fld="4" item="82"/>
          <tpl hier="9" item="4"/>
          <tpl hier="11" item="6"/>
          <tpl hier="12" item="5"/>
          <tpl fld="1" item="0"/>
        </tpls>
      </n>
      <n v="39008899072">
        <tpls c="8">
          <tpl hier="2" item="0"/>
          <tpl hier="4" item="1"/>
          <tpl fld="2" item="47"/>
          <tpl fld="4" item="81"/>
          <tpl hier="9" item="4"/>
          <tpl hier="11" item="6"/>
          <tpl hier="12" item="5"/>
          <tpl fld="1" item="0"/>
        </tpls>
      </n>
      <n v="1333475456">
        <tpls c="8">
          <tpl hier="2" item="0"/>
          <tpl hier="4" item="1"/>
          <tpl fld="2" item="4"/>
          <tpl fld="4" item="81"/>
          <tpl hier="9" item="4"/>
          <tpl hier="11" item="6"/>
          <tpl hier="12" item="5"/>
          <tpl fld="1" item="0"/>
        </tpls>
      </n>
      <n v="3787395072">
        <tpls c="8">
          <tpl hier="2" item="0"/>
          <tpl hier="4" item="1"/>
          <tpl fld="2" item="21"/>
          <tpl fld="4" item="80"/>
          <tpl hier="9" item="4"/>
          <tpl hier="11" item="6"/>
          <tpl hier="12" item="5"/>
          <tpl fld="1" item="0"/>
        </tpls>
      </n>
      <n v="25155889152">
        <tpls c="8">
          <tpl hier="2" item="0"/>
          <tpl hier="4" item="1"/>
          <tpl fld="2" item="38"/>
          <tpl fld="4" item="79"/>
          <tpl hier="9" item="4"/>
          <tpl hier="11" item="6"/>
          <tpl hier="12" item="5"/>
          <tpl fld="1" item="0"/>
        </tpls>
      </n>
      <n v="2188307712">
        <tpls c="8">
          <tpl hier="2" item="0"/>
          <tpl hier="4" item="1"/>
          <tpl fld="2" item="4"/>
          <tpl fld="4" item="79"/>
          <tpl hier="9" item="4"/>
          <tpl hier="11" item="6"/>
          <tpl hier="12" item="5"/>
          <tpl fld="1" item="0"/>
        </tpls>
      </n>
      <n v="30725971968">
        <tpls c="8">
          <tpl hier="2" item="0"/>
          <tpl hier="4" item="1"/>
          <tpl fld="2" item="12"/>
          <tpl fld="4" item="78"/>
          <tpl hier="9" item="4"/>
          <tpl hier="11" item="6"/>
          <tpl hier="12" item="5"/>
          <tpl fld="1" item="0"/>
        </tpls>
      </n>
      <n v="15710148608">
        <tpls c="8">
          <tpl hier="2" item="0"/>
          <tpl hier="4" item="1"/>
          <tpl fld="2" item="29"/>
          <tpl fld="4" item="77"/>
          <tpl hier="9" item="4"/>
          <tpl hier="11" item="6"/>
          <tpl hier="12" item="5"/>
          <tpl fld="1" item="0"/>
        </tpls>
      </n>
      <n v="404649541632">
        <tpls c="8">
          <tpl hier="2" item="0"/>
          <tpl hier="4" item="1"/>
          <tpl fld="2" item="46"/>
          <tpl fld="4" item="76"/>
          <tpl hier="9" item="4"/>
          <tpl hier="11" item="6"/>
          <tpl hier="12" item="5"/>
          <tpl fld="1" item="0"/>
        </tpls>
      </n>
      <n v="15162870784">
        <tpls c="8">
          <tpl hier="2" item="0"/>
          <tpl hier="4" item="1"/>
          <tpl fld="2" item="3"/>
          <tpl fld="4" item="76"/>
          <tpl hier="9" item="4"/>
          <tpl hier="11" item="6"/>
          <tpl hier="12" item="5"/>
          <tpl fld="1" item="0"/>
        </tpls>
      </n>
      <n v="3536335104">
        <tpls c="8">
          <tpl hier="2" item="0"/>
          <tpl hier="4" item="1"/>
          <tpl fld="2" item="20"/>
          <tpl fld="4" item="75"/>
          <tpl hier="9" item="4"/>
          <tpl hier="11" item="6"/>
          <tpl hier="12" item="5"/>
          <tpl fld="1" item="0"/>
        </tpls>
      </n>
      <n v="7423367680">
        <tpls c="8">
          <tpl hier="2" item="0"/>
          <tpl hier="4" item="1"/>
          <tpl fld="2" item="37"/>
          <tpl fld="4" item="74"/>
          <tpl hier="9" item="4"/>
          <tpl hier="11" item="6"/>
          <tpl hier="12" item="5"/>
          <tpl fld="1" item="0"/>
        </tpls>
      </n>
      <n v="1093571456">
        <tpls c="8">
          <tpl hier="2" item="0"/>
          <tpl hier="4" item="1"/>
          <tpl fld="2" item="3"/>
          <tpl fld="4" item="74"/>
          <tpl hier="9" item="4"/>
          <tpl hier="11" item="6"/>
          <tpl hier="12" item="5"/>
          <tpl fld="1" item="0"/>
        </tpls>
      </n>
      <n v="2275583232">
        <tpls c="8">
          <tpl hier="2" item="0"/>
          <tpl hier="4" item="1"/>
          <tpl fld="2" item="11"/>
          <tpl fld="4" item="73"/>
          <tpl hier="9" item="4"/>
          <tpl hier="11" item="6"/>
          <tpl hier="12" item="5"/>
          <tpl fld="1" item="0"/>
        </tpls>
      </n>
      <n v="41806221312">
        <tpls c="8">
          <tpl hier="2" item="0"/>
          <tpl hier="4" item="1"/>
          <tpl fld="2" item="28"/>
          <tpl fld="4" item="72"/>
          <tpl hier="9" item="4"/>
          <tpl hier="11" item="6"/>
          <tpl hier="12" item="5"/>
          <tpl fld="1" item="0"/>
        </tpls>
      </n>
      <n v="1170564579328">
        <tpls c="8">
          <tpl hier="2" item="0"/>
          <tpl hier="4" item="1"/>
          <tpl fld="2" item="45"/>
          <tpl fld="4" item="71"/>
          <tpl hier="9" item="4"/>
          <tpl hier="11" item="6"/>
          <tpl hier="12" item="5"/>
          <tpl fld="1" item="0"/>
        </tpls>
      </n>
      <n v="45199998976">
        <tpls c="8">
          <tpl hier="2" item="0"/>
          <tpl hier="4" item="1"/>
          <tpl fld="2" item="2"/>
          <tpl fld="4" item="71"/>
          <tpl hier="9" item="4"/>
          <tpl hier="11" item="6"/>
          <tpl hier="12" item="5"/>
          <tpl fld="1" item="0"/>
        </tpls>
      </n>
      <n v="1450647040">
        <tpls c="8">
          <tpl hier="2" item="0"/>
          <tpl hier="4" item="1"/>
          <tpl fld="2" item="19"/>
          <tpl fld="4" item="70"/>
          <tpl hier="9" item="4"/>
          <tpl hier="11" item="6"/>
          <tpl hier="12" item="5"/>
          <tpl fld="1" item="0"/>
        </tpls>
      </n>
      <n v="6905876480">
        <tpls c="8">
          <tpl hier="2" item="0"/>
          <tpl hier="4" item="1"/>
          <tpl fld="2" item="36"/>
          <tpl fld="4" item="69"/>
          <tpl hier="9" item="4"/>
          <tpl hier="11" item="6"/>
          <tpl hier="12" item="5"/>
          <tpl fld="1" item="0"/>
        </tpls>
      </n>
      <n v="486617344">
        <tpls c="8">
          <tpl hier="2" item="0"/>
          <tpl hier="4" item="1"/>
          <tpl fld="2" item="2"/>
          <tpl fld="4" item="69"/>
          <tpl hier="9" item="4"/>
          <tpl hier="11" item="6"/>
          <tpl hier="12" item="5"/>
          <tpl fld="1" item="0"/>
        </tpls>
      </n>
      <n v="24488034304">
        <tpls c="8">
          <tpl hier="2" item="0"/>
          <tpl hier="4" item="1"/>
          <tpl fld="2" item="10"/>
          <tpl fld="4" item="68"/>
          <tpl hier="9" item="4"/>
          <tpl hier="11" item="6"/>
          <tpl hier="12" item="5"/>
          <tpl fld="1" item="0"/>
        </tpls>
      </n>
      <n v="2663234816">
        <tpls c="8">
          <tpl hier="2" item="0"/>
          <tpl hier="4" item="1"/>
          <tpl fld="2" item="27"/>
          <tpl fld="4" item="67"/>
          <tpl hier="9" item="4"/>
          <tpl hier="11" item="6"/>
          <tpl hier="12" item="5"/>
          <tpl fld="1" item="0"/>
        </tpls>
      </n>
      <n v="12522958848">
        <tpls c="8">
          <tpl hier="2" item="0"/>
          <tpl hier="4" item="1"/>
          <tpl fld="2" item="44"/>
          <tpl fld="4" item="66"/>
          <tpl hier="9" item="4"/>
          <tpl hier="11" item="6"/>
          <tpl hier="12" item="5"/>
          <tpl fld="1" item="0"/>
        </tpls>
      </n>
      <n v="1199507584">
        <tpls c="8">
          <tpl hier="2" item="0"/>
          <tpl hier="4" item="1"/>
          <tpl fld="2" item="1"/>
          <tpl fld="4" item="66"/>
          <tpl hier="9" item="4"/>
          <tpl hier="11" item="6"/>
          <tpl hier="12" item="5"/>
          <tpl fld="1" item="0"/>
        </tpls>
      </n>
      <n v="470389184">
        <tpls c="8">
          <tpl hier="2" item="0"/>
          <tpl hier="4" item="1"/>
          <tpl fld="2" item="18"/>
          <tpl fld="4" item="65"/>
          <tpl hier="9" item="4"/>
          <tpl hier="11" item="6"/>
          <tpl hier="12" item="5"/>
          <tpl fld="1" item="0"/>
        </tpls>
      </n>
      <n v="112133944">
        <tpls c="8">
          <tpl hier="2" item="0"/>
          <tpl hier="4" item="1"/>
          <tpl fld="2" item="35"/>
          <tpl fld="4" item="64"/>
          <tpl hier="9" item="4"/>
          <tpl hier="11" item="6"/>
          <tpl hier="12" item="5"/>
          <tpl fld="1" item="0"/>
        </tpls>
      </n>
      <n v="11030075490096">
        <tpls c="8">
          <tpl hier="2" item="0"/>
          <tpl hier="4" item="1"/>
          <tpl fld="2" item="14"/>
          <tpl hier="6" item="2"/>
          <tpl hier="9" item="4"/>
          <tpl hier="11" item="6"/>
          <tpl hier="12" item="5"/>
          <tpl fld="1" item="0"/>
        </tpls>
      </n>
      <n v="8286322688">
        <tpls c="8">
          <tpl hier="2" item="0"/>
          <tpl hier="4" item="1"/>
          <tpl fld="2" item="19"/>
          <tpl fld="4" item="102"/>
          <tpl hier="9" item="4"/>
          <tpl hier="11" item="6"/>
          <tpl hier="12" item="5"/>
          <tpl fld="1" item="0"/>
        </tpls>
      </n>
      <n v="3656647680">
        <tpls c="8">
          <tpl hier="2" item="0"/>
          <tpl hier="4" item="1"/>
          <tpl fld="2" item="24"/>
          <tpl fld="4" item="101"/>
          <tpl hier="9" item="4"/>
          <tpl hier="11" item="6"/>
          <tpl hier="12" item="5"/>
          <tpl fld="1" item="0"/>
        </tpls>
      </n>
      <n v="31660910592">
        <tpls c="8">
          <tpl hier="2" item="0"/>
          <tpl hier="4" item="1"/>
          <tpl fld="2" item="39"/>
          <tpl fld="4" item="100"/>
          <tpl hier="9" item="4"/>
          <tpl hier="11" item="6"/>
          <tpl hier="12" item="5"/>
          <tpl fld="1" item="0"/>
        </tpls>
      </n>
      <n v="934185926656">
        <tpls c="8">
          <tpl hier="2" item="0"/>
          <tpl hier="4" item="1"/>
          <tpl fld="2" item="44"/>
          <tpl fld="4" item="99"/>
          <tpl hier="9" item="4"/>
          <tpl hier="11" item="6"/>
          <tpl hier="12" item="5"/>
          <tpl fld="1" item="0"/>
        </tpls>
      </n>
      <n v="38797709312">
        <tpls c="8">
          <tpl hier="2" item="0"/>
          <tpl hier="4" item="1"/>
          <tpl fld="2" item="49"/>
          <tpl fld="4" item="98"/>
          <tpl hier="9" item="4"/>
          <tpl hier="11" item="6"/>
          <tpl hier="12" item="5"/>
          <tpl fld="1" item="0"/>
        </tpls>
      </n>
      <n v="8350176768">
        <tpls c="8">
          <tpl hier="2" item="0"/>
          <tpl hier="4" item="1"/>
          <tpl fld="2" item="13"/>
          <tpl fld="4" item="98"/>
          <tpl hier="9" item="4"/>
          <tpl hier="11" item="6"/>
          <tpl hier="12" item="5"/>
          <tpl fld="1" item="0"/>
        </tpls>
      </n>
      <n v="4496851968">
        <tpls c="8">
          <tpl hier="2" item="0"/>
          <tpl hier="4" item="1"/>
          <tpl fld="2" item="18"/>
          <tpl fld="4" item="97"/>
          <tpl hier="9" item="4"/>
          <tpl hier="11" item="6"/>
          <tpl hier="12" item="5"/>
          <tpl fld="1" item="0"/>
        </tpls>
      </n>
      <n v="1233496832">
        <tpls c="8">
          <tpl hier="2" item="0"/>
          <tpl hier="4" item="1"/>
          <tpl fld="2" item="23"/>
          <tpl fld="4" item="96"/>
          <tpl hier="9" item="4"/>
          <tpl hier="11" item="6"/>
          <tpl hier="12" item="5"/>
          <tpl fld="1" item="0"/>
        </tpls>
      </n>
      <n v="291382984704">
        <tpls c="8">
          <tpl hier="2" item="0"/>
          <tpl hier="4" item="1"/>
          <tpl fld="2" item="38"/>
          <tpl fld="4" item="95"/>
          <tpl hier="9" item="4"/>
          <tpl hier="11" item="6"/>
          <tpl hier="12" item="5"/>
          <tpl fld="1" item="0"/>
        </tpls>
      </n>
      <n v="4597702656">
        <tpls c="8">
          <tpl hier="2" item="0"/>
          <tpl hier="4" item="1"/>
          <tpl fld="2" item="43"/>
          <tpl fld="4" item="94"/>
          <tpl hier="9" item="4"/>
          <tpl hier="11" item="6"/>
          <tpl hier="12" item="5"/>
          <tpl fld="1" item="0"/>
        </tpls>
      </n>
      <n v="3458090496">
        <tpls c="8">
          <tpl hier="2" item="0"/>
          <tpl hier="4" item="1"/>
          <tpl fld="2" item="48"/>
          <tpl fld="4" item="93"/>
          <tpl hier="9" item="4"/>
          <tpl hier="11" item="6"/>
          <tpl hier="12" item="5"/>
          <tpl fld="1" item="0"/>
        </tpls>
      </n>
      <n v="915000000">
        <tpls c="8">
          <tpl hier="2" item="0"/>
          <tpl hier="4" item="1"/>
          <tpl fld="2" item="12"/>
          <tpl fld="4" item="93"/>
          <tpl hier="9" item="4"/>
          <tpl hier="11" item="6"/>
          <tpl hier="12" item="5"/>
          <tpl fld="1" item="0"/>
        </tpls>
      </n>
      <n v="20155555840">
        <tpls c="8">
          <tpl hier="2" item="0"/>
          <tpl hier="4" item="1"/>
          <tpl fld="2" item="17"/>
          <tpl fld="4" item="92"/>
          <tpl hier="9" item="4"/>
          <tpl hier="11" item="6"/>
          <tpl hier="12" item="5"/>
          <tpl fld="1" item="0"/>
        </tpls>
      </n>
      <n v="9703011328">
        <tpls c="8">
          <tpl hier="2" item="0"/>
          <tpl hier="4" item="1"/>
          <tpl fld="2" item="22"/>
          <tpl fld="4" item="91"/>
          <tpl hier="9" item="4"/>
          <tpl hier="11" item="6"/>
          <tpl hier="12" item="5"/>
          <tpl fld="1" item="0"/>
        </tpls>
      </n>
      <n v="299415502848">
        <tpls c="8">
          <tpl hier="2" item="0"/>
          <tpl hier="4" item="1"/>
          <tpl fld="2" item="37"/>
          <tpl fld="4" item="90"/>
          <tpl hier="9" item="4"/>
          <tpl hier="11" item="6"/>
          <tpl hier="12" item="5"/>
          <tpl fld="1" item="0"/>
        </tpls>
      </n>
      <n v="3801862656">
        <tpls c="8">
          <tpl hier="2" item="0"/>
          <tpl hier="4" item="1"/>
          <tpl fld="2" item="42"/>
          <tpl fld="4" item="89"/>
          <tpl hier="9" item="4"/>
          <tpl hier="11" item="6"/>
          <tpl hier="12" item="5"/>
          <tpl fld="1" item="0"/>
        </tpls>
      </n>
      <n v="1524486784">
        <tpls c="8">
          <tpl hier="2" item="0"/>
          <tpl hier="4" item="1"/>
          <tpl fld="2" item="47"/>
          <tpl fld="4" item="88"/>
          <tpl hier="9" item="4"/>
          <tpl hier="11" item="6"/>
          <tpl hier="12" item="5"/>
          <tpl fld="1" item="0"/>
        </tpls>
      </n>
      <n v="154902864">
        <tpls c="8">
          <tpl hier="2" item="0"/>
          <tpl hier="4" item="1"/>
          <tpl fld="2" item="11"/>
          <tpl fld="4" item="88"/>
          <tpl hier="9" item="4"/>
          <tpl hier="11" item="6"/>
          <tpl hier="12" item="5"/>
          <tpl fld="1" item="0"/>
        </tpls>
      </n>
      <n v="5304238080">
        <tpls c="8">
          <tpl hier="2" item="0"/>
          <tpl hier="4" item="1"/>
          <tpl fld="2" item="16"/>
          <tpl fld="4" item="87"/>
          <tpl hier="9" item="4"/>
          <tpl hier="11" item="6"/>
          <tpl hier="12" item="5"/>
          <tpl fld="1" item="0"/>
        </tpls>
      </n>
      <n v="132223270912">
        <tpls c="8">
          <tpl hier="2" item="0"/>
          <tpl hier="4" item="1"/>
          <tpl fld="2" item="21"/>
          <tpl fld="4" item="86"/>
          <tpl hier="9" item="4"/>
          <tpl hier="11" item="6"/>
          <tpl hier="12" item="5"/>
          <tpl fld="1" item="0"/>
        </tpls>
      </n>
      <n v="3330198784">
        <tpls c="8">
          <tpl hier="2" item="0"/>
          <tpl hier="4" item="1"/>
          <tpl fld="2" item="36"/>
          <tpl fld="4" item="85"/>
          <tpl hier="9" item="4"/>
          <tpl hier="11" item="6"/>
          <tpl hier="12" item="5"/>
          <tpl fld="1" item="0"/>
        </tpls>
      </n>
      <n v="100351696896">
        <tpls c="8">
          <tpl hier="2" item="0"/>
          <tpl hier="4" item="1"/>
          <tpl fld="2" item="41"/>
          <tpl fld="4" item="84"/>
          <tpl hier="9" item="4"/>
          <tpl hier="11" item="6"/>
          <tpl hier="12" item="5"/>
          <tpl fld="1" item="0"/>
        </tpls>
      </n>
      <n v="318626988032">
        <tpls c="8">
          <tpl hier="2" item="0"/>
          <tpl hier="4" item="1"/>
          <tpl fld="2" item="46"/>
          <tpl fld="4" item="83"/>
          <tpl hier="9" item="4"/>
          <tpl hier="11" item="6"/>
          <tpl hier="12" item="5"/>
          <tpl fld="1" item="0"/>
        </tpls>
      </n>
      <n v="37140164608">
        <tpls c="8">
          <tpl hier="2" item="0"/>
          <tpl hier="4" item="1"/>
          <tpl fld="2" item="12"/>
          <tpl fld="4" item="83"/>
          <tpl hier="9" item="4"/>
          <tpl hier="11" item="6"/>
          <tpl hier="12" item="5"/>
          <tpl fld="1" item="0"/>
        </tpls>
      </n>
      <n v="50187325440">
        <tpls c="8">
          <tpl hier="2" item="0"/>
          <tpl hier="4" item="1"/>
          <tpl fld="2" item="29"/>
          <tpl fld="4" item="82"/>
          <tpl hier="9" item="4"/>
          <tpl hier="11" item="6"/>
          <tpl hier="12" item="5"/>
          <tpl fld="1" item="0"/>
        </tpls>
      </n>
      <n v="36054282240">
        <tpls c="8">
          <tpl hier="2" item="0"/>
          <tpl hier="4" item="1"/>
          <tpl fld="2" item="46"/>
          <tpl fld="4" item="81"/>
          <tpl hier="9" item="4"/>
          <tpl hier="11" item="6"/>
          <tpl hier="12" item="5"/>
          <tpl fld="1" item="0"/>
        </tpls>
      </n>
      <n v="995531776">
        <tpls c="8">
          <tpl hier="2" item="0"/>
          <tpl hier="4" item="1"/>
          <tpl fld="2" item="3"/>
          <tpl fld="4" item="81"/>
          <tpl hier="9" item="4"/>
          <tpl hier="11" item="6"/>
          <tpl hier="12" item="5"/>
          <tpl fld="1" item="0"/>
        </tpls>
      </n>
      <n v="3219730432">
        <tpls c="8">
          <tpl hier="2" item="0"/>
          <tpl hier="4" item="1"/>
          <tpl fld="2" item="20"/>
          <tpl fld="4" item="80"/>
          <tpl hier="9" item="4"/>
          <tpl hier="11" item="6"/>
          <tpl hier="12" item="5"/>
          <tpl fld="1" item="0"/>
        </tpls>
      </n>
      <n v="21295984640">
        <tpls c="8">
          <tpl hier="2" item="0"/>
          <tpl hier="4" item="1"/>
          <tpl fld="2" item="37"/>
          <tpl fld="4" item="79"/>
          <tpl hier="9" item="4"/>
          <tpl hier="11" item="6"/>
          <tpl hier="12" item="5"/>
          <tpl fld="1" item="0"/>
        </tpls>
      </n>
      <n v="270556135424">
        <tpls c="8">
          <tpl hier="2" item="0"/>
          <tpl hier="4" item="1"/>
          <tpl fld="2" item="45"/>
          <tpl fld="4" item="78"/>
          <tpl hier="9" item="4"/>
          <tpl hier="11" item="6"/>
          <tpl hier="12" item="5"/>
          <tpl fld="1" item="0"/>
        </tpls>
      </n>
      <n v="28100605952">
        <tpls c="8">
          <tpl hier="2" item="0"/>
          <tpl hier="4" item="1"/>
          <tpl fld="2" item="11"/>
          <tpl fld="4" item="78"/>
          <tpl hier="9" item="4"/>
          <tpl hier="11" item="6"/>
          <tpl hier="12" item="5"/>
          <tpl fld="1" item="0"/>
        </tpls>
      </n>
      <n v="14085372928">
        <tpls c="8">
          <tpl hier="2" item="0"/>
          <tpl hier="4" item="1"/>
          <tpl fld="2" item="28"/>
          <tpl fld="4" item="77"/>
          <tpl hier="9" item="4"/>
          <tpl hier="11" item="6"/>
          <tpl hier="12" item="5"/>
          <tpl fld="1" item="0"/>
        </tpls>
      </n>
      <n v="494583185408">
        <tpls c="8">
          <tpl hier="2" item="0"/>
          <tpl hier="4" item="1"/>
          <tpl fld="2" item="45"/>
          <tpl fld="4" item="76"/>
          <tpl hier="9" item="4"/>
          <tpl hier="11" item="6"/>
          <tpl hier="12" item="5"/>
          <tpl fld="1" item="0"/>
        </tpls>
      </n>
      <n v="12274415616">
        <tpls c="8">
          <tpl hier="2" item="0"/>
          <tpl hier="4" item="1"/>
          <tpl fld="2" item="2"/>
          <tpl fld="4" item="76"/>
          <tpl hier="9" item="4"/>
          <tpl hier="11" item="6"/>
          <tpl hier="12" item="5"/>
          <tpl fld="1" item="0"/>
        </tpls>
      </n>
      <n v="2179567104">
        <tpls c="8">
          <tpl hier="2" item="0"/>
          <tpl hier="4" item="1"/>
          <tpl fld="2" item="19"/>
          <tpl fld="4" item="75"/>
          <tpl hier="9" item="4"/>
          <tpl hier="11" item="6"/>
          <tpl hier="12" item="5"/>
          <tpl fld="1" item="0"/>
        </tpls>
      </n>
      <n v="6763418624">
        <tpls c="8">
          <tpl hier="2" item="0"/>
          <tpl hier="4" item="1"/>
          <tpl fld="2" item="36"/>
          <tpl fld="4" item="74"/>
          <tpl hier="9" item="4"/>
          <tpl hier="11" item="6"/>
          <tpl hier="12" item="5"/>
          <tpl fld="1" item="0"/>
        </tpls>
      </n>
      <n v="20002969600">
        <tpls c="8">
          <tpl hier="2" item="0"/>
          <tpl hier="4" item="1"/>
          <tpl fld="2" item="44"/>
          <tpl fld="4" item="73"/>
          <tpl hier="9" item="4"/>
          <tpl hier="11" item="6"/>
          <tpl hier="12" item="5"/>
          <tpl fld="1" item="0"/>
        </tpls>
      </n>
      <n v="1945916544">
        <tpls c="8">
          <tpl hier="2" item="0"/>
          <tpl hier="4" item="1"/>
          <tpl fld="2" item="10"/>
          <tpl fld="4" item="73"/>
          <tpl hier="9" item="4"/>
          <tpl hier="11" item="6"/>
          <tpl hier="12" item="5"/>
          <tpl fld="1" item="0"/>
        </tpls>
      </n>
      <n v="39147843584">
        <tpls c="8">
          <tpl hier="2" item="0"/>
          <tpl hier="4" item="1"/>
          <tpl fld="2" item="27"/>
          <tpl fld="4" item="72"/>
          <tpl hier="9" item="4"/>
          <tpl hier="11" item="6"/>
          <tpl hier="12" item="5"/>
          <tpl fld="1" item="0"/>
        </tpls>
      </n>
      <n v="1314563948544">
        <tpls c="8">
          <tpl hier="2" item="0"/>
          <tpl hier="4" item="1"/>
          <tpl fld="2" item="44"/>
          <tpl fld="4" item="71"/>
          <tpl hier="9" item="4"/>
          <tpl hier="11" item="6"/>
          <tpl hier="12" item="5"/>
          <tpl fld="1" item="0"/>
        </tpls>
      </n>
      <n v="39199997952">
        <tpls c="8">
          <tpl hier="2" item="0"/>
          <tpl hier="4" item="1"/>
          <tpl fld="2" item="1"/>
          <tpl fld="4" item="71"/>
          <tpl hier="9" item="4"/>
          <tpl hier="11" item="6"/>
          <tpl hier="12" item="5"/>
          <tpl fld="1" item="0"/>
        </tpls>
      </n>
      <n v="1414951808">
        <tpls c="8">
          <tpl hier="2" item="0"/>
          <tpl hier="4" item="1"/>
          <tpl fld="2" item="18"/>
          <tpl fld="4" item="70"/>
          <tpl hier="9" item="4"/>
          <tpl hier="11" item="6"/>
          <tpl hier="12" item="5"/>
          <tpl fld="1" item="0"/>
        </tpls>
      </n>
      <n v="6247496704">
        <tpls c="8">
          <tpl hier="2" item="0"/>
          <tpl hier="4" item="1"/>
          <tpl fld="2" item="35"/>
          <tpl fld="4" item="69"/>
          <tpl hier="9" item="4"/>
          <tpl hier="11" item="6"/>
          <tpl hier="12" item="5"/>
          <tpl fld="1" item="0"/>
        </tpls>
      </n>
      <n v="323277160448">
        <tpls c="8">
          <tpl hier="2" item="0"/>
          <tpl hier="4" item="1"/>
          <tpl fld="2" item="43"/>
          <tpl fld="4" item="68"/>
          <tpl hier="9" item="4"/>
          <tpl hier="11" item="6"/>
          <tpl hier="12" item="5"/>
          <tpl fld="1" item="0"/>
        </tpls>
      </n>
      <n v="21213671424">
        <tpls c="8">
          <tpl hier="2" item="0"/>
          <tpl hier="4" item="1"/>
          <tpl fld="2" item="9"/>
          <tpl fld="4" item="68"/>
          <tpl hier="9" item="4"/>
          <tpl hier="11" item="6"/>
          <tpl hier="12" item="5"/>
          <tpl fld="1" item="0"/>
        </tpls>
      </n>
      <n v="2281034240">
        <tpls c="8">
          <tpl hier="2" item="0"/>
          <tpl hier="4" item="1"/>
          <tpl fld="2" item="26"/>
          <tpl fld="4" item="67"/>
          <tpl hier="9" item="4"/>
          <tpl hier="11" item="6"/>
          <tpl hier="12" item="5"/>
          <tpl fld="1" item="0"/>
        </tpls>
      </n>
      <n v="12423558144">
        <tpls c="8">
          <tpl hier="2" item="0"/>
          <tpl hier="4" item="1"/>
          <tpl fld="2" item="43"/>
          <tpl fld="4" item="66"/>
          <tpl hier="9" item="4"/>
          <tpl hier="11" item="6"/>
          <tpl hier="12" item="5"/>
          <tpl fld="1" item="0"/>
        </tpls>
      </n>
      <n v="1111859584">
        <tpls c="8">
          <tpl hier="2" item="0"/>
          <tpl hier="4" item="1"/>
          <tpl fld="2" item="0"/>
          <tpl fld="4" item="66"/>
          <tpl hier="9" item="4"/>
          <tpl hier="11" item="6"/>
          <tpl hier="12" item="5"/>
          <tpl fld="1" item="0"/>
        </tpls>
      </n>
      <n v="402774848">
        <tpls c="8">
          <tpl hier="2" item="0"/>
          <tpl hier="4" item="1"/>
          <tpl fld="2" item="17"/>
          <tpl fld="4" item="65"/>
          <tpl hier="9" item="4"/>
          <tpl hier="11" item="6"/>
          <tpl hier="12" item="5"/>
          <tpl fld="1" item="0"/>
        </tpls>
      </n>
      <n v="102367040">
        <tpls c="8">
          <tpl hier="2" item="0"/>
          <tpl hier="4" item="1"/>
          <tpl fld="2" item="34"/>
          <tpl fld="4" item="64"/>
          <tpl hier="9" item="4"/>
          <tpl hier="11" item="6"/>
          <tpl hier="12" item="5"/>
          <tpl fld="1" item="0"/>
        </tpls>
      </n>
      <n v="31710658">
        <tpls c="8">
          <tpl hier="2" item="0"/>
          <tpl hier="4" item="1"/>
          <tpl fld="2" item="3"/>
          <tpl fld="4" item="64"/>
          <tpl hier="9" item="4"/>
          <tpl hier="11" item="6"/>
          <tpl hier="12" item="5"/>
          <tpl fld="1" item="0"/>
        </tpls>
      </n>
      <n v="10635935645452">
        <tpls c="8">
          <tpl hier="2" item="0"/>
          <tpl hier="4" item="1"/>
          <tpl fld="2" item="13"/>
          <tpl hier="6" item="2"/>
          <tpl hier="9" item="4"/>
          <tpl hier="11" item="6"/>
          <tpl hier="12" item="5"/>
          <tpl fld="1" item="0"/>
        </tpls>
      </n>
      <n v="7814784000">
        <tpls c="8">
          <tpl hier="2" item="0"/>
          <tpl hier="4" item="1"/>
          <tpl fld="2" item="18"/>
          <tpl fld="4" item="102"/>
          <tpl hier="9" item="4"/>
          <tpl hier="11" item="6"/>
          <tpl hier="12" item="5"/>
          <tpl fld="1" item="0"/>
        </tpls>
      </n>
      <n v="3273237760">
        <tpls c="8">
          <tpl hier="2" item="0"/>
          <tpl hier="4" item="1"/>
          <tpl fld="2" item="23"/>
          <tpl fld="4" item="101"/>
          <tpl hier="9" item="4"/>
          <tpl hier="11" item="6"/>
          <tpl hier="12" item="5"/>
          <tpl fld="1" item="0"/>
        </tpls>
      </n>
      <n v="30366212096">
        <tpls c="8">
          <tpl hier="2" item="0"/>
          <tpl hier="4" item="1"/>
          <tpl fld="2" item="38"/>
          <tpl fld="4" item="100"/>
          <tpl hier="9" item="4"/>
          <tpl hier="11" item="6"/>
          <tpl hier="12" item="5"/>
          <tpl fld="1" item="0"/>
        </tpls>
      </n>
      <n v="950579429376">
        <tpls c="8">
          <tpl hier="2" item="0"/>
          <tpl hier="4" item="1"/>
          <tpl fld="2" item="43"/>
          <tpl fld="4" item="99"/>
          <tpl hier="9" item="4"/>
          <tpl hier="11" item="6"/>
          <tpl hier="12" item="5"/>
          <tpl fld="1" item="0"/>
        </tpls>
      </n>
      <n v="39770296320">
        <tpls c="8">
          <tpl hier="2" item="0"/>
          <tpl hier="4" item="1"/>
          <tpl fld="2" item="48"/>
          <tpl fld="4" item="98"/>
          <tpl hier="9" item="4"/>
          <tpl hier="11" item="6"/>
          <tpl hier="12" item="5"/>
          <tpl fld="1" item="0"/>
        </tpls>
      </n>
      <n v="8133401088">
        <tpls c="8">
          <tpl hier="2" item="0"/>
          <tpl hier="4" item="1"/>
          <tpl fld="2" item="12"/>
          <tpl fld="4" item="98"/>
          <tpl hier="9" item="4"/>
          <tpl hier="11" item="6"/>
          <tpl hier="12" item="5"/>
          <tpl fld="1" item="0"/>
        </tpls>
      </n>
      <n v="4797777920">
        <tpls c="8">
          <tpl hier="2" item="0"/>
          <tpl hier="4" item="1"/>
          <tpl fld="2" item="17"/>
          <tpl fld="4" item="97"/>
          <tpl hier="9" item="4"/>
          <tpl hier="11" item="6"/>
          <tpl hier="12" item="5"/>
          <tpl fld="1" item="0"/>
        </tpls>
      </n>
      <n v="1692959104">
        <tpls c="8">
          <tpl hier="2" item="0"/>
          <tpl hier="4" item="1"/>
          <tpl fld="2" item="22"/>
          <tpl fld="4" item="96"/>
          <tpl hier="9" item="4"/>
          <tpl hier="11" item="6"/>
          <tpl hier="12" item="5"/>
          <tpl fld="1" item="0"/>
        </tpls>
      </n>
      <n v="262942474240">
        <tpls c="8">
          <tpl hier="2" item="0"/>
          <tpl hier="4" item="1"/>
          <tpl fld="2" item="37"/>
          <tpl fld="4" item="95"/>
          <tpl hier="9" item="4"/>
          <tpl hier="11" item="6"/>
          <tpl hier="12" item="5"/>
          <tpl fld="1" item="0"/>
        </tpls>
      </n>
      <n v="4886658560">
        <tpls c="8">
          <tpl hier="2" item="0"/>
          <tpl hier="4" item="1"/>
          <tpl fld="2" item="42"/>
          <tpl fld="4" item="94"/>
          <tpl hier="9" item="4"/>
          <tpl hier="11" item="6"/>
          <tpl hier="12" item="5"/>
          <tpl fld="1" item="0"/>
        </tpls>
      </n>
      <n v="3210064384">
        <tpls c="8">
          <tpl hier="2" item="0"/>
          <tpl hier="4" item="1"/>
          <tpl fld="2" item="47"/>
          <tpl fld="4" item="93"/>
          <tpl hier="9" item="4"/>
          <tpl hier="11" item="6"/>
          <tpl hier="12" item="5"/>
          <tpl fld="1" item="0"/>
        </tpls>
      </n>
      <n v="889000000">
        <tpls c="8">
          <tpl hier="2" item="0"/>
          <tpl hier="4" item="1"/>
          <tpl fld="2" item="11"/>
          <tpl fld="4" item="93"/>
          <tpl hier="9" item="4"/>
          <tpl hier="11" item="6"/>
          <tpl hier="12" item="5"/>
          <tpl fld="1" item="0"/>
        </tpls>
      </n>
      <n v="15769062400">
        <tpls c="8">
          <tpl hier="2" item="0"/>
          <tpl hier="4" item="1"/>
          <tpl fld="2" item="16"/>
          <tpl fld="4" item="92"/>
          <tpl hier="9" item="4"/>
          <tpl hier="11" item="6"/>
          <tpl hier="12" item="5"/>
          <tpl fld="1" item="0"/>
        </tpls>
      </n>
      <n v="9000363008">
        <tpls c="8">
          <tpl hier="2" item="0"/>
          <tpl hier="4" item="1"/>
          <tpl fld="2" item="21"/>
          <tpl fld="4" item="91"/>
          <tpl hier="9" item="4"/>
          <tpl hier="11" item="6"/>
          <tpl hier="12" item="5"/>
          <tpl fld="1" item="0"/>
        </tpls>
      </n>
      <n v="271638478848">
        <tpls c="8">
          <tpl hier="2" item="0"/>
          <tpl hier="4" item="1"/>
          <tpl fld="2" item="36"/>
          <tpl fld="4" item="90"/>
          <tpl hier="9" item="4"/>
          <tpl hier="11" item="6"/>
          <tpl hier="12" item="5"/>
          <tpl fld="1" item="0"/>
        </tpls>
      </n>
      <n v="2942546688">
        <tpls c="8">
          <tpl hier="2" item="0"/>
          <tpl hier="4" item="1"/>
          <tpl fld="2" item="41"/>
          <tpl fld="4" item="89"/>
          <tpl hier="9" item="4"/>
          <tpl hier="11" item="6"/>
          <tpl hier="12" item="5"/>
          <tpl fld="1" item="0"/>
        </tpls>
      </n>
      <n v="1426651776">
        <tpls c="8">
          <tpl hier="2" item="0"/>
          <tpl hier="4" item="1"/>
          <tpl fld="2" item="46"/>
          <tpl fld="4" item="88"/>
          <tpl hier="9" item="4"/>
          <tpl hier="11" item="6"/>
          <tpl hier="12" item="5"/>
          <tpl fld="1" item="0"/>
        </tpls>
      </n>
      <n v="147357216">
        <tpls c="8">
          <tpl hier="2" item="0"/>
          <tpl hier="4" item="1"/>
          <tpl fld="2" item="10"/>
          <tpl fld="4" item="88"/>
          <tpl hier="9" item="4"/>
          <tpl hier="11" item="6"/>
          <tpl hier="12" item="5"/>
          <tpl fld="1" item="0"/>
        </tpls>
      </n>
      <n v="3750056448">
        <tpls c="8">
          <tpl hier="2" item="0"/>
          <tpl hier="4" item="1"/>
          <tpl fld="2" item="15"/>
          <tpl fld="4" item="87"/>
          <tpl hier="9" item="4"/>
          <tpl hier="11" item="6"/>
          <tpl hier="12" item="5"/>
          <tpl fld="1" item="0"/>
        </tpls>
      </n>
      <n v="117630271488">
        <tpls c="8">
          <tpl hier="2" item="0"/>
          <tpl hier="4" item="1"/>
          <tpl fld="2" item="20"/>
          <tpl fld="4" item="86"/>
          <tpl hier="9" item="4"/>
          <tpl hier="11" item="6"/>
          <tpl hier="12" item="5"/>
          <tpl fld="1" item="0"/>
        </tpls>
      </n>
      <n v="2581313536">
        <tpls c="8">
          <tpl hier="2" item="0"/>
          <tpl hier="4" item="1"/>
          <tpl fld="2" item="35"/>
          <tpl fld="4" item="85"/>
          <tpl hier="9" item="4"/>
          <tpl hier="11" item="6"/>
          <tpl hier="12" item="5"/>
          <tpl fld="1" item="0"/>
        </tpls>
      </n>
      <n v="98381299712">
        <tpls c="8">
          <tpl hier="2" item="0"/>
          <tpl hier="4" item="1"/>
          <tpl fld="2" item="40"/>
          <tpl fld="4" item="84"/>
          <tpl hier="9" item="4"/>
          <tpl hier="11" item="6"/>
          <tpl hier="12" item="5"/>
          <tpl fld="1" item="0"/>
        </tpls>
      </n>
      <n v="306445877248">
        <tpls c="8">
          <tpl hier="2" item="0"/>
          <tpl hier="4" item="1"/>
          <tpl fld="2" item="45"/>
          <tpl fld="4" item="83"/>
          <tpl hier="9" item="4"/>
          <tpl hier="11" item="6"/>
          <tpl hier="12" item="5"/>
          <tpl fld="1" item="0"/>
        </tpls>
      </n>
      <n v="35646418944">
        <tpls c="8">
          <tpl hier="2" item="0"/>
          <tpl hier="4" item="1"/>
          <tpl fld="2" item="11"/>
          <tpl fld="4" item="83"/>
          <tpl hier="9" item="4"/>
          <tpl hier="11" item="6"/>
          <tpl hier="12" item="5"/>
          <tpl fld="1" item="0"/>
        </tpls>
      </n>
      <n v="55501467648">
        <tpls c="8">
          <tpl hier="2" item="0"/>
          <tpl hier="4" item="1"/>
          <tpl fld="2" item="28"/>
          <tpl fld="4" item="82"/>
          <tpl hier="9" item="4"/>
          <tpl hier="11" item="6"/>
          <tpl hier="12" item="5"/>
          <tpl fld="1" item="0"/>
        </tpls>
      </n>
      <n v="13429430272">
        <tpls c="8">
          <tpl hier="2" item="0"/>
          <tpl hier="4" item="1"/>
          <tpl fld="2" item="36"/>
          <tpl fld="4" item="81"/>
          <tpl hier="9" item="4"/>
          <tpl hier="11" item="6"/>
          <tpl hier="12" item="5"/>
          <tpl fld="1" item="0"/>
        </tpls>
      </n>
      <n v="769039680">
        <tpls c="8">
          <tpl hier="2" item="0"/>
          <tpl hier="4" item="1"/>
          <tpl fld="2" item="2"/>
          <tpl fld="4" item="81"/>
          <tpl hier="9" item="4"/>
          <tpl hier="11" item="6"/>
          <tpl hier="12" item="5"/>
          <tpl fld="1" item="0"/>
        </tpls>
      </n>
      <n v="3546460160">
        <tpls c="8">
          <tpl hier="2" item="0"/>
          <tpl hier="4" item="1"/>
          <tpl fld="2" item="19"/>
          <tpl fld="4" item="80"/>
          <tpl hier="9" item="4"/>
          <tpl hier="11" item="6"/>
          <tpl hier="12" item="5"/>
          <tpl fld="1" item="0"/>
        </tpls>
      </n>
      <n v="18141665280">
        <tpls c="8">
          <tpl hier="2" item="0"/>
          <tpl hier="4" item="1"/>
          <tpl fld="2" item="36"/>
          <tpl fld="4" item="79"/>
          <tpl hier="9" item="4"/>
          <tpl hier="11" item="6"/>
          <tpl hier="12" item="5"/>
          <tpl fld="1" item="0"/>
        </tpls>
      </n>
      <n v="244360888320">
        <tpls c="8">
          <tpl hier="2" item="0"/>
          <tpl hier="4" item="1"/>
          <tpl fld="2" item="44"/>
          <tpl fld="4" item="78"/>
          <tpl hier="9" item="4"/>
          <tpl hier="11" item="6"/>
          <tpl hier="12" item="5"/>
          <tpl fld="1" item="0"/>
        </tpls>
      </n>
      <n v="23654445056">
        <tpls c="8">
          <tpl hier="2" item="0"/>
          <tpl hier="4" item="1"/>
          <tpl fld="2" item="10"/>
          <tpl fld="4" item="78"/>
          <tpl hier="9" item="4"/>
          <tpl hier="11" item="6"/>
          <tpl hier="12" item="5"/>
          <tpl fld="1" item="0"/>
        </tpls>
      </n>
      <n v="15837451264">
        <tpls c="8">
          <tpl hier="2" item="0"/>
          <tpl hier="4" item="1"/>
          <tpl fld="2" item="27"/>
          <tpl fld="4" item="77"/>
          <tpl hier="9" item="4"/>
          <tpl hier="11" item="6"/>
          <tpl hier="12" item="5"/>
          <tpl fld="1" item="0"/>
        </tpls>
      </n>
      <n v="176134094848">
        <tpls c="8">
          <tpl hier="2" item="0"/>
          <tpl hier="4" item="1"/>
          <tpl fld="2" item="35"/>
          <tpl fld="4" item="76"/>
          <tpl hier="9" item="4"/>
          <tpl hier="11" item="6"/>
          <tpl hier="12" item="5"/>
          <tpl fld="1" item="0"/>
        </tpls>
      </n>
      <n v="9181769728">
        <tpls c="8">
          <tpl hier="2" item="0"/>
          <tpl hier="4" item="1"/>
          <tpl fld="2" item="1"/>
          <tpl fld="4" item="76"/>
          <tpl hier="9" item="4"/>
          <tpl hier="11" item="6"/>
          <tpl hier="12" item="5"/>
          <tpl fld="1" item="0"/>
        </tpls>
      </n>
      <n v="2280356352">
        <tpls c="8">
          <tpl hier="2" item="0"/>
          <tpl hier="4" item="1"/>
          <tpl fld="2" item="18"/>
          <tpl fld="4" item="75"/>
          <tpl hier="9" item="4"/>
          <tpl hier="11" item="6"/>
          <tpl hier="12" item="5"/>
          <tpl fld="1" item="0"/>
        </tpls>
      </n>
      <n v="6321335808">
        <tpls c="8">
          <tpl hier="2" item="0"/>
          <tpl hier="4" item="1"/>
          <tpl fld="2" item="35"/>
          <tpl fld="4" item="74"/>
          <tpl hier="9" item="4"/>
          <tpl hier="11" item="6"/>
          <tpl hier="12" item="5"/>
          <tpl fld="1" item="0"/>
        </tpls>
      </n>
      <n v="19271168000">
        <tpls c="8">
          <tpl hier="2" item="0"/>
          <tpl hier="4" item="1"/>
          <tpl fld="2" item="43"/>
          <tpl fld="4" item="73"/>
          <tpl hier="9" item="4"/>
          <tpl hier="11" item="6"/>
          <tpl hier="12" item="5"/>
          <tpl fld="1" item="0"/>
        </tpls>
      </n>
      <n v="1851250048">
        <tpls c="8">
          <tpl hier="2" item="0"/>
          <tpl hier="4" item="1"/>
          <tpl fld="2" item="9"/>
          <tpl fld="4" item="73"/>
          <tpl hier="9" item="4"/>
          <tpl hier="11" item="6"/>
          <tpl hier="12" item="5"/>
          <tpl fld="1" item="0"/>
        </tpls>
      </n>
      <n v="43161452544">
        <tpls c="8">
          <tpl hier="2" item="0"/>
          <tpl hier="4" item="1"/>
          <tpl fld="2" item="26"/>
          <tpl fld="4" item="72"/>
          <tpl hier="9" item="4"/>
          <tpl hier="11" item="6"/>
          <tpl hier="12" item="5"/>
          <tpl fld="1" item="0"/>
        </tpls>
      </n>
      <n v="782240579584">
        <tpls c="8">
          <tpl hier="2" item="0"/>
          <tpl hier="4" item="1"/>
          <tpl fld="2" item="34"/>
          <tpl fld="4" item="71"/>
          <tpl hier="9" item="4"/>
          <tpl hier="11" item="6"/>
          <tpl hier="12" item="5"/>
          <tpl fld="1" item="0"/>
        </tpls>
      </n>
      <n v="35520000000">
        <tpls c="8">
          <tpl hier="2" item="0"/>
          <tpl hier="4" item="1"/>
          <tpl fld="2" item="0"/>
          <tpl fld="4" item="71"/>
          <tpl hier="9" item="4"/>
          <tpl hier="11" item="6"/>
          <tpl hier="12" item="5"/>
          <tpl fld="1" item="0"/>
        </tpls>
      </n>
      <n v="1344665216">
        <tpls c="8">
          <tpl hier="2" item="0"/>
          <tpl hier="4" item="1"/>
          <tpl fld="2" item="17"/>
          <tpl fld="4" item="70"/>
          <tpl hier="9" item="4"/>
          <tpl hier="11" item="6"/>
          <tpl hier="12" item="5"/>
          <tpl fld="1" item="0"/>
        </tpls>
      </n>
      <n v="5444474368">
        <tpls c="8">
          <tpl hier="2" item="0"/>
          <tpl hier="4" item="1"/>
          <tpl fld="2" item="34"/>
          <tpl fld="4" item="69"/>
          <tpl hier="9" item="4"/>
          <tpl hier="11" item="6"/>
          <tpl hier="12" item="5"/>
          <tpl fld="1" item="0"/>
        </tpls>
      </n>
      <n v="314443137024">
        <tpls c="8">
          <tpl hier="2" item="0"/>
          <tpl hier="4" item="1"/>
          <tpl fld="2" item="42"/>
          <tpl fld="4" item="68"/>
          <tpl hier="9" item="4"/>
          <tpl hier="11" item="6"/>
          <tpl hier="12" item="5"/>
          <tpl fld="1" item="0"/>
        </tpls>
      </n>
      <n v="16358376448">
        <tpls c="8">
          <tpl hier="2" item="0"/>
          <tpl hier="4" item="1"/>
          <tpl fld="2" item="8"/>
          <tpl fld="4" item="68"/>
          <tpl hier="9" item="4"/>
          <tpl hier="11" item="6"/>
          <tpl hier="12" item="5"/>
          <tpl fld="1" item="0"/>
        </tpls>
      </n>
      <n v="1397457920">
        <tpls c="8">
          <tpl hier="2" item="0"/>
          <tpl hier="4" item="1"/>
          <tpl fld="2" item="25"/>
          <tpl fld="4" item="67"/>
          <tpl hier="9" item="4"/>
          <tpl hier="11" item="6"/>
          <tpl hier="12" item="5"/>
          <tpl fld="1" item="0"/>
        </tpls>
      </n>
      <n v="6372498944">
        <tpls c="8">
          <tpl hier="2" item="0"/>
          <tpl hier="4" item="1"/>
          <tpl fld="2" item="33"/>
          <tpl fld="4" item="66"/>
          <tpl hier="9" item="4"/>
          <tpl hier="11" item="6"/>
          <tpl hier="12" item="5"/>
          <tpl fld="1" item="0"/>
        </tpls>
      </n>
      <n v="52275230792">
        <tpls c="8">
          <tpl hier="2" item="0"/>
          <tpl hier="4" item="1"/>
          <tpl hier="5" item="3"/>
          <tpl fld="4" item="65"/>
          <tpl hier="9" item="4"/>
          <tpl hier="11" item="6"/>
          <tpl hier="12" item="5"/>
          <tpl fld="1" item="0"/>
        </tpls>
      </n>
      <n v="318862880">
        <tpls c="8">
          <tpl hier="2" item="0"/>
          <tpl hier="4" item="1"/>
          <tpl fld="2" item="16"/>
          <tpl fld="4" item="65"/>
          <tpl hier="9" item="4"/>
          <tpl hier="11" item="6"/>
          <tpl hier="12" item="5"/>
          <tpl fld="1" item="0"/>
        </tpls>
      </n>
      <n v="90231856">
        <tpls c="8">
          <tpl hier="2" item="0"/>
          <tpl hier="4" item="1"/>
          <tpl fld="2" item="33"/>
          <tpl fld="4" item="64"/>
          <tpl hier="9" item="4"/>
          <tpl hier="11" item="6"/>
          <tpl hier="12" item="5"/>
          <tpl fld="1" item="0"/>
        </tpls>
      </n>
      <n v="18936526">
        <tpls c="8">
          <tpl hier="2" item="0"/>
          <tpl hier="4" item="1"/>
          <tpl fld="2" item="2"/>
          <tpl fld="4" item="64"/>
          <tpl hier="9" item="4"/>
          <tpl hier="11" item="6"/>
          <tpl hier="12" item="5"/>
          <tpl fld="1" item="0"/>
        </tpls>
      </n>
      <n v="3499721257818">
        <tpls c="8">
          <tpl hier="2" item="0"/>
          <tpl hier="4" item="1"/>
          <tpl fld="2" item="2"/>
          <tpl hier="6" item="2"/>
          <tpl hier="9" item="4"/>
          <tpl hier="11" item="6"/>
          <tpl hier="12" item="5"/>
          <tpl fld="1" item="0"/>
        </tpls>
      </n>
      <n v="6741215232">
        <tpls c="8">
          <tpl hier="2" item="0"/>
          <tpl hier="4" item="1"/>
          <tpl fld="2" item="17"/>
          <tpl fld="4" item="102"/>
          <tpl hier="9" item="4"/>
          <tpl hier="11" item="6"/>
          <tpl hier="12" item="5"/>
          <tpl fld="1" item="0"/>
        </tpls>
      </n>
      <n v="3181921792">
        <tpls c="8">
          <tpl hier="2" item="0"/>
          <tpl hier="4" item="1"/>
          <tpl fld="2" item="22"/>
          <tpl fld="4" item="101"/>
          <tpl hier="9" item="4"/>
          <tpl hier="11" item="6"/>
          <tpl hier="12" item="5"/>
          <tpl fld="1" item="0"/>
        </tpls>
      </n>
      <n v="23969822720">
        <tpls c="8">
          <tpl hier="2" item="0"/>
          <tpl hier="4" item="1"/>
          <tpl fld="2" item="27"/>
          <tpl fld="4" item="100"/>
          <tpl hier="9" item="4"/>
          <tpl hier="11" item="6"/>
          <tpl hier="12" item="5"/>
          <tpl fld="1" item="0"/>
        </tpls>
      </n>
      <n v="873982263296">
        <tpls c="8">
          <tpl hier="2" item="0"/>
          <tpl hier="4" item="1"/>
          <tpl fld="2" item="42"/>
          <tpl fld="4" item="99"/>
          <tpl hier="9" item="4"/>
          <tpl hier="11" item="6"/>
          <tpl hier="12" item="5"/>
          <tpl fld="1" item="0"/>
        </tpls>
      </n>
      <n v="39802429440">
        <tpls c="8">
          <tpl hier="2" item="0"/>
          <tpl hier="4" item="1"/>
          <tpl fld="2" item="47"/>
          <tpl fld="4" item="98"/>
          <tpl hier="9" item="4"/>
          <tpl hier="11" item="6"/>
          <tpl hier="12" item="5"/>
          <tpl fld="1" item="0"/>
        </tpls>
      </n>
      <n v="1685217024">
        <tpls c="8">
          <tpl hier="2" item="0"/>
          <tpl hier="4" item="1"/>
          <tpl fld="2" item="1"/>
          <tpl fld="4" item="98"/>
          <tpl hier="9" item="4"/>
          <tpl hier="11" item="6"/>
          <tpl hier="12" item="5"/>
          <tpl fld="1" item="0"/>
        </tpls>
      </n>
      <n v="4794444288">
        <tpls c="8">
          <tpl hier="2" item="0"/>
          <tpl hier="4" item="1"/>
          <tpl fld="2" item="16"/>
          <tpl fld="4" item="97"/>
          <tpl hier="9" item="4"/>
          <tpl hier="11" item="6"/>
          <tpl hier="12" item="5"/>
          <tpl fld="1" item="0"/>
        </tpls>
      </n>
      <n v="1602299904">
        <tpls c="8">
          <tpl hier="2" item="0"/>
          <tpl hier="4" item="1"/>
          <tpl fld="2" item="21"/>
          <tpl fld="4" item="96"/>
          <tpl hier="9" item="4"/>
          <tpl hier="11" item="6"/>
          <tpl hier="12" item="5"/>
          <tpl fld="1" item="0"/>
        </tpls>
      </n>
      <n v="183035117568">
        <tpls c="8">
          <tpl hier="2" item="0"/>
          <tpl hier="4" item="1"/>
          <tpl fld="2" item="26"/>
          <tpl fld="4" item="95"/>
          <tpl hier="9" item="4"/>
          <tpl hier="11" item="6"/>
          <tpl hier="12" item="5"/>
          <tpl fld="1" item="0"/>
        </tpls>
      </n>
      <n v="4820499456">
        <tpls c="8">
          <tpl hier="2" item="0"/>
          <tpl hier="4" item="1"/>
          <tpl fld="2" item="41"/>
          <tpl fld="4" item="94"/>
          <tpl hier="9" item="4"/>
          <tpl hier="11" item="6"/>
          <tpl hier="12" item="5"/>
          <tpl fld="1" item="0"/>
        </tpls>
      </n>
      <n v="3128953600">
        <tpls c="8">
          <tpl hier="2" item="0"/>
          <tpl hier="4" item="1"/>
          <tpl fld="2" item="46"/>
          <tpl fld="4" item="93"/>
          <tpl hier="9" item="4"/>
          <tpl hier="11" item="6"/>
          <tpl hier="12" item="5"/>
          <tpl fld="1" item="0"/>
        </tpls>
      </n>
      <n v="274900000">
        <tpls c="8">
          <tpl hier="2" item="0"/>
          <tpl hier="4" item="1"/>
          <tpl fld="2" item="0"/>
          <tpl fld="4" item="93"/>
          <tpl hier="9" item="4"/>
          <tpl hier="11" item="6"/>
          <tpl hier="12" item="5"/>
          <tpl fld="1" item="0"/>
        </tpls>
      </n>
      <n v="12403733504">
        <tpls c="8">
          <tpl hier="2" item="0"/>
          <tpl hier="4" item="1"/>
          <tpl fld="2" item="15"/>
          <tpl fld="4" item="92"/>
          <tpl hier="9" item="4"/>
          <tpl hier="11" item="6"/>
          <tpl hier="12" item="5"/>
          <tpl fld="1" item="0"/>
        </tpls>
      </n>
      <n v="8032551424">
        <tpls c="8">
          <tpl hier="2" item="0"/>
          <tpl hier="4" item="1"/>
          <tpl fld="2" item="20"/>
          <tpl fld="4" item="91"/>
          <tpl hier="9" item="4"/>
          <tpl hier="11" item="6"/>
          <tpl hier="12" item="5"/>
          <tpl fld="1" item="0"/>
        </tpls>
      </n>
      <n v="155460927488">
        <tpls c="8">
          <tpl hier="2" item="0"/>
          <tpl hier="4" item="1"/>
          <tpl fld="2" item="25"/>
          <tpl fld="4" item="90"/>
          <tpl hier="9" item="4"/>
          <tpl hier="11" item="6"/>
          <tpl hier="12" item="5"/>
          <tpl fld="1" item="0"/>
        </tpls>
      </n>
      <n v="2578026240">
        <tpls c="8">
          <tpl hier="2" item="0"/>
          <tpl hier="4" item="1"/>
          <tpl fld="2" item="40"/>
          <tpl fld="4" item="89"/>
          <tpl hier="9" item="4"/>
          <tpl hier="11" item="6"/>
          <tpl hier="12" item="5"/>
          <tpl fld="1" item="0"/>
        </tpls>
      </n>
      <n v="1377495040">
        <tpls c="8">
          <tpl hier="2" item="0"/>
          <tpl hier="4" item="1"/>
          <tpl fld="2" item="45"/>
          <tpl fld="4" item="88"/>
          <tpl hier="9" item="4"/>
          <tpl hier="11" item="6"/>
          <tpl hier="12" item="5"/>
          <tpl fld="1" item="0"/>
        </tpls>
      </n>
      <n v="440357441920">
        <tpls c="8">
          <tpl hier="2" item="0"/>
          <tpl hier="4" item="1"/>
          <tpl hier="5" item="3"/>
          <tpl fld="4" item="87"/>
          <tpl hier="9" item="4"/>
          <tpl hier="11" item="6"/>
          <tpl hier="12" item="5"/>
          <tpl fld="1" item="0"/>
        </tpls>
      </n>
      <n v="3425127424">
        <tpls c="8">
          <tpl hier="2" item="0"/>
          <tpl hier="4" item="1"/>
          <tpl fld="2" item="14"/>
          <tpl fld="4" item="87"/>
          <tpl hier="9" item="4"/>
          <tpl hier="11" item="6"/>
          <tpl hier="12" item="5"/>
          <tpl fld="1" item="0"/>
        </tpls>
      </n>
      <n v="95344459776">
        <tpls c="8">
          <tpl hier="2" item="0"/>
          <tpl hier="4" item="1"/>
          <tpl fld="2" item="19"/>
          <tpl fld="4" item="86"/>
          <tpl hier="9" item="4"/>
          <tpl hier="11" item="6"/>
          <tpl hier="12" item="5"/>
          <tpl fld="1" item="0"/>
        </tpls>
      </n>
      <n v="753636352">
        <tpls c="8">
          <tpl hier="2" item="0"/>
          <tpl hier="4" item="1"/>
          <tpl fld="2" item="24"/>
          <tpl fld="4" item="85"/>
          <tpl hier="9" item="4"/>
          <tpl hier="11" item="6"/>
          <tpl hier="12" item="5"/>
          <tpl fld="1" item="0"/>
        </tpls>
      </n>
      <n v="96385597440">
        <tpls c="8">
          <tpl hier="2" item="0"/>
          <tpl hier="4" item="1"/>
          <tpl fld="2" item="39"/>
          <tpl fld="4" item="84"/>
          <tpl hier="9" item="4"/>
          <tpl hier="11" item="6"/>
          <tpl hier="12" item="5"/>
          <tpl fld="1" item="0"/>
        </tpls>
      </n>
      <n v="297483567104">
        <tpls c="8">
          <tpl hier="2" item="0"/>
          <tpl hier="4" item="1"/>
          <tpl fld="2" item="44"/>
          <tpl fld="4" item="83"/>
          <tpl hier="9" item="4"/>
          <tpl hier="11" item="6"/>
          <tpl hier="12" item="5"/>
          <tpl fld="1" item="0"/>
        </tpls>
      </n>
      <n v="32450541568">
        <tpls c="8">
          <tpl hier="2" item="0"/>
          <tpl hier="4" item="1"/>
          <tpl fld="2" item="10"/>
          <tpl fld="4" item="83"/>
          <tpl hier="9" item="4"/>
          <tpl hier="11" item="6"/>
          <tpl hier="12" item="5"/>
          <tpl fld="1" item="0"/>
        </tpls>
      </n>
      <n v="58147520512">
        <tpls c="8">
          <tpl hier="2" item="0"/>
          <tpl hier="4" item="1"/>
          <tpl fld="2" item="27"/>
          <tpl fld="4" item="82"/>
          <tpl hier="9" item="4"/>
          <tpl hier="11" item="6"/>
          <tpl hier="12" item="5"/>
          <tpl fld="1" item="0"/>
        </tpls>
      </n>
      <n v="10737500160">
        <tpls c="8">
          <tpl hier="2" item="0"/>
          <tpl hier="4" item="1"/>
          <tpl fld="2" item="35"/>
          <tpl fld="4" item="81"/>
          <tpl hier="9" item="4"/>
          <tpl hier="11" item="6"/>
          <tpl hier="12" item="5"/>
          <tpl fld="1" item="0"/>
        </tpls>
      </n>
      <n v="664571456">
        <tpls c="8">
          <tpl hier="2" item="0"/>
          <tpl hier="4" item="1"/>
          <tpl fld="2" item="1"/>
          <tpl fld="4" item="81"/>
          <tpl hier="9" item="4"/>
          <tpl hier="11" item="6"/>
          <tpl hier="12" item="5"/>
          <tpl fld="1" item="0"/>
        </tpls>
      </n>
      <n v="3655979776">
        <tpls c="8">
          <tpl hier="2" item="0"/>
          <tpl hier="4" item="1"/>
          <tpl fld="2" item="18"/>
          <tpl fld="4" item="80"/>
          <tpl hier="9" item="4"/>
          <tpl hier="11" item="6"/>
          <tpl hier="12" item="5"/>
          <tpl fld="1" item="0"/>
        </tpls>
      </n>
      <n v="9870493696">
        <tpls c="8">
          <tpl hier="2" item="0"/>
          <tpl hier="4" item="1"/>
          <tpl fld="2" item="26"/>
          <tpl fld="4" item="79"/>
          <tpl hier="9" item="4"/>
          <tpl hier="11" item="6"/>
          <tpl hier="12" item="5"/>
          <tpl fld="1" item="0"/>
        </tpls>
      </n>
      <n v="231218561024">
        <tpls c="8">
          <tpl hier="2" item="0"/>
          <tpl hier="4" item="1"/>
          <tpl fld="2" item="43"/>
          <tpl fld="4" item="78"/>
          <tpl hier="9" item="4"/>
          <tpl hier="11" item="6"/>
          <tpl hier="12" item="5"/>
          <tpl fld="1" item="0"/>
        </tpls>
      </n>
      <n v="19688384512">
        <tpls c="8">
          <tpl hier="2" item="0"/>
          <tpl hier="4" item="1"/>
          <tpl fld="2" item="9"/>
          <tpl fld="4" item="78"/>
          <tpl hier="9" item="4"/>
          <tpl hier="11" item="6"/>
          <tpl hier="12" item="5"/>
          <tpl fld="1" item="0"/>
        </tpls>
      </n>
      <n v="15277763584">
        <tpls c="8">
          <tpl hier="2" item="0"/>
          <tpl hier="4" item="1"/>
          <tpl fld="2" item="26"/>
          <tpl fld="4" item="77"/>
          <tpl hier="9" item="4"/>
          <tpl hier="11" item="6"/>
          <tpl hier="12" item="5"/>
          <tpl fld="1" item="0"/>
        </tpls>
      </n>
      <n v="136385978368">
        <tpls c="8">
          <tpl hier="2" item="0"/>
          <tpl hier="4" item="1"/>
          <tpl fld="2" item="34"/>
          <tpl fld="4" item="76"/>
          <tpl hier="9" item="4"/>
          <tpl hier="11" item="6"/>
          <tpl hier="12" item="5"/>
          <tpl fld="1" item="0"/>
        </tpls>
      </n>
      <n v="12545849344">
        <tpls c="8">
          <tpl hier="2" item="0"/>
          <tpl hier="4" item="1"/>
          <tpl fld="2" item="0"/>
          <tpl fld="4" item="76"/>
          <tpl hier="9" item="4"/>
          <tpl hier="11" item="6"/>
          <tpl hier="12" item="5"/>
          <tpl fld="1" item="0"/>
        </tpls>
      </n>
      <n v="2233005824">
        <tpls c="8">
          <tpl hier="2" item="0"/>
          <tpl hier="4" item="1"/>
          <tpl fld="2" item="17"/>
          <tpl fld="4" item="75"/>
          <tpl hier="9" item="4"/>
          <tpl hier="11" item="6"/>
          <tpl hier="12" item="5"/>
          <tpl fld="1" item="0"/>
        </tpls>
      </n>
      <n v="4140470016">
        <tpls c="8">
          <tpl hier="2" item="0"/>
          <tpl hier="4" item="1"/>
          <tpl fld="2" item="25"/>
          <tpl fld="4" item="74"/>
          <tpl hier="9" item="4"/>
          <tpl hier="11" item="6"/>
          <tpl hier="12" item="5"/>
          <tpl fld="1" item="0"/>
        </tpls>
      </n>
      <n v="18851514368">
        <tpls c="8">
          <tpl hier="2" item="0"/>
          <tpl hier="4" item="1"/>
          <tpl fld="2" item="42"/>
          <tpl fld="4" item="73"/>
          <tpl hier="9" item="4"/>
          <tpl hier="11" item="6"/>
          <tpl hier="12" item="5"/>
          <tpl fld="1" item="0"/>
        </tpls>
      </n>
      <n v="1604162560">
        <tpls c="8">
          <tpl hier="2" item="0"/>
          <tpl hier="4" item="1"/>
          <tpl fld="2" item="8"/>
          <tpl fld="4" item="73"/>
          <tpl hier="9" item="4"/>
          <tpl hier="11" item="6"/>
          <tpl hier="12" item="5"/>
          <tpl fld="1" item="0"/>
        </tpls>
      </n>
      <n v="39030284288">
        <tpls c="8">
          <tpl hier="2" item="0"/>
          <tpl hier="4" item="1"/>
          <tpl fld="2" item="25"/>
          <tpl fld="4" item="72"/>
          <tpl hier="9" item="4"/>
          <tpl hier="11" item="6"/>
          <tpl hier="12" item="5"/>
          <tpl fld="1" item="0"/>
        </tpls>
      </n>
      <n v="729336315904">
        <tpls c="8">
          <tpl hier="2" item="0"/>
          <tpl hier="4" item="1"/>
          <tpl fld="2" item="33"/>
          <tpl fld="4" item="71"/>
          <tpl hier="9" item="4"/>
          <tpl hier="11" item="6"/>
          <tpl hier="12" item="5"/>
          <tpl fld="1" item="0"/>
        </tpls>
      </n>
      <n v="135753321760">
        <tpls c="8">
          <tpl hier="2" item="0"/>
          <tpl hier="4" item="1"/>
          <tpl hier="5" item="3"/>
          <tpl fld="4" item="70"/>
          <tpl hier="9" item="4"/>
          <tpl hier="11" item="6"/>
          <tpl hier="12" item="5"/>
          <tpl fld="1" item="0"/>
        </tpls>
      </n>
      <n v="1186628736">
        <tpls c="8">
          <tpl hier="2" item="0"/>
          <tpl hier="4" item="1"/>
          <tpl fld="2" item="16"/>
          <tpl fld="4" item="70"/>
          <tpl hier="9" item="4"/>
          <tpl hier="11" item="6"/>
          <tpl hier="12" item="5"/>
          <tpl fld="1" item="0"/>
        </tpls>
      </n>
      <n v="2081846528">
        <tpls c="8">
          <tpl hier="2" item="0"/>
          <tpl hier="4" item="1"/>
          <tpl fld="2" item="24"/>
          <tpl fld="4" item="69"/>
          <tpl hier="9" item="4"/>
          <tpl hier="11" item="6"/>
          <tpl hier="12" item="5"/>
          <tpl fld="1" item="0"/>
        </tpls>
      </n>
      <n v="297951952896">
        <tpls c="8">
          <tpl hier="2" item="0"/>
          <tpl hier="4" item="1"/>
          <tpl fld="2" item="41"/>
          <tpl fld="4" item="68"/>
          <tpl hier="9" item="4"/>
          <tpl hier="11" item="6"/>
          <tpl hier="12" item="5"/>
          <tpl fld="1" item="0"/>
        </tpls>
      </n>
      <n v="13139397632">
        <tpls c="8">
          <tpl hier="2" item="0"/>
          <tpl hier="4" item="1"/>
          <tpl fld="2" item="7"/>
          <tpl fld="4" item="68"/>
          <tpl hier="9" item="4"/>
          <tpl hier="11" item="6"/>
          <tpl hier="12" item="5"/>
          <tpl fld="1" item="0"/>
        </tpls>
      </n>
      <n v="1181802624">
        <tpls c="8">
          <tpl hier="2" item="0"/>
          <tpl hier="4" item="1"/>
          <tpl fld="2" item="24"/>
          <tpl fld="4" item="67"/>
          <tpl hier="9" item="4"/>
          <tpl hier="11" item="6"/>
          <tpl hier="12" item="5"/>
          <tpl fld="1" item="0"/>
        </tpls>
      </n>
      <n v="5351701504">
        <tpls c="8">
          <tpl hier="2" item="0"/>
          <tpl hier="4" item="1"/>
          <tpl fld="2" item="32"/>
          <tpl fld="4" item="66"/>
          <tpl hier="9" item="4"/>
          <tpl hier="11" item="6"/>
          <tpl hier="12" item="5"/>
          <tpl fld="1" item="0"/>
        </tpls>
      </n>
      <n v="2460072448">
        <tpls c="8">
          <tpl hier="2" item="0"/>
          <tpl hier="4" item="1"/>
          <tpl fld="2" item="49"/>
          <tpl fld="4" item="65"/>
          <tpl hier="9" item="4"/>
          <tpl hier="11" item="6"/>
          <tpl hier="12" item="5"/>
          <tpl fld="1" item="0"/>
        </tpls>
      </n>
      <n v="268626912">
        <tpls c="8">
          <tpl hier="2" item="0"/>
          <tpl hier="4" item="1"/>
          <tpl fld="2" item="15"/>
          <tpl fld="4" item="65"/>
          <tpl hier="9" item="4"/>
          <tpl hier="11" item="6"/>
          <tpl hier="12" item="5"/>
          <tpl fld="1" item="0"/>
        </tpls>
      </n>
      <n v="72196456">
        <tpls c="8">
          <tpl hier="2" item="0"/>
          <tpl hier="4" item="1"/>
          <tpl fld="2" item="32"/>
          <tpl fld="4" item="64"/>
          <tpl hier="9" item="4"/>
          <tpl hier="11" item="6"/>
          <tpl hier="12" item="5"/>
          <tpl fld="1" item="0"/>
        </tpls>
      </n>
      <n v="15278632">
        <tpls c="8">
          <tpl hier="2" item="0"/>
          <tpl hier="4" item="1"/>
          <tpl fld="2" item="1"/>
          <tpl fld="4" item="64"/>
          <tpl hier="9" item="4"/>
          <tpl hier="11" item="6"/>
          <tpl hier="12" item="5"/>
          <tpl fld="1" item="0"/>
        </tpls>
      </n>
      <n v="25825525760">
        <tpls c="8">
          <tpl hier="2" item="0"/>
          <tpl hier="4" item="1"/>
          <tpl fld="2" item="36"/>
          <tpl fld="4" item="63"/>
          <tpl hier="9" item="4"/>
          <tpl hier="11" item="6"/>
          <tpl hier="12" item="5"/>
          <tpl fld="1" item="0"/>
        </tpls>
      </n>
      <n v="8572359168">
        <tpls c="8">
          <tpl hier="2" item="0"/>
          <tpl hier="4" item="1"/>
          <tpl fld="2" item="20"/>
          <tpl fld="4" item="63"/>
          <tpl hier="9" item="4"/>
          <tpl hier="11" item="6"/>
          <tpl hier="12" item="5"/>
          <tpl fld="1" item="0"/>
        </tpls>
      </n>
      <n v="2973309184">
        <tpls c="8">
          <tpl hier="2" item="0"/>
          <tpl hier="4" item="1"/>
          <tpl fld="2" item="4"/>
          <tpl fld="4" item="63"/>
          <tpl hier="9" item="4"/>
          <tpl hier="11" item="6"/>
          <tpl hier="12" item="5"/>
          <tpl fld="1" item="0"/>
        </tpls>
      </n>
      <n v="12067478528">
        <tpls c="8">
          <tpl hier="2" item="0"/>
          <tpl hier="4" item="1"/>
          <tpl fld="2" item="39"/>
          <tpl fld="4" item="62"/>
          <tpl hier="9" item="4"/>
          <tpl hier="11" item="6"/>
          <tpl hier="12" item="5"/>
          <tpl fld="1" item="0"/>
        </tpls>
      </n>
      <n v="5405097472">
        <tpls c="8">
          <tpl hier="2" item="0"/>
          <tpl hier="4" item="1"/>
          <tpl fld="2" item="23"/>
          <tpl fld="4" item="62"/>
          <tpl hier="9" item="4"/>
          <tpl hier="11" item="6"/>
          <tpl hier="12" item="5"/>
          <tpl fld="1" item="0"/>
        </tpls>
      </n>
      <n v="3249697280">
        <tpls c="8">
          <tpl hier="2" item="0"/>
          <tpl hier="4" item="1"/>
          <tpl fld="2" item="7"/>
          <tpl fld="4" item="62"/>
          <tpl hier="9" item="4"/>
          <tpl hier="11" item="6"/>
          <tpl hier="12" item="5"/>
          <tpl fld="1" item="0"/>
        </tpls>
      </n>
      <n v="218000982016">
        <tpls c="8">
          <tpl hier="2" item="0"/>
          <tpl hier="4" item="1"/>
          <tpl fld="2" item="42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6"/>
          <tpl fld="4" item="61"/>
          <tpl hier="9" item="4"/>
          <tpl hier="11" item="6"/>
          <tpl hier="12" item="5"/>
          <tpl fld="1" item="0"/>
        </tpls>
      </m>
      <n v="53405687808">
        <tpls c="8">
          <tpl hier="2" item="0"/>
          <tpl hier="4" item="1"/>
          <tpl fld="2" item="10"/>
          <tpl fld="4" item="61"/>
          <tpl hier="9" item="4"/>
          <tpl hier="11" item="6"/>
          <tpl hier="12" item="5"/>
          <tpl fld="1" item="0"/>
        </tpls>
      </n>
      <n v="2103587766272">
        <tpls c="8">
          <tpl hier="2" item="0"/>
          <tpl hier="4" item="1"/>
          <tpl fld="2" item="45"/>
          <tpl fld="4" item="60"/>
          <tpl hier="9" item="4"/>
          <tpl hier="11" item="6"/>
          <tpl hier="12" item="5"/>
          <tpl fld="1" item="0"/>
        </tpls>
      </n>
      <n v="458820419584">
        <tpls c="8">
          <tpl hier="2" item="0"/>
          <tpl hier="4" item="1"/>
          <tpl fld="2" item="29"/>
          <tpl fld="4" item="60"/>
          <tpl hier="9" item="4"/>
          <tpl hier="11" item="6"/>
          <tpl hier="12" item="5"/>
          <tpl fld="1" item="0"/>
        </tpls>
      </n>
      <n v="218262274048">
        <tpls c="8">
          <tpl hier="2" item="0"/>
          <tpl hier="4" item="1"/>
          <tpl fld="2" item="13"/>
          <tpl fld="4" item="60"/>
          <tpl hier="9" item="4"/>
          <tpl hier="11" item="6"/>
          <tpl hier="12" item="5"/>
          <tpl fld="1" item="0"/>
        </tpls>
      </n>
      <n v="3032398419716">
        <tpls c="8">
          <tpl hier="2" item="0"/>
          <tpl hier="4" item="1"/>
          <tpl fld="2" item="1"/>
          <tpl hier="6" item="2"/>
          <tpl hier="9" item="4"/>
          <tpl hier="11" item="6"/>
          <tpl hier="12" item="5"/>
          <tpl fld="1" item="0"/>
        </tpls>
      </n>
      <n v="6217523712">
        <tpls c="8">
          <tpl hier="2" item="0"/>
          <tpl hier="4" item="1"/>
          <tpl fld="2" item="16"/>
          <tpl fld="4" item="102"/>
          <tpl hier="9" item="4"/>
          <tpl hier="11" item="6"/>
          <tpl hier="12" item="5"/>
          <tpl fld="1" item="0"/>
        </tpls>
      </n>
      <n v="3378882304">
        <tpls c="8">
          <tpl hier="2" item="0"/>
          <tpl hier="4" item="1"/>
          <tpl fld="2" item="21"/>
          <tpl fld="4" item="101"/>
          <tpl hier="9" item="4"/>
          <tpl hier="11" item="6"/>
          <tpl hier="12" item="5"/>
          <tpl fld="1" item="0"/>
        </tpls>
      </n>
      <n v="20515543040">
        <tpls c="8">
          <tpl hier="2" item="0"/>
          <tpl hier="4" item="1"/>
          <tpl fld="2" item="26"/>
          <tpl fld="4" item="100"/>
          <tpl hier="9" item="4"/>
          <tpl hier="11" item="6"/>
          <tpl hier="12" item="5"/>
          <tpl fld="1" item="0"/>
        </tpls>
      </n>
      <n v="832523665408">
        <tpls c="8">
          <tpl hier="2" item="0"/>
          <tpl hier="4" item="1"/>
          <tpl fld="2" item="41"/>
          <tpl fld="4" item="99"/>
          <tpl hier="9" item="4"/>
          <tpl hier="11" item="6"/>
          <tpl hier="12" item="5"/>
          <tpl fld="1" item="0"/>
        </tpls>
      </n>
      <n v="41801211904">
        <tpls c="8">
          <tpl hier="2" item="0"/>
          <tpl hier="4" item="1"/>
          <tpl fld="2" item="46"/>
          <tpl fld="4" item="98"/>
          <tpl hier="9" item="4"/>
          <tpl hier="11" item="6"/>
          <tpl hier="12" item="5"/>
          <tpl fld="1" item="0"/>
        </tpls>
      </n>
      <n v="1439238144">
        <tpls c="8">
          <tpl hier="2" item="0"/>
          <tpl hier="4" item="1"/>
          <tpl fld="2" item="0"/>
          <tpl fld="4" item="98"/>
          <tpl hier="9" item="4"/>
          <tpl hier="11" item="6"/>
          <tpl hier="12" item="5"/>
          <tpl fld="1" item="0"/>
        </tpls>
      </n>
      <n v="7375918592">
        <tpls c="8">
          <tpl hier="2" item="0"/>
          <tpl hier="4" item="1"/>
          <tpl fld="2" item="15"/>
          <tpl fld="4" item="97"/>
          <tpl hier="9" item="4"/>
          <tpl hier="11" item="6"/>
          <tpl hier="12" item="5"/>
          <tpl fld="1" item="0"/>
        </tpls>
      </n>
      <n v="1628427520">
        <tpls c="8">
          <tpl hier="2" item="0"/>
          <tpl hier="4" item="1"/>
          <tpl fld="2" item="20"/>
          <tpl fld="4" item="96"/>
          <tpl hier="9" item="4"/>
          <tpl hier="11" item="6"/>
          <tpl hier="12" item="5"/>
          <tpl fld="1" item="0"/>
        </tpls>
      </n>
      <n v="169278750720">
        <tpls c="8">
          <tpl hier="2" item="0"/>
          <tpl hier="4" item="1"/>
          <tpl fld="2" item="25"/>
          <tpl fld="4" item="95"/>
          <tpl hier="9" item="4"/>
          <tpl hier="11" item="6"/>
          <tpl hier="12" item="5"/>
          <tpl fld="1" item="0"/>
        </tpls>
      </n>
      <n v="4438778368">
        <tpls c="8">
          <tpl hier="2" item="0"/>
          <tpl hier="4" item="1"/>
          <tpl fld="2" item="40"/>
          <tpl fld="4" item="94"/>
          <tpl hier="9" item="4"/>
          <tpl hier="11" item="6"/>
          <tpl hier="12" item="5"/>
          <tpl fld="1" item="0"/>
        </tpls>
      </n>
      <n v="4787367936">
        <tpls c="8">
          <tpl hier="2" item="0"/>
          <tpl hier="4" item="1"/>
          <tpl fld="2" item="45"/>
          <tpl fld="4" item="93"/>
          <tpl hier="9" item="4"/>
          <tpl hier="11" item="6"/>
          <tpl hier="12" item="5"/>
          <tpl fld="1" item="0"/>
        </tpls>
      </n>
      <n v="1090327890432">
        <tpls c="8">
          <tpl hier="2" item="0"/>
          <tpl hier="4" item="1"/>
          <tpl hier="5" item="3"/>
          <tpl fld="4" item="92"/>
          <tpl hier="9" item="4"/>
          <tpl hier="11" item="6"/>
          <tpl hier="12" item="5"/>
          <tpl fld="1" item="0"/>
        </tpls>
      </n>
      <n v="9701357568">
        <tpls c="8">
          <tpl hier="2" item="0"/>
          <tpl hier="4" item="1"/>
          <tpl fld="2" item="14"/>
          <tpl fld="4" item="92"/>
          <tpl hier="9" item="4"/>
          <tpl hier="11" item="6"/>
          <tpl hier="12" item="5"/>
          <tpl fld="1" item="0"/>
        </tpls>
      </n>
      <n v="6987267584">
        <tpls c="8">
          <tpl hier="2" item="0"/>
          <tpl hier="4" item="1"/>
          <tpl fld="2" item="19"/>
          <tpl fld="4" item="91"/>
          <tpl hier="9" item="4"/>
          <tpl hier="11" item="6"/>
          <tpl hier="12" item="5"/>
          <tpl fld="1" item="0"/>
        </tpls>
      </n>
      <n v="139752521728">
        <tpls c="8">
          <tpl hier="2" item="0"/>
          <tpl hier="4" item="1"/>
          <tpl fld="2" item="24"/>
          <tpl fld="4" item="90"/>
          <tpl hier="9" item="4"/>
          <tpl hier="11" item="6"/>
          <tpl hier="12" item="5"/>
          <tpl fld="1" item="0"/>
        </tpls>
      </n>
      <n v="2453899776">
        <tpls c="8">
          <tpl hier="2" item="0"/>
          <tpl hier="4" item="1"/>
          <tpl fld="2" item="39"/>
          <tpl fld="4" item="89"/>
          <tpl hier="9" item="4"/>
          <tpl hier="11" item="6"/>
          <tpl hier="12" item="5"/>
          <tpl fld="1" item="0"/>
        </tpls>
      </n>
      <n v="1343007872">
        <tpls c="8">
          <tpl hier="2" item="0"/>
          <tpl hier="4" item="1"/>
          <tpl fld="2" item="44"/>
          <tpl fld="4" item="88"/>
          <tpl hier="9" item="4"/>
          <tpl hier="11" item="6"/>
          <tpl hier="12" item="5"/>
          <tpl fld="1" item="0"/>
        </tpls>
      </n>
      <n v="23578083328">
        <tpls c="8">
          <tpl hier="2" item="0"/>
          <tpl hier="4" item="1"/>
          <tpl fld="2" item="49"/>
          <tpl fld="4" item="87"/>
          <tpl hier="9" item="4"/>
          <tpl hier="11" item="6"/>
          <tpl hier="12" item="5"/>
          <tpl fld="1" item="0"/>
        </tpls>
      </n>
      <n v="3512053248">
        <tpls c="8">
          <tpl hier="2" item="0"/>
          <tpl hier="4" item="1"/>
          <tpl fld="2" item="13"/>
          <tpl fld="4" item="87"/>
          <tpl hier="9" item="4"/>
          <tpl hier="11" item="6"/>
          <tpl hier="12" item="5"/>
          <tpl fld="1" item="0"/>
        </tpls>
      </n>
      <n v="88256077824">
        <tpls c="8">
          <tpl hier="2" item="0"/>
          <tpl hier="4" item="1"/>
          <tpl fld="2" item="18"/>
          <tpl fld="4" item="86"/>
          <tpl hier="9" item="4"/>
          <tpl hier="11" item="6"/>
          <tpl hier="12" item="5"/>
          <tpl fld="1" item="0"/>
        </tpls>
      </n>
      <n v="1971526016">
        <tpls c="8">
          <tpl hier="2" item="0"/>
          <tpl hier="4" item="1"/>
          <tpl fld="2" item="23"/>
          <tpl fld="4" item="85"/>
          <tpl hier="9" item="4"/>
          <tpl hier="11" item="6"/>
          <tpl hier="12" item="5"/>
          <tpl fld="1" item="0"/>
        </tpls>
      </n>
      <n v="93639303168">
        <tpls c="8">
          <tpl hier="2" item="0"/>
          <tpl hier="4" item="1"/>
          <tpl fld="2" item="38"/>
          <tpl fld="4" item="84"/>
          <tpl hier="9" item="4"/>
          <tpl hier="11" item="6"/>
          <tpl hier="12" item="5"/>
          <tpl fld="1" item="0"/>
        </tpls>
      </n>
      <n v="283902836736">
        <tpls c="8">
          <tpl hier="2" item="0"/>
          <tpl hier="4" item="1"/>
          <tpl fld="2" item="43"/>
          <tpl fld="4" item="83"/>
          <tpl hier="9" item="4"/>
          <tpl hier="11" item="6"/>
          <tpl hier="12" item="5"/>
          <tpl fld="1" item="0"/>
        </tpls>
      </n>
      <n v="27502168064">
        <tpls c="8">
          <tpl hier="2" item="0"/>
          <tpl hier="4" item="1"/>
          <tpl fld="2" item="9"/>
          <tpl fld="4" item="83"/>
          <tpl hier="9" item="4"/>
          <tpl hier="11" item="6"/>
          <tpl hier="12" item="5"/>
          <tpl fld="1" item="0"/>
        </tpls>
      </n>
      <n v="20702298112">
        <tpls c="8">
          <tpl hier="2" item="0"/>
          <tpl hier="4" item="1"/>
          <tpl fld="2" item="17"/>
          <tpl fld="4" item="82"/>
          <tpl hier="9" item="4"/>
          <tpl hier="11" item="6"/>
          <tpl hier="12" item="5"/>
          <tpl fld="1" item="0"/>
        </tpls>
      </n>
      <n v="9624440832">
        <tpls c="8">
          <tpl hier="2" item="0"/>
          <tpl hier="4" item="1"/>
          <tpl fld="2" item="34"/>
          <tpl fld="4" item="81"/>
          <tpl hier="9" item="4"/>
          <tpl hier="11" item="6"/>
          <tpl hier="12" item="5"/>
          <tpl fld="1" item="0"/>
        </tpls>
      </n>
      <n v="594611136">
        <tpls c="8">
          <tpl hier="2" item="0"/>
          <tpl hier="4" item="1"/>
          <tpl fld="2" item="0"/>
          <tpl fld="4" item="81"/>
          <tpl hier="9" item="4"/>
          <tpl hier="11" item="6"/>
          <tpl hier="12" item="5"/>
          <tpl fld="1" item="0"/>
        </tpls>
      </n>
      <n v="3143848448">
        <tpls c="8">
          <tpl hier="2" item="0"/>
          <tpl hier="4" item="1"/>
          <tpl fld="2" item="17"/>
          <tpl fld="4" item="80"/>
          <tpl hier="9" item="4"/>
          <tpl hier="11" item="6"/>
          <tpl hier="12" item="5"/>
          <tpl fld="1" item="0"/>
        </tpls>
      </n>
      <n v="9573813248">
        <tpls c="8">
          <tpl hier="2" item="0"/>
          <tpl hier="4" item="1"/>
          <tpl fld="2" item="25"/>
          <tpl fld="4" item="79"/>
          <tpl hier="9" item="4"/>
          <tpl hier="11" item="6"/>
          <tpl hier="12" item="5"/>
          <tpl fld="1" item="0"/>
        </tpls>
      </n>
      <n v="224383614976">
        <tpls c="8">
          <tpl hier="2" item="0"/>
          <tpl hier="4" item="1"/>
          <tpl fld="2" item="42"/>
          <tpl fld="4" item="78"/>
          <tpl hier="9" item="4"/>
          <tpl hier="11" item="6"/>
          <tpl hier="12" item="5"/>
          <tpl fld="1" item="0"/>
        </tpls>
      </n>
      <n v="17811515392">
        <tpls c="8">
          <tpl hier="2" item="0"/>
          <tpl hier="4" item="1"/>
          <tpl fld="2" item="8"/>
          <tpl fld="4" item="78"/>
          <tpl hier="9" item="4"/>
          <tpl hier="11" item="6"/>
          <tpl hier="12" item="5"/>
          <tpl fld="1" item="0"/>
        </tpls>
      </n>
      <n v="7323822080">
        <tpls c="8">
          <tpl hier="2" item="0"/>
          <tpl hier="4" item="1"/>
          <tpl fld="2" item="16"/>
          <tpl fld="4" item="77"/>
          <tpl hier="9" item="4"/>
          <tpl hier="11" item="6"/>
          <tpl hier="12" item="5"/>
          <tpl fld="1" item="0"/>
        </tpls>
      </n>
      <n v="104911945728">
        <tpls c="8">
          <tpl hier="2" item="0"/>
          <tpl hier="4" item="1"/>
          <tpl fld="2" item="33"/>
          <tpl fld="4" item="76"/>
          <tpl hier="9" item="4"/>
          <tpl hier="11" item="6"/>
          <tpl hier="12" item="5"/>
          <tpl fld="1" item="0"/>
        </tpls>
      </n>
      <n v="205547722496">
        <tpls c="8">
          <tpl hier="2" item="0"/>
          <tpl hier="4" item="1"/>
          <tpl hier="5" item="3"/>
          <tpl fld="4" item="75"/>
          <tpl hier="9" item="4"/>
          <tpl hier="11" item="6"/>
          <tpl hier="12" item="5"/>
          <tpl fld="1" item="0"/>
        </tpls>
      </n>
      <n v="1904097024">
        <tpls c="8">
          <tpl hier="2" item="0"/>
          <tpl hier="4" item="1"/>
          <tpl fld="2" item="16"/>
          <tpl fld="4" item="75"/>
          <tpl hier="9" item="4"/>
          <tpl hier="11" item="6"/>
          <tpl hier="12" item="5"/>
          <tpl fld="1" item="0"/>
        </tpls>
      </n>
      <n v="3863185152">
        <tpls c="8">
          <tpl hier="2" item="0"/>
          <tpl hier="4" item="1"/>
          <tpl fld="2" item="24"/>
          <tpl fld="4" item="74"/>
          <tpl hier="9" item="4"/>
          <tpl hier="11" item="6"/>
          <tpl hier="12" item="5"/>
          <tpl fld="1" item="0"/>
        </tpls>
      </n>
      <n v="18913574912">
        <tpls c="8">
          <tpl hier="2" item="0"/>
          <tpl hier="4" item="1"/>
          <tpl fld="2" item="41"/>
          <tpl fld="4" item="73"/>
          <tpl hier="9" item="4"/>
          <tpl hier="11" item="6"/>
          <tpl hier="12" item="5"/>
          <tpl fld="1" item="0"/>
        </tpls>
      </n>
      <n v="1382400000">
        <tpls c="8">
          <tpl hier="2" item="0"/>
          <tpl hier="4" item="1"/>
          <tpl fld="2" item="7"/>
          <tpl fld="4" item="73"/>
          <tpl hier="9" item="4"/>
          <tpl hier="11" item="6"/>
          <tpl hier="12" item="5"/>
          <tpl fld="1" item="0"/>
        </tpls>
      </n>
      <n v="14991283200">
        <tpls c="8">
          <tpl hier="2" item="0"/>
          <tpl hier="4" item="1"/>
          <tpl fld="2" item="15"/>
          <tpl fld="4" item="72"/>
          <tpl hier="9" item="4"/>
          <tpl hier="11" item="6"/>
          <tpl hier="12" item="5"/>
          <tpl fld="1" item="0"/>
        </tpls>
      </n>
      <n v="772106354688">
        <tpls c="8">
          <tpl hier="2" item="0"/>
          <tpl hier="4" item="1"/>
          <tpl fld="2" item="32"/>
          <tpl fld="4" item="71"/>
          <tpl hier="9" item="4"/>
          <tpl hier="11" item="6"/>
          <tpl hier="12" item="5"/>
          <tpl fld="1" item="0"/>
        </tpls>
      </n>
      <n v="7593752576">
        <tpls c="8">
          <tpl hier="2" item="0"/>
          <tpl hier="4" item="1"/>
          <tpl fld="2" item="49"/>
          <tpl fld="4" item="70"/>
          <tpl hier="9" item="4"/>
          <tpl hier="11" item="6"/>
          <tpl hier="12" item="5"/>
          <tpl fld="1" item="0"/>
        </tpls>
      </n>
      <n v="1009723328">
        <tpls c="8">
          <tpl hier="2" item="0"/>
          <tpl hier="4" item="1"/>
          <tpl fld="2" item="15"/>
          <tpl fld="4" item="70"/>
          <tpl hier="9" item="4"/>
          <tpl hier="11" item="6"/>
          <tpl hier="12" item="5"/>
          <tpl fld="1" item="0"/>
        </tpls>
      </n>
      <n v="2818280960">
        <tpls c="8">
          <tpl hier="2" item="0"/>
          <tpl hier="4" item="1"/>
          <tpl fld="2" item="23"/>
          <tpl fld="4" item="69"/>
          <tpl hier="9" item="4"/>
          <tpl hier="11" item="6"/>
          <tpl hier="12" item="5"/>
          <tpl fld="1" item="0"/>
        </tpls>
      </n>
      <n v="255016615936">
        <tpls c="8">
          <tpl hier="2" item="0"/>
          <tpl hier="4" item="1"/>
          <tpl fld="2" item="40"/>
          <tpl fld="4" item="68"/>
          <tpl hier="9" item="4"/>
          <tpl hier="11" item="6"/>
          <tpl hier="12" item="5"/>
          <tpl fld="1" item="0"/>
        </tpls>
      </n>
      <n v="11050126336">
        <tpls c="8">
          <tpl hier="2" item="0"/>
          <tpl hier="4" item="1"/>
          <tpl fld="2" item="6"/>
          <tpl fld="4" item="68"/>
          <tpl hier="9" item="4"/>
          <tpl hier="11" item="6"/>
          <tpl hier="12" item="5"/>
          <tpl fld="1" item="0"/>
        </tpls>
      </n>
      <n v="1208008960">
        <tpls c="8">
          <tpl hier="2" item="0"/>
          <tpl hier="4" item="1"/>
          <tpl fld="2" item="14"/>
          <tpl fld="4" item="67"/>
          <tpl hier="9" item="4"/>
          <tpl hier="11" item="6"/>
          <tpl hier="12" item="5"/>
          <tpl fld="1" item="0"/>
        </tpls>
      </n>
      <n v="5438332928">
        <tpls c="8">
          <tpl hier="2" item="0"/>
          <tpl hier="4" item="1"/>
          <tpl fld="2" item="31"/>
          <tpl fld="4" item="66"/>
          <tpl hier="9" item="4"/>
          <tpl hier="11" item="6"/>
          <tpl hier="12" item="5"/>
          <tpl fld="1" item="0"/>
        </tpls>
      </n>
      <n v="2575892224">
        <tpls c="8">
          <tpl hier="2" item="0"/>
          <tpl hier="4" item="1"/>
          <tpl fld="2" item="48"/>
          <tpl fld="4" item="65"/>
          <tpl hier="9" item="4"/>
          <tpl hier="11" item="6"/>
          <tpl hier="12" item="5"/>
          <tpl fld="1" item="0"/>
        </tpls>
      </n>
      <n v="333158464">
        <tpls c="8">
          <tpl hier="2" item="0"/>
          <tpl hier="4" item="1"/>
          <tpl fld="2" item="14"/>
          <tpl fld="4" item="65"/>
          <tpl hier="9" item="4"/>
          <tpl hier="11" item="6"/>
          <tpl hier="12" item="5"/>
          <tpl fld="1" item="0"/>
        </tpls>
      </n>
      <n v="46919624">
        <tpls c="8">
          <tpl hier="2" item="0"/>
          <tpl hier="4" item="1"/>
          <tpl fld="2" item="23"/>
          <tpl fld="4" item="64"/>
          <tpl hier="9" item="4"/>
          <tpl hier="11" item="6"/>
          <tpl hier="12" item="5"/>
          <tpl fld="1" item="0"/>
        </tpls>
      </n>
      <n v="14295280">
        <tpls c="8">
          <tpl hier="2" item="0"/>
          <tpl hier="4" item="1"/>
          <tpl fld="2" item="0"/>
          <tpl fld="4" item="64"/>
          <tpl hier="9" item="4"/>
          <tpl hier="11" item="6"/>
          <tpl hier="12" item="5"/>
          <tpl fld="1" item="0"/>
        </tpls>
      </n>
      <n v="18737897472">
        <tpls c="8">
          <tpl hier="2" item="0"/>
          <tpl hier="4" item="1"/>
          <tpl fld="2" item="35"/>
          <tpl fld="4" item="63"/>
          <tpl hier="9" item="4"/>
          <tpl hier="11" item="6"/>
          <tpl hier="12" item="5"/>
          <tpl fld="1" item="0"/>
        </tpls>
      </n>
      <n v="8283114496">
        <tpls c="8">
          <tpl hier="2" item="0"/>
          <tpl hier="4" item="1"/>
          <tpl fld="2" item="19"/>
          <tpl fld="4" item="63"/>
          <tpl hier="9" item="4"/>
          <tpl hier="11" item="6"/>
          <tpl hier="12" item="5"/>
          <tpl fld="1" item="0"/>
        </tpls>
      </n>
      <n v="2502142464">
        <tpls c="8">
          <tpl hier="2" item="0"/>
          <tpl hier="4" item="1"/>
          <tpl fld="2" item="3"/>
          <tpl fld="4" item="63"/>
          <tpl hier="9" item="4"/>
          <tpl hier="11" item="6"/>
          <tpl hier="12" item="5"/>
          <tpl fld="1" item="0"/>
        </tpls>
      </n>
      <n v="13680482304">
        <tpls c="8">
          <tpl hier="2" item="0"/>
          <tpl hier="4" item="1"/>
          <tpl fld="2" item="38"/>
          <tpl fld="4" item="62"/>
          <tpl hier="9" item="4"/>
          <tpl hier="11" item="6"/>
          <tpl hier="12" item="5"/>
          <tpl fld="1" item="0"/>
        </tpls>
      </n>
      <n v="3530892800">
        <tpls c="8">
          <tpl hier="2" item="0"/>
          <tpl hier="4" item="1"/>
          <tpl fld="2" item="22"/>
          <tpl fld="4" item="62"/>
          <tpl hier="9" item="4"/>
          <tpl hier="11" item="6"/>
          <tpl hier="12" item="5"/>
          <tpl fld="1" item="0"/>
        </tpls>
      </n>
      <n v="2966010112">
        <tpls c="8">
          <tpl hier="2" item="0"/>
          <tpl hier="4" item="1"/>
          <tpl fld="2" item="6"/>
          <tpl fld="4" item="62"/>
          <tpl hier="9" item="4"/>
          <tpl hier="11" item="6"/>
          <tpl hier="12" item="5"/>
          <tpl fld="1" item="0"/>
        </tpls>
      </n>
      <n v="185749667840">
        <tpls c="8">
          <tpl hier="2" item="0"/>
          <tpl hier="4" item="1"/>
          <tpl fld="2" item="41"/>
          <tpl fld="4" item="61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5"/>
          <tpl fld="4" item="61"/>
          <tpl hier="9" item="4"/>
          <tpl hier="11" item="6"/>
          <tpl hier="12" item="5"/>
          <tpl fld="1" item="0"/>
        </tpls>
      </m>
      <n v="37816459264">
        <tpls c="8">
          <tpl hier="2" item="0"/>
          <tpl hier="4" item="1"/>
          <tpl fld="2" item="9"/>
          <tpl fld="4" item="61"/>
          <tpl hier="9" item="4"/>
          <tpl hier="11" item="6"/>
          <tpl hier="12" item="5"/>
          <tpl fld="1" item="0"/>
        </tpls>
      </n>
      <n v="2039127474176">
        <tpls c="8">
          <tpl hier="2" item="0"/>
          <tpl hier="4" item="1"/>
          <tpl fld="2" item="44"/>
          <tpl fld="4" item="60"/>
          <tpl hier="9" item="4"/>
          <tpl hier="11" item="6"/>
          <tpl hier="12" item="5"/>
          <tpl fld="1" item="0"/>
        </tpls>
      </n>
      <n v="421351489536">
        <tpls c="8">
          <tpl hier="2" item="0"/>
          <tpl hier="4" item="1"/>
          <tpl fld="2" item="28"/>
          <tpl fld="4" item="60"/>
          <tpl hier="9" item="4"/>
          <tpl hier="11" item="6"/>
          <tpl hier="12" item="5"/>
          <tpl fld="1" item="0"/>
        </tpls>
      </n>
      <n v="200715141120">
        <tpls c="8">
          <tpl hier="2" item="0"/>
          <tpl hier="4" item="1"/>
          <tpl fld="2" item="12"/>
          <tpl fld="4" item="60"/>
          <tpl hier="9" item="4"/>
          <tpl hier="11" item="6"/>
          <tpl hier="12" item="5"/>
          <tpl fld="1" item="0"/>
        </tpls>
      </n>
      <n v="23136231424">
        <tpls c="8">
          <tpl hier="2" item="0"/>
          <tpl hier="4" item="1"/>
          <tpl fld="2" item="47"/>
          <tpl fld="4" item="59"/>
          <tpl hier="9" item="4"/>
          <tpl hier="11" item="6"/>
          <tpl hier="12" item="5"/>
          <tpl fld="1" item="0"/>
        </tpls>
      </n>
      <n v="7565870080">
        <tpls c="8">
          <tpl hier="2" item="0"/>
          <tpl hier="4" item="1"/>
          <tpl fld="2" item="31"/>
          <tpl fld="4" item="59"/>
          <tpl hier="9" item="4"/>
          <tpl hier="11" item="6"/>
          <tpl hier="12" item="5"/>
          <tpl fld="1" item="0"/>
        </tpls>
      </n>
      <n v="5278120960">
        <tpls c="8">
          <tpl hier="2" item="0"/>
          <tpl hier="4" item="1"/>
          <tpl fld="2" item="15"/>
          <tpl fld="4" item="59"/>
          <tpl hier="9" item="4"/>
          <tpl hier="11" item="6"/>
          <tpl hier="12" item="5"/>
          <tpl fld="1" item="0"/>
        </tpls>
      </n>
      <n v="184131173952">
        <tpls c="8">
          <tpl hier="2" item="0"/>
          <tpl hier="4" item="1"/>
          <tpl hier="5" item="3"/>
          <tpl fld="4" item="58"/>
          <tpl hier="9" item="4"/>
          <tpl hier="11" item="6"/>
          <tpl hier="12" item="5"/>
          <tpl fld="1" item="0"/>
        </tpls>
      </n>
      <n v="3537720320">
        <tpls c="8">
          <tpl hier="2" item="0"/>
          <tpl hier="4" item="1"/>
          <tpl fld="2" item="34"/>
          <tpl fld="4" item="58"/>
          <tpl hier="9" item="4"/>
          <tpl hier="11" item="6"/>
          <tpl hier="12" item="5"/>
          <tpl fld="1" item="0"/>
        </tpls>
      </n>
      <n v="2613926912">
        <tpls c="8">
          <tpl hier="2" item="0"/>
          <tpl hier="4" item="1"/>
          <tpl fld="2" item="18"/>
          <tpl fld="4" item="58"/>
          <tpl hier="9" item="4"/>
          <tpl hier="11" item="6"/>
          <tpl hier="12" item="5"/>
          <tpl fld="1" item="0"/>
        </tpls>
      </n>
      <n v="372000000">
        <tpls c="8">
          <tpl hier="2" item="0"/>
          <tpl hier="4" item="1"/>
          <tpl fld="2" item="2"/>
          <tpl fld="4" item="58"/>
          <tpl hier="9" item="4"/>
          <tpl hier="11" item="6"/>
          <tpl hier="12" item="5"/>
          <tpl fld="1" item="0"/>
        </tpls>
      </n>
      <n v="1740180480">
        <tpls c="8">
          <tpl hier="2" item="0"/>
          <tpl hier="4" item="1"/>
          <tpl fld="2" item="37"/>
          <tpl fld="4" item="57"/>
          <tpl hier="9" item="4"/>
          <tpl hier="11" item="6"/>
          <tpl hier="12" item="5"/>
          <tpl fld="1" item="0"/>
        </tpls>
      </n>
      <n v="348533088">
        <tpls c="8">
          <tpl hier="2" item="0"/>
          <tpl hier="4" item="1"/>
          <tpl fld="2" item="21"/>
          <tpl fld="4" item="57"/>
          <tpl hier="9" item="4"/>
          <tpl hier="11" item="6"/>
          <tpl hier="12" item="5"/>
          <tpl fld="1" item="0"/>
        </tpls>
      </n>
      <n v="494791680">
        <tpls c="8">
          <tpl hier="2" item="0"/>
          <tpl hier="4" item="1"/>
          <tpl fld="2" item="5"/>
          <tpl fld="4" item="57"/>
          <tpl hier="9" item="4"/>
          <tpl hier="11" item="6"/>
          <tpl hier="12" item="5"/>
          <tpl fld="1" item="0"/>
        </tpls>
      </n>
      <n v="849050112">
        <tpls c="8">
          <tpl hier="2" item="0"/>
          <tpl hier="4" item="1"/>
          <tpl fld="2" item="40"/>
          <tpl fld="4" item="56"/>
          <tpl hier="9" item="4"/>
          <tpl hier="11" item="6"/>
          <tpl hier="12" item="5"/>
          <tpl fld="1" item="0"/>
        </tpls>
      </n>
      <n v="235620048">
        <tpls c="8">
          <tpl hier="2" item="0"/>
          <tpl hier="4" item="1"/>
          <tpl fld="2" item="24"/>
          <tpl fld="4" item="56"/>
          <tpl hier="9" item="4"/>
          <tpl hier="11" item="6"/>
          <tpl hier="12" item="5"/>
          <tpl fld="1" item="0"/>
        </tpls>
      </n>
      <n v="122666856">
        <tpls c="8">
          <tpl hier="2" item="0"/>
          <tpl hier="4" item="1"/>
          <tpl fld="2" item="8"/>
          <tpl fld="4" item="56"/>
          <tpl hier="9" item="4"/>
          <tpl hier="11" item="6"/>
          <tpl hier="12" item="5"/>
          <tpl fld="1" item="0"/>
        </tpls>
      </n>
      <n v="52996542464">
        <tpls c="8">
          <tpl hier="2" item="0"/>
          <tpl hier="4" item="1"/>
          <tpl fld="2" item="43"/>
          <tpl fld="4" item="55"/>
          <tpl hier="9" item="4"/>
          <tpl hier="11" item="6"/>
          <tpl hier="12" item="5"/>
          <tpl fld="1" item="0"/>
        </tpls>
      </n>
      <n v="17790025728">
        <tpls c="8">
          <tpl hier="2" item="0"/>
          <tpl hier="4" item="1"/>
          <tpl fld="2" item="27"/>
          <tpl fld="4" item="55"/>
          <tpl hier="9" item="4"/>
          <tpl hier="11" item="6"/>
          <tpl hier="12" item="5"/>
          <tpl fld="1" item="0"/>
        </tpls>
      </n>
      <n v="8607500288">
        <tpls c="8">
          <tpl hier="2" item="0"/>
          <tpl hier="4" item="1"/>
          <tpl fld="2" item="11"/>
          <tpl fld="4" item="55"/>
          <tpl hier="9" item="4"/>
          <tpl hier="11" item="6"/>
          <tpl hier="12" item="5"/>
          <tpl fld="1" item="0"/>
        </tpls>
      </n>
      <n v="55009730560">
        <tpls c="8">
          <tpl hier="2" item="0"/>
          <tpl hier="4" item="1"/>
          <tpl fld="2" item="46"/>
          <tpl fld="4" item="54"/>
          <tpl hier="9" item="4"/>
          <tpl hier="11" item="6"/>
          <tpl hier="12" item="5"/>
          <tpl fld="1" item="0"/>
        </tpls>
      </n>
      <n v="4983024640">
        <tpls c="8">
          <tpl hier="2" item="0"/>
          <tpl hier="4" item="1"/>
          <tpl fld="2" item="30"/>
          <tpl fld="4" item="54"/>
          <tpl hier="9" item="4"/>
          <tpl hier="11" item="6"/>
          <tpl hier="12" item="5"/>
          <tpl fld="1" item="0"/>
        </tpls>
      </n>
      <n v="4412279808">
        <tpls c="8">
          <tpl hier="2" item="0"/>
          <tpl hier="4" item="1"/>
          <tpl fld="2" item="14"/>
          <tpl fld="4" item="54"/>
          <tpl hier="9" item="4"/>
          <tpl hier="11" item="6"/>
          <tpl hier="12" item="5"/>
          <tpl fld="1" item="0"/>
        </tpls>
      </n>
      <n v="1763819008">
        <tpls c="8">
          <tpl hier="2" item="0"/>
          <tpl hier="4" item="1"/>
          <tpl fld="2" item="49"/>
          <tpl fld="4" item="53"/>
          <tpl hier="9" item="4"/>
          <tpl hier="11" item="6"/>
          <tpl hier="12" item="5"/>
          <tpl fld="1" item="0"/>
        </tpls>
      </n>
      <n v="487038816">
        <tpls c="8">
          <tpl hier="2" item="0"/>
          <tpl hier="4" item="1"/>
          <tpl fld="2" item="33"/>
          <tpl fld="4" item="53"/>
          <tpl hier="9" item="4"/>
          <tpl hier="11" item="6"/>
          <tpl hier="12" item="5"/>
          <tpl fld="1" item="0"/>
        </tpls>
      </n>
      <n v="220626480">
        <tpls c="8">
          <tpl hier="2" item="0"/>
          <tpl hier="4" item="1"/>
          <tpl fld="2" item="17"/>
          <tpl fld="4" item="53"/>
          <tpl hier="9" item="4"/>
          <tpl hier="11" item="6"/>
          <tpl hier="12" item="5"/>
          <tpl fld="1" item="0"/>
        </tpls>
      </n>
      <n v="55728608">
        <tpls c="8">
          <tpl hier="2" item="0"/>
          <tpl hier="4" item="1"/>
          <tpl fld="2" item="1"/>
          <tpl fld="4" item="53"/>
          <tpl hier="9" item="4"/>
          <tpl hier="11" item="6"/>
          <tpl hier="12" item="5"/>
          <tpl fld="1" item="0"/>
        </tpls>
      </n>
      <n v="10318424064">
        <tpls c="8">
          <tpl hier="2" item="0"/>
          <tpl hier="4" item="1"/>
          <tpl fld="2" item="36"/>
          <tpl fld="4" item="52"/>
          <tpl hier="9" item="4"/>
          <tpl hier="11" item="6"/>
          <tpl hier="12" item="5"/>
          <tpl fld="1" item="0"/>
        </tpls>
      </n>
      <n v="5952293888">
        <tpls c="8">
          <tpl hier="2" item="0"/>
          <tpl hier="4" item="1"/>
          <tpl fld="2" item="20"/>
          <tpl fld="4" item="52"/>
          <tpl hier="9" item="4"/>
          <tpl hier="11" item="6"/>
          <tpl hier="12" item="5"/>
          <tpl fld="1" item="0"/>
        </tpls>
      </n>
      <n v="1544216064">
        <tpls c="8">
          <tpl hier="2" item="0"/>
          <tpl hier="4" item="1"/>
          <tpl fld="2" item="4"/>
          <tpl fld="4" item="52"/>
          <tpl hier="9" item="4"/>
          <tpl hier="11" item="6"/>
          <tpl hier="12" item="5"/>
          <tpl fld="1" item="0"/>
        </tpls>
      </n>
      <n v="2870624512">
        <tpls c="8">
          <tpl hier="2" item="0"/>
          <tpl hier="4" item="1"/>
          <tpl fld="2" item="39"/>
          <tpl fld="4" item="51"/>
          <tpl hier="9" item="4"/>
          <tpl hier="11" item="6"/>
          <tpl hier="12" item="5"/>
          <tpl fld="1" item="0"/>
        </tpls>
      </n>
      <n v="1635426176">
        <tpls c="8">
          <tpl hier="2" item="0"/>
          <tpl hier="4" item="1"/>
          <tpl fld="2" item="23"/>
          <tpl fld="4" item="51"/>
          <tpl hier="9" item="4"/>
          <tpl hier="11" item="6"/>
          <tpl hier="12" item="5"/>
          <tpl fld="1" item="0"/>
        </tpls>
      </n>
      <n v="719533120">
        <tpls c="8">
          <tpl hier="2" item="0"/>
          <tpl hier="4" item="1"/>
          <tpl fld="2" item="7"/>
          <tpl fld="4" item="51"/>
          <tpl hier="9" item="4"/>
          <tpl hier="11" item="6"/>
          <tpl hier="12" item="5"/>
          <tpl fld="1" item="0"/>
        </tpls>
      </n>
      <n v="21386000384">
        <tpls c="8">
          <tpl hier="2" item="0"/>
          <tpl hier="4" item="1"/>
          <tpl fld="2" item="42"/>
          <tpl fld="4" item="50"/>
          <tpl hier="9" item="4"/>
          <tpl hier="11" item="6"/>
          <tpl hier="12" item="5"/>
          <tpl fld="1" item="0"/>
        </tpls>
      </n>
      <n v="9586327552">
        <tpls c="8">
          <tpl hier="2" item="0"/>
          <tpl hier="4" item="1"/>
          <tpl fld="2" item="26"/>
          <tpl fld="4" item="50"/>
          <tpl hier="9" item="4"/>
          <tpl hier="11" item="6"/>
          <tpl hier="12" item="5"/>
          <tpl fld="1" item="0"/>
        </tpls>
      </n>
      <n v="3573959936">
        <tpls c="8">
          <tpl hier="2" item="0"/>
          <tpl hier="4" item="1"/>
          <tpl fld="2" item="10"/>
          <tpl fld="4" item="50"/>
          <tpl hier="9" item="4"/>
          <tpl hier="11" item="6"/>
          <tpl hier="12" item="5"/>
          <tpl fld="1" item="0"/>
        </tpls>
      </n>
      <n v="99290382336">
        <tpls c="8">
          <tpl hier="2" item="0"/>
          <tpl hier="4" item="1"/>
          <tpl fld="2" item="45"/>
          <tpl fld="4" item="49"/>
          <tpl hier="9" item="4"/>
          <tpl hier="11" item="6"/>
          <tpl hier="12" item="5"/>
          <tpl fld="1" item="0"/>
        </tpls>
      </n>
      <n v="19645272064">
        <tpls c="8">
          <tpl hier="2" item="0"/>
          <tpl hier="4" item="1"/>
          <tpl fld="2" item="29"/>
          <tpl fld="4" item="49"/>
          <tpl hier="9" item="4"/>
          <tpl hier="11" item="6"/>
          <tpl hier="12" item="5"/>
          <tpl fld="1" item="0"/>
        </tpls>
      </n>
      <n v="17152483328">
        <tpls c="8">
          <tpl hier="2" item="0"/>
          <tpl hier="4" item="1"/>
          <tpl fld="2" item="13"/>
          <tpl fld="4" item="49"/>
          <tpl hier="9" item="4"/>
          <tpl hier="11" item="6"/>
          <tpl hier="12" item="5"/>
          <tpl fld="1" item="0"/>
        </tpls>
      </n>
      <n v="85555380224">
        <tpls c="8">
          <tpl hier="2" item="0"/>
          <tpl hier="4" item="1"/>
          <tpl fld="2" item="48"/>
          <tpl fld="4" item="48"/>
          <tpl hier="9" item="4"/>
          <tpl hier="11" item="6"/>
          <tpl hier="12" item="5"/>
          <tpl fld="1" item="0"/>
        </tpls>
      </n>
      <n v="27362875392">
        <tpls c="8">
          <tpl hier="2" item="0"/>
          <tpl hier="4" item="1"/>
          <tpl fld="2" item="32"/>
          <tpl fld="4" item="48"/>
          <tpl hier="9" item="4"/>
          <tpl hier="11" item="6"/>
          <tpl hier="12" item="5"/>
          <tpl fld="1" item="0"/>
        </tpls>
      </n>
      <n v="6122198016">
        <tpls c="8">
          <tpl hier="2" item="0"/>
          <tpl hier="4" item="1"/>
          <tpl fld="2" item="16"/>
          <tpl fld="4" item="48"/>
          <tpl hier="9" item="4"/>
          <tpl hier="11" item="6"/>
          <tpl hier="12" item="5"/>
          <tpl fld="1" item="0"/>
        </tpls>
      </n>
      <n v="1485500032">
        <tpls c="8">
          <tpl hier="2" item="0"/>
          <tpl hier="4" item="1"/>
          <tpl fld="2" item="0"/>
          <tpl fld="4" item="48"/>
          <tpl hier="9" item="4"/>
          <tpl hier="11" item="6"/>
          <tpl hier="12" item="5"/>
          <tpl fld="1" item="0"/>
        </tpls>
      </n>
      <n v="17084929024">
        <tpls c="8">
          <tpl hier="2" item="0"/>
          <tpl hier="4" item="1"/>
          <tpl fld="2" item="35"/>
          <tpl fld="4" item="47"/>
          <tpl hier="9" item="4"/>
          <tpl hier="11" item="6"/>
          <tpl hier="12" item="5"/>
          <tpl fld="1" item="0"/>
        </tpls>
      </n>
      <n v="9757410304">
        <tpls c="8">
          <tpl hier="2" item="0"/>
          <tpl hier="4" item="1"/>
          <tpl fld="2" item="19"/>
          <tpl fld="4" item="47"/>
          <tpl hier="9" item="4"/>
          <tpl hier="11" item="6"/>
          <tpl hier="12" item="5"/>
          <tpl fld="1" item="0"/>
        </tpls>
      </n>
      <n v="2508421120">
        <tpls c="8">
          <tpl hier="2" item="0"/>
          <tpl hier="4" item="1"/>
          <tpl fld="2" item="3"/>
          <tpl fld="4" item="47"/>
          <tpl hier="9" item="4"/>
          <tpl hier="11" item="6"/>
          <tpl hier="12" item="5"/>
          <tpl fld="1" item="0"/>
        </tpls>
      </n>
      <n v="30612926464">
        <tpls c="8">
          <tpl hier="2" item="0"/>
          <tpl hier="4" item="1"/>
          <tpl fld="2" item="38"/>
          <tpl fld="4" item="46"/>
          <tpl hier="9" item="4"/>
          <tpl hier="11" item="6"/>
          <tpl hier="12" item="5"/>
          <tpl fld="1" item="0"/>
        </tpls>
      </n>
      <n v="8528593408">
        <tpls c="8">
          <tpl hier="2" item="0"/>
          <tpl hier="4" item="1"/>
          <tpl fld="2" item="22"/>
          <tpl fld="4" item="46"/>
          <tpl hier="9" item="4"/>
          <tpl hier="11" item="6"/>
          <tpl hier="12" item="5"/>
          <tpl fld="1" item="0"/>
        </tpls>
      </n>
      <n v="2412555520">
        <tpls c="8">
          <tpl hier="2" item="0"/>
          <tpl hier="4" item="1"/>
          <tpl fld="2" item="6"/>
          <tpl fld="4" item="46"/>
          <tpl hier="9" item="4"/>
          <tpl hier="11" item="6"/>
          <tpl hier="12" item="5"/>
          <tpl fld="1" item="0"/>
        </tpls>
      </n>
      <n v="14444510208">
        <tpls c="8">
          <tpl hier="2" item="0"/>
          <tpl hier="4" item="1"/>
          <tpl fld="2" item="41"/>
          <tpl fld="4" item="45"/>
          <tpl hier="9" item="4"/>
          <tpl hier="11" item="6"/>
          <tpl hier="12" item="5"/>
          <tpl fld="1" item="0"/>
        </tpls>
      </n>
      <n v="2116003968">
        <tpls c="8">
          <tpl hier="2" item="0"/>
          <tpl hier="4" item="1"/>
          <tpl fld="2" item="25"/>
          <tpl fld="4" item="45"/>
          <tpl hier="9" item="4"/>
          <tpl hier="11" item="6"/>
          <tpl hier="12" item="5"/>
          <tpl fld="1" item="0"/>
        </tpls>
      </n>
      <n v="1198749696">
        <tpls c="8">
          <tpl hier="2" item="0"/>
          <tpl hier="4" item="1"/>
          <tpl fld="2" item="9"/>
          <tpl fld="4" item="45"/>
          <tpl hier="9" item="4"/>
          <tpl hier="11" item="6"/>
          <tpl hier="12" item="5"/>
          <tpl fld="1" item="0"/>
        </tpls>
      </n>
      <n v="35909042176">
        <tpls c="8">
          <tpl hier="2" item="0"/>
          <tpl hier="4" item="1"/>
          <tpl fld="2" item="44"/>
          <tpl fld="4" item="44"/>
          <tpl hier="9" item="4"/>
          <tpl hier="11" item="6"/>
          <tpl hier="12" item="5"/>
          <tpl fld="1" item="0"/>
        </tpls>
      </n>
      <n v="6215591424">
        <tpls c="8">
          <tpl hier="2" item="0"/>
          <tpl hier="4" item="1"/>
          <tpl fld="2" item="28"/>
          <tpl fld="4" item="44"/>
          <tpl hier="9" item="4"/>
          <tpl hier="11" item="6"/>
          <tpl hier="12" item="5"/>
          <tpl fld="1" item="0"/>
        </tpls>
      </n>
      <n v="13651666944">
        <tpls c="8">
          <tpl hier="2" item="0"/>
          <tpl hier="4" item="1"/>
          <tpl fld="2" item="12"/>
          <tpl fld="4" item="44"/>
          <tpl hier="9" item="4"/>
          <tpl hier="11" item="6"/>
          <tpl hier="12" item="5"/>
          <tpl fld="1" item="0"/>
        </tpls>
      </n>
      <n v="311883726848">
        <tpls c="8">
          <tpl hier="2" item="0"/>
          <tpl hier="4" item="1"/>
          <tpl fld="2" item="47"/>
          <tpl fld="4" item="43"/>
          <tpl hier="9" item="4"/>
          <tpl hier="11" item="6"/>
          <tpl hier="12" item="5"/>
          <tpl fld="1" item="0"/>
        </tpls>
      </n>
      <n v="98211749888">
        <tpls c="8">
          <tpl hier="2" item="0"/>
          <tpl hier="4" item="1"/>
          <tpl fld="2" item="31"/>
          <tpl fld="4" item="43"/>
          <tpl hier="9" item="4"/>
          <tpl hier="11" item="6"/>
          <tpl hier="12" item="5"/>
          <tpl fld="1" item="0"/>
        </tpls>
      </n>
      <n v="34894409728">
        <tpls c="8">
          <tpl hier="2" item="0"/>
          <tpl hier="4" item="1"/>
          <tpl fld="2" item="15"/>
          <tpl fld="4" item="43"/>
          <tpl hier="9" item="4"/>
          <tpl hier="11" item="6"/>
          <tpl hier="12" item="5"/>
          <tpl fld="1" item="0"/>
        </tpls>
      </n>
      <n v="2745717732328">
        <tpls c="8">
          <tpl hier="2" item="0"/>
          <tpl hier="4" item="1"/>
          <tpl fld="2" item="0"/>
          <tpl hier="6" item="2"/>
          <tpl hier="9" item="4"/>
          <tpl hier="11" item="6"/>
          <tpl hier="12" item="5"/>
          <tpl fld="1" item="0"/>
        </tpls>
      </n>
      <n v="672375936">
        <tpls c="8">
          <tpl hier="2" item="0"/>
          <tpl hier="4" item="1"/>
          <tpl fld="2" item="28"/>
          <tpl fld="4" item="89"/>
          <tpl hier="9" item="4"/>
          <tpl hier="11" item="6"/>
          <tpl hier="12" item="5"/>
          <tpl fld="1" item="0"/>
        </tpls>
      </n>
      <n v="10005500928">
        <tpls c="8">
          <tpl hier="2" item="0"/>
          <tpl hier="4" item="1"/>
          <tpl fld="2" item="15"/>
          <tpl fld="4" item="77"/>
          <tpl hier="9" item="4"/>
          <tpl hier="11" item="6"/>
          <tpl hier="12" item="5"/>
          <tpl fld="1" item="0"/>
        </tpls>
      </n>
      <n v="2405289472">
        <tpls c="8">
          <tpl hier="2" item="0"/>
          <tpl hier="4" item="1"/>
          <tpl fld="2" item="47"/>
          <tpl fld="4" item="65"/>
          <tpl hier="9" item="4"/>
          <tpl hier="11" item="6"/>
          <tpl hier="12" item="5"/>
          <tpl fld="1" item="0"/>
        </tpls>
      </n>
      <n v="8151478784">
        <tpls c="8">
          <tpl hier="2" item="0"/>
          <tpl hier="4" item="1"/>
          <tpl fld="2" item="21"/>
          <tpl fld="4" item="63"/>
          <tpl hier="9" item="4"/>
          <tpl hier="11" item="6"/>
          <tpl hier="12" item="5"/>
          <tpl fld="1" item="0"/>
        </tpls>
      </n>
      <n v="14444655616">
        <tpls c="8">
          <tpl hier="2" item="0"/>
          <tpl hier="4" item="1"/>
          <tpl fld="2" item="41"/>
          <tpl fld="4" item="62"/>
          <tpl hier="9" item="4"/>
          <tpl hier="11" item="6"/>
          <tpl hier="12" item="5"/>
          <tpl fld="1" item="0"/>
        </tpls>
      </n>
      <n v="2979061504">
        <tpls c="8">
          <tpl hier="2" item="0"/>
          <tpl hier="4" item="1"/>
          <tpl fld="2" item="11"/>
          <tpl fld="4" item="62"/>
          <tpl hier="9" item="4"/>
          <tpl hier="11" item="6"/>
          <tpl hier="12" item="5"/>
          <tpl fld="1" item="0"/>
        </tpls>
      </n>
      <n v="65140293632">
        <tpls c="8">
          <tpl hier="2" item="0"/>
          <tpl hier="4" item="1"/>
          <tpl fld="2" item="36"/>
          <tpl fld="4" item="61"/>
          <tpl hier="9" item="4"/>
          <tpl hier="11" item="6"/>
          <tpl hier="12" item="5"/>
          <tpl fld="1" item="0"/>
        </tpls>
      </n>
      <n v="17754824704">
        <tpls c="8">
          <tpl hier="2" item="0"/>
          <tpl hier="4" item="1"/>
          <tpl fld="2" item="6"/>
          <tpl fld="4" item="61"/>
          <tpl hier="9" item="4"/>
          <tpl hier="11" item="6"/>
          <tpl hier="12" item="5"/>
          <tpl fld="1" item="0"/>
        </tpls>
      </n>
      <n v="468394934272">
        <tpls c="8">
          <tpl hier="2" item="0"/>
          <tpl hier="4" item="1"/>
          <tpl fld="2" item="30"/>
          <tpl fld="4" item="60"/>
          <tpl hier="9" item="4"/>
          <tpl hier="11" item="6"/>
          <tpl hier="12" item="5"/>
          <tpl fld="1" item="0"/>
        </tpls>
      </n>
      <n v="67350986752">
        <tpls c="8">
          <tpl hier="2" item="0"/>
          <tpl hier="4" item="1"/>
          <tpl fld="2" item="1"/>
          <tpl fld="4" item="60"/>
          <tpl hier="9" item="4"/>
          <tpl hier="11" item="6"/>
          <tpl hier="12" item="5"/>
          <tpl fld="1" item="0"/>
        </tpls>
      </n>
      <n v="7103507968">
        <tpls c="8">
          <tpl hier="2" item="0"/>
          <tpl hier="4" item="1"/>
          <tpl fld="2" item="30"/>
          <tpl fld="4" item="59"/>
          <tpl hier="9" item="4"/>
          <tpl hier="11" item="6"/>
          <tpl hier="12" item="5"/>
          <tpl fld="1" item="0"/>
        </tpls>
      </n>
      <n v="3097242112">
        <tpls c="8">
          <tpl hier="2" item="0"/>
          <tpl hier="4" item="1"/>
          <tpl fld="2" item="8"/>
          <tpl fld="4" item="59"/>
          <tpl hier="9" item="4"/>
          <tpl hier="11" item="6"/>
          <tpl hier="12" item="5"/>
          <tpl fld="1" item="0"/>
        </tpls>
      </n>
      <n v="4310358016">
        <tpls c="8">
          <tpl hier="2" item="0"/>
          <tpl hier="4" item="1"/>
          <tpl fld="2" item="35"/>
          <tpl fld="4" item="58"/>
          <tpl hier="9" item="4"/>
          <tpl hier="11" item="6"/>
          <tpl hier="12" item="5"/>
          <tpl fld="1" item="0"/>
        </tpls>
      </n>
      <n v="1474200064">
        <tpls c="8">
          <tpl hier="2" item="0"/>
          <tpl hier="4" item="1"/>
          <tpl fld="2" item="12"/>
          <tpl fld="4" item="58"/>
          <tpl hier="9" item="4"/>
          <tpl hier="11" item="6"/>
          <tpl hier="12" item="5"/>
          <tpl fld="1" item="0"/>
        </tpls>
      </n>
      <n v="2061323904">
        <tpls c="8">
          <tpl hier="2" item="0"/>
          <tpl hier="4" item="1"/>
          <tpl fld="2" item="39"/>
          <tpl fld="4" item="57"/>
          <tpl hier="9" item="4"/>
          <tpl hier="11" item="6"/>
          <tpl hier="12" item="5"/>
          <tpl fld="1" item="0"/>
        </tpls>
      </n>
      <n v="504651136">
        <tpls c="8">
          <tpl hier="2" item="0"/>
          <tpl hier="4" item="1"/>
          <tpl fld="2" item="16"/>
          <tpl fld="4" item="57"/>
          <tpl hier="9" item="4"/>
          <tpl hier="11" item="6"/>
          <tpl hier="12" item="5"/>
          <tpl fld="1" item="0"/>
        </tpls>
      </n>
      <n v="1045790144">
        <tpls c="8">
          <tpl hier="2" item="0"/>
          <tpl hier="4" item="1"/>
          <tpl fld="2" item="43"/>
          <tpl fld="4" item="56"/>
          <tpl hier="9" item="4"/>
          <tpl hier="11" item="6"/>
          <tpl hier="12" item="5"/>
          <tpl fld="1" item="0"/>
        </tpls>
      </n>
      <n v="243962000">
        <tpls c="8">
          <tpl hier="2" item="0"/>
          <tpl hier="4" item="1"/>
          <tpl fld="2" item="20"/>
          <tpl fld="4" item="56"/>
          <tpl hier="9" item="4"/>
          <tpl hier="11" item="6"/>
          <tpl hier="12" item="5"/>
          <tpl fld="1" item="0"/>
        </tpls>
      </n>
      <n v="71612350464">
        <tpls c="8">
          <tpl hier="2" item="0"/>
          <tpl hier="4" item="1"/>
          <tpl fld="2" item="47"/>
          <tpl fld="4" item="55"/>
          <tpl hier="9" item="4"/>
          <tpl hier="11" item="6"/>
          <tpl hier="12" item="5"/>
          <tpl fld="1" item="0"/>
        </tpls>
      </n>
      <n v="12983235584">
        <tpls c="8">
          <tpl hier="2" item="0"/>
          <tpl hier="4" item="1"/>
          <tpl fld="2" item="24"/>
          <tpl fld="4" item="55"/>
          <tpl hier="9" item="4"/>
          <tpl hier="11" item="6"/>
          <tpl hier="12" item="5"/>
          <tpl fld="1" item="0"/>
        </tpls>
      </n>
      <n v="1904000000">
        <tpls c="8">
          <tpl hier="2" item="0"/>
          <tpl hier="4" item="1"/>
          <tpl fld="2" item="0"/>
          <tpl fld="4" item="55"/>
          <tpl hier="9" item="4"/>
          <tpl hier="11" item="6"/>
          <tpl hier="12" item="5"/>
          <tpl fld="1" item="0"/>
        </tpls>
      </n>
      <n v="7719354880">
        <tpls c="8">
          <tpl hier="2" item="0"/>
          <tpl hier="4" item="1"/>
          <tpl fld="2" item="29"/>
          <tpl fld="4" item="54"/>
          <tpl hier="9" item="4"/>
          <tpl hier="11" item="6"/>
          <tpl hier="12" item="5"/>
          <tpl fld="1" item="0"/>
        </tpls>
      </n>
      <n v="3189428480">
        <tpls c="8">
          <tpl hier="2" item="0"/>
          <tpl hier="4" item="1"/>
          <tpl fld="2" item="7"/>
          <tpl fld="4" item="54"/>
          <tpl hier="9" item="4"/>
          <tpl hier="11" item="6"/>
          <tpl hier="12" item="5"/>
          <tpl fld="1" item="0"/>
        </tpls>
      </n>
      <n v="961900096">
        <tpls c="8">
          <tpl hier="2" item="0"/>
          <tpl hier="4" item="1"/>
          <tpl fld="2" item="34"/>
          <tpl fld="4" item="53"/>
          <tpl hier="9" item="4"/>
          <tpl hier="11" item="6"/>
          <tpl hier="12" item="5"/>
          <tpl fld="1" item="0"/>
        </tpls>
      </n>
      <n v="213446560">
        <tpls c="8">
          <tpl hier="2" item="0"/>
          <tpl hier="4" item="1"/>
          <tpl fld="2" item="13"/>
          <tpl fld="4" item="53"/>
          <tpl hier="9" item="4"/>
          <tpl hier="11" item="6"/>
          <tpl hier="12" item="5"/>
          <tpl fld="1" item="0"/>
        </tpls>
      </n>
      <n v="14383108096">
        <tpls c="8">
          <tpl hier="2" item="0"/>
          <tpl hier="4" item="1"/>
          <tpl fld="2" item="45"/>
          <tpl fld="4" item="52"/>
          <tpl hier="9" item="4"/>
          <tpl hier="11" item="6"/>
          <tpl hier="12" item="5"/>
          <tpl fld="1" item="0"/>
        </tpls>
      </n>
      <n v="4190819328">
        <tpls c="8">
          <tpl hier="2" item="0"/>
          <tpl hier="4" item="1"/>
          <tpl fld="2" item="24"/>
          <tpl fld="4" item="52"/>
          <tpl hier="9" item="4"/>
          <tpl hier="11" item="6"/>
          <tpl hier="12" item="5"/>
          <tpl fld="1" item="0"/>
        </tpls>
      </n>
      <n v="2157592832">
        <tpls c="8">
          <tpl hier="2" item="0"/>
          <tpl hier="4" item="1"/>
          <tpl fld="2" item="5"/>
          <tpl fld="4" item="52"/>
          <tpl hier="9" item="4"/>
          <tpl hier="11" item="6"/>
          <tpl hier="12" item="5"/>
          <tpl fld="1" item="0"/>
        </tpls>
      </n>
      <n v="3102741504">
        <tpls c="8">
          <tpl hier="2" item="0"/>
          <tpl hier="4" item="1"/>
          <tpl fld="2" item="36"/>
          <tpl fld="4" item="51"/>
          <tpl hier="9" item="4"/>
          <tpl hier="11" item="6"/>
          <tpl hier="12" item="5"/>
          <tpl fld="1" item="0"/>
        </tpls>
      </n>
      <n v="1177908224">
        <tpls c="8">
          <tpl hier="2" item="0"/>
          <tpl hier="4" item="1"/>
          <tpl fld="2" item="17"/>
          <tpl fld="4" item="51"/>
          <tpl hier="9" item="4"/>
          <tpl hier="11" item="6"/>
          <tpl hier="12" item="5"/>
          <tpl fld="1" item="0"/>
        </tpls>
      </n>
      <n v="24979200000">
        <tpls c="8">
          <tpl hier="2" item="0"/>
          <tpl hier="4" item="1"/>
          <tpl fld="2" item="47"/>
          <tpl fld="4" item="50"/>
          <tpl hier="9" item="4"/>
          <tpl hier="11" item="6"/>
          <tpl hier="12" item="5"/>
          <tpl fld="1" item="0"/>
        </tpls>
      </n>
      <n v="10936670208">
        <tpls c="8">
          <tpl hier="2" item="0"/>
          <tpl hier="4" item="1"/>
          <tpl fld="2" item="28"/>
          <tpl fld="4" item="50"/>
          <tpl hier="9" item="4"/>
          <tpl hier="11" item="6"/>
          <tpl hier="12" item="5"/>
          <tpl fld="1" item="0"/>
        </tpls>
      </n>
      <n v="3127960064">
        <tpls c="8">
          <tpl hier="2" item="0"/>
          <tpl hier="4" item="1"/>
          <tpl fld="2" item="8"/>
          <tpl fld="4" item="50"/>
          <tpl hier="9" item="4"/>
          <tpl hier="11" item="6"/>
          <tpl hier="12" item="5"/>
          <tpl fld="1" item="0"/>
        </tpls>
      </n>
      <n v="69555363840">
        <tpls c="8">
          <tpl hier="2" item="0"/>
          <tpl hier="4" item="1"/>
          <tpl fld="2" item="40"/>
          <tpl fld="4" item="49"/>
          <tpl hier="9" item="4"/>
          <tpl hier="11" item="6"/>
          <tpl hier="12" item="5"/>
          <tpl fld="1" item="0"/>
        </tpls>
      </n>
      <n v="13890828288">
        <tpls c="8">
          <tpl hier="2" item="0"/>
          <tpl hier="4" item="1"/>
          <tpl fld="2" item="19"/>
          <tpl fld="4" item="49"/>
          <tpl hier="9" item="4"/>
          <tpl hier="11" item="6"/>
          <tpl hier="12" item="5"/>
          <tpl fld="1" item="0"/>
        </tpls>
      </n>
      <n v="2862504192">
        <tpls c="8">
          <tpl hier="2" item="0"/>
          <tpl hier="4" item="1"/>
          <tpl fld="2" item="0"/>
          <tpl fld="4" item="49"/>
          <tpl hier="9" item="4"/>
          <tpl hier="11" item="6"/>
          <tpl hier="12" item="5"/>
          <tpl fld="1" item="0"/>
        </tpls>
      </n>
      <n v="25599311872">
        <tpls c="8">
          <tpl hier="2" item="0"/>
          <tpl hier="4" item="1"/>
          <tpl fld="2" item="31"/>
          <tpl fld="4" item="48"/>
          <tpl hier="9" item="4"/>
          <tpl hier="11" item="6"/>
          <tpl hier="12" item="5"/>
          <tpl fld="1" item="0"/>
        </tpls>
      </n>
      <n v="8267400192">
        <tpls c="8">
          <tpl hier="2" item="0"/>
          <tpl hier="4" item="1"/>
          <tpl fld="2" item="12"/>
          <tpl fld="4" item="48"/>
          <tpl hier="9" item="4"/>
          <tpl hier="11" item="6"/>
          <tpl hier="12" item="5"/>
          <tpl fld="1" item="0"/>
        </tpls>
      </n>
      <n v="35363532800">
        <tpls c="8">
          <tpl hier="2" item="0"/>
          <tpl hier="4" item="1"/>
          <tpl fld="2" item="44"/>
          <tpl fld="4" item="47"/>
          <tpl hier="9" item="4"/>
          <tpl hier="11" item="6"/>
          <tpl hier="12" item="5"/>
          <tpl fld="1" item="0"/>
        </tpls>
      </n>
      <n v="11045758976">
        <tpls c="8">
          <tpl hier="2" item="0"/>
          <tpl hier="4" item="1"/>
          <tpl fld="2" item="23"/>
          <tpl fld="4" item="47"/>
          <tpl hier="9" item="4"/>
          <tpl hier="11" item="6"/>
          <tpl hier="12" item="5"/>
          <tpl fld="1" item="0"/>
        </tpls>
      </n>
      <n v="3070151936">
        <tpls c="8">
          <tpl hier="2" item="0"/>
          <tpl hier="4" item="1"/>
          <tpl fld="2" item="4"/>
          <tpl fld="4" item="47"/>
          <tpl hier="9" item="4"/>
          <tpl hier="11" item="6"/>
          <tpl hier="12" item="5"/>
          <tpl fld="1" item="0"/>
        </tpls>
      </n>
      <n v="19948261376">
        <tpls c="8">
          <tpl hier="2" item="0"/>
          <tpl hier="4" item="1"/>
          <tpl fld="2" item="35"/>
          <tpl fld="4" item="46"/>
          <tpl hier="9" item="4"/>
          <tpl hier="11" item="6"/>
          <tpl hier="12" item="5"/>
          <tpl fld="1" item="0"/>
        </tpls>
      </n>
      <n v="4418983936">
        <tpls c="8">
          <tpl hier="2" item="0"/>
          <tpl hier="4" item="1"/>
          <tpl fld="2" item="16"/>
          <tpl fld="4" item="46"/>
          <tpl hier="9" item="4"/>
          <tpl hier="11" item="6"/>
          <tpl hier="12" item="5"/>
          <tpl fld="1" item="0"/>
        </tpls>
      </n>
      <n v="9041986560">
        <tpls c="8">
          <tpl hier="2" item="0"/>
          <tpl hier="4" item="1"/>
          <tpl fld="2" item="46"/>
          <tpl fld="4" item="45"/>
          <tpl hier="9" item="4"/>
          <tpl hier="11" item="6"/>
          <tpl hier="12" item="5"/>
          <tpl fld="1" item="0"/>
        </tpls>
      </n>
      <n v="2322718976">
        <tpls c="8">
          <tpl hier="2" item="0"/>
          <tpl hier="4" item="1"/>
          <tpl fld="2" item="27"/>
          <tpl fld="4" item="45"/>
          <tpl hier="9" item="4"/>
          <tpl hier="11" item="6"/>
          <tpl hier="12" item="5"/>
          <tpl fld="1" item="0"/>
        </tpls>
      </n>
      <n v="765224000">
        <tpls c="8">
          <tpl hier="2" item="0"/>
          <tpl hier="4" item="1"/>
          <tpl fld="2" item="7"/>
          <tpl fld="4" item="45"/>
          <tpl hier="9" item="4"/>
          <tpl hier="11" item="6"/>
          <tpl hier="12" item="5"/>
          <tpl fld="1" item="0"/>
        </tpls>
      </n>
      <n v="18648373248">
        <tpls c="8">
          <tpl hier="2" item="0"/>
          <tpl hier="4" item="1"/>
          <tpl fld="2" item="39"/>
          <tpl fld="4" item="44"/>
          <tpl hier="9" item="4"/>
          <tpl hier="11" item="6"/>
          <tpl hier="12" item="5"/>
          <tpl fld="1" item="0"/>
        </tpls>
      </n>
      <n v="8861299712">
        <tpls c="8">
          <tpl hier="2" item="0"/>
          <tpl hier="4" item="1"/>
          <tpl fld="2" item="18"/>
          <tpl fld="4" item="44"/>
          <tpl hier="9" item="4"/>
          <tpl hier="11" item="6"/>
          <tpl hier="12" item="5"/>
          <tpl fld="1" item="0"/>
        </tpls>
      </n>
      <n v="6097746831360">
        <tpls c="8">
          <tpl hier="2" item="0"/>
          <tpl hier="4" item="1"/>
          <tpl hier="5" item="3"/>
          <tpl fld="4" item="43"/>
          <tpl hier="9" item="4"/>
          <tpl hier="11" item="6"/>
          <tpl hier="12" item="5"/>
          <tpl fld="1" item="0"/>
        </tpls>
      </n>
      <n v="99886579712">
        <tpls c="8">
          <tpl hier="2" item="0"/>
          <tpl hier="4" item="1"/>
          <tpl fld="2" item="30"/>
          <tpl fld="4" item="43"/>
          <tpl hier="9" item="4"/>
          <tpl hier="11" item="6"/>
          <tpl hier="12" item="5"/>
          <tpl fld="1" item="0"/>
        </tpls>
      </n>
      <n v="36388368384">
        <tpls c="8">
          <tpl hier="2" item="0"/>
          <tpl hier="4" item="1"/>
          <tpl fld="2" item="11"/>
          <tpl fld="4" item="43"/>
          <tpl hier="9" item="4"/>
          <tpl hier="11" item="6"/>
          <tpl hier="12" item="5"/>
          <tpl fld="1" item="0"/>
        </tpls>
      </n>
      <n v="260541628416">
        <tpls c="8">
          <tpl hier="2" item="0"/>
          <tpl hier="4" item="1"/>
          <tpl fld="2" item="44"/>
          <tpl fld="4" item="42"/>
          <tpl hier="9" item="4"/>
          <tpl hier="11" item="6"/>
          <tpl hier="12" item="5"/>
          <tpl fld="1" item="0"/>
        </tpls>
      </n>
      <n v="57008427008">
        <tpls c="8">
          <tpl hier="2" item="0"/>
          <tpl hier="4" item="1"/>
          <tpl fld="2" item="24"/>
          <tpl fld="4" item="42"/>
          <tpl hier="9" item="4"/>
          <tpl hier="11" item="6"/>
          <tpl hier="12" item="5"/>
          <tpl fld="1" item="0"/>
        </tpls>
      </n>
      <n v="13962893312">
        <tpls c="8">
          <tpl hier="2" item="0"/>
          <tpl hier="4" item="1"/>
          <tpl fld="2" item="7"/>
          <tpl fld="4" item="42"/>
          <tpl hier="9" item="4"/>
          <tpl hier="11" item="6"/>
          <tpl hier="12" item="5"/>
          <tpl fld="1" item="0"/>
        </tpls>
      </n>
      <n v="12172309504">
        <tpls c="8">
          <tpl hier="2" item="0"/>
          <tpl hier="4" item="1"/>
          <tpl fld="2" item="41"/>
          <tpl fld="4" item="41"/>
          <tpl hier="9" item="4"/>
          <tpl hier="11" item="6"/>
          <tpl hier="12" item="5"/>
          <tpl fld="1" item="0"/>
        </tpls>
      </n>
      <n v="1179837952">
        <tpls c="8">
          <tpl hier="2" item="0"/>
          <tpl hier="4" item="1"/>
          <tpl fld="2" item="24"/>
          <tpl fld="4" item="41"/>
          <tpl hier="9" item="4"/>
          <tpl hier="11" item="6"/>
          <tpl hier="12" item="5"/>
          <tpl fld="1" item="0"/>
        </tpls>
      </n>
      <n v="935360448">
        <tpls c="8">
          <tpl hier="2" item="0"/>
          <tpl hier="4" item="1"/>
          <tpl fld="2" item="7"/>
          <tpl fld="4" item="41"/>
          <tpl hier="9" item="4"/>
          <tpl hier="11" item="6"/>
          <tpl hier="12" item="5"/>
          <tpl fld="1" item="0"/>
        </tpls>
      </n>
      <n v="2437982720">
        <tpls c="8">
          <tpl hier="2" item="0"/>
          <tpl hier="4" item="1"/>
          <tpl fld="2" item="41"/>
          <tpl fld="4" item="40"/>
          <tpl hier="9" item="4"/>
          <tpl hier="11" item="6"/>
          <tpl hier="12" item="5"/>
          <tpl fld="1" item="0"/>
        </tpls>
      </n>
      <n v="851174336">
        <tpls c="8">
          <tpl hier="2" item="0"/>
          <tpl hier="4" item="1"/>
          <tpl fld="2" item="24"/>
          <tpl fld="4" item="40"/>
          <tpl hier="9" item="4"/>
          <tpl hier="11" item="6"/>
          <tpl hier="12" item="5"/>
          <tpl fld="1" item="0"/>
        </tpls>
      </n>
      <n v="610578496">
        <tpls c="8">
          <tpl hier="2" item="0"/>
          <tpl hier="4" item="1"/>
          <tpl fld="2" item="8"/>
          <tpl fld="4" item="40"/>
          <tpl hier="9" item="4"/>
          <tpl hier="11" item="6"/>
          <tpl hier="12" item="5"/>
          <tpl fld="1" item="0"/>
        </tpls>
      </n>
      <n v="32357345280">
        <tpls c="8">
          <tpl hier="2" item="0"/>
          <tpl hier="4" item="1"/>
          <tpl fld="2" item="43"/>
          <tpl fld="4" item="39"/>
          <tpl hier="9" item="4"/>
          <tpl hier="11" item="6"/>
          <tpl hier="12" item="5"/>
          <tpl fld="1" item="0"/>
        </tpls>
      </n>
      <n v="10833497088">
        <tpls c="8">
          <tpl hier="2" item="0"/>
          <tpl hier="4" item="1"/>
          <tpl fld="2" item="27"/>
          <tpl fld="4" item="39"/>
          <tpl hier="9" item="4"/>
          <tpl hier="11" item="6"/>
          <tpl hier="12" item="5"/>
          <tpl fld="1" item="0"/>
        </tpls>
      </n>
      <n v="7636345856">
        <tpls c="8">
          <tpl hier="2" item="0"/>
          <tpl hier="4" item="1"/>
          <tpl fld="2" item="11"/>
          <tpl fld="4" item="39"/>
          <tpl hier="9" item="4"/>
          <tpl hier="11" item="6"/>
          <tpl hier="12" item="5"/>
          <tpl fld="1" item="0"/>
        </tpls>
      </n>
      <n v="2959641088">
        <tpls c="8">
          <tpl hier="2" item="0"/>
          <tpl hier="4" item="1"/>
          <tpl fld="2" item="46"/>
          <tpl fld="4" item="38"/>
          <tpl hier="9" item="4"/>
          <tpl hier="11" item="6"/>
          <tpl hier="12" item="5"/>
          <tpl fld="1" item="0"/>
        </tpls>
      </n>
      <n v="870486080">
        <tpls c="8">
          <tpl hier="2" item="0"/>
          <tpl hier="4" item="1"/>
          <tpl fld="2" item="30"/>
          <tpl fld="4" item="38"/>
          <tpl hier="9" item="4"/>
          <tpl hier="11" item="6"/>
          <tpl hier="12" item="5"/>
          <tpl fld="1" item="0"/>
        </tpls>
      </n>
      <n v="987143936">
        <tpls c="8">
          <tpl hier="2" item="0"/>
          <tpl hier="4" item="1"/>
          <tpl fld="2" item="14"/>
          <tpl fld="4" item="38"/>
          <tpl hier="9" item="4"/>
          <tpl hier="11" item="6"/>
          <tpl hier="12" item="5"/>
          <tpl fld="1" item="0"/>
        </tpls>
      </n>
      <n v="15745810432">
        <tpls c="8">
          <tpl hier="2" item="0"/>
          <tpl hier="4" item="1"/>
          <tpl fld="2" item="49"/>
          <tpl fld="4" item="37"/>
          <tpl hier="9" item="4"/>
          <tpl hier="11" item="6"/>
          <tpl hier="12" item="5"/>
          <tpl fld="1" item="0"/>
        </tpls>
      </n>
      <n v="4730140672">
        <tpls c="8">
          <tpl hier="2" item="0"/>
          <tpl hier="4" item="1"/>
          <tpl fld="2" item="33"/>
          <tpl fld="4" item="37"/>
          <tpl hier="9" item="4"/>
          <tpl hier="11" item="6"/>
          <tpl hier="12" item="5"/>
          <tpl fld="1" item="0"/>
        </tpls>
      </n>
      <n v="2369835520">
        <tpls c="8">
          <tpl hier="2" item="0"/>
          <tpl hier="4" item="1"/>
          <tpl fld="2" item="17"/>
          <tpl fld="4" item="37"/>
          <tpl hier="9" item="4"/>
          <tpl hier="11" item="6"/>
          <tpl hier="12" item="5"/>
          <tpl fld="1" item="0"/>
        </tpls>
      </n>
      <n v="482411264">
        <tpls c="8">
          <tpl hier="2" item="0"/>
          <tpl hier="4" item="1"/>
          <tpl fld="2" item="1"/>
          <tpl fld="4" item="37"/>
          <tpl hier="9" item="4"/>
          <tpl hier="11" item="6"/>
          <tpl hier="12" item="5"/>
          <tpl fld="1" item="0"/>
        </tpls>
      </n>
      <n v="1107640320000">
        <tpls c="8">
          <tpl hier="2" item="0"/>
          <tpl hier="4" item="1"/>
          <tpl fld="2" item="36"/>
          <tpl fld="4" item="36"/>
          <tpl hier="9" item="4"/>
          <tpl hier="11" item="6"/>
          <tpl hier="12" item="5"/>
          <tpl fld="1" item="0"/>
        </tpls>
      </n>
      <n v="461951795200">
        <tpls c="8">
          <tpl hier="2" item="0"/>
          <tpl hier="4" item="1"/>
          <tpl fld="2" item="20"/>
          <tpl fld="4" item="36"/>
          <tpl hier="9" item="4"/>
          <tpl hier="11" item="6"/>
          <tpl hier="12" item="5"/>
          <tpl fld="1" item="0"/>
        </tpls>
      </n>
      <n v="105136005120">
        <tpls c="8">
          <tpl hier="2" item="0"/>
          <tpl hier="4" item="1"/>
          <tpl fld="2" item="4"/>
          <tpl fld="4" item="36"/>
          <tpl hier="9" item="4"/>
          <tpl hier="11" item="6"/>
          <tpl hier="12" item="5"/>
          <tpl fld="1" item="0"/>
        </tpls>
      </n>
      <n v="10267132928">
        <tpls c="8">
          <tpl hier="2" item="0"/>
          <tpl hier="4" item="1"/>
          <tpl fld="2" item="39"/>
          <tpl fld="4" item="35"/>
          <tpl hier="9" item="4"/>
          <tpl hier="11" item="6"/>
          <tpl hier="12" item="5"/>
          <tpl fld="1" item="0"/>
        </tpls>
      </n>
      <n v="4160086272">
        <tpls c="8">
          <tpl hier="2" item="0"/>
          <tpl hier="4" item="1"/>
          <tpl fld="2" item="23"/>
          <tpl fld="4" item="35"/>
          <tpl hier="9" item="4"/>
          <tpl hier="11" item="6"/>
          <tpl hier="12" item="5"/>
          <tpl fld="1" item="0"/>
        </tpls>
      </n>
      <n v="451603328">
        <tpls c="8">
          <tpl hier="2" item="0"/>
          <tpl hier="4" item="1"/>
          <tpl fld="2" item="7"/>
          <tpl fld="4" item="35"/>
          <tpl hier="9" item="4"/>
          <tpl hier="11" item="6"/>
          <tpl hier="12" item="5"/>
          <tpl fld="1" item="0"/>
        </tpls>
      </n>
      <n v="27084496896">
        <tpls c="8">
          <tpl hier="2" item="0"/>
          <tpl hier="4" item="1"/>
          <tpl fld="2" item="42"/>
          <tpl fld="4" item="34"/>
          <tpl hier="9" item="4"/>
          <tpl hier="11" item="6"/>
          <tpl hier="12" item="5"/>
          <tpl fld="1" item="0"/>
        </tpls>
      </n>
      <n v="7396966912">
        <tpls c="8">
          <tpl hier="2" item="0"/>
          <tpl hier="4" item="1"/>
          <tpl fld="2" item="26"/>
          <tpl fld="4" item="34"/>
          <tpl hier="9" item="4"/>
          <tpl hier="11" item="6"/>
          <tpl hier="12" item="5"/>
          <tpl fld="1" item="0"/>
        </tpls>
      </n>
      <n v="4526916608">
        <tpls c="8">
          <tpl hier="2" item="0"/>
          <tpl hier="4" item="1"/>
          <tpl fld="2" item="10"/>
          <tpl fld="4" item="34"/>
          <tpl hier="9" item="4"/>
          <tpl hier="11" item="6"/>
          <tpl hier="12" item="5"/>
          <tpl fld="1" item="0"/>
        </tpls>
      </n>
      <n v="11388161024">
        <tpls c="8">
          <tpl hier="2" item="0"/>
          <tpl hier="4" item="1"/>
          <tpl fld="2" item="45"/>
          <tpl fld="4" item="33"/>
          <tpl hier="9" item="4"/>
          <tpl hier="11" item="6"/>
          <tpl hier="12" item="5"/>
          <tpl fld="1" item="0"/>
        </tpls>
      </n>
      <n v="3676045568">
        <tpls c="8">
          <tpl hier="2" item="0"/>
          <tpl hier="4" item="1"/>
          <tpl fld="2" item="29"/>
          <tpl fld="4" item="33"/>
          <tpl hier="9" item="4"/>
          <tpl hier="11" item="6"/>
          <tpl hier="12" item="5"/>
          <tpl fld="1" item="0"/>
        </tpls>
      </n>
      <n v="1095348352">
        <tpls c="8">
          <tpl hier="2" item="0"/>
          <tpl hier="4" item="1"/>
          <tpl fld="2" item="13"/>
          <tpl fld="4" item="33"/>
          <tpl hier="9" item="4"/>
          <tpl hier="11" item="6"/>
          <tpl hier="12" item="5"/>
          <tpl fld="1" item="0"/>
        </tpls>
      </n>
      <n v="1871200000">
        <tpls c="8">
          <tpl hier="2" item="0"/>
          <tpl hier="4" item="1"/>
          <tpl fld="2" item="48"/>
          <tpl fld="4" item="32"/>
          <tpl hier="9" item="4"/>
          <tpl hier="11" item="6"/>
          <tpl hier="12" item="5"/>
          <tpl fld="1" item="0"/>
        </tpls>
      </n>
      <n v="925049984">
        <tpls c="8">
          <tpl hier="2" item="0"/>
          <tpl hier="4" item="1"/>
          <tpl fld="2" item="32"/>
          <tpl fld="4" item="32"/>
          <tpl hier="9" item="4"/>
          <tpl hier="11" item="6"/>
          <tpl hier="12" item="5"/>
          <tpl fld="1" item="0"/>
        </tpls>
      </n>
      <n v="231638320">
        <tpls c="8">
          <tpl hier="2" item="0"/>
          <tpl hier="4" item="1"/>
          <tpl fld="2" item="16"/>
          <tpl fld="4" item="32"/>
          <tpl hier="9" item="4"/>
          <tpl hier="11" item="6"/>
          <tpl hier="12" item="5"/>
          <tpl fld="1" item="0"/>
        </tpls>
      </n>
      <n v="53233532">
        <tpls c="8">
          <tpl hier="2" item="0"/>
          <tpl hier="4" item="1"/>
          <tpl fld="2" item="0"/>
          <tpl fld="4" item="32"/>
          <tpl hier="9" item="4"/>
          <tpl hier="11" item="6"/>
          <tpl hier="12" item="5"/>
          <tpl fld="1" item="0"/>
        </tpls>
      </n>
      <n v="69442945024">
        <tpls c="8">
          <tpl hier="2" item="0"/>
          <tpl hier="4" item="1"/>
          <tpl fld="2" item="35"/>
          <tpl fld="4" item="31"/>
          <tpl hier="9" item="4"/>
          <tpl hier="11" item="6"/>
          <tpl hier="12" item="5"/>
          <tpl fld="1" item="0"/>
        </tpls>
      </n>
      <n v="28781715456">
        <tpls c="8">
          <tpl hier="2" item="0"/>
          <tpl hier="4" item="1"/>
          <tpl fld="2" item="19"/>
          <tpl fld="4" item="31"/>
          <tpl hier="9" item="4"/>
          <tpl hier="11" item="6"/>
          <tpl hier="12" item="5"/>
          <tpl fld="1" item="0"/>
        </tpls>
      </n>
      <n v="8086725632">
        <tpls c="8">
          <tpl hier="2" item="0"/>
          <tpl hier="4" item="1"/>
          <tpl fld="2" item="3"/>
          <tpl fld="4" item="31"/>
          <tpl hier="9" item="4"/>
          <tpl hier="11" item="6"/>
          <tpl hier="12" item="5"/>
          <tpl fld="1" item="0"/>
        </tpls>
      </n>
      <n v="4371300864">
        <tpls c="8">
          <tpl hier="2" item="0"/>
          <tpl hier="4" item="1"/>
          <tpl fld="2" item="5"/>
          <tpl fld="4" item="102"/>
          <tpl hier="9" item="4"/>
          <tpl hier="11" item="6"/>
          <tpl hier="12" item="5"/>
          <tpl fld="1" item="0"/>
        </tpls>
      </n>
      <n v="1328157568">
        <tpls c="8">
          <tpl hier="2" item="0"/>
          <tpl hier="4" item="1"/>
          <tpl fld="2" item="43"/>
          <tpl fld="4" item="88"/>
          <tpl hier="9" item="4"/>
          <tpl hier="11" item="6"/>
          <tpl hier="12" item="5"/>
          <tpl fld="1" item="0"/>
        </tpls>
      </n>
      <n v="95385821184">
        <tpls c="8">
          <tpl hier="2" item="0"/>
          <tpl hier="4" item="1"/>
          <tpl fld="2" item="32"/>
          <tpl fld="4" item="76"/>
          <tpl hier="9" item="4"/>
          <tpl hier="11" item="6"/>
          <tpl hier="12" item="5"/>
          <tpl fld="1" item="0"/>
        </tpls>
      </n>
      <n v="150846208">
        <tpls c="8">
          <tpl hier="2" item="0"/>
          <tpl hier="4" item="1"/>
          <tpl fld="2" item="4"/>
          <tpl fld="4" item="65"/>
          <tpl hier="9" item="4"/>
          <tpl hier="11" item="6"/>
          <tpl hier="12" item="5"/>
          <tpl fld="1" item="0"/>
        </tpls>
      </n>
      <n v="8355380736">
        <tpls c="8">
          <tpl hier="2" item="0"/>
          <tpl hier="4" item="1"/>
          <tpl fld="2" item="18"/>
          <tpl fld="4" item="63"/>
          <tpl hier="9" item="4"/>
          <tpl hier="11" item="6"/>
          <tpl hier="12" item="5"/>
          <tpl fld="1" item="0"/>
        </tpls>
      </n>
      <n v="13220556800">
        <tpls c="8">
          <tpl hier="2" item="0"/>
          <tpl hier="4" item="1"/>
          <tpl fld="2" item="40"/>
          <tpl fld="4" item="62"/>
          <tpl hier="9" item="4"/>
          <tpl hier="11" item="6"/>
          <tpl hier="12" item="5"/>
          <tpl fld="1" item="0"/>
        </tpls>
      </n>
      <n v="2679409408">
        <tpls c="8">
          <tpl hier="2" item="0"/>
          <tpl hier="4" item="1"/>
          <tpl fld="2" item="10"/>
          <tpl fld="4" item="62"/>
          <tpl hier="9" item="4"/>
          <tpl hier="11" item="6"/>
          <tpl hier="12" item="5"/>
          <tpl fld="1" item="0"/>
        </tpls>
      </n>
      <n v="49954889728">
        <tpls c="8">
          <tpl hier="2" item="0"/>
          <tpl hier="4" item="1"/>
          <tpl fld="2" item="35"/>
          <tpl fld="4" item="61"/>
          <tpl hier="9" item="4"/>
          <tpl hier="11" item="6"/>
          <tpl hier="12" item="5"/>
          <tpl fld="1" item="0"/>
        </tpls>
      </n>
      <n v="13458516992">
        <tpls c="8">
          <tpl hier="2" item="0"/>
          <tpl hier="4" item="1"/>
          <tpl fld="2" item="5"/>
          <tpl fld="4" item="61"/>
          <tpl hier="9" item="4"/>
          <tpl hier="11" item="6"/>
          <tpl hier="12" item="5"/>
          <tpl fld="1" item="0"/>
        </tpls>
      </n>
      <n v="415867764736">
        <tpls c="8">
          <tpl hier="2" item="0"/>
          <tpl hier="4" item="1"/>
          <tpl fld="2" item="27"/>
          <tpl fld="4" item="60"/>
          <tpl hier="9" item="4"/>
          <tpl hier="11" item="6"/>
          <tpl hier="12" item="5"/>
          <tpl fld="1" item="0"/>
        </tpls>
      </n>
      <n v="62422482944">
        <tpls c="8">
          <tpl hier="2" item="0"/>
          <tpl hier="4" item="1"/>
          <tpl fld="2" item="0"/>
          <tpl fld="4" item="60"/>
          <tpl hier="9" item="4"/>
          <tpl hier="11" item="6"/>
          <tpl hier="12" item="5"/>
          <tpl fld="1" item="0"/>
        </tpls>
      </n>
      <n v="6366340096">
        <tpls c="8">
          <tpl hier="2" item="0"/>
          <tpl hier="4" item="1"/>
          <tpl fld="2" item="28"/>
          <tpl fld="4" item="59"/>
          <tpl hier="9" item="4"/>
          <tpl hier="11" item="6"/>
          <tpl hier="12" item="5"/>
          <tpl fld="1" item="0"/>
        </tpls>
      </n>
      <n v="1034499968">
        <tpls c="8">
          <tpl hier="2" item="0"/>
          <tpl hier="4" item="1"/>
          <tpl fld="2" item="4"/>
          <tpl fld="4" item="59"/>
          <tpl hier="9" item="4"/>
          <tpl hier="11" item="6"/>
          <tpl hier="12" item="5"/>
          <tpl fld="1" item="0"/>
        </tpls>
      </n>
      <n v="2960306176">
        <tpls c="8">
          <tpl hier="2" item="0"/>
          <tpl hier="4" item="1"/>
          <tpl fld="2" item="33"/>
          <tpl fld="4" item="58"/>
          <tpl hier="9" item="4"/>
          <tpl hier="11" item="6"/>
          <tpl hier="12" item="5"/>
          <tpl fld="1" item="0"/>
        </tpls>
      </n>
      <n v="1479399936">
        <tpls c="8">
          <tpl hier="2" item="0"/>
          <tpl hier="4" item="1"/>
          <tpl fld="2" item="11"/>
          <tpl fld="4" item="58"/>
          <tpl hier="9" item="4"/>
          <tpl hier="11" item="6"/>
          <tpl hier="12" item="5"/>
          <tpl fld="1" item="0"/>
        </tpls>
      </n>
      <n v="1916994944">
        <tpls c="8">
          <tpl hier="2" item="0"/>
          <tpl hier="4" item="1"/>
          <tpl fld="2" item="38"/>
          <tpl fld="4" item="57"/>
          <tpl hier="9" item="4"/>
          <tpl hier="11" item="6"/>
          <tpl hier="12" item="5"/>
          <tpl fld="1" item="0"/>
        </tpls>
      </n>
      <n v="453488384">
        <tpls c="8">
          <tpl hier="2" item="0"/>
          <tpl hier="4" item="1"/>
          <tpl fld="2" item="15"/>
          <tpl fld="4" item="57"/>
          <tpl hier="9" item="4"/>
          <tpl hier="11" item="6"/>
          <tpl hier="12" item="5"/>
          <tpl fld="1" item="0"/>
        </tpls>
      </n>
      <n v="989327808">
        <tpls c="8">
          <tpl hier="2" item="0"/>
          <tpl hier="4" item="1"/>
          <tpl fld="2" item="42"/>
          <tpl fld="4" item="56"/>
          <tpl hier="9" item="4"/>
          <tpl hier="11" item="6"/>
          <tpl hier="12" item="5"/>
          <tpl fld="1" item="0"/>
        </tpls>
      </n>
      <n v="213143024">
        <tpls c="8">
          <tpl hier="2" item="0"/>
          <tpl hier="4" item="1"/>
          <tpl fld="2" item="19"/>
          <tpl fld="4" item="56"/>
          <tpl hier="9" item="4"/>
          <tpl hier="11" item="6"/>
          <tpl hier="12" item="5"/>
          <tpl fld="1" item="0"/>
        </tpls>
      </n>
      <n v="66053726208">
        <tpls c="8">
          <tpl hier="2" item="0"/>
          <tpl hier="4" item="1"/>
          <tpl fld="2" item="46"/>
          <tpl fld="4" item="55"/>
          <tpl hier="9" item="4"/>
          <tpl hier="11" item="6"/>
          <tpl hier="12" item="5"/>
          <tpl fld="1" item="0"/>
        </tpls>
      </n>
      <n v="11399942144">
        <tpls c="8">
          <tpl hier="2" item="0"/>
          <tpl hier="4" item="1"/>
          <tpl fld="2" item="23"/>
          <tpl fld="4" item="55"/>
          <tpl hier="9" item="4"/>
          <tpl hier="11" item="6"/>
          <tpl hier="12" item="5"/>
          <tpl fld="1" item="0"/>
        </tpls>
      </n>
      <n v="808650602368">
        <tpls c="8">
          <tpl hier="2" item="0"/>
          <tpl hier="4" item="1"/>
          <tpl hier="5" item="3"/>
          <tpl fld="4" item="54"/>
          <tpl hier="9" item="4"/>
          <tpl hier="11" item="6"/>
          <tpl hier="12" item="5"/>
          <tpl fld="1" item="0"/>
        </tpls>
      </n>
      <n v="6891308544">
        <tpls c="8">
          <tpl hier="2" item="0"/>
          <tpl hier="4" item="1"/>
          <tpl fld="2" item="27"/>
          <tpl fld="4" item="54"/>
          <tpl hier="9" item="4"/>
          <tpl hier="11" item="6"/>
          <tpl hier="12" item="5"/>
          <tpl fld="1" item="0"/>
        </tpls>
      </n>
      <n v="2465492992">
        <tpls c="8">
          <tpl hier="2" item="0"/>
          <tpl hier="4" item="1"/>
          <tpl fld="2" item="3"/>
          <tpl fld="4" item="54"/>
          <tpl hier="9" item="4"/>
          <tpl hier="11" item="6"/>
          <tpl hier="12" item="5"/>
          <tpl fld="1" item="0"/>
        </tpls>
      </n>
      <n v="578236032">
        <tpls c="8">
          <tpl hier="2" item="0"/>
          <tpl hier="4" item="1"/>
          <tpl fld="2" item="32"/>
          <tpl fld="4" item="53"/>
          <tpl hier="9" item="4"/>
          <tpl hier="11" item="6"/>
          <tpl hier="12" item="5"/>
          <tpl fld="1" item="0"/>
        </tpls>
      </n>
      <n v="216051488">
        <tpls c="8">
          <tpl hier="2" item="0"/>
          <tpl hier="4" item="1"/>
          <tpl fld="2" item="12"/>
          <tpl fld="4" item="53"/>
          <tpl hier="9" item="4"/>
          <tpl hier="11" item="6"/>
          <tpl hier="12" item="5"/>
          <tpl fld="1" item="0"/>
        </tpls>
      </n>
      <n v="17170465792">
        <tpls c="8">
          <tpl hier="2" item="0"/>
          <tpl hier="4" item="1"/>
          <tpl fld="2" item="42"/>
          <tpl fld="4" item="52"/>
          <tpl hier="9" item="4"/>
          <tpl hier="11" item="6"/>
          <tpl hier="12" item="5"/>
          <tpl fld="1" item="0"/>
        </tpls>
      </n>
      <n v="4378644992">
        <tpls c="8">
          <tpl hier="2" item="0"/>
          <tpl hier="4" item="1"/>
          <tpl fld="2" item="23"/>
          <tpl fld="4" item="52"/>
          <tpl hier="9" item="4"/>
          <tpl hier="11" item="6"/>
          <tpl hier="12" item="5"/>
          <tpl fld="1" item="0"/>
        </tpls>
      </n>
      <n v="722780672">
        <tpls c="8">
          <tpl hier="2" item="0"/>
          <tpl hier="4" item="1"/>
          <tpl fld="2" item="3"/>
          <tpl fld="4" item="52"/>
          <tpl hier="9" item="4"/>
          <tpl hier="11" item="6"/>
          <tpl hier="12" item="5"/>
          <tpl fld="1" item="0"/>
        </tpls>
      </n>
      <n v="3006725120">
        <tpls c="8">
          <tpl hier="2" item="0"/>
          <tpl hier="4" item="1"/>
          <tpl fld="2" item="35"/>
          <tpl fld="4" item="51"/>
          <tpl hier="9" item="4"/>
          <tpl hier="11" item="6"/>
          <tpl hier="12" item="5"/>
          <tpl fld="1" item="0"/>
        </tpls>
      </n>
      <n v="1290228608">
        <tpls c="8">
          <tpl hier="2" item="0"/>
          <tpl hier="4" item="1"/>
          <tpl fld="2" item="16"/>
          <tpl fld="4" item="51"/>
          <tpl hier="9" item="4"/>
          <tpl hier="11" item="6"/>
          <tpl hier="12" item="5"/>
          <tpl fld="1" item="0"/>
        </tpls>
      </n>
      <n v="24191440896">
        <tpls c="8">
          <tpl hier="2" item="0"/>
          <tpl hier="4" item="1"/>
          <tpl fld="2" item="46"/>
          <tpl fld="4" item="50"/>
          <tpl hier="9" item="4"/>
          <tpl hier="11" item="6"/>
          <tpl hier="12" item="5"/>
          <tpl fld="1" item="0"/>
        </tpls>
      </n>
      <n v="10221706240">
        <tpls c="8">
          <tpl hier="2" item="0"/>
          <tpl hier="4" item="1"/>
          <tpl fld="2" item="27"/>
          <tpl fld="4" item="50"/>
          <tpl hier="9" item="4"/>
          <tpl hier="11" item="6"/>
          <tpl hier="12" item="5"/>
          <tpl fld="1" item="0"/>
        </tpls>
      </n>
      <n v="2941640192">
        <tpls c="8">
          <tpl hier="2" item="0"/>
          <tpl hier="4" item="1"/>
          <tpl fld="2" item="7"/>
          <tpl fld="4" item="50"/>
          <tpl hier="9" item="4"/>
          <tpl hier="11" item="6"/>
          <tpl hier="12" item="5"/>
          <tpl fld="1" item="0"/>
        </tpls>
      </n>
      <n v="62519685120">
        <tpls c="8">
          <tpl hier="2" item="0"/>
          <tpl hier="4" item="1"/>
          <tpl fld="2" item="39"/>
          <tpl fld="4" item="49"/>
          <tpl hier="9" item="4"/>
          <tpl hier="11" item="6"/>
          <tpl hier="12" item="5"/>
          <tpl fld="1" item="0"/>
        </tpls>
      </n>
      <n v="13051886592">
        <tpls c="8">
          <tpl hier="2" item="0"/>
          <tpl hier="4" item="1"/>
          <tpl fld="2" item="18"/>
          <tpl fld="4" item="49"/>
          <tpl hier="9" item="4"/>
          <tpl hier="11" item="6"/>
          <tpl hier="12" item="5"/>
          <tpl fld="1" item="0"/>
        </tpls>
      </n>
      <n v="1299803047424">
        <tpls c="8">
          <tpl hier="2" item="0"/>
          <tpl hier="4" item="1"/>
          <tpl hier="5" item="3"/>
          <tpl fld="4" item="48"/>
          <tpl hier="9" item="4"/>
          <tpl hier="11" item="6"/>
          <tpl hier="12" item="5"/>
          <tpl fld="1" item="0"/>
        </tpls>
      </n>
      <n v="24305117184">
        <tpls c="8">
          <tpl hier="2" item="0"/>
          <tpl hier="4" item="1"/>
          <tpl fld="2" item="30"/>
          <tpl fld="4" item="48"/>
          <tpl hier="9" item="4"/>
          <tpl hier="11" item="6"/>
          <tpl hier="12" item="5"/>
          <tpl fld="1" item="0"/>
        </tpls>
      </n>
      <n v="7561299968">
        <tpls c="8">
          <tpl hier="2" item="0"/>
          <tpl hier="4" item="1"/>
          <tpl fld="2" item="11"/>
          <tpl fld="4" item="48"/>
          <tpl hier="9" item="4"/>
          <tpl hier="11" item="6"/>
          <tpl hier="12" item="5"/>
          <tpl fld="1" item="0"/>
        </tpls>
      </n>
      <n v="25414875136">
        <tpls c="8">
          <tpl hier="2" item="0"/>
          <tpl hier="4" item="1"/>
          <tpl fld="2" item="41"/>
          <tpl fld="4" item="47"/>
          <tpl hier="9" item="4"/>
          <tpl hier="11" item="6"/>
          <tpl hier="12" item="5"/>
          <tpl fld="1" item="0"/>
        </tpls>
      </n>
      <n v="11152971776">
        <tpls c="8">
          <tpl hier="2" item="0"/>
          <tpl hier="4" item="1"/>
          <tpl fld="2" item="22"/>
          <tpl fld="4" item="47"/>
          <tpl hier="9" item="4"/>
          <tpl hier="11" item="6"/>
          <tpl hier="12" item="5"/>
          <tpl fld="1" item="0"/>
        </tpls>
      </n>
      <n v="1849400576">
        <tpls c="8">
          <tpl hier="2" item="0"/>
          <tpl hier="4" item="1"/>
          <tpl fld="2" item="2"/>
          <tpl fld="4" item="47"/>
          <tpl hier="9" item="4"/>
          <tpl hier="11" item="6"/>
          <tpl hier="12" item="5"/>
          <tpl fld="1" item="0"/>
        </tpls>
      </n>
      <n v="18528956416">
        <tpls c="8">
          <tpl hier="2" item="0"/>
          <tpl hier="4" item="1"/>
          <tpl fld="2" item="34"/>
          <tpl fld="4" item="46"/>
          <tpl hier="9" item="4"/>
          <tpl hier="11" item="6"/>
          <tpl hier="12" item="5"/>
          <tpl fld="1" item="0"/>
        </tpls>
      </n>
      <n v="3919203840">
        <tpls c="8">
          <tpl hier="2" item="0"/>
          <tpl hier="4" item="1"/>
          <tpl fld="2" item="15"/>
          <tpl fld="4" item="46"/>
          <tpl hier="9" item="4"/>
          <tpl hier="11" item="6"/>
          <tpl hier="12" item="5"/>
          <tpl fld="1" item="0"/>
        </tpls>
      </n>
      <n v="8556594688">
        <tpls c="8">
          <tpl hier="2" item="0"/>
          <tpl hier="4" item="1"/>
          <tpl fld="2" item="45"/>
          <tpl fld="4" item="45"/>
          <tpl hier="9" item="4"/>
          <tpl hier="11" item="6"/>
          <tpl hier="12" item="5"/>
          <tpl fld="1" item="0"/>
        </tpls>
      </n>
      <n v="2540697600">
        <tpls c="8">
          <tpl hier="2" item="0"/>
          <tpl hier="4" item="1"/>
          <tpl fld="2" item="26"/>
          <tpl fld="4" item="45"/>
          <tpl hier="9" item="4"/>
          <tpl hier="11" item="6"/>
          <tpl hier="12" item="5"/>
          <tpl fld="1" item="0"/>
        </tpls>
      </n>
      <n v="754549632">
        <tpls c="8">
          <tpl hier="2" item="0"/>
          <tpl hier="4" item="1"/>
          <tpl fld="2" item="6"/>
          <tpl fld="4" item="45"/>
          <tpl hier="9" item="4"/>
          <tpl hier="11" item="6"/>
          <tpl hier="12" item="5"/>
          <tpl fld="1" item="0"/>
        </tpls>
      </n>
      <n v="19788515328">
        <tpls c="8">
          <tpl hier="2" item="0"/>
          <tpl hier="4" item="1"/>
          <tpl fld="2" item="38"/>
          <tpl fld="4" item="44"/>
          <tpl hier="9" item="4"/>
          <tpl hier="11" item="6"/>
          <tpl hier="12" item="5"/>
          <tpl fld="1" item="0"/>
        </tpls>
      </n>
      <n v="7661625344">
        <tpls c="8">
          <tpl hier="2" item="0"/>
          <tpl hier="4" item="1"/>
          <tpl fld="2" item="17"/>
          <tpl fld="4" item="44"/>
          <tpl hier="9" item="4"/>
          <tpl hier="11" item="6"/>
          <tpl hier="12" item="5"/>
          <tpl fld="1" item="0"/>
        </tpls>
      </n>
      <n v="323802791936">
        <tpls c="8">
          <tpl hier="2" item="0"/>
          <tpl hier="4" item="1"/>
          <tpl fld="2" item="49"/>
          <tpl fld="4" item="43"/>
          <tpl hier="9" item="4"/>
          <tpl hier="11" item="6"/>
          <tpl hier="12" item="5"/>
          <tpl fld="1" item="0"/>
        </tpls>
      </n>
      <n v="86186156032">
        <tpls c="8">
          <tpl hier="2" item="0"/>
          <tpl hier="4" item="1"/>
          <tpl fld="2" item="29"/>
          <tpl fld="4" item="43"/>
          <tpl hier="9" item="4"/>
          <tpl hier="11" item="6"/>
          <tpl hier="12" item="5"/>
          <tpl fld="1" item="0"/>
        </tpls>
      </n>
      <n v="33400735744">
        <tpls c="8">
          <tpl hier="2" item="0"/>
          <tpl hier="4" item="1"/>
          <tpl fld="2" item="10"/>
          <tpl fld="4" item="43"/>
          <tpl hier="9" item="4"/>
          <tpl hier="11" item="6"/>
          <tpl hier="12" item="5"/>
          <tpl fld="1" item="0"/>
        </tpls>
      </n>
      <n v="278384345088">
        <tpls c="8">
          <tpl hier="2" item="0"/>
          <tpl hier="4" item="1"/>
          <tpl fld="2" item="43"/>
          <tpl fld="4" item="42"/>
          <tpl hier="9" item="4"/>
          <tpl hier="11" item="6"/>
          <tpl hier="12" item="5"/>
          <tpl fld="1" item="0"/>
        </tpls>
      </n>
      <n v="49297772544">
        <tpls c="8">
          <tpl hier="2" item="0"/>
          <tpl hier="4" item="1"/>
          <tpl fld="2" item="23"/>
          <tpl fld="4" item="42"/>
          <tpl hier="9" item="4"/>
          <tpl hier="11" item="6"/>
          <tpl hier="12" item="5"/>
          <tpl fld="1" item="0"/>
        </tpls>
      </n>
      <n v="10341924864">
        <tpls c="8">
          <tpl hier="2" item="0"/>
          <tpl hier="4" item="1"/>
          <tpl fld="2" item="6"/>
          <tpl fld="4" item="42"/>
          <tpl hier="9" item="4"/>
          <tpl hier="11" item="6"/>
          <tpl hier="12" item="5"/>
          <tpl fld="1" item="0"/>
        </tpls>
      </n>
      <n v="10668102656">
        <tpls c="8">
          <tpl hier="2" item="0"/>
          <tpl hier="4" item="1"/>
          <tpl fld="2" item="40"/>
          <tpl fld="4" item="41"/>
          <tpl hier="9" item="4"/>
          <tpl hier="11" item="6"/>
          <tpl hier="12" item="5"/>
          <tpl fld="1" item="0"/>
        </tpls>
      </n>
      <n v="1463251072">
        <tpls c="8">
          <tpl hier="2" item="0"/>
          <tpl hier="4" item="1"/>
          <tpl fld="2" item="23"/>
          <tpl fld="4" item="41"/>
          <tpl hier="9" item="4"/>
          <tpl hier="11" item="6"/>
          <tpl hier="12" item="5"/>
          <tpl fld="1" item="0"/>
        </tpls>
      </n>
      <n v="866044992">
        <tpls c="8">
          <tpl hier="2" item="0"/>
          <tpl hier="4" item="1"/>
          <tpl fld="2" item="6"/>
          <tpl fld="4" item="41"/>
          <tpl hier="9" item="4"/>
          <tpl hier="11" item="6"/>
          <tpl hier="12" item="5"/>
          <tpl fld="1" item="0"/>
        </tpls>
      </n>
      <n v="2142591360">
        <tpls c="8">
          <tpl hier="2" item="0"/>
          <tpl hier="4" item="1"/>
          <tpl fld="2" item="40"/>
          <tpl fld="4" item="40"/>
          <tpl hier="9" item="4"/>
          <tpl hier="11" item="6"/>
          <tpl hier="12" item="5"/>
          <tpl fld="1" item="0"/>
        </tpls>
      </n>
      <n v="1278781184">
        <tpls c="8">
          <tpl hier="2" item="0"/>
          <tpl hier="4" item="1"/>
          <tpl fld="2" item="23"/>
          <tpl fld="4" item="40"/>
          <tpl hier="9" item="4"/>
          <tpl hier="11" item="6"/>
          <tpl hier="12" item="5"/>
          <tpl fld="1" item="0"/>
        </tpls>
      </n>
      <n v="507298112">
        <tpls c="8">
          <tpl hier="2" item="0"/>
          <tpl hier="4" item="1"/>
          <tpl fld="2" item="7"/>
          <tpl fld="4" item="40"/>
          <tpl hier="9" item="4"/>
          <tpl hier="11" item="6"/>
          <tpl hier="12" item="5"/>
          <tpl fld="1" item="0"/>
        </tpls>
      </n>
      <n v="29102772224">
        <tpls c="8">
          <tpl hier="2" item="0"/>
          <tpl hier="4" item="1"/>
          <tpl fld="2" item="42"/>
          <tpl fld="4" item="39"/>
          <tpl hier="9" item="4"/>
          <tpl hier="11" item="6"/>
          <tpl hier="12" item="5"/>
          <tpl fld="1" item="0"/>
        </tpls>
      </n>
      <n v="10513387520">
        <tpls c="8">
          <tpl hier="2" item="0"/>
          <tpl hier="4" item="1"/>
          <tpl fld="2" item="26"/>
          <tpl fld="4" item="39"/>
          <tpl hier="9" item="4"/>
          <tpl hier="11" item="6"/>
          <tpl hier="12" item="5"/>
          <tpl fld="1" item="0"/>
        </tpls>
      </n>
      <n v="6740756480">
        <tpls c="8">
          <tpl hier="2" item="0"/>
          <tpl hier="4" item="1"/>
          <tpl fld="2" item="10"/>
          <tpl fld="4" item="39"/>
          <tpl hier="9" item="4"/>
          <tpl hier="11" item="6"/>
          <tpl hier="12" item="5"/>
          <tpl fld="1" item="0"/>
        </tpls>
      </n>
      <n v="3104394752">
        <tpls c="8">
          <tpl hier="2" item="0"/>
          <tpl hier="4" item="1"/>
          <tpl fld="2" item="45"/>
          <tpl fld="4" item="38"/>
          <tpl hier="9" item="4"/>
          <tpl hier="11" item="6"/>
          <tpl hier="12" item="5"/>
          <tpl fld="1" item="0"/>
        </tpls>
      </n>
      <n v="808077248">
        <tpls c="8">
          <tpl hier="2" item="0"/>
          <tpl hier="4" item="1"/>
          <tpl fld="2" item="29"/>
          <tpl fld="4" item="38"/>
          <tpl hier="9" item="4"/>
          <tpl hier="11" item="6"/>
          <tpl hier="12" item="5"/>
          <tpl fld="1" item="0"/>
        </tpls>
      </n>
      <n v="1082926336">
        <tpls c="8">
          <tpl hier="2" item="0"/>
          <tpl hier="4" item="1"/>
          <tpl fld="2" item="13"/>
          <tpl fld="4" item="38"/>
          <tpl hier="9" item="4"/>
          <tpl hier="11" item="6"/>
          <tpl hier="12" item="5"/>
          <tpl fld="1" item="0"/>
        </tpls>
      </n>
      <n v="16199434240">
        <tpls c="8">
          <tpl hier="2" item="0"/>
          <tpl hier="4" item="1"/>
          <tpl fld="2" item="48"/>
          <tpl fld="4" item="37"/>
          <tpl hier="9" item="4"/>
          <tpl hier="11" item="6"/>
          <tpl hier="12" item="5"/>
          <tpl fld="1" item="0"/>
        </tpls>
      </n>
      <n v="3605329664">
        <tpls c="8">
          <tpl hier="2" item="0"/>
          <tpl hier="4" item="1"/>
          <tpl fld="2" item="32"/>
          <tpl fld="4" item="37"/>
          <tpl hier="9" item="4"/>
          <tpl hier="11" item="6"/>
          <tpl hier="12" item="5"/>
          <tpl fld="1" item="0"/>
        </tpls>
      </n>
      <n v="2036303360">
        <tpls c="8">
          <tpl hier="2" item="0"/>
          <tpl hier="4" item="1"/>
          <tpl fld="2" item="16"/>
          <tpl fld="4" item="37"/>
          <tpl hier="9" item="4"/>
          <tpl hier="11" item="6"/>
          <tpl hier="12" item="5"/>
          <tpl fld="1" item="0"/>
        </tpls>
      </n>
      <n v="458404320">
        <tpls c="8">
          <tpl hier="2" item="0"/>
          <tpl hier="4" item="1"/>
          <tpl fld="2" item="0"/>
          <tpl fld="4" item="37"/>
          <tpl hier="9" item="4"/>
          <tpl hier="11" item="6"/>
          <tpl hier="12" item="5"/>
          <tpl fld="1" item="0"/>
        </tpls>
      </n>
      <n v="891630190592">
        <tpls c="8">
          <tpl hier="2" item="0"/>
          <tpl hier="4" item="1"/>
          <tpl fld="2" item="35"/>
          <tpl fld="4" item="36"/>
          <tpl hier="9" item="4"/>
          <tpl hier="11" item="6"/>
          <tpl hier="12" item="5"/>
          <tpl fld="1" item="0"/>
        </tpls>
      </n>
      <n v="425595305984">
        <tpls c="8">
          <tpl hier="2" item="0"/>
          <tpl hier="4" item="1"/>
          <tpl fld="2" item="19"/>
          <tpl fld="4" item="36"/>
          <tpl hier="9" item="4"/>
          <tpl hier="11" item="6"/>
          <tpl hier="12" item="5"/>
          <tpl fld="1" item="0"/>
        </tpls>
      </n>
      <n v="79279054848">
        <tpls c="8">
          <tpl hier="2" item="0"/>
          <tpl hier="4" item="1"/>
          <tpl fld="2" item="3"/>
          <tpl fld="4" item="36"/>
          <tpl hier="9" item="4"/>
          <tpl hier="11" item="6"/>
          <tpl hier="12" item="5"/>
          <tpl fld="1" item="0"/>
        </tpls>
      </n>
      <n v="10945070080">
        <tpls c="8">
          <tpl hier="2" item="0"/>
          <tpl hier="4" item="1"/>
          <tpl fld="2" item="38"/>
          <tpl fld="4" item="35"/>
          <tpl hier="9" item="4"/>
          <tpl hier="11" item="6"/>
          <tpl hier="12" item="5"/>
          <tpl fld="1" item="0"/>
        </tpls>
      </n>
      <n v="4146513664">
        <tpls c="8">
          <tpl hier="2" item="0"/>
          <tpl hier="4" item="1"/>
          <tpl fld="2" item="22"/>
          <tpl fld="4" item="35"/>
          <tpl hier="9" item="4"/>
          <tpl hier="11" item="6"/>
          <tpl hier="12" item="5"/>
          <tpl fld="1" item="0"/>
        </tpls>
      </n>
      <n v="372010112">
        <tpls c="8">
          <tpl hier="2" item="0"/>
          <tpl hier="4" item="1"/>
          <tpl fld="2" item="6"/>
          <tpl fld="4" item="35"/>
          <tpl hier="9" item="4"/>
          <tpl hier="11" item="6"/>
          <tpl hier="12" item="5"/>
          <tpl fld="1" item="0"/>
        </tpls>
      </n>
      <n v="23963033600">
        <tpls c="8">
          <tpl hier="2" item="0"/>
          <tpl hier="4" item="1"/>
          <tpl fld="2" item="41"/>
          <tpl fld="4" item="34"/>
          <tpl hier="9" item="4"/>
          <tpl hier="11" item="6"/>
          <tpl hier="12" item="5"/>
          <tpl fld="1" item="0"/>
        </tpls>
      </n>
      <n v="6715220480">
        <tpls c="8">
          <tpl hier="2" item="0"/>
          <tpl hier="4" item="1"/>
          <tpl fld="2" item="25"/>
          <tpl fld="4" item="34"/>
          <tpl hier="9" item="4"/>
          <tpl hier="11" item="6"/>
          <tpl hier="12" item="5"/>
          <tpl fld="1" item="0"/>
        </tpls>
      </n>
      <n v="4421343744">
        <tpls c="8">
          <tpl hier="2" item="0"/>
          <tpl hier="4" item="1"/>
          <tpl fld="2" item="9"/>
          <tpl fld="4" item="34"/>
          <tpl hier="9" item="4"/>
          <tpl hier="11" item="6"/>
          <tpl hier="12" item="5"/>
          <tpl fld="1" item="0"/>
        </tpls>
      </n>
      <n v="3285217280">
        <tpls c="8">
          <tpl hier="2" item="0"/>
          <tpl hier="4" item="1"/>
          <tpl fld="2" item="20"/>
          <tpl fld="4" item="101"/>
          <tpl hier="9" item="4"/>
          <tpl hier="11" item="6"/>
          <tpl hier="12" item="5"/>
          <tpl fld="1" item="0"/>
        </tpls>
      </n>
      <n v="23236007936">
        <tpls c="8">
          <tpl hier="2" item="0"/>
          <tpl hier="4" item="1"/>
          <tpl fld="2" item="48"/>
          <tpl fld="4" item="87"/>
          <tpl hier="9" item="4"/>
          <tpl hier="11" item="6"/>
          <tpl hier="12" item="5"/>
          <tpl fld="1" item="0"/>
        </tpls>
      </n>
      <n v="12928145408">
        <tpls c="8">
          <tpl hier="2" item="0"/>
          <tpl hier="4" item="1"/>
          <tpl fld="2" item="49"/>
          <tpl fld="4" item="75"/>
          <tpl hier="9" item="4"/>
          <tpl hier="11" item="6"/>
          <tpl hier="12" item="5"/>
          <tpl fld="1" item="0"/>
        </tpls>
      </n>
      <n v="47737956">
        <tpls c="8">
          <tpl hier="2" item="0"/>
          <tpl hier="4" item="1"/>
          <tpl fld="2" item="22"/>
          <tpl fld="4" item="64"/>
          <tpl hier="9" item="4"/>
          <tpl hier="11" item="6"/>
          <tpl hier="12" item="5"/>
          <tpl fld="1" item="0"/>
        </tpls>
      </n>
      <n v="7239126528">
        <tpls c="8">
          <tpl hier="2" item="0"/>
          <tpl hier="4" item="1"/>
          <tpl fld="2" item="16"/>
          <tpl fld="4" item="63"/>
          <tpl hier="9" item="4"/>
          <tpl hier="11" item="6"/>
          <tpl hier="12" item="5"/>
          <tpl fld="1" item="0"/>
        </tpls>
      </n>
      <n v="12827809792">
        <tpls c="8">
          <tpl hier="2" item="0"/>
          <tpl hier="4" item="1"/>
          <tpl fld="2" item="37"/>
          <tpl fld="4" item="62"/>
          <tpl hier="9" item="4"/>
          <tpl hier="11" item="6"/>
          <tpl hier="12" item="5"/>
          <tpl fld="1" item="0"/>
        </tpls>
      </n>
      <n v="2425033984">
        <tpls c="8">
          <tpl hier="2" item="0"/>
          <tpl hier="4" item="1"/>
          <tpl fld="2" item="9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30"/>
          <tpl fld="4" item="61"/>
          <tpl hier="9" item="4"/>
          <tpl hier="11" item="6"/>
          <tpl hier="12" item="5"/>
          <tpl fld="1" item="0"/>
        </tpls>
      </m>
      <n v="11516762112">
        <tpls c="8">
          <tpl hier="2" item="0"/>
          <tpl hier="4" item="1"/>
          <tpl fld="2" item="4"/>
          <tpl fld="4" item="61"/>
          <tpl hier="9" item="4"/>
          <tpl hier="11" item="6"/>
          <tpl hier="12" item="5"/>
          <tpl fld="1" item="0"/>
        </tpls>
      </n>
      <n v="360281964544">
        <tpls c="8">
          <tpl hier="2" item="0"/>
          <tpl hier="4" item="1"/>
          <tpl fld="2" item="25"/>
          <tpl fld="4" item="60"/>
          <tpl hier="9" item="4"/>
          <tpl hier="11" item="6"/>
          <tpl hier="12" item="5"/>
          <tpl fld="1" item="0"/>
        </tpls>
      </n>
      <n v="424114985344">
        <tpls c="8">
          <tpl hier="2" item="0"/>
          <tpl hier="4" item="1"/>
          <tpl hier="5" item="3"/>
          <tpl fld="4" item="59"/>
          <tpl hier="9" item="4"/>
          <tpl hier="11" item="6"/>
          <tpl hier="12" item="5"/>
          <tpl fld="1" item="0"/>
        </tpls>
      </n>
      <n v="5737099776">
        <tpls c="8">
          <tpl hier="2" item="0"/>
          <tpl hier="4" item="1"/>
          <tpl fld="2" item="27"/>
          <tpl fld="4" item="59"/>
          <tpl hier="9" item="4"/>
          <tpl hier="11" item="6"/>
          <tpl hier="12" item="5"/>
          <tpl fld="1" item="0"/>
        </tpls>
      </n>
      <n v="912499968">
        <tpls c="8">
          <tpl hier="2" item="0"/>
          <tpl hier="4" item="1"/>
          <tpl fld="2" item="3"/>
          <tpl fld="4" item="59"/>
          <tpl hier="9" item="4"/>
          <tpl hier="11" item="6"/>
          <tpl hier="12" item="5"/>
          <tpl fld="1" item="0"/>
        </tpls>
      </n>
      <n v="3596442880">
        <tpls c="8">
          <tpl hier="2" item="0"/>
          <tpl hier="4" item="1"/>
          <tpl fld="2" item="31"/>
          <tpl fld="4" item="58"/>
          <tpl hier="9" item="4"/>
          <tpl hier="11" item="6"/>
          <tpl hier="12" item="5"/>
          <tpl fld="1" item="0"/>
        </tpls>
      </n>
      <n v="947000000">
        <tpls c="8">
          <tpl hier="2" item="0"/>
          <tpl hier="4" item="1"/>
          <tpl fld="2" item="7"/>
          <tpl fld="4" item="58"/>
          <tpl hier="9" item="4"/>
          <tpl hier="11" item="6"/>
          <tpl hier="12" item="5"/>
          <tpl fld="1" item="0"/>
        </tpls>
      </n>
      <n v="1458453760">
        <tpls c="8">
          <tpl hier="2" item="0"/>
          <tpl hier="4" item="1"/>
          <tpl fld="2" item="36"/>
          <tpl fld="4" item="57"/>
          <tpl hier="9" item="4"/>
          <tpl hier="11" item="6"/>
          <tpl hier="12" item="5"/>
          <tpl fld="1" item="0"/>
        </tpls>
      </n>
      <n v="437631616">
        <tpls c="8">
          <tpl hier="2" item="0"/>
          <tpl hier="4" item="1"/>
          <tpl fld="2" item="14"/>
          <tpl fld="4" item="57"/>
          <tpl hier="9" item="4"/>
          <tpl hier="11" item="6"/>
          <tpl hier="12" item="5"/>
          <tpl fld="1" item="0"/>
        </tpls>
      </n>
      <n v="1098379392">
        <tpls c="8">
          <tpl hier="2" item="0"/>
          <tpl hier="4" item="1"/>
          <tpl fld="2" item="41"/>
          <tpl fld="4" item="56"/>
          <tpl hier="9" item="4"/>
          <tpl hier="11" item="6"/>
          <tpl hier="12" item="5"/>
          <tpl fld="1" item="0"/>
        </tpls>
      </n>
      <n v="164458128">
        <tpls c="8">
          <tpl hier="2" item="0"/>
          <tpl hier="4" item="1"/>
          <tpl fld="2" item="18"/>
          <tpl fld="4" item="56"/>
          <tpl hier="9" item="4"/>
          <tpl hier="11" item="6"/>
          <tpl hier="12" item="5"/>
          <tpl fld="1" item="0"/>
        </tpls>
      </n>
      <n v="62186184704">
        <tpls c="8">
          <tpl hier="2" item="0"/>
          <tpl hier="4" item="1"/>
          <tpl fld="2" item="45"/>
          <tpl fld="4" item="55"/>
          <tpl hier="9" item="4"/>
          <tpl hier="11" item="6"/>
          <tpl hier="12" item="5"/>
          <tpl fld="1" item="0"/>
        </tpls>
      </n>
      <n v="10440842240">
        <tpls c="8">
          <tpl hier="2" item="0"/>
          <tpl hier="4" item="1"/>
          <tpl fld="2" item="22"/>
          <tpl fld="4" item="55"/>
          <tpl hier="9" item="4"/>
          <tpl hier="11" item="6"/>
          <tpl hier="12" item="5"/>
          <tpl fld="1" item="0"/>
        </tpls>
      </n>
      <n v="66983632896">
        <tpls c="8">
          <tpl hier="2" item="0"/>
          <tpl hier="4" item="1"/>
          <tpl fld="2" item="49"/>
          <tpl fld="4" item="54"/>
          <tpl hier="9" item="4"/>
          <tpl hier="11" item="6"/>
          <tpl hier="12" item="5"/>
          <tpl fld="1" item="0"/>
        </tpls>
      </n>
      <n v="6934984704">
        <tpls c="8">
          <tpl hier="2" item="0"/>
          <tpl hier="4" item="1"/>
          <tpl fld="2" item="26"/>
          <tpl fld="4" item="54"/>
          <tpl hier="9" item="4"/>
          <tpl hier="11" item="6"/>
          <tpl hier="12" item="5"/>
          <tpl fld="1" item="0"/>
        </tpls>
      </n>
      <n v="2112292992">
        <tpls c="8">
          <tpl hier="2" item="0"/>
          <tpl hier="4" item="1"/>
          <tpl fld="2" item="2"/>
          <tpl fld="4" item="54"/>
          <tpl hier="9" item="4"/>
          <tpl hier="11" item="6"/>
          <tpl hier="12" item="5"/>
          <tpl fld="1" item="0"/>
        </tpls>
      </n>
      <n v="782915392">
        <tpls c="8">
          <tpl hier="2" item="0"/>
          <tpl hier="4" item="1"/>
          <tpl fld="2" item="30"/>
          <tpl fld="4" item="53"/>
          <tpl hier="9" item="4"/>
          <tpl hier="11" item="6"/>
          <tpl hier="12" item="5"/>
          <tpl fld="1" item="0"/>
        </tpls>
      </n>
      <n v="218764448">
        <tpls c="8">
          <tpl hier="2" item="0"/>
          <tpl hier="4" item="1"/>
          <tpl fld="2" item="11"/>
          <tpl fld="4" item="53"/>
          <tpl hier="9" item="4"/>
          <tpl hier="11" item="6"/>
          <tpl hier="12" item="5"/>
          <tpl fld="1" item="0"/>
        </tpls>
      </n>
      <n v="18210308096">
        <tpls c="8">
          <tpl hier="2" item="0"/>
          <tpl hier="4" item="1"/>
          <tpl fld="2" item="41"/>
          <tpl fld="4" item="52"/>
          <tpl hier="9" item="4"/>
          <tpl hier="11" item="6"/>
          <tpl hier="12" item="5"/>
          <tpl fld="1" item="0"/>
        </tpls>
      </n>
      <n v="5592390656">
        <tpls c="8">
          <tpl hier="2" item="0"/>
          <tpl hier="4" item="1"/>
          <tpl fld="2" item="22"/>
          <tpl fld="4" item="52"/>
          <tpl hier="9" item="4"/>
          <tpl hier="11" item="6"/>
          <tpl hier="12" item="5"/>
          <tpl fld="1" item="0"/>
        </tpls>
      </n>
      <n v="430508352">
        <tpls c="8">
          <tpl hier="2" item="0"/>
          <tpl hier="4" item="1"/>
          <tpl fld="2" item="2"/>
          <tpl fld="4" item="52"/>
          <tpl hier="9" item="4"/>
          <tpl hier="11" item="6"/>
          <tpl hier="12" item="5"/>
          <tpl fld="1" item="0"/>
        </tpls>
      </n>
      <n v="2727507200">
        <tpls c="8">
          <tpl hier="2" item="0"/>
          <tpl hier="4" item="1"/>
          <tpl fld="2" item="34"/>
          <tpl fld="4" item="51"/>
          <tpl hier="9" item="4"/>
          <tpl hier="11" item="6"/>
          <tpl hier="12" item="5"/>
          <tpl fld="1" item="0"/>
        </tpls>
      </n>
      <n v="1123107328">
        <tpls c="8">
          <tpl hier="2" item="0"/>
          <tpl hier="4" item="1"/>
          <tpl fld="2" item="13"/>
          <tpl fld="4" item="51"/>
          <tpl hier="9" item="4"/>
          <tpl hier="11" item="6"/>
          <tpl hier="12" item="5"/>
          <tpl fld="1" item="0"/>
        </tpls>
      </n>
      <n v="23438239744">
        <tpls c="8">
          <tpl hier="2" item="0"/>
          <tpl hier="4" item="1"/>
          <tpl fld="2" item="45"/>
          <tpl fld="4" item="50"/>
          <tpl hier="9" item="4"/>
          <tpl hier="11" item="6"/>
          <tpl hier="12" item="5"/>
          <tpl fld="1" item="0"/>
        </tpls>
      </n>
      <n v="8921947136">
        <tpls c="8">
          <tpl hier="2" item="0"/>
          <tpl hier="4" item="1"/>
          <tpl fld="2" item="25"/>
          <tpl fld="4" item="50"/>
          <tpl hier="9" item="4"/>
          <tpl hier="11" item="6"/>
          <tpl hier="12" item="5"/>
          <tpl fld="1" item="0"/>
        </tpls>
      </n>
      <n v="2328280064">
        <tpls c="8">
          <tpl hier="2" item="0"/>
          <tpl hier="4" item="1"/>
          <tpl fld="2" item="6"/>
          <tpl fld="4" item="50"/>
          <tpl hier="9" item="4"/>
          <tpl hier="11" item="6"/>
          <tpl hier="12" item="5"/>
          <tpl fld="1" item="0"/>
        </tpls>
      </n>
      <n v="61762633728">
        <tpls c="8">
          <tpl hier="2" item="0"/>
          <tpl hier="4" item="1"/>
          <tpl fld="2" item="38"/>
          <tpl fld="4" item="49"/>
          <tpl hier="9" item="4"/>
          <tpl hier="11" item="6"/>
          <tpl hier="12" item="5"/>
          <tpl fld="1" item="0"/>
        </tpls>
      </n>
      <n v="13945432064">
        <tpls c="8">
          <tpl hier="2" item="0"/>
          <tpl hier="4" item="1"/>
          <tpl fld="2" item="17"/>
          <tpl fld="4" item="49"/>
          <tpl hier="9" item="4"/>
          <tpl hier="11" item="6"/>
          <tpl hier="12" item="5"/>
          <tpl fld="1" item="0"/>
        </tpls>
      </n>
      <n v="88941297664">
        <tpls c="8">
          <tpl hier="2" item="0"/>
          <tpl hier="4" item="1"/>
          <tpl fld="2" item="49"/>
          <tpl fld="4" item="48"/>
          <tpl hier="9" item="4"/>
          <tpl hier="11" item="6"/>
          <tpl hier="12" item="5"/>
          <tpl fld="1" item="0"/>
        </tpls>
      </n>
      <n v="22137600000">
        <tpls c="8">
          <tpl hier="2" item="0"/>
          <tpl hier="4" item="1"/>
          <tpl fld="2" item="29"/>
          <tpl fld="4" item="48"/>
          <tpl hier="9" item="4"/>
          <tpl hier="11" item="6"/>
          <tpl hier="12" item="5"/>
          <tpl fld="1" item="0"/>
        </tpls>
      </n>
      <n v="6761299968">
        <tpls c="8">
          <tpl hier="2" item="0"/>
          <tpl hier="4" item="1"/>
          <tpl fld="2" item="10"/>
          <tpl fld="4" item="48"/>
          <tpl hier="9" item="4"/>
          <tpl hier="11" item="6"/>
          <tpl hier="12" item="5"/>
          <tpl fld="1" item="0"/>
        </tpls>
      </n>
      <n v="24908781568">
        <tpls c="8">
          <tpl hier="2" item="0"/>
          <tpl hier="4" item="1"/>
          <tpl fld="2" item="40"/>
          <tpl fld="4" item="47"/>
          <tpl hier="9" item="4"/>
          <tpl hier="11" item="6"/>
          <tpl hier="12" item="5"/>
          <tpl fld="1" item="0"/>
        </tpls>
      </n>
      <n v="10492628992">
        <tpls c="8">
          <tpl hier="2" item="0"/>
          <tpl hier="4" item="1"/>
          <tpl fld="2" item="21"/>
          <tpl fld="4" item="47"/>
          <tpl hier="9" item="4"/>
          <tpl hier="11" item="6"/>
          <tpl hier="12" item="5"/>
          <tpl fld="1" item="0"/>
        </tpls>
      </n>
      <n v="1584128256">
        <tpls c="8">
          <tpl hier="2" item="0"/>
          <tpl hier="4" item="1"/>
          <tpl fld="2" item="1"/>
          <tpl fld="4" item="47"/>
          <tpl hier="9" item="4"/>
          <tpl hier="11" item="6"/>
          <tpl hier="12" item="5"/>
          <tpl fld="1" item="0"/>
        </tpls>
      </n>
      <n v="17196009472">
        <tpls c="8">
          <tpl hier="2" item="0"/>
          <tpl hier="4" item="1"/>
          <tpl fld="2" item="33"/>
          <tpl fld="4" item="46"/>
          <tpl hier="9" item="4"/>
          <tpl hier="11" item="6"/>
          <tpl hier="12" item="5"/>
          <tpl fld="1" item="0"/>
        </tpls>
      </n>
      <n v="2606621184">
        <tpls c="8">
          <tpl hier="2" item="0"/>
          <tpl hier="4" item="1"/>
          <tpl fld="2" item="12"/>
          <tpl fld="4" item="46"/>
          <tpl hier="9" item="4"/>
          <tpl hier="11" item="6"/>
          <tpl hier="12" item="5"/>
          <tpl fld="1" item="0"/>
        </tpls>
      </n>
      <n v="14196322304">
        <tpls c="8">
          <tpl hier="2" item="0"/>
          <tpl hier="4" item="1"/>
          <tpl fld="2" item="44"/>
          <tpl fld="4" item="45"/>
          <tpl hier="9" item="4"/>
          <tpl hier="11" item="6"/>
          <tpl hier="12" item="5"/>
          <tpl fld="1" item="0"/>
        </tpls>
      </n>
      <n v="1769365376">
        <tpls c="8">
          <tpl hier="2" item="0"/>
          <tpl hier="4" item="1"/>
          <tpl fld="2" item="24"/>
          <tpl fld="4" item="45"/>
          <tpl hier="9" item="4"/>
          <tpl hier="11" item="6"/>
          <tpl hier="12" item="5"/>
          <tpl fld="1" item="0"/>
        </tpls>
      </n>
      <n v="767102656">
        <tpls c="8">
          <tpl hier="2" item="0"/>
          <tpl hier="4" item="1"/>
          <tpl fld="2" item="5"/>
          <tpl fld="4" item="45"/>
          <tpl hier="9" item="4"/>
          <tpl hier="11" item="6"/>
          <tpl hier="12" item="5"/>
          <tpl fld="1" item="0"/>
        </tpls>
      </n>
      <n v="16737072128">
        <tpls c="8">
          <tpl hier="2" item="0"/>
          <tpl hier="4" item="1"/>
          <tpl fld="2" item="37"/>
          <tpl fld="4" item="44"/>
          <tpl hier="9" item="4"/>
          <tpl hier="11" item="6"/>
          <tpl hier="12" item="5"/>
          <tpl fld="1" item="0"/>
        </tpls>
      </n>
      <n v="8095367168">
        <tpls c="8">
          <tpl hier="2" item="0"/>
          <tpl hier="4" item="1"/>
          <tpl fld="2" item="16"/>
          <tpl fld="4" item="44"/>
          <tpl hier="9" item="4"/>
          <tpl hier="11" item="6"/>
          <tpl hier="12" item="5"/>
          <tpl fld="1" item="0"/>
        </tpls>
      </n>
      <n v="333568933888">
        <tpls c="8">
          <tpl hier="2" item="0"/>
          <tpl hier="4" item="1"/>
          <tpl fld="2" item="48"/>
          <tpl fld="4" item="43"/>
          <tpl hier="9" item="4"/>
          <tpl hier="11" item="6"/>
          <tpl hier="12" item="5"/>
          <tpl fld="1" item="0"/>
        </tpls>
      </n>
      <n v="98443739136">
        <tpls c="8">
          <tpl hier="2" item="0"/>
          <tpl hier="4" item="1"/>
          <tpl fld="2" item="28"/>
          <tpl fld="4" item="43"/>
          <tpl hier="9" item="4"/>
          <tpl hier="11" item="6"/>
          <tpl hier="12" item="5"/>
          <tpl fld="1" item="0"/>
        </tpls>
      </n>
      <n v="27940411392">
        <tpls c="8">
          <tpl hier="2" item="0"/>
          <tpl hier="4" item="1"/>
          <tpl fld="2" item="9"/>
          <tpl fld="4" item="43"/>
          <tpl hier="9" item="4"/>
          <tpl hier="11" item="6"/>
          <tpl hier="12" item="5"/>
          <tpl fld="1" item="0"/>
        </tpls>
      </n>
      <n v="218537558016">
        <tpls c="8">
          <tpl hier="2" item="0"/>
          <tpl hier="4" item="1"/>
          <tpl fld="2" item="40"/>
          <tpl fld="4" item="42"/>
          <tpl hier="9" item="4"/>
          <tpl hier="11" item="6"/>
          <tpl hier="12" item="5"/>
          <tpl fld="1" item="0"/>
        </tpls>
      </n>
      <n v="45964328960">
        <tpls c="8">
          <tpl hier="2" item="0"/>
          <tpl hier="4" item="1"/>
          <tpl fld="2" item="22"/>
          <tpl fld="4" item="42"/>
          <tpl hier="9" item="4"/>
          <tpl hier="11" item="6"/>
          <tpl hier="12" item="5"/>
          <tpl fld="1" item="0"/>
        </tpls>
      </n>
      <n v="7622217216">
        <tpls c="8">
          <tpl hier="2" item="0"/>
          <tpl hier="4" item="1"/>
          <tpl fld="2" item="5"/>
          <tpl fld="4" item="42"/>
          <tpl hier="9" item="4"/>
          <tpl hier="11" item="6"/>
          <tpl hier="12" item="5"/>
          <tpl fld="1" item="0"/>
        </tpls>
      </n>
      <n v="9253484544">
        <tpls c="8">
          <tpl hier="2" item="0"/>
          <tpl hier="4" item="1"/>
          <tpl fld="2" item="39"/>
          <tpl fld="4" item="41"/>
          <tpl hier="9" item="4"/>
          <tpl hier="11" item="6"/>
          <tpl hier="12" item="5"/>
          <tpl fld="1" item="0"/>
        </tpls>
      </n>
      <n v="1881847680">
        <tpls c="8">
          <tpl hier="2" item="0"/>
          <tpl hier="4" item="1"/>
          <tpl fld="2" item="22"/>
          <tpl fld="4" item="41"/>
          <tpl hier="9" item="4"/>
          <tpl hier="11" item="6"/>
          <tpl hier="12" item="5"/>
          <tpl fld="1" item="0"/>
        </tpls>
      </n>
      <n v="864602112">
        <tpls c="8">
          <tpl hier="2" item="0"/>
          <tpl hier="4" item="1"/>
          <tpl fld="2" item="5"/>
          <tpl fld="4" item="41"/>
          <tpl hier="9" item="4"/>
          <tpl hier="11" item="6"/>
          <tpl hier="12" item="5"/>
          <tpl fld="1" item="0"/>
        </tpls>
      </n>
      <n v="2059094016">
        <tpls c="8">
          <tpl hier="2" item="0"/>
          <tpl hier="4" item="1"/>
          <tpl fld="2" item="39"/>
          <tpl fld="4" item="40"/>
          <tpl hier="9" item="4"/>
          <tpl hier="11" item="6"/>
          <tpl hier="12" item="5"/>
          <tpl fld="1" item="0"/>
        </tpls>
      </n>
      <n v="1411917568">
        <tpls c="8">
          <tpl hier="2" item="0"/>
          <tpl hier="4" item="1"/>
          <tpl fld="2" item="22"/>
          <tpl fld="4" item="40"/>
          <tpl hier="9" item="4"/>
          <tpl hier="11" item="6"/>
          <tpl hier="12" item="5"/>
          <tpl fld="1" item="0"/>
        </tpls>
      </n>
      <n v="451152448">
        <tpls c="8">
          <tpl hier="2" item="0"/>
          <tpl hier="4" item="1"/>
          <tpl fld="2" item="6"/>
          <tpl fld="4" item="40"/>
          <tpl hier="9" item="4"/>
          <tpl hier="11" item="6"/>
          <tpl hier="12" item="5"/>
          <tpl fld="1" item="0"/>
        </tpls>
      </n>
      <n v="29375449088">
        <tpls c="8">
          <tpl hier="2" item="0"/>
          <tpl hier="4" item="1"/>
          <tpl fld="2" item="41"/>
          <tpl fld="4" item="39"/>
          <tpl hier="9" item="4"/>
          <tpl hier="11" item="6"/>
          <tpl hier="12" item="5"/>
          <tpl fld="1" item="0"/>
        </tpls>
      </n>
      <n v="9643953152">
        <tpls c="8">
          <tpl hier="2" item="0"/>
          <tpl hier="4" item="1"/>
          <tpl fld="2" item="25"/>
          <tpl fld="4" item="39"/>
          <tpl hier="9" item="4"/>
          <tpl hier="11" item="6"/>
          <tpl hier="12" item="5"/>
          <tpl fld="1" item="0"/>
        </tpls>
      </n>
      <n v="5811444736">
        <tpls c="8">
          <tpl hier="2" item="0"/>
          <tpl hier="4" item="1"/>
          <tpl fld="2" item="9"/>
          <tpl fld="4" item="39"/>
          <tpl hier="9" item="4"/>
          <tpl hier="11" item="6"/>
          <tpl hier="12" item="5"/>
          <tpl fld="1" item="0"/>
        </tpls>
      </n>
      <n v="2705783296">
        <tpls c="8">
          <tpl hier="2" item="0"/>
          <tpl hier="4" item="1"/>
          <tpl fld="2" item="44"/>
          <tpl fld="4" item="38"/>
          <tpl hier="9" item="4"/>
          <tpl hier="11" item="6"/>
          <tpl hier="12" item="5"/>
          <tpl fld="1" item="0"/>
        </tpls>
      </n>
      <n v="893770816">
        <tpls c="8">
          <tpl hier="2" item="0"/>
          <tpl hier="4" item="1"/>
          <tpl fld="2" item="28"/>
          <tpl fld="4" item="38"/>
          <tpl hier="9" item="4"/>
          <tpl hier="11" item="6"/>
          <tpl hier="12" item="5"/>
          <tpl fld="1" item="0"/>
        </tpls>
      </n>
      <n v="1013222208">
        <tpls c="8">
          <tpl hier="2" item="0"/>
          <tpl hier="4" item="1"/>
          <tpl fld="2" item="12"/>
          <tpl fld="4" item="38"/>
          <tpl hier="9" item="4"/>
          <tpl hier="11" item="6"/>
          <tpl hier="12" item="5"/>
          <tpl fld="1" item="0"/>
        </tpls>
      </n>
      <n v="14169905152">
        <tpls c="8">
          <tpl hier="2" item="0"/>
          <tpl hier="4" item="1"/>
          <tpl fld="2" item="47"/>
          <tpl fld="4" item="37"/>
          <tpl hier="9" item="4"/>
          <tpl hier="11" item="6"/>
          <tpl hier="12" item="5"/>
          <tpl fld="1" item="0"/>
        </tpls>
      </n>
      <n v="3187582208">
        <tpls c="8">
          <tpl hier="2" item="0"/>
          <tpl hier="4" item="1"/>
          <tpl fld="2" item="31"/>
          <tpl fld="4" item="37"/>
          <tpl hier="9" item="4"/>
          <tpl hier="11" item="6"/>
          <tpl hier="12" item="5"/>
          <tpl fld="1" item="0"/>
        </tpls>
      </n>
      <n v="1552493440">
        <tpls c="8">
          <tpl hier="2" item="0"/>
          <tpl hier="4" item="1"/>
          <tpl fld="2" item="15"/>
          <tpl fld="4" item="37"/>
          <tpl hier="9" item="4"/>
          <tpl hier="11" item="6"/>
          <tpl hier="12" item="5"/>
          <tpl fld="1" item="0"/>
        </tpls>
      </n>
      <n v="41688572903424">
        <tpls c="8">
          <tpl hier="2" item="0"/>
          <tpl hier="4" item="1"/>
          <tpl hier="5" item="3"/>
          <tpl fld="4" item="36"/>
          <tpl hier="9" item="4"/>
          <tpl hier="11" item="6"/>
          <tpl hier="12" item="5"/>
          <tpl fld="1" item="0"/>
        </tpls>
      </n>
      <n v="669316677632">
        <tpls c="8">
          <tpl hier="2" item="0"/>
          <tpl hier="4" item="1"/>
          <tpl fld="2" item="34"/>
          <tpl fld="4" item="36"/>
          <tpl hier="9" item="4"/>
          <tpl hier="11" item="6"/>
          <tpl hier="12" item="5"/>
          <tpl fld="1" item="0"/>
        </tpls>
      </n>
      <n v="330397384704">
        <tpls c="8">
          <tpl hier="2" item="0"/>
          <tpl hier="4" item="1"/>
          <tpl fld="2" item="18"/>
          <tpl fld="4" item="36"/>
          <tpl hier="9" item="4"/>
          <tpl hier="11" item="6"/>
          <tpl hier="12" item="5"/>
          <tpl fld="1" item="0"/>
        </tpls>
      </n>
      <n v="58539008000">
        <tpls c="8">
          <tpl hier="2" item="0"/>
          <tpl hier="4" item="1"/>
          <tpl fld="2" item="2"/>
          <tpl fld="4" item="36"/>
          <tpl hier="9" item="4"/>
          <tpl hier="11" item="6"/>
          <tpl hier="12" item="5"/>
          <tpl fld="1" item="0"/>
        </tpls>
      </n>
      <n v="10939053056">
        <tpls c="8">
          <tpl hier="2" item="0"/>
          <tpl hier="4" item="1"/>
          <tpl fld="2" item="37"/>
          <tpl fld="4" item="35"/>
          <tpl hier="9" item="4"/>
          <tpl hier="11" item="6"/>
          <tpl hier="12" item="5"/>
          <tpl fld="1" item="0"/>
        </tpls>
      </n>
      <n v="3942792960">
        <tpls c="8">
          <tpl hier="2" item="0"/>
          <tpl hier="4" item="1"/>
          <tpl fld="2" item="21"/>
          <tpl fld="4" item="35"/>
          <tpl hier="9" item="4"/>
          <tpl hier="11" item="6"/>
          <tpl hier="12" item="5"/>
          <tpl fld="1" item="0"/>
        </tpls>
      </n>
      <n v="355172416">
        <tpls c="8">
          <tpl hier="2" item="0"/>
          <tpl hier="4" item="1"/>
          <tpl fld="2" item="5"/>
          <tpl fld="4" item="35"/>
          <tpl hier="9" item="4"/>
          <tpl hier="11" item="6"/>
          <tpl hier="12" item="5"/>
          <tpl fld="1" item="0"/>
        </tpls>
      </n>
      <n v="19649632256">
        <tpls c="8">
          <tpl hier="2" item="0"/>
          <tpl hier="4" item="1"/>
          <tpl fld="2" item="40"/>
          <tpl fld="4" item="34"/>
          <tpl hier="9" item="4"/>
          <tpl hier="11" item="6"/>
          <tpl hier="12" item="5"/>
          <tpl fld="1" item="0"/>
        </tpls>
      </n>
      <n v="5981244928">
        <tpls c="8">
          <tpl hier="2" item="0"/>
          <tpl hier="4" item="1"/>
          <tpl fld="2" item="24"/>
          <tpl fld="4" item="34"/>
          <tpl hier="9" item="4"/>
          <tpl hier="11" item="6"/>
          <tpl hier="12" item="5"/>
          <tpl fld="1" item="0"/>
        </tpls>
      </n>
      <n v="3758220800">
        <tpls c="8">
          <tpl hier="2" item="0"/>
          <tpl hier="4" item="1"/>
          <tpl fld="2" item="8"/>
          <tpl fld="4" item="34"/>
          <tpl hier="9" item="4"/>
          <tpl hier="11" item="6"/>
          <tpl hier="12" item="5"/>
          <tpl fld="1" item="0"/>
        </tpls>
      </n>
      <n v="19297662976">
        <tpls c="8">
          <tpl hier="2" item="0"/>
          <tpl hier="4" item="1"/>
          <tpl fld="2" item="25"/>
          <tpl fld="4" item="100"/>
          <tpl hier="9" item="4"/>
          <tpl hier="11" item="6"/>
          <tpl hier="12" item="5"/>
          <tpl fld="1" item="0"/>
        </tpls>
      </n>
      <n v="1620857216">
        <tpls c="8">
          <tpl hier="2" item="0"/>
          <tpl hier="4" item="1"/>
          <tpl fld="2" item="2"/>
          <tpl fld="4" item="87"/>
          <tpl hier="9" item="4"/>
          <tpl hier="11" item="6"/>
          <tpl hier="12" item="5"/>
          <tpl fld="1" item="0"/>
        </tpls>
      </n>
      <n v="1064517568">
        <tpls c="8">
          <tpl hier="2" item="0"/>
          <tpl hier="4" item="1"/>
          <tpl fld="2" item="6"/>
          <tpl fld="4" item="75"/>
          <tpl hier="9" item="4"/>
          <tpl hier="11" item="6"/>
          <tpl hier="12" item="5"/>
          <tpl fld="1" item="0"/>
        </tpls>
      </n>
      <n v="85637176">
        <tpls c="8">
          <tpl hier="2" item="0"/>
          <tpl hier="4" item="1"/>
          <tpl fld="2" item="4"/>
          <tpl fld="4" item="64"/>
          <tpl hier="9" item="4"/>
          <tpl hier="11" item="6"/>
          <tpl hier="12" item="5"/>
          <tpl fld="1" item="0"/>
        </tpls>
      </n>
      <n v="6135034368">
        <tpls c="8">
          <tpl hier="2" item="0"/>
          <tpl hier="4" item="1"/>
          <tpl fld="2" item="15"/>
          <tpl fld="4" item="63"/>
          <tpl hier="9" item="4"/>
          <tpl hier="11" item="6"/>
          <tpl hier="12" item="5"/>
          <tpl fld="1" item="0"/>
        </tpls>
      </n>
      <n v="11204415488">
        <tpls c="8">
          <tpl hier="2" item="0"/>
          <tpl hier="4" item="1"/>
          <tpl fld="2" item="35"/>
          <tpl fld="4" item="62"/>
          <tpl hier="9" item="4"/>
          <tpl hier="11" item="6"/>
          <tpl hier="12" item="5"/>
          <tpl fld="1" item="0"/>
        </tpls>
      </n>
      <n v="2644449280">
        <tpls c="8">
          <tpl hier="2" item="0"/>
          <tpl hier="4" item="1"/>
          <tpl fld="2" item="8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9"/>
          <tpl fld="4" item="61"/>
          <tpl hier="9" item="4"/>
          <tpl hier="11" item="6"/>
          <tpl hier="12" item="5"/>
          <tpl fld="1" item="0"/>
        </tpls>
      </m>
      <n v="5134367744">
        <tpls c="8">
          <tpl hier="2" item="0"/>
          <tpl hier="4" item="1"/>
          <tpl fld="2" item="3"/>
          <tpl fld="4" item="61"/>
          <tpl hier="9" item="4"/>
          <tpl hier="11" item="6"/>
          <tpl hier="12" item="5"/>
          <tpl fld="1" item="0"/>
        </tpls>
      </n>
      <n v="327275577344">
        <tpls c="8">
          <tpl hier="2" item="0"/>
          <tpl hier="4" item="1"/>
          <tpl fld="2" item="24"/>
          <tpl fld="4" item="60"/>
          <tpl hier="9" item="4"/>
          <tpl hier="11" item="6"/>
          <tpl hier="12" item="5"/>
          <tpl fld="1" item="0"/>
        </tpls>
      </n>
      <n v="25095395328">
        <tpls c="8">
          <tpl hier="2" item="0"/>
          <tpl hier="4" item="1"/>
          <tpl fld="2" item="49"/>
          <tpl fld="4" item="59"/>
          <tpl hier="9" item="4"/>
          <tpl hier="11" item="6"/>
          <tpl hier="12" item="5"/>
          <tpl fld="1" item="0"/>
        </tpls>
      </n>
      <n v="5215028736">
        <tpls c="8">
          <tpl hier="2" item="0"/>
          <tpl hier="4" item="1"/>
          <tpl fld="2" item="26"/>
          <tpl fld="4" item="59"/>
          <tpl hier="9" item="4"/>
          <tpl hier="11" item="6"/>
          <tpl hier="12" item="5"/>
          <tpl fld="1" item="0"/>
        </tpls>
      </n>
      <n v="802999936">
        <tpls c="8">
          <tpl hier="2" item="0"/>
          <tpl hier="4" item="1"/>
          <tpl fld="2" item="2"/>
          <tpl fld="4" item="59"/>
          <tpl hier="9" item="4"/>
          <tpl hier="11" item="6"/>
          <tpl hier="12" item="5"/>
          <tpl fld="1" item="0"/>
        </tpls>
      </n>
      <n v="3953846272">
        <tpls c="8">
          <tpl hier="2" item="0"/>
          <tpl hier="4" item="1"/>
          <tpl fld="2" item="30"/>
          <tpl fld="4" item="58"/>
          <tpl hier="9" item="4"/>
          <tpl hier="11" item="6"/>
          <tpl hier="12" item="5"/>
          <tpl fld="1" item="0"/>
        </tpls>
      </n>
      <n v="879000000">
        <tpls c="8">
          <tpl hier="2" item="0"/>
          <tpl hier="4" item="1"/>
          <tpl fld="2" item="6"/>
          <tpl fld="4" item="58"/>
          <tpl hier="9" item="4"/>
          <tpl hier="11" item="6"/>
          <tpl hier="12" item="5"/>
          <tpl fld="1" item="0"/>
        </tpls>
      </n>
      <n v="787814400">
        <tpls c="8">
          <tpl hier="2" item="0"/>
          <tpl hier="4" item="1"/>
          <tpl fld="2" item="34"/>
          <tpl fld="4" item="57"/>
          <tpl hier="9" item="4"/>
          <tpl hier="11" item="6"/>
          <tpl hier="12" item="5"/>
          <tpl fld="1" item="0"/>
        </tpls>
      </n>
      <n v="603200000">
        <tpls c="8">
          <tpl hier="2" item="0"/>
          <tpl hier="4" item="1"/>
          <tpl fld="2" item="10"/>
          <tpl fld="4" item="57"/>
          <tpl hier="9" item="4"/>
          <tpl hier="11" item="6"/>
          <tpl hier="12" item="5"/>
          <tpl fld="1" item="0"/>
        </tpls>
      </n>
      <n v="826798656">
        <tpls c="8">
          <tpl hier="2" item="0"/>
          <tpl hier="4" item="1"/>
          <tpl fld="2" item="39"/>
          <tpl fld="4" item="56"/>
          <tpl hier="9" item="4"/>
          <tpl hier="11" item="6"/>
          <tpl hier="12" item="5"/>
          <tpl fld="1" item="0"/>
        </tpls>
      </n>
      <n v="173836368">
        <tpls c="8">
          <tpl hier="2" item="0"/>
          <tpl hier="4" item="1"/>
          <tpl fld="2" item="17"/>
          <tpl fld="4" item="56"/>
          <tpl hier="9" item="4"/>
          <tpl hier="11" item="6"/>
          <tpl hier="12" item="5"/>
          <tpl fld="1" item="0"/>
        </tpls>
      </n>
      <n v="57852399616">
        <tpls c="8">
          <tpl hier="2" item="0"/>
          <tpl hier="4" item="1"/>
          <tpl fld="2" item="44"/>
          <tpl fld="4" item="55"/>
          <tpl hier="9" item="4"/>
          <tpl hier="11" item="6"/>
          <tpl hier="12" item="5"/>
          <tpl fld="1" item="0"/>
        </tpls>
      </n>
      <n v="9406097408">
        <tpls c="8">
          <tpl hier="2" item="0"/>
          <tpl hier="4" item="1"/>
          <tpl fld="2" item="21"/>
          <tpl fld="4" item="55"/>
          <tpl hier="9" item="4"/>
          <tpl hier="11" item="6"/>
          <tpl hier="12" item="5"/>
          <tpl fld="1" item="0"/>
        </tpls>
      </n>
      <n v="65556463616">
        <tpls c="8">
          <tpl hier="2" item="0"/>
          <tpl hier="4" item="1"/>
          <tpl fld="2" item="48"/>
          <tpl fld="4" item="54"/>
          <tpl hier="9" item="4"/>
          <tpl hier="11" item="6"/>
          <tpl hier="12" item="5"/>
          <tpl fld="1" item="0"/>
        </tpls>
      </n>
      <n v="6465137664">
        <tpls c="8">
          <tpl hier="2" item="0"/>
          <tpl hier="4" item="1"/>
          <tpl fld="2" item="25"/>
          <tpl fld="4" item="54"/>
          <tpl hier="9" item="4"/>
          <tpl hier="11" item="6"/>
          <tpl hier="12" item="5"/>
          <tpl fld="1" item="0"/>
        </tpls>
      </n>
      <n v="2417107712">
        <tpls c="8">
          <tpl hier="2" item="0"/>
          <tpl hier="4" item="1"/>
          <tpl fld="2" item="1"/>
          <tpl fld="4" item="54"/>
          <tpl hier="9" item="4"/>
          <tpl hier="11" item="6"/>
          <tpl hier="12" item="5"/>
          <tpl fld="1" item="0"/>
        </tpls>
      </n>
      <n v="814723456">
        <tpls c="8">
          <tpl hier="2" item="0"/>
          <tpl hier="4" item="1"/>
          <tpl fld="2" item="29"/>
          <tpl fld="4" item="53"/>
          <tpl hier="9" item="4"/>
          <tpl hier="11" item="6"/>
          <tpl hier="12" item="5"/>
          <tpl fld="1" item="0"/>
        </tpls>
      </n>
      <n v="241080704">
        <tpls c="8">
          <tpl hier="2" item="0"/>
          <tpl hier="4" item="1"/>
          <tpl fld="2" item="10"/>
          <tpl fld="4" item="53"/>
          <tpl hier="9" item="4"/>
          <tpl hier="11" item="6"/>
          <tpl hier="12" item="5"/>
          <tpl fld="1" item="0"/>
        </tpls>
      </n>
      <n v="14372591616">
        <tpls c="8">
          <tpl hier="2" item="0"/>
          <tpl hier="4" item="1"/>
          <tpl fld="2" item="40"/>
          <tpl fld="4" item="52"/>
          <tpl hier="9" item="4"/>
          <tpl hier="11" item="6"/>
          <tpl hier="12" item="5"/>
          <tpl fld="1" item="0"/>
        </tpls>
      </n>
      <n v="5402919936">
        <tpls c="8">
          <tpl hier="2" item="0"/>
          <tpl hier="4" item="1"/>
          <tpl fld="2" item="21"/>
          <tpl fld="4" item="52"/>
          <tpl hier="9" item="4"/>
          <tpl hier="11" item="6"/>
          <tpl hier="12" item="5"/>
          <tpl fld="1" item="0"/>
        </tpls>
      </n>
      <n v="381687072">
        <tpls c="8">
          <tpl hier="2" item="0"/>
          <tpl hier="4" item="1"/>
          <tpl fld="2" item="1"/>
          <tpl fld="4" item="52"/>
          <tpl hier="9" item="4"/>
          <tpl hier="11" item="6"/>
          <tpl hier="12" item="5"/>
          <tpl fld="1" item="0"/>
        </tpls>
      </n>
      <n v="2315935744">
        <tpls c="8">
          <tpl hier="2" item="0"/>
          <tpl hier="4" item="1"/>
          <tpl fld="2" item="33"/>
          <tpl fld="4" item="51"/>
          <tpl hier="9" item="4"/>
          <tpl hier="11" item="6"/>
          <tpl hier="12" item="5"/>
          <tpl fld="1" item="0"/>
        </tpls>
      </n>
      <n v="1194015488">
        <tpls c="8">
          <tpl hier="2" item="0"/>
          <tpl hier="4" item="1"/>
          <tpl fld="2" item="12"/>
          <tpl fld="4" item="51"/>
          <tpl hier="9" item="4"/>
          <tpl hier="11" item="6"/>
          <tpl hier="12" item="5"/>
          <tpl fld="1" item="0"/>
        </tpls>
      </n>
      <n v="22593480704">
        <tpls c="8">
          <tpl hier="2" item="0"/>
          <tpl hier="4" item="1"/>
          <tpl fld="2" item="44"/>
          <tpl fld="4" item="50"/>
          <tpl hier="9" item="4"/>
          <tpl hier="11" item="6"/>
          <tpl hier="12" item="5"/>
          <tpl fld="1" item="0"/>
        </tpls>
      </n>
      <n v="7679384064">
        <tpls c="8">
          <tpl hier="2" item="0"/>
          <tpl hier="4" item="1"/>
          <tpl fld="2" item="24"/>
          <tpl fld="4" item="50"/>
          <tpl hier="9" item="4"/>
          <tpl hier="11" item="6"/>
          <tpl hier="12" item="5"/>
          <tpl fld="1" item="0"/>
        </tpls>
      </n>
      <n v="1884120064">
        <tpls c="8">
          <tpl hier="2" item="0"/>
          <tpl hier="4" item="1"/>
          <tpl fld="2" item="5"/>
          <tpl fld="4" item="50"/>
          <tpl hier="9" item="4"/>
          <tpl hier="11" item="6"/>
          <tpl hier="12" item="5"/>
          <tpl fld="1" item="0"/>
        </tpls>
      </n>
      <n v="41507086336">
        <tpls c="8">
          <tpl hier="2" item="0"/>
          <tpl hier="4" item="1"/>
          <tpl fld="2" item="35"/>
          <tpl fld="4" item="49"/>
          <tpl hier="9" item="4"/>
          <tpl hier="11" item="6"/>
          <tpl hier="12" item="5"/>
          <tpl fld="1" item="0"/>
        </tpls>
      </n>
      <n v="15314144256">
        <tpls c="8">
          <tpl hier="2" item="0"/>
          <tpl hier="4" item="1"/>
          <tpl fld="2" item="16"/>
          <tpl fld="4" item="49"/>
          <tpl hier="9" item="4"/>
          <tpl hier="11" item="6"/>
          <tpl hier="12" item="5"/>
          <tpl fld="1" item="0"/>
        </tpls>
      </n>
      <n v="79997976576">
        <tpls c="8">
          <tpl hier="2" item="0"/>
          <tpl hier="4" item="1"/>
          <tpl fld="2" item="47"/>
          <tpl fld="4" item="48"/>
          <tpl hier="9" item="4"/>
          <tpl hier="11" item="6"/>
          <tpl hier="12" item="5"/>
          <tpl fld="1" item="0"/>
        </tpls>
      </n>
      <n v="21672525824">
        <tpls c="8">
          <tpl hier="2" item="0"/>
          <tpl hier="4" item="1"/>
          <tpl fld="2" item="28"/>
          <tpl fld="4" item="48"/>
          <tpl hier="9" item="4"/>
          <tpl hier="11" item="6"/>
          <tpl hier="12" item="5"/>
          <tpl fld="1" item="0"/>
        </tpls>
      </n>
      <n v="5498800128">
        <tpls c="8">
          <tpl hier="2" item="0"/>
          <tpl hier="4" item="1"/>
          <tpl fld="2" item="9"/>
          <tpl fld="4" item="48"/>
          <tpl hier="9" item="4"/>
          <tpl hier="11" item="6"/>
          <tpl hier="12" item="5"/>
          <tpl fld="1" item="0"/>
        </tpls>
      </n>
      <n v="24277493760">
        <tpls c="8">
          <tpl hier="2" item="0"/>
          <tpl hier="4" item="1"/>
          <tpl fld="2" item="39"/>
          <tpl fld="4" item="47"/>
          <tpl hier="9" item="4"/>
          <tpl hier="11" item="6"/>
          <tpl hier="12" item="5"/>
          <tpl fld="1" item="0"/>
        </tpls>
      </n>
      <n v="10795849728">
        <tpls c="8">
          <tpl hier="2" item="0"/>
          <tpl hier="4" item="1"/>
          <tpl fld="2" item="20"/>
          <tpl fld="4" item="47"/>
          <tpl hier="9" item="4"/>
          <tpl hier="11" item="6"/>
          <tpl hier="12" item="5"/>
          <tpl fld="1" item="0"/>
        </tpls>
      </n>
      <n v="1455483008">
        <tpls c="8">
          <tpl hier="2" item="0"/>
          <tpl hier="4" item="1"/>
          <tpl fld="2" item="0"/>
          <tpl fld="4" item="47"/>
          <tpl hier="9" item="4"/>
          <tpl hier="11" item="6"/>
          <tpl hier="12" item="5"/>
          <tpl fld="1" item="0"/>
        </tpls>
      </n>
      <n v="16504795136">
        <tpls c="8">
          <tpl hier="2" item="0"/>
          <tpl hier="4" item="1"/>
          <tpl fld="2" item="32"/>
          <tpl fld="4" item="46"/>
          <tpl hier="9" item="4"/>
          <tpl hier="11" item="6"/>
          <tpl hier="12" item="5"/>
          <tpl fld="1" item="0"/>
        </tpls>
      </n>
      <n v="2623806976">
        <tpls c="8">
          <tpl hier="2" item="0"/>
          <tpl hier="4" item="1"/>
          <tpl fld="2" item="11"/>
          <tpl fld="4" item="46"/>
          <tpl hier="9" item="4"/>
          <tpl hier="11" item="6"/>
          <tpl hier="12" item="5"/>
          <tpl fld="1" item="0"/>
        </tpls>
      </n>
      <n v="14089856000">
        <tpls c="8">
          <tpl hier="2" item="0"/>
          <tpl hier="4" item="1"/>
          <tpl fld="2" item="43"/>
          <tpl fld="4" item="45"/>
          <tpl hier="9" item="4"/>
          <tpl hier="11" item="6"/>
          <tpl hier="12" item="5"/>
          <tpl fld="1" item="0"/>
        </tpls>
      </n>
      <n v="1918969984">
        <tpls c="8">
          <tpl hier="2" item="0"/>
          <tpl hier="4" item="1"/>
          <tpl fld="2" item="23"/>
          <tpl fld="4" item="45"/>
          <tpl hier="9" item="4"/>
          <tpl hier="11" item="6"/>
          <tpl hier="12" item="5"/>
          <tpl fld="1" item="0"/>
        </tpls>
      </n>
      <n v="585364608">
        <tpls c="8">
          <tpl hier="2" item="0"/>
          <tpl hier="4" item="1"/>
          <tpl fld="2" item="4"/>
          <tpl fld="4" item="45"/>
          <tpl hier="9" item="4"/>
          <tpl hier="11" item="6"/>
          <tpl hier="12" item="5"/>
          <tpl fld="1" item="0"/>
        </tpls>
      </n>
      <n v="10297483264">
        <tpls c="8">
          <tpl hier="2" item="0"/>
          <tpl hier="4" item="1"/>
          <tpl fld="2" item="34"/>
          <tpl fld="4" item="44"/>
          <tpl hier="9" item="4"/>
          <tpl hier="11" item="6"/>
          <tpl hier="12" item="5"/>
          <tpl fld="1" item="0"/>
        </tpls>
      </n>
      <n v="7195042816">
        <tpls c="8">
          <tpl hier="2" item="0"/>
          <tpl hier="4" item="1"/>
          <tpl fld="2" item="15"/>
          <tpl fld="4" item="44"/>
          <tpl hier="9" item="4"/>
          <tpl hier="11" item="6"/>
          <tpl hier="12" item="5"/>
          <tpl fld="1" item="0"/>
        </tpls>
      </n>
      <n v="282824998912">
        <tpls c="8">
          <tpl hier="2" item="0"/>
          <tpl hier="4" item="1"/>
          <tpl fld="2" item="46"/>
          <tpl fld="4" item="43"/>
          <tpl hier="9" item="4"/>
          <tpl hier="11" item="6"/>
          <tpl hier="12" item="5"/>
          <tpl fld="1" item="0"/>
        </tpls>
      </n>
      <n v="106659512320">
        <tpls c="8">
          <tpl hier="2" item="0"/>
          <tpl hier="4" item="1"/>
          <tpl fld="2" item="27"/>
          <tpl fld="4" item="43"/>
          <tpl hier="9" item="4"/>
          <tpl hier="11" item="6"/>
          <tpl hier="12" item="5"/>
          <tpl fld="1" item="0"/>
        </tpls>
      </n>
      <n v="23263512576">
        <tpls c="8">
          <tpl hier="2" item="0"/>
          <tpl hier="4" item="1"/>
          <tpl fld="2" item="8"/>
          <tpl fld="4" item="43"/>
          <tpl hier="9" item="4"/>
          <tpl hier="11" item="6"/>
          <tpl hier="12" item="5"/>
          <tpl fld="1" item="0"/>
        </tpls>
      </n>
      <n v="172389498880">
        <tpls c="8">
          <tpl hier="2" item="0"/>
          <tpl hier="4" item="1"/>
          <tpl fld="2" item="39"/>
          <tpl fld="4" item="42"/>
          <tpl hier="9" item="4"/>
          <tpl hier="11" item="6"/>
          <tpl hier="12" item="5"/>
          <tpl fld="1" item="0"/>
        </tpls>
      </n>
      <n v="37834792960">
        <tpls c="8">
          <tpl hier="2" item="0"/>
          <tpl hier="4" item="1"/>
          <tpl fld="2" item="21"/>
          <tpl fld="4" item="42"/>
          <tpl hier="9" item="4"/>
          <tpl hier="11" item="6"/>
          <tpl hier="12" item="5"/>
          <tpl fld="1" item="0"/>
        </tpls>
      </n>
      <n v="16210404352">
        <tpls c="8">
          <tpl hier="2" item="0"/>
          <tpl hier="4" item="1"/>
          <tpl fld="2" item="4"/>
          <tpl fld="4" item="42"/>
          <tpl hier="9" item="4"/>
          <tpl hier="11" item="6"/>
          <tpl hier="12" item="5"/>
          <tpl fld="1" item="0"/>
        </tpls>
      </n>
      <n v="10351932416">
        <tpls c="8">
          <tpl hier="2" item="0"/>
          <tpl hier="4" item="1"/>
          <tpl fld="2" item="38"/>
          <tpl fld="4" item="41"/>
          <tpl hier="9" item="4"/>
          <tpl hier="11" item="6"/>
          <tpl hier="12" item="5"/>
          <tpl fld="1" item="0"/>
        </tpls>
      </n>
      <n v="1877138048">
        <tpls c="8">
          <tpl hier="2" item="0"/>
          <tpl hier="4" item="1"/>
          <tpl fld="2" item="21"/>
          <tpl fld="4" item="41"/>
          <tpl hier="9" item="4"/>
          <tpl hier="11" item="6"/>
          <tpl hier="12" item="5"/>
          <tpl fld="1" item="0"/>
        </tpls>
      </n>
      <n v="652532800">
        <tpls c="8">
          <tpl hier="2" item="0"/>
          <tpl hier="4" item="1"/>
          <tpl fld="2" item="4"/>
          <tpl fld="4" item="41"/>
          <tpl hier="9" item="4"/>
          <tpl hier="11" item="6"/>
          <tpl hier="12" item="5"/>
          <tpl fld="1" item="0"/>
        </tpls>
      </n>
      <n v="1985240960">
        <tpls c="8">
          <tpl hier="2" item="0"/>
          <tpl hier="4" item="1"/>
          <tpl fld="2" item="38"/>
          <tpl fld="4" item="40"/>
          <tpl hier="9" item="4"/>
          <tpl hier="11" item="6"/>
          <tpl hier="12" item="5"/>
          <tpl fld="1" item="0"/>
        </tpls>
      </n>
      <n v="1377374976">
        <tpls c="8">
          <tpl hier="2" item="0"/>
          <tpl hier="4" item="1"/>
          <tpl fld="2" item="21"/>
          <tpl fld="4" item="40"/>
          <tpl hier="9" item="4"/>
          <tpl hier="11" item="6"/>
          <tpl hier="12" item="5"/>
          <tpl fld="1" item="0"/>
        </tpls>
      </n>
      <n v="378660032">
        <tpls c="8">
          <tpl hier="2" item="0"/>
          <tpl hier="4" item="1"/>
          <tpl fld="2" item="5"/>
          <tpl fld="4" item="40"/>
          <tpl hier="9" item="4"/>
          <tpl hier="11" item="6"/>
          <tpl hier="12" item="5"/>
          <tpl fld="1" item="0"/>
        </tpls>
      </n>
      <n v="26169323520">
        <tpls c="8">
          <tpl hier="2" item="0"/>
          <tpl hier="4" item="1"/>
          <tpl fld="2" item="40"/>
          <tpl fld="4" item="39"/>
          <tpl hier="9" item="4"/>
          <tpl hier="11" item="6"/>
          <tpl hier="12" item="5"/>
          <tpl fld="1" item="0"/>
        </tpls>
      </n>
      <n v="10600157184">
        <tpls c="8">
          <tpl hier="2" item="0"/>
          <tpl hier="4" item="1"/>
          <tpl fld="2" item="24"/>
          <tpl fld="4" item="39"/>
          <tpl hier="9" item="4"/>
          <tpl hier="11" item="6"/>
          <tpl hier="12" item="5"/>
          <tpl fld="1" item="0"/>
        </tpls>
      </n>
      <n v="4409920512">
        <tpls c="8">
          <tpl hier="2" item="0"/>
          <tpl hier="4" item="1"/>
          <tpl fld="2" item="8"/>
          <tpl fld="4" item="39"/>
          <tpl hier="9" item="4"/>
          <tpl hier="11" item="6"/>
          <tpl hier="12" item="5"/>
          <tpl fld="1" item="0"/>
        </tpls>
      </n>
      <n v="2451625216">
        <tpls c="8">
          <tpl hier="2" item="0"/>
          <tpl hier="4" item="1"/>
          <tpl fld="2" item="43"/>
          <tpl fld="4" item="38"/>
          <tpl hier="9" item="4"/>
          <tpl hier="11" item="6"/>
          <tpl hier="12" item="5"/>
          <tpl fld="1" item="0"/>
        </tpls>
      </n>
      <n v="972896256">
        <tpls c="8">
          <tpl hier="2" item="0"/>
          <tpl hier="4" item="1"/>
          <tpl fld="2" item="27"/>
          <tpl fld="4" item="38"/>
          <tpl hier="9" item="4"/>
          <tpl hier="11" item="6"/>
          <tpl hier="12" item="5"/>
          <tpl fld="1" item="0"/>
        </tpls>
      </n>
      <n v="969046656">
        <tpls c="8">
          <tpl hier="2" item="0"/>
          <tpl hier="4" item="1"/>
          <tpl fld="2" item="11"/>
          <tpl fld="4" item="38"/>
          <tpl hier="9" item="4"/>
          <tpl hier="11" item="6"/>
          <tpl hier="12" item="5"/>
          <tpl fld="1" item="0"/>
        </tpls>
      </n>
      <n v="12822557696">
        <tpls c="8">
          <tpl hier="2" item="0"/>
          <tpl hier="4" item="1"/>
          <tpl fld="2" item="46"/>
          <tpl fld="4" item="37"/>
          <tpl hier="9" item="4"/>
          <tpl hier="11" item="6"/>
          <tpl hier="12" item="5"/>
          <tpl fld="1" item="0"/>
        </tpls>
      </n>
      <n v="2956746240">
        <tpls c="8">
          <tpl hier="2" item="0"/>
          <tpl hier="4" item="1"/>
          <tpl fld="2" item="30"/>
          <tpl fld="4" item="37"/>
          <tpl hier="9" item="4"/>
          <tpl hier="11" item="6"/>
          <tpl hier="12" item="5"/>
          <tpl fld="1" item="0"/>
        </tpls>
      </n>
      <n v="1459880320">
        <tpls c="8">
          <tpl hier="2" item="0"/>
          <tpl hier="4" item="1"/>
          <tpl fld="2" item="14"/>
          <tpl fld="4" item="37"/>
          <tpl hier="9" item="4"/>
          <tpl hier="11" item="6"/>
          <tpl hier="12" item="5"/>
          <tpl fld="1" item="0"/>
        </tpls>
      </n>
      <n v="1839758049280">
        <tpls c="8">
          <tpl hier="2" item="0"/>
          <tpl hier="4" item="1"/>
          <tpl fld="2" item="49"/>
          <tpl fld="4" item="36"/>
          <tpl hier="9" item="4"/>
          <tpl hier="11" item="6"/>
          <tpl hier="12" item="5"/>
          <tpl fld="1" item="0"/>
        </tpls>
      </n>
      <n v="558319927296">
        <tpls c="8">
          <tpl hier="2" item="0"/>
          <tpl hier="4" item="1"/>
          <tpl fld="2" item="33"/>
          <tpl fld="4" item="36"/>
          <tpl hier="9" item="4"/>
          <tpl hier="11" item="6"/>
          <tpl hier="12" item="5"/>
          <tpl fld="1" item="0"/>
        </tpls>
      </n>
      <n v="294084116480">
        <tpls c="8">
          <tpl hier="2" item="0"/>
          <tpl hier="4" item="1"/>
          <tpl fld="2" item="17"/>
          <tpl fld="4" item="36"/>
          <tpl hier="9" item="4"/>
          <tpl hier="11" item="6"/>
          <tpl hier="12" item="5"/>
          <tpl fld="1" item="0"/>
        </tpls>
      </n>
      <n v="49204457472">
        <tpls c="8">
          <tpl hier="2" item="0"/>
          <tpl hier="4" item="1"/>
          <tpl fld="2" item="1"/>
          <tpl fld="4" item="36"/>
          <tpl hier="9" item="4"/>
          <tpl hier="11" item="6"/>
          <tpl hier="12" item="5"/>
          <tpl fld="1" item="0"/>
        </tpls>
      </n>
      <n v="10126940160">
        <tpls c="8">
          <tpl hier="2" item="0"/>
          <tpl hier="4" item="1"/>
          <tpl fld="2" item="36"/>
          <tpl fld="4" item="35"/>
          <tpl hier="9" item="4"/>
          <tpl hier="11" item="6"/>
          <tpl hier="12" item="5"/>
          <tpl fld="1" item="0"/>
        </tpls>
      </n>
      <n v="3790567168">
        <tpls c="8">
          <tpl hier="2" item="0"/>
          <tpl hier="4" item="1"/>
          <tpl fld="2" item="20"/>
          <tpl fld="4" item="35"/>
          <tpl hier="9" item="4"/>
          <tpl hier="11" item="6"/>
          <tpl hier="12" item="5"/>
          <tpl fld="1" item="0"/>
        </tpls>
      </n>
      <n v="306033856">
        <tpls c="8">
          <tpl hier="2" item="0"/>
          <tpl hier="4" item="1"/>
          <tpl fld="2" item="4"/>
          <tpl fld="4" item="35"/>
          <tpl hier="9" item="4"/>
          <tpl hier="11" item="6"/>
          <tpl hier="12" item="5"/>
          <tpl fld="1" item="0"/>
        </tpls>
      </n>
      <n v="17339992064">
        <tpls c="8">
          <tpl hier="2" item="0"/>
          <tpl hier="4" item="1"/>
          <tpl fld="2" item="39"/>
          <tpl fld="4" item="34"/>
          <tpl hier="9" item="4"/>
          <tpl hier="11" item="6"/>
          <tpl hier="12" item="5"/>
          <tpl fld="1" item="0"/>
        </tpls>
      </n>
      <n v="5734676480">
        <tpls c="8">
          <tpl hier="2" item="0"/>
          <tpl hier="4" item="1"/>
          <tpl fld="2" item="23"/>
          <tpl fld="4" item="34"/>
          <tpl hier="9" item="4"/>
          <tpl hier="11" item="6"/>
          <tpl hier="12" item="5"/>
          <tpl fld="1" item="0"/>
        </tpls>
      </n>
      <n v="3227436288">
        <tpls c="8">
          <tpl hier="2" item="0"/>
          <tpl hier="4" item="1"/>
          <tpl fld="2" item="7"/>
          <tpl fld="4" item="34"/>
          <tpl hier="9" item="4"/>
          <tpl hier="11" item="6"/>
          <tpl hier="12" item="5"/>
          <tpl fld="1" item="0"/>
        </tpls>
      </n>
      <n v="11141358592">
        <tpls c="8">
          <tpl hier="2" item="0"/>
          <tpl hier="4" item="1"/>
          <tpl fld="2" item="42"/>
          <tpl fld="4" item="33"/>
          <tpl hier="9" item="4"/>
          <tpl hier="11" item="6"/>
          <tpl hier="12" item="5"/>
          <tpl fld="1" item="0"/>
        </tpls>
      </n>
      <n v="2361116672">
        <tpls c="8">
          <tpl hier="2" item="0"/>
          <tpl hier="4" item="1"/>
          <tpl fld="2" item="26"/>
          <tpl fld="4" item="33"/>
          <tpl hier="9" item="4"/>
          <tpl hier="11" item="6"/>
          <tpl hier="12" item="5"/>
          <tpl fld="1" item="0"/>
        </tpls>
      </n>
      <n v="1405251584">
        <tpls c="8">
          <tpl hier="2" item="0"/>
          <tpl hier="4" item="1"/>
          <tpl fld="2" item="10"/>
          <tpl fld="4" item="33"/>
          <tpl hier="9" item="4"/>
          <tpl hier="11" item="6"/>
          <tpl hier="12" item="5"/>
          <tpl fld="1" item="0"/>
        </tpls>
      </n>
      <n v="1723800064">
        <tpls c="8">
          <tpl hier="2" item="0"/>
          <tpl hier="4" item="1"/>
          <tpl fld="2" item="45"/>
          <tpl fld="4" item="32"/>
          <tpl hier="9" item="4"/>
          <tpl hier="11" item="6"/>
          <tpl hier="12" item="5"/>
          <tpl fld="1" item="0"/>
        </tpls>
      </n>
      <n v="732732352">
        <tpls c="8">
          <tpl hier="2" item="0"/>
          <tpl hier="4" item="1"/>
          <tpl fld="2" item="29"/>
          <tpl fld="4" item="32"/>
          <tpl hier="9" item="4"/>
          <tpl hier="11" item="6"/>
          <tpl hier="12" item="5"/>
          <tpl fld="1" item="0"/>
        </tpls>
      </n>
      <n v="192103184">
        <tpls c="8">
          <tpl hier="2" item="0"/>
          <tpl hier="4" item="1"/>
          <tpl fld="2" item="13"/>
          <tpl fld="4" item="32"/>
          <tpl hier="9" item="4"/>
          <tpl hier="11" item="6"/>
          <tpl hier="12" item="5"/>
          <tpl fld="1" item="0"/>
        </tpls>
      </n>
      <n v="274039095296">
        <tpls c="8">
          <tpl hier="2" item="0"/>
          <tpl hier="4" item="1"/>
          <tpl fld="2" item="48"/>
          <tpl fld="4" item="31"/>
          <tpl hier="9" item="4"/>
          <tpl hier="11" item="6"/>
          <tpl hier="12" item="5"/>
          <tpl fld="1" item="0"/>
        </tpls>
      </n>
      <n v="54724079616">
        <tpls c="8">
          <tpl hier="2" item="0"/>
          <tpl hier="4" item="1"/>
          <tpl fld="2" item="32"/>
          <tpl fld="4" item="31"/>
          <tpl hier="9" item="4"/>
          <tpl hier="11" item="6"/>
          <tpl hier="12" item="5"/>
          <tpl fld="1" item="0"/>
        </tpls>
      </n>
      <n v="21774032896">
        <tpls c="8">
          <tpl hier="2" item="0"/>
          <tpl hier="4" item="1"/>
          <tpl fld="2" item="16"/>
          <tpl fld="4" item="31"/>
          <tpl hier="9" item="4"/>
          <tpl hier="11" item="6"/>
          <tpl hier="12" item="5"/>
          <tpl fld="1" item="0"/>
        </tpls>
      </n>
      <n v="8992721920">
        <tpls c="8">
          <tpl hier="2" item="0"/>
          <tpl hier="4" item="1"/>
          <tpl fld="2" item="0"/>
          <tpl fld="4" item="31"/>
          <tpl hier="9" item="4"/>
          <tpl hier="11" item="6"/>
          <tpl hier="12" item="5"/>
          <tpl fld="1" item="0"/>
        </tpls>
      </n>
      <n v="9836199936">
        <tpls c="8">
          <tpl hier="2" item="0"/>
          <tpl hier="4" item="1"/>
          <tpl fld="2" item="35"/>
          <tpl fld="4" item="30"/>
          <tpl hier="9" item="4"/>
          <tpl hier="11" item="6"/>
          <tpl hier="12" item="5"/>
          <tpl fld="1" item="0"/>
        </tpls>
      </n>
      <n v="3062000128">
        <tpls c="8">
          <tpl hier="2" item="0"/>
          <tpl hier="4" item="1"/>
          <tpl fld="2" item="19"/>
          <tpl fld="4" item="30"/>
          <tpl hier="9" item="4"/>
          <tpl hier="11" item="6"/>
          <tpl hier="12" item="5"/>
          <tpl fld="1" item="0"/>
        </tpls>
      </n>
      <n v="670899968">
        <tpls c="8">
          <tpl hier="2" item="0"/>
          <tpl hier="4" item="1"/>
          <tpl fld="2" item="3"/>
          <tpl fld="4" item="30"/>
          <tpl hier="9" item="4"/>
          <tpl hier="11" item="6"/>
          <tpl hier="12" item="5"/>
          <tpl fld="1" item="0"/>
        </tpls>
      </n>
      <n v="361558048768">
        <tpls c="8">
          <tpl hier="2" item="0"/>
          <tpl hier="4" item="1"/>
          <tpl fld="2" item="38"/>
          <tpl fld="4" item="29"/>
          <tpl hier="9" item="4"/>
          <tpl hier="11" item="6"/>
          <tpl hier="12" item="5"/>
          <tpl fld="1" item="0"/>
        </tpls>
      </n>
      <n v="228788617216">
        <tpls c="8">
          <tpl hier="2" item="0"/>
          <tpl hier="4" item="1"/>
          <tpl fld="2" item="22"/>
          <tpl fld="4" item="29"/>
          <tpl hier="9" item="4"/>
          <tpl hier="11" item="6"/>
          <tpl hier="12" item="5"/>
          <tpl fld="1" item="0"/>
        </tpls>
      </n>
      <n v="51169501184">
        <tpls c="8">
          <tpl hier="2" item="0"/>
          <tpl hier="4" item="1"/>
          <tpl fld="2" item="6"/>
          <tpl fld="4" item="29"/>
          <tpl hier="9" item="4"/>
          <tpl hier="11" item="6"/>
          <tpl hier="12" item="5"/>
          <tpl fld="1" item="0"/>
        </tpls>
      </n>
      <n v="200019476480">
        <tpls c="8">
          <tpl hier="2" item="0"/>
          <tpl hier="4" item="1"/>
          <tpl fld="2" item="41"/>
          <tpl fld="4" item="28"/>
          <tpl hier="9" item="4"/>
          <tpl hier="11" item="6"/>
          <tpl hier="12" item="5"/>
          <tpl fld="1" item="0"/>
        </tpls>
      </n>
      <n v="41764052992">
        <tpls c="8">
          <tpl hier="2" item="0"/>
          <tpl hier="4" item="1"/>
          <tpl fld="2" item="25"/>
          <tpl fld="4" item="28"/>
          <tpl hier="9" item="4"/>
          <tpl hier="11" item="6"/>
          <tpl hier="12" item="5"/>
          <tpl fld="1" item="0"/>
        </tpls>
      </n>
      <n v="33243422720">
        <tpls c="8">
          <tpl hier="2" item="0"/>
          <tpl hier="4" item="1"/>
          <tpl fld="2" item="9"/>
          <tpl fld="4" item="28"/>
          <tpl hier="9" item="4"/>
          <tpl hier="11" item="6"/>
          <tpl hier="12" item="5"/>
          <tpl fld="1" item="0"/>
        </tpls>
      </n>
      <n v="17521746903040">
        <tpls c="8">
          <tpl hier="2" item="0"/>
          <tpl hier="4" item="1"/>
          <tpl fld="2" item="44"/>
          <tpl fld="4" item="27"/>
          <tpl hier="9" item="4"/>
          <tpl hier="11" item="6"/>
          <tpl hier="12" item="5"/>
          <tpl fld="1" item="0"/>
        </tpls>
      </n>
      <n v="9062818250752">
        <tpls c="8">
          <tpl hier="2" item="0"/>
          <tpl hier="4" item="1"/>
          <tpl fld="2" item="28"/>
          <tpl fld="4" item="27"/>
          <tpl hier="9" item="4"/>
          <tpl hier="11" item="6"/>
          <tpl hier="12" item="5"/>
          <tpl fld="1" item="0"/>
        </tpls>
      </n>
      <n v="3343789064192">
        <tpls c="8">
          <tpl hier="2" item="0"/>
          <tpl hier="4" item="1"/>
          <tpl fld="2" item="12"/>
          <tpl fld="4" item="27"/>
          <tpl hier="9" item="4"/>
          <tpl hier="11" item="6"/>
          <tpl hier="12" item="5"/>
          <tpl fld="1" item="0"/>
        </tpls>
      </n>
      <n v="2666229137408">
        <tpls c="8">
          <tpl hier="2" item="0"/>
          <tpl hier="4" item="1"/>
          <tpl fld="2" item="47"/>
          <tpl fld="4" item="26"/>
          <tpl hier="9" item="4"/>
          <tpl hier="11" item="6"/>
          <tpl hier="12" item="5"/>
          <tpl fld="1" item="0"/>
        </tpls>
      </n>
      <n v="1640246149120">
        <tpls c="8">
          <tpl hier="2" item="0"/>
          <tpl hier="4" item="1"/>
          <tpl fld="2" item="31"/>
          <tpl fld="4" item="26"/>
          <tpl hier="9" item="4"/>
          <tpl hier="11" item="6"/>
          <tpl hier="12" item="5"/>
          <tpl fld="1" item="0"/>
        </tpls>
      </n>
      <n v="489285156864">
        <tpls c="8">
          <tpl hier="2" item="0"/>
          <tpl hier="4" item="1"/>
          <tpl fld="2" item="15"/>
          <tpl fld="4" item="26"/>
          <tpl hier="9" item="4"/>
          <tpl hier="11" item="6"/>
          <tpl hier="12" item="5"/>
          <tpl fld="1" item="0"/>
        </tpls>
      </n>
      <n v="15724393574400">
        <tpls c="8">
          <tpl hier="2" item="0"/>
          <tpl hier="4" item="1"/>
          <tpl hier="5" item="3"/>
          <tpl fld="4" item="25"/>
          <tpl hier="9" item="4"/>
          <tpl hier="11" item="6"/>
          <tpl hier="12" item="5"/>
          <tpl fld="1" item="0"/>
        </tpls>
      </n>
      <n v="394163683328">
        <tpls c="8">
          <tpl hier="2" item="0"/>
          <tpl hier="4" item="1"/>
          <tpl fld="2" item="34"/>
          <tpl fld="4" item="25"/>
          <tpl hier="9" item="4"/>
          <tpl hier="11" item="6"/>
          <tpl hier="12" item="5"/>
          <tpl fld="1" item="0"/>
        </tpls>
      </n>
      <n v="272979394560">
        <tpls c="8">
          <tpl hier="2" item="0"/>
          <tpl hier="4" item="1"/>
          <tpl fld="2" item="30"/>
          <tpl fld="4" item="99"/>
          <tpl hier="9" item="4"/>
          <tpl hier="11" item="6"/>
          <tpl hier="12" item="5"/>
          <tpl fld="1" item="0"/>
        </tpls>
      </n>
      <n v="85695864832">
        <tpls c="8">
          <tpl hier="2" item="0"/>
          <tpl hier="4" item="1"/>
          <tpl fld="2" item="17"/>
          <tpl fld="4" item="86"/>
          <tpl hier="9" item="4"/>
          <tpl hier="11" item="6"/>
          <tpl hier="12" item="5"/>
          <tpl fld="1" item="0"/>
        </tpls>
      </n>
      <n v="1756454272">
        <tpls c="8">
          <tpl hier="2" item="0"/>
          <tpl hier="4" item="1"/>
          <tpl fld="2" item="23"/>
          <tpl fld="4" item="74"/>
          <tpl hier="9" item="4"/>
          <tpl hier="11" item="6"/>
          <tpl hier="12" item="5"/>
          <tpl fld="1" item="0"/>
        </tpls>
      </n>
      <n v="1067098815488">
        <tpls c="8">
          <tpl hier="2" item="0"/>
          <tpl hier="4" item="1"/>
          <tpl hier="5" item="3"/>
          <tpl fld="4" item="63"/>
          <tpl hier="9" item="4"/>
          <tpl hier="11" item="6"/>
          <tpl hier="12" item="5"/>
          <tpl fld="1" item="0"/>
        </tpls>
      </n>
      <n v="6191437312">
        <tpls c="8">
          <tpl hier="2" item="0"/>
          <tpl hier="4" item="1"/>
          <tpl fld="2" item="14"/>
          <tpl fld="4" item="63"/>
          <tpl hier="9" item="4"/>
          <tpl hier="11" item="6"/>
          <tpl hier="12" item="5"/>
          <tpl fld="1" item="0"/>
        </tpls>
      </n>
      <n v="10150978560">
        <tpls c="8">
          <tpl hier="2" item="0"/>
          <tpl hier="4" item="1"/>
          <tpl fld="2" item="34"/>
          <tpl fld="4" item="62"/>
          <tpl hier="9" item="4"/>
          <tpl hier="11" item="6"/>
          <tpl hier="12" item="5"/>
          <tpl fld="1" item="0"/>
        </tpls>
      </n>
      <n v="2860411392">
        <tpls c="8">
          <tpl hier="2" item="0"/>
          <tpl hier="4" item="1"/>
          <tpl fld="2" item="5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8"/>
          <tpl fld="4" item="61"/>
          <tpl hier="9" item="4"/>
          <tpl hier="11" item="6"/>
          <tpl hier="12" item="5"/>
          <tpl fld="1" item="0"/>
        </tpls>
      </m>
      <n v="2875142438912">
        <tpls c="8">
          <tpl hier="2" item="0"/>
          <tpl hier="4" item="1"/>
          <tpl fld="2" item="49"/>
          <tpl fld="4" item="60"/>
          <tpl hier="9" item="4"/>
          <tpl hier="11" item="6"/>
          <tpl hier="12" item="5"/>
          <tpl fld="1" item="0"/>
        </tpls>
      </n>
      <n v="279296016384">
        <tpls c="8">
          <tpl hier="2" item="0"/>
          <tpl hier="4" item="1"/>
          <tpl fld="2" item="23"/>
          <tpl fld="4" item="60"/>
          <tpl hier="9" item="4"/>
          <tpl hier="11" item="6"/>
          <tpl hier="12" item="5"/>
          <tpl fld="1" item="0"/>
        </tpls>
      </n>
      <n v="24024188928">
        <tpls c="8">
          <tpl hier="2" item="0"/>
          <tpl hier="4" item="1"/>
          <tpl fld="2" item="48"/>
          <tpl fld="4" item="59"/>
          <tpl hier="9" item="4"/>
          <tpl hier="11" item="6"/>
          <tpl hier="12" item="5"/>
          <tpl fld="1" item="0"/>
        </tpls>
      </n>
      <n v="5347445248">
        <tpls c="8">
          <tpl hier="2" item="0"/>
          <tpl hier="4" item="1"/>
          <tpl fld="2" item="25"/>
          <tpl fld="4" item="59"/>
          <tpl hier="9" item="4"/>
          <tpl hier="11" item="6"/>
          <tpl hier="12" item="5"/>
          <tpl fld="1" item="0"/>
        </tpls>
      </n>
      <n v="731000000">
        <tpls c="8">
          <tpl hier="2" item="0"/>
          <tpl hier="4" item="1"/>
          <tpl fld="2" item="1"/>
          <tpl fld="4" item="59"/>
          <tpl hier="9" item="4"/>
          <tpl hier="11" item="6"/>
          <tpl hier="12" item="5"/>
          <tpl fld="1" item="0"/>
        </tpls>
      </n>
      <n v="4153736448">
        <tpls c="8">
          <tpl hier="2" item="0"/>
          <tpl hier="4" item="1"/>
          <tpl fld="2" item="29"/>
          <tpl fld="4" item="58"/>
          <tpl hier="9" item="4"/>
          <tpl hier="11" item="6"/>
          <tpl hier="12" item="5"/>
          <tpl fld="1" item="0"/>
        </tpls>
      </n>
      <n v="681400000">
        <tpls c="8">
          <tpl hier="2" item="0"/>
          <tpl hier="4" item="1"/>
          <tpl fld="2" item="5"/>
          <tpl fld="4" item="58"/>
          <tpl hier="9" item="4"/>
          <tpl hier="11" item="6"/>
          <tpl hier="12" item="5"/>
          <tpl fld="1" item="0"/>
        </tpls>
      </n>
      <n v="743064064">
        <tpls c="8">
          <tpl hier="2" item="0"/>
          <tpl hier="4" item="1"/>
          <tpl fld="2" item="33"/>
          <tpl fld="4" item="57"/>
          <tpl hier="9" item="4"/>
          <tpl hier="11" item="6"/>
          <tpl hier="12" item="5"/>
          <tpl fld="1" item="0"/>
        </tpls>
      </n>
      <n v="530440000">
        <tpls c="8">
          <tpl hier="2" item="0"/>
          <tpl hier="4" item="1"/>
          <tpl fld="2" item="9"/>
          <tpl fld="4" item="57"/>
          <tpl hier="9" item="4"/>
          <tpl hier="11" item="6"/>
          <tpl hier="12" item="5"/>
          <tpl fld="1" item="0"/>
        </tpls>
      </n>
      <n v="695990208">
        <tpls c="8">
          <tpl hier="2" item="0"/>
          <tpl hier="4" item="1"/>
          <tpl fld="2" item="37"/>
          <tpl fld="4" item="56"/>
          <tpl hier="9" item="4"/>
          <tpl hier="11" item="6"/>
          <tpl hier="12" item="5"/>
          <tpl fld="1" item="0"/>
        </tpls>
      </n>
      <n v="163577536">
        <tpls c="8">
          <tpl hier="2" item="0"/>
          <tpl hier="4" item="1"/>
          <tpl fld="2" item="13"/>
          <tpl fld="4" item="56"/>
          <tpl hier="9" item="4"/>
          <tpl hier="11" item="6"/>
          <tpl hier="12" item="5"/>
          <tpl fld="1" item="0"/>
        </tpls>
      </n>
      <n v="50388459520">
        <tpls c="8">
          <tpl hier="2" item="0"/>
          <tpl hier="4" item="1"/>
          <tpl fld="2" item="42"/>
          <tpl fld="4" item="55"/>
          <tpl hier="9" item="4"/>
          <tpl hier="11" item="6"/>
          <tpl hier="12" item="5"/>
          <tpl fld="1" item="0"/>
        </tpls>
      </n>
      <n v="7650125312">
        <tpls c="8">
          <tpl hier="2" item="0"/>
          <tpl hier="4" item="1"/>
          <tpl fld="2" item="20"/>
          <tpl fld="4" item="55"/>
          <tpl hier="9" item="4"/>
          <tpl hier="11" item="6"/>
          <tpl hier="12" item="5"/>
          <tpl fld="1" item="0"/>
        </tpls>
      </n>
      <n v="58998132736">
        <tpls c="8">
          <tpl hier="2" item="0"/>
          <tpl hier="4" item="1"/>
          <tpl fld="2" item="47"/>
          <tpl fld="4" item="54"/>
          <tpl hier="9" item="4"/>
          <tpl hier="11" item="6"/>
          <tpl hier="12" item="5"/>
          <tpl fld="1" item="0"/>
        </tpls>
      </n>
      <n v="5444560896">
        <tpls c="8">
          <tpl hier="2" item="0"/>
          <tpl hier="4" item="1"/>
          <tpl fld="2" item="24"/>
          <tpl fld="4" item="54"/>
          <tpl hier="9" item="4"/>
          <tpl hier="11" item="6"/>
          <tpl hier="12" item="5"/>
          <tpl fld="1" item="0"/>
        </tpls>
      </n>
      <n v="2215029504">
        <tpls c="8">
          <tpl hier="2" item="0"/>
          <tpl hier="4" item="1"/>
          <tpl fld="2" item="0"/>
          <tpl fld="4" item="54"/>
          <tpl hier="9" item="4"/>
          <tpl hier="11" item="6"/>
          <tpl hier="12" item="5"/>
          <tpl fld="1" item="0"/>
        </tpls>
      </n>
      <n v="840285248">
        <tpls c="8">
          <tpl hier="2" item="0"/>
          <tpl hier="4" item="1"/>
          <tpl fld="2" item="28"/>
          <tpl fld="4" item="53"/>
          <tpl hier="9" item="4"/>
          <tpl hier="11" item="6"/>
          <tpl hier="12" item="5"/>
          <tpl fld="1" item="0"/>
        </tpls>
      </n>
      <n v="138094240">
        <tpls c="8">
          <tpl hier="2" item="0"/>
          <tpl hier="4" item="1"/>
          <tpl fld="2" item="7"/>
          <tpl fld="4" item="53"/>
          <tpl hier="9" item="4"/>
          <tpl hier="11" item="6"/>
          <tpl hier="12" item="5"/>
          <tpl fld="1" item="0"/>
        </tpls>
      </n>
      <n v="12065138688">
        <tpls c="8">
          <tpl hier="2" item="0"/>
          <tpl hier="4" item="1"/>
          <tpl fld="2" item="39"/>
          <tpl fld="4" item="52"/>
          <tpl hier="9" item="4"/>
          <tpl hier="11" item="6"/>
          <tpl hier="12" item="5"/>
          <tpl fld="1" item="0"/>
        </tpls>
      </n>
      <n v="4186411520">
        <tpls c="8">
          <tpl hier="2" item="0"/>
          <tpl hier="4" item="1"/>
          <tpl fld="2" item="19"/>
          <tpl fld="4" item="52"/>
          <tpl hier="9" item="4"/>
          <tpl hier="11" item="6"/>
          <tpl hier="12" item="5"/>
          <tpl fld="1" item="0"/>
        </tpls>
      </n>
      <n v="323802464">
        <tpls c="8">
          <tpl hier="2" item="0"/>
          <tpl hier="4" item="1"/>
          <tpl fld="2" item="0"/>
          <tpl fld="4" item="52"/>
          <tpl hier="9" item="4"/>
          <tpl hier="11" item="6"/>
          <tpl hier="12" item="5"/>
          <tpl fld="1" item="0"/>
        </tpls>
      </n>
      <n v="1842691456">
        <tpls c="8">
          <tpl hier="2" item="0"/>
          <tpl hier="4" item="1"/>
          <tpl fld="2" item="32"/>
          <tpl fld="4" item="51"/>
          <tpl hier="9" item="4"/>
          <tpl hier="11" item="6"/>
          <tpl hier="12" item="5"/>
          <tpl fld="1" item="0"/>
        </tpls>
      </n>
      <n v="1235899776">
        <tpls c="8">
          <tpl hier="2" item="0"/>
          <tpl hier="4" item="1"/>
          <tpl fld="2" item="11"/>
          <tpl fld="4" item="51"/>
          <tpl hier="9" item="4"/>
          <tpl hier="11" item="6"/>
          <tpl hier="12" item="5"/>
          <tpl fld="1" item="0"/>
        </tpls>
      </n>
      <n v="21990969344">
        <tpls c="8">
          <tpl hier="2" item="0"/>
          <tpl hier="4" item="1"/>
          <tpl fld="2" item="43"/>
          <tpl fld="4" item="50"/>
          <tpl hier="9" item="4"/>
          <tpl hier="11" item="6"/>
          <tpl hier="12" item="5"/>
          <tpl fld="1" item="0"/>
        </tpls>
      </n>
      <n v="6680269312">
        <tpls c="8">
          <tpl hier="2" item="0"/>
          <tpl hier="4" item="1"/>
          <tpl fld="2" item="23"/>
          <tpl fld="4" item="50"/>
          <tpl hier="9" item="4"/>
          <tpl hier="11" item="6"/>
          <tpl hier="12" item="5"/>
          <tpl fld="1" item="0"/>
        </tpls>
      </n>
      <n v="1665880064">
        <tpls c="8">
          <tpl hier="2" item="0"/>
          <tpl hier="4" item="1"/>
          <tpl fld="2" item="4"/>
          <tpl fld="4" item="50"/>
          <tpl hier="9" item="4"/>
          <tpl hier="11" item="6"/>
          <tpl hier="12" item="5"/>
          <tpl fld="1" item="0"/>
        </tpls>
      </n>
      <n v="36591661056">
        <tpls c="8">
          <tpl hier="2" item="0"/>
          <tpl hier="4" item="1"/>
          <tpl fld="2" item="34"/>
          <tpl fld="4" item="49"/>
          <tpl hier="9" item="4"/>
          <tpl hier="11" item="6"/>
          <tpl hier="12" item="5"/>
          <tpl fld="1" item="0"/>
        </tpls>
      </n>
      <n v="17149094912">
        <tpls c="8">
          <tpl hier="2" item="0"/>
          <tpl hier="4" item="1"/>
          <tpl fld="2" item="15"/>
          <tpl fld="4" item="49"/>
          <tpl hier="9" item="4"/>
          <tpl hier="11" item="6"/>
          <tpl hier="12" item="5"/>
          <tpl fld="1" item="0"/>
        </tpls>
      </n>
      <n v="75704721408">
        <tpls c="8">
          <tpl hier="2" item="0"/>
          <tpl hier="4" item="1"/>
          <tpl fld="2" item="46"/>
          <tpl fld="4" item="48"/>
          <tpl hier="9" item="4"/>
          <tpl hier="11" item="6"/>
          <tpl hier="12" item="5"/>
          <tpl fld="1" item="0"/>
        </tpls>
      </n>
      <n v="20017909760">
        <tpls c="8">
          <tpl hier="2" item="0"/>
          <tpl hier="4" item="1"/>
          <tpl fld="2" item="27"/>
          <tpl fld="4" item="48"/>
          <tpl hier="9" item="4"/>
          <tpl hier="11" item="6"/>
          <tpl hier="12" item="5"/>
          <tpl fld="1" item="0"/>
        </tpls>
      </n>
      <n v="3951500032">
        <tpls c="8">
          <tpl hier="2" item="0"/>
          <tpl hier="4" item="1"/>
          <tpl fld="2" item="6"/>
          <tpl fld="4" item="48"/>
          <tpl hier="9" item="4"/>
          <tpl hier="11" item="6"/>
          <tpl hier="12" item="5"/>
          <tpl fld="1" item="0"/>
        </tpls>
      </n>
      <n v="24224903168">
        <tpls c="8">
          <tpl hier="2" item="0"/>
          <tpl hier="4" item="1"/>
          <tpl fld="2" item="38"/>
          <tpl fld="4" item="47"/>
          <tpl hier="9" item="4"/>
          <tpl hier="11" item="6"/>
          <tpl hier="12" item="5"/>
          <tpl fld="1" item="0"/>
        </tpls>
      </n>
      <n v="10255170560">
        <tpls c="8">
          <tpl hier="2" item="0"/>
          <tpl hier="4" item="1"/>
          <tpl fld="2" item="18"/>
          <tpl fld="4" item="47"/>
          <tpl hier="9" item="4"/>
          <tpl hier="11" item="6"/>
          <tpl hier="12" item="5"/>
          <tpl fld="1" item="0"/>
        </tpls>
      </n>
      <n v="898616110400">
        <tpls c="8">
          <tpl hier="2" item="0"/>
          <tpl hier="4" item="1"/>
          <tpl hier="5" item="3"/>
          <tpl fld="4" item="46"/>
          <tpl hier="9" item="4"/>
          <tpl hier="11" item="6"/>
          <tpl hier="12" item="5"/>
          <tpl fld="1" item="0"/>
        </tpls>
      </n>
      <n v="15913363456">
        <tpls c="8">
          <tpl hier="2" item="0"/>
          <tpl hier="4" item="1"/>
          <tpl fld="2" item="31"/>
          <tpl fld="4" item="46"/>
          <tpl hier="9" item="4"/>
          <tpl hier="11" item="6"/>
          <tpl hier="12" item="5"/>
          <tpl fld="1" item="0"/>
        </tpls>
      </n>
      <n v="4831447040">
        <tpls c="8">
          <tpl hier="2" item="0"/>
          <tpl hier="4" item="1"/>
          <tpl fld="2" item="10"/>
          <tpl fld="4" item="46"/>
          <tpl hier="9" item="4"/>
          <tpl hier="11" item="6"/>
          <tpl hier="12" item="5"/>
          <tpl fld="1" item="0"/>
        </tpls>
      </n>
      <n v="13677148160">
        <tpls c="8">
          <tpl hier="2" item="0"/>
          <tpl hier="4" item="1"/>
          <tpl fld="2" item="42"/>
          <tpl fld="4" item="45"/>
          <tpl hier="9" item="4"/>
          <tpl hier="11" item="6"/>
          <tpl hier="12" item="5"/>
          <tpl fld="1" item="0"/>
        </tpls>
      </n>
      <n v="2933222656">
        <tpls c="8">
          <tpl hier="2" item="0"/>
          <tpl hier="4" item="1"/>
          <tpl fld="2" item="22"/>
          <tpl fld="4" item="45"/>
          <tpl hier="9" item="4"/>
          <tpl hier="11" item="6"/>
          <tpl hier="12" item="5"/>
          <tpl fld="1" item="0"/>
        </tpls>
      </n>
      <n v="541973376">
        <tpls c="8">
          <tpl hier="2" item="0"/>
          <tpl hier="4" item="1"/>
          <tpl fld="2" item="3"/>
          <tpl fld="4" item="45"/>
          <tpl hier="9" item="4"/>
          <tpl hier="11" item="6"/>
          <tpl hier="12" item="5"/>
          <tpl fld="1" item="0"/>
        </tpls>
      </n>
      <n v="8937567232">
        <tpls c="8">
          <tpl hier="2" item="0"/>
          <tpl hier="4" item="1"/>
          <tpl fld="2" item="33"/>
          <tpl fld="4" item="44"/>
          <tpl hier="9" item="4"/>
          <tpl hier="11" item="6"/>
          <tpl hier="12" item="5"/>
          <tpl fld="1" item="0"/>
        </tpls>
      </n>
      <n v="7857729024">
        <tpls c="8">
          <tpl hier="2" item="0"/>
          <tpl hier="4" item="1"/>
          <tpl fld="2" item="14"/>
          <tpl fld="4" item="44"/>
          <tpl hier="9" item="4"/>
          <tpl hier="11" item="6"/>
          <tpl hier="12" item="5"/>
          <tpl fld="1" item="0"/>
        </tpls>
      </n>
      <n v="293481742336">
        <tpls c="8">
          <tpl hier="2" item="0"/>
          <tpl hier="4" item="1"/>
          <tpl fld="2" item="45"/>
          <tpl fld="4" item="43"/>
          <tpl hier="9" item="4"/>
          <tpl hier="11" item="6"/>
          <tpl hier="12" item="5"/>
          <tpl fld="1" item="0"/>
        </tpls>
      </n>
      <n v="97160110080">
        <tpls c="8">
          <tpl hier="2" item="0"/>
          <tpl hier="4" item="1"/>
          <tpl fld="2" item="26"/>
          <tpl fld="4" item="43"/>
          <tpl hier="9" item="4"/>
          <tpl hier="11" item="6"/>
          <tpl hier="12" item="5"/>
          <tpl fld="1" item="0"/>
        </tpls>
      </n>
      <n v="13098634240">
        <tpls c="8">
          <tpl hier="2" item="0"/>
          <tpl hier="4" item="1"/>
          <tpl fld="2" item="5"/>
          <tpl fld="4" item="43"/>
          <tpl hier="9" item="4"/>
          <tpl hier="11" item="6"/>
          <tpl hier="12" item="5"/>
          <tpl fld="1" item="0"/>
        </tpls>
      </n>
      <n v="179638501376">
        <tpls c="8">
          <tpl hier="2" item="0"/>
          <tpl hier="4" item="1"/>
          <tpl fld="2" item="38"/>
          <tpl fld="4" item="42"/>
          <tpl hier="9" item="4"/>
          <tpl hier="11" item="6"/>
          <tpl hier="12" item="5"/>
          <tpl fld="1" item="0"/>
        </tpls>
      </n>
      <n v="33113888768">
        <tpls c="8">
          <tpl hier="2" item="0"/>
          <tpl hier="4" item="1"/>
          <tpl fld="2" item="20"/>
          <tpl fld="4" item="42"/>
          <tpl hier="9" item="4"/>
          <tpl hier="11" item="6"/>
          <tpl hier="12" item="5"/>
          <tpl fld="1" item="0"/>
        </tpls>
      </n>
      <n v="16836260864">
        <tpls c="8">
          <tpl hier="2" item="0"/>
          <tpl hier="4" item="1"/>
          <tpl fld="2" item="3"/>
          <tpl fld="4" item="42"/>
          <tpl hier="9" item="4"/>
          <tpl hier="11" item="6"/>
          <tpl hier="12" item="5"/>
          <tpl fld="1" item="0"/>
        </tpls>
      </n>
      <n v="8638711808">
        <tpls c="8">
          <tpl hier="2" item="0"/>
          <tpl hier="4" item="1"/>
          <tpl fld="2" item="37"/>
          <tpl fld="4" item="41"/>
          <tpl hier="9" item="4"/>
          <tpl hier="11" item="6"/>
          <tpl hier="12" item="5"/>
          <tpl fld="1" item="0"/>
        </tpls>
      </n>
      <n v="1738605568">
        <tpls c="8">
          <tpl hier="2" item="0"/>
          <tpl hier="4" item="1"/>
          <tpl fld="2" item="20"/>
          <tpl fld="4" item="41"/>
          <tpl hier="9" item="4"/>
          <tpl hier="11" item="6"/>
          <tpl hier="12" item="5"/>
          <tpl fld="1" item="0"/>
        </tpls>
      </n>
      <n v="647199488">
        <tpls c="8">
          <tpl hier="2" item="0"/>
          <tpl hier="4" item="1"/>
          <tpl fld="2" item="3"/>
          <tpl fld="4" item="41"/>
          <tpl hier="9" item="4"/>
          <tpl hier="11" item="6"/>
          <tpl hier="12" item="5"/>
          <tpl fld="1" item="0"/>
        </tpls>
      </n>
      <n v="1697565952">
        <tpls c="8">
          <tpl hier="2" item="0"/>
          <tpl hier="4" item="1"/>
          <tpl fld="2" item="37"/>
          <tpl fld="4" item="40"/>
          <tpl hier="9" item="4"/>
          <tpl hier="11" item="6"/>
          <tpl hier="12" item="5"/>
          <tpl fld="1" item="0"/>
        </tpls>
      </n>
      <n v="1440711424">
        <tpls c="8">
          <tpl hier="2" item="0"/>
          <tpl hier="4" item="1"/>
          <tpl fld="2" item="20"/>
          <tpl fld="4" item="40"/>
          <tpl hier="9" item="4"/>
          <tpl hier="11" item="6"/>
          <tpl hier="12" item="5"/>
          <tpl fld="1" item="0"/>
        </tpls>
      </n>
      <n v="281398656">
        <tpls c="8">
          <tpl hier="2" item="0"/>
          <tpl hier="4" item="1"/>
          <tpl fld="2" item="4"/>
          <tpl fld="4" item="40"/>
          <tpl hier="9" item="4"/>
          <tpl hier="11" item="6"/>
          <tpl hier="12" item="5"/>
          <tpl fld="1" item="0"/>
        </tpls>
      </n>
      <n v="26017925120">
        <tpls c="8">
          <tpl hier="2" item="0"/>
          <tpl hier="4" item="1"/>
          <tpl fld="2" item="39"/>
          <tpl fld="4" item="39"/>
          <tpl hier="9" item="4"/>
          <tpl hier="11" item="6"/>
          <tpl hier="12" item="5"/>
          <tpl fld="1" item="0"/>
        </tpls>
      </n>
      <n v="15498179584">
        <tpls c="8">
          <tpl hier="2" item="0"/>
          <tpl hier="4" item="1"/>
          <tpl fld="2" item="23"/>
          <tpl fld="4" item="39"/>
          <tpl hier="9" item="4"/>
          <tpl hier="11" item="6"/>
          <tpl hier="12" item="5"/>
          <tpl fld="1" item="0"/>
        </tpls>
      </n>
      <n v="3366368768">
        <tpls c="8">
          <tpl hier="2" item="0"/>
          <tpl hier="4" item="1"/>
          <tpl fld="2" item="7"/>
          <tpl fld="4" item="39"/>
          <tpl hier="9" item="4"/>
          <tpl hier="11" item="6"/>
          <tpl hier="12" item="5"/>
          <tpl fld="1" item="0"/>
        </tpls>
      </n>
      <n v="2333308160">
        <tpls c="8">
          <tpl hier="2" item="0"/>
          <tpl hier="4" item="1"/>
          <tpl fld="2" item="42"/>
          <tpl fld="4" item="38"/>
          <tpl hier="9" item="4"/>
          <tpl hier="11" item="6"/>
          <tpl hier="12" item="5"/>
          <tpl fld="1" item="0"/>
        </tpls>
      </n>
      <n v="869033856">
        <tpls c="8">
          <tpl hier="2" item="0"/>
          <tpl hier="4" item="1"/>
          <tpl fld="2" item="26"/>
          <tpl fld="4" item="38"/>
          <tpl hier="9" item="4"/>
          <tpl hier="11" item="6"/>
          <tpl hier="12" item="5"/>
          <tpl fld="1" item="0"/>
        </tpls>
      </n>
      <n v="919726656">
        <tpls c="8">
          <tpl hier="2" item="0"/>
          <tpl hier="4" item="1"/>
          <tpl fld="2" item="10"/>
          <tpl fld="4" item="38"/>
          <tpl hier="9" item="4"/>
          <tpl hier="11" item="6"/>
          <tpl hier="12" item="5"/>
          <tpl fld="1" item="0"/>
        </tpls>
      </n>
      <n v="11832159232">
        <tpls c="8">
          <tpl hier="2" item="0"/>
          <tpl hier="4" item="1"/>
          <tpl fld="2" item="45"/>
          <tpl fld="4" item="37"/>
          <tpl hier="9" item="4"/>
          <tpl hier="11" item="6"/>
          <tpl hier="12" item="5"/>
          <tpl fld="1" item="0"/>
        </tpls>
      </n>
      <n v="3364819200">
        <tpls c="8">
          <tpl hier="2" item="0"/>
          <tpl hier="4" item="1"/>
          <tpl fld="2" item="29"/>
          <tpl fld="4" item="37"/>
          <tpl hier="9" item="4"/>
          <tpl hier="11" item="6"/>
          <tpl hier="12" item="5"/>
          <tpl fld="1" item="0"/>
        </tpls>
      </n>
      <n v="1600278784">
        <tpls c="8">
          <tpl hier="2" item="0"/>
          <tpl hier="4" item="1"/>
          <tpl fld="2" item="13"/>
          <tpl fld="4" item="37"/>
          <tpl hier="9" item="4"/>
          <tpl hier="11" item="6"/>
          <tpl hier="12" item="5"/>
          <tpl fld="1" item="0"/>
        </tpls>
      </n>
      <n v="1885482516480">
        <tpls c="8">
          <tpl hier="2" item="0"/>
          <tpl hier="4" item="1"/>
          <tpl fld="2" item="48"/>
          <tpl fld="4" item="36"/>
          <tpl hier="9" item="4"/>
          <tpl hier="11" item="6"/>
          <tpl hier="12" item="5"/>
          <tpl fld="1" item="0"/>
        </tpls>
      </n>
      <n v="507962490880">
        <tpls c="8">
          <tpl hier="2" item="0"/>
          <tpl hier="4" item="1"/>
          <tpl fld="2" item="32"/>
          <tpl fld="4" item="36"/>
          <tpl hier="9" item="4"/>
          <tpl hier="11" item="6"/>
          <tpl hier="12" item="5"/>
          <tpl fld="1" item="0"/>
        </tpls>
      </n>
      <n v="268137218048">
        <tpls c="8">
          <tpl hier="2" item="0"/>
          <tpl hier="4" item="1"/>
          <tpl fld="2" item="16"/>
          <tpl fld="4" item="36"/>
          <tpl hier="9" item="4"/>
          <tpl hier="11" item="6"/>
          <tpl hier="12" item="5"/>
          <tpl fld="1" item="0"/>
        </tpls>
      </n>
      <n v="42327601152">
        <tpls c="8">
          <tpl hier="2" item="0"/>
          <tpl hier="4" item="1"/>
          <tpl fld="2" item="0"/>
          <tpl fld="4" item="36"/>
          <tpl hier="9" item="4"/>
          <tpl hier="11" item="6"/>
          <tpl hier="12" item="5"/>
          <tpl fld="1" item="0"/>
        </tpls>
      </n>
      <n v="9931134976">
        <tpls c="8">
          <tpl hier="2" item="0"/>
          <tpl hier="4" item="1"/>
          <tpl fld="2" item="35"/>
          <tpl fld="4" item="35"/>
          <tpl hier="9" item="4"/>
          <tpl hier="11" item="6"/>
          <tpl hier="12" item="5"/>
          <tpl fld="1" item="0"/>
        </tpls>
      </n>
      <n v="3083800576">
        <tpls c="8">
          <tpl hier="2" item="0"/>
          <tpl hier="4" item="1"/>
          <tpl fld="2" item="19"/>
          <tpl fld="4" item="35"/>
          <tpl hier="9" item="4"/>
          <tpl hier="11" item="6"/>
          <tpl hier="12" item="5"/>
          <tpl fld="1" item="0"/>
        </tpls>
      </n>
      <n v="244129088">
        <tpls c="8">
          <tpl hier="2" item="0"/>
          <tpl hier="4" item="1"/>
          <tpl fld="2" item="3"/>
          <tpl fld="4" item="35"/>
          <tpl hier="9" item="4"/>
          <tpl hier="11" item="6"/>
          <tpl hier="12" item="5"/>
          <tpl fld="1" item="0"/>
        </tpls>
      </n>
      <n v="16674324480">
        <tpls c="8">
          <tpl hier="2" item="0"/>
          <tpl hier="4" item="1"/>
          <tpl fld="2" item="38"/>
          <tpl fld="4" item="34"/>
          <tpl hier="9" item="4"/>
          <tpl hier="11" item="6"/>
          <tpl hier="12" item="5"/>
          <tpl fld="1" item="0"/>
        </tpls>
      </n>
      <n v="5643893248">
        <tpls c="8">
          <tpl hier="2" item="0"/>
          <tpl hier="4" item="1"/>
          <tpl fld="2" item="22"/>
          <tpl fld="4" item="34"/>
          <tpl hier="9" item="4"/>
          <tpl hier="11" item="6"/>
          <tpl hier="12" item="5"/>
          <tpl fld="1" item="0"/>
        </tpls>
      </n>
      <n v="2731984128">
        <tpls c="8">
          <tpl hier="2" item="0"/>
          <tpl hier="4" item="1"/>
          <tpl fld="2" item="6"/>
          <tpl fld="4" item="34"/>
          <tpl hier="9" item="4"/>
          <tpl hier="11" item="6"/>
          <tpl hier="12" item="5"/>
          <tpl fld="1" item="0"/>
        </tpls>
      </n>
      <n v="10693321728">
        <tpls c="8">
          <tpl hier="2" item="0"/>
          <tpl hier="4" item="1"/>
          <tpl fld="2" item="41"/>
          <tpl fld="4" item="33"/>
          <tpl hier="9" item="4"/>
          <tpl hier="11" item="6"/>
          <tpl hier="12" item="5"/>
          <tpl fld="1" item="0"/>
        </tpls>
      </n>
      <n v="2169627136">
        <tpls c="8">
          <tpl hier="2" item="0"/>
          <tpl hier="4" item="1"/>
          <tpl fld="2" item="25"/>
          <tpl fld="4" item="33"/>
          <tpl hier="9" item="4"/>
          <tpl hier="11" item="6"/>
          <tpl hier="12" item="5"/>
          <tpl fld="1" item="0"/>
        </tpls>
      </n>
      <n v="1186231296">
        <tpls c="8">
          <tpl hier="2" item="0"/>
          <tpl hier="4" item="1"/>
          <tpl fld="2" item="9"/>
          <tpl fld="4" item="33"/>
          <tpl hier="9" item="4"/>
          <tpl hier="11" item="6"/>
          <tpl hier="12" item="5"/>
          <tpl fld="1" item="0"/>
        </tpls>
      </n>
      <n v="1662800000">
        <tpls c="8">
          <tpl hier="2" item="0"/>
          <tpl hier="4" item="1"/>
          <tpl fld="2" item="44"/>
          <tpl fld="4" item="32"/>
          <tpl hier="9" item="4"/>
          <tpl hier="11" item="6"/>
          <tpl hier="12" item="5"/>
          <tpl fld="1" item="0"/>
        </tpls>
      </n>
      <n v="688992448">
        <tpls c="8">
          <tpl hier="2" item="0"/>
          <tpl hier="4" item="1"/>
          <tpl fld="2" item="28"/>
          <tpl fld="4" item="32"/>
          <tpl hier="9" item="4"/>
          <tpl hier="11" item="6"/>
          <tpl hier="12" item="5"/>
          <tpl fld="1" item="0"/>
        </tpls>
      </n>
      <n v="182206320">
        <tpls c="8">
          <tpl hier="2" item="0"/>
          <tpl hier="4" item="1"/>
          <tpl fld="2" item="12"/>
          <tpl fld="4" item="32"/>
          <tpl hier="9" item="4"/>
          <tpl hier="11" item="6"/>
          <tpl hier="12" item="5"/>
          <tpl fld="1" item="0"/>
        </tpls>
      </n>
      <n v="249711050752">
        <tpls c="8">
          <tpl hier="2" item="0"/>
          <tpl hier="4" item="1"/>
          <tpl fld="2" item="47"/>
          <tpl fld="4" item="31"/>
          <tpl hier="9" item="4"/>
          <tpl hier="11" item="6"/>
          <tpl hier="12" item="5"/>
          <tpl fld="1" item="0"/>
        </tpls>
      </n>
      <n v="53991288832">
        <tpls c="8">
          <tpl hier="2" item="0"/>
          <tpl hier="4" item="1"/>
          <tpl fld="2" item="31"/>
          <tpl fld="4" item="31"/>
          <tpl hier="9" item="4"/>
          <tpl hier="11" item="6"/>
          <tpl hier="12" item="5"/>
          <tpl fld="1" item="0"/>
        </tpls>
      </n>
      <n v="22278422528">
        <tpls c="8">
          <tpl hier="2" item="0"/>
          <tpl hier="4" item="1"/>
          <tpl fld="2" item="15"/>
          <tpl fld="4" item="31"/>
          <tpl hier="9" item="4"/>
          <tpl hier="11" item="6"/>
          <tpl hier="12" item="5"/>
          <tpl fld="1" item="0"/>
        </tpls>
      </n>
      <n v="279841135168">
        <tpls c="8">
          <tpl hier="2" item="0"/>
          <tpl hier="4" item="1"/>
          <tpl hier="5" item="3"/>
          <tpl fld="4" item="30"/>
          <tpl hier="9" item="4"/>
          <tpl hier="11" item="6"/>
          <tpl hier="12" item="5"/>
          <tpl fld="1" item="0"/>
        </tpls>
      </n>
      <n v="9055290368">
        <tpls c="8">
          <tpl hier="2" item="0"/>
          <tpl hier="4" item="1"/>
          <tpl fld="2" item="34"/>
          <tpl fld="4" item="30"/>
          <tpl hier="9" item="4"/>
          <tpl hier="11" item="6"/>
          <tpl hier="12" item="5"/>
          <tpl fld="1" item="0"/>
        </tpls>
      </n>
      <n v="2817900032">
        <tpls c="8">
          <tpl hier="2" item="0"/>
          <tpl hier="4" item="1"/>
          <tpl fld="2" item="18"/>
          <tpl fld="4" item="30"/>
          <tpl hier="9" item="4"/>
          <tpl hier="11" item="6"/>
          <tpl hier="12" item="5"/>
          <tpl fld="1" item="0"/>
        </tpls>
      </n>
      <n v="590899968">
        <tpls c="8">
          <tpl hier="2" item="0"/>
          <tpl hier="4" item="1"/>
          <tpl fld="2" item="2"/>
          <tpl fld="4" item="30"/>
          <tpl hier="9" item="4"/>
          <tpl hier="11" item="6"/>
          <tpl hier="12" item="5"/>
          <tpl fld="1" item="0"/>
        </tpls>
      </n>
      <n v="43173482496">
        <tpls c="8">
          <tpl hier="2" item="0"/>
          <tpl hier="4" item="1"/>
          <tpl fld="2" item="45"/>
          <tpl fld="4" item="98"/>
          <tpl hier="9" item="4"/>
          <tpl hier="11" item="6"/>
          <tpl hier="12" item="5"/>
          <tpl fld="1" item="0"/>
        </tpls>
      </n>
      <n v="2029026688">
        <tpls c="8">
          <tpl hier="2" item="0"/>
          <tpl hier="4" item="1"/>
          <tpl fld="2" item="22"/>
          <tpl fld="4" item="85"/>
          <tpl hier="9" item="4"/>
          <tpl hier="11" item="6"/>
          <tpl hier="12" item="5"/>
          <tpl fld="1" item="0"/>
        </tpls>
      </n>
      <n v="16002656256">
        <tpls c="8">
          <tpl hier="2" item="0"/>
          <tpl hier="4" item="1"/>
          <tpl fld="2" item="40"/>
          <tpl fld="4" item="73"/>
          <tpl hier="9" item="4"/>
          <tpl hier="11" item="6"/>
          <tpl hier="12" item="5"/>
          <tpl fld="1" item="0"/>
        </tpls>
      </n>
      <n v="40000090112">
        <tpls c="8">
          <tpl hier="2" item="0"/>
          <tpl hier="4" item="1"/>
          <tpl fld="2" item="40"/>
          <tpl fld="4" item="63"/>
          <tpl hier="9" item="4"/>
          <tpl hier="11" item="6"/>
          <tpl hier="12" item="5"/>
          <tpl fld="1" item="0"/>
        </tpls>
      </n>
      <n v="5303734784">
        <tpls c="8">
          <tpl hier="2" item="0"/>
          <tpl hier="4" item="1"/>
          <tpl fld="2" item="8"/>
          <tpl fld="4" item="63"/>
          <tpl hier="9" item="4"/>
          <tpl hier="11" item="6"/>
          <tpl hier="12" item="5"/>
          <tpl fld="1" item="0"/>
        </tpls>
      </n>
      <n v="9399447552">
        <tpls c="8">
          <tpl hier="2" item="0"/>
          <tpl hier="4" item="1"/>
          <tpl fld="2" item="33"/>
          <tpl fld="4" item="62"/>
          <tpl hier="9" item="4"/>
          <tpl hier="11" item="6"/>
          <tpl hier="12" item="5"/>
          <tpl fld="1" item="0"/>
        </tpls>
      </n>
      <n v="1905917568">
        <tpls c="8">
          <tpl hier="2" item="0"/>
          <tpl hier="4" item="1"/>
          <tpl fld="2" item="3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7"/>
          <tpl fld="4" item="61"/>
          <tpl hier="9" item="4"/>
          <tpl hier="11" item="6"/>
          <tpl hier="12" item="5"/>
          <tpl fld="1" item="0"/>
        </tpls>
      </m>
      <n v="2713164972032">
        <tpls c="8">
          <tpl hier="2" item="0"/>
          <tpl hier="4" item="1"/>
          <tpl fld="2" item="48"/>
          <tpl fld="4" item="60"/>
          <tpl hier="9" item="4"/>
          <tpl hier="11" item="6"/>
          <tpl hier="12" item="5"/>
          <tpl fld="1" item="0"/>
        </tpls>
      </n>
      <n v="288208420864">
        <tpls c="8">
          <tpl hier="2" item="0"/>
          <tpl hier="4" item="1"/>
          <tpl fld="2" item="22"/>
          <tpl fld="4" item="60"/>
          <tpl hier="9" item="4"/>
          <tpl hier="11" item="6"/>
          <tpl hier="12" item="5"/>
          <tpl fld="1" item="0"/>
        </tpls>
      </n>
      <n v="21717622784">
        <tpls c="8">
          <tpl hier="2" item="0"/>
          <tpl hier="4" item="1"/>
          <tpl fld="2" item="46"/>
          <tpl fld="4" item="59"/>
          <tpl hier="9" item="4"/>
          <tpl hier="11" item="6"/>
          <tpl hier="12" item="5"/>
          <tpl fld="1" item="0"/>
        </tpls>
      </n>
      <n v="4642280448">
        <tpls c="8">
          <tpl hier="2" item="0"/>
          <tpl hier="4" item="1"/>
          <tpl fld="2" item="24"/>
          <tpl fld="4" item="59"/>
          <tpl hier="9" item="4"/>
          <tpl hier="11" item="6"/>
          <tpl hier="12" item="5"/>
          <tpl fld="1" item="0"/>
        </tpls>
      </n>
      <n v="723000000">
        <tpls c="8">
          <tpl hier="2" item="0"/>
          <tpl hier="4" item="1"/>
          <tpl fld="2" item="0"/>
          <tpl fld="4" item="59"/>
          <tpl hier="9" item="4"/>
          <tpl hier="11" item="6"/>
          <tpl hier="12" item="5"/>
          <tpl fld="1" item="0"/>
        </tpls>
      </n>
      <n v="3723909120">
        <tpls c="8">
          <tpl hier="2" item="0"/>
          <tpl hier="4" item="1"/>
          <tpl fld="2" item="28"/>
          <tpl fld="4" item="58"/>
          <tpl hier="9" item="4"/>
          <tpl hier="11" item="6"/>
          <tpl hier="12" item="5"/>
          <tpl fld="1" item="0"/>
        </tpls>
      </n>
      <n v="565400000">
        <tpls c="8">
          <tpl hier="2" item="0"/>
          <tpl hier="4" item="1"/>
          <tpl fld="2" item="4"/>
          <tpl fld="4" item="58"/>
          <tpl hier="9" item="4"/>
          <tpl hier="11" item="6"/>
          <tpl hier="12" item="5"/>
          <tpl fld="1" item="0"/>
        </tpls>
      </n>
      <n v="726131456">
        <tpls c="8">
          <tpl hier="2" item="0"/>
          <tpl hier="4" item="1"/>
          <tpl fld="2" item="32"/>
          <tpl fld="4" item="57"/>
          <tpl hier="9" item="4"/>
          <tpl hier="11" item="6"/>
          <tpl hier="12" item="5"/>
          <tpl fld="1" item="0"/>
        </tpls>
      </n>
      <n v="507080000">
        <tpls c="8">
          <tpl hier="2" item="0"/>
          <tpl hier="4" item="1"/>
          <tpl fld="2" item="8"/>
          <tpl fld="4" item="57"/>
          <tpl hier="9" item="4"/>
          <tpl hier="11" item="6"/>
          <tpl hier="12" item="5"/>
          <tpl fld="1" item="0"/>
        </tpls>
      </n>
      <n v="591839488">
        <tpls c="8">
          <tpl hier="2" item="0"/>
          <tpl hier="4" item="1"/>
          <tpl fld="2" item="36"/>
          <tpl fld="4" item="56"/>
          <tpl hier="9" item="4"/>
          <tpl hier="11" item="6"/>
          <tpl hier="12" item="5"/>
          <tpl fld="1" item="0"/>
        </tpls>
      </n>
      <n v="165523632">
        <tpls c="8">
          <tpl hier="2" item="0"/>
          <tpl hier="4" item="1"/>
          <tpl fld="2" item="12"/>
          <tpl fld="4" item="56"/>
          <tpl hier="9" item="4"/>
          <tpl hier="11" item="6"/>
          <tpl hier="12" item="5"/>
          <tpl fld="1" item="0"/>
        </tpls>
      </n>
      <n v="41338007552">
        <tpls c="8">
          <tpl hier="2" item="0"/>
          <tpl hier="4" item="1"/>
          <tpl fld="2" item="40"/>
          <tpl fld="4" item="55"/>
          <tpl hier="9" item="4"/>
          <tpl hier="11" item="6"/>
          <tpl hier="12" item="5"/>
          <tpl fld="1" item="0"/>
        </tpls>
      </n>
      <n v="7231963648">
        <tpls c="8">
          <tpl hier="2" item="0"/>
          <tpl hier="4" item="1"/>
          <tpl fld="2" item="16"/>
          <tpl fld="4" item="55"/>
          <tpl hier="9" item="4"/>
          <tpl hier="11" item="6"/>
          <tpl hier="12" item="5"/>
          <tpl fld="1" item="0"/>
        </tpls>
      </n>
      <n v="48564862976">
        <tpls c="8">
          <tpl hier="2" item="0"/>
          <tpl hier="4" item="1"/>
          <tpl fld="2" item="45"/>
          <tpl fld="4" item="54"/>
          <tpl hier="9" item="4"/>
          <tpl hier="11" item="6"/>
          <tpl hier="12" item="5"/>
          <tpl fld="1" item="0"/>
        </tpls>
      </n>
      <n v="5966255616">
        <tpls c="8">
          <tpl hier="2" item="0"/>
          <tpl hier="4" item="1"/>
          <tpl fld="2" item="23"/>
          <tpl fld="4" item="54"/>
          <tpl hier="9" item="4"/>
          <tpl hier="11" item="6"/>
          <tpl hier="12" item="5"/>
          <tpl fld="1" item="0"/>
        </tpls>
      </n>
      <n v="35203368420">
        <tpls c="8">
          <tpl hier="2" item="0"/>
          <tpl hier="4" item="1"/>
          <tpl hier="5" item="3"/>
          <tpl fld="4" item="53"/>
          <tpl hier="9" item="4"/>
          <tpl hier="11" item="6"/>
          <tpl hier="12" item="5"/>
          <tpl fld="1" item="0"/>
        </tpls>
      </n>
      <n v="803630720">
        <tpls c="8">
          <tpl hier="2" item="0"/>
          <tpl hier="4" item="1"/>
          <tpl fld="2" item="27"/>
          <tpl fld="4" item="53"/>
          <tpl hier="9" item="4"/>
          <tpl hier="11" item="6"/>
          <tpl hier="12" item="5"/>
          <tpl fld="1" item="0"/>
        </tpls>
      </n>
      <n v="112189472">
        <tpls c="8">
          <tpl hier="2" item="0"/>
          <tpl hier="4" item="1"/>
          <tpl fld="2" item="6"/>
          <tpl fld="4" item="53"/>
          <tpl hier="9" item="4"/>
          <tpl hier="11" item="6"/>
          <tpl hier="12" item="5"/>
          <tpl fld="1" item="0"/>
        </tpls>
      </n>
      <n v="15508575232">
        <tpls c="8">
          <tpl hier="2" item="0"/>
          <tpl hier="4" item="1"/>
          <tpl fld="2" item="38"/>
          <tpl fld="4" item="52"/>
          <tpl hier="9" item="4"/>
          <tpl hier="11" item="6"/>
          <tpl hier="12" item="5"/>
          <tpl fld="1" item="0"/>
        </tpls>
      </n>
      <n v="3834503424">
        <tpls c="8">
          <tpl hier="2" item="0"/>
          <tpl hier="4" item="1"/>
          <tpl fld="2" item="18"/>
          <tpl fld="4" item="52"/>
          <tpl hier="9" item="4"/>
          <tpl hier="11" item="6"/>
          <tpl hier="12" item="5"/>
          <tpl fld="1" item="0"/>
        </tpls>
      </n>
      <n v="107169010880">
        <tpls c="8">
          <tpl hier="2" item="0"/>
          <tpl hier="4" item="1"/>
          <tpl hier="5" item="3"/>
          <tpl fld="4" item="51"/>
          <tpl hier="9" item="4"/>
          <tpl hier="11" item="6"/>
          <tpl hier="12" item="5"/>
          <tpl fld="1" item="0"/>
        </tpls>
      </n>
      <n v="1942171008">
        <tpls c="8">
          <tpl hier="2" item="0"/>
          <tpl hier="4" item="1"/>
          <tpl fld="2" item="29"/>
          <tpl fld="4" item="51"/>
          <tpl hier="9" item="4"/>
          <tpl hier="11" item="6"/>
          <tpl hier="12" item="5"/>
          <tpl fld="1" item="0"/>
        </tpls>
      </n>
      <n v="1202567296">
        <tpls c="8">
          <tpl hier="2" item="0"/>
          <tpl hier="4" item="1"/>
          <tpl fld="2" item="10"/>
          <tpl fld="4" item="51"/>
          <tpl hier="9" item="4"/>
          <tpl hier="11" item="6"/>
          <tpl hier="12" item="5"/>
          <tpl fld="1" item="0"/>
        </tpls>
      </n>
      <n v="20284000256">
        <tpls c="8">
          <tpl hier="2" item="0"/>
          <tpl hier="4" item="1"/>
          <tpl fld="2" item="41"/>
          <tpl fld="4" item="50"/>
          <tpl hier="9" item="4"/>
          <tpl hier="11" item="6"/>
          <tpl hier="12" item="5"/>
          <tpl fld="1" item="0"/>
        </tpls>
      </n>
      <n v="5813399552">
        <tpls c="8">
          <tpl hier="2" item="0"/>
          <tpl hier="4" item="1"/>
          <tpl fld="2" item="22"/>
          <tpl fld="4" item="50"/>
          <tpl hier="9" item="4"/>
          <tpl hier="11" item="6"/>
          <tpl hier="12" item="5"/>
          <tpl fld="1" item="0"/>
        </tpls>
      </n>
      <n v="1442320000">
        <tpls c="8">
          <tpl hier="2" item="0"/>
          <tpl hier="4" item="1"/>
          <tpl fld="2" item="3"/>
          <tpl fld="4" item="50"/>
          <tpl hier="9" item="4"/>
          <tpl hier="11" item="6"/>
          <tpl hier="12" item="5"/>
          <tpl fld="1" item="0"/>
        </tpls>
      </n>
      <n v="32432857088">
        <tpls c="8">
          <tpl hier="2" item="0"/>
          <tpl hier="4" item="1"/>
          <tpl fld="2" item="33"/>
          <tpl fld="4" item="49"/>
          <tpl hier="9" item="4"/>
          <tpl hier="11" item="6"/>
          <tpl hier="12" item="5"/>
          <tpl fld="1" item="0"/>
        </tpls>
      </n>
      <n v="16912515072">
        <tpls c="8">
          <tpl hier="2" item="0"/>
          <tpl hier="4" item="1"/>
          <tpl fld="2" item="14"/>
          <tpl fld="4" item="49"/>
          <tpl hier="9" item="4"/>
          <tpl hier="11" item="6"/>
          <tpl hier="12" item="5"/>
          <tpl fld="1" item="0"/>
        </tpls>
      </n>
      <n v="71164821504">
        <tpls c="8">
          <tpl hier="2" item="0"/>
          <tpl hier="4" item="1"/>
          <tpl fld="2" item="45"/>
          <tpl fld="4" item="48"/>
          <tpl hier="9" item="4"/>
          <tpl hier="11" item="6"/>
          <tpl hier="12" item="5"/>
          <tpl fld="1" item="0"/>
        </tpls>
      </n>
      <n v="18241691648">
        <tpls c="8">
          <tpl hier="2" item="0"/>
          <tpl hier="4" item="1"/>
          <tpl fld="2" item="26"/>
          <tpl fld="4" item="48"/>
          <tpl hier="9" item="4"/>
          <tpl hier="11" item="6"/>
          <tpl hier="12" item="5"/>
          <tpl fld="1" item="0"/>
        </tpls>
      </n>
      <n v="3599200000">
        <tpls c="8">
          <tpl hier="2" item="0"/>
          <tpl hier="4" item="1"/>
          <tpl fld="2" item="5"/>
          <tpl fld="4" item="48"/>
          <tpl hier="9" item="4"/>
          <tpl hier="11" item="6"/>
          <tpl hier="12" item="5"/>
          <tpl fld="1" item="0"/>
        </tpls>
      </n>
      <n v="20343635968">
        <tpls c="8">
          <tpl hier="2" item="0"/>
          <tpl hier="4" item="1"/>
          <tpl fld="2" item="37"/>
          <tpl fld="4" item="47"/>
          <tpl hier="9" item="4"/>
          <tpl hier="11" item="6"/>
          <tpl hier="12" item="5"/>
          <tpl fld="1" item="0"/>
        </tpls>
      </n>
      <n v="10087653376">
        <tpls c="8">
          <tpl hier="2" item="0"/>
          <tpl hier="4" item="1"/>
          <tpl fld="2" item="17"/>
          <tpl fld="4" item="47"/>
          <tpl hier="9" item="4"/>
          <tpl hier="11" item="6"/>
          <tpl hier="12" item="5"/>
          <tpl fld="1" item="0"/>
        </tpls>
      </n>
      <n v="61773942784">
        <tpls c="8">
          <tpl hier="2" item="0"/>
          <tpl hier="4" item="1"/>
          <tpl fld="2" item="49"/>
          <tpl fld="4" item="46"/>
          <tpl hier="9" item="4"/>
          <tpl hier="11" item="6"/>
          <tpl hier="12" item="5"/>
          <tpl fld="1" item="0"/>
        </tpls>
      </n>
      <n v="13617404928">
        <tpls c="8">
          <tpl hier="2" item="0"/>
          <tpl hier="4" item="1"/>
          <tpl fld="2" item="28"/>
          <tpl fld="4" item="46"/>
          <tpl hier="9" item="4"/>
          <tpl hier="11" item="6"/>
          <tpl hier="12" item="5"/>
          <tpl fld="1" item="0"/>
        </tpls>
      </n>
      <n v="4035519232">
        <tpls c="8">
          <tpl hier="2" item="0"/>
          <tpl hier="4" item="1"/>
          <tpl fld="2" item="9"/>
          <tpl fld="4" item="46"/>
          <tpl hier="9" item="4"/>
          <tpl hier="11" item="6"/>
          <tpl hier="12" item="5"/>
          <tpl fld="1" item="0"/>
        </tpls>
      </n>
      <n v="12019595264">
        <tpls c="8">
          <tpl hier="2" item="0"/>
          <tpl hier="4" item="1"/>
          <tpl fld="2" item="40"/>
          <tpl fld="4" item="45"/>
          <tpl hier="9" item="4"/>
          <tpl hier="11" item="6"/>
          <tpl hier="12" item="5"/>
          <tpl fld="1" item="0"/>
        </tpls>
      </n>
      <n v="2724853504">
        <tpls c="8">
          <tpl hier="2" item="0"/>
          <tpl hier="4" item="1"/>
          <tpl fld="2" item="21"/>
          <tpl fld="4" item="45"/>
          <tpl hier="9" item="4"/>
          <tpl hier="11" item="6"/>
          <tpl hier="12" item="5"/>
          <tpl fld="1" item="0"/>
        </tpls>
      </n>
      <n v="410669248">
        <tpls c="8">
          <tpl hier="2" item="0"/>
          <tpl hier="4" item="1"/>
          <tpl fld="2" item="2"/>
          <tpl fld="4" item="45"/>
          <tpl hier="9" item="4"/>
          <tpl hier="11" item="6"/>
          <tpl hier="12" item="5"/>
          <tpl fld="1" item="0"/>
        </tpls>
      </n>
      <n v="8728038400">
        <tpls c="8">
          <tpl hier="2" item="0"/>
          <tpl hier="4" item="1"/>
          <tpl fld="2" item="32"/>
          <tpl fld="4" item="44"/>
          <tpl hier="9" item="4"/>
          <tpl hier="11" item="6"/>
          <tpl hier="12" item="5"/>
          <tpl fld="1" item="0"/>
        </tpls>
      </n>
      <n v="11006712832">
        <tpls c="8">
          <tpl hier="2" item="0"/>
          <tpl hier="4" item="1"/>
          <tpl fld="2" item="13"/>
          <tpl fld="4" item="44"/>
          <tpl hier="9" item="4"/>
          <tpl hier="11" item="6"/>
          <tpl hier="12" item="5"/>
          <tpl fld="1" item="0"/>
        </tpls>
      </n>
      <n v="381112123392">
        <tpls c="8">
          <tpl hier="2" item="0"/>
          <tpl hier="4" item="1"/>
          <tpl fld="2" item="44"/>
          <tpl fld="4" item="43"/>
          <tpl hier="9" item="4"/>
          <tpl hier="11" item="6"/>
          <tpl hier="12" item="5"/>
          <tpl fld="1" item="0"/>
        </tpls>
      </n>
      <n v="92507283456">
        <tpls c="8">
          <tpl hier="2" item="0"/>
          <tpl hier="4" item="1"/>
          <tpl fld="2" item="25"/>
          <tpl fld="4" item="43"/>
          <tpl hier="9" item="4"/>
          <tpl hier="11" item="6"/>
          <tpl hier="12" item="5"/>
          <tpl fld="1" item="0"/>
        </tpls>
      </n>
      <n v="12370029568">
        <tpls c="8">
          <tpl hier="2" item="0"/>
          <tpl hier="4" item="1"/>
          <tpl fld="2" item="4"/>
          <tpl fld="4" item="43"/>
          <tpl hier="9" item="4"/>
          <tpl hier="11" item="6"/>
          <tpl hier="12" item="5"/>
          <tpl fld="1" item="0"/>
        </tpls>
      </n>
      <n v="173605961728">
        <tpls c="8">
          <tpl hier="2" item="0"/>
          <tpl hier="4" item="1"/>
          <tpl fld="2" item="37"/>
          <tpl fld="4" item="42"/>
          <tpl hier="9" item="4"/>
          <tpl hier="11" item="6"/>
          <tpl hier="12" item="5"/>
          <tpl fld="1" item="0"/>
        </tpls>
      </n>
      <n v="29885685760">
        <tpls c="8">
          <tpl hier="2" item="0"/>
          <tpl hier="4" item="1"/>
          <tpl fld="2" item="19"/>
          <tpl fld="4" item="42"/>
          <tpl hier="9" item="4"/>
          <tpl hier="11" item="6"/>
          <tpl hier="12" item="5"/>
          <tpl fld="1" item="0"/>
        </tpls>
      </n>
      <n v="11853816832">
        <tpls c="8">
          <tpl hier="2" item="0"/>
          <tpl hier="4" item="1"/>
          <tpl fld="2" item="2"/>
          <tpl fld="4" item="42"/>
          <tpl hier="9" item="4"/>
          <tpl hier="11" item="6"/>
          <tpl hier="12" item="5"/>
          <tpl fld="1" item="0"/>
        </tpls>
      </n>
      <n v="7422102528">
        <tpls c="8">
          <tpl hier="2" item="0"/>
          <tpl hier="4" item="1"/>
          <tpl fld="2" item="36"/>
          <tpl fld="4" item="41"/>
          <tpl hier="9" item="4"/>
          <tpl hier="11" item="6"/>
          <tpl hier="12" item="5"/>
          <tpl fld="1" item="0"/>
        </tpls>
      </n>
      <n v="1433686272">
        <tpls c="8">
          <tpl hier="2" item="0"/>
          <tpl hier="4" item="1"/>
          <tpl fld="2" item="19"/>
          <tpl fld="4" item="41"/>
          <tpl hier="9" item="4"/>
          <tpl hier="11" item="6"/>
          <tpl hier="12" item="5"/>
          <tpl fld="1" item="0"/>
        </tpls>
      </n>
      <n v="585427520">
        <tpls c="8">
          <tpl hier="2" item="0"/>
          <tpl hier="4" item="1"/>
          <tpl fld="2" item="2"/>
          <tpl fld="4" item="41"/>
          <tpl hier="9" item="4"/>
          <tpl hier="11" item="6"/>
          <tpl hier="12" item="5"/>
          <tpl fld="1" item="0"/>
        </tpls>
      </n>
      <n v="1460561152">
        <tpls c="8">
          <tpl hier="2" item="0"/>
          <tpl hier="4" item="1"/>
          <tpl fld="2" item="36"/>
          <tpl fld="4" item="40"/>
          <tpl hier="9" item="4"/>
          <tpl hier="11" item="6"/>
          <tpl hier="12" item="5"/>
          <tpl fld="1" item="0"/>
        </tpls>
      </n>
      <n v="1233930240">
        <tpls c="8">
          <tpl hier="2" item="0"/>
          <tpl hier="4" item="1"/>
          <tpl fld="2" item="19"/>
          <tpl fld="4" item="40"/>
          <tpl hier="9" item="4"/>
          <tpl hier="11" item="6"/>
          <tpl hier="12" item="5"/>
          <tpl fld="1" item="0"/>
        </tpls>
      </n>
      <n v="271183072">
        <tpls c="8">
          <tpl hier="2" item="0"/>
          <tpl hier="4" item="1"/>
          <tpl fld="2" item="3"/>
          <tpl fld="4" item="40"/>
          <tpl hier="9" item="4"/>
          <tpl hier="11" item="6"/>
          <tpl hier="12" item="5"/>
          <tpl fld="1" item="0"/>
        </tpls>
      </n>
      <n v="26409781248">
        <tpls c="8">
          <tpl hier="2" item="0"/>
          <tpl hier="4" item="1"/>
          <tpl fld="2" item="38"/>
          <tpl fld="4" item="39"/>
          <tpl hier="9" item="4"/>
          <tpl hier="11" item="6"/>
          <tpl hier="12" item="5"/>
          <tpl fld="1" item="0"/>
        </tpls>
      </n>
      <n v="11396311040">
        <tpls c="8">
          <tpl hier="2" item="0"/>
          <tpl hier="4" item="1"/>
          <tpl fld="2" item="22"/>
          <tpl fld="4" item="39"/>
          <tpl hier="9" item="4"/>
          <tpl hier="11" item="6"/>
          <tpl hier="12" item="5"/>
          <tpl fld="1" item="0"/>
        </tpls>
      </n>
      <n v="3076592384">
        <tpls c="8">
          <tpl hier="2" item="0"/>
          <tpl hier="4" item="1"/>
          <tpl fld="2" item="6"/>
          <tpl fld="4" item="39"/>
          <tpl hier="9" item="4"/>
          <tpl hier="11" item="6"/>
          <tpl hier="12" item="5"/>
          <tpl fld="1" item="0"/>
        </tpls>
      </n>
      <n v="2235820800">
        <tpls c="8">
          <tpl hier="2" item="0"/>
          <tpl hier="4" item="1"/>
          <tpl fld="2" item="41"/>
          <tpl fld="4" item="38"/>
          <tpl hier="9" item="4"/>
          <tpl hier="11" item="6"/>
          <tpl hier="12" item="5"/>
          <tpl fld="1" item="0"/>
        </tpls>
      </n>
      <n v="1000428416">
        <tpls c="8">
          <tpl hier="2" item="0"/>
          <tpl hier="4" item="1"/>
          <tpl fld="2" item="25"/>
          <tpl fld="4" item="38"/>
          <tpl hier="9" item="4"/>
          <tpl hier="11" item="6"/>
          <tpl hier="12" item="5"/>
          <tpl fld="1" item="0"/>
        </tpls>
      </n>
      <n v="782496640">
        <tpls c="8">
          <tpl hier="2" item="0"/>
          <tpl hier="4" item="1"/>
          <tpl fld="2" item="9"/>
          <tpl fld="4" item="38"/>
          <tpl hier="9" item="4"/>
          <tpl hier="11" item="6"/>
          <tpl hier="12" item="5"/>
          <tpl fld="1" item="0"/>
        </tpls>
      </n>
      <n v="13943016448">
        <tpls c="8">
          <tpl hier="2" item="0"/>
          <tpl hier="4" item="1"/>
          <tpl fld="2" item="44"/>
          <tpl fld="4" item="37"/>
          <tpl hier="9" item="4"/>
          <tpl hier="11" item="6"/>
          <tpl hier="12" item="5"/>
          <tpl fld="1" item="0"/>
        </tpls>
      </n>
      <n v="2804902656">
        <tpls c="8">
          <tpl hier="2" item="0"/>
          <tpl hier="4" item="1"/>
          <tpl fld="2" item="28"/>
          <tpl fld="4" item="37"/>
          <tpl hier="9" item="4"/>
          <tpl hier="11" item="6"/>
          <tpl hier="12" item="5"/>
          <tpl fld="1" item="0"/>
        </tpls>
      </n>
      <n v="1754450432">
        <tpls c="8">
          <tpl hier="2" item="0"/>
          <tpl hier="4" item="1"/>
          <tpl fld="2" item="12"/>
          <tpl fld="4" item="37"/>
          <tpl hier="9" item="4"/>
          <tpl hier="11" item="6"/>
          <tpl hier="12" item="5"/>
          <tpl fld="1" item="0"/>
        </tpls>
      </n>
      <n v="2062831058944">
        <tpls c="8">
          <tpl hier="2" item="0"/>
          <tpl hier="4" item="1"/>
          <tpl fld="2" item="47"/>
          <tpl fld="4" item="36"/>
          <tpl hier="9" item="4"/>
          <tpl hier="11" item="6"/>
          <tpl hier="12" item="5"/>
          <tpl fld="1" item="0"/>
        </tpls>
      </n>
      <n v="559372304384">
        <tpls c="8">
          <tpl hier="2" item="0"/>
          <tpl hier="4" item="1"/>
          <tpl fld="2" item="31"/>
          <tpl fld="4" item="36"/>
          <tpl hier="9" item="4"/>
          <tpl hier="11" item="6"/>
          <tpl hier="12" item="5"/>
          <tpl fld="1" item="0"/>
        </tpls>
      </n>
      <n v="222942789632">
        <tpls c="8">
          <tpl hier="2" item="0"/>
          <tpl hier="4" item="1"/>
          <tpl fld="2" item="15"/>
          <tpl fld="4" item="36"/>
          <tpl hier="9" item="4"/>
          <tpl hier="11" item="6"/>
          <tpl hier="12" item="5"/>
          <tpl fld="1" item="0"/>
        </tpls>
      </n>
      <n v="308046939360">
        <tpls c="8">
          <tpl hier="2" item="0"/>
          <tpl hier="4" item="1"/>
          <tpl hier="5" item="3"/>
          <tpl fld="4" item="35"/>
          <tpl hier="9" item="4"/>
          <tpl hier="11" item="6"/>
          <tpl hier="12" item="5"/>
          <tpl fld="1" item="0"/>
        </tpls>
      </n>
      <n v="8957467648">
        <tpls c="8">
          <tpl hier="2" item="0"/>
          <tpl hier="4" item="1"/>
          <tpl fld="2" item="34"/>
          <tpl fld="4" item="35"/>
          <tpl hier="9" item="4"/>
          <tpl hier="11" item="6"/>
          <tpl hier="12" item="5"/>
          <tpl fld="1" item="0"/>
        </tpls>
      </n>
      <n v="2644536832">
        <tpls c="8">
          <tpl hier="2" item="0"/>
          <tpl hier="4" item="1"/>
          <tpl fld="2" item="18"/>
          <tpl fld="4" item="35"/>
          <tpl hier="9" item="4"/>
          <tpl hier="11" item="6"/>
          <tpl hier="12" item="5"/>
          <tpl fld="1" item="0"/>
        </tpls>
      </n>
      <n v="165258096">
        <tpls c="8">
          <tpl hier="2" item="0"/>
          <tpl hier="4" item="1"/>
          <tpl fld="2" item="2"/>
          <tpl fld="4" item="35"/>
          <tpl hier="9" item="4"/>
          <tpl hier="11" item="6"/>
          <tpl hier="12" item="5"/>
          <tpl fld="1" item="0"/>
        </tpls>
      </n>
      <n v="13120183296">
        <tpls c="8">
          <tpl hier="2" item="0"/>
          <tpl hier="4" item="1"/>
          <tpl fld="2" item="37"/>
          <tpl fld="4" item="34"/>
          <tpl hier="9" item="4"/>
          <tpl hier="11" item="6"/>
          <tpl hier="12" item="5"/>
          <tpl fld="1" item="0"/>
        </tpls>
      </n>
      <n v="5343274496">
        <tpls c="8">
          <tpl hier="2" item="0"/>
          <tpl hier="4" item="1"/>
          <tpl fld="2" item="21"/>
          <tpl fld="4" item="34"/>
          <tpl hier="9" item="4"/>
          <tpl hier="11" item="6"/>
          <tpl hier="12" item="5"/>
          <tpl fld="1" item="0"/>
        </tpls>
      </n>
      <n v="2404697600">
        <tpls c="8">
          <tpl hier="2" item="0"/>
          <tpl hier="4" item="1"/>
          <tpl fld="2" item="5"/>
          <tpl fld="4" item="34"/>
          <tpl hier="9" item="4"/>
          <tpl hier="11" item="6"/>
          <tpl hier="12" item="5"/>
          <tpl fld="1" item="0"/>
        </tpls>
      </n>
      <n v="9535344640">
        <tpls c="8">
          <tpl hier="2" item="0"/>
          <tpl hier="4" item="1"/>
          <tpl fld="2" item="40"/>
          <tpl fld="4" item="33"/>
          <tpl hier="9" item="4"/>
          <tpl hier="11" item="6"/>
          <tpl hier="12" item="5"/>
          <tpl fld="1" item="0"/>
        </tpls>
      </n>
      <n v="1598075904">
        <tpls c="8">
          <tpl hier="2" item="0"/>
          <tpl hier="4" item="1"/>
          <tpl fld="2" item="24"/>
          <tpl fld="4" item="33"/>
          <tpl hier="9" item="4"/>
          <tpl hier="11" item="6"/>
          <tpl hier="12" item="5"/>
          <tpl fld="1" item="0"/>
        </tpls>
      </n>
      <n v="539767453440">
        <tpls c="8">
          <tpl hier="2" item="0"/>
          <tpl hier="4" item="1"/>
          <tpl hier="5" item="3"/>
          <tpl fld="4" item="97"/>
          <tpl hier="9" item="4"/>
          <tpl hier="11" item="6"/>
          <tpl hier="12" item="5"/>
          <tpl fld="1" item="0"/>
        </tpls>
      </n>
      <n v="48187039744">
        <tpls c="8">
          <tpl hier="2" item="0"/>
          <tpl hier="4" item="1"/>
          <tpl fld="2" item="27"/>
          <tpl fld="4" item="84"/>
          <tpl hier="9" item="4"/>
          <tpl hier="11" item="6"/>
          <tpl hier="12" item="5"/>
          <tpl fld="1" item="0"/>
        </tpls>
      </n>
      <n v="1452792960">
        <tpls c="8">
          <tpl hier="2" item="0"/>
          <tpl hier="4" item="1"/>
          <tpl fld="2" item="6"/>
          <tpl fld="4" item="73"/>
          <tpl hier="9" item="4"/>
          <tpl hier="11" item="6"/>
          <tpl hier="12" item="5"/>
          <tpl fld="1" item="0"/>
        </tpls>
      </n>
      <n v="37021511680">
        <tpls c="8">
          <tpl hier="2" item="0"/>
          <tpl hier="4" item="1"/>
          <tpl fld="2" item="39"/>
          <tpl fld="4" item="63"/>
          <tpl hier="9" item="4"/>
          <tpl hier="11" item="6"/>
          <tpl hier="12" item="5"/>
          <tpl fld="1" item="0"/>
        </tpls>
      </n>
      <n v="4494379008">
        <tpls c="8">
          <tpl hier="2" item="0"/>
          <tpl hier="4" item="1"/>
          <tpl fld="2" item="7"/>
          <tpl fld="4" item="63"/>
          <tpl hier="9" item="4"/>
          <tpl hier="11" item="6"/>
          <tpl hier="12" item="5"/>
          <tpl fld="1" item="0"/>
        </tpls>
      </n>
      <n v="9694170112">
        <tpls c="8">
          <tpl hier="2" item="0"/>
          <tpl hier="4" item="1"/>
          <tpl fld="2" item="32"/>
          <tpl fld="4" item="62"/>
          <tpl hier="9" item="4"/>
          <tpl hier="11" item="6"/>
          <tpl hier="12" item="5"/>
          <tpl fld="1" item="0"/>
        </tpls>
      </n>
      <n v="1875048832">
        <tpls c="8">
          <tpl hier="2" item="0"/>
          <tpl hier="4" item="1"/>
          <tpl fld="2" item="2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4"/>
          <tpl fld="4" item="61"/>
          <tpl hier="9" item="4"/>
          <tpl hier="11" item="6"/>
          <tpl hier="12" item="5"/>
          <tpl fld="1" item="0"/>
        </tpls>
      </m>
      <n v="2652754673664">
        <tpls c="8">
          <tpl hier="2" item="0"/>
          <tpl hier="4" item="1"/>
          <tpl fld="2" item="47"/>
          <tpl fld="4" item="60"/>
          <tpl hier="9" item="4"/>
          <tpl hier="11" item="6"/>
          <tpl hier="12" item="5"/>
          <tpl fld="1" item="0"/>
        </tpls>
      </n>
      <n v="279033577472">
        <tpls c="8">
          <tpl hier="2" item="0"/>
          <tpl hier="4" item="1"/>
          <tpl fld="2" item="17"/>
          <tpl fld="4" item="60"/>
          <tpl hier="9" item="4"/>
          <tpl hier="11" item="6"/>
          <tpl hier="12" item="5"/>
          <tpl fld="1" item="0"/>
        </tpls>
      </n>
      <n v="19756494848">
        <tpls c="8">
          <tpl hier="2" item="0"/>
          <tpl hier="4" item="1"/>
          <tpl fld="2" item="44"/>
          <tpl fld="4" item="59"/>
          <tpl hier="9" item="4"/>
          <tpl hier="11" item="6"/>
          <tpl hier="12" item="5"/>
          <tpl fld="1" item="0"/>
        </tpls>
      </n>
      <n v="4923009536">
        <tpls c="8">
          <tpl hier="2" item="0"/>
          <tpl hier="4" item="1"/>
          <tpl fld="2" item="20"/>
          <tpl fld="4" item="59"/>
          <tpl hier="9" item="4"/>
          <tpl hier="11" item="6"/>
          <tpl hier="12" item="5"/>
          <tpl fld="1" item="0"/>
        </tpls>
      </n>
      <n v="8498981888">
        <tpls c="8">
          <tpl hier="2" item="0"/>
          <tpl hier="4" item="1"/>
          <tpl fld="2" item="49"/>
          <tpl fld="4" item="58"/>
          <tpl hier="9" item="4"/>
          <tpl hier="11" item="6"/>
          <tpl hier="12" item="5"/>
          <tpl fld="1" item="0"/>
        </tpls>
      </n>
      <n v="3338938880">
        <tpls c="8">
          <tpl hier="2" item="0"/>
          <tpl hier="4" item="1"/>
          <tpl fld="2" item="27"/>
          <tpl fld="4" item="58"/>
          <tpl hier="9" item="4"/>
          <tpl hier="11" item="6"/>
          <tpl hier="12" item="5"/>
          <tpl fld="1" item="0"/>
        </tpls>
      </n>
      <n v="466800000">
        <tpls c="8">
          <tpl hier="2" item="0"/>
          <tpl hier="4" item="1"/>
          <tpl fld="2" item="3"/>
          <tpl fld="4" item="58"/>
          <tpl hier="9" item="4"/>
          <tpl hier="11" item="6"/>
          <tpl hier="12" item="5"/>
          <tpl fld="1" item="0"/>
        </tpls>
      </n>
      <n v="712167552">
        <tpls c="8">
          <tpl hier="2" item="0"/>
          <tpl hier="4" item="1"/>
          <tpl fld="2" item="31"/>
          <tpl fld="4" item="57"/>
          <tpl hier="9" item="4"/>
          <tpl hier="11" item="6"/>
          <tpl hier="12" item="5"/>
          <tpl fld="1" item="0"/>
        </tpls>
      </n>
      <n v="449880000">
        <tpls c="8">
          <tpl hier="2" item="0"/>
          <tpl hier="4" item="1"/>
          <tpl fld="2" item="7"/>
          <tpl fld="4" item="57"/>
          <tpl hier="9" item="4"/>
          <tpl hier="11" item="6"/>
          <tpl hier="12" item="5"/>
          <tpl fld="1" item="0"/>
        </tpls>
      </n>
      <n v="586795648">
        <tpls c="8">
          <tpl hier="2" item="0"/>
          <tpl hier="4" item="1"/>
          <tpl fld="2" item="35"/>
          <tpl fld="4" item="56"/>
          <tpl hier="9" item="4"/>
          <tpl hier="11" item="6"/>
          <tpl hier="12" item="5"/>
          <tpl fld="1" item="0"/>
        </tpls>
      </n>
      <n v="154731968">
        <tpls c="8">
          <tpl hier="2" item="0"/>
          <tpl hier="4" item="1"/>
          <tpl fld="2" item="11"/>
          <tpl fld="4" item="56"/>
          <tpl hier="9" item="4"/>
          <tpl hier="11" item="6"/>
          <tpl hier="12" item="5"/>
          <tpl fld="1" item="0"/>
        </tpls>
      </n>
      <n v="37733609472">
        <tpls c="8">
          <tpl hier="2" item="0"/>
          <tpl hier="4" item="1"/>
          <tpl fld="2" item="39"/>
          <tpl fld="4" item="55"/>
          <tpl hier="9" item="4"/>
          <tpl hier="11" item="6"/>
          <tpl hier="12" item="5"/>
          <tpl fld="1" item="0"/>
        </tpls>
      </n>
      <n v="9721652224">
        <tpls c="8">
          <tpl hier="2" item="0"/>
          <tpl hier="4" item="1"/>
          <tpl fld="2" item="15"/>
          <tpl fld="4" item="55"/>
          <tpl hier="9" item="4"/>
          <tpl hier="11" item="6"/>
          <tpl hier="12" item="5"/>
          <tpl fld="1" item="0"/>
        </tpls>
      </n>
      <n v="62405373952">
        <tpls c="8">
          <tpl hier="2" item="0"/>
          <tpl hier="4" item="1"/>
          <tpl fld="2" item="43"/>
          <tpl fld="4" item="54"/>
          <tpl hier="9" item="4"/>
          <tpl hier="11" item="6"/>
          <tpl hier="12" item="5"/>
          <tpl fld="1" item="0"/>
        </tpls>
      </n>
      <n v="5251764224">
        <tpls c="8">
          <tpl hier="2" item="0"/>
          <tpl hier="4" item="1"/>
          <tpl fld="2" item="19"/>
          <tpl fld="4" item="54"/>
          <tpl hier="9" item="4"/>
          <tpl hier="11" item="6"/>
          <tpl hier="12" item="5"/>
          <tpl fld="1" item="0"/>
        </tpls>
      </n>
      <n v="1624600832">
        <tpls c="8">
          <tpl hier="2" item="0"/>
          <tpl hier="4" item="1"/>
          <tpl fld="2" item="48"/>
          <tpl fld="4" item="53"/>
          <tpl hier="9" item="4"/>
          <tpl hier="11" item="6"/>
          <tpl hier="12" item="5"/>
          <tpl fld="1" item="0"/>
        </tpls>
      </n>
      <n v="848237120">
        <tpls c="8">
          <tpl hier="2" item="0"/>
          <tpl hier="4" item="1"/>
          <tpl fld="2" item="26"/>
          <tpl fld="4" item="53"/>
          <tpl hier="9" item="4"/>
          <tpl hier="11" item="6"/>
          <tpl hier="12" item="5"/>
          <tpl fld="1" item="0"/>
        </tpls>
      </n>
      <n v="115182520">
        <tpls c="8">
          <tpl hier="2" item="0"/>
          <tpl hier="4" item="1"/>
          <tpl fld="2" item="5"/>
          <tpl fld="4" item="53"/>
          <tpl hier="9" item="4"/>
          <tpl hier="11" item="6"/>
          <tpl hier="12" item="5"/>
          <tpl fld="1" item="0"/>
        </tpls>
      </n>
      <n v="12438957056">
        <tpls c="8">
          <tpl hier="2" item="0"/>
          <tpl hier="4" item="1"/>
          <tpl fld="2" item="37"/>
          <tpl fld="4" item="52"/>
          <tpl hier="9" item="4"/>
          <tpl hier="11" item="6"/>
          <tpl hier="12" item="5"/>
          <tpl fld="1" item="0"/>
        </tpls>
      </n>
      <n v="3281797120">
        <tpls c="8">
          <tpl hier="2" item="0"/>
          <tpl hier="4" item="1"/>
          <tpl fld="2" item="17"/>
          <tpl fld="4" item="52"/>
          <tpl hier="9" item="4"/>
          <tpl hier="11" item="6"/>
          <tpl hier="12" item="5"/>
          <tpl fld="1" item="0"/>
        </tpls>
      </n>
      <n v="5535548928">
        <tpls c="8">
          <tpl hier="2" item="0"/>
          <tpl hier="4" item="1"/>
          <tpl fld="2" item="49"/>
          <tpl fld="4" item="51"/>
          <tpl hier="9" item="4"/>
          <tpl hier="11" item="6"/>
          <tpl hier="12" item="5"/>
          <tpl fld="1" item="0"/>
        </tpls>
      </n>
      <n v="1656784768">
        <tpls c="8">
          <tpl hier="2" item="0"/>
          <tpl hier="4" item="1"/>
          <tpl fld="2" item="28"/>
          <tpl fld="4" item="51"/>
          <tpl hier="9" item="4"/>
          <tpl hier="11" item="6"/>
          <tpl hier="12" item="5"/>
          <tpl fld="1" item="0"/>
        </tpls>
      </n>
      <n v="1019743936">
        <tpls c="8">
          <tpl hier="2" item="0"/>
          <tpl hier="4" item="1"/>
          <tpl fld="2" item="9"/>
          <tpl fld="4" item="51"/>
          <tpl hier="9" item="4"/>
          <tpl hier="11" item="6"/>
          <tpl hier="12" item="5"/>
          <tpl fld="1" item="0"/>
        </tpls>
      </n>
      <n v="18447998976">
        <tpls c="8">
          <tpl hier="2" item="0"/>
          <tpl hier="4" item="1"/>
          <tpl fld="2" item="40"/>
          <tpl fld="4" item="50"/>
          <tpl hier="9" item="4"/>
          <tpl hier="11" item="6"/>
          <tpl hier="12" item="5"/>
          <tpl fld="1" item="0"/>
        </tpls>
      </n>
      <n v="5252342272">
        <tpls c="8">
          <tpl hier="2" item="0"/>
          <tpl hier="4" item="1"/>
          <tpl fld="2" item="21"/>
          <tpl fld="4" item="50"/>
          <tpl hier="9" item="4"/>
          <tpl hier="11" item="6"/>
          <tpl hier="12" item="5"/>
          <tpl fld="1" item="0"/>
        </tpls>
      </n>
      <n v="1132920064">
        <tpls c="8">
          <tpl hier="2" item="0"/>
          <tpl hier="4" item="1"/>
          <tpl fld="2" item="0"/>
          <tpl fld="4" item="50"/>
          <tpl hier="9" item="4"/>
          <tpl hier="11" item="6"/>
          <tpl hier="12" item="5"/>
          <tpl fld="1" item="0"/>
        </tpls>
      </n>
      <n v="28548945920">
        <tpls c="8">
          <tpl hier="2" item="0"/>
          <tpl hier="4" item="1"/>
          <tpl fld="2" item="32"/>
          <tpl fld="4" item="49"/>
          <tpl hier="9" item="4"/>
          <tpl hier="11" item="6"/>
          <tpl hier="12" item="5"/>
          <tpl fld="1" item="0"/>
        </tpls>
      </n>
      <n v="19929853952">
        <tpls c="8">
          <tpl hier="2" item="0"/>
          <tpl hier="4" item="1"/>
          <tpl fld="2" item="12"/>
          <tpl fld="4" item="49"/>
          <tpl hier="9" item="4"/>
          <tpl hier="11" item="6"/>
          <tpl hier="12" item="5"/>
          <tpl fld="1" item="0"/>
        </tpls>
      </n>
      <n v="67179913216">
        <tpls c="8">
          <tpl hier="2" item="0"/>
          <tpl hier="4" item="1"/>
          <tpl fld="2" item="44"/>
          <tpl fld="4" item="48"/>
          <tpl hier="9" item="4"/>
          <tpl hier="11" item="6"/>
          <tpl hier="12" item="5"/>
          <tpl fld="1" item="0"/>
        </tpls>
      </n>
      <n v="16598679552">
        <tpls c="8">
          <tpl hier="2" item="0"/>
          <tpl hier="4" item="1"/>
          <tpl fld="2" item="25"/>
          <tpl fld="4" item="48"/>
          <tpl hier="9" item="4"/>
          <tpl hier="11" item="6"/>
          <tpl hier="12" item="5"/>
          <tpl fld="1" item="0"/>
        </tpls>
      </n>
      <n v="2925700096">
        <tpls c="8">
          <tpl hier="2" item="0"/>
          <tpl hier="4" item="1"/>
          <tpl fld="2" item="4"/>
          <tpl fld="4" item="48"/>
          <tpl hier="9" item="4"/>
          <tpl hier="11" item="6"/>
          <tpl hier="12" item="5"/>
          <tpl fld="1" item="0"/>
        </tpls>
      </n>
      <n v="17800888320">
        <tpls c="8">
          <tpl hier="2" item="0"/>
          <tpl hier="4" item="1"/>
          <tpl fld="2" item="36"/>
          <tpl fld="4" item="47"/>
          <tpl hier="9" item="4"/>
          <tpl hier="11" item="6"/>
          <tpl hier="12" item="5"/>
          <tpl fld="1" item="0"/>
        </tpls>
      </n>
      <n v="9158301696">
        <tpls c="8">
          <tpl hier="2" item="0"/>
          <tpl hier="4" item="1"/>
          <tpl fld="2" item="16"/>
          <tpl fld="4" item="47"/>
          <tpl hier="9" item="4"/>
          <tpl hier="11" item="6"/>
          <tpl hier="12" item="5"/>
          <tpl fld="1" item="0"/>
        </tpls>
      </n>
      <n v="60553900032">
        <tpls c="8">
          <tpl hier="2" item="0"/>
          <tpl hier="4" item="1"/>
          <tpl fld="2" item="48"/>
          <tpl fld="4" item="46"/>
          <tpl hier="9" item="4"/>
          <tpl hier="11" item="6"/>
          <tpl hier="12" item="5"/>
          <tpl fld="1" item="0"/>
        </tpls>
      </n>
      <n v="12552071168">
        <tpls c="8">
          <tpl hier="2" item="0"/>
          <tpl hier="4" item="1"/>
          <tpl fld="2" item="27"/>
          <tpl fld="4" item="46"/>
          <tpl hier="9" item="4"/>
          <tpl hier="11" item="6"/>
          <tpl hier="12" item="5"/>
          <tpl fld="1" item="0"/>
        </tpls>
      </n>
      <n v="3523208704">
        <tpls c="8">
          <tpl hier="2" item="0"/>
          <tpl hier="4" item="1"/>
          <tpl fld="2" item="8"/>
          <tpl fld="4" item="46"/>
          <tpl hier="9" item="4"/>
          <tpl hier="11" item="6"/>
          <tpl hier="12" item="5"/>
          <tpl fld="1" item="0"/>
        </tpls>
      </n>
      <n v="9593537536">
        <tpls c="8">
          <tpl hier="2" item="0"/>
          <tpl hier="4" item="1"/>
          <tpl fld="2" item="39"/>
          <tpl fld="4" item="45"/>
          <tpl hier="9" item="4"/>
          <tpl hier="11" item="6"/>
          <tpl hier="12" item="5"/>
          <tpl fld="1" item="0"/>
        </tpls>
      </n>
      <n v="2798746112">
        <tpls c="8">
          <tpl hier="2" item="0"/>
          <tpl hier="4" item="1"/>
          <tpl fld="2" item="20"/>
          <tpl fld="4" item="45"/>
          <tpl hier="9" item="4"/>
          <tpl hier="11" item="6"/>
          <tpl hier="12" item="5"/>
          <tpl fld="1" item="0"/>
        </tpls>
      </n>
      <n v="757833476096">
        <tpls c="8">
          <tpl hier="2" item="0"/>
          <tpl hier="4" item="1"/>
          <tpl hier="5" item="3"/>
          <tpl fld="4" item="44"/>
          <tpl hier="9" item="4"/>
          <tpl hier="11" item="6"/>
          <tpl hier="12" item="5"/>
          <tpl fld="1" item="0"/>
        </tpls>
      </n>
      <n v="7438189056">
        <tpls c="8">
          <tpl hier="2" item="0"/>
          <tpl hier="4" item="1"/>
          <tpl fld="2" item="31"/>
          <tpl fld="4" item="44"/>
          <tpl hier="9" item="4"/>
          <tpl hier="11" item="6"/>
          <tpl hier="12" item="5"/>
          <tpl fld="1" item="0"/>
        </tpls>
      </n>
      <n v="12537821184">
        <tpls c="8">
          <tpl hier="2" item="0"/>
          <tpl hier="4" item="1"/>
          <tpl fld="2" item="11"/>
          <tpl fld="4" item="44"/>
          <tpl hier="9" item="4"/>
          <tpl hier="11" item="6"/>
          <tpl hier="12" item="5"/>
          <tpl fld="1" item="0"/>
        </tpls>
      </n>
      <n v="382116134912">
        <tpls c="8">
          <tpl hier="2" item="0"/>
          <tpl hier="4" item="1"/>
          <tpl fld="2" item="43"/>
          <tpl fld="4" item="43"/>
          <tpl hier="9" item="4"/>
          <tpl hier="11" item="6"/>
          <tpl hier="12" item="5"/>
          <tpl fld="1" item="0"/>
        </tpls>
      </n>
      <n v="81703501824">
        <tpls c="8">
          <tpl hier="2" item="0"/>
          <tpl hier="4" item="1"/>
          <tpl fld="2" item="24"/>
          <tpl fld="4" item="43"/>
          <tpl hier="9" item="4"/>
          <tpl hier="11" item="6"/>
          <tpl hier="12" item="5"/>
          <tpl fld="1" item="0"/>
        </tpls>
      </n>
      <n v="10315759616">
        <tpls c="8">
          <tpl hier="2" item="0"/>
          <tpl hier="4" item="1"/>
          <tpl fld="2" item="3"/>
          <tpl fld="4" item="43"/>
          <tpl hier="9" item="4"/>
          <tpl hier="11" item="6"/>
          <tpl hier="12" item="5"/>
          <tpl fld="1" item="0"/>
        </tpls>
      </n>
      <n v="154788020224">
        <tpls c="8">
          <tpl hier="2" item="0"/>
          <tpl hier="4" item="1"/>
          <tpl fld="2" item="36"/>
          <tpl fld="4" item="42"/>
          <tpl hier="9" item="4"/>
          <tpl hier="11" item="6"/>
          <tpl hier="12" item="5"/>
          <tpl fld="1" item="0"/>
        </tpls>
      </n>
      <n v="26040229888">
        <tpls c="8">
          <tpl hier="2" item="0"/>
          <tpl hier="4" item="1"/>
          <tpl fld="2" item="18"/>
          <tpl fld="4" item="42"/>
          <tpl hier="9" item="4"/>
          <tpl hier="11" item="6"/>
          <tpl hier="12" item="5"/>
          <tpl fld="1" item="0"/>
        </tpls>
      </n>
      <n v="10884114432">
        <tpls c="8">
          <tpl hier="2" item="0"/>
          <tpl hier="4" item="1"/>
          <tpl fld="2" item="1"/>
          <tpl fld="4" item="42"/>
          <tpl hier="9" item="4"/>
          <tpl hier="11" item="6"/>
          <tpl hier="12" item="5"/>
          <tpl fld="1" item="0"/>
        </tpls>
      </n>
      <n v="6646663680">
        <tpls c="8">
          <tpl hier="2" item="0"/>
          <tpl hier="4" item="1"/>
          <tpl fld="2" item="35"/>
          <tpl fld="4" item="41"/>
          <tpl hier="9" item="4"/>
          <tpl hier="11" item="6"/>
          <tpl hier="12" item="5"/>
          <tpl fld="1" item="0"/>
        </tpls>
      </n>
      <n v="1482597248">
        <tpls c="8">
          <tpl hier="2" item="0"/>
          <tpl hier="4" item="1"/>
          <tpl fld="2" item="18"/>
          <tpl fld="4" item="41"/>
          <tpl hier="9" item="4"/>
          <tpl hier="11" item="6"/>
          <tpl hier="12" item="5"/>
          <tpl fld="1" item="0"/>
        </tpls>
      </n>
      <n v="501866720">
        <tpls c="8">
          <tpl hier="2" item="0"/>
          <tpl hier="4" item="1"/>
          <tpl fld="2" item="1"/>
          <tpl fld="4" item="41"/>
          <tpl hier="9" item="4"/>
          <tpl hier="11" item="6"/>
          <tpl hier="12" item="5"/>
          <tpl fld="1" item="0"/>
        </tpls>
      </n>
      <n v="1337362432">
        <tpls c="8">
          <tpl hier="2" item="0"/>
          <tpl hier="4" item="1"/>
          <tpl fld="2" item="35"/>
          <tpl fld="4" item="40"/>
          <tpl hier="9" item="4"/>
          <tpl hier="11" item="6"/>
          <tpl hier="12" item="5"/>
          <tpl fld="1" item="0"/>
        </tpls>
      </n>
      <n v="1264899328">
        <tpls c="8">
          <tpl hier="2" item="0"/>
          <tpl hier="4" item="1"/>
          <tpl fld="2" item="18"/>
          <tpl fld="4" item="40"/>
          <tpl hier="9" item="4"/>
          <tpl hier="11" item="6"/>
          <tpl hier="12" item="5"/>
          <tpl fld="1" item="0"/>
        </tpls>
      </n>
      <n v="230317904">
        <tpls c="8">
          <tpl hier="2" item="0"/>
          <tpl hier="4" item="1"/>
          <tpl fld="2" item="2"/>
          <tpl fld="4" item="40"/>
          <tpl hier="9" item="4"/>
          <tpl hier="11" item="6"/>
          <tpl hier="12" item="5"/>
          <tpl fld="1" item="0"/>
        </tpls>
      </n>
      <n v="22365265920">
        <tpls c="8">
          <tpl hier="2" item="0"/>
          <tpl hier="4" item="1"/>
          <tpl fld="2" item="37"/>
          <tpl fld="4" item="39"/>
          <tpl hier="9" item="4"/>
          <tpl hier="11" item="6"/>
          <tpl hier="12" item="5"/>
          <tpl fld="1" item="0"/>
        </tpls>
      </n>
      <n v="12434369536">
        <tpls c="8">
          <tpl hier="2" item="0"/>
          <tpl hier="4" item="1"/>
          <tpl fld="2" item="21"/>
          <tpl fld="4" item="39"/>
          <tpl hier="9" item="4"/>
          <tpl hier="11" item="6"/>
          <tpl hier="12" item="5"/>
          <tpl fld="1" item="0"/>
        </tpls>
      </n>
      <n v="2752771072">
        <tpls c="8">
          <tpl hier="2" item="0"/>
          <tpl hier="4" item="1"/>
          <tpl fld="2" item="5"/>
          <tpl fld="4" item="39"/>
          <tpl hier="9" item="4"/>
          <tpl hier="11" item="6"/>
          <tpl hier="12" item="5"/>
          <tpl fld="1" item="0"/>
        </tpls>
      </n>
      <n v="2032135296">
        <tpls c="8">
          <tpl hier="2" item="0"/>
          <tpl hier="4" item="1"/>
          <tpl fld="2" item="40"/>
          <tpl fld="4" item="38"/>
          <tpl hier="9" item="4"/>
          <tpl hier="11" item="6"/>
          <tpl hier="12" item="5"/>
          <tpl fld="1" item="0"/>
        </tpls>
      </n>
      <n v="925030592">
        <tpls c="8">
          <tpl hier="2" item="0"/>
          <tpl hier="4" item="1"/>
          <tpl fld="2" item="24"/>
          <tpl fld="4" item="38"/>
          <tpl hier="9" item="4"/>
          <tpl hier="11" item="6"/>
          <tpl hier="12" item="5"/>
          <tpl fld="1" item="0"/>
        </tpls>
      </n>
      <n v="610225536">
        <tpls c="8">
          <tpl hier="2" item="0"/>
          <tpl hier="4" item="1"/>
          <tpl fld="2" item="8"/>
          <tpl fld="4" item="38"/>
          <tpl hier="9" item="4"/>
          <tpl hier="11" item="6"/>
          <tpl hier="12" item="5"/>
          <tpl fld="1" item="0"/>
        </tpls>
      </n>
      <n v="13444300800">
        <tpls c="8">
          <tpl hier="2" item="0"/>
          <tpl hier="4" item="1"/>
          <tpl fld="2" item="43"/>
          <tpl fld="4" item="37"/>
          <tpl hier="9" item="4"/>
          <tpl hier="11" item="6"/>
          <tpl hier="12" item="5"/>
          <tpl fld="1" item="0"/>
        </tpls>
      </n>
      <n v="2447669504">
        <tpls c="8">
          <tpl hier="2" item="0"/>
          <tpl hier="4" item="1"/>
          <tpl fld="2" item="27"/>
          <tpl fld="4" item="37"/>
          <tpl hier="9" item="4"/>
          <tpl hier="11" item="6"/>
          <tpl hier="12" item="5"/>
          <tpl fld="1" item="0"/>
        </tpls>
      </n>
      <n v="1775842688">
        <tpls c="8">
          <tpl hier="2" item="0"/>
          <tpl hier="4" item="1"/>
          <tpl fld="2" item="11"/>
          <tpl fld="4" item="37"/>
          <tpl hier="9" item="4"/>
          <tpl hier="11" item="6"/>
          <tpl hier="12" item="5"/>
          <tpl fld="1" item="0"/>
        </tpls>
      </n>
      <n v="1795700162560">
        <tpls c="8">
          <tpl hier="2" item="0"/>
          <tpl hier="4" item="1"/>
          <tpl fld="2" item="46"/>
          <tpl fld="4" item="36"/>
          <tpl hier="9" item="4"/>
          <tpl hier="11" item="6"/>
          <tpl hier="12" item="5"/>
          <tpl fld="1" item="0"/>
        </tpls>
      </n>
      <n v="655420620800">
        <tpls c="8">
          <tpl hier="2" item="0"/>
          <tpl hier="4" item="1"/>
          <tpl fld="2" item="30"/>
          <tpl fld="4" item="36"/>
          <tpl hier="9" item="4"/>
          <tpl hier="11" item="6"/>
          <tpl hier="12" item="5"/>
          <tpl fld="1" item="0"/>
        </tpls>
      </n>
      <n v="209023909888">
        <tpls c="8">
          <tpl hier="2" item="0"/>
          <tpl hier="4" item="1"/>
          <tpl fld="2" item="14"/>
          <tpl fld="4" item="36"/>
          <tpl hier="9" item="4"/>
          <tpl hier="11" item="6"/>
          <tpl hier="12" item="5"/>
          <tpl fld="1" item="0"/>
        </tpls>
      </n>
      <n v="18340511744">
        <tpls c="8">
          <tpl hier="2" item="0"/>
          <tpl hier="4" item="1"/>
          <tpl fld="2" item="49"/>
          <tpl fld="4" item="35"/>
          <tpl hier="9" item="4"/>
          <tpl hier="11" item="6"/>
          <tpl hier="12" item="5"/>
          <tpl fld="1" item="0"/>
        </tpls>
      </n>
      <n v="7511582208">
        <tpls c="8">
          <tpl hier="2" item="0"/>
          <tpl hier="4" item="1"/>
          <tpl fld="2" item="33"/>
          <tpl fld="4" item="35"/>
          <tpl hier="9" item="4"/>
          <tpl hier="11" item="6"/>
          <tpl hier="12" item="5"/>
          <tpl fld="1" item="0"/>
        </tpls>
      </n>
      <n v="1965274880">
        <tpls c="8">
          <tpl hier="2" item="0"/>
          <tpl hier="4" item="1"/>
          <tpl fld="2" item="17"/>
          <tpl fld="4" item="35"/>
          <tpl hier="9" item="4"/>
          <tpl hier="11" item="6"/>
          <tpl hier="12" item="5"/>
          <tpl fld="1" item="0"/>
        </tpls>
      </n>
      <n v="126957496">
        <tpls c="8">
          <tpl hier="2" item="0"/>
          <tpl hier="4" item="1"/>
          <tpl fld="2" item="1"/>
          <tpl fld="4" item="35"/>
          <tpl hier="9" item="4"/>
          <tpl hier="11" item="6"/>
          <tpl hier="12" item="5"/>
          <tpl fld="1" item="0"/>
        </tpls>
      </n>
      <n v="11451869184">
        <tpls c="8">
          <tpl hier="2" item="0"/>
          <tpl hier="4" item="1"/>
          <tpl fld="2" item="36"/>
          <tpl fld="4" item="34"/>
          <tpl hier="9" item="4"/>
          <tpl hier="11" item="6"/>
          <tpl hier="12" item="5"/>
          <tpl fld="1" item="0"/>
        </tpls>
      </n>
      <n v="4867582464">
        <tpls c="8">
          <tpl hier="2" item="0"/>
          <tpl hier="4" item="1"/>
          <tpl fld="2" item="20"/>
          <tpl fld="4" item="34"/>
          <tpl hier="9" item="4"/>
          <tpl hier="11" item="6"/>
          <tpl hier="12" item="5"/>
          <tpl fld="1" item="0"/>
        </tpls>
      </n>
      <n v="2100249856">
        <tpls c="8">
          <tpl hier="2" item="0"/>
          <tpl hier="4" item="1"/>
          <tpl fld="2" item="4"/>
          <tpl fld="4" item="34"/>
          <tpl hier="9" item="4"/>
          <tpl hier="11" item="6"/>
          <tpl hier="12" item="5"/>
          <tpl fld="1" item="0"/>
        </tpls>
      </n>
      <n v="9699587072">
        <tpls c="8">
          <tpl hier="2" item="0"/>
          <tpl hier="4" item="1"/>
          <tpl fld="2" item="39"/>
          <tpl fld="4" item="33"/>
          <tpl hier="9" item="4"/>
          <tpl hier="11" item="6"/>
          <tpl hier="12" item="5"/>
          <tpl fld="1" item="0"/>
        </tpls>
      </n>
      <n v="2274557952">
        <tpls c="8">
          <tpl hier="2" item="0"/>
          <tpl hier="4" item="1"/>
          <tpl fld="2" item="23"/>
          <tpl fld="4" item="33"/>
          <tpl hier="9" item="4"/>
          <tpl hier="11" item="6"/>
          <tpl hier="12" item="5"/>
          <tpl fld="1" item="0"/>
        </tpls>
      </n>
      <n v="2042031872">
        <tpls c="8">
          <tpl hier="2" item="0"/>
          <tpl hier="4" item="1"/>
          <tpl fld="2" item="4"/>
          <tpl fld="4" item="97"/>
          <tpl hier="9" item="4"/>
          <tpl hier="11" item="6"/>
          <tpl hier="12" item="5"/>
          <tpl fld="1" item="0"/>
        </tpls>
      </n>
      <n v="261920538624">
        <tpls c="8">
          <tpl hier="2" item="0"/>
          <tpl hier="4" item="1"/>
          <tpl fld="2" item="42"/>
          <tpl fld="4" item="83"/>
          <tpl hier="9" item="4"/>
          <tpl hier="11" item="6"/>
          <tpl hier="12" item="5"/>
          <tpl fld="1" item="0"/>
        </tpls>
      </n>
      <n v="14824728576">
        <tpls c="8">
          <tpl hier="2" item="0"/>
          <tpl hier="4" item="1"/>
          <tpl fld="2" item="14"/>
          <tpl fld="4" item="72"/>
          <tpl hier="9" item="4"/>
          <tpl hier="11" item="6"/>
          <tpl hier="12" item="5"/>
          <tpl fld="1" item="0"/>
        </tpls>
      </n>
      <n v="35895152640">
        <tpls c="8">
          <tpl hier="2" item="0"/>
          <tpl hier="4" item="1"/>
          <tpl fld="2" item="38"/>
          <tpl fld="4" item="63"/>
          <tpl hier="9" item="4"/>
          <tpl hier="11" item="6"/>
          <tpl hier="12" item="5"/>
          <tpl fld="1" item="0"/>
        </tpls>
      </n>
      <n v="3474542336">
        <tpls c="8">
          <tpl hier="2" item="0"/>
          <tpl hier="4" item="1"/>
          <tpl fld="2" item="6"/>
          <tpl fld="4" item="63"/>
          <tpl hier="9" item="4"/>
          <tpl hier="11" item="6"/>
          <tpl hier="12" item="5"/>
          <tpl fld="1" item="0"/>
        </tpls>
      </n>
      <n v="8375077376">
        <tpls c="8">
          <tpl hier="2" item="0"/>
          <tpl hier="4" item="1"/>
          <tpl fld="2" item="27"/>
          <tpl fld="4" item="62"/>
          <tpl hier="9" item="4"/>
          <tpl hier="11" item="6"/>
          <tpl hier="12" item="5"/>
          <tpl fld="1" item="0"/>
        </tpls>
      </n>
      <n v="1539865472">
        <tpls c="8">
          <tpl hier="2" item="0"/>
          <tpl hier="4" item="1"/>
          <tpl fld="2" item="1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2"/>
          <tpl fld="4" item="61"/>
          <tpl hier="9" item="4"/>
          <tpl hier="11" item="6"/>
          <tpl hier="12" item="5"/>
          <tpl fld="1" item="0"/>
        </tpls>
      </m>
      <n v="2294798090240">
        <tpls c="8">
          <tpl hier="2" item="0"/>
          <tpl hier="4" item="1"/>
          <tpl fld="2" item="46"/>
          <tpl fld="4" item="60"/>
          <tpl hier="9" item="4"/>
          <tpl hier="11" item="6"/>
          <tpl hier="12" item="5"/>
          <tpl fld="1" item="0"/>
        </tpls>
      </n>
      <n v="248985993216">
        <tpls c="8">
          <tpl hier="2" item="0"/>
          <tpl hier="4" item="1"/>
          <tpl fld="2" item="16"/>
          <tpl fld="4" item="60"/>
          <tpl hier="9" item="4"/>
          <tpl hier="11" item="6"/>
          <tpl hier="12" item="5"/>
          <tpl fld="1" item="0"/>
        </tpls>
      </n>
      <n v="18499710976">
        <tpls c="8">
          <tpl hier="2" item="0"/>
          <tpl hier="4" item="1"/>
          <tpl fld="2" item="43"/>
          <tpl fld="4" item="59"/>
          <tpl hier="9" item="4"/>
          <tpl hier="11" item="6"/>
          <tpl hier="12" item="5"/>
          <tpl fld="1" item="0"/>
        </tpls>
      </n>
      <n v="5432345088">
        <tpls c="8">
          <tpl hier="2" item="0"/>
          <tpl hier="4" item="1"/>
          <tpl fld="2" item="19"/>
          <tpl fld="4" item="59"/>
          <tpl hier="9" item="4"/>
          <tpl hier="11" item="6"/>
          <tpl hier="12" item="5"/>
          <tpl fld="1" item="0"/>
        </tpls>
      </n>
      <n v="8409497600">
        <tpls c="8">
          <tpl hier="2" item="0"/>
          <tpl hier="4" item="1"/>
          <tpl fld="2" item="47"/>
          <tpl fld="4" item="58"/>
          <tpl hier="9" item="4"/>
          <tpl hier="11" item="6"/>
          <tpl hier="12" item="5"/>
          <tpl fld="1" item="0"/>
        </tpls>
      </n>
      <n v="1878248704">
        <tpls c="8">
          <tpl hier="2" item="0"/>
          <tpl hier="4" item="1"/>
          <tpl fld="2" item="23"/>
          <tpl fld="4" item="58"/>
          <tpl hier="9" item="4"/>
          <tpl hier="11" item="6"/>
          <tpl hier="12" item="5"/>
          <tpl fld="1" item="0"/>
        </tpls>
      </n>
      <n v="362800000">
        <tpls c="8">
          <tpl hier="2" item="0"/>
          <tpl hier="4" item="1"/>
          <tpl fld="2" item="1"/>
          <tpl fld="4" item="58"/>
          <tpl hier="9" item="4"/>
          <tpl hier="11" item="6"/>
          <tpl hier="12" item="5"/>
          <tpl fld="1" item="0"/>
        </tpls>
      </n>
      <n v="712667904">
        <tpls c="8">
          <tpl hier="2" item="0"/>
          <tpl hier="4" item="1"/>
          <tpl fld="2" item="30"/>
          <tpl fld="4" item="57"/>
          <tpl hier="9" item="4"/>
          <tpl hier="11" item="6"/>
          <tpl hier="12" item="5"/>
          <tpl fld="1" item="0"/>
        </tpls>
      </n>
      <n v="454440000">
        <tpls c="8">
          <tpl hier="2" item="0"/>
          <tpl hier="4" item="1"/>
          <tpl fld="2" item="6"/>
          <tpl fld="4" item="57"/>
          <tpl hier="9" item="4"/>
          <tpl hier="11" item="6"/>
          <tpl hier="12" item="5"/>
          <tpl fld="1" item="0"/>
        </tpls>
      </n>
      <n v="531109344">
        <tpls c="8">
          <tpl hier="2" item="0"/>
          <tpl hier="4" item="1"/>
          <tpl fld="2" item="34"/>
          <tpl fld="4" item="56"/>
          <tpl hier="9" item="4"/>
          <tpl hier="11" item="6"/>
          <tpl hier="12" item="5"/>
          <tpl fld="1" item="0"/>
        </tpls>
      </n>
      <n v="110653832">
        <tpls c="8">
          <tpl hier="2" item="0"/>
          <tpl hier="4" item="1"/>
          <tpl fld="2" item="10"/>
          <tpl fld="4" item="56"/>
          <tpl hier="9" item="4"/>
          <tpl hier="11" item="6"/>
          <tpl hier="12" item="5"/>
          <tpl fld="1" item="0"/>
        </tpls>
      </n>
      <n v="39136436224">
        <tpls c="8">
          <tpl hier="2" item="0"/>
          <tpl hier="4" item="1"/>
          <tpl fld="2" item="38"/>
          <tpl fld="4" item="55"/>
          <tpl hier="9" item="4"/>
          <tpl hier="11" item="6"/>
          <tpl hier="12" item="5"/>
          <tpl fld="1" item="0"/>
        </tpls>
      </n>
      <n v="9470000128">
        <tpls c="8">
          <tpl hier="2" item="0"/>
          <tpl hier="4" item="1"/>
          <tpl fld="2" item="14"/>
          <tpl fld="4" item="55"/>
          <tpl hier="9" item="4"/>
          <tpl hier="11" item="6"/>
          <tpl hier="12" item="5"/>
          <tpl fld="1" item="0"/>
        </tpls>
      </n>
      <n v="41270956032">
        <tpls c="8">
          <tpl hier="2" item="0"/>
          <tpl hier="4" item="1"/>
          <tpl fld="2" item="42"/>
          <tpl fld="4" item="54"/>
          <tpl hier="9" item="4"/>
          <tpl hier="11" item="6"/>
          <tpl hier="12" item="5"/>
          <tpl fld="1" item="0"/>
        </tpls>
      </n>
      <n v="5197840896">
        <tpls c="8">
          <tpl hier="2" item="0"/>
          <tpl hier="4" item="1"/>
          <tpl fld="2" item="18"/>
          <tpl fld="4" item="54"/>
          <tpl hier="9" item="4"/>
          <tpl hier="11" item="6"/>
          <tpl hier="12" item="5"/>
          <tpl fld="1" item="0"/>
        </tpls>
      </n>
      <n v="1470006016">
        <tpls c="8">
          <tpl hier="2" item="0"/>
          <tpl hier="4" item="1"/>
          <tpl fld="2" item="46"/>
          <tpl fld="4" item="53"/>
          <tpl hier="9" item="4"/>
          <tpl hier="11" item="6"/>
          <tpl hier="12" item="5"/>
          <tpl fld="1" item="0"/>
        </tpls>
      </n>
      <n v="755042560">
        <tpls c="8">
          <tpl hier="2" item="0"/>
          <tpl hier="4" item="1"/>
          <tpl fld="2" item="23"/>
          <tpl fld="4" item="53"/>
          <tpl hier="9" item="4"/>
          <tpl hier="11" item="6"/>
          <tpl hier="12" item="5"/>
          <tpl fld="1" item="0"/>
        </tpls>
      </n>
      <n v="95797536">
        <tpls c="8">
          <tpl hier="2" item="0"/>
          <tpl hier="4" item="1"/>
          <tpl fld="2" item="4"/>
          <tpl fld="4" item="53"/>
          <tpl hier="9" item="4"/>
          <tpl hier="11" item="6"/>
          <tpl hier="12" item="5"/>
          <tpl fld="1" item="0"/>
        </tpls>
      </n>
      <n v="9578973184">
        <tpls c="8">
          <tpl hier="2" item="0"/>
          <tpl hier="4" item="1"/>
          <tpl fld="2" item="35"/>
          <tpl fld="4" item="52"/>
          <tpl hier="9" item="4"/>
          <tpl hier="11" item="6"/>
          <tpl hier="12" item="5"/>
          <tpl fld="1" item="0"/>
        </tpls>
      </n>
      <n v="3403638272">
        <tpls c="8">
          <tpl hier="2" item="0"/>
          <tpl hier="4" item="1"/>
          <tpl fld="2" item="16"/>
          <tpl fld="4" item="52"/>
          <tpl hier="9" item="4"/>
          <tpl hier="11" item="6"/>
          <tpl hier="12" item="5"/>
          <tpl fld="1" item="0"/>
        </tpls>
      </n>
      <n v="5536759808">
        <tpls c="8">
          <tpl hier="2" item="0"/>
          <tpl hier="4" item="1"/>
          <tpl fld="2" item="48"/>
          <tpl fld="4" item="51"/>
          <tpl hier="9" item="4"/>
          <tpl hier="11" item="6"/>
          <tpl hier="12" item="5"/>
          <tpl fld="1" item="0"/>
        </tpls>
      </n>
      <n v="2093994624">
        <tpls c="8">
          <tpl hier="2" item="0"/>
          <tpl hier="4" item="1"/>
          <tpl fld="2" item="27"/>
          <tpl fld="4" item="51"/>
          <tpl hier="9" item="4"/>
          <tpl hier="11" item="6"/>
          <tpl hier="12" item="5"/>
          <tpl fld="1" item="0"/>
        </tpls>
      </n>
      <n v="829239488">
        <tpls c="8">
          <tpl hier="2" item="0"/>
          <tpl hier="4" item="1"/>
          <tpl fld="2" item="8"/>
          <tpl fld="4" item="51"/>
          <tpl hier="9" item="4"/>
          <tpl hier="11" item="6"/>
          <tpl hier="12" item="5"/>
          <tpl fld="1" item="0"/>
        </tpls>
      </n>
      <n v="17601619968">
        <tpls c="8">
          <tpl hier="2" item="0"/>
          <tpl hier="4" item="1"/>
          <tpl fld="2" item="39"/>
          <tpl fld="4" item="50"/>
          <tpl hier="9" item="4"/>
          <tpl hier="11" item="6"/>
          <tpl hier="12" item="5"/>
          <tpl fld="1" item="0"/>
        </tpls>
      </n>
      <n v="4817542144">
        <tpls c="8">
          <tpl hier="2" item="0"/>
          <tpl hier="4" item="1"/>
          <tpl fld="2" item="20"/>
          <tpl fld="4" item="50"/>
          <tpl hier="9" item="4"/>
          <tpl hier="11" item="6"/>
          <tpl hier="12" item="5"/>
          <tpl fld="1" item="0"/>
        </tpls>
      </n>
      <n v="1813800758528">
        <tpls c="8">
          <tpl hier="2" item="0"/>
          <tpl hier="4" item="1"/>
          <tpl hier="5" item="3"/>
          <tpl fld="4" item="49"/>
          <tpl hier="9" item="4"/>
          <tpl hier="11" item="6"/>
          <tpl hier="12" item="5"/>
          <tpl fld="1" item="0"/>
        </tpls>
      </n>
      <n v="24468324352">
        <tpls c="8">
          <tpl hier="2" item="0"/>
          <tpl hier="4" item="1"/>
          <tpl fld="2" item="31"/>
          <tpl fld="4" item="49"/>
          <tpl hier="9" item="4"/>
          <tpl hier="11" item="6"/>
          <tpl hier="12" item="5"/>
          <tpl fld="1" item="0"/>
        </tpls>
      </n>
      <n v="21810767872">
        <tpls c="8">
          <tpl hier="2" item="0"/>
          <tpl hier="4" item="1"/>
          <tpl fld="2" item="11"/>
          <tpl fld="4" item="49"/>
          <tpl hier="9" item="4"/>
          <tpl hier="11" item="6"/>
          <tpl hier="12" item="5"/>
          <tpl fld="1" item="0"/>
        </tpls>
      </n>
      <n v="62682165248">
        <tpls c="8">
          <tpl hier="2" item="0"/>
          <tpl hier="4" item="1"/>
          <tpl fld="2" item="43"/>
          <tpl fld="4" item="48"/>
          <tpl hier="9" item="4"/>
          <tpl hier="11" item="6"/>
          <tpl hier="12" item="5"/>
          <tpl fld="1" item="0"/>
        </tpls>
      </n>
      <n v="11356271616">
        <tpls c="8">
          <tpl hier="2" item="0"/>
          <tpl hier="4" item="1"/>
          <tpl fld="2" item="22"/>
          <tpl fld="4" item="48"/>
          <tpl hier="9" item="4"/>
          <tpl hier="11" item="6"/>
          <tpl hier="12" item="5"/>
          <tpl fld="1" item="0"/>
        </tpls>
      </n>
      <n v="2344800000">
        <tpls c="8">
          <tpl hier="2" item="0"/>
          <tpl hier="4" item="1"/>
          <tpl fld="2" item="3"/>
          <tpl fld="4" item="48"/>
          <tpl hier="9" item="4"/>
          <tpl hier="11" item="6"/>
          <tpl hier="12" item="5"/>
          <tpl fld="1" item="0"/>
        </tpls>
      </n>
      <n v="16554441728">
        <tpls c="8">
          <tpl hier="2" item="0"/>
          <tpl hier="4" item="1"/>
          <tpl fld="2" item="34"/>
          <tpl fld="4" item="47"/>
          <tpl hier="9" item="4"/>
          <tpl hier="11" item="6"/>
          <tpl hier="12" item="5"/>
          <tpl fld="1" item="0"/>
        </tpls>
      </n>
      <n v="6977650176">
        <tpls c="8">
          <tpl hier="2" item="0"/>
          <tpl hier="4" item="1"/>
          <tpl fld="2" item="15"/>
          <tpl fld="4" item="47"/>
          <tpl hier="9" item="4"/>
          <tpl hier="11" item="6"/>
          <tpl hier="12" item="5"/>
          <tpl fld="1" item="0"/>
        </tpls>
      </n>
      <n v="58481856512">
        <tpls c="8">
          <tpl hier="2" item="0"/>
          <tpl hier="4" item="1"/>
          <tpl fld="2" item="47"/>
          <tpl fld="4" item="46"/>
          <tpl hier="9" item="4"/>
          <tpl hier="11" item="6"/>
          <tpl hier="12" item="5"/>
          <tpl fld="1" item="0"/>
        </tpls>
      </n>
      <n v="11618286592">
        <tpls c="8">
          <tpl hier="2" item="0"/>
          <tpl hier="4" item="1"/>
          <tpl fld="2" item="26"/>
          <tpl fld="4" item="46"/>
          <tpl hier="9" item="4"/>
          <tpl hier="11" item="6"/>
          <tpl hier="12" item="5"/>
          <tpl fld="1" item="0"/>
        </tpls>
      </n>
      <n v="3072427008">
        <tpls c="8">
          <tpl hier="2" item="0"/>
          <tpl hier="4" item="1"/>
          <tpl fld="2" item="7"/>
          <tpl fld="4" item="46"/>
          <tpl hier="9" item="4"/>
          <tpl hier="11" item="6"/>
          <tpl hier="12" item="5"/>
          <tpl fld="1" item="0"/>
        </tpls>
      </n>
      <n v="11859013632">
        <tpls c="8">
          <tpl hier="2" item="0"/>
          <tpl hier="4" item="1"/>
          <tpl fld="2" item="38"/>
          <tpl fld="4" item="45"/>
          <tpl hier="9" item="4"/>
          <tpl hier="11" item="6"/>
          <tpl hier="12" item="5"/>
          <tpl fld="1" item="0"/>
        </tpls>
      </n>
      <n v="2389593088">
        <tpls c="8">
          <tpl hier="2" item="0"/>
          <tpl hier="4" item="1"/>
          <tpl fld="2" item="19"/>
          <tpl fld="4" item="45"/>
          <tpl hier="9" item="4"/>
          <tpl hier="11" item="6"/>
          <tpl hier="12" item="5"/>
          <tpl fld="1" item="0"/>
        </tpls>
      </n>
      <n v="47319625728">
        <tpls c="8">
          <tpl hier="2" item="0"/>
          <tpl hier="4" item="1"/>
          <tpl fld="2" item="49"/>
          <tpl fld="4" item="44"/>
          <tpl hier="9" item="4"/>
          <tpl hier="11" item="6"/>
          <tpl hier="12" item="5"/>
          <tpl fld="1" item="0"/>
        </tpls>
      </n>
      <n v="19088046080">
        <tpls c="8">
          <tpl hier="2" item="0"/>
          <tpl hier="4" item="1"/>
          <tpl fld="2" item="30"/>
          <tpl fld="4" item="44"/>
          <tpl hier="9" item="4"/>
          <tpl hier="11" item="6"/>
          <tpl hier="12" item="5"/>
          <tpl fld="1" item="0"/>
        </tpls>
      </n>
      <n v="14394927104">
        <tpls c="8">
          <tpl hier="2" item="0"/>
          <tpl hier="4" item="1"/>
          <tpl fld="2" item="10"/>
          <tpl fld="4" item="44"/>
          <tpl hier="9" item="4"/>
          <tpl hier="11" item="6"/>
          <tpl hier="12" item="5"/>
          <tpl fld="1" item="0"/>
        </tpls>
      </n>
      <n v="370921308160">
        <tpls c="8">
          <tpl hier="2" item="0"/>
          <tpl hier="4" item="1"/>
          <tpl fld="2" item="42"/>
          <tpl fld="4" item="43"/>
          <tpl hier="9" item="4"/>
          <tpl hier="11" item="6"/>
          <tpl hier="12" item="5"/>
          <tpl fld="1" item="0"/>
        </tpls>
      </n>
      <n v="49175564288">
        <tpls c="8">
          <tpl hier="2" item="0"/>
          <tpl hier="4" item="1"/>
          <tpl fld="2" item="21"/>
          <tpl fld="4" item="43"/>
          <tpl hier="9" item="4"/>
          <tpl hier="11" item="6"/>
          <tpl hier="12" item="5"/>
          <tpl fld="1" item="0"/>
        </tpls>
      </n>
      <n v="8671358976">
        <tpls c="8">
          <tpl hier="2" item="0"/>
          <tpl hier="4" item="1"/>
          <tpl fld="2" item="2"/>
          <tpl fld="4" item="43"/>
          <tpl hier="9" item="4"/>
          <tpl hier="11" item="6"/>
          <tpl hier="12" item="5"/>
          <tpl fld="1" item="0"/>
        </tpls>
      </n>
      <n v="122964811776">
        <tpls c="8">
          <tpl hier="2" item="0"/>
          <tpl hier="4" item="1"/>
          <tpl fld="2" item="35"/>
          <tpl fld="4" item="42"/>
          <tpl hier="9" item="4"/>
          <tpl hier="11" item="6"/>
          <tpl hier="12" item="5"/>
          <tpl fld="1" item="0"/>
        </tpls>
      </n>
      <n v="22255407104">
        <tpls c="8">
          <tpl hier="2" item="0"/>
          <tpl hier="4" item="1"/>
          <tpl fld="2" item="17"/>
          <tpl fld="4" item="42"/>
          <tpl hier="9" item="4"/>
          <tpl hier="11" item="6"/>
          <tpl hier="12" item="5"/>
          <tpl fld="1" item="0"/>
        </tpls>
      </n>
      <n v="9126309888">
        <tpls c="8">
          <tpl hier="2" item="0"/>
          <tpl hier="4" item="1"/>
          <tpl fld="2" item="0"/>
          <tpl fld="4" item="42"/>
          <tpl hier="9" item="4"/>
          <tpl hier="11" item="6"/>
          <tpl hier="12" item="5"/>
          <tpl fld="1" item="0"/>
        </tpls>
      </n>
      <n v="4414929408">
        <tpls c="8">
          <tpl hier="2" item="0"/>
          <tpl hier="4" item="1"/>
          <tpl fld="2" item="34"/>
          <tpl fld="4" item="41"/>
          <tpl hier="9" item="4"/>
          <tpl hier="11" item="6"/>
          <tpl hier="12" item="5"/>
          <tpl fld="1" item="0"/>
        </tpls>
      </n>
      <n v="1163426816">
        <tpls c="8">
          <tpl hier="2" item="0"/>
          <tpl hier="4" item="1"/>
          <tpl fld="2" item="17"/>
          <tpl fld="4" item="41"/>
          <tpl hier="9" item="4"/>
          <tpl hier="11" item="6"/>
          <tpl hier="12" item="5"/>
          <tpl fld="1" item="0"/>
        </tpls>
      </n>
      <n v="469266752">
        <tpls c="8">
          <tpl hier="2" item="0"/>
          <tpl hier="4" item="1"/>
          <tpl fld="2" item="0"/>
          <tpl fld="4" item="41"/>
          <tpl hier="9" item="4"/>
          <tpl hier="11" item="6"/>
          <tpl hier="12" item="5"/>
          <tpl fld="1" item="0"/>
        </tpls>
      </n>
      <n v="1270080256">
        <tpls c="8">
          <tpl hier="2" item="0"/>
          <tpl hier="4" item="1"/>
          <tpl fld="2" item="34"/>
          <tpl fld="4" item="40"/>
          <tpl hier="9" item="4"/>
          <tpl hier="11" item="6"/>
          <tpl hier="12" item="5"/>
          <tpl fld="1" item="0"/>
        </tpls>
      </n>
      <n v="1200991872">
        <tpls c="8">
          <tpl hier="2" item="0"/>
          <tpl hier="4" item="1"/>
          <tpl fld="2" item="17"/>
          <tpl fld="4" item="40"/>
          <tpl hier="9" item="4"/>
          <tpl hier="11" item="6"/>
          <tpl hier="12" item="5"/>
          <tpl fld="1" item="0"/>
        </tpls>
      </n>
      <n v="201450768">
        <tpls c="8">
          <tpl hier="2" item="0"/>
          <tpl hier="4" item="1"/>
          <tpl fld="2" item="1"/>
          <tpl fld="4" item="40"/>
          <tpl hier="9" item="4"/>
          <tpl hier="11" item="6"/>
          <tpl hier="12" item="5"/>
          <tpl fld="1" item="0"/>
        </tpls>
      </n>
      <n v="19356045312">
        <tpls c="8">
          <tpl hier="2" item="0"/>
          <tpl hier="4" item="1"/>
          <tpl fld="2" item="36"/>
          <tpl fld="4" item="39"/>
          <tpl hier="9" item="4"/>
          <tpl hier="11" item="6"/>
          <tpl hier="12" item="5"/>
          <tpl fld="1" item="0"/>
        </tpls>
      </n>
      <n v="11151578112">
        <tpls c="8">
          <tpl hier="2" item="0"/>
          <tpl hier="4" item="1"/>
          <tpl fld="2" item="20"/>
          <tpl fld="4" item="39"/>
          <tpl hier="9" item="4"/>
          <tpl hier="11" item="6"/>
          <tpl hier="12" item="5"/>
          <tpl fld="1" item="0"/>
        </tpls>
      </n>
      <n v="2255496960">
        <tpls c="8">
          <tpl hier="2" item="0"/>
          <tpl hier="4" item="1"/>
          <tpl fld="2" item="4"/>
          <tpl fld="4" item="39"/>
          <tpl hier="9" item="4"/>
          <tpl hier="11" item="6"/>
          <tpl hier="12" item="5"/>
          <tpl fld="1" item="0"/>
        </tpls>
      </n>
      <n v="1781455104">
        <tpls c="8">
          <tpl hier="2" item="0"/>
          <tpl hier="4" item="1"/>
          <tpl fld="2" item="39"/>
          <tpl fld="4" item="38"/>
          <tpl hier="9" item="4"/>
          <tpl hier="11" item="6"/>
          <tpl hier="12" item="5"/>
          <tpl fld="1" item="0"/>
        </tpls>
      </n>
      <n v="938632640">
        <tpls c="8">
          <tpl hier="2" item="0"/>
          <tpl hier="4" item="1"/>
          <tpl fld="2" item="23"/>
          <tpl fld="4" item="38"/>
          <tpl hier="9" item="4"/>
          <tpl hier="11" item="6"/>
          <tpl hier="12" item="5"/>
          <tpl fld="1" item="0"/>
        </tpls>
      </n>
      <n v="547535552">
        <tpls c="8">
          <tpl hier="2" item="0"/>
          <tpl hier="4" item="1"/>
          <tpl fld="2" item="7"/>
          <tpl fld="4" item="38"/>
          <tpl hier="9" item="4"/>
          <tpl hier="11" item="6"/>
          <tpl hier="12" item="5"/>
          <tpl fld="1" item="0"/>
        </tpls>
      </n>
      <n v="12561015808">
        <tpls c="8">
          <tpl hier="2" item="0"/>
          <tpl hier="4" item="1"/>
          <tpl fld="2" item="42"/>
          <tpl fld="4" item="37"/>
          <tpl hier="9" item="4"/>
          <tpl hier="11" item="6"/>
          <tpl hier="12" item="5"/>
          <tpl fld="1" item="0"/>
        </tpls>
      </n>
      <n v="2586550784">
        <tpls c="8">
          <tpl hier="2" item="0"/>
          <tpl hier="4" item="1"/>
          <tpl fld="2" item="26"/>
          <tpl fld="4" item="37"/>
          <tpl hier="9" item="4"/>
          <tpl hier="11" item="6"/>
          <tpl hier="12" item="5"/>
          <tpl fld="1" item="0"/>
        </tpls>
      </n>
      <n v="1928720384">
        <tpls c="8">
          <tpl hier="2" item="0"/>
          <tpl hier="4" item="1"/>
          <tpl fld="2" item="10"/>
          <tpl fld="4" item="37"/>
          <tpl hier="9" item="4"/>
          <tpl hier="11" item="6"/>
          <tpl hier="12" item="5"/>
          <tpl fld="1" item="0"/>
        </tpls>
      </n>
      <n v="1802214309888">
        <tpls c="8">
          <tpl hier="2" item="0"/>
          <tpl hier="4" item="1"/>
          <tpl fld="2" item="45"/>
          <tpl fld="4" item="36"/>
          <tpl hier="9" item="4"/>
          <tpl hier="11" item="6"/>
          <tpl hier="12" item="5"/>
          <tpl fld="1" item="0"/>
        </tpls>
      </n>
      <n v="599388585984">
        <tpls c="8">
          <tpl hier="2" item="0"/>
          <tpl hier="4" item="1"/>
          <tpl fld="2" item="29"/>
          <tpl fld="4" item="36"/>
          <tpl hier="9" item="4"/>
          <tpl hier="11" item="6"/>
          <tpl hier="12" item="5"/>
          <tpl fld="1" item="0"/>
        </tpls>
      </n>
      <n v="203304517632">
        <tpls c="8">
          <tpl hier="2" item="0"/>
          <tpl hier="4" item="1"/>
          <tpl fld="2" item="13"/>
          <tpl fld="4" item="36"/>
          <tpl hier="9" item="4"/>
          <tpl hier="11" item="6"/>
          <tpl hier="12" item="5"/>
          <tpl fld="1" item="0"/>
        </tpls>
      </n>
      <n v="18663264256">
        <tpls c="8">
          <tpl hier="2" item="0"/>
          <tpl hier="4" item="1"/>
          <tpl fld="2" item="48"/>
          <tpl fld="4" item="35"/>
          <tpl hier="9" item="4"/>
          <tpl hier="11" item="6"/>
          <tpl hier="12" item="5"/>
          <tpl fld="1" item="0"/>
        </tpls>
      </n>
      <n v="5438857216">
        <tpls c="8">
          <tpl hier="2" item="0"/>
          <tpl hier="4" item="1"/>
          <tpl fld="2" item="32"/>
          <tpl fld="4" item="35"/>
          <tpl hier="9" item="4"/>
          <tpl hier="11" item="6"/>
          <tpl hier="12" item="5"/>
          <tpl fld="1" item="0"/>
        </tpls>
      </n>
      <n v="1392634752">
        <tpls c="8">
          <tpl hier="2" item="0"/>
          <tpl hier="4" item="1"/>
          <tpl fld="2" item="16"/>
          <tpl fld="4" item="35"/>
          <tpl hier="9" item="4"/>
          <tpl hier="11" item="6"/>
          <tpl hier="12" item="5"/>
          <tpl fld="1" item="0"/>
        </tpls>
      </n>
      <n v="96245112">
        <tpls c="8">
          <tpl hier="2" item="0"/>
          <tpl hier="4" item="1"/>
          <tpl fld="2" item="0"/>
          <tpl fld="4" item="35"/>
          <tpl hier="9" item="4"/>
          <tpl hier="11" item="6"/>
          <tpl hier="12" item="5"/>
          <tpl fld="1" item="0"/>
        </tpls>
      </n>
      <n v="9549077504">
        <tpls c="8">
          <tpl hier="2" item="0"/>
          <tpl hier="4" item="1"/>
          <tpl fld="2" item="35"/>
          <tpl fld="4" item="34"/>
          <tpl hier="9" item="4"/>
          <tpl hier="11" item="6"/>
          <tpl hier="12" item="5"/>
          <tpl fld="1" item="0"/>
        </tpls>
      </n>
      <n v="4715978752">
        <tpls c="8">
          <tpl hier="2" item="0"/>
          <tpl hier="4" item="1"/>
          <tpl fld="2" item="19"/>
          <tpl fld="4" item="34"/>
          <tpl hier="9" item="4"/>
          <tpl hier="11" item="6"/>
          <tpl hier="12" item="5"/>
          <tpl fld="1" item="0"/>
        </tpls>
      </n>
      <n v="1262968576">
        <tpls c="8">
          <tpl hier="2" item="0"/>
          <tpl hier="4" item="1"/>
          <tpl fld="2" item="3"/>
          <tpl fld="4" item="34"/>
          <tpl hier="9" item="4"/>
          <tpl hier="11" item="6"/>
          <tpl hier="12" item="5"/>
          <tpl fld="1" item="0"/>
        </tpls>
      </n>
      <n v="9748277248">
        <tpls c="8">
          <tpl hier="2" item="0"/>
          <tpl hier="4" item="1"/>
          <tpl fld="2" item="38"/>
          <tpl fld="4" item="33"/>
          <tpl hier="9" item="4"/>
          <tpl hier="11" item="6"/>
          <tpl hier="12" item="5"/>
          <tpl fld="1" item="0"/>
        </tpls>
      </n>
      <n v="1695315328">
        <tpls c="8">
          <tpl hier="2" item="0"/>
          <tpl hier="4" item="1"/>
          <tpl fld="2" item="22"/>
          <tpl fld="4" item="33"/>
          <tpl hier="9" item="4"/>
          <tpl hier="11" item="6"/>
          <tpl hier="12" item="5"/>
          <tpl fld="1" item="0"/>
        </tpls>
      </n>
      <n v="698408256">
        <tpls c="8">
          <tpl hier="2" item="0"/>
          <tpl hier="4" item="1"/>
          <tpl fld="2" item="6"/>
          <tpl fld="4" item="33"/>
          <tpl hier="9" item="4"/>
          <tpl hier="11" item="6"/>
          <tpl hier="12" item="5"/>
          <tpl fld="1" item="0"/>
        </tpls>
      </n>
      <n v="1460800000">
        <tpls c="8">
          <tpl hier="2" item="0"/>
          <tpl hier="4" item="1"/>
          <tpl fld="2" item="41"/>
          <tpl fld="4" item="32"/>
          <tpl hier="9" item="4"/>
          <tpl hier="11" item="6"/>
          <tpl hier="12" item="5"/>
          <tpl fld="1" item="0"/>
        </tpls>
      </n>
      <n v="620140416">
        <tpls c="8">
          <tpl hier="2" item="0"/>
          <tpl hier="4" item="1"/>
          <tpl fld="2" item="25"/>
          <tpl fld="4" item="32"/>
          <tpl hier="9" item="4"/>
          <tpl hier="11" item="6"/>
          <tpl hier="12" item="5"/>
          <tpl fld="1" item="0"/>
        </tpls>
      </n>
      <n v="151800000">
        <tpls c="8">
          <tpl hier="2" item="0"/>
          <tpl hier="4" item="1"/>
          <tpl fld="2" item="9"/>
          <tpl fld="4" item="32"/>
          <tpl hier="9" item="4"/>
          <tpl hier="11" item="6"/>
          <tpl hier="12" item="5"/>
          <tpl fld="1" item="0"/>
        </tpls>
      </n>
      <n v="172885458944">
        <tpls c="8">
          <tpl hier="2" item="0"/>
          <tpl hier="4" item="1"/>
          <tpl fld="2" item="44"/>
          <tpl fld="4" item="31"/>
          <tpl hier="9" item="4"/>
          <tpl hier="11" item="6"/>
          <tpl hier="12" item="5"/>
          <tpl fld="1" item="0"/>
        </tpls>
      </n>
      <n v="49984561152">
        <tpls c="8">
          <tpl hier="2" item="0"/>
          <tpl hier="4" item="1"/>
          <tpl fld="2" item="28"/>
          <tpl fld="4" item="31"/>
          <tpl hier="9" item="4"/>
          <tpl hier="11" item="6"/>
          <tpl hier="12" item="5"/>
          <tpl fld="1" item="0"/>
        </tpls>
      </n>
      <n v="18525399040">
        <tpls c="8">
          <tpl hier="2" item="0"/>
          <tpl hier="4" item="1"/>
          <tpl fld="2" item="12"/>
          <tpl fld="4" item="31"/>
          <tpl hier="9" item="4"/>
          <tpl hier="11" item="6"/>
          <tpl hier="12" item="5"/>
          <tpl fld="1" item="0"/>
        </tpls>
      </n>
      <n v="12150400000">
        <tpls c="8">
          <tpl hier="2" item="0"/>
          <tpl hier="4" item="1"/>
          <tpl fld="2" item="47"/>
          <tpl fld="4" item="30"/>
          <tpl hier="9" item="4"/>
          <tpl hier="11" item="6"/>
          <tpl hier="12" item="5"/>
          <tpl fld="1" item="0"/>
        </tpls>
      </n>
      <n v="8317830144">
        <tpls c="8">
          <tpl hier="2" item="0"/>
          <tpl hier="4" item="1"/>
          <tpl fld="2" item="31"/>
          <tpl fld="4" item="30"/>
          <tpl hier="9" item="4"/>
          <tpl hier="11" item="6"/>
          <tpl hier="12" item="5"/>
          <tpl fld="1" item="0"/>
        </tpls>
      </n>
      <n v="2320699904">
        <tpls c="8">
          <tpl hier="2" item="0"/>
          <tpl hier="4" item="1"/>
          <tpl fld="2" item="15"/>
          <tpl fld="4" item="30"/>
          <tpl hier="9" item="4"/>
          <tpl hier="11" item="6"/>
          <tpl hier="12" item="5"/>
          <tpl fld="1" item="0"/>
        </tpls>
      </n>
      <n v="11607046608896">
        <tpls c="8">
          <tpl hier="2" item="0"/>
          <tpl hier="4" item="1"/>
          <tpl hier="5" item="3"/>
          <tpl fld="4" item="29"/>
          <tpl hier="9" item="4"/>
          <tpl hier="11" item="6"/>
          <tpl hier="12" item="5"/>
          <tpl fld="1" item="0"/>
        </tpls>
      </n>
      <n v="164657938432">
        <tpls c="8">
          <tpl hier="2" item="0"/>
          <tpl hier="4" item="1"/>
          <tpl fld="2" item="34"/>
          <tpl fld="4" item="29"/>
          <tpl hier="9" item="4"/>
          <tpl hier="11" item="6"/>
          <tpl hier="12" item="5"/>
          <tpl fld="1" item="0"/>
        </tpls>
      </n>
      <n v="126206820352">
        <tpls c="8">
          <tpl hier="2" item="0"/>
          <tpl hier="4" item="1"/>
          <tpl fld="2" item="18"/>
          <tpl fld="4" item="29"/>
          <tpl hier="9" item="4"/>
          <tpl hier="11" item="6"/>
          <tpl hier="12" item="5"/>
          <tpl fld="1" item="0"/>
        </tpls>
      </n>
      <n v="34732998656">
        <tpls c="8">
          <tpl hier="2" item="0"/>
          <tpl hier="4" item="1"/>
          <tpl fld="2" item="2"/>
          <tpl fld="4" item="29"/>
          <tpl hier="9" item="4"/>
          <tpl hier="11" item="6"/>
          <tpl hier="12" item="5"/>
          <tpl fld="1" item="0"/>
        </tpls>
      </n>
      <n v="134977282048">
        <tpls c="8">
          <tpl hier="2" item="0"/>
          <tpl hier="4" item="1"/>
          <tpl fld="2" item="37"/>
          <tpl fld="4" item="28"/>
          <tpl hier="9" item="4"/>
          <tpl hier="11" item="6"/>
          <tpl hier="12" item="5"/>
          <tpl fld="1" item="0"/>
        </tpls>
      </n>
      <n v="45715365888">
        <tpls c="8">
          <tpl hier="2" item="0"/>
          <tpl hier="4" item="1"/>
          <tpl fld="2" item="21"/>
          <tpl fld="4" item="28"/>
          <tpl hier="9" item="4"/>
          <tpl hier="11" item="6"/>
          <tpl hier="12" item="5"/>
          <tpl fld="1" item="0"/>
        </tpls>
      </n>
      <n v="15557934080">
        <tpls c="8">
          <tpl hier="2" item="0"/>
          <tpl hier="4" item="1"/>
          <tpl fld="2" item="5"/>
          <tpl fld="4" item="28"/>
          <tpl hier="9" item="4"/>
          <tpl hier="11" item="6"/>
          <tpl hier="12" item="5"/>
          <tpl fld="1" item="0"/>
        </tpls>
      </n>
      <n v="14992053108736">
        <tpls c="8">
          <tpl hier="2" item="0"/>
          <tpl hier="4" item="1"/>
          <tpl fld="2" item="40"/>
          <tpl fld="4" item="27"/>
          <tpl hier="9" item="4"/>
          <tpl hier="11" item="6"/>
          <tpl hier="12" item="5"/>
          <tpl fld="1" item="0"/>
        </tpls>
      </n>
      <n v="7287236198400">
        <tpls c="8">
          <tpl hier="2" item="0"/>
          <tpl hier="4" item="1"/>
          <tpl fld="2" item="24"/>
          <tpl fld="4" item="27"/>
          <tpl hier="9" item="4"/>
          <tpl hier="11" item="6"/>
          <tpl hier="12" item="5"/>
          <tpl fld="1" item="0"/>
        </tpls>
      </n>
      <n v="2351598927872">
        <tpls c="8">
          <tpl hier="2" item="0"/>
          <tpl hier="4" item="1"/>
          <tpl fld="2" item="8"/>
          <tpl fld="4" item="27"/>
          <tpl hier="9" item="4"/>
          <tpl hier="11" item="6"/>
          <tpl hier="12" item="5"/>
          <tpl fld="1" item="0"/>
        </tpls>
      </n>
      <n v="2786022916096">
        <tpls c="8">
          <tpl hier="2" item="0"/>
          <tpl hier="4" item="1"/>
          <tpl fld="2" item="43"/>
          <tpl fld="4" item="26"/>
          <tpl hier="9" item="4"/>
          <tpl hier="11" item="6"/>
          <tpl hier="12" item="5"/>
          <tpl fld="1" item="0"/>
        </tpls>
      </n>
      <n v="1559078240256">
        <tpls c="8">
          <tpl hier="2" item="0"/>
          <tpl hier="4" item="1"/>
          <tpl fld="2" item="27"/>
          <tpl fld="4" item="26"/>
          <tpl hier="9" item="4"/>
          <tpl hier="11" item="6"/>
          <tpl hier="12" item="5"/>
          <tpl fld="1" item="0"/>
        </tpls>
      </n>
      <n v="540765683712">
        <tpls c="8">
          <tpl hier="2" item="0"/>
          <tpl hier="4" item="1"/>
          <tpl fld="2" item="11"/>
          <tpl fld="4" item="26"/>
          <tpl hier="9" item="4"/>
          <tpl hier="11" item="6"/>
          <tpl hier="12" item="5"/>
          <tpl fld="1" item="0"/>
        </tpls>
      </n>
      <n v="671309168640">
        <tpls c="8">
          <tpl hier="2" item="0"/>
          <tpl hier="4" item="1"/>
          <tpl fld="2" item="46"/>
          <tpl fld="4" item="25"/>
          <tpl hier="9" item="4"/>
          <tpl hier="11" item="6"/>
          <tpl hier="12" item="5"/>
          <tpl fld="1" item="0"/>
        </tpls>
      </n>
      <n v="272055500800">
        <tpls c="8">
          <tpl hier="2" item="0"/>
          <tpl hier="4" item="1"/>
          <tpl fld="2" item="30"/>
          <tpl fld="4" item="25"/>
          <tpl hier="9" item="4"/>
          <tpl hier="11" item="6"/>
          <tpl hier="12" item="5"/>
          <tpl fld="1" item="0"/>
        </tpls>
      </n>
      <n v="106285277184">
        <tpls c="8">
          <tpl hier="2" item="0"/>
          <tpl hier="4" item="1"/>
          <tpl fld="2" item="14"/>
          <tpl fld="4" item="25"/>
          <tpl hier="9" item="4"/>
          <tpl hier="11" item="6"/>
          <tpl hier="12" item="5"/>
          <tpl fld="1" item="0"/>
        </tpls>
      </n>
      <n v="530832916480">
        <tpls c="8">
          <tpl hier="2" item="0"/>
          <tpl hier="4" item="1"/>
          <tpl fld="2" item="49"/>
          <tpl fld="4" item="24"/>
          <tpl hier="9" item="4"/>
          <tpl hier="11" item="6"/>
          <tpl hier="12" item="5"/>
          <tpl fld="1" item="0"/>
        </tpls>
      </n>
      <n v="334337212416">
        <tpls c="8">
          <tpl hier="2" item="0"/>
          <tpl hier="4" item="1"/>
          <tpl fld="2" item="33"/>
          <tpl fld="4" item="24"/>
          <tpl hier="9" item="4"/>
          <tpl hier="11" item="6"/>
          <tpl hier="12" item="5"/>
          <tpl fld="1" item="0"/>
        </tpls>
      </n>
      <n v="183009640448">
        <tpls c="8">
          <tpl hier="2" item="0"/>
          <tpl hier="4" item="1"/>
          <tpl fld="2" item="17"/>
          <tpl fld="4" item="24"/>
          <tpl hier="9" item="4"/>
          <tpl hier="11" item="6"/>
          <tpl hier="12" item="5"/>
          <tpl fld="1" item="0"/>
        </tpls>
      </n>
      <n v="41566412800">
        <tpls c="8">
          <tpl hier="2" item="0"/>
          <tpl hier="4" item="1"/>
          <tpl fld="2" item="1"/>
          <tpl fld="4" item="24"/>
          <tpl hier="9" item="4"/>
          <tpl hier="11" item="6"/>
          <tpl hier="12" item="5"/>
          <tpl fld="1" item="0"/>
        </tpls>
      </n>
      <n v="1259343839232">
        <tpls c="8">
          <tpl hier="2" item="0"/>
          <tpl hier="4" item="1"/>
          <tpl fld="2" item="36"/>
          <tpl fld="4" item="23"/>
          <tpl hier="9" item="4"/>
          <tpl hier="11" item="6"/>
          <tpl hier="12" item="5"/>
          <tpl fld="1" item="0"/>
        </tpls>
      </n>
      <n v="536558600192">
        <tpls c="8">
          <tpl hier="2" item="0"/>
          <tpl hier="4" item="1"/>
          <tpl fld="2" item="20"/>
          <tpl fld="4" item="23"/>
          <tpl hier="9" item="4"/>
          <tpl hier="11" item="6"/>
          <tpl hier="12" item="5"/>
          <tpl fld="1" item="0"/>
        </tpls>
      </n>
      <n v="97274003456">
        <tpls c="8">
          <tpl hier="2" item="0"/>
          <tpl hier="4" item="1"/>
          <tpl fld="2" item="4"/>
          <tpl fld="4" item="23"/>
          <tpl hier="9" item="4"/>
          <tpl hier="11" item="6"/>
          <tpl hier="12" item="5"/>
          <tpl fld="1" item="0"/>
        </tpls>
      </n>
      <n v="943941877760">
        <tpls c="8">
          <tpl hier="2" item="0"/>
          <tpl hier="4" item="1"/>
          <tpl fld="2" item="39"/>
          <tpl fld="4" item="22"/>
          <tpl hier="9" item="4"/>
          <tpl hier="11" item="6"/>
          <tpl hier="12" item="5"/>
          <tpl fld="1" item="0"/>
        </tpls>
      </n>
      <n v="392666087424">
        <tpls c="8">
          <tpl hier="2" item="0"/>
          <tpl hier="4" item="1"/>
          <tpl fld="2" item="23"/>
          <tpl fld="4" item="22"/>
          <tpl hier="9" item="4"/>
          <tpl hier="11" item="6"/>
          <tpl hier="12" item="5"/>
          <tpl fld="1" item="0"/>
        </tpls>
      </n>
      <n v="38446489600">
        <tpls c="8">
          <tpl hier="2" item="0"/>
          <tpl hier="4" item="1"/>
          <tpl fld="2" item="7"/>
          <tpl fld="4" item="22"/>
          <tpl hier="9" item="4"/>
          <tpl hier="11" item="6"/>
          <tpl hier="12" item="5"/>
          <tpl fld="1" item="0"/>
        </tpls>
      </n>
      <n v="295087210496">
        <tpls c="8">
          <tpl hier="2" item="0"/>
          <tpl hier="4" item="1"/>
          <tpl fld="2" item="42"/>
          <tpl fld="4" item="21"/>
          <tpl hier="9" item="4"/>
          <tpl hier="11" item="6"/>
          <tpl hier="12" item="5"/>
          <tpl fld="1" item="0"/>
        </tpls>
      </n>
      <n v="96295886848">
        <tpls c="8">
          <tpl hier="2" item="0"/>
          <tpl hier="4" item="1"/>
          <tpl fld="2" item="26"/>
          <tpl fld="4" item="21"/>
          <tpl hier="9" item="4"/>
          <tpl hier="11" item="6"/>
          <tpl hier="12" item="5"/>
          <tpl fld="1" item="0"/>
        </tpls>
      </n>
      <n v="11896256512">
        <tpls c="8">
          <tpl hier="2" item="0"/>
          <tpl hier="4" item="1"/>
          <tpl fld="2" item="10"/>
          <tpl fld="4" item="21"/>
          <tpl hier="9" item="4"/>
          <tpl hier="11" item="6"/>
          <tpl hier="12" item="5"/>
          <tpl fld="1" item="0"/>
        </tpls>
      </n>
      <n v="199313899520">
        <tpls c="8">
          <tpl hier="2" item="0"/>
          <tpl hier="4" item="1"/>
          <tpl fld="2" item="45"/>
          <tpl fld="4" item="20"/>
          <tpl hier="9" item="4"/>
          <tpl hier="11" item="6"/>
          <tpl hier="12" item="5"/>
          <tpl fld="1" item="0"/>
        </tpls>
      </n>
      <n v="127427346432">
        <tpls c="8">
          <tpl hier="2" item="0"/>
          <tpl hier="4" item="1"/>
          <tpl fld="2" item="29"/>
          <tpl fld="4" item="20"/>
          <tpl hier="9" item="4"/>
          <tpl hier="11" item="6"/>
          <tpl hier="12" item="5"/>
          <tpl fld="1" item="0"/>
        </tpls>
      </n>
      <n v="27239651328">
        <tpls c="8">
          <tpl hier="2" item="0"/>
          <tpl hier="4" item="1"/>
          <tpl fld="2" item="13"/>
          <tpl fld="4" item="20"/>
          <tpl hier="9" item="4"/>
          <tpl hier="11" item="6"/>
          <tpl hier="12" item="5"/>
          <tpl fld="1" item="0"/>
        </tpls>
      </n>
      <n v="1352949632">
        <tpls c="8">
          <tpl hier="2" item="0"/>
          <tpl hier="4" item="1"/>
          <tpl fld="2" item="19"/>
          <tpl fld="4" item="96"/>
          <tpl hier="9" item="4"/>
          <tpl hier="11" item="6"/>
          <tpl hier="12" item="5"/>
          <tpl fld="1" item="0"/>
        </tpls>
      </n>
      <n v="22706155520">
        <tpls c="8">
          <tpl hier="2" item="0"/>
          <tpl hier="4" item="1"/>
          <tpl fld="2" item="8"/>
          <tpl fld="4" item="83"/>
          <tpl hier="9" item="4"/>
          <tpl hier="11" item="6"/>
          <tpl hier="12" item="5"/>
          <tpl fld="1" item="0"/>
        </tpls>
      </n>
      <n v="756706312192">
        <tpls c="8">
          <tpl hier="2" item="0"/>
          <tpl hier="4" item="1"/>
          <tpl fld="2" item="31"/>
          <tpl fld="4" item="71"/>
          <tpl hier="9" item="4"/>
          <tpl hier="11" item="6"/>
          <tpl hier="12" item="5"/>
          <tpl fld="1" item="0"/>
        </tpls>
      </n>
      <n v="31958194176">
        <tpls c="8">
          <tpl hier="2" item="0"/>
          <tpl hier="4" item="1"/>
          <tpl fld="2" item="37"/>
          <tpl fld="4" item="63"/>
          <tpl hier="9" item="4"/>
          <tpl hier="11" item="6"/>
          <tpl hier="12" item="5"/>
          <tpl fld="1" item="0"/>
        </tpls>
      </n>
      <n v="3259344896">
        <tpls c="8">
          <tpl hier="2" item="0"/>
          <tpl hier="4" item="1"/>
          <tpl fld="2" item="5"/>
          <tpl fld="4" item="63"/>
          <tpl hier="9" item="4"/>
          <tpl hier="11" item="6"/>
          <tpl hier="12" item="5"/>
          <tpl fld="1" item="0"/>
        </tpls>
      </n>
      <n v="7368000000">
        <tpls c="8">
          <tpl hier="2" item="0"/>
          <tpl hier="4" item="1"/>
          <tpl fld="2" item="26"/>
          <tpl fld="4" item="62"/>
          <tpl hier="9" item="4"/>
          <tpl hier="11" item="6"/>
          <tpl hier="12" item="5"/>
          <tpl fld="1" item="0"/>
        </tpls>
      </n>
      <n v="1404776064">
        <tpls c="8">
          <tpl hier="2" item="0"/>
          <tpl hier="4" item="1"/>
          <tpl fld="2" item="0"/>
          <tpl fld="4" item="62"/>
          <tpl hier="9" item="4"/>
          <tpl hier="11" item="6"/>
          <tpl hier="12" item="5"/>
          <tpl fld="1" item="0"/>
        </tpls>
      </n>
      <m>
        <tpls c="8">
          <tpl hier="2" item="0"/>
          <tpl hier="4" item="1"/>
          <tpl fld="2" item="21"/>
          <tpl fld="4" item="61"/>
          <tpl hier="9" item="4"/>
          <tpl hier="11" item="6"/>
          <tpl hier="12" item="5"/>
          <tpl fld="1" item="0"/>
        </tpls>
      </m>
      <n v="1856722173952">
        <tpls c="8">
          <tpl hier="2" item="0"/>
          <tpl hier="4" item="1"/>
          <tpl fld="2" item="43"/>
          <tpl fld="4" item="60"/>
          <tpl hier="9" item="4"/>
          <tpl hier="11" item="6"/>
          <tpl hier="12" item="5"/>
          <tpl fld="1" item="0"/>
        </tpls>
      </n>
      <n v="232511881216">
        <tpls c="8">
          <tpl hier="2" item="0"/>
          <tpl hier="4" item="1"/>
          <tpl fld="2" item="15"/>
          <tpl fld="4" item="60"/>
          <tpl hier="9" item="4"/>
          <tpl hier="11" item="6"/>
          <tpl hier="12" item="5"/>
          <tpl fld="1" item="0"/>
        </tpls>
      </n>
      <n v="18528602112">
        <tpls c="8">
          <tpl hier="2" item="0"/>
          <tpl hier="4" item="1"/>
          <tpl fld="2" item="42"/>
          <tpl fld="4" item="59"/>
          <tpl hier="9" item="4"/>
          <tpl hier="11" item="6"/>
          <tpl hier="12" item="5"/>
          <tpl fld="1" item="0"/>
        </tpls>
      </n>
      <n v="5902716928">
        <tpls c="8">
          <tpl hier="2" item="0"/>
          <tpl hier="4" item="1"/>
          <tpl fld="2" item="18"/>
          <tpl fld="4" item="59"/>
          <tpl hier="9" item="4"/>
          <tpl hier="11" item="6"/>
          <tpl hier="12" item="5"/>
          <tpl fld="1" item="0"/>
        </tpls>
      </n>
      <n v="7970649088">
        <tpls c="8">
          <tpl hier="2" item="0"/>
          <tpl hier="4" item="1"/>
          <tpl fld="2" item="46"/>
          <tpl fld="4" item="58"/>
          <tpl hier="9" item="4"/>
          <tpl hier="11" item="6"/>
          <tpl hier="12" item="5"/>
          <tpl fld="1" item="0"/>
        </tpls>
      </n>
      <n v="2257121792">
        <tpls c="8">
          <tpl hier="2" item="0"/>
          <tpl hier="4" item="1"/>
          <tpl fld="2" item="22"/>
          <tpl fld="4" item="58"/>
          <tpl hier="9" item="4"/>
          <tpl hier="11" item="6"/>
          <tpl hier="12" item="5"/>
          <tpl fld="1" item="0"/>
        </tpls>
      </n>
      <n v="58179193632">
        <tpls c="8">
          <tpl hier="2" item="0"/>
          <tpl hier="4" item="1"/>
          <tpl hier="5" item="3"/>
          <tpl fld="4" item="57"/>
          <tpl hier="9" item="4"/>
          <tpl hier="11" item="6"/>
          <tpl hier="12" item="5"/>
          <tpl fld="1" item="0"/>
        </tpls>
      </n>
      <n v="705406016">
        <tpls c="8">
          <tpl hier="2" item="0"/>
          <tpl hier="4" item="1"/>
          <tpl fld="2" item="26"/>
          <tpl fld="4" item="57"/>
          <tpl hier="9" item="4"/>
          <tpl hier="11" item="6"/>
          <tpl hier="12" item="5"/>
          <tpl fld="1" item="0"/>
        </tpls>
      </n>
      <n v="433954560">
        <tpls c="8">
          <tpl hier="2" item="0"/>
          <tpl hier="4" item="1"/>
          <tpl fld="2" item="4"/>
          <tpl fld="4" item="57"/>
          <tpl hier="9" item="4"/>
          <tpl hier="11" item="6"/>
          <tpl hier="12" item="5"/>
          <tpl fld="1" item="0"/>
        </tpls>
      </n>
      <n v="476388256">
        <tpls c="8">
          <tpl hier="2" item="0"/>
          <tpl hier="4" item="1"/>
          <tpl fld="2" item="33"/>
          <tpl fld="4" item="56"/>
          <tpl hier="9" item="4"/>
          <tpl hier="11" item="6"/>
          <tpl hier="12" item="5"/>
          <tpl fld="1" item="0"/>
        </tpls>
      </n>
      <n v="118537872">
        <tpls c="8">
          <tpl hier="2" item="0"/>
          <tpl hier="4" item="1"/>
          <tpl fld="2" item="9"/>
          <tpl fld="4" item="56"/>
          <tpl hier="9" item="4"/>
          <tpl hier="11" item="6"/>
          <tpl hier="12" item="5"/>
          <tpl fld="1" item="0"/>
        </tpls>
      </n>
      <n v="34113107968">
        <tpls c="8">
          <tpl hier="2" item="0"/>
          <tpl hier="4" item="1"/>
          <tpl fld="2" item="37"/>
          <tpl fld="4" item="55"/>
          <tpl hier="9" item="4"/>
          <tpl hier="11" item="6"/>
          <tpl hier="12" item="5"/>
          <tpl fld="1" item="0"/>
        </tpls>
      </n>
      <n v="9050000384">
        <tpls c="8">
          <tpl hier="2" item="0"/>
          <tpl hier="4" item="1"/>
          <tpl fld="2" item="13"/>
          <tpl fld="4" item="55"/>
          <tpl hier="9" item="4"/>
          <tpl hier="11" item="6"/>
          <tpl hier="12" item="5"/>
          <tpl fld="1" item="0"/>
        </tpls>
      </n>
      <n v="39337316352">
        <tpls c="8">
          <tpl hier="2" item="0"/>
          <tpl hier="4" item="1"/>
          <tpl fld="2" item="41"/>
          <tpl fld="4" item="54"/>
          <tpl hier="9" item="4"/>
          <tpl hier="11" item="6"/>
          <tpl hier="12" item="5"/>
          <tpl fld="1" item="0"/>
        </tpls>
      </n>
      <n v="5074829824">
        <tpls c="8">
          <tpl hier="2" item="0"/>
          <tpl hier="4" item="1"/>
          <tpl fld="2" item="17"/>
          <tpl fld="4" item="54"/>
          <tpl hier="9" item="4"/>
          <tpl hier="11" item="6"/>
          <tpl hier="12" item="5"/>
          <tpl fld="1" item="0"/>
        </tpls>
      </n>
      <n v="1354788608">
        <tpls c="8">
          <tpl hier="2" item="0"/>
          <tpl hier="4" item="1"/>
          <tpl fld="2" item="45"/>
          <tpl fld="4" item="53"/>
          <tpl hier="9" item="4"/>
          <tpl hier="11" item="6"/>
          <tpl hier="12" item="5"/>
          <tpl fld="1" item="0"/>
        </tpls>
      </n>
      <n v="714255488">
        <tpls c="8">
          <tpl hier="2" item="0"/>
          <tpl hier="4" item="1"/>
          <tpl fld="2" item="22"/>
          <tpl fld="4" item="53"/>
          <tpl hier="9" item="4"/>
          <tpl hier="11" item="6"/>
          <tpl hier="12" item="5"/>
          <tpl fld="1" item="0"/>
        </tpls>
      </n>
      <n v="75187968">
        <tpls c="8">
          <tpl hier="2" item="0"/>
          <tpl hier="4" item="1"/>
          <tpl fld="2" item="3"/>
          <tpl fld="4" item="53"/>
          <tpl hier="9" item="4"/>
          <tpl hier="11" item="6"/>
          <tpl hier="12" item="5"/>
          <tpl fld="1" item="0"/>
        </tpls>
      </n>
      <n v="7756293632">
        <tpls c="8">
          <tpl hier="2" item="0"/>
          <tpl hier="4" item="1"/>
          <tpl fld="2" item="34"/>
          <tpl fld="4" item="52"/>
          <tpl hier="9" item="4"/>
          <tpl hier="11" item="6"/>
          <tpl hier="12" item="5"/>
          <tpl fld="1" item="0"/>
        </tpls>
      </n>
      <n v="3339914752">
        <tpls c="8">
          <tpl hier="2" item="0"/>
          <tpl hier="4" item="1"/>
          <tpl fld="2" item="15"/>
          <tpl fld="4" item="52"/>
          <tpl hier="9" item="4"/>
          <tpl hier="11" item="6"/>
          <tpl hier="12" item="5"/>
          <tpl fld="1" item="0"/>
        </tpls>
      </n>
      <n v="4682546688">
        <tpls c="8">
          <tpl hier="2" item="0"/>
          <tpl hier="4" item="1"/>
          <tpl fld="2" item="45"/>
          <tpl fld="4" item="51"/>
          <tpl hier="9" item="4"/>
          <tpl hier="11" item="6"/>
          <tpl hier="12" item="5"/>
          <tpl fld="1" item="0"/>
        </tpls>
      </n>
      <n v="2129266688">
        <tpls c="8">
          <tpl hier="2" item="0"/>
          <tpl hier="4" item="1"/>
          <tpl fld="2" item="26"/>
          <tpl fld="4" item="51"/>
          <tpl hier="9" item="4"/>
          <tpl hier="11" item="6"/>
          <tpl hier="12" item="5"/>
          <tpl fld="1" item="0"/>
        </tpls>
      </n>
      <n v="694552384">
        <tpls c="8">
          <tpl hier="2" item="0"/>
          <tpl hier="4" item="1"/>
          <tpl fld="2" item="6"/>
          <tpl fld="4" item="51"/>
          <tpl hier="9" item="4"/>
          <tpl hier="11" item="6"/>
          <tpl hier="12" item="5"/>
          <tpl fld="1" item="0"/>
        </tpls>
      </n>
      <n v="17986889728">
        <tpls c="8">
          <tpl hier="2" item="0"/>
          <tpl hier="4" item="1"/>
          <tpl fld="2" item="38"/>
          <tpl fld="4" item="50"/>
          <tpl hier="9" item="4"/>
          <tpl hier="11" item="6"/>
          <tpl hier="12" item="5"/>
          <tpl fld="1" item="0"/>
        </tpls>
      </n>
      <n v="4372215296">
        <tpls c="8">
          <tpl hier="2" item="0"/>
          <tpl hier="4" item="1"/>
          <tpl fld="2" item="19"/>
          <tpl fld="4" item="50"/>
          <tpl hier="9" item="4"/>
          <tpl hier="11" item="6"/>
          <tpl hier="12" item="5"/>
          <tpl fld="1" item="0"/>
        </tpls>
      </n>
      <n v="107435663360">
        <tpls c="8">
          <tpl hier="2" item="0"/>
          <tpl hier="4" item="1"/>
          <tpl fld="2" item="49"/>
          <tpl fld="4" item="49"/>
          <tpl hier="9" item="4"/>
          <tpl hier="11" item="6"/>
          <tpl hier="12" item="5"/>
          <tpl fld="1" item="0"/>
        </tpls>
      </n>
      <n v="18327764992">
        <tpls c="8">
          <tpl hier="2" item="0"/>
          <tpl hier="4" item="1"/>
          <tpl fld="2" item="30"/>
          <tpl fld="4" item="49"/>
          <tpl hier="9" item="4"/>
          <tpl hier="11" item="6"/>
          <tpl hier="12" item="5"/>
          <tpl fld="1" item="0"/>
        </tpls>
      </n>
      <n v="17881513984">
        <tpls c="8">
          <tpl hier="2" item="0"/>
          <tpl hier="4" item="1"/>
          <tpl fld="2" item="10"/>
          <tpl fld="4" item="49"/>
          <tpl hier="9" item="4"/>
          <tpl hier="11" item="6"/>
          <tpl hier="12" item="5"/>
          <tpl fld="1" item="0"/>
        </tpls>
      </n>
      <n v="60681535488">
        <tpls c="8">
          <tpl hier="2" item="0"/>
          <tpl hier="4" item="1"/>
          <tpl fld="2" item="42"/>
          <tpl fld="4" item="48"/>
          <tpl hier="9" item="4"/>
          <tpl hier="11" item="6"/>
          <tpl hier="12" item="5"/>
          <tpl fld="1" item="0"/>
        </tpls>
      </n>
      <n v="9734322176">
        <tpls c="8">
          <tpl hier="2" item="0"/>
          <tpl hier="4" item="1"/>
          <tpl fld="2" item="21"/>
          <tpl fld="4" item="48"/>
          <tpl hier="9" item="4"/>
          <tpl hier="11" item="6"/>
          <tpl hier="12" item="5"/>
          <tpl fld="1" item="0"/>
        </tpls>
      </n>
      <n v="1987399936">
        <tpls c="8">
          <tpl hier="2" item="0"/>
          <tpl hier="4" item="1"/>
          <tpl fld="2" item="2"/>
          <tpl fld="4" item="48"/>
          <tpl hier="9" item="4"/>
          <tpl hier="11" item="6"/>
          <tpl hier="12" item="5"/>
          <tpl fld="1" item="0"/>
        </tpls>
      </n>
      <n v="15306602496">
        <tpls c="8">
          <tpl hier="2" item="0"/>
          <tpl hier="4" item="1"/>
          <tpl fld="2" item="33"/>
          <tpl fld="4" item="47"/>
          <tpl hier="9" item="4"/>
          <tpl hier="11" item="6"/>
          <tpl hier="12" item="5"/>
          <tpl fld="1" item="0"/>
        </tpls>
      </n>
      <n v="6841638912">
        <tpls c="8">
          <tpl hier="2" item="0"/>
          <tpl hier="4" item="1"/>
          <tpl fld="2" item="14"/>
          <tpl fld="4" item="47"/>
          <tpl hier="9" item="4"/>
          <tpl hier="11" item="6"/>
          <tpl hier="12" item="5"/>
          <tpl fld="1" item="0"/>
        </tpls>
      </n>
      <n v="50577768448">
        <tpls c="8">
          <tpl hier="2" item="0"/>
          <tpl hier="4" item="1"/>
          <tpl fld="2" item="44"/>
          <tpl fld="4" item="46"/>
          <tpl hier="9" item="4"/>
          <tpl hier="11" item="6"/>
          <tpl hier="12" item="5"/>
          <tpl fld="1" item="0"/>
        </tpls>
      </n>
      <n v="11513473024">
        <tpls c="8">
          <tpl hier="2" item="0"/>
          <tpl hier="4" item="1"/>
          <tpl fld="2" item="25"/>
          <tpl fld="4" item="46"/>
          <tpl hier="9" item="4"/>
          <tpl hier="11" item="6"/>
          <tpl hier="12" item="5"/>
          <tpl fld="1" item="0"/>
        </tpls>
      </n>
      <n v="1960863488">
        <tpls c="8">
          <tpl hier="2" item="0"/>
          <tpl hier="4" item="1"/>
          <tpl fld="2" item="5"/>
          <tpl fld="4" item="46"/>
          <tpl hier="9" item="4"/>
          <tpl hier="11" item="6"/>
          <tpl hier="12" item="5"/>
          <tpl fld="1" item="0"/>
        </tpls>
      </n>
      <n v="8394688512">
        <tpls c="8">
          <tpl hier="2" item="0"/>
          <tpl hier="4" item="1"/>
          <tpl fld="2" item="37"/>
          <tpl fld="4" item="45"/>
          <tpl hier="9" item="4"/>
          <tpl hier="11" item="6"/>
          <tpl hier="12" item="5"/>
          <tpl fld="1" item="0"/>
        </tpls>
      </n>
      <n v="2212536320">
        <tpls c="8">
          <tpl hier="2" item="0"/>
          <tpl hier="4" item="1"/>
          <tpl fld="2" item="18"/>
          <tpl fld="4" item="45"/>
          <tpl hier="9" item="4"/>
          <tpl hier="11" item="6"/>
          <tpl hier="12" item="5"/>
          <tpl fld="1" item="0"/>
        </tpls>
      </n>
      <n v="46831341568">
        <tpls c="8">
          <tpl hier="2" item="0"/>
          <tpl hier="4" item="1"/>
          <tpl fld="2" item="48"/>
          <tpl fld="4" item="44"/>
          <tpl hier="9" item="4"/>
          <tpl hier="11" item="6"/>
          <tpl hier="12" item="5"/>
          <tpl fld="1" item="0"/>
        </tpls>
      </n>
      <n v="4711259648">
        <tpls c="8">
          <tpl hier="2" item="0"/>
          <tpl hier="4" item="1"/>
          <tpl fld="2" item="29"/>
          <tpl fld="4" item="44"/>
          <tpl hier="9" item="4"/>
          <tpl hier="11" item="6"/>
          <tpl hier="12" item="5"/>
          <tpl fld="1" item="0"/>
        </tpls>
      </n>
      <n v="15068422144">
        <tpls c="8">
          <tpl hier="2" item="0"/>
          <tpl hier="4" item="1"/>
          <tpl fld="2" item="9"/>
          <tpl fld="4" item="44"/>
          <tpl hier="9" item="4"/>
          <tpl hier="11" item="6"/>
          <tpl hier="12" item="5"/>
          <tpl fld="1" item="0"/>
        </tpls>
      </n>
      <n v="334943879168">
        <tpls c="8">
          <tpl hier="2" item="0"/>
          <tpl hier="4" item="1"/>
          <tpl fld="2" item="41"/>
          <tpl fld="4" item="43"/>
          <tpl hier="9" item="4"/>
          <tpl hier="11" item="6"/>
          <tpl hier="12" item="5"/>
          <tpl fld="1" item="0"/>
        </tpls>
      </n>
      <n v="47844089856">
        <tpls c="8">
          <tpl hier="2" item="0"/>
          <tpl hier="4" item="1"/>
          <tpl fld="2" item="20"/>
          <tpl fld="4" item="43"/>
          <tpl hier="9" item="4"/>
          <tpl hier="11" item="6"/>
          <tpl hier="12" item="5"/>
          <tpl fld="1" item="0"/>
        </tpls>
      </n>
      <n v="7820381184">
        <tpls c="8">
          <tpl hier="2" item="0"/>
          <tpl hier="4" item="1"/>
          <tpl fld="2" item="1"/>
          <tpl fld="4" item="43"/>
          <tpl hier="9" item="4"/>
          <tpl hier="11" item="6"/>
          <tpl hier="12" item="5"/>
          <tpl fld="1" item="0"/>
        </tpls>
      </n>
      <n v="99210395648">
        <tpls c="8">
          <tpl hier="2" item="0"/>
          <tpl hier="4" item="1"/>
          <tpl fld="2" item="34"/>
          <tpl fld="4" item="42"/>
          <tpl hier="9" item="4"/>
          <tpl hier="11" item="6"/>
          <tpl hier="12" item="5"/>
          <tpl fld="1" item="0"/>
        </tpls>
      </n>
      <n v="18891048960">
        <tpls c="8">
          <tpl hier="2" item="0"/>
          <tpl hier="4" item="1"/>
          <tpl fld="2" item="16"/>
          <tpl fld="4" item="42"/>
          <tpl hier="9" item="4"/>
          <tpl hier="11" item="6"/>
          <tpl hier="12" item="5"/>
          <tpl fld="1" item="0"/>
        </tpls>
      </n>
      <n v="204586361056">
        <tpls c="8">
          <tpl hier="2" item="0"/>
          <tpl hier="4" item="1"/>
          <tpl hier="5" item="3"/>
          <tpl fld="4" item="41"/>
          <tpl hier="9" item="4"/>
          <tpl hier="11" item="6"/>
          <tpl hier="12" item="5"/>
          <tpl fld="1" item="0"/>
        </tpls>
      </n>
      <n v="2736666624">
        <tpls c="8">
          <tpl hier="2" item="0"/>
          <tpl hier="4" item="1"/>
          <tpl fld="2" item="33"/>
          <tpl fld="4" item="41"/>
          <tpl hier="9" item="4"/>
          <tpl hier="11" item="6"/>
          <tpl hier="12" item="5"/>
          <tpl fld="1" item="0"/>
        </tpls>
      </n>
      <n v="1067828224">
        <tpls c="8">
          <tpl hier="2" item="0"/>
          <tpl hier="4" item="1"/>
          <tpl fld="2" item="16"/>
          <tpl fld="4" item="41"/>
          <tpl hier="9" item="4"/>
          <tpl hier="11" item="6"/>
          <tpl hier="12" item="5"/>
          <tpl fld="1" item="0"/>
        </tpls>
      </n>
      <n v="58932128576">
        <tpls c="8">
          <tpl hier="2" item="0"/>
          <tpl hier="4" item="1"/>
          <tpl hier="5" item="3"/>
          <tpl fld="4" item="40"/>
          <tpl hier="9" item="4"/>
          <tpl hier="11" item="6"/>
          <tpl hier="12" item="5"/>
          <tpl fld="1" item="0"/>
        </tpls>
      </n>
      <n v="1139754752">
        <tpls c="8">
          <tpl hier="2" item="0"/>
          <tpl hier="4" item="1"/>
          <tpl fld="2" item="33"/>
          <tpl fld="4" item="40"/>
          <tpl hier="9" item="4"/>
          <tpl hier="11" item="6"/>
          <tpl hier="12" item="5"/>
          <tpl fld="1" item="0"/>
        </tpls>
      </n>
      <n v="1122265088">
        <tpls c="8">
          <tpl hier="2" item="0"/>
          <tpl hier="4" item="1"/>
          <tpl fld="2" item="16"/>
          <tpl fld="4" item="40"/>
          <tpl hier="9" item="4"/>
          <tpl hier="11" item="6"/>
          <tpl hier="12" item="5"/>
          <tpl fld="1" item="0"/>
        </tpls>
      </n>
      <n v="189106560">
        <tpls c="8">
          <tpl hier="2" item="0"/>
          <tpl hier="4" item="1"/>
          <tpl fld="2" item="0"/>
          <tpl fld="4" item="40"/>
          <tpl hier="9" item="4"/>
          <tpl hier="11" item="6"/>
          <tpl hier="12" item="5"/>
          <tpl fld="1" item="0"/>
        </tpls>
      </n>
      <n v="17944084480">
        <tpls c="8">
          <tpl hier="2" item="0"/>
          <tpl hier="4" item="1"/>
          <tpl fld="2" item="35"/>
          <tpl fld="4" item="39"/>
          <tpl hier="9" item="4"/>
          <tpl hier="11" item="6"/>
          <tpl hier="12" item="5"/>
          <tpl fld="1" item="0"/>
        </tpls>
      </n>
      <n v="11140055040">
        <tpls c="8">
          <tpl hier="2" item="0"/>
          <tpl hier="4" item="1"/>
          <tpl fld="2" item="19"/>
          <tpl fld="4" item="39"/>
          <tpl hier="9" item="4"/>
          <tpl hier="11" item="6"/>
          <tpl hier="12" item="5"/>
          <tpl fld="1" item="0"/>
        </tpls>
      </n>
      <n v="1758727424">
        <tpls c="8">
          <tpl hier="2" item="0"/>
          <tpl hier="4" item="1"/>
          <tpl fld="2" item="3"/>
          <tpl fld="4" item="39"/>
          <tpl hier="9" item="4"/>
          <tpl hier="11" item="6"/>
          <tpl hier="12" item="5"/>
          <tpl fld="1" item="0"/>
        </tpls>
      </n>
      <n v="1611835904">
        <tpls c="8">
          <tpl hier="2" item="0"/>
          <tpl hier="4" item="1"/>
          <tpl fld="2" item="38"/>
          <tpl fld="4" item="38"/>
          <tpl hier="9" item="4"/>
          <tpl hier="11" item="6"/>
          <tpl hier="12" item="5"/>
          <tpl fld="1" item="0"/>
        </tpls>
      </n>
      <n v="1083037696">
        <tpls c="8">
          <tpl hier="2" item="0"/>
          <tpl hier="4" item="1"/>
          <tpl fld="2" item="22"/>
          <tpl fld="4" item="38"/>
          <tpl hier="9" item="4"/>
          <tpl hier="11" item="6"/>
          <tpl hier="12" item="5"/>
          <tpl fld="1" item="0"/>
        </tpls>
      </n>
      <n v="448412768">
        <tpls c="8">
          <tpl hier="2" item="0"/>
          <tpl hier="4" item="1"/>
          <tpl fld="2" item="6"/>
          <tpl fld="4" item="38"/>
          <tpl hier="9" item="4"/>
          <tpl hier="11" item="6"/>
          <tpl hier="12" item="5"/>
          <tpl fld="1" item="0"/>
        </tpls>
      </n>
      <n v="12080296960">
        <tpls c="8">
          <tpl hier="2" item="0"/>
          <tpl hier="4" item="1"/>
          <tpl fld="2" item="41"/>
          <tpl fld="4" item="37"/>
          <tpl hier="9" item="4"/>
          <tpl hier="11" item="6"/>
          <tpl hier="12" item="5"/>
          <tpl fld="1" item="0"/>
        </tpls>
      </n>
      <n v="2379518208">
        <tpls c="8">
          <tpl hier="2" item="0"/>
          <tpl hier="4" item="1"/>
          <tpl fld="2" item="25"/>
          <tpl fld="4" item="37"/>
          <tpl hier="9" item="4"/>
          <tpl hier="11" item="6"/>
          <tpl hier="12" item="5"/>
          <tpl fld="1" item="0"/>
        </tpls>
      </n>
      <n v="1748481024">
        <tpls c="8">
          <tpl hier="2" item="0"/>
          <tpl hier="4" item="1"/>
          <tpl fld="2" item="9"/>
          <tpl fld="4" item="37"/>
          <tpl hier="9" item="4"/>
          <tpl hier="11" item="6"/>
          <tpl hier="12" item="5"/>
          <tpl fld="1" item="0"/>
        </tpls>
      </n>
      <n v="2455993581568">
        <tpls c="8">
          <tpl hier="2" item="0"/>
          <tpl hier="4" item="1"/>
          <tpl fld="2" item="44"/>
          <tpl fld="4" item="36"/>
          <tpl hier="9" item="4"/>
          <tpl hier="11" item="6"/>
          <tpl hier="12" item="5"/>
          <tpl fld="1" item="0"/>
        </tpls>
      </n>
      <n v="863723388928">
        <tpls c="8">
          <tpl hier="2" item="0"/>
          <tpl hier="4" item="1"/>
          <tpl fld="2" item="28"/>
          <tpl fld="4" item="36"/>
          <tpl hier="9" item="4"/>
          <tpl hier="11" item="6"/>
          <tpl hier="12" item="5"/>
          <tpl fld="1" item="0"/>
        </tpls>
      </n>
      <n v="281682313216">
        <tpls c="8">
          <tpl hier="2" item="0"/>
          <tpl hier="4" item="1"/>
          <tpl fld="2" item="12"/>
          <tpl fld="4" item="36"/>
          <tpl hier="9" item="4"/>
          <tpl hier="11" item="6"/>
          <tpl hier="12" item="5"/>
          <tpl fld="1" item="0"/>
        </tpls>
      </n>
      <n v="17405538304">
        <tpls c="8">
          <tpl hier="2" item="0"/>
          <tpl hier="4" item="1"/>
          <tpl fld="2" item="47"/>
          <tpl fld="4" item="35"/>
          <tpl hier="9" item="4"/>
          <tpl hier="11" item="6"/>
          <tpl hier="12" item="5"/>
          <tpl fld="1" item="0"/>
        </tpls>
      </n>
      <n v="5489608192">
        <tpls c="8">
          <tpl hier="2" item="0"/>
          <tpl hier="4" item="1"/>
          <tpl fld="2" item="31"/>
          <tpl fld="4" item="35"/>
          <tpl hier="9" item="4"/>
          <tpl hier="11" item="6"/>
          <tpl hier="12" item="5"/>
          <tpl fld="1" item="0"/>
        </tpls>
      </n>
      <n v="1114764032">
        <tpls c="8">
          <tpl hier="2" item="0"/>
          <tpl hier="4" item="1"/>
          <tpl fld="2" item="15"/>
          <tpl fld="4" item="35"/>
          <tpl hier="9" item="4"/>
          <tpl hier="11" item="6"/>
          <tpl hier="12" item="5"/>
          <tpl fld="1" item="0"/>
        </tpls>
      </n>
      <n v="569642065024">
        <tpls c="8">
          <tpl hier="2" item="0"/>
          <tpl hier="4" item="1"/>
          <tpl hier="5" item="3"/>
          <tpl fld="4" item="34"/>
          <tpl hier="9" item="4"/>
          <tpl hier="11" item="6"/>
          <tpl hier="12" item="5"/>
          <tpl fld="1" item="0"/>
        </tpls>
      </n>
      <n v="8773451776">
        <tpls c="8">
          <tpl hier="2" item="0"/>
          <tpl hier="4" item="1"/>
          <tpl fld="2" item="34"/>
          <tpl fld="4" item="34"/>
          <tpl hier="9" item="4"/>
          <tpl hier="11" item="6"/>
          <tpl hier="12" item="5"/>
          <tpl fld="1" item="0"/>
        </tpls>
      </n>
      <n v="4597615616">
        <tpls c="8">
          <tpl hier="2" item="0"/>
          <tpl hier="4" item="1"/>
          <tpl fld="2" item="18"/>
          <tpl fld="4" item="34"/>
          <tpl hier="9" item="4"/>
          <tpl hier="11" item="6"/>
          <tpl hier="12" item="5"/>
          <tpl fld="1" item="0"/>
        </tpls>
      </n>
      <n v="1257615616">
        <tpls c="8">
          <tpl hier="2" item="0"/>
          <tpl hier="4" item="1"/>
          <tpl fld="2" item="2"/>
          <tpl fld="4" item="34"/>
          <tpl hier="9" item="4"/>
          <tpl hier="11" item="6"/>
          <tpl hier="12" item="5"/>
          <tpl fld="1" item="0"/>
        </tpls>
      </n>
      <n v="8158257664">
        <tpls c="8">
          <tpl hier="2" item="0"/>
          <tpl hier="4" item="1"/>
          <tpl fld="2" item="37"/>
          <tpl fld="4" item="33"/>
          <tpl hier="9" item="4"/>
          <tpl hier="11" item="6"/>
          <tpl hier="12" item="5"/>
          <tpl fld="1" item="0"/>
        </tpls>
      </n>
      <n v="1986437888">
        <tpls c="8">
          <tpl hier="2" item="0"/>
          <tpl hier="4" item="1"/>
          <tpl fld="2" item="21"/>
          <tpl fld="4" item="33"/>
          <tpl hier="9" item="4"/>
          <tpl hier="11" item="6"/>
          <tpl hier="12" item="5"/>
          <tpl fld="1" item="0"/>
        </tpls>
      </n>
      <n v="676870144">
        <tpls c="8">
          <tpl hier="2" item="0"/>
          <tpl hier="4" item="1"/>
          <tpl fld="2" item="5"/>
          <tpl fld="4" item="33"/>
          <tpl hier="9" item="4"/>
          <tpl hier="11" item="6"/>
          <tpl hier="12" item="5"/>
          <tpl fld="1" item="0"/>
        </tpls>
      </n>
      <n v="1377200000">
        <tpls c="8">
          <tpl hier="2" item="0"/>
          <tpl hier="4" item="1"/>
          <tpl fld="2" item="40"/>
          <tpl fld="4" item="32"/>
          <tpl hier="9" item="4"/>
          <tpl hier="11" item="6"/>
          <tpl hier="12" item="5"/>
          <tpl fld="1" item="0"/>
        </tpls>
      </n>
      <n v="580863680">
        <tpls c="8">
          <tpl hier="2" item="0"/>
          <tpl hier="4" item="1"/>
          <tpl fld="2" item="24"/>
          <tpl fld="4" item="32"/>
          <tpl hier="9" item="4"/>
          <tpl hier="11" item="6"/>
          <tpl hier="12" item="5"/>
          <tpl fld="1" item="0"/>
        </tpls>
      </n>
      <n v="136300000">
        <tpls c="8">
          <tpl hier="2" item="0"/>
          <tpl hier="4" item="1"/>
          <tpl fld="2" item="8"/>
          <tpl fld="4" item="32"/>
          <tpl hier="9" item="4"/>
          <tpl hier="11" item="6"/>
          <tpl hier="12" item="5"/>
          <tpl fld="1" item="0"/>
        </tpls>
      </n>
      <n v="149990457344">
        <tpls c="8">
          <tpl hier="2" item="0"/>
          <tpl hier="4" item="1"/>
          <tpl fld="2" item="43"/>
          <tpl fld="4" item="31"/>
          <tpl hier="9" item="4"/>
          <tpl hier="11" item="6"/>
          <tpl hier="12" item="5"/>
          <tpl fld="1" item="0"/>
        </tpls>
      </n>
      <n v="48244310016">
        <tpls c="8">
          <tpl hier="2" item="0"/>
          <tpl hier="4" item="1"/>
          <tpl fld="2" item="27"/>
          <tpl fld="4" item="31"/>
          <tpl hier="9" item="4"/>
          <tpl hier="11" item="6"/>
          <tpl hier="12" item="5"/>
          <tpl fld="1" item="0"/>
        </tpls>
      </n>
      <n v="20249694208">
        <tpls c="8">
          <tpl hier="2" item="0"/>
          <tpl hier="4" item="1"/>
          <tpl fld="2" item="11"/>
          <tpl fld="4" item="31"/>
          <tpl hier="9" item="4"/>
          <tpl hier="11" item="6"/>
          <tpl hier="12" item="5"/>
          <tpl fld="1" item="0"/>
        </tpls>
      </n>
      <n v="11938400256">
        <tpls c="8">
          <tpl hier="2" item="0"/>
          <tpl hier="4" item="1"/>
          <tpl fld="2" item="46"/>
          <tpl fld="4" item="30"/>
          <tpl hier="9" item="4"/>
          <tpl hier="11" item="6"/>
          <tpl hier="12" item="5"/>
          <tpl fld="1" item="0"/>
        </tpls>
      </n>
      <n v="8076469760">
        <tpls c="8">
          <tpl hier="2" item="0"/>
          <tpl hier="4" item="1"/>
          <tpl fld="2" item="30"/>
          <tpl fld="4" item="30"/>
          <tpl hier="9" item="4"/>
          <tpl hier="11" item="6"/>
          <tpl hier="12" item="5"/>
          <tpl fld="1" item="0"/>
        </tpls>
      </n>
      <n v="2041100032">
        <tpls c="8">
          <tpl hier="2" item="0"/>
          <tpl hier="4" item="1"/>
          <tpl fld="2" item="14"/>
          <tpl fld="4" item="30"/>
          <tpl hier="9" item="4"/>
          <tpl hier="11" item="6"/>
          <tpl hier="12" item="5"/>
          <tpl fld="1" item="0"/>
        </tpls>
      </n>
      <n v="449663434752">
        <tpls c="8">
          <tpl hier="2" item="0"/>
          <tpl hier="4" item="1"/>
          <tpl fld="2" item="49"/>
          <tpl fld="4" item="29"/>
          <tpl hier="9" item="4"/>
          <tpl hier="11" item="6"/>
          <tpl hier="12" item="5"/>
          <tpl fld="1" item="0"/>
        </tpls>
      </n>
      <n v="127586975744">
        <tpls c="8">
          <tpl hier="2" item="0"/>
          <tpl hier="4" item="1"/>
          <tpl fld="2" item="33"/>
          <tpl fld="4" item="29"/>
          <tpl hier="9" item="4"/>
          <tpl hier="11" item="6"/>
          <tpl hier="12" item="5"/>
          <tpl fld="1" item="0"/>
        </tpls>
      </n>
      <n v="111106187264">
        <tpls c="8">
          <tpl hier="2" item="0"/>
          <tpl hier="4" item="1"/>
          <tpl fld="2" item="17"/>
          <tpl fld="4" item="29"/>
          <tpl hier="9" item="4"/>
          <tpl hier="11" item="6"/>
          <tpl hier="12" item="5"/>
          <tpl fld="1" item="0"/>
        </tpls>
      </n>
      <n v="33293199360">
        <tpls c="8">
          <tpl hier="2" item="0"/>
          <tpl hier="4" item="1"/>
          <tpl fld="2" item="1"/>
          <tpl fld="4" item="29"/>
          <tpl hier="9" item="4"/>
          <tpl hier="11" item="6"/>
          <tpl hier="12" item="5"/>
          <tpl fld="1" item="0"/>
        </tpls>
      </n>
      <n v="117025431552">
        <tpls c="8">
          <tpl hier="2" item="0"/>
          <tpl hier="4" item="1"/>
          <tpl fld="2" item="36"/>
          <tpl fld="4" item="28"/>
          <tpl hier="9" item="4"/>
          <tpl hier="11" item="6"/>
          <tpl hier="12" item="5"/>
          <tpl fld="1" item="0"/>
        </tpls>
      </n>
      <n v="62045097984">
        <tpls c="8">
          <tpl hier="2" item="0"/>
          <tpl hier="4" item="1"/>
          <tpl fld="2" item="20"/>
          <tpl fld="4" item="28"/>
          <tpl hier="9" item="4"/>
          <tpl hier="11" item="6"/>
          <tpl hier="12" item="5"/>
          <tpl fld="1" item="0"/>
        </tpls>
      </n>
      <n v="13209713664">
        <tpls c="8">
          <tpl hier="2" item="0"/>
          <tpl hier="4" item="1"/>
          <tpl fld="2" item="4"/>
          <tpl fld="4" item="28"/>
          <tpl hier="9" item="4"/>
          <tpl hier="11" item="6"/>
          <tpl hier="12" item="5"/>
          <tpl fld="1" item="0"/>
        </tpls>
      </n>
      <n v="14448932683776">
        <tpls c="8">
          <tpl hier="2" item="0"/>
          <tpl hier="4" item="1"/>
          <tpl fld="2" item="39"/>
          <tpl fld="4" item="27"/>
          <tpl hier="9" item="4"/>
          <tpl hier="11" item="6"/>
          <tpl hier="12" item="5"/>
          <tpl fld="1" item="0"/>
        </tpls>
      </n>
      <n v="6858558930944">
        <tpls c="8">
          <tpl hier="2" item="0"/>
          <tpl hier="4" item="1"/>
          <tpl fld="2" item="23"/>
          <tpl fld="4" item="27"/>
          <tpl hier="9" item="4"/>
          <tpl hier="11" item="6"/>
          <tpl hier="12" item="5"/>
          <tpl fld="1" item="0"/>
        </tpls>
      </n>
      <n v="2081826013184">
        <tpls c="8">
          <tpl hier="2" item="0"/>
          <tpl hier="4" item="1"/>
          <tpl fld="2" item="7"/>
          <tpl fld="4" item="27"/>
          <tpl hier="9" item="4"/>
          <tpl hier="11" item="6"/>
          <tpl hier="12" item="5"/>
          <tpl fld="1" item="0"/>
        </tpls>
      </n>
      <n v="2704887775232">
        <tpls c="8">
          <tpl hier="2" item="0"/>
          <tpl hier="4" item="1"/>
          <tpl fld="2" item="42"/>
          <tpl fld="4" item="26"/>
          <tpl hier="9" item="4"/>
          <tpl hier="11" item="6"/>
          <tpl hier="12" item="5"/>
          <tpl fld="1" item="0"/>
        </tpls>
      </n>
      <n v="1415358840832">
        <tpls c="8">
          <tpl hier="2" item="0"/>
          <tpl hier="4" item="1"/>
          <tpl fld="2" item="26"/>
          <tpl fld="4" item="26"/>
          <tpl hier="9" item="4"/>
          <tpl hier="11" item="6"/>
          <tpl hier="12" item="5"/>
          <tpl fld="1" item="0"/>
        </tpls>
      </n>
      <n v="564947714048">
        <tpls c="8">
          <tpl hier="2" item="0"/>
          <tpl hier="4" item="1"/>
          <tpl fld="2" item="10"/>
          <tpl fld="4" item="26"/>
          <tpl hier="9" item="4"/>
          <tpl hier="11" item="6"/>
          <tpl hier="12" item="5"/>
          <tpl fld="1" item="0"/>
        </tpls>
      </n>
      <n v="679832322048">
        <tpls c="8">
          <tpl hier="2" item="0"/>
          <tpl hier="4" item="1"/>
          <tpl fld="2" item="45"/>
          <tpl fld="4" item="25"/>
          <tpl hier="9" item="4"/>
          <tpl hier="11" item="6"/>
          <tpl hier="12" item="5"/>
          <tpl fld="1" item="0"/>
        </tpls>
      </n>
      <n v="289912487936">
        <tpls c="8">
          <tpl hier="2" item="0"/>
          <tpl hier="4" item="1"/>
          <tpl fld="2" item="29"/>
          <tpl fld="4" item="25"/>
          <tpl hier="9" item="4"/>
          <tpl hier="11" item="6"/>
          <tpl hier="12" item="5"/>
          <tpl fld="1" item="0"/>
        </tpls>
      </n>
      <n v="111314329600">
        <tpls c="8">
          <tpl hier="2" item="0"/>
          <tpl hier="4" item="1"/>
          <tpl fld="2" item="13"/>
          <tpl fld="4" item="25"/>
          <tpl hier="9" item="4"/>
          <tpl hier="11" item="6"/>
          <tpl hier="12" item="5"/>
          <tpl fld="1" item="0"/>
        </tpls>
      </n>
      <n v="555455348736">
        <tpls c="8">
          <tpl hier="2" item="0"/>
          <tpl hier="4" item="1"/>
          <tpl fld="2" item="48"/>
          <tpl fld="4" item="24"/>
          <tpl hier="9" item="4"/>
          <tpl hier="11" item="6"/>
          <tpl hier="12" item="5"/>
          <tpl fld="1" item="0"/>
        </tpls>
      </n>
      <n v="266849058816">
        <tpls c="8">
          <tpl hier="2" item="0"/>
          <tpl hier="4" item="1"/>
          <tpl fld="2" item="32"/>
          <tpl fld="4" item="24"/>
          <tpl hier="9" item="4"/>
          <tpl hier="11" item="6"/>
          <tpl hier="12" item="5"/>
          <tpl fld="1" item="0"/>
        </tpls>
      </n>
      <n v="150498050048">
        <tpls c="8">
          <tpl hier="2" item="0"/>
          <tpl hier="4" item="1"/>
          <tpl fld="2" item="16"/>
          <tpl fld="4" item="24"/>
          <tpl hier="9" item="4"/>
          <tpl hier="11" item="6"/>
          <tpl hier="12" item="5"/>
          <tpl fld="1" item="0"/>
        </tpls>
      </n>
      <n v="38092451840">
        <tpls c="8">
          <tpl hier="2" item="0"/>
          <tpl hier="4" item="1"/>
          <tpl fld="2" item="0"/>
          <tpl fld="4" item="24"/>
          <tpl hier="9" item="4"/>
          <tpl hier="11" item="6"/>
          <tpl hier="12" item="5"/>
          <tpl fld="1" item="0"/>
        </tpls>
      </n>
      <n v="1153285619712">
        <tpls c="8">
          <tpl hier="2" item="0"/>
          <tpl hier="4" item="1"/>
          <tpl fld="2" item="35"/>
          <tpl fld="4" item="23"/>
          <tpl hier="9" item="4"/>
          <tpl hier="11" item="6"/>
          <tpl hier="12" item="5"/>
          <tpl fld="1" item="0"/>
        </tpls>
      </n>
      <n v="414757060608">
        <tpls c="8">
          <tpl hier="2" item="0"/>
          <tpl hier="4" item="1"/>
          <tpl fld="2" item="19"/>
          <tpl fld="4" item="23"/>
          <tpl hier="9" item="4"/>
          <tpl hier="11" item="6"/>
          <tpl hier="12" item="5"/>
          <tpl fld="1" item="0"/>
        </tpls>
      </n>
      <n v="78639529984">
        <tpls c="8">
          <tpl hier="2" item="0"/>
          <tpl hier="4" item="1"/>
          <tpl fld="2" item="3"/>
          <tpl fld="4" item="23"/>
          <tpl hier="9" item="4"/>
          <tpl hier="11" item="6"/>
          <tpl hier="12" item="5"/>
          <tpl fld="1" item="0"/>
        </tpls>
      </n>
      <n v="1047339008000">
        <tpls c="8">
          <tpl hier="2" item="0"/>
          <tpl hier="4" item="1"/>
          <tpl fld="2" item="38"/>
          <tpl fld="4" item="22"/>
          <tpl hier="9" item="4"/>
          <tpl hier="11" item="6"/>
          <tpl hier="12" item="5"/>
          <tpl fld="1" item="0"/>
        </tpls>
      </n>
      <n v="355525263360">
        <tpls c="8">
          <tpl hier="2" item="0"/>
          <tpl hier="4" item="1"/>
          <tpl fld="2" item="22"/>
          <tpl fld="4" item="22"/>
          <tpl hier="9" item="4"/>
          <tpl hier="11" item="6"/>
          <tpl hier="12" item="5"/>
          <tpl fld="1" item="0"/>
        </tpls>
      </n>
      <n v="29902479360">
        <tpls c="8">
          <tpl hier="2" item="0"/>
          <tpl hier="4" item="1"/>
          <tpl fld="2" item="6"/>
          <tpl fld="4" item="22"/>
          <tpl hier="9" item="4"/>
          <tpl hier="11" item="6"/>
          <tpl hier="12" item="5"/>
          <tpl fld="1" item="0"/>
        </tpls>
      </n>
      <n v="279351164928">
        <tpls c="8">
          <tpl hier="2" item="0"/>
          <tpl hier="4" item="1"/>
          <tpl fld="2" item="41"/>
          <tpl fld="4" item="21"/>
          <tpl hier="9" item="4"/>
          <tpl hier="11" item="6"/>
          <tpl hier="12" item="5"/>
          <tpl fld="1" item="0"/>
        </tpls>
      </n>
      <n v="87810990080">
        <tpls c="8">
          <tpl hier="2" item="0"/>
          <tpl hier="4" item="1"/>
          <tpl fld="2" item="25"/>
          <tpl fld="4" item="21"/>
          <tpl hier="9" item="4"/>
          <tpl hier="11" item="6"/>
          <tpl hier="12" item="5"/>
          <tpl fld="1" item="0"/>
        </tpls>
      </n>
      <n v="9296921600">
        <tpls c="8">
          <tpl hier="2" item="0"/>
          <tpl hier="4" item="1"/>
          <tpl fld="2" item="9"/>
          <tpl fld="4" item="21"/>
          <tpl hier="9" item="4"/>
          <tpl hier="11" item="6"/>
          <tpl hier="12" item="5"/>
          <tpl fld="1" item="0"/>
        </tpls>
      </n>
      <n v="229596168192">
        <tpls c="8">
          <tpl hier="2" item="0"/>
          <tpl hier="4" item="1"/>
          <tpl fld="2" item="44"/>
          <tpl fld="4" item="20"/>
          <tpl hier="9" item="4"/>
          <tpl hier="11" item="6"/>
          <tpl hier="12" item="5"/>
          <tpl fld="1" item="0"/>
        </tpls>
      </n>
      <n v="123946328064">
        <tpls c="8">
          <tpl hier="2" item="0"/>
          <tpl hier="4" item="1"/>
          <tpl fld="2" item="28"/>
          <tpl fld="4" item="20"/>
          <tpl hier="9" item="4"/>
          <tpl hier="11" item="6"/>
          <tpl hier="12" item="5"/>
          <tpl fld="1" item="0"/>
        </tpls>
      </n>
      <n v="30527754240">
        <tpls c="8">
          <tpl hier="2" item="0"/>
          <tpl hier="4" item="1"/>
          <tpl fld="2" item="12"/>
          <tpl fld="4" item="20"/>
          <tpl hier="9" item="4"/>
          <tpl hier="11" item="6"/>
          <tpl hier="12" item="5"/>
          <tpl fld="1" item="0"/>
        </tpls>
      </n>
      <n v="398393966592">
        <tpls c="8">
          <tpl hier="2" item="0"/>
          <tpl hier="4" item="1"/>
          <tpl fld="2" item="47"/>
          <tpl fld="4" item="19"/>
          <tpl hier="9" item="4"/>
          <tpl hier="11" item="6"/>
          <tpl hier="12" item="5"/>
          <tpl fld="1" item="0"/>
        </tpls>
      </n>
      <n v="173972226048">
        <tpls c="8">
          <tpl hier="2" item="0"/>
          <tpl hier="4" item="1"/>
          <tpl fld="2" item="31"/>
          <tpl fld="4" item="19"/>
          <tpl hier="9" item="4"/>
          <tpl hier="11" item="6"/>
          <tpl hier="12" item="5"/>
          <tpl fld="1" item="0"/>
        </tpls>
      </n>
      <n v="65416880128">
        <tpls c="8">
          <tpl hier="2" item="0"/>
          <tpl hier="4" item="1"/>
          <tpl fld="2" item="15"/>
          <tpl fld="4" item="19"/>
          <tpl hier="9" item="4"/>
          <tpl hier="11" item="6"/>
          <tpl hier="12" item="5"/>
          <tpl fld="1" item="0"/>
        </tpls>
      </n>
      <n v="146683494400">
        <tpls c="8">
          <tpl hier="2" item="0"/>
          <tpl hier="4" item="1"/>
          <tpl fld="2" item="24"/>
          <tpl fld="4" item="95"/>
          <tpl hier="9" item="4"/>
          <tpl hier="11" item="6"/>
          <tpl hier="12" item="5"/>
          <tpl fld="1" item="0"/>
        </tpls>
      </n>
      <n v="15244232704">
        <tpls c="8">
          <tpl hier="2" item="0"/>
          <tpl hier="4" item="1"/>
          <tpl fld="2" item="16"/>
          <tpl fld="4" item="82"/>
          <tpl hier="9" item="4"/>
          <tpl hier="11" item="6"/>
          <tpl hier="12" item="5"/>
          <tpl fld="1" item="0"/>
        </tpls>
      </n>
      <n v="7049169920">
        <tpls c="8">
          <tpl hier="2" item="0"/>
          <tpl hier="4" item="1"/>
          <tpl fld="2" item="48"/>
          <tpl fld="4" item="70"/>
          <tpl hier="9" item="4"/>
          <tpl hier="11" item="6"/>
          <tpl hier="12" item="5"/>
          <tpl fld="1" item="0"/>
        </tpls>
      </n>
      <n v="16095337472">
        <tpls c="8">
          <tpl hier="2" item="0"/>
          <tpl hier="4" item="1"/>
          <tpl fld="2" item="34"/>
          <tpl fld="4" item="63"/>
          <tpl hier="9" item="4"/>
          <tpl hier="11" item="6"/>
          <tpl hier="12" item="5"/>
          <tpl fld="1" item="0"/>
        </tpls>
      </n>
      <n v="2107279104">
        <tpls c="8">
          <tpl hier="2" item="0"/>
          <tpl hier="4" item="1"/>
          <tpl fld="2" item="2"/>
          <tpl fld="4" item="63"/>
          <tpl hier="9" item="4"/>
          <tpl hier="11" item="6"/>
          <tpl hier="12" item="5"/>
          <tpl fld="1" item="0"/>
        </tpls>
      </n>
      <n v="6538840064">
        <tpls c="8">
          <tpl hier="2" item="0"/>
          <tpl hier="4" item="1"/>
          <tpl fld="2" item="25"/>
          <tpl fld="4" item="62"/>
          <tpl hier="9" item="4"/>
          <tpl hier="11" item="6"/>
          <tpl hier="12" item="5"/>
          <tpl fld="1" item="0"/>
        </tpls>
      </n>
      <n v="174878982144">
        <tpls c="8">
          <tpl hier="2" item="0"/>
          <tpl hier="4" item="1"/>
          <tpl fld="2" item="46"/>
          <tpl fld="4" item="61"/>
          <tpl hier="9" item="4"/>
          <tpl hier="11" item="6"/>
          <tpl hier="12" item="5"/>
          <tpl fld="1" item="0"/>
        </tpls>
      </n>
      <n v="179885817856">
        <tpls c="8">
          <tpl hier="2" item="0"/>
          <tpl hier="4" item="1"/>
          <tpl fld="2" item="20"/>
          <tpl fld="4" item="61"/>
          <tpl hier="9" item="4"/>
          <tpl hier="11" item="6"/>
          <tpl hier="12" item="5"/>
          <tpl fld="1" item="0"/>
        </tpls>
      </n>
      <n v="1823050432512">
        <tpls c="8">
          <tpl hier="2" item="0"/>
          <tpl hier="4" item="1"/>
          <tpl fld="2" item="41"/>
          <tpl fld="4" item="60"/>
          <tpl hier="9" item="4"/>
          <tpl hier="11" item="6"/>
          <tpl hier="12" item="5"/>
          <tpl fld="1" item="0"/>
        </tpls>
      </n>
      <n v="212158234624">
        <tpls c="8">
          <tpl hier="2" item="0"/>
          <tpl hier="4" item="1"/>
          <tpl fld="2" item="14"/>
          <tpl fld="4" item="60"/>
          <tpl hier="9" item="4"/>
          <tpl hier="11" item="6"/>
          <tpl hier="12" item="5"/>
          <tpl fld="1" item="0"/>
        </tpls>
      </n>
      <n v="17710315520">
        <tpls c="8">
          <tpl hier="2" item="0"/>
          <tpl hier="4" item="1"/>
          <tpl fld="2" item="41"/>
          <tpl fld="4" item="59"/>
          <tpl hier="9" item="4"/>
          <tpl hier="11" item="6"/>
          <tpl hier="12" item="5"/>
          <tpl fld="1" item="0"/>
        </tpls>
      </n>
      <n v="6190521344">
        <tpls c="8">
          <tpl hier="2" item="0"/>
          <tpl hier="4" item="1"/>
          <tpl fld="2" item="17"/>
          <tpl fld="4" item="59"/>
          <tpl hier="9" item="4"/>
          <tpl hier="11" item="6"/>
          <tpl hier="12" item="5"/>
          <tpl fld="1" item="0"/>
        </tpls>
      </n>
      <n v="8724656128">
        <tpls c="8">
          <tpl hier="2" item="0"/>
          <tpl hier="4" item="1"/>
          <tpl fld="2" item="45"/>
          <tpl fld="4" item="58"/>
          <tpl hier="9" item="4"/>
          <tpl hier="11" item="6"/>
          <tpl hier="12" item="5"/>
          <tpl fld="1" item="0"/>
        </tpls>
      </n>
      <n v="3473540608">
        <tpls c="8">
          <tpl hier="2" item="0"/>
          <tpl hier="4" item="1"/>
          <tpl fld="2" item="21"/>
          <tpl fld="4" item="58"/>
          <tpl hier="9" item="4"/>
          <tpl hier="11" item="6"/>
          <tpl hier="12" item="5"/>
          <tpl fld="1" item="0"/>
        </tpls>
      </n>
      <n v="4280443648">
        <tpls c="8">
          <tpl hier="2" item="0"/>
          <tpl hier="4" item="1"/>
          <tpl fld="2" item="49"/>
          <tpl fld="4" item="57"/>
          <tpl hier="9" item="4"/>
          <tpl hier="11" item="6"/>
          <tpl hier="12" item="5"/>
          <tpl fld="1" item="0"/>
        </tpls>
      </n>
      <n v="621626816">
        <tpls c="8">
          <tpl hier="2" item="0"/>
          <tpl hier="4" item="1"/>
          <tpl fld="2" item="25"/>
          <tpl fld="4" item="57"/>
          <tpl hier="9" item="4"/>
          <tpl hier="11" item="6"/>
          <tpl hier="12" item="5"/>
          <tpl fld="1" item="0"/>
        </tpls>
      </n>
      <n v="285380960">
        <tpls c="8">
          <tpl hier="2" item="0"/>
          <tpl hier="4" item="1"/>
          <tpl fld="2" item="2"/>
          <tpl fld="4" item="57"/>
          <tpl hier="9" item="4"/>
          <tpl hier="11" item="6"/>
          <tpl hier="12" item="5"/>
          <tpl fld="1" item="0"/>
        </tpls>
      </n>
      <n v="224446656">
        <tpls c="8">
          <tpl hier="2" item="0"/>
          <tpl hier="4" item="1"/>
          <tpl fld="2" item="29"/>
          <tpl fld="4" item="56"/>
          <tpl hier="9" item="4"/>
          <tpl hier="11" item="6"/>
          <tpl hier="12" item="5"/>
          <tpl fld="1" item="0"/>
        </tpls>
      </n>
      <n v="114971208">
        <tpls c="8">
          <tpl hier="2" item="0"/>
          <tpl hier="4" item="1"/>
          <tpl fld="2" item="7"/>
          <tpl fld="4" item="56"/>
          <tpl hier="9" item="4"/>
          <tpl hier="11" item="6"/>
          <tpl hier="12" item="5"/>
          <tpl fld="1" item="0"/>
        </tpls>
      </n>
      <n v="30231248896">
        <tpls c="8">
          <tpl hier="2" item="0"/>
          <tpl hier="4" item="1"/>
          <tpl fld="2" item="36"/>
          <tpl fld="4" item="55"/>
          <tpl hier="9" item="4"/>
          <tpl hier="11" item="6"/>
          <tpl hier="12" item="5"/>
          <tpl fld="1" item="0"/>
        </tpls>
      </n>
      <n v="8716999680">
        <tpls c="8">
          <tpl hier="2" item="0"/>
          <tpl hier="4" item="1"/>
          <tpl fld="2" item="12"/>
          <tpl fld="4" item="55"/>
          <tpl hier="9" item="4"/>
          <tpl hier="11" item="6"/>
          <tpl hier="12" item="5"/>
          <tpl fld="1" item="0"/>
        </tpls>
      </n>
      <n v="32197273600">
        <tpls c="8">
          <tpl hier="2" item="0"/>
          <tpl hier="4" item="1"/>
          <tpl fld="2" item="40"/>
          <tpl fld="4" item="54"/>
          <tpl hier="9" item="4"/>
          <tpl hier="11" item="6"/>
          <tpl hier="12" item="5"/>
          <tpl fld="1" item="0"/>
        </tpls>
      </n>
      <n v="5727602688">
        <tpls c="8">
          <tpl hier="2" item="0"/>
          <tpl hier="4" item="1"/>
          <tpl fld="2" item="16"/>
          <tpl fld="4" item="54"/>
          <tpl hier="9" item="4"/>
          <tpl hier="11" item="6"/>
          <tpl hier="12" item="5"/>
          <tpl fld="1" item="0"/>
        </tpls>
      </n>
      <n v="1229460608">
        <tpls c="8">
          <tpl hier="2" item="0"/>
          <tpl hier="4" item="1"/>
          <tpl fld="2" item="44"/>
          <tpl fld="4" item="53"/>
          <tpl hier="9" item="4"/>
          <tpl hier="11" item="6"/>
          <tpl hier="12" item="5"/>
          <tpl fld="1" item="0"/>
        </tpls>
      </n>
      <n v="690314304">
        <tpls c="8">
          <tpl hier="2" item="0"/>
          <tpl hier="4" item="1"/>
          <tpl fld="2" item="21"/>
          <tpl fld="4" item="53"/>
          <tpl hier="9" item="4"/>
          <tpl hier="11" item="6"/>
          <tpl hier="12" item="5"/>
          <tpl fld="1" item="0"/>
        </tpls>
      </n>
      <n v="59161544">
        <tpls c="8">
          <tpl hier="2" item="0"/>
          <tpl hier="4" item="1"/>
          <tpl fld="2" item="2"/>
          <tpl fld="4" item="53"/>
          <tpl hier="9" item="4"/>
          <tpl hier="11" item="6"/>
          <tpl hier="12" item="5"/>
          <tpl fld="1" item="0"/>
        </tpls>
      </n>
      <n v="6497305600">
        <tpls c="8">
          <tpl hier="2" item="0"/>
          <tpl hier="4" item="1"/>
          <tpl fld="2" item="33"/>
          <tpl fld="4" item="52"/>
          <tpl hier="9" item="4"/>
          <tpl hier="11" item="6"/>
          <tpl hier="12" item="5"/>
          <tpl fld="1" item="0"/>
        </tpls>
      </n>
      <n v="3561451520">
        <tpls c="8">
          <tpl hier="2" item="0"/>
          <tpl hier="4" item="1"/>
          <tpl fld="2" item="14"/>
          <tpl fld="4" item="52"/>
          <tpl hier="9" item="4"/>
          <tpl hier="11" item="6"/>
          <tpl hier="12" item="5"/>
          <tpl fld="1" item="0"/>
        </tpls>
      </n>
      <n v="4856963072">
        <tpls c="8">
          <tpl hier="2" item="0"/>
          <tpl hier="4" item="1"/>
          <tpl fld="2" item="44"/>
          <tpl fld="4" item="51"/>
          <tpl hier="9" item="4"/>
          <tpl hier="11" item="6"/>
          <tpl hier="12" item="5"/>
          <tpl fld="1" item="0"/>
        </tpls>
      </n>
      <n v="1970347776">
        <tpls c="8">
          <tpl hier="2" item="0"/>
          <tpl hier="4" item="1"/>
          <tpl fld="2" item="25"/>
          <tpl fld="4" item="51"/>
          <tpl hier="9" item="4"/>
          <tpl hier="11" item="6"/>
          <tpl hier="12" item="5"/>
          <tpl fld="1" item="0"/>
        </tpls>
      </n>
      <n v="684268288">
        <tpls c="8">
          <tpl hier="2" item="0"/>
          <tpl hier="4" item="1"/>
          <tpl fld="2" item="5"/>
          <tpl fld="4" item="51"/>
          <tpl hier="9" item="4"/>
          <tpl hier="11" item="6"/>
          <tpl hier="12" item="5"/>
          <tpl fld="1" item="0"/>
        </tpls>
      </n>
      <n v="17011750912">
        <tpls c="8">
          <tpl hier="2" item="0"/>
          <tpl hier="4" item="1"/>
          <tpl fld="2" item="37"/>
          <tpl fld="4" item="50"/>
          <tpl hier="9" item="4"/>
          <tpl hier="11" item="6"/>
          <tpl hier="12" item="5"/>
          <tpl fld="1" item="0"/>
        </tpls>
      </n>
      <n v="3771663104">
        <tpls c="8">
          <tpl hier="2" item="0"/>
          <tpl hier="4" item="1"/>
          <tpl fld="2" item="16"/>
          <tpl fld="4" item="50"/>
          <tpl hier="9" item="4"/>
          <tpl hier="11" item="6"/>
          <tpl hier="12" item="5"/>
          <tpl fld="1" item="0"/>
        </tpls>
      </n>
      <n v="107562008576">
        <tpls c="8">
          <tpl hier="2" item="0"/>
          <tpl hier="4" item="1"/>
          <tpl fld="2" item="48"/>
          <tpl fld="4" item="49"/>
          <tpl hier="9" item="4"/>
          <tpl hier="11" item="6"/>
          <tpl hier="12" item="5"/>
          <tpl fld="1" item="0"/>
        </tpls>
      </n>
      <n v="27981897728">
        <tpls c="8">
          <tpl hier="2" item="0"/>
          <tpl hier="4" item="1"/>
          <tpl fld="2" item="28"/>
          <tpl fld="4" item="49"/>
          <tpl hier="9" item="4"/>
          <tpl hier="11" item="6"/>
          <tpl hier="12" item="5"/>
          <tpl fld="1" item="0"/>
        </tpls>
      </n>
      <n v="14175166464">
        <tpls c="8">
          <tpl hier="2" item="0"/>
          <tpl hier="4" item="1"/>
          <tpl fld="2" item="9"/>
          <tpl fld="4" item="49"/>
          <tpl hier="9" item="4"/>
          <tpl hier="11" item="6"/>
          <tpl hier="12" item="5"/>
          <tpl fld="1" item="0"/>
        </tpls>
      </n>
      <n v="58029752320">
        <tpls c="8">
          <tpl hier="2" item="0"/>
          <tpl hier="4" item="1"/>
          <tpl fld="2" item="41"/>
          <tpl fld="4" item="48"/>
          <tpl hier="9" item="4"/>
          <tpl hier="11" item="6"/>
          <tpl hier="12" item="5"/>
          <tpl fld="1" item="0"/>
        </tpls>
      </n>
      <n v="7073675776">
        <tpls c="8">
          <tpl hier="2" item="0"/>
          <tpl hier="4" item="1"/>
          <tpl fld="2" item="20"/>
          <tpl fld="4" item="48"/>
          <tpl hier="9" item="4"/>
          <tpl hier="11" item="6"/>
          <tpl hier="12" item="5"/>
          <tpl fld="1" item="0"/>
        </tpls>
      </n>
      <n v="1666499968">
        <tpls c="8">
          <tpl hier="2" item="0"/>
          <tpl hier="4" item="1"/>
          <tpl fld="2" item="1"/>
          <tpl fld="4" item="48"/>
          <tpl hier="9" item="4"/>
          <tpl hier="11" item="6"/>
          <tpl hier="12" item="5"/>
          <tpl fld="1" item="0"/>
        </tpls>
      </n>
      <n v="12346918912">
        <tpls c="8">
          <tpl hier="2" item="0"/>
          <tpl hier="4" item="1"/>
          <tpl fld="2" item="32"/>
          <tpl fld="4" item="47"/>
          <tpl hier="9" item="4"/>
          <tpl hier="11" item="6"/>
          <tpl hier="12" item="5"/>
          <tpl fld="1" item="0"/>
        </tpls>
      </n>
      <n v="6838185472">
        <tpls c="8">
          <tpl hier="2" item="0"/>
          <tpl hier="4" item="1"/>
          <tpl fld="2" item="13"/>
          <tpl fld="4" item="47"/>
          <tpl hier="9" item="4"/>
          <tpl hier="11" item="6"/>
          <tpl hier="12" item="5"/>
          <tpl fld="1" item="0"/>
        </tpls>
      </n>
      <n v="49745088512">
        <tpls c="8">
          <tpl hier="2" item="0"/>
          <tpl hier="4" item="1"/>
          <tpl fld="2" item="43"/>
          <tpl fld="4" item="46"/>
          <tpl hier="9" item="4"/>
          <tpl hier="11" item="6"/>
          <tpl hier="12" item="5"/>
          <tpl fld="1" item="0"/>
        </tpls>
      </n>
      <n v="10432619520">
        <tpls c="8">
          <tpl hier="2" item="0"/>
          <tpl hier="4" item="1"/>
          <tpl fld="2" item="24"/>
          <tpl fld="4" item="46"/>
          <tpl hier="9" item="4"/>
          <tpl hier="11" item="6"/>
          <tpl hier="12" item="5"/>
          <tpl fld="1" item="0"/>
        </tpls>
      </n>
      <n v="1666544768">
        <tpls c="8">
          <tpl hier="2" item="0"/>
          <tpl hier="4" item="1"/>
          <tpl fld="2" item="4"/>
          <tpl fld="4" item="46"/>
          <tpl hier="9" item="4"/>
          <tpl hier="11" item="6"/>
          <tpl hier="12" item="5"/>
          <tpl fld="1" item="0"/>
        </tpls>
      </n>
      <n v="7731261440">
        <tpls c="8">
          <tpl hier="2" item="0"/>
          <tpl hier="4" item="1"/>
          <tpl fld="2" item="36"/>
          <tpl fld="4" item="45"/>
          <tpl hier="9" item="4"/>
          <tpl hier="11" item="6"/>
          <tpl hier="12" item="5"/>
          <tpl fld="1" item="0"/>
        </tpls>
      </n>
      <n v="2160872448">
        <tpls c="8">
          <tpl hier="2" item="0"/>
          <tpl hier="4" item="1"/>
          <tpl fld="2" item="15"/>
          <tpl fld="4" item="45"/>
          <tpl hier="9" item="4"/>
          <tpl hier="11" item="6"/>
          <tpl hier="12" item="5"/>
          <tpl fld="1" item="0"/>
        </tpls>
      </n>
      <n v="38019264512">
        <tpls c="8">
          <tpl hier="2" item="0"/>
          <tpl hier="4" item="1"/>
          <tpl fld="2" item="47"/>
          <tpl fld="4" item="44"/>
          <tpl hier="9" item="4"/>
          <tpl hier="11" item="6"/>
          <tpl hier="12" item="5"/>
          <tpl fld="1" item="0"/>
        </tpls>
      </n>
      <n v="6090840576">
        <tpls c="8">
          <tpl hier="2" item="0"/>
          <tpl hier="4" item="1"/>
          <tpl fld="2" item="27"/>
          <tpl fld="4" item="44"/>
          <tpl hier="9" item="4"/>
          <tpl hier="11" item="6"/>
          <tpl hier="12" item="5"/>
          <tpl fld="1" item="0"/>
        </tpls>
      </n>
      <n v="15372608512">
        <tpls c="8">
          <tpl hier="2" item="0"/>
          <tpl hier="4" item="1"/>
          <tpl fld="2" item="8"/>
          <tpl fld="4" item="44"/>
          <tpl hier="9" item="4"/>
          <tpl hier="11" item="6"/>
          <tpl hier="12" item="5"/>
          <tpl fld="1" item="0"/>
        </tpls>
      </n>
      <n v="286563106816">
        <tpls c="8">
          <tpl hier="2" item="0"/>
          <tpl hier="4" item="1"/>
          <tpl fld="2" item="40"/>
          <tpl fld="4" item="43"/>
          <tpl hier="9" item="4"/>
          <tpl hier="11" item="6"/>
          <tpl hier="12" item="5"/>
          <tpl fld="1" item="0"/>
        </tpls>
      </n>
      <n v="39540080640">
        <tpls c="8">
          <tpl hier="2" item="0"/>
          <tpl hier="4" item="1"/>
          <tpl fld="2" item="19"/>
          <tpl fld="4" item="43"/>
          <tpl hier="9" item="4"/>
          <tpl hier="11" item="6"/>
          <tpl hier="12" item="5"/>
          <tpl fld="1" item="0"/>
        </tpls>
      </n>
      <n v="7198360576">
        <tpls c="8">
          <tpl hier="2" item="0"/>
          <tpl hier="4" item="1"/>
          <tpl fld="2" item="0"/>
          <tpl fld="4" item="43"/>
          <tpl hier="9" item="4"/>
          <tpl hier="11" item="6"/>
          <tpl hier="12" item="5"/>
          <tpl fld="1" item="0"/>
        </tpls>
      </n>
      <n v="75643461632">
        <tpls c="8">
          <tpl hier="2" item="0"/>
          <tpl hier="4" item="1"/>
          <tpl fld="2" item="33"/>
          <tpl fld="4" item="42"/>
          <tpl hier="9" item="4"/>
          <tpl hier="11" item="6"/>
          <tpl hier="12" item="5"/>
          <tpl fld="1" item="0"/>
        </tpls>
      </n>
      <n v="17702885376">
        <tpls c="8">
          <tpl hier="2" item="0"/>
          <tpl hier="4" item="1"/>
          <tpl fld="2" item="15"/>
          <tpl fld="4" item="42"/>
          <tpl hier="9" item="4"/>
          <tpl hier="11" item="6"/>
          <tpl hier="12" item="5"/>
          <tpl fld="1" item="0"/>
        </tpls>
      </n>
      <n v="11314951168">
        <tpls c="8">
          <tpl hier="2" item="0"/>
          <tpl hier="4" item="1"/>
          <tpl fld="2" item="49"/>
          <tpl fld="4" item="41"/>
          <tpl hier="9" item="4"/>
          <tpl hier="11" item="6"/>
          <tpl hier="12" item="5"/>
          <tpl fld="1" item="0"/>
        </tpls>
      </n>
      <n v="1987622272">
        <tpls c="8">
          <tpl hier="2" item="0"/>
          <tpl hier="4" item="1"/>
          <tpl fld="2" item="32"/>
          <tpl fld="4" item="41"/>
          <tpl hier="9" item="4"/>
          <tpl hier="11" item="6"/>
          <tpl hier="12" item="5"/>
          <tpl fld="1" item="0"/>
        </tpls>
      </n>
      <n v="1033069696">
        <tpls c="8">
          <tpl hier="2" item="0"/>
          <tpl hier="4" item="1"/>
          <tpl fld="2" item="15"/>
          <tpl fld="4" item="41"/>
          <tpl hier="9" item="4"/>
          <tpl hier="11" item="6"/>
          <tpl hier="12" item="5"/>
          <tpl fld="1" item="0"/>
        </tpls>
      </n>
      <n v="2220307456">
        <tpls c="8">
          <tpl hier="2" item="0"/>
          <tpl hier="4" item="1"/>
          <tpl fld="2" item="49"/>
          <tpl fld="4" item="40"/>
          <tpl hier="9" item="4"/>
          <tpl hier="11" item="6"/>
          <tpl hier="12" item="5"/>
          <tpl fld="1" item="0"/>
        </tpls>
      </n>
      <n v="931833280">
        <tpls c="8">
          <tpl hier="2" item="0"/>
          <tpl hier="4" item="1"/>
          <tpl fld="2" item="31"/>
          <tpl fld="4" item="40"/>
          <tpl hier="9" item="4"/>
          <tpl hier="11" item="6"/>
          <tpl hier="12" item="5"/>
          <tpl fld="1" item="0"/>
        </tpls>
      </n>
      <n v="864849792">
        <tpls c="8">
          <tpl hier="2" item="0"/>
          <tpl hier="4" item="1"/>
          <tpl fld="2" item="15"/>
          <tpl fld="4" item="40"/>
          <tpl hier="9" item="4"/>
          <tpl hier="11" item="6"/>
          <tpl hier="12" item="5"/>
          <tpl fld="1" item="0"/>
        </tpls>
      </n>
      <n v="736865903360">
        <tpls c="8">
          <tpl hier="2" item="0"/>
          <tpl hier="4" item="1"/>
          <tpl hier="5" item="3"/>
          <tpl fld="4" item="39"/>
          <tpl hier="9" item="4"/>
          <tpl hier="11" item="6"/>
          <tpl hier="12" item="5"/>
          <tpl fld="1" item="0"/>
        </tpls>
      </n>
      <n v="17430933504">
        <tpls c="8">
          <tpl hier="2" item="0"/>
          <tpl hier="4" item="1"/>
          <tpl fld="2" item="34"/>
          <tpl fld="4" item="39"/>
          <tpl hier="9" item="4"/>
          <tpl hier="11" item="6"/>
          <tpl hier="12" item="5"/>
          <tpl fld="1" item="0"/>
        </tpls>
      </n>
      <n v="12493286400">
        <tpls c="8">
          <tpl hier="2" item="0"/>
          <tpl hier="4" item="1"/>
          <tpl fld="2" item="18"/>
          <tpl fld="4" item="39"/>
          <tpl hier="9" item="4"/>
          <tpl hier="11" item="6"/>
          <tpl hier="12" item="5"/>
          <tpl fld="1" item="0"/>
        </tpls>
      </n>
      <n v="1430951296">
        <tpls c="8">
          <tpl hier="2" item="0"/>
          <tpl hier="4" item="1"/>
          <tpl fld="2" item="2"/>
          <tpl fld="4" item="39"/>
          <tpl hier="9" item="4"/>
          <tpl hier="11" item="6"/>
          <tpl hier="12" item="5"/>
          <tpl fld="1" item="0"/>
        </tpls>
      </n>
      <n v="1356199424">
        <tpls c="8">
          <tpl hier="2" item="0"/>
          <tpl hier="4" item="1"/>
          <tpl fld="2" item="37"/>
          <tpl fld="4" item="38"/>
          <tpl hier="9" item="4"/>
          <tpl hier="11" item="6"/>
          <tpl hier="12" item="5"/>
          <tpl fld="1" item="0"/>
        </tpls>
      </n>
      <n v="1167398528">
        <tpls c="8">
          <tpl hier="2" item="0"/>
          <tpl hier="4" item="1"/>
          <tpl fld="2" item="21"/>
          <tpl fld="4" item="38"/>
          <tpl hier="9" item="4"/>
          <tpl hier="11" item="6"/>
          <tpl hier="12" item="5"/>
          <tpl fld="1" item="0"/>
        </tpls>
      </n>
      <n v="420986656">
        <tpls c="8">
          <tpl hier="2" item="0"/>
          <tpl hier="4" item="1"/>
          <tpl fld="2" item="5"/>
          <tpl fld="4" item="38"/>
          <tpl hier="9" item="4"/>
          <tpl hier="11" item="6"/>
          <tpl hier="12" item="5"/>
          <tpl fld="1" item="0"/>
        </tpls>
      </n>
      <n v="10109619200">
        <tpls c="8">
          <tpl hier="2" item="0"/>
          <tpl hier="4" item="1"/>
          <tpl fld="2" item="40"/>
          <tpl fld="4" item="37"/>
          <tpl hier="9" item="4"/>
          <tpl hier="11" item="6"/>
          <tpl hier="12" item="5"/>
          <tpl fld="1" item="0"/>
        </tpls>
      </n>
      <n v="1895291008">
        <tpls c="8">
          <tpl hier="2" item="0"/>
          <tpl hier="4" item="1"/>
          <tpl fld="2" item="24"/>
          <tpl fld="4" item="37"/>
          <tpl hier="9" item="4"/>
          <tpl hier="11" item="6"/>
          <tpl hier="12" item="5"/>
          <tpl fld="1" item="0"/>
        </tpls>
      </n>
      <n v="1475584000">
        <tpls c="8">
          <tpl hier="2" item="0"/>
          <tpl hier="4" item="1"/>
          <tpl fld="2" item="8"/>
          <tpl fld="4" item="37"/>
          <tpl hier="9" item="4"/>
          <tpl hier="11" item="6"/>
          <tpl hier="12" item="5"/>
          <tpl fld="1" item="0"/>
        </tpls>
      </n>
      <n v="2472806973440">
        <tpls c="8">
          <tpl hier="2" item="0"/>
          <tpl hier="4" item="1"/>
          <tpl fld="2" item="43"/>
          <tpl fld="4" item="36"/>
          <tpl hier="9" item="4"/>
          <tpl hier="11" item="6"/>
          <tpl hier="12" item="5"/>
          <tpl fld="1" item="0"/>
        </tpls>
      </n>
      <n v="883199639552">
        <tpls c="8">
          <tpl hier="2" item="0"/>
          <tpl hier="4" item="1"/>
          <tpl fld="2" item="27"/>
          <tpl fld="4" item="36"/>
          <tpl hier="9" item="4"/>
          <tpl hier="11" item="6"/>
          <tpl hier="12" item="5"/>
          <tpl fld="1" item="0"/>
        </tpls>
      </n>
      <n v="263561084928">
        <tpls c="8">
          <tpl hier="2" item="0"/>
          <tpl hier="4" item="1"/>
          <tpl fld="2" item="11"/>
          <tpl fld="4" item="36"/>
          <tpl hier="9" item="4"/>
          <tpl hier="11" item="6"/>
          <tpl hier="12" item="5"/>
          <tpl fld="1" item="0"/>
        </tpls>
      </n>
      <n v="15646316544">
        <tpls c="8">
          <tpl hier="2" item="0"/>
          <tpl hier="4" item="1"/>
          <tpl fld="2" item="46"/>
          <tpl fld="4" item="35"/>
          <tpl hier="9" item="4"/>
          <tpl hier="11" item="6"/>
          <tpl hier="12" item="5"/>
          <tpl fld="1" item="0"/>
        </tpls>
      </n>
      <n v="5788329472">
        <tpls c="8">
          <tpl hier="2" item="0"/>
          <tpl hier="4" item="1"/>
          <tpl fld="2" item="30"/>
          <tpl fld="4" item="35"/>
          <tpl hier="9" item="4"/>
          <tpl hier="11" item="6"/>
          <tpl hier="12" item="5"/>
          <tpl fld="1" item="0"/>
        </tpls>
      </n>
      <n v="1240796416">
        <tpls c="8">
          <tpl hier="2" item="0"/>
          <tpl hier="4" item="1"/>
          <tpl fld="2" item="14"/>
          <tpl fld="4" item="35"/>
          <tpl hier="9" item="4"/>
          <tpl hier="11" item="6"/>
          <tpl hier="12" item="5"/>
          <tpl fld="1" item="0"/>
        </tpls>
      </n>
      <n v="40895324160">
        <tpls c="8">
          <tpl hier="2" item="0"/>
          <tpl hier="4" item="1"/>
          <tpl fld="2" item="49"/>
          <tpl fld="4" item="34"/>
          <tpl hier="9" item="4"/>
          <tpl hier="11" item="6"/>
          <tpl hier="12" item="5"/>
          <tpl fld="1" item="0"/>
        </tpls>
      </n>
      <n v="8082364928">
        <tpls c="8">
          <tpl hier="2" item="0"/>
          <tpl hier="4" item="1"/>
          <tpl fld="2" item="33"/>
          <tpl fld="4" item="34"/>
          <tpl hier="9" item="4"/>
          <tpl hier="11" item="6"/>
          <tpl hier="12" item="5"/>
          <tpl fld="1" item="0"/>
        </tpls>
      </n>
      <n v="4323623424">
        <tpls c="8">
          <tpl hier="2" item="0"/>
          <tpl hier="4" item="1"/>
          <tpl fld="2" item="17"/>
          <tpl fld="4" item="34"/>
          <tpl hier="9" item="4"/>
          <tpl hier="11" item="6"/>
          <tpl hier="12" item="5"/>
          <tpl fld="1" item="0"/>
        </tpls>
      </n>
      <n v="1095622912">
        <tpls c="8">
          <tpl hier="2" item="0"/>
          <tpl hier="4" item="1"/>
          <tpl fld="2" item="1"/>
          <tpl fld="4" item="34"/>
          <tpl hier="9" item="4"/>
          <tpl hier="11" item="6"/>
          <tpl hier="12" item="5"/>
          <tpl fld="1" item="0"/>
        </tpls>
      </n>
      <n v="7027863040">
        <tpls c="8">
          <tpl hier="2" item="0"/>
          <tpl hier="4" item="1"/>
          <tpl fld="2" item="36"/>
          <tpl fld="4" item="33"/>
          <tpl hier="9" item="4"/>
          <tpl hier="11" item="6"/>
          <tpl hier="12" item="5"/>
          <tpl fld="1" item="0"/>
        </tpls>
      </n>
      <n v="1959965184">
        <tpls c="8">
          <tpl hier="2" item="0"/>
          <tpl hier="4" item="1"/>
          <tpl fld="2" item="20"/>
          <tpl fld="4" item="33"/>
          <tpl hier="9" item="4"/>
          <tpl hier="11" item="6"/>
          <tpl hier="12" item="5"/>
          <tpl fld="1" item="0"/>
        </tpls>
      </n>
      <n v="554654784">
        <tpls c="8">
          <tpl hier="2" item="0"/>
          <tpl hier="4" item="1"/>
          <tpl fld="2" item="4"/>
          <tpl fld="4" item="33"/>
          <tpl hier="9" item="4"/>
          <tpl hier="11" item="6"/>
          <tpl hier="12" item="5"/>
          <tpl fld="1" item="0"/>
        </tpls>
      </n>
      <n v="1317299968">
        <tpls c="8">
          <tpl hier="2" item="0"/>
          <tpl hier="4" item="1"/>
          <tpl fld="2" item="39"/>
          <tpl fld="4" item="32"/>
          <tpl hier="9" item="4"/>
          <tpl hier="11" item="6"/>
          <tpl hier="12" item="5"/>
          <tpl fld="1" item="0"/>
        </tpls>
      </n>
      <n v="559858240">
        <tpls c="8">
          <tpl hier="2" item="0"/>
          <tpl hier="4" item="1"/>
          <tpl fld="2" item="23"/>
          <tpl fld="4" item="32"/>
          <tpl hier="9" item="4"/>
          <tpl hier="11" item="6"/>
          <tpl hier="12" item="5"/>
          <tpl fld="1" item="0"/>
        </tpls>
      </n>
      <n v="117650000">
        <tpls c="8">
          <tpl hier="2" item="0"/>
          <tpl hier="4" item="1"/>
          <tpl fld="2" item="7"/>
          <tpl fld="4" item="32"/>
          <tpl hier="9" item="4"/>
          <tpl hier="11" item="6"/>
          <tpl hier="12" item="5"/>
          <tpl fld="1" item="0"/>
        </tpls>
      </n>
      <n v="133355749376">
        <tpls c="8">
          <tpl hier="2" item="0"/>
          <tpl hier="4" item="1"/>
          <tpl fld="2" item="42"/>
          <tpl fld="4" item="31"/>
          <tpl hier="9" item="4"/>
          <tpl hier="11" item="6"/>
          <tpl hier="12" item="5"/>
          <tpl fld="1" item="0"/>
        </tpls>
      </n>
      <n v="46438486016">
        <tpls c="8">
          <tpl hier="2" item="0"/>
          <tpl hier="4" item="1"/>
          <tpl fld="2" item="26"/>
          <tpl fld="4" item="31"/>
          <tpl hier="9" item="4"/>
          <tpl hier="11" item="6"/>
          <tpl hier="12" item="5"/>
          <tpl fld="1" item="0"/>
        </tpls>
      </n>
      <n v="1547884416">
        <tpls c="8">
          <tpl hier="2" item="0"/>
          <tpl hier="4" item="1"/>
          <tpl fld="2" item="29"/>
          <tpl fld="4" item="94"/>
          <tpl hier="9" item="4"/>
          <tpl hier="11" item="6"/>
          <tpl hier="12" item="5"/>
          <tpl fld="1" item="0"/>
        </tpls>
      </n>
      <n v="7691367424">
        <tpls c="8">
          <tpl hier="2" item="0"/>
          <tpl hier="4" item="1"/>
          <tpl fld="2" item="33"/>
          <tpl fld="4" item="81"/>
          <tpl hier="9" item="4"/>
          <tpl hier="11" item="6"/>
          <tpl hier="12" item="5"/>
          <tpl fld="1" item="0"/>
        </tpls>
      </n>
      <n v="703378624">
        <tpls c="8">
          <tpl hier="2" item="0"/>
          <tpl hier="4" item="1"/>
          <tpl fld="2" item="5"/>
          <tpl fld="4" item="70"/>
          <tpl hier="9" item="4"/>
          <tpl hier="11" item="6"/>
          <tpl hier="12" item="5"/>
          <tpl fld="1" item="0"/>
        </tpls>
      </n>
      <n v="13147744256">
        <tpls c="8">
          <tpl hier="2" item="0"/>
          <tpl hier="4" item="1"/>
          <tpl fld="2" item="32"/>
          <tpl fld="4" item="63"/>
          <tpl hier="9" item="4"/>
          <tpl hier="11" item="6"/>
          <tpl hier="12" item="5"/>
          <tpl fld="1" item="0"/>
        </tpls>
      </n>
      <n v="1603447296">
        <tpls c="8">
          <tpl hier="2" item="0"/>
          <tpl hier="4" item="1"/>
          <tpl fld="2" item="0"/>
          <tpl fld="4" item="63"/>
          <tpl hier="9" item="4"/>
          <tpl hier="11" item="6"/>
          <tpl hier="12" item="5"/>
          <tpl fld="1" item="0"/>
        </tpls>
      </n>
      <n v="5419134976">
        <tpls c="8">
          <tpl hier="2" item="0"/>
          <tpl hier="4" item="1"/>
          <tpl fld="2" item="24"/>
          <tpl fld="4" item="62"/>
          <tpl hier="9" item="4"/>
          <tpl hier="11" item="6"/>
          <tpl hier="12" item="5"/>
          <tpl fld="1" item="0"/>
        </tpls>
      </n>
      <n v="177498570752">
        <tpls c="8">
          <tpl hier="2" item="0"/>
          <tpl hier="4" item="1"/>
          <tpl fld="2" item="45"/>
          <tpl fld="4" item="61"/>
          <tpl hier="9" item="4"/>
          <tpl hier="11" item="6"/>
          <tpl hier="12" item="5"/>
          <tpl fld="1" item="0"/>
        </tpls>
      </n>
      <n v="65641365504">
        <tpls c="8">
          <tpl hier="2" item="0"/>
          <tpl hier="4" item="1"/>
          <tpl fld="2" item="19"/>
          <tpl fld="4" item="61"/>
          <tpl hier="9" item="4"/>
          <tpl hier="11" item="6"/>
          <tpl hier="12" item="5"/>
          <tpl fld="1" item="0"/>
        </tpls>
      </n>
      <n v="1675615272960">
        <tpls c="8">
          <tpl hier="2" item="0"/>
          <tpl hier="4" item="1"/>
          <tpl fld="2" item="40"/>
          <tpl fld="4" item="60"/>
          <tpl hier="9" item="4"/>
          <tpl hier="11" item="6"/>
          <tpl hier="12" item="5"/>
          <tpl fld="1" item="0"/>
        </tpls>
      </n>
      <n v="193490616320">
        <tpls c="8">
          <tpl hier="2" item="0"/>
          <tpl hier="4" item="1"/>
          <tpl fld="2" item="11"/>
          <tpl fld="4" item="60"/>
          <tpl hier="9" item="4"/>
          <tpl hier="11" item="6"/>
          <tpl hier="12" item="5"/>
          <tpl fld="1" item="0"/>
        </tpls>
      </n>
      <n v="15839344640">
        <tpls c="8">
          <tpl hier="2" item="0"/>
          <tpl hier="4" item="1"/>
          <tpl fld="2" item="40"/>
          <tpl fld="4" item="59"/>
          <tpl hier="9" item="4"/>
          <tpl hier="11" item="6"/>
          <tpl hier="12" item="5"/>
          <tpl fld="1" item="0"/>
        </tpls>
      </n>
      <n v="5677829120">
        <tpls c="8">
          <tpl hier="2" item="0"/>
          <tpl hier="4" item="1"/>
          <tpl fld="2" item="16"/>
          <tpl fld="4" item="59"/>
          <tpl hier="9" item="4"/>
          <tpl hier="11" item="6"/>
          <tpl hier="12" item="5"/>
          <tpl fld="1" item="0"/>
        </tpls>
      </n>
      <n v="8775444480">
        <tpls c="8">
          <tpl hier="2" item="0"/>
          <tpl hier="4" item="1"/>
          <tpl fld="2" item="44"/>
          <tpl fld="4" item="58"/>
          <tpl hier="9" item="4"/>
          <tpl hier="11" item="6"/>
          <tpl hier="12" item="5"/>
          <tpl fld="1" item="0"/>
        </tpls>
      </n>
      <n v="3096289792">
        <tpls c="8">
          <tpl hier="2" item="0"/>
          <tpl hier="4" item="1"/>
          <tpl fld="2" item="20"/>
          <tpl fld="4" item="58"/>
          <tpl hier="9" item="4"/>
          <tpl hier="11" item="6"/>
          <tpl hier="12" item="5"/>
          <tpl fld="1" item="0"/>
        </tpls>
      </n>
      <n v="3878662656">
        <tpls c="8">
          <tpl hier="2" item="0"/>
          <tpl hier="4" item="1"/>
          <tpl fld="2" item="48"/>
          <tpl fld="4" item="57"/>
          <tpl hier="9" item="4"/>
          <tpl hier="11" item="6"/>
          <tpl hier="12" item="5"/>
          <tpl fld="1" item="0"/>
        </tpls>
      </n>
      <n v="540874944">
        <tpls c="8">
          <tpl hier="2" item="0"/>
          <tpl hier="4" item="1"/>
          <tpl fld="2" item="24"/>
          <tpl fld="4" item="57"/>
          <tpl hier="9" item="4"/>
          <tpl hier="11" item="6"/>
          <tpl hier="12" item="5"/>
          <tpl fld="1" item="0"/>
        </tpls>
      </n>
      <n v="282049984">
        <tpls c="8">
          <tpl hier="2" item="0"/>
          <tpl hier="4" item="1"/>
          <tpl fld="2" item="1"/>
          <tpl fld="4" item="57"/>
          <tpl hier="9" item="4"/>
          <tpl hier="11" item="6"/>
          <tpl hier="12" item="5"/>
          <tpl fld="1" item="0"/>
        </tpls>
      </n>
      <n v="206457552">
        <tpls c="8">
          <tpl hier="2" item="0"/>
          <tpl hier="4" item="1"/>
          <tpl fld="2" item="28"/>
          <tpl fld="4" item="56"/>
          <tpl hier="9" item="4"/>
          <tpl hier="11" item="6"/>
          <tpl hier="12" item="5"/>
          <tpl fld="1" item="0"/>
        </tpls>
      </n>
      <n v="108985744">
        <tpls c="8">
          <tpl hier="2" item="0"/>
          <tpl hier="4" item="1"/>
          <tpl fld="2" item="5"/>
          <tpl fld="4" item="56"/>
          <tpl hier="9" item="4"/>
          <tpl hier="11" item="6"/>
          <tpl hier="12" item="5"/>
          <tpl fld="1" item="0"/>
        </tpls>
      </n>
      <n v="20776402944">
        <tpls c="8">
          <tpl hier="2" item="0"/>
          <tpl hier="4" item="1"/>
          <tpl fld="2" item="32"/>
          <tpl fld="4" item="55"/>
          <tpl hier="9" item="4"/>
          <tpl hier="11" item="6"/>
          <tpl hier="12" item="5"/>
          <tpl fld="1" item="0"/>
        </tpls>
      </n>
      <n v="7878700032">
        <tpls c="8">
          <tpl hier="2" item="0"/>
          <tpl hier="4" item="1"/>
          <tpl fld="2" item="10"/>
          <tpl fld="4" item="55"/>
          <tpl hier="9" item="4"/>
          <tpl hier="11" item="6"/>
          <tpl hier="12" item="5"/>
          <tpl fld="1" item="0"/>
        </tpls>
      </n>
      <n v="25977847808">
        <tpls c="8">
          <tpl hier="2" item="0"/>
          <tpl hier="4" item="1"/>
          <tpl fld="2" item="39"/>
          <tpl fld="4" item="54"/>
          <tpl hier="9" item="4"/>
          <tpl hier="11" item="6"/>
          <tpl hier="12" item="5"/>
          <tpl fld="1" item="0"/>
        </tpls>
      </n>
      <n v="4504342016">
        <tpls c="8">
          <tpl hier="2" item="0"/>
          <tpl hier="4" item="1"/>
          <tpl fld="2" item="15"/>
          <tpl fld="4" item="54"/>
          <tpl hier="9" item="4"/>
          <tpl hier="11" item="6"/>
          <tpl hier="12" item="5"/>
          <tpl fld="1" item="0"/>
        </tpls>
      </n>
      <n v="1375608960">
        <tpls c="8">
          <tpl hier="2" item="0"/>
          <tpl hier="4" item="1"/>
          <tpl fld="2" item="43"/>
          <tpl fld="4" item="53"/>
          <tpl hier="9" item="4"/>
          <tpl hier="11" item="6"/>
          <tpl hier="12" item="5"/>
          <tpl fld="1" item="0"/>
        </tpls>
      </n>
      <n v="317083360">
        <tpls c="8">
          <tpl hier="2" item="0"/>
          <tpl hier="4" item="1"/>
          <tpl fld="2" item="20"/>
          <tpl fld="4" item="53"/>
          <tpl hier="9" item="4"/>
          <tpl hier="11" item="6"/>
          <tpl hier="12" item="5"/>
          <tpl fld="1" item="0"/>
        </tpls>
      </n>
      <n v="52296836">
        <tpls c="8">
          <tpl hier="2" item="0"/>
          <tpl hier="4" item="1"/>
          <tpl fld="2" item="0"/>
          <tpl fld="4" item="53"/>
          <tpl hier="9" item="4"/>
          <tpl hier="11" item="6"/>
          <tpl hier="12" item="5"/>
          <tpl fld="1" item="0"/>
        </tpls>
      </n>
      <n v="5310381056">
        <tpls c="8">
          <tpl hier="2" item="0"/>
          <tpl hier="4" item="1"/>
          <tpl fld="2" item="32"/>
          <tpl fld="4" item="52"/>
          <tpl hier="9" item="4"/>
          <tpl hier="11" item="6"/>
          <tpl hier="12" item="5"/>
          <tpl fld="1" item="0"/>
        </tpls>
      </n>
      <n v="3391275776">
        <tpls c="8">
          <tpl hier="2" item="0"/>
          <tpl hier="4" item="1"/>
          <tpl fld="2" item="13"/>
          <tpl fld="4" item="52"/>
          <tpl hier="9" item="4"/>
          <tpl hier="11" item="6"/>
          <tpl hier="12" item="5"/>
          <tpl fld="1" item="0"/>
        </tpls>
      </n>
      <n v="4190143232">
        <tpls c="8">
          <tpl hier="2" item="0"/>
          <tpl hier="4" item="1"/>
          <tpl fld="2" item="43"/>
          <tpl fld="4" item="51"/>
          <tpl hier="9" item="4"/>
          <tpl hier="11" item="6"/>
          <tpl hier="12" item="5"/>
          <tpl fld="1" item="0"/>
        </tpls>
      </n>
      <n v="1825285120">
        <tpls c="8">
          <tpl hier="2" item="0"/>
          <tpl hier="4" item="1"/>
          <tpl fld="2" item="24"/>
          <tpl fld="4" item="51"/>
          <tpl hier="9" item="4"/>
          <tpl hier="11" item="6"/>
          <tpl hier="12" item="5"/>
          <tpl fld="1" item="0"/>
        </tpls>
      </n>
      <n v="558589888">
        <tpls c="8">
          <tpl hier="2" item="0"/>
          <tpl hier="4" item="1"/>
          <tpl fld="2" item="4"/>
          <tpl fld="4" item="51"/>
          <tpl hier="9" item="4"/>
          <tpl hier="11" item="6"/>
          <tpl hier="12" item="5"/>
          <tpl fld="1" item="0"/>
        </tpls>
      </n>
      <n v="15999886336">
        <tpls c="8">
          <tpl hier="2" item="0"/>
          <tpl hier="4" item="1"/>
          <tpl fld="2" item="36"/>
          <tpl fld="4" item="50"/>
          <tpl hier="9" item="4"/>
          <tpl hier="11" item="6"/>
          <tpl hier="12" item="5"/>
          <tpl fld="1" item="0"/>
        </tpls>
      </n>
      <n v="3800368640">
        <tpls c="8">
          <tpl hier="2" item="0"/>
          <tpl hier="4" item="1"/>
          <tpl fld="2" item="15"/>
          <tpl fld="4" item="50"/>
          <tpl hier="9" item="4"/>
          <tpl hier="11" item="6"/>
          <tpl hier="12" item="5"/>
          <tpl fld="1" item="0"/>
        </tpls>
      </n>
      <n v="104295858176">
        <tpls c="8">
          <tpl hier="2" item="0"/>
          <tpl hier="4" item="1"/>
          <tpl fld="2" item="47"/>
          <tpl fld="4" item="49"/>
          <tpl hier="9" item="4"/>
          <tpl hier="11" item="6"/>
          <tpl hier="12" item="5"/>
          <tpl fld="1" item="0"/>
        </tpls>
      </n>
      <n v="28162052096">
        <tpls c="8">
          <tpl hier="2" item="0"/>
          <tpl hier="4" item="1"/>
          <tpl fld="2" item="27"/>
          <tpl fld="4" item="49"/>
          <tpl hier="9" item="4"/>
          <tpl hier="11" item="6"/>
          <tpl hier="12" item="5"/>
          <tpl fld="1" item="0"/>
        </tpls>
      </n>
      <n v="11922502656">
        <tpls c="8">
          <tpl hier="2" item="0"/>
          <tpl hier="4" item="1"/>
          <tpl fld="2" item="8"/>
          <tpl fld="4" item="49"/>
          <tpl hier="9" item="4"/>
          <tpl hier="11" item="6"/>
          <tpl hier="12" item="5"/>
          <tpl fld="1" item="0"/>
        </tpls>
      </n>
      <n v="48122548224">
        <tpls c="8">
          <tpl hier="2" item="0"/>
          <tpl hier="4" item="1"/>
          <tpl fld="2" item="38"/>
          <tpl fld="4" item="48"/>
          <tpl hier="9" item="4"/>
          <tpl hier="11" item="6"/>
          <tpl hier="12" item="5"/>
          <tpl fld="1" item="0"/>
        </tpls>
      </n>
      <n v="6686593024">
        <tpls c="8">
          <tpl hier="2" item="0"/>
          <tpl hier="4" item="1"/>
          <tpl fld="2" item="19"/>
          <tpl fld="4" item="48"/>
          <tpl hier="9" item="4"/>
          <tpl hier="11" item="6"/>
          <tpl hier="12" item="5"/>
          <tpl fld="1" item="0"/>
        </tpls>
      </n>
      <n v="815556969088">
        <tpls c="8">
          <tpl hier="2" item="0"/>
          <tpl hier="4" item="1"/>
          <tpl hier="5" item="3"/>
          <tpl fld="4" item="47"/>
          <tpl hier="9" item="4"/>
          <tpl hier="11" item="6"/>
          <tpl hier="12" item="5"/>
          <tpl fld="1" item="0"/>
        </tpls>
      </n>
      <n v="11192560640">
        <tpls c="8">
          <tpl hier="2" item="0"/>
          <tpl hier="4" item="1"/>
          <tpl fld="2" item="31"/>
          <tpl fld="4" item="47"/>
          <tpl hier="9" item="4"/>
          <tpl hier="11" item="6"/>
          <tpl hier="12" item="5"/>
          <tpl fld="1" item="0"/>
        </tpls>
      </n>
      <n v="7567109632">
        <tpls c="8">
          <tpl hier="2" item="0"/>
          <tpl hier="4" item="1"/>
          <tpl fld="2" item="12"/>
          <tpl fld="4" item="47"/>
          <tpl hier="9" item="4"/>
          <tpl hier="11" item="6"/>
          <tpl hier="12" item="5"/>
          <tpl fld="1" item="0"/>
        </tpls>
      </n>
      <n v="46473129984">
        <tpls c="8">
          <tpl hier="2" item="0"/>
          <tpl hier="4" item="1"/>
          <tpl fld="2" item="42"/>
          <tpl fld="4" item="46"/>
          <tpl hier="9" item="4"/>
          <tpl hier="11" item="6"/>
          <tpl hier="12" item="5"/>
          <tpl fld="1" item="0"/>
        </tpls>
      </n>
      <n v="9537297408">
        <tpls c="8">
          <tpl hier="2" item="0"/>
          <tpl hier="4" item="1"/>
          <tpl fld="2" item="23"/>
          <tpl fld="4" item="46"/>
          <tpl hier="9" item="4"/>
          <tpl hier="11" item="6"/>
          <tpl hier="12" item="5"/>
          <tpl fld="1" item="0"/>
        </tpls>
      </n>
      <n v="1528916224">
        <tpls c="8">
          <tpl hier="2" item="0"/>
          <tpl hier="4" item="1"/>
          <tpl fld="2" item="3"/>
          <tpl fld="4" item="46"/>
          <tpl hier="9" item="4"/>
          <tpl hier="11" item="6"/>
          <tpl hier="12" item="5"/>
          <tpl fld="1" item="0"/>
        </tpls>
      </n>
      <n v="6087003136">
        <tpls c="8">
          <tpl hier="2" item="0"/>
          <tpl hier="4" item="1"/>
          <tpl fld="2" item="35"/>
          <tpl fld="4" item="45"/>
          <tpl hier="9" item="4"/>
          <tpl hier="11" item="6"/>
          <tpl hier="12" item="5"/>
          <tpl fld="1" item="0"/>
        </tpls>
      </n>
      <n v="2193581312">
        <tpls c="8">
          <tpl hier="2" item="0"/>
          <tpl hier="4" item="1"/>
          <tpl fld="2" item="14"/>
          <tpl fld="4" item="45"/>
          <tpl hier="9" item="4"/>
          <tpl hier="11" item="6"/>
          <tpl hier="12" item="5"/>
          <tpl fld="1" item="0"/>
        </tpls>
      </n>
      <n v="37134798848">
        <tpls c="8">
          <tpl hier="2" item="0"/>
          <tpl hier="4" item="1"/>
          <tpl fld="2" item="46"/>
          <tpl fld="4" item="44"/>
          <tpl hier="9" item="4"/>
          <tpl hier="11" item="6"/>
          <tpl hier="12" item="5"/>
          <tpl fld="1" item="0"/>
        </tpls>
      </n>
      <n v="5771454976">
        <tpls c="8">
          <tpl hier="2" item="0"/>
          <tpl hier="4" item="1"/>
          <tpl fld="2" item="26"/>
          <tpl fld="4" item="44"/>
          <tpl hier="9" item="4"/>
          <tpl hier="11" item="6"/>
          <tpl hier="12" item="5"/>
          <tpl fld="1" item="0"/>
        </tpls>
      </n>
      <n v="12344424448">
        <tpls c="8">
          <tpl hier="2" item="0"/>
          <tpl hier="4" item="1"/>
          <tpl fld="2" item="7"/>
          <tpl fld="4" item="44"/>
          <tpl hier="9" item="4"/>
          <tpl hier="11" item="6"/>
          <tpl hier="12" item="5"/>
          <tpl fld="1" item="0"/>
        </tpls>
      </n>
      <n v="206181826560">
        <tpls c="8">
          <tpl hier="2" item="0"/>
          <tpl hier="4" item="1"/>
          <tpl fld="2" item="37"/>
          <tpl fld="4" item="43"/>
          <tpl hier="9" item="4"/>
          <tpl hier="11" item="6"/>
          <tpl hier="12" item="5"/>
          <tpl fld="1" item="0"/>
        </tpls>
      </n>
      <n v="39212548096">
        <tpls c="8">
          <tpl hier="2" item="0"/>
          <tpl hier="4" item="1"/>
          <tpl fld="2" item="18"/>
          <tpl fld="4" item="43"/>
          <tpl hier="9" item="4"/>
          <tpl hier="11" item="6"/>
          <tpl hier="12" item="5"/>
          <tpl fld="1" item="0"/>
        </tpls>
      </n>
      <n v="4820303708672">
        <tpls c="8">
          <tpl hier="2" item="0"/>
          <tpl hier="4" item="1"/>
          <tpl hier="5" item="3"/>
          <tpl fld="4" item="42"/>
          <tpl hier="9" item="4"/>
          <tpl hier="11" item="6"/>
          <tpl hier="12" item="5"/>
          <tpl fld="1" item="0"/>
        </tpls>
      </n>
      <n v="69736808448">
        <tpls c="8">
          <tpl hier="2" item="0"/>
          <tpl hier="4" item="1"/>
          <tpl fld="2" item="32"/>
          <tpl fld="4" item="42"/>
          <tpl hier="9" item="4"/>
          <tpl hier="11" item="6"/>
          <tpl hier="12" item="5"/>
          <tpl fld="1" item="0"/>
        </tpls>
      </n>
      <n v="19622526976">
        <tpls c="8">
          <tpl hier="2" item="0"/>
          <tpl hier="4" item="1"/>
          <tpl fld="2" item="14"/>
          <tpl fld="4" item="42"/>
          <tpl hier="9" item="4"/>
          <tpl hier="11" item="6"/>
          <tpl hier="12" item="5"/>
          <tpl fld="1" item="0"/>
        </tpls>
      </n>
      <n v="11239166976">
        <tpls c="8">
          <tpl hier="2" item="0"/>
          <tpl hier="4" item="1"/>
          <tpl fld="2" item="48"/>
          <tpl fld="4" item="41"/>
          <tpl hier="9" item="4"/>
          <tpl hier="11" item="6"/>
          <tpl hier="12" item="5"/>
          <tpl fld="1" item="0"/>
        </tpls>
      </n>
      <n v="1709347840">
        <tpls c="8">
          <tpl hier="2" item="0"/>
          <tpl hier="4" item="1"/>
          <tpl fld="2" item="31"/>
          <tpl fld="4" item="41"/>
          <tpl hier="9" item="4"/>
          <tpl hier="11" item="6"/>
          <tpl hier="12" item="5"/>
          <tpl fld="1" item="0"/>
        </tpls>
      </n>
      <n v="919103744">
        <tpls c="8">
          <tpl hier="2" item="0"/>
          <tpl hier="4" item="1"/>
          <tpl fld="2" item="14"/>
          <tpl fld="4" item="41"/>
          <tpl hier="9" item="4"/>
          <tpl hier="11" item="6"/>
          <tpl hier="12" item="5"/>
          <tpl fld="1" item="0"/>
        </tpls>
      </n>
      <n v="2072350208">
        <tpls c="8">
          <tpl hier="2" item="0"/>
          <tpl hier="4" item="1"/>
          <tpl fld="2" item="47"/>
          <tpl fld="4" item="40"/>
          <tpl hier="9" item="4"/>
          <tpl hier="11" item="6"/>
          <tpl hier="12" item="5"/>
          <tpl fld="1" item="0"/>
        </tpls>
      </n>
      <n v="914500288">
        <tpls c="8">
          <tpl hier="2" item="0"/>
          <tpl hier="4" item="1"/>
          <tpl fld="2" item="30"/>
          <tpl fld="4" item="40"/>
          <tpl hier="9" item="4"/>
          <tpl hier="11" item="6"/>
          <tpl hier="12" item="5"/>
          <tpl fld="1" item="0"/>
        </tpls>
      </n>
      <n v="637820608">
        <tpls c="8">
          <tpl hier="2" item="0"/>
          <tpl hier="4" item="1"/>
          <tpl fld="2" item="14"/>
          <tpl fld="4" item="40"/>
          <tpl hier="9" item="4"/>
          <tpl hier="11" item="6"/>
          <tpl hier="12" item="5"/>
          <tpl fld="1" item="0"/>
        </tpls>
      </n>
      <n v="38760468480">
        <tpls c="8">
          <tpl hier="2" item="0"/>
          <tpl hier="4" item="1"/>
          <tpl fld="2" item="49"/>
          <tpl fld="4" item="39"/>
          <tpl hier="9" item="4"/>
          <tpl hier="11" item="6"/>
          <tpl hier="12" item="5"/>
          <tpl fld="1" item="0"/>
        </tpls>
      </n>
      <n v="14548845568">
        <tpls c="8">
          <tpl hier="2" item="0"/>
          <tpl hier="4" item="1"/>
          <tpl fld="2" item="33"/>
          <tpl fld="4" item="39"/>
          <tpl hier="9" item="4"/>
          <tpl hier="11" item="6"/>
          <tpl hier="12" item="5"/>
          <tpl fld="1" item="0"/>
        </tpls>
      </n>
      <n v="12302471168">
        <tpls c="8">
          <tpl hier="2" item="0"/>
          <tpl hier="4" item="1"/>
          <tpl fld="2" item="17"/>
          <tpl fld="4" item="39"/>
          <tpl hier="9" item="4"/>
          <tpl hier="11" item="6"/>
          <tpl hier="12" item="5"/>
          <tpl fld="1" item="0"/>
        </tpls>
      </n>
      <n v="1233991040">
        <tpls c="8">
          <tpl hier="2" item="0"/>
          <tpl hier="4" item="1"/>
          <tpl fld="2" item="1"/>
          <tpl fld="4" item="39"/>
          <tpl hier="9" item="4"/>
          <tpl hier="11" item="6"/>
          <tpl hier="12" item="5"/>
          <tpl fld="1" item="0"/>
        </tpls>
      </n>
      <n v="1273374976">
        <tpls c="8">
          <tpl hier="2" item="0"/>
          <tpl hier="4" item="1"/>
          <tpl fld="2" item="36"/>
          <tpl fld="4" item="38"/>
          <tpl hier="9" item="4"/>
          <tpl hier="11" item="6"/>
          <tpl hier="12" item="5"/>
          <tpl fld="1" item="0"/>
        </tpls>
      </n>
      <n v="1132101248">
        <tpls c="8">
          <tpl hier="2" item="0"/>
          <tpl hier="4" item="1"/>
          <tpl fld="2" item="20"/>
          <tpl fld="4" item="38"/>
          <tpl hier="9" item="4"/>
          <tpl hier="11" item="6"/>
          <tpl hier="12" item="5"/>
          <tpl fld="1" item="0"/>
        </tpls>
      </n>
      <n v="345263488">
        <tpls c="8">
          <tpl hier="2" item="0"/>
          <tpl hier="4" item="1"/>
          <tpl fld="2" item="4"/>
          <tpl fld="4" item="38"/>
          <tpl hier="9" item="4"/>
          <tpl hier="11" item="6"/>
          <tpl hier="12" item="5"/>
          <tpl fld="1" item="0"/>
        </tpls>
      </n>
      <n v="9412813824">
        <tpls c="8">
          <tpl hier="2" item="0"/>
          <tpl hier="4" item="1"/>
          <tpl fld="2" item="39"/>
          <tpl fld="4" item="37"/>
          <tpl hier="9" item="4"/>
          <tpl hier="11" item="6"/>
          <tpl hier="12" item="5"/>
          <tpl fld="1" item="0"/>
        </tpls>
      </n>
      <n v="2332017920">
        <tpls c="8">
          <tpl hier="2" item="0"/>
          <tpl hier="4" item="1"/>
          <tpl fld="2" item="23"/>
          <tpl fld="4" item="37"/>
          <tpl hier="9" item="4"/>
          <tpl hier="11" item="6"/>
          <tpl hier="12" item="5"/>
          <tpl fld="1" item="0"/>
        </tpls>
      </n>
      <n v="1131225216">
        <tpls c="8">
          <tpl hier="2" item="0"/>
          <tpl hier="4" item="1"/>
          <tpl fld="2" item="7"/>
          <tpl fld="4" item="37"/>
          <tpl hier="9" item="4"/>
          <tpl hier="11" item="6"/>
          <tpl hier="12" item="5"/>
          <tpl fld="1" item="0"/>
        </tpls>
      </n>
      <n v="2465188544512">
        <tpls c="8">
          <tpl hier="2" item="0"/>
          <tpl hier="4" item="1"/>
          <tpl fld="2" item="42"/>
          <tpl fld="4" item="36"/>
          <tpl hier="9" item="4"/>
          <tpl hier="11" item="6"/>
          <tpl hier="12" item="5"/>
          <tpl fld="1" item="0"/>
        </tpls>
      </n>
      <n v="850426462208">
        <tpls c="8">
          <tpl hier="2" item="0"/>
          <tpl hier="4" item="1"/>
          <tpl fld="2" item="26"/>
          <tpl fld="4" item="36"/>
          <tpl hier="9" item="4"/>
          <tpl hier="11" item="6"/>
          <tpl hier="12" item="5"/>
          <tpl fld="1" item="0"/>
        </tpls>
      </n>
      <n v="235024596992">
        <tpls c="8">
          <tpl hier="2" item="0"/>
          <tpl hier="4" item="1"/>
          <tpl fld="2" item="10"/>
          <tpl fld="4" item="36"/>
          <tpl hier="9" item="4"/>
          <tpl hier="11" item="6"/>
          <tpl hier="12" item="5"/>
          <tpl fld="1" item="0"/>
        </tpls>
      </n>
      <n v="14420603904">
        <tpls c="8">
          <tpl hier="2" item="0"/>
          <tpl hier="4" item="1"/>
          <tpl fld="2" item="45"/>
          <tpl fld="4" item="35"/>
          <tpl hier="9" item="4"/>
          <tpl hier="11" item="6"/>
          <tpl hier="12" item="5"/>
          <tpl fld="1" item="0"/>
        </tpls>
      </n>
      <n v="5484257280">
        <tpls c="8">
          <tpl hier="2" item="0"/>
          <tpl hier="4" item="1"/>
          <tpl fld="2" item="29"/>
          <tpl fld="4" item="35"/>
          <tpl hier="9" item="4"/>
          <tpl hier="11" item="6"/>
          <tpl hier="12" item="5"/>
          <tpl fld="1" item="0"/>
        </tpls>
      </n>
      <n v="1172258176">
        <tpls c="8">
          <tpl hier="2" item="0"/>
          <tpl hier="4" item="1"/>
          <tpl fld="2" item="13"/>
          <tpl fld="4" item="35"/>
          <tpl hier="9" item="4"/>
          <tpl hier="11" item="6"/>
          <tpl hier="12" item="5"/>
          <tpl fld="1" item="0"/>
        </tpls>
      </n>
      <n v="40287649792">
        <tpls c="8">
          <tpl hier="2" item="0"/>
          <tpl hier="4" item="1"/>
          <tpl fld="2" item="48"/>
          <tpl fld="4" item="34"/>
          <tpl hier="9" item="4"/>
          <tpl hier="11" item="6"/>
          <tpl hier="12" item="5"/>
          <tpl fld="1" item="0"/>
        </tpls>
      </n>
      <n v="5240606208">
        <tpls c="8">
          <tpl hier="2" item="0"/>
          <tpl hier="4" item="1"/>
          <tpl fld="2" item="44"/>
          <tpl fld="4" item="93"/>
          <tpl hier="9" item="4"/>
          <tpl hier="11" item="6"/>
          <tpl hier="12" item="5"/>
          <tpl fld="1" item="0"/>
        </tpls>
      </n>
      <n v="360274306112">
        <tpls c="8">
          <tpl hier="2" item="0"/>
          <tpl hier="4" item="1"/>
          <tpl hier="5" item="3"/>
          <tpl fld="4" item="80"/>
          <tpl hier="9" item="4"/>
          <tpl hier="11" item="6"/>
          <tpl hier="12" item="5"/>
          <tpl fld="1" item="0"/>
        </tpls>
      </n>
      <n v="2830673408">
        <tpls c="8">
          <tpl hier="2" item="0"/>
          <tpl hier="4" item="1"/>
          <tpl fld="2" item="22"/>
          <tpl fld="4" item="69"/>
          <tpl hier="9" item="4"/>
          <tpl hier="11" item="6"/>
          <tpl hier="12" item="5"/>
          <tpl fld="1" item="0"/>
        </tpls>
      </n>
      <n v="12986007552">
        <tpls c="8">
          <tpl hier="2" item="0"/>
          <tpl hier="4" item="1"/>
          <tpl fld="2" item="31"/>
          <tpl fld="4" item="63"/>
          <tpl hier="9" item="4"/>
          <tpl hier="11" item="6"/>
          <tpl hier="12" item="5"/>
          <tpl fld="1" item="0"/>
        </tpls>
      </n>
      <n v="372446186624">
        <tpls c="8">
          <tpl hier="2" item="0"/>
          <tpl hier="4" item="1"/>
          <tpl hier="5" item="3"/>
          <tpl fld="4" item="62"/>
          <tpl hier="9" item="4"/>
          <tpl hier="11" item="6"/>
          <tpl hier="12" item="5"/>
          <tpl fld="1" item="0"/>
        </tpls>
      </n>
      <n v="4071219200">
        <tpls c="8">
          <tpl hier="2" item="0"/>
          <tpl hier="4" item="1"/>
          <tpl fld="2" item="21"/>
          <tpl fld="4" item="62"/>
          <tpl hier="9" item="4"/>
          <tpl hier="11" item="6"/>
          <tpl hier="12" item="5"/>
          <tpl fld="1" item="0"/>
        </tpls>
      </n>
      <n v="234648371200">
        <tpls c="8">
          <tpl hier="2" item="0"/>
          <tpl hier="4" item="1"/>
          <tpl fld="2" item="44"/>
          <tpl fld="4" item="61"/>
          <tpl hier="9" item="4"/>
          <tpl hier="11" item="6"/>
          <tpl hier="12" item="5"/>
          <tpl fld="1" item="0"/>
        </tpls>
      </n>
      <n v="46802509824">
        <tpls c="8">
          <tpl hier="2" item="0"/>
          <tpl hier="4" item="1"/>
          <tpl fld="2" item="14"/>
          <tpl fld="4" item="61"/>
          <tpl hier="9" item="4"/>
          <tpl hier="11" item="6"/>
          <tpl hier="12" item="5"/>
          <tpl fld="1" item="0"/>
        </tpls>
      </n>
      <n v="1341886562304">
        <tpls c="8">
          <tpl hier="2" item="0"/>
          <tpl hier="4" item="1"/>
          <tpl fld="2" item="39"/>
          <tpl fld="4" item="60"/>
          <tpl hier="9" item="4"/>
          <tpl hier="11" item="6"/>
          <tpl hier="12" item="5"/>
          <tpl fld="1" item="0"/>
        </tpls>
      </n>
      <n v="152991645696">
        <tpls c="8">
          <tpl hier="2" item="0"/>
          <tpl hier="4" item="1"/>
          <tpl fld="2" item="9"/>
          <tpl fld="4" item="60"/>
          <tpl hier="9" item="4"/>
          <tpl hier="11" item="6"/>
          <tpl hier="12" item="5"/>
          <tpl fld="1" item="0"/>
        </tpls>
      </n>
      <n v="10841742336">
        <tpls c="8">
          <tpl hier="2" item="0"/>
          <tpl hier="4" item="1"/>
          <tpl fld="2" item="36"/>
          <tpl fld="4" item="59"/>
          <tpl hier="9" item="4"/>
          <tpl hier="11" item="6"/>
          <tpl hier="12" item="5"/>
          <tpl fld="1" item="0"/>
        </tpls>
      </n>
      <n v="4915311616">
        <tpls c="8">
          <tpl hier="2" item="0"/>
          <tpl hier="4" item="1"/>
          <tpl fld="2" item="14"/>
          <tpl fld="4" item="59"/>
          <tpl hier="9" item="4"/>
          <tpl hier="11" item="6"/>
          <tpl hier="12" item="5"/>
          <tpl fld="1" item="0"/>
        </tpls>
      </n>
      <n v="8485076992">
        <tpls c="8">
          <tpl hier="2" item="0"/>
          <tpl hier="4" item="1"/>
          <tpl fld="2" item="43"/>
          <tpl fld="4" item="58"/>
          <tpl hier="9" item="4"/>
          <tpl hier="11" item="6"/>
          <tpl hier="12" item="5"/>
          <tpl fld="1" item="0"/>
        </tpls>
      </n>
      <n v="2736243712">
        <tpls c="8">
          <tpl hier="2" item="0"/>
          <tpl hier="4" item="1"/>
          <tpl fld="2" item="19"/>
          <tpl fld="4" item="58"/>
          <tpl hier="9" item="4"/>
          <tpl hier="11" item="6"/>
          <tpl hier="12" item="5"/>
          <tpl fld="1" item="0"/>
        </tpls>
      </n>
      <n v="3555205888">
        <tpls c="8">
          <tpl hier="2" item="0"/>
          <tpl hier="4" item="1"/>
          <tpl fld="2" item="47"/>
          <tpl fld="4" item="57"/>
          <tpl hier="9" item="4"/>
          <tpl hier="11" item="6"/>
          <tpl hier="12" item="5"/>
          <tpl fld="1" item="0"/>
        </tpls>
      </n>
      <n v="454101376">
        <tpls c="8">
          <tpl hier="2" item="0"/>
          <tpl hier="4" item="1"/>
          <tpl fld="2" item="23"/>
          <tpl fld="4" item="57"/>
          <tpl hier="9" item="4"/>
          <tpl hier="11" item="6"/>
          <tpl hier="12" item="5"/>
          <tpl fld="1" item="0"/>
        </tpls>
      </n>
      <n v="267800000">
        <tpls c="8">
          <tpl hier="2" item="0"/>
          <tpl hier="4" item="1"/>
          <tpl fld="2" item="0"/>
          <tpl fld="4" item="57"/>
          <tpl hier="9" item="4"/>
          <tpl hier="11" item="6"/>
          <tpl hier="12" item="5"/>
          <tpl fld="1" item="0"/>
        </tpls>
      </n>
      <n v="268551008">
        <tpls c="8">
          <tpl hier="2" item="0"/>
          <tpl hier="4" item="1"/>
          <tpl fld="2" item="27"/>
          <tpl fld="4" item="56"/>
          <tpl hier="9" item="4"/>
          <tpl hier="11" item="6"/>
          <tpl hier="12" item="5"/>
          <tpl fld="1" item="0"/>
        </tpls>
      </n>
      <n v="98775328">
        <tpls c="8">
          <tpl hier="2" item="0"/>
          <tpl hier="4" item="1"/>
          <tpl fld="2" item="4"/>
          <tpl fld="4" item="56"/>
          <tpl hier="9" item="4"/>
          <tpl hier="11" item="6"/>
          <tpl hier="12" item="5"/>
          <tpl fld="1" item="0"/>
        </tpls>
      </n>
      <n v="18702802944">
        <tpls c="8">
          <tpl hier="2" item="0"/>
          <tpl hier="4" item="1"/>
          <tpl fld="2" item="31"/>
          <tpl fld="4" item="55"/>
          <tpl hier="9" item="4"/>
          <tpl hier="11" item="6"/>
          <tpl hier="12" item="5"/>
          <tpl fld="1" item="0"/>
        </tpls>
      </n>
      <n v="6070600192">
        <tpls c="8">
          <tpl hier="2" item="0"/>
          <tpl hier="4" item="1"/>
          <tpl fld="2" item="8"/>
          <tpl fld="4" item="55"/>
          <tpl hier="9" item="4"/>
          <tpl hier="11" item="6"/>
          <tpl hier="12" item="5"/>
          <tpl fld="1" item="0"/>
        </tpls>
      </n>
      <n v="10731633664">
        <tpls c="8">
          <tpl hier="2" item="0"/>
          <tpl hier="4" item="1"/>
          <tpl fld="2" item="35"/>
          <tpl fld="4" item="54"/>
          <tpl hier="9" item="4"/>
          <tpl hier="11" item="6"/>
          <tpl hier="12" item="5"/>
          <tpl fld="1" item="0"/>
        </tpls>
      </n>
      <n v="4057275136">
        <tpls c="8">
          <tpl hier="2" item="0"/>
          <tpl hier="4" item="1"/>
          <tpl fld="2" item="13"/>
          <tpl fld="4" item="54"/>
          <tpl hier="9" item="4"/>
          <tpl hier="11" item="6"/>
          <tpl hier="12" item="5"/>
          <tpl fld="1" item="0"/>
        </tpls>
      </n>
      <n v="1415006208">
        <tpls c="8">
          <tpl hier="2" item="0"/>
          <tpl hier="4" item="1"/>
          <tpl fld="2" item="42"/>
          <tpl fld="4" item="53"/>
          <tpl hier="9" item="4"/>
          <tpl hier="11" item="6"/>
          <tpl hier="12" item="5"/>
          <tpl fld="1" item="0"/>
        </tpls>
      </n>
      <n v="284119680">
        <tpls c="8">
          <tpl hier="2" item="0"/>
          <tpl hier="4" item="1"/>
          <tpl fld="2" item="19"/>
          <tpl fld="4" item="53"/>
          <tpl hier="9" item="4"/>
          <tpl hier="11" item="6"/>
          <tpl hier="12" item="5"/>
          <tpl fld="1" item="0"/>
        </tpls>
      </n>
      <n v="356171763136">
        <tpls c="8">
          <tpl hier="2" item="0"/>
          <tpl hier="4" item="1"/>
          <tpl hier="5" item="3"/>
          <tpl fld="4" item="52"/>
          <tpl hier="9" item="4"/>
          <tpl hier="11" item="6"/>
          <tpl hier="12" item="5"/>
          <tpl fld="1" item="0"/>
        </tpls>
      </n>
      <n v="5018874368">
        <tpls c="8">
          <tpl hier="2" item="0"/>
          <tpl hier="4" item="1"/>
          <tpl fld="2" item="31"/>
          <tpl fld="4" item="52"/>
          <tpl hier="9" item="4"/>
          <tpl hier="11" item="6"/>
          <tpl hier="12" item="5"/>
          <tpl fld="1" item="0"/>
        </tpls>
      </n>
      <n v="4279638016">
        <tpls c="8">
          <tpl hier="2" item="0"/>
          <tpl hier="4" item="1"/>
          <tpl fld="2" item="10"/>
          <tpl fld="4" item="52"/>
          <tpl hier="9" item="4"/>
          <tpl hier="11" item="6"/>
          <tpl hier="12" item="5"/>
          <tpl fld="1" item="0"/>
        </tpls>
      </n>
      <n v="3972012544">
        <tpls c="8">
          <tpl hier="2" item="0"/>
          <tpl hier="4" item="1"/>
          <tpl fld="2" item="42"/>
          <tpl fld="4" item="51"/>
          <tpl hier="9" item="4"/>
          <tpl hier="11" item="6"/>
          <tpl hier="12" item="5"/>
          <tpl fld="1" item="0"/>
        </tpls>
      </n>
      <n v="1531803008">
        <tpls c="8">
          <tpl hier="2" item="0"/>
          <tpl hier="4" item="1"/>
          <tpl fld="2" item="22"/>
          <tpl fld="4" item="51"/>
          <tpl hier="9" item="4"/>
          <tpl hier="11" item="6"/>
          <tpl hier="12" item="5"/>
          <tpl fld="1" item="0"/>
        </tpls>
      </n>
      <n v="425963360">
        <tpls c="8">
          <tpl hier="2" item="0"/>
          <tpl hier="4" item="1"/>
          <tpl fld="2" item="3"/>
          <tpl fld="4" item="51"/>
          <tpl hier="9" item="4"/>
          <tpl hier="11" item="6"/>
          <tpl hier="12" item="5"/>
          <tpl fld="1" item="0"/>
        </tpls>
      </n>
      <n v="14698001408">
        <tpls c="8">
          <tpl hier="2" item="0"/>
          <tpl hier="4" item="1"/>
          <tpl fld="2" item="35"/>
          <tpl fld="4" item="50"/>
          <tpl hier="9" item="4"/>
          <tpl hier="11" item="6"/>
          <tpl hier="12" item="5"/>
          <tpl fld="1" item="0"/>
        </tpls>
      </n>
      <n v="3661683456">
        <tpls c="8">
          <tpl hier="2" item="0"/>
          <tpl hier="4" item="1"/>
          <tpl fld="2" item="14"/>
          <tpl fld="4" item="50"/>
          <tpl hier="9" item="4"/>
          <tpl hier="11" item="6"/>
          <tpl hier="12" item="5"/>
          <tpl fld="1" item="0"/>
        </tpls>
      </n>
      <n v="99937697792">
        <tpls c="8">
          <tpl hier="2" item="0"/>
          <tpl hier="4" item="1"/>
          <tpl fld="2" item="46"/>
          <tpl fld="4" item="49"/>
          <tpl hier="9" item="4"/>
          <tpl hier="11" item="6"/>
          <tpl hier="12" item="5"/>
          <tpl fld="1" item="0"/>
        </tpls>
      </n>
      <n v="25226393600">
        <tpls c="8">
          <tpl hier="2" item="0"/>
          <tpl hier="4" item="1"/>
          <tpl fld="2" item="26"/>
          <tpl fld="4" item="49"/>
          <tpl hier="9" item="4"/>
          <tpl hier="11" item="6"/>
          <tpl hier="12" item="5"/>
          <tpl fld="1" item="0"/>
        </tpls>
      </n>
      <n v="11026347008">
        <tpls c="8">
          <tpl hier="2" item="0"/>
          <tpl hier="4" item="1"/>
          <tpl fld="2" item="7"/>
          <tpl fld="4" item="49"/>
          <tpl hier="9" item="4"/>
          <tpl hier="11" item="6"/>
          <tpl hier="12" item="5"/>
          <tpl fld="1" item="0"/>
        </tpls>
      </n>
      <n v="43965419520">
        <tpls c="8">
          <tpl hier="2" item="0"/>
          <tpl hier="4" item="1"/>
          <tpl fld="2" item="37"/>
          <tpl fld="4" item="48"/>
          <tpl hier="9" item="4"/>
          <tpl hier="11" item="6"/>
          <tpl hier="12" item="5"/>
          <tpl fld="1" item="0"/>
        </tpls>
      </n>
      <n v="5374315008">
        <tpls c="8">
          <tpl hier="2" item="0"/>
          <tpl hier="4" item="1"/>
          <tpl fld="2" item="18"/>
          <tpl fld="4" item="48"/>
          <tpl hier="9" item="4"/>
          <tpl hier="11" item="6"/>
          <tpl hier="12" item="5"/>
          <tpl fld="1" item="0"/>
        </tpls>
      </n>
      <n v="58792206336">
        <tpls c="8">
          <tpl hier="2" item="0"/>
          <tpl hier="4" item="1"/>
          <tpl fld="2" item="49"/>
          <tpl fld="4" item="47"/>
          <tpl hier="9" item="4"/>
          <tpl hier="11" item="6"/>
          <tpl hier="12" item="5"/>
          <tpl fld="1" item="0"/>
        </tpls>
      </n>
      <n v="10717022208">
        <tpls c="8">
          <tpl hier="2" item="0"/>
          <tpl hier="4" item="1"/>
          <tpl fld="2" item="30"/>
          <tpl fld="4" item="47"/>
          <tpl hier="9" item="4"/>
          <tpl hier="11" item="6"/>
          <tpl hier="12" item="5"/>
          <tpl fld="1" item="0"/>
        </tpls>
      </n>
      <n v="9142935552">
        <tpls c="8">
          <tpl hier="2" item="0"/>
          <tpl hier="4" item="1"/>
          <tpl fld="2" item="9"/>
          <tpl fld="4" item="47"/>
          <tpl hier="9" item="4"/>
          <tpl hier="11" item="6"/>
          <tpl hier="12" item="5"/>
          <tpl fld="1" item="0"/>
        </tpls>
      </n>
      <n v="42262695936">
        <tpls c="8">
          <tpl hier="2" item="0"/>
          <tpl hier="4" item="1"/>
          <tpl fld="2" item="41"/>
          <tpl fld="4" item="46"/>
          <tpl hier="9" item="4"/>
          <tpl hier="11" item="6"/>
          <tpl hier="12" item="5"/>
          <tpl fld="1" item="0"/>
        </tpls>
      </n>
      <n v="7168999424">
        <tpls c="8">
          <tpl hier="2" item="0"/>
          <tpl hier="4" item="1"/>
          <tpl fld="2" item="21"/>
          <tpl fld="4" item="46"/>
          <tpl hier="9" item="4"/>
          <tpl hier="11" item="6"/>
          <tpl hier="12" item="5"/>
          <tpl fld="1" item="0"/>
        </tpls>
      </n>
      <n v="1238251648">
        <tpls c="8">
          <tpl hier="2" item="0"/>
          <tpl hier="4" item="1"/>
          <tpl fld="2" item="2"/>
          <tpl fld="4" item="46"/>
          <tpl hier="9" item="4"/>
          <tpl hier="11" item="6"/>
          <tpl hier="12" item="5"/>
          <tpl fld="1" item="0"/>
        </tpls>
      </n>
      <n v="4648628736">
        <tpls c="8">
          <tpl hier="2" item="0"/>
          <tpl hier="4" item="1"/>
          <tpl fld="2" item="34"/>
          <tpl fld="4" item="45"/>
          <tpl hier="9" item="4"/>
          <tpl hier="11" item="6"/>
          <tpl hier="12" item="5"/>
          <tpl fld="1" item="0"/>
        </tpls>
      </n>
      <n v="2097274240">
        <tpls c="8">
          <tpl hier="2" item="0"/>
          <tpl hier="4" item="1"/>
          <tpl fld="2" item="13"/>
          <tpl fld="4" item="45"/>
          <tpl hier="9" item="4"/>
          <tpl hier="11" item="6"/>
          <tpl hier="12" item="5"/>
          <tpl fld="1" item="0"/>
        </tpls>
      </n>
      <n v="37917704192">
        <tpls c="8">
          <tpl hier="2" item="0"/>
          <tpl hier="4" item="1"/>
          <tpl fld="2" item="45"/>
          <tpl fld="4" item="44"/>
          <tpl hier="9" item="4"/>
          <tpl hier="11" item="6"/>
          <tpl hier="12" item="5"/>
          <tpl fld="1" item="0"/>
        </tpls>
      </n>
      <n v="5643439616">
        <tpls c="8">
          <tpl hier="2" item="0"/>
          <tpl hier="4" item="1"/>
          <tpl fld="2" item="25"/>
          <tpl fld="4" item="44"/>
          <tpl hier="9" item="4"/>
          <tpl hier="11" item="6"/>
          <tpl hier="12" item="5"/>
          <tpl fld="1" item="0"/>
        </tpls>
      </n>
      <n v="9648583680">
        <tpls c="8">
          <tpl hier="2" item="0"/>
          <tpl hier="4" item="1"/>
          <tpl fld="2" item="6"/>
          <tpl fld="4" item="44"/>
          <tpl hier="9" item="4"/>
          <tpl hier="11" item="6"/>
          <tpl hier="12" item="5"/>
          <tpl fld="1" item="0"/>
        </tpls>
      </n>
      <n v="161618575360">
        <tpls c="8">
          <tpl hier="2" item="0"/>
          <tpl hier="4" item="1"/>
          <tpl fld="2" item="36"/>
          <tpl fld="4" item="43"/>
          <tpl hier="9" item="4"/>
          <tpl hier="11" item="6"/>
          <tpl hier="12" item="5"/>
          <tpl fld="1" item="0"/>
        </tpls>
      </n>
      <n v="36373307392">
        <tpls c="8">
          <tpl hier="2" item="0"/>
          <tpl hier="4" item="1"/>
          <tpl fld="2" item="17"/>
          <tpl fld="4" item="43"/>
          <tpl hier="9" item="4"/>
          <tpl hier="11" item="6"/>
          <tpl hier="12" item="5"/>
          <tpl fld="1" item="0"/>
        </tpls>
      </n>
      <n v="282318143488">
        <tpls c="8">
          <tpl hier="2" item="0"/>
          <tpl hier="4" item="1"/>
          <tpl fld="2" item="49"/>
          <tpl fld="4" item="42"/>
          <tpl hier="9" item="4"/>
          <tpl hier="11" item="6"/>
          <tpl hier="12" item="5"/>
          <tpl fld="1" item="0"/>
        </tpls>
      </n>
      <n v="70979919872">
        <tpls c="8">
          <tpl hier="2" item="0"/>
          <tpl hier="4" item="1"/>
          <tpl fld="2" item="31"/>
          <tpl fld="4" item="42"/>
          <tpl hier="9" item="4"/>
          <tpl hier="11" item="6"/>
          <tpl hier="12" item="5"/>
          <tpl fld="1" item="0"/>
        </tpls>
      </n>
      <n v="20355958784">
        <tpls c="8">
          <tpl hier="2" item="0"/>
          <tpl hier="4" item="1"/>
          <tpl fld="2" item="13"/>
          <tpl fld="4" item="42"/>
          <tpl hier="9" item="4"/>
          <tpl hier="11" item="6"/>
          <tpl hier="12" item="5"/>
          <tpl fld="1" item="0"/>
        </tpls>
      </n>
      <n v="10000395264">
        <tpls c="8">
          <tpl hier="2" item="0"/>
          <tpl hier="4" item="1"/>
          <tpl fld="2" item="47"/>
          <tpl fld="4" item="41"/>
          <tpl hier="9" item="4"/>
          <tpl hier="11" item="6"/>
          <tpl hier="12" item="5"/>
          <tpl fld="1" item="0"/>
        </tpls>
      </n>
      <n v="1385058176">
        <tpls c="8">
          <tpl hier="2" item="0"/>
          <tpl hier="4" item="1"/>
          <tpl fld="2" item="30"/>
          <tpl fld="4" item="41"/>
          <tpl hier="9" item="4"/>
          <tpl hier="11" item="6"/>
          <tpl hier="12" item="5"/>
          <tpl fld="1" item="0"/>
        </tpls>
      </n>
      <n v="834369856">
        <tpls c="8">
          <tpl hier="2" item="0"/>
          <tpl hier="4" item="1"/>
          <tpl fld="2" item="12"/>
          <tpl fld="4" item="41"/>
          <tpl hier="9" item="4"/>
          <tpl hier="11" item="6"/>
          <tpl hier="12" item="5"/>
          <tpl fld="1" item="0"/>
        </tpls>
      </n>
      <n v="1825018240">
        <tpls c="8">
          <tpl hier="2" item="0"/>
          <tpl hier="4" item="1"/>
          <tpl fld="2" item="46"/>
          <tpl fld="4" item="40"/>
          <tpl hier="9" item="4"/>
          <tpl hier="11" item="6"/>
          <tpl hier="12" item="5"/>
          <tpl fld="1" item="0"/>
        </tpls>
      </n>
      <n v="999477504">
        <tpls c="8">
          <tpl hier="2" item="0"/>
          <tpl hier="4" item="1"/>
          <tpl fld="2" item="29"/>
          <tpl fld="4" item="40"/>
          <tpl hier="9" item="4"/>
          <tpl hier="11" item="6"/>
          <tpl hier="12" item="5"/>
          <tpl fld="1" item="0"/>
        </tpls>
      </n>
      <n v="658679424">
        <tpls c="8">
          <tpl hier="2" item="0"/>
          <tpl hier="4" item="1"/>
          <tpl fld="2" item="13"/>
          <tpl fld="4" item="40"/>
          <tpl hier="9" item="4"/>
          <tpl hier="11" item="6"/>
          <tpl hier="12" item="5"/>
          <tpl fld="1" item="0"/>
        </tpls>
      </n>
      <n v="38694096896">
        <tpls c="8">
          <tpl hier="2" item="0"/>
          <tpl hier="4" item="1"/>
          <tpl fld="2" item="48"/>
          <tpl fld="4" item="39"/>
          <tpl hier="9" item="4"/>
          <tpl hier="11" item="6"/>
          <tpl hier="12" item="5"/>
          <tpl fld="1" item="0"/>
        </tpls>
      </n>
      <n v="11579342848">
        <tpls c="8">
          <tpl hier="2" item="0"/>
          <tpl hier="4" item="1"/>
          <tpl fld="2" item="32"/>
          <tpl fld="4" item="39"/>
          <tpl hier="9" item="4"/>
          <tpl hier="11" item="6"/>
          <tpl hier="12" item="5"/>
          <tpl fld="1" item="0"/>
        </tpls>
      </n>
      <n v="10621158400">
        <tpls c="8">
          <tpl hier="2" item="0"/>
          <tpl hier="4" item="1"/>
          <tpl fld="2" item="16"/>
          <tpl fld="4" item="39"/>
          <tpl hier="9" item="4"/>
          <tpl hier="11" item="6"/>
          <tpl hier="12" item="5"/>
          <tpl fld="1" item="0"/>
        </tpls>
      </n>
      <n v="1160002304">
        <tpls c="8">
          <tpl hier="2" item="0"/>
          <tpl hier="4" item="1"/>
          <tpl fld="2" item="0"/>
          <tpl fld="4" item="39"/>
          <tpl hier="9" item="4"/>
          <tpl hier="11" item="6"/>
          <tpl hier="12" item="5"/>
          <tpl fld="1" item="0"/>
        </tpls>
      </n>
      <n v="1117113088">
        <tpls c="8">
          <tpl hier="2" item="0"/>
          <tpl hier="4" item="1"/>
          <tpl fld="2" item="35"/>
          <tpl fld="4" item="38"/>
          <tpl hier="9" item="4"/>
          <tpl hier="11" item="6"/>
          <tpl hier="12" item="5"/>
          <tpl fld="1" item="0"/>
        </tpls>
      </n>
      <n v="1113924096">
        <tpls c="8">
          <tpl hier="2" item="0"/>
          <tpl hier="4" item="1"/>
          <tpl fld="2" item="19"/>
          <tpl fld="4" item="38"/>
          <tpl hier="9" item="4"/>
          <tpl hier="11" item="6"/>
          <tpl hier="12" item="5"/>
          <tpl fld="1" item="0"/>
        </tpls>
      </n>
      <n v="304339840">
        <tpls c="8">
          <tpl hier="2" item="0"/>
          <tpl hier="4" item="1"/>
          <tpl fld="2" item="3"/>
          <tpl fld="4" item="38"/>
          <tpl hier="9" item="4"/>
          <tpl hier="11" item="6"/>
          <tpl hier="12" item="5"/>
          <tpl fld="1" item="0"/>
        </tpls>
      </n>
      <n v="9413336064">
        <tpls c="8">
          <tpl hier="2" item="0"/>
          <tpl hier="4" item="1"/>
          <tpl fld="2" item="38"/>
          <tpl fld="4" item="37"/>
          <tpl hier="9" item="4"/>
          <tpl hier="11" item="6"/>
          <tpl hier="12" item="5"/>
          <tpl fld="1" item="0"/>
        </tpls>
      </n>
      <n v="2240264704">
        <tpls c="8">
          <tpl hier="2" item="0"/>
          <tpl hier="4" item="1"/>
          <tpl fld="2" item="22"/>
          <tpl fld="4" item="37"/>
          <tpl hier="9" item="4"/>
          <tpl hier="11" item="6"/>
          <tpl hier="12" item="5"/>
          <tpl fld="1" item="0"/>
        </tpls>
      </n>
      <n v="976547584">
        <tpls c="8">
          <tpl hier="2" item="0"/>
          <tpl hier="4" item="1"/>
          <tpl fld="2" item="6"/>
          <tpl fld="4" item="37"/>
          <tpl hier="9" item="4"/>
          <tpl hier="11" item="6"/>
          <tpl hier="12" item="5"/>
          <tpl fld="1" item="0"/>
        </tpls>
      </n>
      <n v="2616201052160">
        <tpls c="8">
          <tpl hier="2" item="0"/>
          <tpl hier="4" item="1"/>
          <tpl fld="2" item="41"/>
          <tpl fld="4" item="36"/>
          <tpl hier="9" item="4"/>
          <tpl hier="11" item="6"/>
          <tpl hier="12" item="5"/>
          <tpl fld="1" item="0"/>
        </tpls>
      </n>
      <n v="769305411584">
        <tpls c="8">
          <tpl hier="2" item="0"/>
          <tpl hier="4" item="1"/>
          <tpl fld="2" item="25"/>
          <tpl fld="4" item="36"/>
          <tpl hier="9" item="4"/>
          <tpl hier="11" item="6"/>
          <tpl hier="12" item="5"/>
          <tpl fld="1" item="0"/>
        </tpls>
      </n>
      <n v="224969490432">
        <tpls c="8">
          <tpl hier="2" item="0"/>
          <tpl hier="4" item="1"/>
          <tpl fld="2" item="9"/>
          <tpl fld="4" item="36"/>
          <tpl hier="9" item="4"/>
          <tpl hier="11" item="6"/>
          <tpl hier="12" item="5"/>
          <tpl fld="1" item="0"/>
        </tpls>
      </n>
      <n v="16250749952">
        <tpls c="8">
          <tpl hier="2" item="0"/>
          <tpl hier="4" item="1"/>
          <tpl fld="2" item="44"/>
          <tpl fld="4" item="35"/>
          <tpl hier="9" item="4"/>
          <tpl hier="11" item="6"/>
          <tpl hier="12" item="5"/>
          <tpl fld="1" item="0"/>
        </tpls>
      </n>
      <n v="4790458880">
        <tpls c="8">
          <tpl hier="2" item="0"/>
          <tpl hier="4" item="1"/>
          <tpl fld="2" item="28"/>
          <tpl fld="4" item="35"/>
          <tpl hier="9" item="4"/>
          <tpl hier="11" item="6"/>
          <tpl hier="12" item="5"/>
          <tpl fld="1" item="0"/>
        </tpls>
      </n>
      <n v="1014907264">
        <tpls c="8">
          <tpl hier="2" item="0"/>
          <tpl hier="4" item="1"/>
          <tpl fld="2" item="12"/>
          <tpl fld="4" item="35"/>
          <tpl hier="9" item="4"/>
          <tpl hier="11" item="6"/>
          <tpl hier="12" item="5"/>
          <tpl fld="1" item="0"/>
        </tpls>
      </n>
      <n v="37508640768">
        <tpls c="8">
          <tpl hier="2" item="0"/>
          <tpl hier="4" item="1"/>
          <tpl fld="2" item="47"/>
          <tpl fld="4" item="34"/>
          <tpl hier="9" item="4"/>
          <tpl hier="11" item="6"/>
          <tpl hier="12" item="5"/>
          <tpl fld="1" item="0"/>
        </tpls>
      </n>
      <n v="8141537792">
        <tpls c="8">
          <tpl hier="2" item="0"/>
          <tpl hier="4" item="1"/>
          <tpl fld="2" item="31"/>
          <tpl fld="4" item="34"/>
          <tpl hier="9" item="4"/>
          <tpl hier="11" item="6"/>
          <tpl hier="12" item="5"/>
          <tpl fld="1" item="0"/>
        </tpls>
      </n>
      <n v="5377277440">
        <tpls c="8">
          <tpl hier="2" item="0"/>
          <tpl hier="4" item="1"/>
          <tpl fld="2" item="15"/>
          <tpl fld="4" item="34"/>
          <tpl hier="9" item="4"/>
          <tpl hier="11" item="6"/>
          <tpl hier="12" item="5"/>
          <tpl fld="1" item="0"/>
        </tpls>
      </n>
      <n v="18902284288">
        <tpls c="8">
          <tpl hier="2" item="0"/>
          <tpl hier="4" item="1"/>
          <tpl fld="2" item="49"/>
          <tpl fld="4" item="92"/>
          <tpl hier="9" item="4"/>
          <tpl hier="11" item="6"/>
          <tpl hier="12" item="5"/>
          <tpl fld="1" item="0"/>
        </tpls>
      </n>
      <n v="1640763264">
        <tpls c="8">
          <tpl hier="2" item="0"/>
          <tpl hier="4" item="1"/>
          <tpl fld="2" item="7"/>
          <tpl fld="4" item="80"/>
          <tpl hier="9" item="4"/>
          <tpl hier="11" item="6"/>
          <tpl hier="12" item="5"/>
          <tpl fld="1" item="0"/>
        </tpls>
      </n>
      <n v="202257629184">
        <tpls c="8">
          <tpl hier="2" item="0"/>
          <tpl hier="4" item="1"/>
          <tpl fld="2" item="39"/>
          <tpl fld="4" item="68"/>
          <tpl hier="9" item="4"/>
          <tpl hier="11" item="6"/>
          <tpl hier="12" item="5"/>
          <tpl fld="1" item="0"/>
        </tpls>
      </n>
      <n v="12705356800">
        <tpls c="8">
          <tpl hier="2" item="0"/>
          <tpl hier="4" item="1"/>
          <tpl fld="2" item="30"/>
          <tpl fld="4" item="63"/>
          <tpl hier="9" item="4"/>
          <tpl hier="11" item="6"/>
          <tpl hier="12" item="5"/>
          <tpl fld="1" item="0"/>
        </tpls>
      </n>
      <n v="16458071040">
        <tpls c="8">
          <tpl hier="2" item="0"/>
          <tpl hier="4" item="1"/>
          <tpl fld="2" item="49"/>
          <tpl fld="4" item="62"/>
          <tpl hier="9" item="4"/>
          <tpl hier="11" item="6"/>
          <tpl hier="12" item="5"/>
          <tpl fld="1" item="0"/>
        </tpls>
      </n>
      <n v="4404969984">
        <tpls c="8">
          <tpl hier="2" item="0"/>
          <tpl hier="4" item="1"/>
          <tpl fld="2" item="19"/>
          <tpl fld="4" item="62"/>
          <tpl hier="9" item="4"/>
          <tpl hier="11" item="6"/>
          <tpl hier="12" item="5"/>
          <tpl fld="1" item="0"/>
        </tpls>
      </n>
      <n v="234637672448">
        <tpls c="8">
          <tpl hier="2" item="0"/>
          <tpl hier="4" item="1"/>
          <tpl fld="2" item="43"/>
          <tpl fld="4" item="61"/>
          <tpl hier="9" item="4"/>
          <tpl hier="11" item="6"/>
          <tpl hier="12" item="5"/>
          <tpl fld="1" item="0"/>
        </tpls>
      </n>
      <n v="40595046400">
        <tpls c="8">
          <tpl hier="2" item="0"/>
          <tpl hier="4" item="1"/>
          <tpl fld="2" item="13"/>
          <tpl fld="4" item="61"/>
          <tpl hier="9" item="4"/>
          <tpl hier="11" item="6"/>
          <tpl hier="12" item="5"/>
          <tpl fld="1" item="0"/>
        </tpls>
      </n>
      <n v="1198895529984">
        <tpls c="8">
          <tpl hier="2" item="0"/>
          <tpl hier="4" item="1"/>
          <tpl fld="2" item="38"/>
          <tpl fld="4" item="60"/>
          <tpl hier="9" item="4"/>
          <tpl hier="11" item="6"/>
          <tpl hier="12" item="5"/>
          <tpl fld="1" item="0"/>
        </tpls>
      </n>
      <n v="137300295680">
        <tpls c="8">
          <tpl hier="2" item="0"/>
          <tpl hier="4" item="1"/>
          <tpl fld="2" item="8"/>
          <tpl fld="4" item="60"/>
          <tpl hier="9" item="4"/>
          <tpl hier="11" item="6"/>
          <tpl hier="12" item="5"/>
          <tpl fld="1" item="0"/>
        </tpls>
      </n>
      <n v="9672035328">
        <tpls c="8">
          <tpl hier="2" item="0"/>
          <tpl hier="4" item="1"/>
          <tpl fld="2" item="35"/>
          <tpl fld="4" item="59"/>
          <tpl hier="9" item="4"/>
          <tpl hier="11" item="6"/>
          <tpl hier="12" item="5"/>
          <tpl fld="1" item="0"/>
        </tpls>
      </n>
      <n v="4266503424">
        <tpls c="8">
          <tpl hier="2" item="0"/>
          <tpl hier="4" item="1"/>
          <tpl fld="2" item="12"/>
          <tpl fld="4" item="59"/>
          <tpl hier="9" item="4"/>
          <tpl hier="11" item="6"/>
          <tpl hier="12" item="5"/>
          <tpl fld="1" item="0"/>
        </tpls>
      </n>
      <n v="6584649216">
        <tpls c="8">
          <tpl hier="2" item="0"/>
          <tpl hier="4" item="1"/>
          <tpl fld="2" item="39"/>
          <tpl fld="4" item="58"/>
          <tpl hier="9" item="4"/>
          <tpl hier="11" item="6"/>
          <tpl hier="12" item="5"/>
          <tpl fld="1" item="0"/>
        </tpls>
      </n>
      <n v="2047200000">
        <tpls c="8">
          <tpl hier="2" item="0"/>
          <tpl hier="4" item="1"/>
          <tpl fld="2" item="17"/>
          <tpl fld="4" item="58"/>
          <tpl hier="9" item="4"/>
          <tpl hier="11" item="6"/>
          <tpl hier="12" item="5"/>
          <tpl fld="1" item="0"/>
        </tpls>
      </n>
      <n v="3504024320">
        <tpls c="8">
          <tpl hier="2" item="0"/>
          <tpl hier="4" item="1"/>
          <tpl fld="2" item="46"/>
          <tpl fld="4" item="57"/>
          <tpl hier="9" item="4"/>
          <tpl hier="11" item="6"/>
          <tpl hier="12" item="5"/>
          <tpl fld="1" item="0"/>
        </tpls>
      </n>
      <n v="373573152">
        <tpls c="8">
          <tpl hier="2" item="0"/>
          <tpl hier="4" item="1"/>
          <tpl fld="2" item="22"/>
          <tpl fld="4" item="57"/>
          <tpl hier="9" item="4"/>
          <tpl hier="11" item="6"/>
          <tpl hier="12" item="5"/>
          <tpl fld="1" item="0"/>
        </tpls>
      </n>
      <n v="22152259112">
        <tpls c="8">
          <tpl hier="2" item="0"/>
          <tpl hier="4" item="1"/>
          <tpl hier="5" item="3"/>
          <tpl fld="4" item="56"/>
          <tpl hier="9" item="4"/>
          <tpl hier="11" item="6"/>
          <tpl hier="12" item="5"/>
          <tpl fld="1" item="0"/>
        </tpls>
      </n>
      <n v="270419776">
        <tpls c="8">
          <tpl hier="2" item="0"/>
          <tpl hier="4" item="1"/>
          <tpl fld="2" item="26"/>
          <tpl fld="4" item="56"/>
          <tpl hier="9" item="4"/>
          <tpl hier="11" item="6"/>
          <tpl hier="12" item="5"/>
          <tpl fld="1" item="0"/>
        </tpls>
      </n>
      <n v="89374240">
        <tpls c="8">
          <tpl hier="2" item="0"/>
          <tpl hier="4" item="1"/>
          <tpl fld="2" item="3"/>
          <tpl fld="4" item="56"/>
          <tpl hier="9" item="4"/>
          <tpl hier="11" item="6"/>
          <tpl hier="12" item="5"/>
          <tpl fld="1" item="0"/>
        </tpls>
      </n>
      <n v="19288827904">
        <tpls c="8">
          <tpl hier="2" item="0"/>
          <tpl hier="4" item="1"/>
          <tpl fld="2" item="30"/>
          <tpl fld="4" item="55"/>
          <tpl hier="9" item="4"/>
          <tpl hier="11" item="6"/>
          <tpl hier="12" item="5"/>
          <tpl fld="1" item="0"/>
        </tpls>
      </n>
      <n v="5480500224">
        <tpls c="8">
          <tpl hier="2" item="0"/>
          <tpl hier="4" item="1"/>
          <tpl fld="2" item="7"/>
          <tpl fld="4" item="55"/>
          <tpl hier="9" item="4"/>
          <tpl hier="11" item="6"/>
          <tpl hier="12" item="5"/>
          <tpl fld="1" item="0"/>
        </tpls>
      </n>
      <n v="8881368064">
        <tpls c="8">
          <tpl hier="2" item="0"/>
          <tpl hier="4" item="1"/>
          <tpl fld="2" item="34"/>
          <tpl fld="4" item="54"/>
          <tpl hier="9" item="4"/>
          <tpl hier="11" item="6"/>
          <tpl hier="12" item="5"/>
          <tpl fld="1" item="0"/>
        </tpls>
      </n>
      <n v="4222441728">
        <tpls c="8">
          <tpl hier="2" item="0"/>
          <tpl hier="4" item="1"/>
          <tpl fld="2" item="11"/>
          <tpl fld="4" item="54"/>
          <tpl hier="9" item="4"/>
          <tpl hier="11" item="6"/>
          <tpl hier="12" item="5"/>
          <tpl fld="1" item="0"/>
        </tpls>
      </n>
      <n v="1561763456">
        <tpls c="8">
          <tpl hier="2" item="0"/>
          <tpl hier="4" item="1"/>
          <tpl fld="2" item="38"/>
          <tpl fld="4" item="53"/>
          <tpl hier="9" item="4"/>
          <tpl hier="11" item="6"/>
          <tpl hier="12" item="5"/>
          <tpl fld="1" item="0"/>
        </tpls>
      </n>
      <n v="266673120">
        <tpls c="8">
          <tpl hier="2" item="0"/>
          <tpl hier="4" item="1"/>
          <tpl fld="2" item="18"/>
          <tpl fld="4" item="53"/>
          <tpl hier="9" item="4"/>
          <tpl hier="11" item="6"/>
          <tpl hier="12" item="5"/>
          <tpl fld="1" item="0"/>
        </tpls>
      </n>
      <n v="16657959936">
        <tpls c="8">
          <tpl hier="2" item="0"/>
          <tpl hier="4" item="1"/>
          <tpl fld="2" item="49"/>
          <tpl fld="4" item="52"/>
          <tpl hier="9" item="4"/>
          <tpl hier="11" item="6"/>
          <tpl hier="12" item="5"/>
          <tpl fld="1" item="0"/>
        </tpls>
      </n>
      <n v="5067865088">
        <tpls c="8">
          <tpl hier="2" item="0"/>
          <tpl hier="4" item="1"/>
          <tpl fld="2" item="30"/>
          <tpl fld="4" item="52"/>
          <tpl hier="9" item="4"/>
          <tpl hier="11" item="6"/>
          <tpl hier="12" item="5"/>
          <tpl fld="1" item="0"/>
        </tpls>
      </n>
      <n v="3030251008">
        <tpls c="8">
          <tpl hier="2" item="0"/>
          <tpl hier="4" item="1"/>
          <tpl fld="2" item="9"/>
          <tpl fld="4" item="52"/>
          <tpl hier="9" item="4"/>
          <tpl hier="11" item="6"/>
          <tpl hier="12" item="5"/>
          <tpl fld="1" item="0"/>
        </tpls>
      </n>
      <n v="3774530560">
        <tpls c="8">
          <tpl hier="2" item="0"/>
          <tpl hier="4" item="1"/>
          <tpl fld="2" item="41"/>
          <tpl fld="4" item="51"/>
          <tpl hier="9" item="4"/>
          <tpl hier="11" item="6"/>
          <tpl hier="12" item="5"/>
          <tpl fld="1" item="0"/>
        </tpls>
      </n>
      <n v="1383843840">
        <tpls c="8">
          <tpl hier="2" item="0"/>
          <tpl hier="4" item="1"/>
          <tpl fld="2" item="21"/>
          <tpl fld="4" item="51"/>
          <tpl hier="9" item="4"/>
          <tpl hier="11" item="6"/>
          <tpl hier="12" item="5"/>
          <tpl fld="1" item="0"/>
        </tpls>
      </n>
      <n v="316650496">
        <tpls c="8">
          <tpl hier="2" item="0"/>
          <tpl hier="4" item="1"/>
          <tpl fld="2" item="2"/>
          <tpl fld="4" item="51"/>
          <tpl hier="9" item="4"/>
          <tpl hier="11" item="6"/>
          <tpl hier="12" item="5"/>
          <tpl fld="1" item="0"/>
        </tpls>
      </n>
      <n v="12664189952">
        <tpls c="8">
          <tpl hier="2" item="0"/>
          <tpl hier="4" item="1"/>
          <tpl fld="2" item="32"/>
          <tpl fld="4" item="50"/>
          <tpl hier="9" item="4"/>
          <tpl hier="11" item="6"/>
          <tpl hier="12" item="5"/>
          <tpl fld="1" item="0"/>
        </tpls>
      </n>
      <n v="3506347776">
        <tpls c="8">
          <tpl hier="2" item="0"/>
          <tpl hier="4" item="1"/>
          <tpl fld="2" item="13"/>
          <tpl fld="4" item="50"/>
          <tpl hier="9" item="4"/>
          <tpl hier="11" item="6"/>
          <tpl hier="12" item="5"/>
          <tpl fld="1" item="0"/>
        </tpls>
      </n>
      <n v="101726330880">
        <tpls c="8">
          <tpl hier="2" item="0"/>
          <tpl hier="4" item="1"/>
          <tpl fld="2" item="44"/>
          <tpl fld="4" item="49"/>
          <tpl hier="9" item="4"/>
          <tpl hier="11" item="6"/>
          <tpl hier="12" item="5"/>
          <tpl fld="1" item="0"/>
        </tpls>
      </n>
      <n v="24432883712">
        <tpls c="8">
          <tpl hier="2" item="0"/>
          <tpl hier="4" item="1"/>
          <tpl fld="2" item="25"/>
          <tpl fld="4" item="49"/>
          <tpl hier="9" item="4"/>
          <tpl hier="11" item="6"/>
          <tpl hier="12" item="5"/>
          <tpl fld="1" item="0"/>
        </tpls>
      </n>
      <n v="9091923968">
        <tpls c="8">
          <tpl hier="2" item="0"/>
          <tpl hier="4" item="1"/>
          <tpl fld="2" item="6"/>
          <tpl fld="4" item="49"/>
          <tpl hier="9" item="4"/>
          <tpl hier="11" item="6"/>
          <tpl hier="12" item="5"/>
          <tpl fld="1" item="0"/>
        </tpls>
      </n>
      <n v="38116352000">
        <tpls c="8">
          <tpl hier="2" item="0"/>
          <tpl hier="4" item="1"/>
          <tpl fld="2" item="36"/>
          <tpl fld="4" item="48"/>
          <tpl hier="9" item="4"/>
          <tpl hier="11" item="6"/>
          <tpl hier="12" item="5"/>
          <tpl fld="1" item="0"/>
        </tpls>
      </n>
      <n v="5826987008">
        <tpls c="8">
          <tpl hier="2" item="0"/>
          <tpl hier="4" item="1"/>
          <tpl fld="2" item="17"/>
          <tpl fld="4" item="48"/>
          <tpl hier="9" item="4"/>
          <tpl hier="11" item="6"/>
          <tpl hier="12" item="5"/>
          <tpl fld="1" item="0"/>
        </tpls>
      </n>
      <n v="57724731392">
        <tpls c="8">
          <tpl hier="2" item="0"/>
          <tpl hier="4" item="1"/>
          <tpl fld="2" item="48"/>
          <tpl fld="4" item="47"/>
          <tpl hier="9" item="4"/>
          <tpl hier="11" item="6"/>
          <tpl hier="12" item="5"/>
          <tpl fld="1" item="0"/>
        </tpls>
      </n>
      <n v="12376639488">
        <tpls c="8">
          <tpl hier="2" item="0"/>
          <tpl hier="4" item="1"/>
          <tpl fld="2" item="29"/>
          <tpl fld="4" item="47"/>
          <tpl hier="9" item="4"/>
          <tpl hier="11" item="6"/>
          <tpl hier="12" item="5"/>
          <tpl fld="1" item="0"/>
        </tpls>
      </n>
      <n v="7900525056">
        <tpls c="8">
          <tpl hier="2" item="0"/>
          <tpl hier="4" item="1"/>
          <tpl fld="2" item="8"/>
          <tpl fld="4" item="47"/>
          <tpl hier="9" item="4"/>
          <tpl hier="11" item="6"/>
          <tpl hier="12" item="5"/>
          <tpl fld="1" item="0"/>
        </tpls>
      </n>
      <n v="37268615168">
        <tpls c="8">
          <tpl hier="2" item="0"/>
          <tpl hier="4" item="1"/>
          <tpl fld="2" item="40"/>
          <tpl fld="4" item="46"/>
          <tpl hier="9" item="4"/>
          <tpl hier="11" item="6"/>
          <tpl hier="12" item="5"/>
          <tpl fld="1" item="0"/>
        </tpls>
      </n>
      <n v="5711687680">
        <tpls c="8">
          <tpl hier="2" item="0"/>
          <tpl hier="4" item="1"/>
          <tpl fld="2" item="20"/>
          <tpl fld="4" item="46"/>
          <tpl hier="9" item="4"/>
          <tpl hier="11" item="6"/>
          <tpl hier="12" item="5"/>
          <tpl fld="1" item="0"/>
        </tpls>
      </n>
      <n v="1077152896">
        <tpls c="8">
          <tpl hier="2" item="0"/>
          <tpl hier="4" item="1"/>
          <tpl fld="2" item="1"/>
          <tpl fld="4" item="46"/>
          <tpl hier="9" item="4"/>
          <tpl hier="11" item="6"/>
          <tpl hier="12" item="5"/>
          <tpl fld="1" item="0"/>
        </tpls>
      </n>
      <n v="2794259712">
        <tpls c="8">
          <tpl hier="2" item="0"/>
          <tpl hier="4" item="1"/>
          <tpl fld="2" item="31"/>
          <tpl fld="4" item="45"/>
          <tpl hier="9" item="4"/>
          <tpl hier="11" item="6"/>
          <tpl hier="12" item="5"/>
          <tpl fld="1" item="0"/>
        </tpls>
      </n>
      <n v="2160640512">
        <tpls c="8">
          <tpl hier="2" item="0"/>
          <tpl hier="4" item="1"/>
          <tpl fld="2" item="12"/>
          <tpl fld="4" item="45"/>
          <tpl hier="9" item="4"/>
          <tpl hier="11" item="6"/>
          <tpl hier="12" item="5"/>
          <tpl fld="1" item="0"/>
        </tpls>
      </n>
      <n v="32679745536">
        <tpls c="8">
          <tpl hier="2" item="0"/>
          <tpl hier="4" item="1"/>
          <tpl fld="2" item="43"/>
          <tpl fld="4" item="44"/>
          <tpl hier="9" item="4"/>
          <tpl hier="11" item="6"/>
          <tpl hier="12" item="5"/>
          <tpl fld="1" item="0"/>
        </tpls>
      </n>
      <n v="5820382208">
        <tpls c="8">
          <tpl hier="2" item="0"/>
          <tpl hier="4" item="1"/>
          <tpl fld="2" item="24"/>
          <tpl fld="4" item="44"/>
          <tpl hier="9" item="4"/>
          <tpl hier="11" item="6"/>
          <tpl hier="12" item="5"/>
          <tpl fld="1" item="0"/>
        </tpls>
      </n>
      <n v="10237342720">
        <tpls c="8">
          <tpl hier="2" item="0"/>
          <tpl hier="4" item="1"/>
          <tpl fld="2" item="5"/>
          <tpl fld="4" item="44"/>
          <tpl hier="9" item="4"/>
          <tpl hier="11" item="6"/>
          <tpl hier="12" item="5"/>
          <tpl fld="1" item="0"/>
        </tpls>
      </n>
      <n v="145619189760">
        <tpls c="8">
          <tpl hier="2" item="0"/>
          <tpl hier="4" item="1"/>
          <tpl fld="2" item="35"/>
          <tpl fld="4" item="43"/>
          <tpl hier="9" item="4"/>
          <tpl hier="11" item="6"/>
          <tpl hier="12" item="5"/>
          <tpl fld="1" item="0"/>
        </tpls>
      </n>
      <n v="34942488576">
        <tpls c="8">
          <tpl hier="2" item="0"/>
          <tpl hier="4" item="1"/>
          <tpl fld="2" item="16"/>
          <tpl fld="4" item="43"/>
          <tpl hier="9" item="4"/>
          <tpl hier="11" item="6"/>
          <tpl hier="12" item="5"/>
          <tpl fld="1" item="0"/>
        </tpls>
      </n>
      <n v="298258006016">
        <tpls c="8">
          <tpl hier="2" item="0"/>
          <tpl hier="4" item="1"/>
          <tpl fld="2" item="48"/>
          <tpl fld="4" item="42"/>
          <tpl hier="9" item="4"/>
          <tpl hier="11" item="6"/>
          <tpl hier="12" item="5"/>
          <tpl fld="1" item="0"/>
        </tpls>
      </n>
      <n v="77860929536">
        <tpls c="8">
          <tpl hier="2" item="0"/>
          <tpl hier="4" item="1"/>
          <tpl fld="2" item="30"/>
          <tpl fld="4" item="42"/>
          <tpl hier="9" item="4"/>
          <tpl hier="11" item="6"/>
          <tpl hier="12" item="5"/>
          <tpl fld="1" item="0"/>
        </tpls>
      </n>
      <n v="25325893632">
        <tpls c="8">
          <tpl hier="2" item="0"/>
          <tpl hier="4" item="1"/>
          <tpl fld="2" item="12"/>
          <tpl fld="4" item="42"/>
          <tpl hier="9" item="4"/>
          <tpl hier="11" item="6"/>
          <tpl hier="12" item="5"/>
          <tpl fld="1" item="0"/>
        </tpls>
      </n>
      <n v="10097778688">
        <tpls c="8">
          <tpl hier="2" item="0"/>
          <tpl hier="4" item="1"/>
          <tpl fld="2" item="46"/>
          <tpl fld="4" item="41"/>
          <tpl hier="9" item="4"/>
          <tpl hier="11" item="6"/>
          <tpl hier="12" item="5"/>
          <tpl fld="1" item="0"/>
        </tpls>
      </n>
      <n v="1744794496">
        <tpls c="8">
          <tpl hier="2" item="0"/>
          <tpl hier="4" item="1"/>
          <tpl fld="2" item="28"/>
          <tpl fld="4" item="41"/>
          <tpl hier="9" item="4"/>
          <tpl hier="11" item="6"/>
          <tpl hier="12" item="5"/>
          <tpl fld="1" item="0"/>
        </tpls>
      </n>
      <n v="876937536">
        <tpls c="8">
          <tpl hier="2" item="0"/>
          <tpl hier="4" item="1"/>
          <tpl fld="2" item="11"/>
          <tpl fld="4" item="41"/>
          <tpl hier="9" item="4"/>
          <tpl hier="11" item="6"/>
          <tpl hier="12" item="5"/>
          <tpl fld="1" item="0"/>
        </tpls>
      </n>
      <n v="1695825664">
        <tpls c="8">
          <tpl hier="2" item="0"/>
          <tpl hier="4" item="1"/>
          <tpl fld="2" item="45"/>
          <tpl fld="4" item="40"/>
          <tpl hier="9" item="4"/>
          <tpl hier="11" item="6"/>
          <tpl hier="12" item="5"/>
          <tpl fld="1" item="0"/>
        </tpls>
      </n>
      <n v="967338368">
        <tpls c="8">
          <tpl hier="2" item="0"/>
          <tpl hier="4" item="1"/>
          <tpl fld="2" item="28"/>
          <tpl fld="4" item="40"/>
          <tpl hier="9" item="4"/>
          <tpl hier="11" item="6"/>
          <tpl hier="12" item="5"/>
          <tpl fld="1" item="0"/>
        </tpls>
      </n>
      <n v="748312256">
        <tpls c="8">
          <tpl hier="2" item="0"/>
          <tpl hier="4" item="1"/>
          <tpl fld="2" item="12"/>
          <tpl fld="4" item="40"/>
          <tpl hier="9" item="4"/>
          <tpl hier="11" item="6"/>
          <tpl hier="12" item="5"/>
          <tpl fld="1" item="0"/>
        </tpls>
      </n>
      <n v="35009261568">
        <tpls c="8">
          <tpl hier="2" item="0"/>
          <tpl hier="4" item="1"/>
          <tpl fld="2" item="47"/>
          <tpl fld="4" item="39"/>
          <tpl hier="9" item="4"/>
          <tpl hier="11" item="6"/>
          <tpl hier="12" item="5"/>
          <tpl fld="1" item="0"/>
        </tpls>
      </n>
      <n v="10371328000">
        <tpls c="8">
          <tpl hier="2" item="0"/>
          <tpl hier="4" item="1"/>
          <tpl fld="2" item="31"/>
          <tpl fld="4" item="39"/>
          <tpl hier="9" item="4"/>
          <tpl hier="11" item="6"/>
          <tpl hier="12" item="5"/>
          <tpl fld="1" item="0"/>
        </tpls>
      </n>
      <n v="8148223488">
        <tpls c="8">
          <tpl hier="2" item="0"/>
          <tpl hier="4" item="1"/>
          <tpl fld="2" item="15"/>
          <tpl fld="4" item="39"/>
          <tpl hier="9" item="4"/>
          <tpl hier="11" item="6"/>
          <tpl hier="12" item="5"/>
          <tpl fld="1" item="0"/>
        </tpls>
      </n>
      <n v="63100444720">
        <tpls c="8">
          <tpl hier="2" item="0"/>
          <tpl hier="4" item="1"/>
          <tpl hier="5" item="3"/>
          <tpl fld="4" item="38"/>
          <tpl hier="9" item="4"/>
          <tpl hier="11" item="6"/>
          <tpl hier="12" item="5"/>
          <tpl fld="1" item="0"/>
        </tpls>
      </n>
      <n v="915257344">
        <tpls c="8">
          <tpl hier="2" item="0"/>
          <tpl hier="4" item="1"/>
          <tpl fld="2" item="34"/>
          <tpl fld="4" item="38"/>
          <tpl hier="9" item="4"/>
          <tpl hier="11" item="6"/>
          <tpl hier="12" item="5"/>
          <tpl fld="1" item="0"/>
        </tpls>
      </n>
      <n v="1082403200">
        <tpls c="8">
          <tpl hier="2" item="0"/>
          <tpl hier="4" item="1"/>
          <tpl fld="2" item="18"/>
          <tpl fld="4" item="38"/>
          <tpl hier="9" item="4"/>
          <tpl hier="11" item="6"/>
          <tpl hier="12" item="5"/>
          <tpl fld="1" item="0"/>
        </tpls>
      </n>
      <n v="246804576">
        <tpls c="8">
          <tpl hier="2" item="0"/>
          <tpl hier="4" item="1"/>
          <tpl fld="2" item="2"/>
          <tpl fld="4" item="38"/>
          <tpl hier="9" item="4"/>
          <tpl hier="11" item="6"/>
          <tpl hier="12" item="5"/>
          <tpl fld="1" item="0"/>
        </tpls>
      </n>
      <n v="7615651328">
        <tpls c="8">
          <tpl hier="2" item="0"/>
          <tpl hier="4" item="1"/>
          <tpl fld="2" item="37"/>
          <tpl fld="4" item="37"/>
          <tpl hier="9" item="4"/>
          <tpl hier="11" item="6"/>
          <tpl hier="12" item="5"/>
          <tpl fld="1" item="0"/>
        </tpls>
      </n>
      <n v="3135045632">
        <tpls c="8">
          <tpl hier="2" item="0"/>
          <tpl hier="4" item="1"/>
          <tpl fld="2" item="21"/>
          <tpl fld="4" item="37"/>
          <tpl hier="9" item="4"/>
          <tpl hier="11" item="6"/>
          <tpl hier="12" item="5"/>
          <tpl fld="1" item="0"/>
        </tpls>
      </n>
      <n v="939972672">
        <tpls c="8">
          <tpl hier="2" item="0"/>
          <tpl hier="4" item="1"/>
          <tpl fld="2" item="5"/>
          <tpl fld="4" item="37"/>
          <tpl hier="9" item="4"/>
          <tpl hier="11" item="6"/>
          <tpl hier="12" item="5"/>
          <tpl fld="1" item="0"/>
        </tpls>
      </n>
      <n v="2208871743488">
        <tpls c="8">
          <tpl hier="2" item="0"/>
          <tpl hier="4" item="1"/>
          <tpl fld="2" item="40"/>
          <tpl fld="4" item="36"/>
          <tpl hier="9" item="4"/>
          <tpl hier="11" item="6"/>
          <tpl hier="12" item="5"/>
          <tpl fld="1" item="0"/>
        </tpls>
      </n>
      <n v="558111981568">
        <tpls c="8">
          <tpl hier="2" item="0"/>
          <tpl hier="4" item="1"/>
          <tpl fld="2" item="24"/>
          <tpl fld="4" item="36"/>
          <tpl hier="9" item="4"/>
          <tpl hier="11" item="6"/>
          <tpl hier="12" item="5"/>
          <tpl fld="1" item="0"/>
        </tpls>
      </n>
      <n v="200800894976">
        <tpls c="8">
          <tpl hier="2" item="0"/>
          <tpl hier="4" item="1"/>
          <tpl fld="2" item="8"/>
          <tpl fld="4" item="36"/>
          <tpl hier="9" item="4"/>
          <tpl hier="11" item="6"/>
          <tpl hier="12" item="5"/>
          <tpl fld="1" item="0"/>
        </tpls>
      </n>
      <n v="14901750784">
        <tpls c="8">
          <tpl hier="2" item="0"/>
          <tpl hier="4" item="1"/>
          <tpl fld="2" item="43"/>
          <tpl fld="4" item="35"/>
          <tpl hier="9" item="4"/>
          <tpl hier="11" item="6"/>
          <tpl hier="12" item="5"/>
          <tpl fld="1" item="0"/>
        </tpls>
      </n>
      <n v="5020214784">
        <tpls c="8">
          <tpl hier="2" item="0"/>
          <tpl hier="4" item="1"/>
          <tpl fld="2" item="27"/>
          <tpl fld="4" item="35"/>
          <tpl hier="9" item="4"/>
          <tpl hier="11" item="6"/>
          <tpl hier="12" item="5"/>
          <tpl fld="1" item="0"/>
        </tpls>
      </n>
      <n v="1073861632">
        <tpls c="8">
          <tpl hier="2" item="0"/>
          <tpl hier="4" item="1"/>
          <tpl fld="2" item="11"/>
          <tpl fld="4" item="35"/>
          <tpl hier="9" item="4"/>
          <tpl hier="11" item="6"/>
          <tpl hier="12" item="5"/>
          <tpl fld="1" item="0"/>
        </tpls>
      </n>
      <n v="33941127168">
        <tpls c="8">
          <tpl hier="2" item="0"/>
          <tpl hier="4" item="1"/>
          <tpl fld="2" item="46"/>
          <tpl fld="4" item="34"/>
          <tpl hier="9" item="4"/>
          <tpl hier="11" item="6"/>
          <tpl hier="12" item="5"/>
          <tpl fld="1" item="0"/>
        </tpls>
      </n>
      <n v="8397912576">
        <tpls c="8">
          <tpl hier="2" item="0"/>
          <tpl hier="4" item="1"/>
          <tpl fld="2" item="30"/>
          <tpl fld="4" item="34"/>
          <tpl hier="9" item="4"/>
          <tpl hier="11" item="6"/>
          <tpl hier="12" item="5"/>
          <tpl fld="1" item="0"/>
        </tpls>
      </n>
      <n v="6169501184">
        <tpls c="8">
          <tpl hier="2" item="0"/>
          <tpl hier="4" item="1"/>
          <tpl fld="2" item="14"/>
          <tpl fld="4" item="34"/>
          <tpl hier="9" item="4"/>
          <tpl hier="11" item="6"/>
          <tpl hier="12" item="5"/>
          <tpl fld="1" item="0"/>
        </tpls>
      </n>
      <n v="14390709248">
        <tpls c="8">
          <tpl hier="2" item="0"/>
          <tpl hier="4" item="1"/>
          <tpl fld="2" item="49"/>
          <tpl fld="4" item="33"/>
          <tpl hier="9" item="4"/>
          <tpl hier="11" item="6"/>
          <tpl hier="12" item="5"/>
          <tpl fld="1" item="0"/>
        </tpls>
      </n>
      <n v="5337266688">
        <tpls c="8">
          <tpl hier="2" item="0"/>
          <tpl hier="4" item="1"/>
          <tpl fld="2" item="33"/>
          <tpl fld="4" item="33"/>
          <tpl hier="9" item="4"/>
          <tpl hier="11" item="6"/>
          <tpl hier="12" item="5"/>
          <tpl fld="1" item="0"/>
        </tpls>
      </n>
      <n v="1562412032">
        <tpls c="8">
          <tpl hier="2" item="0"/>
          <tpl hier="4" item="1"/>
          <tpl fld="2" item="17"/>
          <tpl fld="4" item="33"/>
          <tpl hier="9" item="4"/>
          <tpl hier="11" item="6"/>
          <tpl hier="12" item="5"/>
          <tpl fld="1" item="0"/>
        </tpls>
      </n>
      <n v="335072960">
        <tpls c="8">
          <tpl hier="2" item="0"/>
          <tpl hier="4" item="1"/>
          <tpl fld="2" item="1"/>
          <tpl fld="4" item="33"/>
          <tpl hier="9" item="4"/>
          <tpl hier="11" item="6"/>
          <tpl hier="12" item="5"/>
          <tpl fld="1" item="0"/>
        </tpls>
      </n>
      <n v="1210150016">
        <tpls c="8">
          <tpl hier="2" item="0"/>
          <tpl hier="4" item="1"/>
          <tpl fld="2" item="36"/>
          <tpl fld="4" item="32"/>
          <tpl hier="9" item="4"/>
          <tpl hier="11" item="6"/>
          <tpl hier="12" item="5"/>
          <tpl fld="1" item="0"/>
        </tpls>
      </n>
      <n v="412086432">
        <tpls c="8">
          <tpl hier="2" item="0"/>
          <tpl hier="4" item="1"/>
          <tpl fld="2" item="20"/>
          <tpl fld="4" item="32"/>
          <tpl hier="9" item="4"/>
          <tpl hier="11" item="6"/>
          <tpl hier="12" item="5"/>
          <tpl fld="1" item="0"/>
        </tpls>
      </n>
      <n v="103216376">
        <tpls c="8">
          <tpl hier="2" item="0"/>
          <tpl hier="4" item="1"/>
          <tpl fld="2" item="4"/>
          <tpl fld="4" item="32"/>
          <tpl hier="9" item="4"/>
          <tpl hier="11" item="6"/>
          <tpl hier="12" item="5"/>
          <tpl fld="1" item="0"/>
        </tpls>
      </n>
      <n v="102477791232">
        <tpls c="8">
          <tpl hier="2" item="0"/>
          <tpl hier="4" item="1"/>
          <tpl fld="2" item="39"/>
          <tpl fld="4" item="31"/>
          <tpl hier="9" item="4"/>
          <tpl hier="11" item="6"/>
          <tpl hier="12" item="5"/>
          <tpl fld="1" item="0"/>
        </tpls>
      </n>
      <n v="33166520320">
        <tpls c="8">
          <tpl hier="2" item="0"/>
          <tpl hier="4" item="1"/>
          <tpl fld="2" item="23"/>
          <tpl fld="4" item="31"/>
          <tpl hier="9" item="4"/>
          <tpl hier="11" item="6"/>
          <tpl hier="12" item="5"/>
          <tpl fld="1" item="0"/>
        </tpls>
      </n>
      <n v="9651148800">
        <tpls c="8">
          <tpl hier="2" item="0"/>
          <tpl hier="4" item="1"/>
          <tpl fld="2" item="7"/>
          <tpl fld="4" item="31"/>
          <tpl hier="9" item="4"/>
          <tpl hier="11" item="6"/>
          <tpl hier="12" item="5"/>
          <tpl fld="1" item="0"/>
        </tpls>
      </n>
      <n v="10720499712">
        <tpls c="8">
          <tpl hier="2" item="0"/>
          <tpl hier="4" item="1"/>
          <tpl fld="2" item="42"/>
          <tpl fld="4" item="30"/>
          <tpl hier="9" item="4"/>
          <tpl hier="11" item="6"/>
          <tpl hier="12" item="5"/>
          <tpl fld="1" item="0"/>
        </tpls>
      </n>
      <n v="3608999936">
        <tpls c="8">
          <tpl hier="2" item="0"/>
          <tpl hier="4" item="1"/>
          <tpl fld="2" item="26"/>
          <tpl fld="4" item="30"/>
          <tpl hier="9" item="4"/>
          <tpl hier="11" item="6"/>
          <tpl hier="12" item="5"/>
          <tpl fld="1" item="0"/>
        </tpls>
      </n>
      <n v="1335299968">
        <tpls c="8">
          <tpl hier="2" item="0"/>
          <tpl hier="4" item="1"/>
          <tpl fld="2" item="10"/>
          <tpl fld="4" item="30"/>
          <tpl hier="9" item="4"/>
          <tpl hier="11" item="6"/>
          <tpl hier="12" item="5"/>
          <tpl fld="1" item="0"/>
        </tpls>
      </n>
      <n v="594749292544">
        <tpls c="8">
          <tpl hier="2" item="0"/>
          <tpl hier="4" item="1"/>
          <tpl fld="2" item="45"/>
          <tpl fld="4" item="29"/>
          <tpl hier="9" item="4"/>
          <tpl hier="11" item="6"/>
          <tpl hier="12" item="5"/>
          <tpl fld="1" item="0"/>
        </tpls>
      </n>
      <n v="283522990080">
        <tpls c="8">
          <tpl hier="2" item="0"/>
          <tpl hier="4" item="1"/>
          <tpl fld="2" item="29"/>
          <tpl fld="4" item="29"/>
          <tpl hier="9" item="4"/>
          <tpl hier="11" item="6"/>
          <tpl hier="12" item="5"/>
          <tpl fld="1" item="0"/>
        </tpls>
      </n>
      <n v="103979106304">
        <tpls c="8">
          <tpl hier="2" item="0"/>
          <tpl hier="4" item="1"/>
          <tpl fld="2" item="13"/>
          <tpl fld="4" item="29"/>
          <tpl hier="9" item="4"/>
          <tpl hier="11" item="6"/>
          <tpl hier="12" item="5"/>
          <tpl fld="1" item="0"/>
        </tpls>
      </n>
      <n v="173757956096">
        <tpls c="8">
          <tpl hier="2" item="0"/>
          <tpl hier="4" item="1"/>
          <tpl fld="2" item="48"/>
          <tpl fld="4" item="28"/>
          <tpl hier="9" item="4"/>
          <tpl hier="11" item="6"/>
          <tpl hier="12" item="5"/>
          <tpl fld="1" item="0"/>
        </tpls>
      </n>
      <n v="56760623104">
        <tpls c="8">
          <tpl hier="2" item="0"/>
          <tpl hier="4" item="1"/>
          <tpl fld="2" item="32"/>
          <tpl fld="4" item="28"/>
          <tpl hier="9" item="4"/>
          <tpl hier="11" item="6"/>
          <tpl hier="12" item="5"/>
          <tpl fld="1" item="0"/>
        </tpls>
      </n>
      <n v="63696302080">
        <tpls c="8">
          <tpl hier="2" item="0"/>
          <tpl hier="4" item="1"/>
          <tpl fld="2" item="16"/>
          <tpl fld="4" item="28"/>
          <tpl hier="9" item="4"/>
          <tpl hier="11" item="6"/>
          <tpl hier="12" item="5"/>
          <tpl fld="1" item="0"/>
        </tpls>
      </n>
      <n v="4863487488">
        <tpls c="8">
          <tpl hier="2" item="0"/>
          <tpl hier="4" item="1"/>
          <tpl fld="2" item="0"/>
          <tpl fld="4" item="28"/>
          <tpl hier="9" item="4"/>
          <tpl hier="11" item="6"/>
          <tpl hier="12" item="5"/>
          <tpl fld="1" item="0"/>
        </tpls>
      </n>
      <n v="13036640272384">
        <tpls c="8">
          <tpl hier="2" item="0"/>
          <tpl hier="4" item="1"/>
          <tpl fld="2" item="35"/>
          <tpl fld="4" item="27"/>
          <tpl hier="9" item="4"/>
          <tpl hier="11" item="6"/>
          <tpl hier="12" item="5"/>
          <tpl fld="1" item="0"/>
        </tpls>
      </n>
      <n v="5641580052480">
        <tpls c="8">
          <tpl hier="2" item="0"/>
          <tpl hier="4" item="1"/>
          <tpl fld="2" item="19"/>
          <tpl fld="4" item="27"/>
          <tpl hier="9" item="4"/>
          <tpl hier="11" item="6"/>
          <tpl hier="12" item="5"/>
          <tpl fld="1" item="0"/>
        </tpls>
      </n>
      <n v="1425376018432">
        <tpls c="8">
          <tpl hier="2" item="0"/>
          <tpl hier="4" item="1"/>
          <tpl fld="2" item="3"/>
          <tpl fld="4" item="27"/>
          <tpl hier="9" item="4"/>
          <tpl hier="11" item="6"/>
          <tpl hier="12" item="5"/>
          <tpl fld="1" item="0"/>
        </tpls>
      </n>
      <n v="2922667311104">
        <tpls c="8">
          <tpl hier="2" item="0"/>
          <tpl hier="4" item="1"/>
          <tpl fld="2" item="38"/>
          <tpl fld="4" item="26"/>
          <tpl hier="9" item="4"/>
          <tpl hier="11" item="6"/>
          <tpl hier="12" item="5"/>
          <tpl fld="1" item="0"/>
        </tpls>
      </n>
      <n v="1179659534336">
        <tpls c="8">
          <tpl hier="2" item="0"/>
          <tpl hier="4" item="1"/>
          <tpl fld="2" item="22"/>
          <tpl fld="4" item="26"/>
          <tpl hier="9" item="4"/>
          <tpl hier="11" item="6"/>
          <tpl hier="12" item="5"/>
          <tpl fld="1" item="0"/>
        </tpls>
      </n>
      <n v="232614559744">
        <tpls c="8">
          <tpl hier="2" item="0"/>
          <tpl hier="4" item="1"/>
          <tpl fld="2" item="6"/>
          <tpl fld="4" item="26"/>
          <tpl hier="9" item="4"/>
          <tpl hier="11" item="6"/>
          <tpl hier="12" item="5"/>
          <tpl fld="1" item="0"/>
        </tpls>
      </n>
      <n v="3571666688">
        <tpls c="8">
          <tpl hier="2" item="0"/>
          <tpl hier="4" item="1"/>
          <tpl fld="2" item="3"/>
          <tpl fld="4" item="92"/>
          <tpl hier="9" item="4"/>
          <tpl hier="11" item="6"/>
          <tpl hier="12" item="5"/>
          <tpl fld="1" item="0"/>
        </tpls>
      </n>
      <n v="9365289984">
        <tpls c="8">
          <tpl hier="2" item="0"/>
          <tpl hier="4" item="1"/>
          <tpl fld="2" item="24"/>
          <tpl fld="4" item="79"/>
          <tpl hier="9" item="4"/>
          <tpl hier="11" item="6"/>
          <tpl hier="12" item="5"/>
          <tpl fld="1" item="0"/>
        </tpls>
      </n>
      <n v="9298800640">
        <tpls c="8">
          <tpl hier="2" item="0"/>
          <tpl hier="4" item="1"/>
          <tpl fld="2" item="5"/>
          <tpl fld="4" item="68"/>
          <tpl hier="9" item="4"/>
          <tpl hier="11" item="6"/>
          <tpl hier="12" item="5"/>
          <tpl fld="1" item="0"/>
        </tpls>
      </n>
      <n v="7148145152">
        <tpls c="8">
          <tpl hier="2" item="0"/>
          <tpl hier="4" item="1"/>
          <tpl fld="2" item="24"/>
          <tpl fld="4" item="63"/>
          <tpl hier="9" item="4"/>
          <tpl hier="11" item="6"/>
          <tpl hier="12" item="5"/>
          <tpl fld="1" item="0"/>
        </tpls>
      </n>
      <n v="15713908736">
        <tpls c="8">
          <tpl hier="2" item="0"/>
          <tpl hier="4" item="1"/>
          <tpl fld="2" item="48"/>
          <tpl fld="4" item="62"/>
          <tpl hier="9" item="4"/>
          <tpl hier="11" item="6"/>
          <tpl hier="12" item="5"/>
          <tpl fld="1" item="0"/>
        </tpls>
      </n>
      <n v="3828310784">
        <tpls c="8">
          <tpl hier="2" item="0"/>
          <tpl hier="4" item="1"/>
          <tpl fld="2" item="18"/>
          <tpl fld="4" item="62"/>
          <tpl hier="9" item="4"/>
          <tpl hier="11" item="6"/>
          <tpl hier="12" item="5"/>
          <tpl fld="1" item="0"/>
        </tpls>
      </n>
      <n v="138516725760">
        <tpls c="8">
          <tpl hier="2" item="0"/>
          <tpl hier="4" item="1"/>
          <tpl fld="2" item="40"/>
          <tpl fld="4" item="61"/>
          <tpl hier="9" item="4"/>
          <tpl hier="11" item="6"/>
          <tpl hier="12" item="5"/>
          <tpl fld="1" item="0"/>
        </tpls>
      </n>
      <n v="42595311616">
        <tpls c="8">
          <tpl hier="2" item="0"/>
          <tpl hier="4" item="1"/>
          <tpl fld="2" item="12"/>
          <tpl fld="4" item="61"/>
          <tpl hier="9" item="4"/>
          <tpl hier="11" item="6"/>
          <tpl hier="12" item="5"/>
          <tpl fld="1" item="0"/>
        </tpls>
      </n>
      <n v="607699271680">
        <tpls c="8">
          <tpl hier="2" item="0"/>
          <tpl hier="4" item="1"/>
          <tpl fld="2" item="33"/>
          <tpl fld="4" item="60"/>
          <tpl hier="9" item="4"/>
          <tpl hier="11" item="6"/>
          <tpl hier="12" item="5"/>
          <tpl fld="1" item="0"/>
        </tpls>
      </n>
      <n v="121487319040">
        <tpls c="8">
          <tpl hier="2" item="0"/>
          <tpl hier="4" item="1"/>
          <tpl fld="2" item="7"/>
          <tpl fld="4" item="60"/>
          <tpl hier="9" item="4"/>
          <tpl hier="11" item="6"/>
          <tpl hier="12" item="5"/>
          <tpl fld="1" item="0"/>
        </tpls>
      </n>
      <n v="8772146176">
        <tpls c="8">
          <tpl hier="2" item="0"/>
          <tpl hier="4" item="1"/>
          <tpl fld="2" item="34"/>
          <tpl fld="4" item="59"/>
          <tpl hier="9" item="4"/>
          <tpl hier="11" item="6"/>
          <tpl hier="12" item="5"/>
          <tpl fld="1" item="0"/>
        </tpls>
      </n>
      <n v="4043894784">
        <tpls c="8">
          <tpl hier="2" item="0"/>
          <tpl hier="4" item="1"/>
          <tpl fld="2" item="11"/>
          <tpl fld="4" item="59"/>
          <tpl hier="9" item="4"/>
          <tpl hier="11" item="6"/>
          <tpl hier="12" item="5"/>
          <tpl fld="1" item="0"/>
        </tpls>
      </n>
      <n v="6548530688">
        <tpls c="8">
          <tpl hier="2" item="0"/>
          <tpl hier="4" item="1"/>
          <tpl fld="2" item="38"/>
          <tpl fld="4" item="58"/>
          <tpl hier="9" item="4"/>
          <tpl hier="11" item="6"/>
          <tpl hier="12" item="5"/>
          <tpl fld="1" item="0"/>
        </tpls>
      </n>
      <n v="2009400064">
        <tpls c="8">
          <tpl hier="2" item="0"/>
          <tpl hier="4" item="1"/>
          <tpl fld="2" item="15"/>
          <tpl fld="4" item="58"/>
          <tpl hier="9" item="4"/>
          <tpl hier="11" item="6"/>
          <tpl hier="12" item="5"/>
          <tpl fld="1" item="0"/>
        </tpls>
      </n>
      <n v="2861562368">
        <tpls c="8">
          <tpl hier="2" item="0"/>
          <tpl hier="4" item="1"/>
          <tpl fld="2" item="42"/>
          <tpl fld="4" item="57"/>
          <tpl hier="9" item="4"/>
          <tpl hier="11" item="6"/>
          <tpl hier="12" item="5"/>
          <tpl fld="1" item="0"/>
        </tpls>
      </n>
      <n v="396582272">
        <tpls c="8">
          <tpl hier="2" item="0"/>
          <tpl hier="4" item="1"/>
          <tpl fld="2" item="20"/>
          <tpl fld="4" item="57"/>
          <tpl hier="9" item="4"/>
          <tpl hier="11" item="6"/>
          <tpl hier="12" item="5"/>
          <tpl fld="1" item="0"/>
        </tpls>
      </n>
      <n v="1340389376">
        <tpls c="8">
          <tpl hier="2" item="0"/>
          <tpl hier="4" item="1"/>
          <tpl fld="2" item="49"/>
          <tpl fld="4" item="56"/>
          <tpl hier="9" item="4"/>
          <tpl hier="11" item="6"/>
          <tpl hier="12" item="5"/>
          <tpl fld="1" item="0"/>
        </tpls>
      </n>
      <n v="253966928">
        <tpls c="8">
          <tpl hier="2" item="0"/>
          <tpl hier="4" item="1"/>
          <tpl fld="2" item="25"/>
          <tpl fld="4" item="56"/>
          <tpl hier="9" item="4"/>
          <tpl hier="11" item="6"/>
          <tpl hier="12" item="5"/>
          <tpl fld="1" item="0"/>
        </tpls>
      </n>
      <n v="87702832">
        <tpls c="8">
          <tpl hier="2" item="0"/>
          <tpl hier="4" item="1"/>
          <tpl fld="2" item="2"/>
          <tpl fld="4" item="56"/>
          <tpl hier="9" item="4"/>
          <tpl hier="11" item="6"/>
          <tpl hier="12" item="5"/>
          <tpl fld="1" item="0"/>
        </tpls>
      </n>
      <n v="18318411776">
        <tpls c="8">
          <tpl hier="2" item="0"/>
          <tpl hier="4" item="1"/>
          <tpl fld="2" item="29"/>
          <tpl fld="4" item="55"/>
          <tpl hier="9" item="4"/>
          <tpl hier="11" item="6"/>
          <tpl hier="12" item="5"/>
          <tpl fld="1" item="0"/>
        </tpls>
      </n>
      <n v="4365300224">
        <tpls c="8">
          <tpl hier="2" item="0"/>
          <tpl hier="4" item="1"/>
          <tpl fld="2" item="6"/>
          <tpl fld="4" item="55"/>
          <tpl hier="9" item="4"/>
          <tpl hier="11" item="6"/>
          <tpl hier="12" item="5"/>
          <tpl fld="1" item="0"/>
        </tpls>
      </n>
      <n v="7632406528">
        <tpls c="8">
          <tpl hier="2" item="0"/>
          <tpl hier="4" item="1"/>
          <tpl fld="2" item="33"/>
          <tpl fld="4" item="54"/>
          <tpl hier="9" item="4"/>
          <tpl hier="11" item="6"/>
          <tpl hier="12" item="5"/>
          <tpl fld="1" item="0"/>
        </tpls>
      </n>
      <n v="4445228032">
        <tpls c="8">
          <tpl hier="2" item="0"/>
          <tpl hier="4" item="1"/>
          <tpl fld="2" item="10"/>
          <tpl fld="4" item="54"/>
          <tpl hier="9" item="4"/>
          <tpl hier="11" item="6"/>
          <tpl hier="12" item="5"/>
          <tpl fld="1" item="0"/>
        </tpls>
      </n>
      <n v="1279704704">
        <tpls c="8">
          <tpl hier="2" item="0"/>
          <tpl hier="4" item="1"/>
          <tpl fld="2" item="37"/>
          <tpl fld="4" item="53"/>
          <tpl hier="9" item="4"/>
          <tpl hier="11" item="6"/>
          <tpl hier="12" item="5"/>
          <tpl fld="1" item="0"/>
        </tpls>
      </n>
      <n v="185646208">
        <tpls c="8">
          <tpl hier="2" item="0"/>
          <tpl hier="4" item="1"/>
          <tpl fld="2" item="16"/>
          <tpl fld="4" item="53"/>
          <tpl hier="9" item="4"/>
          <tpl hier="11" item="6"/>
          <tpl hier="12" item="5"/>
          <tpl fld="1" item="0"/>
        </tpls>
      </n>
      <n v="16862282752">
        <tpls c="8">
          <tpl hier="2" item="0"/>
          <tpl hier="4" item="1"/>
          <tpl fld="2" item="48"/>
          <tpl fld="4" item="52"/>
          <tpl hier="9" item="4"/>
          <tpl hier="11" item="6"/>
          <tpl hier="12" item="5"/>
          <tpl fld="1" item="0"/>
        </tpls>
      </n>
      <n v="4662991872">
        <tpls c="8">
          <tpl hier="2" item="0"/>
          <tpl hier="4" item="1"/>
          <tpl fld="2" item="29"/>
          <tpl fld="4" item="52"/>
          <tpl hier="9" item="4"/>
          <tpl hier="11" item="6"/>
          <tpl hier="12" item="5"/>
          <tpl fld="1" item="0"/>
        </tpls>
      </n>
      <n v="2389479168">
        <tpls c="8">
          <tpl hier="2" item="0"/>
          <tpl hier="4" item="1"/>
          <tpl fld="2" item="8"/>
          <tpl fld="4" item="52"/>
          <tpl hier="9" item="4"/>
          <tpl hier="11" item="6"/>
          <tpl hier="12" item="5"/>
          <tpl fld="1" item="0"/>
        </tpls>
      </n>
      <n v="3140508928">
        <tpls c="8">
          <tpl hier="2" item="0"/>
          <tpl hier="4" item="1"/>
          <tpl fld="2" item="40"/>
          <tpl fld="4" item="51"/>
          <tpl hier="9" item="4"/>
          <tpl hier="11" item="6"/>
          <tpl hier="12" item="5"/>
          <tpl fld="1" item="0"/>
        </tpls>
      </n>
      <n v="1337024768">
        <tpls c="8">
          <tpl hier="2" item="0"/>
          <tpl hier="4" item="1"/>
          <tpl fld="2" item="20"/>
          <tpl fld="4" item="51"/>
          <tpl hier="9" item="4"/>
          <tpl hier="11" item="6"/>
          <tpl hier="12" item="5"/>
          <tpl fld="1" item="0"/>
        </tpls>
      </n>
      <n v="247749328">
        <tpls c="8">
          <tpl hier="2" item="0"/>
          <tpl hier="4" item="1"/>
          <tpl fld="2" item="1"/>
          <tpl fld="4" item="51"/>
          <tpl hier="9" item="4"/>
          <tpl hier="11" item="6"/>
          <tpl hier="12" item="5"/>
          <tpl fld="1" item="0"/>
        </tpls>
      </n>
      <n v="12282533888">
        <tpls c="8">
          <tpl hier="2" item="0"/>
          <tpl hier="4" item="1"/>
          <tpl fld="2" item="31"/>
          <tpl fld="4" item="50"/>
          <tpl hier="9" item="4"/>
          <tpl hier="11" item="6"/>
          <tpl hier="12" item="5"/>
          <tpl fld="1" item="0"/>
        </tpls>
      </n>
      <n v="3399188992">
        <tpls c="8">
          <tpl hier="2" item="0"/>
          <tpl hier="4" item="1"/>
          <tpl fld="2" item="12"/>
          <tpl fld="4" item="50"/>
          <tpl hier="9" item="4"/>
          <tpl hier="11" item="6"/>
          <tpl hier="12" item="5"/>
          <tpl fld="1" item="0"/>
        </tpls>
      </n>
      <n v="95129657344">
        <tpls c="8">
          <tpl hier="2" item="0"/>
          <tpl hier="4" item="1"/>
          <tpl fld="2" item="43"/>
          <tpl fld="4" item="49"/>
          <tpl hier="9" item="4"/>
          <tpl hier="11" item="6"/>
          <tpl hier="12" item="5"/>
          <tpl fld="1" item="0"/>
        </tpls>
      </n>
      <n v="22708672512">
        <tpls c="8">
          <tpl hier="2" item="0"/>
          <tpl hier="4" item="1"/>
          <tpl fld="2" item="24"/>
          <tpl fld="4" item="49"/>
          <tpl hier="9" item="4"/>
          <tpl hier="11" item="6"/>
          <tpl hier="12" item="5"/>
          <tpl fld="1" item="0"/>
        </tpls>
      </n>
      <n v="3891755520">
        <tpls c="8">
          <tpl hier="2" item="0"/>
          <tpl hier="4" item="1"/>
          <tpl fld="2" item="3"/>
          <tpl fld="4" item="49"/>
          <tpl hier="9" item="4"/>
          <tpl hier="11" item="6"/>
          <tpl hier="12" item="5"/>
          <tpl fld="1" item="0"/>
        </tpls>
      </n>
      <n v="36119048192">
        <tpls c="8">
          <tpl hier="2" item="0"/>
          <tpl hier="4" item="1"/>
          <tpl fld="2" item="35"/>
          <tpl fld="4" item="48"/>
          <tpl hier="9" item="4"/>
          <tpl hier="11" item="6"/>
          <tpl hier="12" item="5"/>
          <tpl fld="1" item="0"/>
        </tpls>
      </n>
      <n v="5044593152">
        <tpls c="8">
          <tpl hier="2" item="0"/>
          <tpl hier="4" item="1"/>
          <tpl fld="2" item="15"/>
          <tpl fld="4" item="48"/>
          <tpl hier="9" item="4"/>
          <tpl hier="11" item="6"/>
          <tpl hier="12" item="5"/>
          <tpl fld="1" item="0"/>
        </tpls>
      </n>
      <n v="51588157440">
        <tpls c="8">
          <tpl hier="2" item="0"/>
          <tpl hier="4" item="1"/>
          <tpl fld="2" item="47"/>
          <tpl fld="4" item="47"/>
          <tpl hier="9" item="4"/>
          <tpl hier="11" item="6"/>
          <tpl hier="12" item="5"/>
          <tpl fld="1" item="0"/>
        </tpls>
      </n>
      <n v="12612033536">
        <tpls c="8">
          <tpl hier="2" item="0"/>
          <tpl hier="4" item="1"/>
          <tpl fld="2" item="28"/>
          <tpl fld="4" item="47"/>
          <tpl hier="9" item="4"/>
          <tpl hier="11" item="6"/>
          <tpl hier="12" item="5"/>
          <tpl fld="1" item="0"/>
        </tpls>
      </n>
      <n v="6265068032">
        <tpls c="8">
          <tpl hier="2" item="0"/>
          <tpl hier="4" item="1"/>
          <tpl fld="2" item="7"/>
          <tpl fld="4" item="47"/>
          <tpl hier="9" item="4"/>
          <tpl hier="11" item="6"/>
          <tpl hier="12" item="5"/>
          <tpl fld="1" item="0"/>
        </tpls>
      </n>
      <n v="30562361344">
        <tpls c="8">
          <tpl hier="2" item="0"/>
          <tpl hier="4" item="1"/>
          <tpl fld="2" item="39"/>
          <tpl fld="4" item="46"/>
          <tpl hier="9" item="4"/>
          <tpl hier="11" item="6"/>
          <tpl hier="12" item="5"/>
          <tpl fld="1" item="0"/>
        </tpls>
      </n>
      <n v="5251025920">
        <tpls c="8">
          <tpl hier="2" item="0"/>
          <tpl hier="4" item="1"/>
          <tpl fld="2" item="19"/>
          <tpl fld="4" item="46"/>
          <tpl hier="9" item="4"/>
          <tpl hier="11" item="6"/>
          <tpl hier="12" item="5"/>
          <tpl fld="1" item="0"/>
        </tpls>
      </n>
      <n v="984830144">
        <tpls c="8">
          <tpl hier="2" item="0"/>
          <tpl hier="4" item="1"/>
          <tpl fld="2" item="0"/>
          <tpl fld="4" item="46"/>
          <tpl hier="9" item="4"/>
          <tpl hier="11" item="6"/>
          <tpl hier="12" item="5"/>
          <tpl fld="1" item="0"/>
        </tpls>
      </n>
      <n v="3219910656">
        <tpls c="8">
          <tpl hier="2" item="0"/>
          <tpl hier="4" item="1"/>
          <tpl fld="2" item="30"/>
          <tpl fld="4" item="45"/>
          <tpl hier="9" item="4"/>
          <tpl hier="11" item="6"/>
          <tpl hier="12" item="5"/>
          <tpl fld="1" item="0"/>
        </tpls>
      </n>
      <n v="1993512320">
        <tpls c="8">
          <tpl hier="2" item="0"/>
          <tpl hier="4" item="1"/>
          <tpl fld="2" item="11"/>
          <tpl fld="4" item="45"/>
          <tpl hier="9" item="4"/>
          <tpl hier="11" item="6"/>
          <tpl hier="12" item="5"/>
          <tpl fld="1" item="0"/>
        </tpls>
      </n>
      <n v="29306234880">
        <tpls c="8">
          <tpl hier="2" item="0"/>
          <tpl hier="4" item="1"/>
          <tpl fld="2" item="42"/>
          <tpl fld="4" item="44"/>
          <tpl hier="9" item="4"/>
          <tpl hier="11" item="6"/>
          <tpl hier="12" item="5"/>
          <tpl fld="1" item="0"/>
        </tpls>
      </n>
      <n v="10706259968">
        <tpls c="8">
          <tpl hier="2" item="0"/>
          <tpl hier="4" item="1"/>
          <tpl fld="2" item="23"/>
          <tpl fld="4" item="44"/>
          <tpl hier="9" item="4"/>
          <tpl hier="11" item="6"/>
          <tpl hier="12" item="5"/>
          <tpl fld="1" item="0"/>
        </tpls>
      </n>
      <n v="6173712896">
        <tpls c="8">
          <tpl hier="2" item="0"/>
          <tpl hier="4" item="1"/>
          <tpl fld="2" item="2"/>
          <tpl fld="4" item="44"/>
          <tpl hier="9" item="4"/>
          <tpl hier="11" item="6"/>
          <tpl hier="12" item="5"/>
          <tpl fld="1" item="0"/>
        </tpls>
      </n>
      <n v="117081522176">
        <tpls c="8">
          <tpl hier="2" item="0"/>
          <tpl hier="4" item="1"/>
          <tpl fld="2" item="34"/>
          <tpl fld="4" item="43"/>
          <tpl hier="9" item="4"/>
          <tpl hier="11" item="6"/>
          <tpl hier="12" item="5"/>
          <tpl fld="1" item="0"/>
        </tpls>
      </n>
      <n v="38253121536">
        <tpls c="8">
          <tpl hier="2" item="0"/>
          <tpl hier="4" item="1"/>
          <tpl fld="2" item="14"/>
          <tpl fld="4" item="43"/>
          <tpl hier="9" item="4"/>
          <tpl hier="11" item="6"/>
          <tpl hier="12" item="5"/>
          <tpl fld="1" item="0"/>
        </tpls>
      </n>
      <n v="277044953088">
        <tpls c="8">
          <tpl hier="2" item="0"/>
          <tpl hier="4" item="1"/>
          <tpl fld="2" item="47"/>
          <tpl fld="4" item="42"/>
          <tpl hier="9" item="4"/>
          <tpl hier="11" item="6"/>
          <tpl hier="12" item="5"/>
          <tpl fld="1" item="0"/>
        </tpls>
      </n>
      <n v="75173797888">
        <tpls c="8">
          <tpl hier="2" item="0"/>
          <tpl hier="4" item="1"/>
          <tpl fld="2" item="29"/>
          <tpl fld="4" item="42"/>
          <tpl hier="9" item="4"/>
          <tpl hier="11" item="6"/>
          <tpl hier="12" item="5"/>
          <tpl fld="1" item="0"/>
        </tpls>
      </n>
      <n v="34509877248">
        <tpls c="8">
          <tpl hier="2" item="0"/>
          <tpl hier="4" item="1"/>
          <tpl fld="2" item="11"/>
          <tpl fld="4" item="42"/>
          <tpl hier="9" item="4"/>
          <tpl hier="11" item="6"/>
          <tpl hier="12" item="5"/>
          <tpl fld="1" item="0"/>
        </tpls>
      </n>
      <n v="13940767744">
        <tpls c="8">
          <tpl hier="2" item="0"/>
          <tpl hier="4" item="1"/>
          <tpl fld="2" item="44"/>
          <tpl fld="4" item="41"/>
          <tpl hier="9" item="4"/>
          <tpl hier="11" item="6"/>
          <tpl hier="12" item="5"/>
          <tpl fld="1" item="0"/>
        </tpls>
      </n>
      <n v="1544689536">
        <tpls c="8">
          <tpl hier="2" item="0"/>
          <tpl hier="4" item="1"/>
          <tpl fld="2" item="27"/>
          <tpl fld="4" item="41"/>
          <tpl hier="9" item="4"/>
          <tpl hier="11" item="6"/>
          <tpl hier="12" item="5"/>
          <tpl fld="1" item="0"/>
        </tpls>
      </n>
      <n v="1033002432">
        <tpls c="8">
          <tpl hier="2" item="0"/>
          <tpl hier="4" item="1"/>
          <tpl fld="2" item="10"/>
          <tpl fld="4" item="41"/>
          <tpl hier="9" item="4"/>
          <tpl hier="11" item="6"/>
          <tpl hier="12" item="5"/>
          <tpl fld="1" item="0"/>
        </tpls>
      </n>
      <n v="1894813568">
        <tpls c="8">
          <tpl hier="2" item="0"/>
          <tpl hier="4" item="1"/>
          <tpl fld="2" item="44"/>
          <tpl fld="4" item="40"/>
          <tpl hier="9" item="4"/>
          <tpl hier="11" item="6"/>
          <tpl hier="12" item="5"/>
          <tpl fld="1" item="0"/>
        </tpls>
      </n>
      <n v="937741440">
        <tpls c="8">
          <tpl hier="2" item="0"/>
          <tpl hier="4" item="1"/>
          <tpl fld="2" item="27"/>
          <tpl fld="4" item="40"/>
          <tpl hier="9" item="4"/>
          <tpl hier="11" item="6"/>
          <tpl hier="12" item="5"/>
          <tpl fld="1" item="0"/>
        </tpls>
      </n>
      <n v="694803520">
        <tpls c="8">
          <tpl hier="2" item="0"/>
          <tpl hier="4" item="1"/>
          <tpl fld="2" item="11"/>
          <tpl fld="4" item="40"/>
          <tpl hier="9" item="4"/>
          <tpl hier="11" item="6"/>
          <tpl hier="12" item="5"/>
          <tpl fld="1" item="0"/>
        </tpls>
      </n>
      <n v="32643696640">
        <tpls c="8">
          <tpl hier="2" item="0"/>
          <tpl hier="4" item="1"/>
          <tpl fld="2" item="46"/>
          <tpl fld="4" item="39"/>
          <tpl hier="9" item="4"/>
          <tpl hier="11" item="6"/>
          <tpl hier="12" item="5"/>
          <tpl fld="1" item="0"/>
        </tpls>
      </n>
      <n v="10083937280">
        <tpls c="8">
          <tpl hier="2" item="0"/>
          <tpl hier="4" item="1"/>
          <tpl fld="2" item="30"/>
          <tpl fld="4" item="39"/>
          <tpl hier="9" item="4"/>
          <tpl hier="11" item="6"/>
          <tpl hier="12" item="5"/>
          <tpl fld="1" item="0"/>
        </tpls>
      </n>
      <n v="7801859072">
        <tpls c="8">
          <tpl hier="2" item="0"/>
          <tpl hier="4" item="1"/>
          <tpl fld="2" item="14"/>
          <tpl fld="4" item="39"/>
          <tpl hier="9" item="4"/>
          <tpl hier="11" item="6"/>
          <tpl hier="12" item="5"/>
          <tpl fld="1" item="0"/>
        </tpls>
      </n>
      <n v="3012334848">
        <tpls c="8">
          <tpl hier="2" item="0"/>
          <tpl hier="4" item="1"/>
          <tpl fld="2" item="49"/>
          <tpl fld="4" item="38"/>
          <tpl hier="9" item="4"/>
          <tpl hier="11" item="6"/>
          <tpl hier="12" item="5"/>
          <tpl fld="1" item="0"/>
        </tpls>
      </n>
      <n v="784654400">
        <tpls c="8">
          <tpl hier="2" item="0"/>
          <tpl hier="4" item="1"/>
          <tpl fld="2" item="33"/>
          <tpl fld="4" item="38"/>
          <tpl hier="9" item="4"/>
          <tpl hier="11" item="6"/>
          <tpl hier="12" item="5"/>
          <tpl fld="1" item="0"/>
        </tpls>
      </n>
      <n v="1131466496">
        <tpls c="8">
          <tpl hier="2" item="0"/>
          <tpl hier="4" item="1"/>
          <tpl fld="2" item="17"/>
          <tpl fld="4" item="38"/>
          <tpl hier="9" item="4"/>
          <tpl hier="11" item="6"/>
          <tpl hier="12" item="5"/>
          <tpl fld="1" item="0"/>
        </tpls>
      </n>
      <n v="252842288">
        <tpls c="8">
          <tpl hier="2" item="0"/>
          <tpl hier="4" item="1"/>
          <tpl fld="2" item="1"/>
          <tpl fld="4" item="38"/>
          <tpl hier="9" item="4"/>
          <tpl hier="11" item="6"/>
          <tpl hier="12" item="5"/>
          <tpl fld="1" item="0"/>
        </tpls>
      </n>
      <n v="6541603840">
        <tpls c="8">
          <tpl hier="2" item="0"/>
          <tpl hier="4" item="1"/>
          <tpl fld="2" item="36"/>
          <tpl fld="4" item="37"/>
          <tpl hier="9" item="4"/>
          <tpl hier="11" item="6"/>
          <tpl hier="12" item="5"/>
          <tpl fld="1" item="0"/>
        </tpls>
      </n>
      <n v="3101301760">
        <tpls c="8">
          <tpl hier="2" item="0"/>
          <tpl hier="4" item="1"/>
          <tpl fld="2" item="20"/>
          <tpl fld="4" item="37"/>
          <tpl hier="9" item="4"/>
          <tpl hier="11" item="6"/>
          <tpl hier="12" item="5"/>
          <tpl fld="1" item="0"/>
        </tpls>
      </n>
      <n v="751133632">
        <tpls c="8">
          <tpl hier="2" item="0"/>
          <tpl hier="4" item="1"/>
          <tpl fld="2" item="4"/>
          <tpl fld="4" item="37"/>
          <tpl hier="9" item="4"/>
          <tpl hier="11" item="6"/>
          <tpl hier="12" item="5"/>
          <tpl fld="1" item="0"/>
        </tpls>
      </n>
      <n v="1667019833344">
        <tpls c="8">
          <tpl hier="2" item="0"/>
          <tpl hier="4" item="1"/>
          <tpl fld="2" item="39"/>
          <tpl fld="4" item="36"/>
          <tpl hier="9" item="4"/>
          <tpl hier="11" item="6"/>
          <tpl hier="12" item="5"/>
          <tpl fld="1" item="0"/>
        </tpls>
      </n>
      <n v="437798567936">
        <tpls c="8">
          <tpl hier="2" item="0"/>
          <tpl hier="4" item="1"/>
          <tpl fld="2" item="23"/>
          <tpl fld="4" item="36"/>
          <tpl hier="9" item="4"/>
          <tpl hier="11" item="6"/>
          <tpl hier="12" item="5"/>
          <tpl fld="1" item="0"/>
        </tpls>
      </n>
      <n v="176171286528">
        <tpls c="8">
          <tpl hier="2" item="0"/>
          <tpl hier="4" item="1"/>
          <tpl fld="2" item="7"/>
          <tpl fld="4" item="36"/>
          <tpl hier="9" item="4"/>
          <tpl hier="11" item="6"/>
          <tpl hier="12" item="5"/>
          <tpl fld="1" item="0"/>
        </tpls>
      </n>
      <n v="14420393984">
        <tpls c="8">
          <tpl hier="2" item="0"/>
          <tpl hier="4" item="1"/>
          <tpl fld="2" item="42"/>
          <tpl fld="4" item="35"/>
          <tpl hier="9" item="4"/>
          <tpl hier="11" item="6"/>
          <tpl hier="12" item="5"/>
          <tpl fld="1" item="0"/>
        </tpls>
      </n>
      <n v="4847752704">
        <tpls c="8">
          <tpl hier="2" item="0"/>
          <tpl hier="4" item="1"/>
          <tpl fld="2" item="26"/>
          <tpl fld="4" item="35"/>
          <tpl hier="9" item="4"/>
          <tpl hier="11" item="6"/>
          <tpl hier="12" item="5"/>
          <tpl fld="1" item="0"/>
        </tpls>
      </n>
      <n v="1060923840">
        <tpls c="8">
          <tpl hier="2" item="0"/>
          <tpl hier="4" item="1"/>
          <tpl fld="2" item="10"/>
          <tpl fld="4" item="35"/>
          <tpl hier="9" item="4"/>
          <tpl hier="11" item="6"/>
          <tpl hier="12" item="5"/>
          <tpl fld="1" item="0"/>
        </tpls>
      </n>
      <n v="33000198144">
        <tpls c="8">
          <tpl hier="2" item="0"/>
          <tpl hier="4" item="1"/>
          <tpl fld="2" item="45"/>
          <tpl fld="4" item="34"/>
          <tpl hier="9" item="4"/>
          <tpl hier="11" item="6"/>
          <tpl hier="12" item="5"/>
          <tpl fld="1" item="0"/>
        </tpls>
      </n>
      <n v="8285075968">
        <tpls c="8">
          <tpl hier="2" item="0"/>
          <tpl hier="4" item="1"/>
          <tpl fld="2" item="29"/>
          <tpl fld="4" item="34"/>
          <tpl hier="9" item="4"/>
          <tpl hier="11" item="6"/>
          <tpl hier="12" item="5"/>
          <tpl fld="1" item="0"/>
        </tpls>
      </n>
      <n v="5422440960">
        <tpls c="8">
          <tpl hier="2" item="0"/>
          <tpl hier="4" item="1"/>
          <tpl fld="2" item="13"/>
          <tpl fld="4" item="34"/>
          <tpl hier="9" item="4"/>
          <tpl hier="11" item="6"/>
          <tpl hier="12" item="5"/>
          <tpl fld="1" item="0"/>
        </tpls>
      </n>
      <n v="14250985472">
        <tpls c="8">
          <tpl hier="2" item="0"/>
          <tpl hier="4" item="1"/>
          <tpl fld="2" item="48"/>
          <tpl fld="4" item="33"/>
          <tpl hier="9" item="4"/>
          <tpl hier="11" item="6"/>
          <tpl hier="12" item="5"/>
          <tpl fld="1" item="0"/>
        </tpls>
      </n>
      <n v="4174634496">
        <tpls c="8">
          <tpl hier="2" item="0"/>
          <tpl hier="4" item="1"/>
          <tpl fld="2" item="32"/>
          <tpl fld="4" item="33"/>
          <tpl hier="9" item="4"/>
          <tpl hier="11" item="6"/>
          <tpl hier="12" item="5"/>
          <tpl fld="1" item="0"/>
        </tpls>
      </n>
      <n v="1336102016">
        <tpls c="8">
          <tpl hier="2" item="0"/>
          <tpl hier="4" item="1"/>
          <tpl fld="2" item="16"/>
          <tpl fld="4" item="33"/>
          <tpl hier="9" item="4"/>
          <tpl hier="11" item="6"/>
          <tpl hier="12" item="5"/>
          <tpl fld="1" item="0"/>
        </tpls>
      </n>
      <n v="333627744">
        <tpls c="8">
          <tpl hier="2" item="0"/>
          <tpl hier="4" item="1"/>
          <tpl fld="2" item="0"/>
          <tpl fld="4" item="33"/>
          <tpl hier="9" item="4"/>
          <tpl hier="11" item="6"/>
          <tpl hier="12" item="5"/>
          <tpl fld="1" item="0"/>
        </tpls>
      </n>
      <n v="1102050048">
        <tpls c="8">
          <tpl hier="2" item="0"/>
          <tpl hier="4" item="1"/>
          <tpl fld="2" item="35"/>
          <tpl fld="4" item="32"/>
          <tpl hier="9" item="4"/>
          <tpl hier="11" item="6"/>
          <tpl hier="12" item="5"/>
          <tpl fld="1" item="0"/>
        </tpls>
      </n>
      <n v="369133888">
        <tpls c="8">
          <tpl hier="2" item="0"/>
          <tpl hier="4" item="1"/>
          <tpl fld="2" item="19"/>
          <tpl fld="4" item="32"/>
          <tpl hier="9" item="4"/>
          <tpl hier="11" item="6"/>
          <tpl hier="12" item="5"/>
          <tpl fld="1" item="0"/>
        </tpls>
      </n>
      <n v="78343560">
        <tpls c="8">
          <tpl hier="2" item="0"/>
          <tpl hier="4" item="1"/>
          <tpl fld="2" item="3"/>
          <tpl fld="4" item="32"/>
          <tpl hier="9" item="4"/>
          <tpl hier="11" item="6"/>
          <tpl hier="12" item="5"/>
          <tpl fld="1" item="0"/>
        </tpls>
      </n>
      <n v="91631280128">
        <tpls c="8">
          <tpl hier="2" item="0"/>
          <tpl hier="4" item="1"/>
          <tpl fld="2" item="38"/>
          <tpl fld="4" item="31"/>
          <tpl hier="9" item="4"/>
          <tpl hier="11" item="6"/>
          <tpl hier="12" item="5"/>
          <tpl fld="1" item="0"/>
        </tpls>
      </n>
      <n v="31708874752">
        <tpls c="8">
          <tpl hier="2" item="0"/>
          <tpl hier="4" item="1"/>
          <tpl fld="2" item="22"/>
          <tpl fld="4" item="31"/>
          <tpl hier="9" item="4"/>
          <tpl hier="11" item="6"/>
          <tpl hier="12" item="5"/>
          <tpl fld="1" item="0"/>
        </tpls>
      </n>
      <n v="10117112832">
        <tpls c="8">
          <tpl hier="2" item="0"/>
          <tpl hier="4" item="1"/>
          <tpl fld="2" item="6"/>
          <tpl fld="4" item="31"/>
          <tpl hier="9" item="4"/>
          <tpl hier="11" item="6"/>
          <tpl hier="12" item="5"/>
          <tpl fld="1" item="0"/>
        </tpls>
      </n>
      <n v="10070450176">
        <tpls c="8">
          <tpl hier="2" item="0"/>
          <tpl hier="4" item="1"/>
          <tpl fld="2" item="41"/>
          <tpl fld="4" item="30"/>
          <tpl hier="9" item="4"/>
          <tpl hier="11" item="6"/>
          <tpl hier="12" item="5"/>
          <tpl fld="1" item="0"/>
        </tpls>
      </n>
      <n v="3428999936">
        <tpls c="8">
          <tpl hier="2" item="0"/>
          <tpl hier="4" item="1"/>
          <tpl fld="2" item="25"/>
          <tpl fld="4" item="30"/>
          <tpl hier="9" item="4"/>
          <tpl hier="11" item="6"/>
          <tpl hier="12" item="5"/>
          <tpl fld="1" item="0"/>
        </tpls>
      </n>
      <n v="1139800064">
        <tpls c="8">
          <tpl hier="2" item="0"/>
          <tpl hier="4" item="1"/>
          <tpl fld="2" item="9"/>
          <tpl fld="4" item="30"/>
          <tpl hier="9" item="4"/>
          <tpl hier="11" item="6"/>
          <tpl hier="12" item="5"/>
          <tpl fld="1" item="0"/>
        </tpls>
      </n>
      <n v="526319681536">
        <tpls c="8">
          <tpl hier="2" item="0"/>
          <tpl hier="4" item="1"/>
          <tpl fld="2" item="44"/>
          <tpl fld="4" item="29"/>
          <tpl hier="9" item="4"/>
          <tpl hier="11" item="6"/>
          <tpl hier="12" item="5"/>
          <tpl fld="1" item="0"/>
        </tpls>
      </n>
      <n v="134308052992">
        <tpls c="8">
          <tpl hier="2" item="0"/>
          <tpl hier="4" item="1"/>
          <tpl fld="2" item="23"/>
          <tpl fld="4" item="90"/>
          <tpl hier="9" item="4"/>
          <tpl hier="11" item="6"/>
          <tpl hier="12" item="5"/>
          <tpl fld="1" item="0"/>
        </tpls>
      </n>
      <n v="15126061056">
        <tpls c="8">
          <tpl hier="2" item="0"/>
          <tpl hier="4" item="1"/>
          <tpl fld="2" item="7"/>
          <tpl fld="4" item="78"/>
          <tpl hier="9" item="4"/>
          <tpl hier="11" item="6"/>
          <tpl hier="12" item="5"/>
          <tpl fld="1" item="0"/>
        </tpls>
      </n>
      <n v="4629246976">
        <tpls c="8">
          <tpl hier="2" item="0"/>
          <tpl hier="4" item="1"/>
          <tpl fld="2" item="30"/>
          <tpl fld="4" item="66"/>
          <tpl hier="9" item="4"/>
          <tpl hier="11" item="6"/>
          <tpl hier="12" item="5"/>
          <tpl fld="1" item="0"/>
        </tpls>
      </n>
      <n v="8209128960">
        <tpls c="8">
          <tpl hier="2" item="0"/>
          <tpl hier="4" item="1"/>
          <tpl fld="2" item="22"/>
          <tpl fld="4" item="63"/>
          <tpl hier="9" item="4"/>
          <tpl hier="11" item="6"/>
          <tpl hier="12" item="5"/>
          <tpl fld="1" item="0"/>
        </tpls>
      </n>
      <n v="14807087104">
        <tpls c="8">
          <tpl hier="2" item="0"/>
          <tpl hier="4" item="1"/>
          <tpl fld="2" item="42"/>
          <tpl fld="4" item="62"/>
          <tpl hier="9" item="4"/>
          <tpl hier="11" item="6"/>
          <tpl hier="12" item="5"/>
          <tpl fld="1" item="0"/>
        </tpls>
      </n>
      <n v="2754566144">
        <tpls c="8">
          <tpl hier="2" item="0"/>
          <tpl hier="4" item="1"/>
          <tpl fld="2" item="16"/>
          <tpl fld="4" item="62"/>
          <tpl hier="9" item="4"/>
          <tpl hier="11" item="6"/>
          <tpl hier="12" item="5"/>
          <tpl fld="1" item="0"/>
        </tpls>
      </n>
      <n v="88840052736">
        <tpls c="8">
          <tpl hier="2" item="0"/>
          <tpl hier="4" item="1"/>
          <tpl fld="2" item="37"/>
          <tpl fld="4" item="61"/>
          <tpl hier="9" item="4"/>
          <tpl hier="11" item="6"/>
          <tpl hier="12" item="5"/>
          <tpl fld="1" item="0"/>
        </tpls>
      </n>
      <n v="23762276352">
        <tpls c="8">
          <tpl hier="2" item="0"/>
          <tpl hier="4" item="1"/>
          <tpl fld="2" item="8"/>
          <tpl fld="4" item="61"/>
          <tpl hier="9" item="4"/>
          <tpl hier="11" item="6"/>
          <tpl hier="12" item="5"/>
          <tpl fld="1" item="0"/>
        </tpls>
      </n>
      <n v="485441011712">
        <tpls c="8">
          <tpl hier="2" item="0"/>
          <tpl hier="4" item="1"/>
          <tpl fld="2" item="31"/>
          <tpl fld="4" item="60"/>
          <tpl hier="9" item="4"/>
          <tpl hier="11" item="6"/>
          <tpl hier="12" item="5"/>
          <tpl fld="1" item="0"/>
        </tpls>
      </n>
      <n v="98472796160">
        <tpls c="8">
          <tpl hier="2" item="0"/>
          <tpl hier="4" item="1"/>
          <tpl fld="2" item="5"/>
          <tpl fld="4" item="60"/>
          <tpl hier="9" item="4"/>
          <tpl hier="11" item="6"/>
          <tpl hier="12" item="5"/>
          <tpl fld="1" item="0"/>
        </tpls>
      </n>
      <n v="7775078400">
        <tpls c="8">
          <tpl hier="2" item="0"/>
          <tpl hier="4" item="1"/>
          <tpl fld="2" item="32"/>
          <tpl fld="4" item="59"/>
          <tpl hier="9" item="4"/>
          <tpl hier="11" item="6"/>
          <tpl hier="12" item="5"/>
          <tpl fld="1" item="0"/>
        </tpls>
      </n>
      <n v="3544281856">
        <tpls c="8">
          <tpl hier="2" item="0"/>
          <tpl hier="4" item="1"/>
          <tpl fld="2" item="9"/>
          <tpl fld="4" item="59"/>
          <tpl hier="9" item="4"/>
          <tpl hier="11" item="6"/>
          <tpl hier="12" item="5"/>
          <tpl fld="1" item="0"/>
        </tpls>
      </n>
      <n v="4756204032">
        <tpls c="8">
          <tpl hier="2" item="0"/>
          <tpl hier="4" item="1"/>
          <tpl fld="2" item="36"/>
          <tpl fld="4" item="58"/>
          <tpl hier="9" item="4"/>
          <tpl hier="11" item="6"/>
          <tpl hier="12" item="5"/>
          <tpl fld="1" item="0"/>
        </tpls>
      </n>
      <n v="1623600000">
        <tpls c="8">
          <tpl hier="2" item="0"/>
          <tpl hier="4" item="1"/>
          <tpl fld="2" item="13"/>
          <tpl fld="4" item="58"/>
          <tpl hier="9" item="4"/>
          <tpl hier="11" item="6"/>
          <tpl hier="12" item="5"/>
          <tpl fld="1" item="0"/>
        </tpls>
      </n>
      <n v="2273224960">
        <tpls c="8">
          <tpl hier="2" item="0"/>
          <tpl hier="4" item="1"/>
          <tpl fld="2" item="40"/>
          <tpl fld="4" item="57"/>
          <tpl hier="9" item="4"/>
          <tpl hier="11" item="6"/>
          <tpl hier="12" item="5"/>
          <tpl fld="1" item="0"/>
        </tpls>
      </n>
      <n v="354591840">
        <tpls c="8">
          <tpl hier="2" item="0"/>
          <tpl hier="4" item="1"/>
          <tpl fld="2" item="17"/>
          <tpl fld="4" item="57"/>
          <tpl hier="9" item="4"/>
          <tpl hier="11" item="6"/>
          <tpl hier="12" item="5"/>
          <tpl fld="1" item="0"/>
        </tpls>
      </n>
      <n v="1053512320">
        <tpls c="8">
          <tpl hier="2" item="0"/>
          <tpl hier="4" item="1"/>
          <tpl fld="2" item="44"/>
          <tpl fld="4" item="56"/>
          <tpl hier="9" item="4"/>
          <tpl hier="11" item="6"/>
          <tpl hier="12" item="5"/>
          <tpl fld="1" item="0"/>
        </tpls>
      </n>
      <n v="257150368">
        <tpls c="8">
          <tpl hier="2" item="0"/>
          <tpl hier="4" item="1"/>
          <tpl fld="2" item="21"/>
          <tpl fld="4" item="56"/>
          <tpl hier="9" item="4"/>
          <tpl hier="11" item="6"/>
          <tpl hier="12" item="5"/>
          <tpl fld="1" item="0"/>
        </tpls>
      </n>
      <n v="73118146560">
        <tpls c="8">
          <tpl hier="2" item="0"/>
          <tpl hier="4" item="1"/>
          <tpl fld="2" item="48"/>
          <tpl fld="4" item="55"/>
          <tpl hier="9" item="4"/>
          <tpl hier="11" item="6"/>
          <tpl hier="12" item="5"/>
          <tpl fld="1" item="0"/>
        </tpls>
      </n>
      <n v="15674835968">
        <tpls c="8">
          <tpl hier="2" item="0"/>
          <tpl hier="4" item="1"/>
          <tpl fld="2" item="26"/>
          <tpl fld="4" item="55"/>
          <tpl hier="9" item="4"/>
          <tpl hier="11" item="6"/>
          <tpl hier="12" item="5"/>
          <tpl fld="1" item="0"/>
        </tpls>
      </n>
      <n v="3161499904">
        <tpls c="8">
          <tpl hier="2" item="0"/>
          <tpl hier="4" item="1"/>
          <tpl fld="2" item="4"/>
          <tpl fld="4" item="55"/>
          <tpl hier="9" item="4"/>
          <tpl hier="11" item="6"/>
          <tpl hier="12" item="5"/>
          <tpl fld="1" item="0"/>
        </tpls>
      </n>
      <n v="5314910208">
        <tpls c="8">
          <tpl hier="2" item="0"/>
          <tpl hier="4" item="1"/>
          <tpl fld="2" item="31"/>
          <tpl fld="4" item="54"/>
          <tpl hier="9" item="4"/>
          <tpl hier="11" item="6"/>
          <tpl hier="12" item="5"/>
          <tpl fld="1" item="0"/>
        </tpls>
      </n>
      <n v="3662478080">
        <tpls c="8">
          <tpl hier="2" item="0"/>
          <tpl hier="4" item="1"/>
          <tpl fld="2" item="8"/>
          <tpl fld="4" item="54"/>
          <tpl hier="9" item="4"/>
          <tpl hier="11" item="6"/>
          <tpl hier="12" item="5"/>
          <tpl fld="1" item="0"/>
        </tpls>
      </n>
      <n v="1027702272">
        <tpls c="8">
          <tpl hier="2" item="0"/>
          <tpl hier="4" item="1"/>
          <tpl fld="2" item="35"/>
          <tpl fld="4" item="53"/>
          <tpl hier="9" item="4"/>
          <tpl hier="11" item="6"/>
          <tpl hier="12" item="5"/>
          <tpl fld="1" item="0"/>
        </tpls>
      </n>
      <n v="177338800">
        <tpls c="8">
          <tpl hier="2" item="0"/>
          <tpl hier="4" item="1"/>
          <tpl fld="2" item="14"/>
          <tpl fld="4" item="53"/>
          <tpl hier="9" item="4"/>
          <tpl hier="11" item="6"/>
          <tpl hier="12" item="5"/>
          <tpl fld="1" item="0"/>
        </tpls>
      </n>
      <n v="14023890944">
        <tpls c="8">
          <tpl hier="2" item="0"/>
          <tpl hier="4" item="1"/>
          <tpl fld="2" item="46"/>
          <tpl fld="4" item="52"/>
          <tpl hier="9" item="4"/>
          <tpl hier="11" item="6"/>
          <tpl hier="12" item="5"/>
          <tpl fld="1" item="0"/>
        </tpls>
      </n>
      <n v="4958845952">
        <tpls c="8">
          <tpl hier="2" item="0"/>
          <tpl hier="4" item="1"/>
          <tpl fld="2" item="25"/>
          <tpl fld="4" item="52"/>
          <tpl hier="9" item="4"/>
          <tpl hier="11" item="6"/>
          <tpl hier="12" item="5"/>
          <tpl fld="1" item="0"/>
        </tpls>
      </n>
      <n v="3009410048">
        <tpls c="8">
          <tpl hier="2" item="0"/>
          <tpl hier="4" item="1"/>
          <tpl fld="2" item="6"/>
          <tpl fld="4" item="52"/>
          <tpl hier="9" item="4"/>
          <tpl hier="11" item="6"/>
          <tpl hier="12" item="5"/>
          <tpl fld="1" item="0"/>
        </tpls>
      </n>
      <n v="3405050624">
        <tpls c="8">
          <tpl hier="2" item="0"/>
          <tpl hier="4" item="1"/>
          <tpl fld="2" item="37"/>
          <tpl fld="4" item="51"/>
          <tpl hier="9" item="4"/>
          <tpl hier="11" item="6"/>
          <tpl hier="12" item="5"/>
          <tpl fld="1" item="0"/>
        </tpls>
      </n>
      <n v="1109976960">
        <tpls c="8">
          <tpl hier="2" item="0"/>
          <tpl hier="4" item="1"/>
          <tpl fld="2" item="18"/>
          <tpl fld="4" item="51"/>
          <tpl hier="9" item="4"/>
          <tpl hier="11" item="6"/>
          <tpl hier="12" item="5"/>
          <tpl fld="1" item="0"/>
        </tpls>
      </n>
      <n v="26117400576">
        <tpls c="8">
          <tpl hier="2" item="0"/>
          <tpl hier="4" item="1"/>
          <tpl fld="2" item="48"/>
          <tpl fld="4" item="50"/>
          <tpl hier="9" item="4"/>
          <tpl hier="11" item="6"/>
          <tpl hier="12" item="5"/>
          <tpl fld="1" item="0"/>
        </tpls>
      </n>
      <n v="11284197376">
        <tpls c="8">
          <tpl hier="2" item="0"/>
          <tpl hier="4" item="1"/>
          <tpl fld="2" item="29"/>
          <tpl fld="4" item="50"/>
          <tpl hier="9" item="4"/>
          <tpl hier="11" item="6"/>
          <tpl hier="12" item="5"/>
          <tpl fld="1" item="0"/>
        </tpls>
      </n>
      <n v="3463639808">
        <tpls c="8">
          <tpl hier="2" item="0"/>
          <tpl hier="4" item="1"/>
          <tpl fld="2" item="9"/>
          <tpl fld="4" item="50"/>
          <tpl hier="9" item="4"/>
          <tpl hier="11" item="6"/>
          <tpl hier="12" item="5"/>
          <tpl fld="1" item="0"/>
        </tpls>
      </n>
      <n v="79276662784">
        <tpls c="8">
          <tpl hier="2" item="0"/>
          <tpl hier="4" item="1"/>
          <tpl fld="2" item="41"/>
          <tpl fld="4" item="49"/>
          <tpl hier="9" item="4"/>
          <tpl hier="11" item="6"/>
          <tpl hier="12" item="5"/>
          <tpl fld="1" item="0"/>
        </tpls>
      </n>
      <n v="18094237696">
        <tpls c="8">
          <tpl hier="2" item="0"/>
          <tpl hier="4" item="1"/>
          <tpl fld="2" item="22"/>
          <tpl fld="4" item="49"/>
          <tpl hier="9" item="4"/>
          <tpl hier="11" item="6"/>
          <tpl hier="12" item="5"/>
          <tpl fld="1" item="0"/>
        </tpls>
      </n>
      <n v="2754220288">
        <tpls c="8">
          <tpl hier="2" item="0"/>
          <tpl hier="4" item="1"/>
          <tpl fld="2" item="1"/>
          <tpl fld="4" item="49"/>
          <tpl hier="9" item="4"/>
          <tpl hier="11" item="6"/>
          <tpl hier="12" item="5"/>
          <tpl fld="1" item="0"/>
        </tpls>
      </n>
      <n v="21642883072">
        <tpls c="8">
          <tpl hier="2" item="0"/>
          <tpl hier="4" item="1"/>
          <tpl fld="2" item="33"/>
          <tpl fld="4" item="48"/>
          <tpl hier="9" item="4"/>
          <tpl hier="11" item="6"/>
          <tpl hier="12" item="5"/>
          <tpl fld="1" item="0"/>
        </tpls>
      </n>
      <n v="9220599808">
        <tpls c="8">
          <tpl hier="2" item="0"/>
          <tpl hier="4" item="1"/>
          <tpl fld="2" item="13"/>
          <tpl fld="4" item="48"/>
          <tpl hier="9" item="4"/>
          <tpl hier="11" item="6"/>
          <tpl hier="12" item="5"/>
          <tpl fld="1" item="0"/>
        </tpls>
      </n>
      <n v="45814636544">
        <tpls c="8">
          <tpl hier="2" item="0"/>
          <tpl hier="4" item="1"/>
          <tpl fld="2" item="45"/>
          <tpl fld="4" item="47"/>
          <tpl hier="9" item="4"/>
          <tpl hier="11" item="6"/>
          <tpl hier="12" item="5"/>
          <tpl fld="1" item="0"/>
        </tpls>
      </n>
      <n v="8313557504">
        <tpls c="8">
          <tpl hier="2" item="0"/>
          <tpl hier="4" item="1"/>
          <tpl fld="2" item="24"/>
          <tpl fld="4" item="47"/>
          <tpl hier="9" item="4"/>
          <tpl hier="11" item="6"/>
          <tpl hier="12" item="5"/>
          <tpl fld="1" item="0"/>
        </tpls>
      </n>
      <n v="3893839104">
        <tpls c="8">
          <tpl hier="2" item="0"/>
          <tpl hier="4" item="1"/>
          <tpl fld="2" item="5"/>
          <tpl fld="4" item="47"/>
          <tpl hier="9" item="4"/>
          <tpl hier="11" item="6"/>
          <tpl hier="12" item="5"/>
          <tpl fld="1" item="0"/>
        </tpls>
      </n>
      <n v="22602721280">
        <tpls c="8">
          <tpl hier="2" item="0"/>
          <tpl hier="4" item="1"/>
          <tpl fld="2" item="36"/>
          <tpl fld="4" item="46"/>
          <tpl hier="9" item="4"/>
          <tpl hier="11" item="6"/>
          <tpl hier="12" item="5"/>
          <tpl fld="1" item="0"/>
        </tpls>
      </n>
      <n v="4532952064">
        <tpls c="8">
          <tpl hier="2" item="0"/>
          <tpl hier="4" item="1"/>
          <tpl fld="2" item="17"/>
          <tpl fld="4" item="46"/>
          <tpl hier="9" item="4"/>
          <tpl hier="11" item="6"/>
          <tpl hier="12" item="5"/>
          <tpl fld="1" item="0"/>
        </tpls>
      </n>
      <n v="9035182080">
        <tpls c="8">
          <tpl hier="2" item="0"/>
          <tpl hier="4" item="1"/>
          <tpl fld="2" item="47"/>
          <tpl fld="4" item="45"/>
          <tpl hier="9" item="4"/>
          <tpl hier="11" item="6"/>
          <tpl hier="12" item="5"/>
          <tpl fld="1" item="0"/>
        </tpls>
      </n>
      <n v="1949481344">
        <tpls c="8">
          <tpl hier="2" item="0"/>
          <tpl hier="4" item="1"/>
          <tpl fld="2" item="28"/>
          <tpl fld="4" item="45"/>
          <tpl hier="9" item="4"/>
          <tpl hier="11" item="6"/>
          <tpl hier="12" item="5"/>
          <tpl fld="1" item="0"/>
        </tpls>
      </n>
      <n v="878771776">
        <tpls c="8">
          <tpl hier="2" item="0"/>
          <tpl hier="4" item="1"/>
          <tpl fld="2" item="8"/>
          <tpl fld="4" item="45"/>
          <tpl hier="9" item="4"/>
          <tpl hier="11" item="6"/>
          <tpl hier="12" item="5"/>
          <tpl fld="1" item="0"/>
        </tpls>
      </n>
      <n v="21565720576">
        <tpls c="8">
          <tpl hier="2" item="0"/>
          <tpl hier="4" item="1"/>
          <tpl fld="2" item="40"/>
          <tpl fld="4" item="44"/>
          <tpl hier="9" item="4"/>
          <tpl hier="11" item="6"/>
          <tpl hier="12" item="5"/>
          <tpl fld="1" item="0"/>
        </tpls>
      </n>
      <n v="9625437184">
        <tpls c="8">
          <tpl hier="2" item="0"/>
          <tpl hier="4" item="1"/>
          <tpl fld="2" item="21"/>
          <tpl fld="4" item="44"/>
          <tpl hier="9" item="4"/>
          <tpl hier="11" item="6"/>
          <tpl hier="12" item="5"/>
          <tpl fld="1" item="0"/>
        </tpls>
      </n>
      <n v="4877684736">
        <tpls c="8">
          <tpl hier="2" item="0"/>
          <tpl hier="4" item="1"/>
          <tpl fld="2" item="0"/>
          <tpl fld="4" item="44"/>
          <tpl hier="9" item="4"/>
          <tpl hier="11" item="6"/>
          <tpl hier="12" item="5"/>
          <tpl fld="1" item="0"/>
        </tpls>
      </n>
      <n v="97962999808">
        <tpls c="8">
          <tpl hier="2" item="0"/>
          <tpl hier="4" item="1"/>
          <tpl fld="2" item="32"/>
          <tpl fld="4" item="43"/>
          <tpl hier="9" item="4"/>
          <tpl hier="11" item="6"/>
          <tpl hier="12" item="5"/>
          <tpl fld="1" item="0"/>
        </tpls>
      </n>
      <n v="38968041472">
        <tpls c="8">
          <tpl hier="2" item="0"/>
          <tpl hier="4" item="1"/>
          <tpl fld="2" item="12"/>
          <tpl fld="4" item="43"/>
          <tpl hier="9" item="4"/>
          <tpl hier="11" item="6"/>
          <tpl hier="12" item="5"/>
          <tpl fld="1" item="0"/>
        </tpls>
      </n>
      <n v="243919077376">
        <tpls c="8">
          <tpl hier="2" item="0"/>
          <tpl hier="4" item="1"/>
          <tpl fld="2" item="45"/>
          <tpl fld="4" item="42"/>
          <tpl hier="9" item="4"/>
          <tpl hier="11" item="6"/>
          <tpl hier="12" item="5"/>
          <tpl fld="1" item="0"/>
        </tpls>
      </n>
      <n v="84952358912">
        <tpls c="8">
          <tpl hier="2" item="0"/>
          <tpl hier="4" item="1"/>
          <tpl fld="2" item="27"/>
          <tpl fld="4" item="42"/>
          <tpl hier="9" item="4"/>
          <tpl hier="11" item="6"/>
          <tpl hier="12" item="5"/>
          <tpl fld="1" item="0"/>
        </tpls>
      </n>
      <n v="15989934080">
        <tpls c="8">
          <tpl hier="2" item="0"/>
          <tpl hier="4" item="1"/>
          <tpl fld="2" item="8"/>
          <tpl fld="4" item="42"/>
          <tpl hier="9" item="4"/>
          <tpl hier="11" item="6"/>
          <tpl hier="12" item="5"/>
          <tpl fld="1" item="0"/>
        </tpls>
      </n>
      <n v="12367364096">
        <tpls c="8">
          <tpl hier="2" item="0"/>
          <tpl hier="4" item="1"/>
          <tpl fld="2" item="42"/>
          <tpl fld="4" item="41"/>
          <tpl hier="9" item="4"/>
          <tpl hier="11" item="6"/>
          <tpl hier="12" item="5"/>
          <tpl fld="1" item="0"/>
        </tpls>
      </n>
      <n v="1445920000">
        <tpls c="8">
          <tpl hier="2" item="0"/>
          <tpl hier="4" item="1"/>
          <tpl fld="2" item="25"/>
          <tpl fld="4" item="41"/>
          <tpl hier="9" item="4"/>
          <tpl hier="11" item="6"/>
          <tpl hier="12" item="5"/>
          <tpl fld="1" item="0"/>
        </tpls>
      </n>
      <n v="1113920128">
        <tpls c="8">
          <tpl hier="2" item="0"/>
          <tpl hier="4" item="1"/>
          <tpl fld="2" item="8"/>
          <tpl fld="4" item="41"/>
          <tpl hier="9" item="4"/>
          <tpl hier="11" item="6"/>
          <tpl hier="12" item="5"/>
          <tpl fld="1" item="0"/>
        </tpls>
      </n>
      <n v="2510126592">
        <tpls c="8">
          <tpl hier="2" item="0"/>
          <tpl hier="4" item="1"/>
          <tpl fld="2" item="42"/>
          <tpl fld="4" item="40"/>
          <tpl hier="9" item="4"/>
          <tpl hier="11" item="6"/>
          <tpl hier="12" item="5"/>
          <tpl fld="1" item="0"/>
        </tpls>
      </n>
      <n v="1115389696">
        <tpls c="8">
          <tpl hier="2" item="0"/>
          <tpl hier="4" item="1"/>
          <tpl fld="2" item="25"/>
          <tpl fld="4" item="40"/>
          <tpl hier="9" item="4"/>
          <tpl hier="11" item="6"/>
          <tpl hier="12" item="5"/>
          <tpl fld="1" item="0"/>
        </tpls>
      </n>
      <n v="700764864">
        <tpls c="8">
          <tpl hier="2" item="0"/>
          <tpl hier="4" item="1"/>
          <tpl fld="2" item="9"/>
          <tpl fld="4" item="40"/>
          <tpl hier="9" item="4"/>
          <tpl hier="11" item="6"/>
          <tpl hier="12" item="5"/>
          <tpl fld="1" item="0"/>
        </tpls>
      </n>
      <n v="34989494272">
        <tpls c="8">
          <tpl hier="2" item="0"/>
          <tpl hier="4" item="1"/>
          <tpl fld="2" item="44"/>
          <tpl fld="4" item="39"/>
          <tpl hier="9" item="4"/>
          <tpl hier="11" item="6"/>
          <tpl hier="12" item="5"/>
          <tpl fld="1" item="0"/>
        </tpls>
      </n>
      <n v="10612847616">
        <tpls c="8">
          <tpl hier="2" item="0"/>
          <tpl hier="4" item="1"/>
          <tpl fld="2" item="28"/>
          <tpl fld="4" item="39"/>
          <tpl hier="9" item="4"/>
          <tpl hier="11" item="6"/>
          <tpl hier="12" item="5"/>
          <tpl fld="1" item="0"/>
        </tpls>
      </n>
      <n v="7322914816">
        <tpls c="8">
          <tpl hier="2" item="0"/>
          <tpl hier="4" item="1"/>
          <tpl fld="2" item="12"/>
          <tpl fld="4" item="39"/>
          <tpl hier="9" item="4"/>
          <tpl hier="11" item="6"/>
          <tpl hier="12" item="5"/>
          <tpl fld="1" item="0"/>
        </tpls>
      </n>
      <n v="3172292352">
        <tpls c="8">
          <tpl hier="2" item="0"/>
          <tpl hier="4" item="1"/>
          <tpl fld="2" item="47"/>
          <tpl fld="4" item="38"/>
          <tpl hier="9" item="4"/>
          <tpl hier="11" item="6"/>
          <tpl hier="12" item="5"/>
          <tpl fld="1" item="0"/>
        </tpls>
      </n>
      <n v="876794752">
        <tpls c="8">
          <tpl hier="2" item="0"/>
          <tpl hier="4" item="1"/>
          <tpl fld="2" item="31"/>
          <tpl fld="4" item="38"/>
          <tpl hier="9" item="4"/>
          <tpl hier="11" item="6"/>
          <tpl hier="12" item="5"/>
          <tpl fld="1" item="0"/>
        </tpls>
      </n>
      <n v="1149979264">
        <tpls c="8">
          <tpl hier="2" item="0"/>
          <tpl hier="4" item="1"/>
          <tpl fld="2" item="15"/>
          <tpl fld="4" item="38"/>
          <tpl hier="9" item="4"/>
          <tpl hier="11" item="6"/>
          <tpl hier="12" item="5"/>
          <tpl fld="1" item="0"/>
        </tpls>
      </n>
      <n v="247171092384">
        <tpls c="8">
          <tpl hier="2" item="0"/>
          <tpl hier="4" item="1"/>
          <tpl hier="5" item="3"/>
          <tpl fld="4" item="37"/>
          <tpl hier="9" item="4"/>
          <tpl hier="11" item="6"/>
          <tpl hier="12" item="5"/>
          <tpl fld="1" item="0"/>
        </tpls>
      </n>
      <n v="5441918464">
        <tpls c="8">
          <tpl hier="2" item="0"/>
          <tpl hier="4" item="1"/>
          <tpl fld="2" item="34"/>
          <tpl fld="4" item="37"/>
          <tpl hier="9" item="4"/>
          <tpl hier="11" item="6"/>
          <tpl hier="12" item="5"/>
          <tpl fld="1" item="0"/>
        </tpls>
      </n>
      <n v="2616040704">
        <tpls c="8">
          <tpl hier="2" item="0"/>
          <tpl hier="4" item="1"/>
          <tpl fld="2" item="18"/>
          <tpl fld="4" item="37"/>
          <tpl hier="9" item="4"/>
          <tpl hier="11" item="6"/>
          <tpl hier="12" item="5"/>
          <tpl fld="1" item="0"/>
        </tpls>
      </n>
      <n v="578595584">
        <tpls c="8">
          <tpl hier="2" item="0"/>
          <tpl hier="4" item="1"/>
          <tpl fld="2" item="2"/>
          <tpl fld="4" item="37"/>
          <tpl hier="9" item="4"/>
          <tpl hier="11" item="6"/>
          <tpl hier="12" item="5"/>
          <tpl fld="1" item="0"/>
        </tpls>
      </n>
      <n v="1397084389376">
        <tpls c="8">
          <tpl hier="2" item="0"/>
          <tpl hier="4" item="1"/>
          <tpl fld="2" item="37"/>
          <tpl fld="4" item="36"/>
          <tpl hier="9" item="4"/>
          <tpl hier="11" item="6"/>
          <tpl hier="12" item="5"/>
          <tpl fld="1" item="0"/>
        </tpls>
      </n>
      <n v="602860027904">
        <tpls c="8">
          <tpl hier="2" item="0"/>
          <tpl hier="4" item="1"/>
          <tpl fld="2" item="21"/>
          <tpl fld="4" item="36"/>
          <tpl hier="9" item="4"/>
          <tpl hier="11" item="6"/>
          <tpl hier="12" item="5"/>
          <tpl fld="1" item="0"/>
        </tpls>
      </n>
      <n v="123709374464">
        <tpls c="8">
          <tpl hier="2" item="0"/>
          <tpl hier="4" item="1"/>
          <tpl fld="2" item="5"/>
          <tpl fld="4" item="36"/>
          <tpl hier="9" item="4"/>
          <tpl hier="11" item="6"/>
          <tpl hier="12" item="5"/>
          <tpl fld="1" item="0"/>
        </tpls>
      </n>
      <n v="12786654208">
        <tpls c="8">
          <tpl hier="2" item="0"/>
          <tpl hier="4" item="1"/>
          <tpl fld="2" item="40"/>
          <tpl fld="4" item="35"/>
          <tpl hier="9" item="4"/>
          <tpl hier="11" item="6"/>
          <tpl hier="12" item="5"/>
          <tpl fld="1" item="0"/>
        </tpls>
      </n>
      <n v="4259331072">
        <tpls c="8">
          <tpl hier="2" item="0"/>
          <tpl hier="4" item="1"/>
          <tpl fld="2" item="24"/>
          <tpl fld="4" item="35"/>
          <tpl hier="9" item="4"/>
          <tpl hier="11" item="6"/>
          <tpl hier="12" item="5"/>
          <tpl fld="1" item="0"/>
        </tpls>
      </n>
      <n v="590376704">
        <tpls c="8">
          <tpl hier="2" item="0"/>
          <tpl hier="4" item="1"/>
          <tpl fld="2" item="8"/>
          <tpl fld="4" item="35"/>
          <tpl hier="9" item="4"/>
          <tpl hier="11" item="6"/>
          <tpl hier="12" item="5"/>
          <tpl fld="1" item="0"/>
        </tpls>
      </n>
      <n v="30659338240">
        <tpls c="8">
          <tpl hier="2" item="0"/>
          <tpl hier="4" item="1"/>
          <tpl fld="2" item="43"/>
          <tpl fld="4" item="34"/>
          <tpl hier="9" item="4"/>
          <tpl hier="11" item="6"/>
          <tpl hier="12" item="5"/>
          <tpl fld="1" item="0"/>
        </tpls>
      </n>
      <n v="7925673472">
        <tpls c="8">
          <tpl hier="2" item="0"/>
          <tpl hier="4" item="1"/>
          <tpl fld="2" item="27"/>
          <tpl fld="4" item="34"/>
          <tpl hier="9" item="4"/>
          <tpl hier="11" item="6"/>
          <tpl hier="12" item="5"/>
          <tpl fld="1" item="0"/>
        </tpls>
      </n>
      <n v="5872756736">
        <tpls c="8">
          <tpl hier="2" item="0"/>
          <tpl hier="4" item="1"/>
          <tpl fld="2" item="11"/>
          <tpl fld="4" item="34"/>
          <tpl hier="9" item="4"/>
          <tpl hier="11" item="6"/>
          <tpl hier="12" item="5"/>
          <tpl fld="1" item="0"/>
        </tpls>
      </n>
      <n v="11821066240">
        <tpls c="8">
          <tpl hier="2" item="0"/>
          <tpl hier="4" item="1"/>
          <tpl fld="2" item="46"/>
          <tpl fld="4" item="33"/>
          <tpl hier="9" item="4"/>
          <tpl hier="11" item="6"/>
          <tpl hier="12" item="5"/>
          <tpl fld="1" item="0"/>
        </tpls>
      </n>
      <n v="3511248896">
        <tpls c="8">
          <tpl hier="2" item="0"/>
          <tpl hier="4" item="1"/>
          <tpl fld="2" item="30"/>
          <tpl fld="4" item="33"/>
          <tpl hier="9" item="4"/>
          <tpl hier="11" item="6"/>
          <tpl hier="12" item="5"/>
          <tpl fld="1" item="0"/>
        </tpls>
      </n>
      <n v="1051133952">
        <tpls c="8">
          <tpl hier="2" item="0"/>
          <tpl hier="4" item="1"/>
          <tpl fld="2" item="14"/>
          <tpl fld="4" item="33"/>
          <tpl hier="9" item="4"/>
          <tpl hier="11" item="6"/>
          <tpl hier="12" item="5"/>
          <tpl fld="1" item="0"/>
        </tpls>
      </n>
      <n v="1879613568">
        <tpls c="8">
          <tpl hier="2" item="0"/>
          <tpl hier="4" item="1"/>
          <tpl fld="2" item="49"/>
          <tpl fld="4" item="32"/>
          <tpl hier="9" item="4"/>
          <tpl hier="11" item="6"/>
          <tpl hier="12" item="5"/>
          <tpl fld="1" item="0"/>
        </tpls>
      </n>
      <n v="983500032">
        <tpls c="8">
          <tpl hier="2" item="0"/>
          <tpl hier="4" item="1"/>
          <tpl fld="2" item="33"/>
          <tpl fld="4" item="32"/>
          <tpl hier="9" item="4"/>
          <tpl hier="11" item="6"/>
          <tpl hier="12" item="5"/>
          <tpl fld="1" item="0"/>
        </tpls>
      </n>
      <n v="281082560">
        <tpls c="8">
          <tpl hier="2" item="0"/>
          <tpl hier="4" item="1"/>
          <tpl fld="2" item="17"/>
          <tpl fld="4" item="32"/>
          <tpl hier="9" item="4"/>
          <tpl hier="11" item="6"/>
          <tpl hier="12" item="5"/>
          <tpl fld="1" item="0"/>
        </tpls>
      </n>
      <n v="59207316">
        <tpls c="8">
          <tpl hier="2" item="0"/>
          <tpl hier="4" item="1"/>
          <tpl fld="2" item="1"/>
          <tpl fld="4" item="32"/>
          <tpl hier="9" item="4"/>
          <tpl hier="11" item="6"/>
          <tpl hier="12" item="5"/>
          <tpl fld="1" item="0"/>
        </tpls>
      </n>
      <n v="71819083776">
        <tpls c="8">
          <tpl hier="2" item="0"/>
          <tpl hier="4" item="1"/>
          <tpl fld="2" item="36"/>
          <tpl fld="4" item="31"/>
          <tpl hier="9" item="4"/>
          <tpl hier="11" item="6"/>
          <tpl hier="12" item="5"/>
          <tpl fld="1" item="0"/>
        </tpls>
      </n>
      <n v="31598342144">
        <tpls c="8">
          <tpl hier="2" item="0"/>
          <tpl hier="4" item="1"/>
          <tpl fld="2" item="20"/>
          <tpl fld="4" item="31"/>
          <tpl hier="9" item="4"/>
          <tpl hier="11" item="6"/>
          <tpl hier="12" item="5"/>
          <tpl fld="1" item="0"/>
        </tpls>
      </n>
      <n v="12512460800">
        <tpls c="8">
          <tpl hier="2" item="0"/>
          <tpl hier="4" item="1"/>
          <tpl fld="2" item="4"/>
          <tpl fld="4" item="31"/>
          <tpl hier="9" item="4"/>
          <tpl hier="11" item="6"/>
          <tpl hier="12" item="5"/>
          <tpl fld="1" item="0"/>
        </tpls>
      </n>
      <n v="9981960192">
        <tpls c="8">
          <tpl hier="2" item="0"/>
          <tpl hier="4" item="1"/>
          <tpl fld="2" item="39"/>
          <tpl fld="4" item="30"/>
          <tpl hier="9" item="4"/>
          <tpl hier="11" item="6"/>
          <tpl hier="12" item="5"/>
          <tpl fld="1" item="0"/>
        </tpls>
      </n>
      <n v="3092000000">
        <tpls c="8">
          <tpl hier="2" item="0"/>
          <tpl hier="4" item="1"/>
          <tpl fld="2" item="23"/>
          <tpl fld="4" item="30"/>
          <tpl hier="9" item="4"/>
          <tpl hier="11" item="6"/>
          <tpl hier="12" item="5"/>
          <tpl fld="1" item="0"/>
        </tpls>
      </n>
      <n v="713000000">
        <tpls c="8">
          <tpl hier="2" item="0"/>
          <tpl hier="4" item="1"/>
          <tpl fld="2" item="7"/>
          <tpl fld="4" item="30"/>
          <tpl hier="9" item="4"/>
          <tpl hier="11" item="6"/>
          <tpl hier="12" item="5"/>
          <tpl fld="1" item="0"/>
        </tpls>
      </n>
      <n v="545982382080">
        <tpls c="8">
          <tpl hier="2" item="0"/>
          <tpl hier="4" item="1"/>
          <tpl fld="2" item="42"/>
          <tpl fld="4" item="29"/>
          <tpl hier="9" item="4"/>
          <tpl hier="11" item="6"/>
          <tpl hier="12" item="5"/>
          <tpl fld="1" item="0"/>
        </tpls>
      </n>
      <n v="272149757952">
        <tpls c="8">
          <tpl hier="2" item="0"/>
          <tpl hier="4" item="1"/>
          <tpl fld="2" item="26"/>
          <tpl fld="4" item="29"/>
          <tpl hier="9" item="4"/>
          <tpl hier="11" item="6"/>
          <tpl hier="12" item="5"/>
          <tpl fld="1" item="0"/>
        </tpls>
      </n>
      <n v="76961923072">
        <tpls c="8">
          <tpl hier="2" item="0"/>
          <tpl hier="4" item="1"/>
          <tpl fld="2" item="10"/>
          <tpl fld="4" item="29"/>
          <tpl hier="9" item="4"/>
          <tpl hier="11" item="6"/>
          <tpl hier="12" item="5"/>
          <tpl fld="1" item="0"/>
        </tpls>
      </n>
      <n v="165979422720">
        <tpls c="8">
          <tpl hier="2" item="0"/>
          <tpl hier="4" item="1"/>
          <tpl fld="2" item="45"/>
          <tpl fld="4" item="28"/>
          <tpl hier="9" item="4"/>
          <tpl hier="11" item="6"/>
          <tpl hier="12" item="5"/>
          <tpl fld="1" item="0"/>
        </tpls>
      </n>
      <n v="48640610304">
        <tpls c="8">
          <tpl hier="2" item="0"/>
          <tpl hier="4" item="1"/>
          <tpl fld="2" item="29"/>
          <tpl fld="4" item="28"/>
          <tpl hier="9" item="4"/>
          <tpl hier="11" item="6"/>
          <tpl hier="12" item="5"/>
          <tpl fld="1" item="0"/>
        </tpls>
      </n>
      <n v="48801370112">
        <tpls c="8">
          <tpl hier="2" item="0"/>
          <tpl hier="4" item="1"/>
          <tpl fld="2" item="13"/>
          <tpl fld="4" item="28"/>
          <tpl hier="9" item="4"/>
          <tpl hier="11" item="6"/>
          <tpl hier="12" item="5"/>
          <tpl fld="1" item="0"/>
        </tpls>
      </n>
      <n v="20529048190976">
        <tpls c="8">
          <tpl hier="2" item="0"/>
          <tpl hier="4" item="1"/>
          <tpl fld="2" item="48"/>
          <tpl fld="4" item="27"/>
          <tpl hier="9" item="4"/>
          <tpl hier="11" item="6"/>
          <tpl hier="12" item="5"/>
          <tpl fld="1" item="0"/>
        </tpls>
      </n>
      <n v="10936419090432">
        <tpls c="8">
          <tpl hier="2" item="0"/>
          <tpl hier="4" item="1"/>
          <tpl fld="2" item="32"/>
          <tpl fld="4" item="27"/>
          <tpl hier="9" item="4"/>
          <tpl hier="11" item="6"/>
          <tpl hier="12" item="5"/>
          <tpl fld="1" item="0"/>
        </tpls>
      </n>
      <n v="4579631038464">
        <tpls c="8">
          <tpl hier="2" item="0"/>
          <tpl hier="4" item="1"/>
          <tpl fld="2" item="16"/>
          <tpl fld="4" item="27"/>
          <tpl hier="9" item="4"/>
          <tpl hier="11" item="6"/>
          <tpl hier="12" item="5"/>
          <tpl fld="1" item="0"/>
        </tpls>
      </n>
      <n v="1073302994944">
        <tpls c="8">
          <tpl hier="2" item="0"/>
          <tpl hier="4" item="1"/>
          <tpl fld="2" item="0"/>
          <tpl fld="4" item="27"/>
          <tpl hier="9" item="4"/>
          <tpl hier="11" item="6"/>
          <tpl hier="12" item="5"/>
          <tpl fld="1" item="0"/>
        </tpls>
      </n>
      <n v="2538680090624">
        <tpls c="8">
          <tpl hier="2" item="0"/>
          <tpl hier="4" item="1"/>
          <tpl fld="2" item="35"/>
          <tpl fld="4" item="26"/>
          <tpl hier="9" item="4"/>
          <tpl hier="11" item="6"/>
          <tpl hier="12" item="5"/>
          <tpl fld="1" item="0"/>
        </tpls>
      </n>
      <n v="926884823040">
        <tpls c="8">
          <tpl hier="2" item="0"/>
          <tpl hier="4" item="1"/>
          <tpl fld="2" item="19"/>
          <tpl fld="4" item="26"/>
          <tpl hier="9" item="4"/>
          <tpl hier="11" item="6"/>
          <tpl hier="12" item="5"/>
          <tpl fld="1" item="0"/>
        </tpls>
      </n>
      <n v="192537968640">
        <tpls c="8">
          <tpl hier="2" item="0"/>
          <tpl hier="4" item="1"/>
          <tpl fld="2" item="3"/>
          <tpl fld="4" item="26"/>
          <tpl hier="9" item="4"/>
          <tpl hier="11" item="6"/>
          <tpl hier="12" item="5"/>
          <tpl fld="1" item="0"/>
        </tpls>
      </n>
      <n v="554363518976">
        <tpls c="8">
          <tpl hier="2" item="0"/>
          <tpl hier="4" item="1"/>
          <tpl fld="2" item="38"/>
          <tpl fld="4" item="25"/>
          <tpl hier="9" item="4"/>
          <tpl hier="11" item="6"/>
          <tpl hier="12" item="5"/>
          <tpl fld="1" item="0"/>
        </tpls>
      </n>
      <n v="271814361088">
        <tpls c="8">
          <tpl hier="2" item="0"/>
          <tpl hier="4" item="1"/>
          <tpl fld="2" item="22"/>
          <tpl fld="4" item="25"/>
          <tpl hier="9" item="4"/>
          <tpl hier="11" item="6"/>
          <tpl hier="12" item="5"/>
          <tpl fld="1" item="0"/>
        </tpls>
      </n>
      <n v="66493313024">
        <tpls c="8">
          <tpl hier="2" item="0"/>
          <tpl hier="4" item="1"/>
          <tpl fld="2" item="6"/>
          <tpl fld="4" item="25"/>
          <tpl hier="9" item="4"/>
          <tpl hier="11" item="6"/>
          <tpl hier="12" item="5"/>
          <tpl fld="1" item="0"/>
        </tpls>
      </n>
      <n v="574094114816">
        <tpls c="8">
          <tpl hier="2" item="0"/>
          <tpl hier="4" item="1"/>
          <tpl fld="2" item="41"/>
          <tpl fld="4" item="24"/>
          <tpl hier="9" item="4"/>
          <tpl hier="11" item="6"/>
          <tpl hier="12" item="5"/>
          <tpl fld="1" item="0"/>
        </tpls>
      </n>
      <n v="267305877504">
        <tpls c="8">
          <tpl hier="2" item="0"/>
          <tpl hier="4" item="1"/>
          <tpl fld="2" item="25"/>
          <tpl fld="4" item="24"/>
          <tpl hier="9" item="4"/>
          <tpl hier="11" item="6"/>
          <tpl hier="12" item="5"/>
          <tpl fld="1" item="0"/>
        </tpls>
      </n>
      <n v="123386413056">
        <tpls c="8">
          <tpl hier="2" item="0"/>
          <tpl hier="4" item="1"/>
          <tpl fld="2" item="9"/>
          <tpl fld="4" item="24"/>
          <tpl hier="9" item="4"/>
          <tpl hier="11" item="6"/>
          <tpl hier="12" item="5"/>
          <tpl fld="1" item="0"/>
        </tpls>
      </n>
      <n v="1369398837248">
        <tpls c="8">
          <tpl hier="2" item="0"/>
          <tpl hier="4" item="1"/>
          <tpl fld="2" item="44"/>
          <tpl fld="4" item="23"/>
          <tpl hier="9" item="4"/>
          <tpl hier="11" item="6"/>
          <tpl hier="12" item="5"/>
          <tpl fld="1" item="0"/>
        </tpls>
      </n>
      <n v="619214864384">
        <tpls c="8">
          <tpl hier="2" item="0"/>
          <tpl hier="4" item="1"/>
          <tpl fld="2" item="28"/>
          <tpl fld="4" item="23"/>
          <tpl hier="9" item="4"/>
          <tpl hier="11" item="6"/>
          <tpl hier="12" item="5"/>
          <tpl fld="1" item="0"/>
        </tpls>
      </n>
      <n v="195996762112">
        <tpls c="8">
          <tpl hier="2" item="0"/>
          <tpl hier="4" item="1"/>
          <tpl fld="2" item="12"/>
          <tpl fld="4" item="23"/>
          <tpl hier="9" item="4"/>
          <tpl hier="11" item="6"/>
          <tpl hier="12" item="5"/>
          <tpl fld="1" item="0"/>
        </tpls>
      </n>
      <n v="1623901470720">
        <tpls c="8">
          <tpl hier="2" item="0"/>
          <tpl hier="4" item="1"/>
          <tpl fld="2" item="47"/>
          <tpl fld="4" item="22"/>
          <tpl hier="9" item="4"/>
          <tpl hier="11" item="6"/>
          <tpl hier="12" item="5"/>
          <tpl fld="1" item="0"/>
        </tpls>
      </n>
      <n v="547658235904">
        <tpls c="8">
          <tpl hier="2" item="0"/>
          <tpl hier="4" item="1"/>
          <tpl fld="2" item="31"/>
          <tpl fld="4" item="22"/>
          <tpl hier="9" item="4"/>
          <tpl hier="11" item="6"/>
          <tpl hier="12" item="5"/>
          <tpl fld="1" item="0"/>
        </tpls>
      </n>
      <n v="101296177152">
        <tpls c="8">
          <tpl hier="2" item="0"/>
          <tpl hier="4" item="1"/>
          <tpl fld="2" item="15"/>
          <tpl fld="4" item="22"/>
          <tpl hier="9" item="4"/>
          <tpl hier="11" item="6"/>
          <tpl hier="12" item="5"/>
          <tpl fld="1" item="0"/>
        </tpls>
      </n>
      <n v="6978371584">
        <tpls c="8">
          <tpl hier="2" item="0"/>
          <tpl hier="4" item="1"/>
          <tpl fld="2" item="18"/>
          <tpl fld="4" item="91"/>
          <tpl hier="9" item="4"/>
          <tpl hier="11" item="6"/>
          <tpl hier="12" item="5"/>
          <tpl fld="1" item="0"/>
        </tpls>
      </n>
      <n v="1047808192">
        <tpls c="8">
          <tpl hier="2" item="0"/>
          <tpl hier="4" item="1"/>
          <tpl fld="2" item="45"/>
          <tpl fld="4" item="56"/>
          <tpl hier="9" item="4"/>
          <tpl hier="11" item="6"/>
          <tpl hier="12" item="5"/>
          <tpl fld="1" item="0"/>
        </tpls>
      </n>
      <n v="3437200128">
        <tpls c="8">
          <tpl hier="2" item="0"/>
          <tpl hier="4" item="1"/>
          <tpl fld="2" item="11"/>
          <tpl fld="4" item="50"/>
          <tpl hier="9" item="4"/>
          <tpl hier="11" item="6"/>
          <tpl hier="12" item="5"/>
          <tpl fld="1" item="0"/>
        </tpls>
      </n>
      <n v="5594770432">
        <tpls c="8">
          <tpl hier="2" item="0"/>
          <tpl hier="4" item="1"/>
          <tpl fld="2" item="1"/>
          <tpl fld="4" item="44"/>
          <tpl hier="9" item="4"/>
          <tpl hier="11" item="6"/>
          <tpl hier="12" item="5"/>
          <tpl fld="1" item="0"/>
        </tpls>
      </n>
      <n v="825394496">
        <tpls c="8">
          <tpl hier="2" item="0"/>
          <tpl hier="4" item="1"/>
          <tpl fld="2" item="32"/>
          <tpl fld="4" item="38"/>
          <tpl hier="9" item="4"/>
          <tpl hier="11" item="6"/>
          <tpl hier="12" item="5"/>
          <tpl fld="1" item="0"/>
        </tpls>
      </n>
      <n v="5587490304">
        <tpls c="8">
          <tpl hier="2" item="0"/>
          <tpl hier="4" item="1"/>
          <tpl fld="2" item="12"/>
          <tpl fld="4" item="34"/>
          <tpl hier="9" item="4"/>
          <tpl hier="11" item="6"/>
          <tpl hier="12" item="5"/>
          <tpl fld="1" item="0"/>
        </tpls>
      </n>
      <n v="928843328">
        <tpls c="8">
          <tpl hier="2" item="0"/>
          <tpl hier="4" item="1"/>
          <tpl fld="2" item="8"/>
          <tpl fld="4" item="33"/>
          <tpl hier="9" item="4"/>
          <tpl hier="11" item="6"/>
          <tpl hier="12" item="5"/>
          <tpl fld="1" item="0"/>
        </tpls>
      </n>
      <n v="518239104">
        <tpls c="8">
          <tpl hier="2" item="0"/>
          <tpl hier="4" item="1"/>
          <tpl fld="2" item="22"/>
          <tpl fld="4" item="32"/>
          <tpl hier="9" item="4"/>
          <tpl hier="11" item="6"/>
          <tpl hier="12" item="5"/>
          <tpl fld="1" item="0"/>
        </tpls>
      </n>
      <n v="79611887616">
        <tpls c="8">
          <tpl hier="2" item="0"/>
          <tpl hier="4" item="1"/>
          <tpl fld="2" item="37"/>
          <tpl fld="4" item="31"/>
          <tpl hier="9" item="4"/>
          <tpl hier="11" item="6"/>
          <tpl hier="12" item="5"/>
          <tpl fld="1" item="0"/>
        </tpls>
      </n>
      <n v="6288245760">
        <tpls c="8">
          <tpl hier="2" item="0"/>
          <tpl hier="4" item="1"/>
          <tpl fld="2" item="2"/>
          <tpl fld="4" item="31"/>
          <tpl hier="9" item="4"/>
          <tpl hier="11" item="6"/>
          <tpl hier="12" item="5"/>
          <tpl fld="1" item="0"/>
        </tpls>
      </n>
      <n v="3259000064">
        <tpls c="8">
          <tpl hier="2" item="0"/>
          <tpl hier="4" item="1"/>
          <tpl fld="2" item="24"/>
          <tpl fld="4" item="30"/>
          <tpl hier="9" item="4"/>
          <tpl hier="11" item="6"/>
          <tpl hier="12" item="5"/>
          <tpl fld="1" item="0"/>
        </tpls>
      </n>
      <n v="642695888896">
        <tpls c="8">
          <tpl hier="2" item="0"/>
          <tpl hier="4" item="1"/>
          <tpl fld="2" item="47"/>
          <tpl fld="4" item="29"/>
          <tpl hier="9" item="4"/>
          <tpl hier="11" item="6"/>
          <tpl hier="12" item="5"/>
          <tpl fld="1" item="0"/>
        </tpls>
      </n>
      <n v="236741722112">
        <tpls c="8">
          <tpl hier="2" item="0"/>
          <tpl hier="4" item="1"/>
          <tpl fld="2" item="23"/>
          <tpl fld="4" item="29"/>
          <tpl hier="9" item="4"/>
          <tpl hier="11" item="6"/>
          <tpl hier="12" item="5"/>
          <tpl fld="1" item="0"/>
        </tpls>
      </n>
      <n v="3985852900864">
        <tpls c="8">
          <tpl hier="2" item="0"/>
          <tpl hier="4" item="1"/>
          <tpl hier="5" item="3"/>
          <tpl fld="4" item="28"/>
          <tpl hier="9" item="4"/>
          <tpl hier="11" item="6"/>
          <tpl hier="12" item="5"/>
          <tpl fld="1" item="0"/>
        </tpls>
      </n>
      <n v="48177860608">
        <tpls c="8">
          <tpl hier="2" item="0"/>
          <tpl hier="4" item="1"/>
          <tpl fld="2" item="27"/>
          <tpl fld="4" item="28"/>
          <tpl hier="9" item="4"/>
          <tpl hier="11" item="6"/>
          <tpl hier="12" item="5"/>
          <tpl fld="1" item="0"/>
        </tpls>
      </n>
      <n v="8715106304">
        <tpls c="8">
          <tpl hier="2" item="0"/>
          <tpl hier="4" item="1"/>
          <tpl fld="2" item="3"/>
          <tpl fld="4" item="28"/>
          <tpl hier="9" item="4"/>
          <tpl hier="11" item="6"/>
          <tpl hier="12" item="5"/>
          <tpl fld="1" item="0"/>
        </tpls>
      </n>
      <n v="10581821095936">
        <tpls c="8">
          <tpl hier="2" item="0"/>
          <tpl hier="4" item="1"/>
          <tpl fld="2" item="31"/>
          <tpl fld="4" item="27"/>
          <tpl hier="9" item="4"/>
          <tpl hier="11" item="6"/>
          <tpl hier="12" item="5"/>
          <tpl fld="1" item="0"/>
        </tpls>
      </n>
      <n v="2627334045696">
        <tpls c="8">
          <tpl hier="2" item="0"/>
          <tpl hier="4" item="1"/>
          <tpl fld="2" item="9"/>
          <tpl fld="4" item="27"/>
          <tpl hier="9" item="4"/>
          <tpl hier="11" item="6"/>
          <tpl hier="12" item="5"/>
          <tpl fld="1" item="0"/>
        </tpls>
      </n>
      <n v="2713749815296">
        <tpls c="8">
          <tpl hier="2" item="0"/>
          <tpl hier="4" item="1"/>
          <tpl fld="2" item="36"/>
          <tpl fld="4" item="26"/>
          <tpl hier="9" item="4"/>
          <tpl hier="11" item="6"/>
          <tpl hier="12" item="5"/>
          <tpl fld="1" item="0"/>
        </tpls>
      </n>
      <n v="489618014208">
        <tpls c="8">
          <tpl hier="2" item="0"/>
          <tpl hier="4" item="1"/>
          <tpl fld="2" item="13"/>
          <tpl fld="4" item="26"/>
          <tpl hier="9" item="4"/>
          <tpl hier="11" item="6"/>
          <tpl hier="12" item="5"/>
          <tpl fld="1" item="0"/>
        </tpls>
      </n>
      <n v="699579629568">
        <tpls c="8">
          <tpl hier="2" item="0"/>
          <tpl hier="4" item="1"/>
          <tpl fld="2" item="41"/>
          <tpl fld="4" item="25"/>
          <tpl hier="9" item="4"/>
          <tpl hier="11" item="6"/>
          <tpl hier="12" item="5"/>
          <tpl fld="1" item="0"/>
        </tpls>
      </n>
      <n v="258066546688">
        <tpls c="8">
          <tpl hier="2" item="0"/>
          <tpl hier="4" item="1"/>
          <tpl fld="2" item="20"/>
          <tpl fld="4" item="25"/>
          <tpl hier="9" item="4"/>
          <tpl hier="11" item="6"/>
          <tpl hier="12" item="5"/>
          <tpl fld="1" item="0"/>
        </tpls>
      </n>
      <n v="29170151424">
        <tpls c="8">
          <tpl hier="2" item="0"/>
          <tpl hier="4" item="1"/>
          <tpl fld="2" item="1"/>
          <tpl fld="4" item="25"/>
          <tpl hier="9" item="4"/>
          <tpl hier="11" item="6"/>
          <tpl hier="12" item="5"/>
          <tpl fld="1" item="0"/>
        </tpls>
      </n>
      <n v="242395856896">
        <tpls c="8">
          <tpl hier="2" item="0"/>
          <tpl hier="4" item="1"/>
          <tpl fld="2" item="31"/>
          <tpl fld="4" item="24"/>
          <tpl hier="9" item="4"/>
          <tpl hier="11" item="6"/>
          <tpl hier="12" item="5"/>
          <tpl fld="1" item="0"/>
        </tpls>
      </n>
      <n v="114380554240">
        <tpls c="8">
          <tpl hier="2" item="0"/>
          <tpl hier="4" item="1"/>
          <tpl fld="2" item="12"/>
          <tpl fld="4" item="24"/>
          <tpl hier="9" item="4"/>
          <tpl hier="11" item="6"/>
          <tpl hier="12" item="5"/>
          <tpl fld="1" item="0"/>
        </tpls>
      </n>
      <n v="1354757439488">
        <tpls c="8">
          <tpl hier="2" item="0"/>
          <tpl hier="4" item="1"/>
          <tpl fld="2" item="43"/>
          <tpl fld="4" item="23"/>
          <tpl hier="9" item="4"/>
          <tpl hier="11" item="6"/>
          <tpl hier="12" item="5"/>
          <tpl fld="1" item="0"/>
        </tpls>
      </n>
      <n v="530562646016">
        <tpls c="8">
          <tpl hier="2" item="0"/>
          <tpl hier="4" item="1"/>
          <tpl fld="2" item="24"/>
          <tpl fld="4" item="23"/>
          <tpl hier="9" item="4"/>
          <tpl hier="11" item="6"/>
          <tpl hier="12" item="5"/>
          <tpl fld="1" item="0"/>
        </tpls>
      </n>
      <n v="114777047040">
        <tpls c="8">
          <tpl hier="2" item="0"/>
          <tpl hier="4" item="1"/>
          <tpl fld="2" item="5"/>
          <tpl fld="4" item="23"/>
          <tpl hier="9" item="4"/>
          <tpl hier="11" item="6"/>
          <tpl hier="12" item="5"/>
          <tpl fld="1" item="0"/>
        </tpls>
      </n>
      <n v="934901055488">
        <tpls c="8">
          <tpl hier="2" item="0"/>
          <tpl hier="4" item="1"/>
          <tpl fld="2" item="35"/>
          <tpl fld="4" item="22"/>
          <tpl hier="9" item="4"/>
          <tpl hier="11" item="6"/>
          <tpl hier="12" item="5"/>
          <tpl fld="1" item="0"/>
        </tpls>
      </n>
      <n v="116836802560">
        <tpls c="8">
          <tpl hier="2" item="0"/>
          <tpl hier="4" item="1"/>
          <tpl fld="2" item="16"/>
          <tpl fld="4" item="22"/>
          <tpl hier="9" item="4"/>
          <tpl hier="11" item="6"/>
          <tpl hier="12" item="5"/>
          <tpl fld="1" item="0"/>
        </tpls>
      </n>
      <n v="373217067008">
        <tpls c="8">
          <tpl hier="2" item="0"/>
          <tpl hier="4" item="1"/>
          <tpl fld="2" item="48"/>
          <tpl fld="4" item="21"/>
          <tpl hier="9" item="4"/>
          <tpl hier="11" item="6"/>
          <tpl hier="12" item="5"/>
          <tpl fld="1" item="0"/>
        </tpls>
      </n>
      <n v="96074481664">
        <tpls c="8">
          <tpl hier="2" item="0"/>
          <tpl hier="4" item="1"/>
          <tpl fld="2" item="30"/>
          <tpl fld="4" item="21"/>
          <tpl hier="9" item="4"/>
          <tpl hier="11" item="6"/>
          <tpl hier="12" item="5"/>
          <tpl fld="1" item="0"/>
        </tpls>
      </n>
      <n v="16084252672">
        <tpls c="8">
          <tpl hier="2" item="0"/>
          <tpl hier="4" item="1"/>
          <tpl fld="2" item="12"/>
          <tpl fld="4" item="21"/>
          <tpl hier="9" item="4"/>
          <tpl hier="11" item="6"/>
          <tpl hier="12" item="5"/>
          <tpl fld="1" item="0"/>
        </tpls>
      </n>
      <n v="226369503232">
        <tpls c="8">
          <tpl hier="2" item="0"/>
          <tpl hier="4" item="1"/>
          <tpl fld="2" item="43"/>
          <tpl fld="4" item="20"/>
          <tpl hier="9" item="4"/>
          <tpl hier="11" item="6"/>
          <tpl hier="12" item="5"/>
          <tpl fld="1" item="0"/>
        </tpls>
      </n>
      <n v="118122004480">
        <tpls c="8">
          <tpl hier="2" item="0"/>
          <tpl hier="4" item="1"/>
          <tpl fld="2" item="25"/>
          <tpl fld="4" item="20"/>
          <tpl hier="9" item="4"/>
          <tpl hier="11" item="6"/>
          <tpl hier="12" item="5"/>
          <tpl fld="1" item="0"/>
        </tpls>
      </n>
      <n v="21439524864">
        <tpls c="8">
          <tpl hier="2" item="0"/>
          <tpl hier="4" item="1"/>
          <tpl fld="2" item="7"/>
          <tpl fld="4" item="20"/>
          <tpl hier="9" item="4"/>
          <tpl hier="11" item="6"/>
          <tpl hier="12" item="5"/>
          <tpl fld="1" item="0"/>
        </tpls>
      </n>
      <n v="498283446272">
        <tpls c="8">
          <tpl hier="2" item="0"/>
          <tpl hier="4" item="1"/>
          <tpl fld="2" item="41"/>
          <tpl fld="4" item="19"/>
          <tpl hier="9" item="4"/>
          <tpl hier="11" item="6"/>
          <tpl hier="12" item="5"/>
          <tpl fld="1" item="0"/>
        </tpls>
      </n>
      <n v="127131459584">
        <tpls c="8">
          <tpl hier="2" item="0"/>
          <tpl hier="4" item="1"/>
          <tpl fld="2" item="24"/>
          <tpl fld="4" item="19"/>
          <tpl hier="9" item="4"/>
          <tpl hier="11" item="6"/>
          <tpl hier="12" item="5"/>
          <tpl fld="1" item="0"/>
        </tpls>
      </n>
      <n v="41508028416">
        <tpls c="8">
          <tpl hier="2" item="0"/>
          <tpl hier="4" item="1"/>
          <tpl fld="2" item="7"/>
          <tpl fld="4" item="19"/>
          <tpl hier="9" item="4"/>
          <tpl hier="11" item="6"/>
          <tpl hier="12" item="5"/>
          <tpl fld="1" item="0"/>
        </tpls>
      </n>
      <n v="176247980032">
        <tpls c="8">
          <tpl hier="2" item="0"/>
          <tpl hier="4" item="1"/>
          <tpl fld="2" item="42"/>
          <tpl fld="4" item="18"/>
          <tpl hier="9" item="4"/>
          <tpl hier="11" item="6"/>
          <tpl hier="12" item="5"/>
          <tpl fld="1" item="0"/>
        </tpls>
      </n>
      <n v="70140837888">
        <tpls c="8">
          <tpl hier="2" item="0"/>
          <tpl hier="4" item="1"/>
          <tpl fld="2" item="26"/>
          <tpl fld="4" item="18"/>
          <tpl hier="9" item="4"/>
          <tpl hier="11" item="6"/>
          <tpl hier="12" item="5"/>
          <tpl fld="1" item="0"/>
        </tpls>
      </n>
      <n v="23244548096">
        <tpls c="8">
          <tpl hier="2" item="0"/>
          <tpl hier="4" item="1"/>
          <tpl fld="2" item="10"/>
          <tpl fld="4" item="18"/>
          <tpl hier="9" item="4"/>
          <tpl hier="11" item="6"/>
          <tpl hier="12" item="5"/>
          <tpl fld="1" item="0"/>
        </tpls>
      </n>
      <n v="765264920576">
        <tpls c="8">
          <tpl hier="2" item="0"/>
          <tpl hier="4" item="1"/>
          <tpl fld="2" item="45"/>
          <tpl fld="4" item="17"/>
          <tpl hier="9" item="4"/>
          <tpl hier="11" item="6"/>
          <tpl hier="12" item="5"/>
          <tpl fld="1" item="0"/>
        </tpls>
      </n>
      <n v="446898569216">
        <tpls c="8">
          <tpl hier="2" item="0"/>
          <tpl hier="4" item="1"/>
          <tpl fld="2" item="29"/>
          <tpl fld="4" item="17"/>
          <tpl hier="9" item="4"/>
          <tpl hier="11" item="6"/>
          <tpl hier="12" item="5"/>
          <tpl fld="1" item="0"/>
        </tpls>
      </n>
      <n v="153445466112">
        <tpls c="8">
          <tpl hier="2" item="0"/>
          <tpl hier="4" item="1"/>
          <tpl fld="2" item="13"/>
          <tpl fld="4" item="17"/>
          <tpl hier="9" item="4"/>
          <tpl hier="11" item="6"/>
          <tpl hier="12" item="5"/>
          <tpl fld="1" item="0"/>
        </tpls>
      </n>
      <n v="14603581440">
        <tpls c="8">
          <tpl hier="2" item="0"/>
          <tpl hier="4" item="1"/>
          <tpl fld="2" item="48"/>
          <tpl fld="4" item="16"/>
          <tpl hier="9" item="4"/>
          <tpl hier="11" item="6"/>
          <tpl hier="12" item="5"/>
          <tpl fld="1" item="0"/>
        </tpls>
      </n>
      <n v="4466981888">
        <tpls c="8">
          <tpl hier="2" item="0"/>
          <tpl hier="4" item="1"/>
          <tpl fld="2" item="32"/>
          <tpl fld="4" item="16"/>
          <tpl hier="9" item="4"/>
          <tpl hier="11" item="6"/>
          <tpl hier="12" item="5"/>
          <tpl fld="1" item="0"/>
        </tpls>
      </n>
      <n v="1435079168">
        <tpls c="8">
          <tpl hier="2" item="0"/>
          <tpl hier="4" item="1"/>
          <tpl fld="2" item="16"/>
          <tpl fld="4" item="16"/>
          <tpl hier="9" item="4"/>
          <tpl hier="11" item="6"/>
          <tpl hier="12" item="5"/>
          <tpl fld="1" item="0"/>
        </tpls>
      </n>
      <n v="250721824">
        <tpls c="8">
          <tpl hier="2" item="0"/>
          <tpl hier="4" item="1"/>
          <tpl fld="2" item="0"/>
          <tpl fld="4" item="16"/>
          <tpl hier="9" item="4"/>
          <tpl hier="11" item="6"/>
          <tpl hier="12" item="5"/>
          <tpl fld="1" item="0"/>
        </tpls>
      </n>
      <n v="37347393536">
        <tpls c="8">
          <tpl hier="2" item="0"/>
          <tpl hier="4" item="1"/>
          <tpl fld="2" item="35"/>
          <tpl fld="4" item="15"/>
          <tpl hier="9" item="4"/>
          <tpl hier="11" item="6"/>
          <tpl hier="12" item="5"/>
          <tpl fld="1" item="0"/>
        </tpls>
      </n>
      <n v="10391504896">
        <tpls c="8">
          <tpl hier="2" item="0"/>
          <tpl hier="4" item="1"/>
          <tpl fld="2" item="19"/>
          <tpl fld="4" item="15"/>
          <tpl hier="9" item="4"/>
          <tpl hier="11" item="6"/>
          <tpl hier="12" item="5"/>
          <tpl fld="1" item="0"/>
        </tpls>
      </n>
      <n v="2701874688">
        <tpls c="8">
          <tpl hier="2" item="0"/>
          <tpl hier="4" item="1"/>
          <tpl fld="2" item="3"/>
          <tpl fld="4" item="15"/>
          <tpl hier="9" item="4"/>
          <tpl hier="11" item="6"/>
          <tpl hier="12" item="5"/>
          <tpl fld="1" item="0"/>
        </tpls>
      </n>
      <n v="5037908557824">
        <tpls c="8">
          <tpl hier="2" item="0"/>
          <tpl hier="4" item="1"/>
          <tpl fld="2" item="38"/>
          <tpl fld="4" item="14"/>
          <tpl hier="9" item="4"/>
          <tpl hier="11" item="6"/>
          <tpl hier="12" item="5"/>
          <tpl fld="1" item="0"/>
        </tpls>
      </n>
      <n v="3908809523200">
        <tpls c="8">
          <tpl hier="2" item="0"/>
          <tpl hier="4" item="1"/>
          <tpl fld="2" item="22"/>
          <tpl fld="4" item="14"/>
          <tpl hier="9" item="4"/>
          <tpl hier="11" item="6"/>
          <tpl hier="12" item="5"/>
          <tpl fld="1" item="0"/>
        </tpls>
      </n>
      <n v="586161848320">
        <tpls c="8">
          <tpl hier="2" item="0"/>
          <tpl hier="4" item="1"/>
          <tpl fld="2" item="6"/>
          <tpl fld="4" item="14"/>
          <tpl hier="9" item="4"/>
          <tpl hier="11" item="6"/>
          <tpl hier="12" item="5"/>
          <tpl fld="1" item="0"/>
        </tpls>
      </n>
      <n v="2291991052288">
        <tpls c="8">
          <tpl hier="2" item="0"/>
          <tpl hier="4" item="1"/>
          <tpl fld="2" item="41"/>
          <tpl fld="4" item="13"/>
          <tpl hier="9" item="4"/>
          <tpl hier="11" item="6"/>
          <tpl hier="12" item="5"/>
          <tpl fld="1" item="0"/>
        </tpls>
      </n>
      <n v="1174662021120">
        <tpls c="8">
          <tpl hier="2" item="0"/>
          <tpl hier="4" item="1"/>
          <tpl fld="2" item="25"/>
          <tpl fld="4" item="13"/>
          <tpl hier="9" item="4"/>
          <tpl hier="11" item="6"/>
          <tpl hier="12" item="5"/>
          <tpl fld="1" item="0"/>
        </tpls>
      </n>
      <n v="393677176832">
        <tpls c="8">
          <tpl hier="2" item="0"/>
          <tpl hier="4" item="1"/>
          <tpl fld="2" item="9"/>
          <tpl fld="4" item="13"/>
          <tpl hier="9" item="4"/>
          <tpl hier="11" item="6"/>
          <tpl hier="12" item="5"/>
          <tpl fld="1" item="0"/>
        </tpls>
      </n>
      <n v="309558444032">
        <tpls c="8">
          <tpl hier="2" item="0"/>
          <tpl hier="4" item="1"/>
          <tpl fld="2" item="44"/>
          <tpl fld="4" item="12"/>
          <tpl hier="9" item="4"/>
          <tpl hier="11" item="6"/>
          <tpl hier="12" item="5"/>
          <tpl fld="1" item="0"/>
        </tpls>
      </n>
      <n v="115932848128">
        <tpls c="8">
          <tpl hier="2" item="0"/>
          <tpl hier="4" item="1"/>
          <tpl fld="2" item="28"/>
          <tpl fld="4" item="12"/>
          <tpl hier="9" item="4"/>
          <tpl hier="11" item="6"/>
          <tpl hier="12" item="5"/>
          <tpl fld="1" item="0"/>
        </tpls>
      </n>
      <n v="27837509632">
        <tpls c="8">
          <tpl hier="2" item="0"/>
          <tpl hier="4" item="1"/>
          <tpl fld="2" item="12"/>
          <tpl fld="4" item="12"/>
          <tpl hier="9" item="4"/>
          <tpl hier="11" item="6"/>
          <tpl hier="12" item="5"/>
          <tpl fld="1" item="0"/>
        </tpls>
      </n>
      <n v="335663104000">
        <tpls c="8">
          <tpl hier="2" item="0"/>
          <tpl hier="4" item="1"/>
          <tpl fld="2" item="47"/>
          <tpl fld="4" item="11"/>
          <tpl hier="9" item="4"/>
          <tpl hier="11" item="6"/>
          <tpl hier="12" item="5"/>
          <tpl fld="1" item="0"/>
        </tpls>
      </n>
      <n v="109135257600">
        <tpls c="8">
          <tpl hier="2" item="0"/>
          <tpl hier="4" item="1"/>
          <tpl fld="2" item="31"/>
          <tpl fld="4" item="11"/>
          <tpl hier="9" item="4"/>
          <tpl hier="11" item="6"/>
          <tpl hier="12" item="5"/>
          <tpl fld="1" item="0"/>
        </tpls>
      </n>
      <n v="21295484928">
        <tpls c="8">
          <tpl hier="2" item="0"/>
          <tpl hier="4" item="1"/>
          <tpl fld="2" item="15"/>
          <tpl fld="4" item="11"/>
          <tpl hier="9" item="4"/>
          <tpl hier="11" item="6"/>
          <tpl hier="12" item="5"/>
          <tpl fld="1" item="0"/>
        </tpls>
      </n>
      <n v="456306030848">
        <tpls c="8">
          <tpl hier="2" item="0"/>
          <tpl hier="4" item="1"/>
          <tpl hier="5" item="3"/>
          <tpl fld="4" item="10"/>
          <tpl hier="9" item="4"/>
          <tpl hier="11" item="6"/>
          <tpl hier="12" item="5"/>
          <tpl fld="1" item="0"/>
        </tpls>
      </n>
      <n v="13834749952">
        <tpls c="8">
          <tpl hier="2" item="0"/>
          <tpl hier="4" item="1"/>
          <tpl fld="2" item="34"/>
          <tpl fld="4" item="10"/>
          <tpl hier="9" item="4"/>
          <tpl hier="11" item="6"/>
          <tpl hier="12" item="5"/>
          <tpl fld="1" item="0"/>
        </tpls>
      </n>
      <n v="6115814912">
        <tpls c="8">
          <tpl hier="2" item="0"/>
          <tpl hier="4" item="1"/>
          <tpl fld="2" item="18"/>
          <tpl fld="4" item="10"/>
          <tpl hier="9" item="4"/>
          <tpl hier="11" item="6"/>
          <tpl hier="12" item="5"/>
          <tpl fld="1" item="0"/>
        </tpls>
      </n>
      <n v="840914432">
        <tpls c="8">
          <tpl hier="2" item="0"/>
          <tpl hier="4" item="1"/>
          <tpl fld="2" item="2"/>
          <tpl fld="4" item="10"/>
          <tpl hier="9" item="4"/>
          <tpl hier="11" item="6"/>
          <tpl hier="12" item="5"/>
          <tpl fld="1" item="0"/>
        </tpls>
      </n>
      <n v="318497947648">
        <tpls c="8">
          <tpl hier="2" item="0"/>
          <tpl hier="4" item="1"/>
          <tpl fld="2" item="37"/>
          <tpl fld="4" item="9"/>
          <tpl hier="9" item="4"/>
          <tpl hier="11" item="6"/>
          <tpl hier="12" item="5"/>
          <tpl fld="1" item="0"/>
        </tpls>
      </n>
      <n v="105143230464">
        <tpls c="8">
          <tpl hier="2" item="0"/>
          <tpl hier="4" item="1"/>
          <tpl fld="2" item="21"/>
          <tpl fld="4" item="9"/>
          <tpl hier="9" item="4"/>
          <tpl hier="11" item="6"/>
          <tpl hier="12" item="5"/>
          <tpl fld="1" item="0"/>
        </tpls>
      </n>
      <n v="28525873152">
        <tpls c="8">
          <tpl hier="2" item="0"/>
          <tpl hier="4" item="1"/>
          <tpl fld="2" item="5"/>
          <tpl fld="4" item="9"/>
          <tpl hier="9" item="4"/>
          <tpl hier="11" item="6"/>
          <tpl hier="12" item="5"/>
          <tpl fld="1" item="0"/>
        </tpls>
      </n>
      <n v="3396354179072">
        <tpls c="8">
          <tpl hier="2" item="0"/>
          <tpl hier="4" item="1"/>
          <tpl fld="2" item="40"/>
          <tpl fld="4" item="8"/>
          <tpl hier="9" item="4"/>
          <tpl hier="11" item="6"/>
          <tpl hier="12" item="5"/>
          <tpl fld="1" item="0"/>
        </tpls>
      </n>
      <n v="2205074063360">
        <tpls c="8">
          <tpl hier="2" item="0"/>
          <tpl hier="4" item="1"/>
          <tpl fld="2" item="24"/>
          <tpl fld="4" item="8"/>
          <tpl hier="9" item="4"/>
          <tpl hier="11" item="6"/>
          <tpl hier="12" item="5"/>
          <tpl fld="1" item="0"/>
        </tpls>
      </n>
      <n v="740469964800">
        <tpls c="8">
          <tpl hier="2" item="0"/>
          <tpl hier="4" item="1"/>
          <tpl fld="2" item="8"/>
          <tpl fld="4" item="8"/>
          <tpl hier="9" item="4"/>
          <tpl hier="11" item="6"/>
          <tpl hier="12" item="5"/>
          <tpl fld="1" item="0"/>
        </tpls>
      </n>
      <n v="2811077853184">
        <tpls c="8">
          <tpl hier="2" item="0"/>
          <tpl hier="4" item="1"/>
          <tpl fld="2" item="43"/>
          <tpl fld="4" item="7"/>
          <tpl hier="9" item="4"/>
          <tpl hier="11" item="6"/>
          <tpl hier="12" item="5"/>
          <tpl fld="1" item="0"/>
        </tpls>
      </n>
      <n v="1452884885504">
        <tpls c="8">
          <tpl hier="2" item="0"/>
          <tpl hier="4" item="1"/>
          <tpl fld="2" item="27"/>
          <tpl fld="4" item="7"/>
          <tpl hier="9" item="4"/>
          <tpl hier="11" item="6"/>
          <tpl hier="12" item="5"/>
          <tpl fld="1" item="0"/>
        </tpls>
      </n>
      <n v="615552188416">
        <tpls c="8">
          <tpl hier="2" item="0"/>
          <tpl hier="4" item="1"/>
          <tpl fld="2" item="11"/>
          <tpl fld="4" item="7"/>
          <tpl hier="9" item="4"/>
          <tpl hier="11" item="6"/>
          <tpl hier="12" item="5"/>
          <tpl fld="1" item="0"/>
        </tpls>
      </n>
      <n v="240607903744">
        <tpls c="8">
          <tpl hier="2" item="0"/>
          <tpl hier="4" item="1"/>
          <tpl fld="2" item="46"/>
          <tpl fld="4" item="6"/>
          <tpl hier="9" item="4"/>
          <tpl hier="11" item="6"/>
          <tpl hier="12" item="5"/>
          <tpl fld="1" item="0"/>
        </tpls>
      </n>
      <n v="125706649600">
        <tpls c="8">
          <tpl hier="2" item="0"/>
          <tpl hier="4" item="1"/>
          <tpl fld="2" item="30"/>
          <tpl fld="4" item="6"/>
          <tpl hier="9" item="4"/>
          <tpl hier="11" item="6"/>
          <tpl hier="12" item="5"/>
          <tpl fld="1" item="0"/>
        </tpls>
      </n>
      <n v="52888801280">
        <tpls c="8">
          <tpl hier="2" item="0"/>
          <tpl hier="4" item="1"/>
          <tpl fld="2" item="14"/>
          <tpl fld="4" item="6"/>
          <tpl hier="9" item="4"/>
          <tpl hier="11" item="6"/>
          <tpl hier="12" item="5"/>
          <tpl fld="1" item="0"/>
        </tpls>
      </n>
      <n v="348078014464">
        <tpls c="8">
          <tpl hier="2" item="0"/>
          <tpl hier="4" item="1"/>
          <tpl fld="2" item="49"/>
          <tpl fld="4" item="5"/>
          <tpl hier="9" item="4"/>
          <tpl hier="11" item="6"/>
          <tpl hier="12" item="5"/>
          <tpl fld="1" item="0"/>
        </tpls>
      </n>
      <n v="218096025600">
        <tpls c="8">
          <tpl hier="2" item="0"/>
          <tpl hier="4" item="1"/>
          <tpl fld="2" item="33"/>
          <tpl fld="4" item="5"/>
          <tpl hier="9" item="4"/>
          <tpl hier="11" item="6"/>
          <tpl hier="12" item="5"/>
          <tpl fld="1" item="0"/>
        </tpls>
      </n>
      <n v="109414424576">
        <tpls c="8">
          <tpl hier="2" item="0"/>
          <tpl hier="4" item="1"/>
          <tpl fld="2" item="17"/>
          <tpl fld="4" item="5"/>
          <tpl hier="9" item="4"/>
          <tpl hier="11" item="6"/>
          <tpl hier="12" item="5"/>
          <tpl fld="1" item="0"/>
        </tpls>
      </n>
      <n v="19085731840">
        <tpls c="8">
          <tpl hier="2" item="0"/>
          <tpl hier="4" item="1"/>
          <tpl fld="2" item="1"/>
          <tpl fld="4" item="5"/>
          <tpl hier="9" item="4"/>
          <tpl hier="11" item="6"/>
          <tpl hier="12" item="5"/>
          <tpl fld="1" item="0"/>
        </tpls>
      </n>
      <n v="1315415261184">
        <tpls c="8">
          <tpl hier="2" item="0"/>
          <tpl hier="4" item="1"/>
          <tpl fld="2" item="36"/>
          <tpl fld="4" item="4"/>
          <tpl hier="9" item="4"/>
          <tpl hier="11" item="6"/>
          <tpl hier="12" item="5"/>
          <tpl fld="1" item="0"/>
        </tpls>
      </n>
      <n v="593929568256">
        <tpls c="8">
          <tpl hier="2" item="0"/>
          <tpl hier="4" item="1"/>
          <tpl fld="2" item="20"/>
          <tpl fld="4" item="4"/>
          <tpl hier="9" item="4"/>
          <tpl hier="11" item="6"/>
          <tpl hier="12" item="5"/>
          <tpl fld="1" item="0"/>
        </tpls>
      </n>
      <n v="160408698880">
        <tpls c="8">
          <tpl hier="2" item="0"/>
          <tpl hier="4" item="1"/>
          <tpl fld="2" item="4"/>
          <tpl fld="4" item="4"/>
          <tpl hier="9" item="4"/>
          <tpl hier="11" item="6"/>
          <tpl hier="12" item="5"/>
          <tpl fld="1" item="0"/>
        </tpls>
      </n>
      <n v="481345929216">
        <tpls c="8">
          <tpl hier="2" item="0"/>
          <tpl hier="4" item="1"/>
          <tpl fld="2" item="39"/>
          <tpl fld="4" item="3"/>
          <tpl hier="9" item="4"/>
          <tpl hier="11" item="6"/>
          <tpl hier="12" item="5"/>
          <tpl fld="1" item="0"/>
        </tpls>
      </n>
      <n v="224721797120">
        <tpls c="8">
          <tpl hier="2" item="0"/>
          <tpl hier="4" item="1"/>
          <tpl fld="2" item="23"/>
          <tpl fld="4" item="3"/>
          <tpl hier="9" item="4"/>
          <tpl hier="11" item="6"/>
          <tpl hier="12" item="5"/>
          <tpl fld="1" item="0"/>
        </tpls>
      </n>
      <n v="82839904256">
        <tpls c="8">
          <tpl hier="2" item="0"/>
          <tpl hier="4" item="1"/>
          <tpl fld="2" item="7"/>
          <tpl fld="4" item="3"/>
          <tpl hier="9" item="4"/>
          <tpl hier="11" item="6"/>
          <tpl hier="12" item="5"/>
          <tpl fld="1" item="0"/>
        </tpls>
      </n>
      <n v="409425248256">
        <tpls c="8">
          <tpl hier="2" item="0"/>
          <tpl hier="4" item="1"/>
          <tpl fld="2" item="42"/>
          <tpl fld="4" item="2"/>
          <tpl hier="9" item="4"/>
          <tpl hier="11" item="6"/>
          <tpl hier="12" item="5"/>
          <tpl fld="1" item="0"/>
        </tpls>
      </n>
      <n v="237250953216">
        <tpls c="8">
          <tpl hier="2" item="0"/>
          <tpl hier="4" item="1"/>
          <tpl fld="2" item="26"/>
          <tpl fld="4" item="2"/>
          <tpl hier="9" item="4"/>
          <tpl hier="11" item="6"/>
          <tpl hier="12" item="5"/>
          <tpl fld="1" item="0"/>
        </tpls>
      </n>
      <n v="82058911744">
        <tpls c="8">
          <tpl hier="2" item="0"/>
          <tpl hier="4" item="1"/>
          <tpl fld="2" item="10"/>
          <tpl fld="4" item="2"/>
          <tpl hier="9" item="4"/>
          <tpl hier="11" item="6"/>
          <tpl hier="12" item="5"/>
          <tpl fld="1" item="0"/>
        </tpls>
      </n>
      <n v="1351694024704">
        <tpls c="8">
          <tpl hier="2" item="0"/>
          <tpl hier="4" item="1"/>
          <tpl fld="2" item="45"/>
          <tpl fld="4" item="1"/>
          <tpl hier="9" item="4"/>
          <tpl hier="11" item="6"/>
          <tpl hier="12" item="5"/>
          <tpl fld="1" item="0"/>
        </tpls>
      </n>
      <n v="388608229376">
        <tpls c="8">
          <tpl hier="2" item="0"/>
          <tpl hier="4" item="1"/>
          <tpl fld="2" item="29"/>
          <tpl fld="4" item="1"/>
          <tpl hier="9" item="4"/>
          <tpl hier="11" item="6"/>
          <tpl hier="12" item="5"/>
          <tpl fld="1" item="0"/>
        </tpls>
      </n>
      <n v="177030414336">
        <tpls c="8">
          <tpl hier="2" item="0"/>
          <tpl hier="4" item="1"/>
          <tpl fld="2" item="13"/>
          <tpl fld="4" item="1"/>
          <tpl hier="9" item="4"/>
          <tpl hier="11" item="6"/>
          <tpl hier="12" item="5"/>
          <tpl fld="1" item="0"/>
        </tpls>
      </n>
      <n v="3218316032">
        <tpls c="8">
          <tpl hier="2" item="0"/>
          <tpl hier="4" item="1"/>
          <tpl fld="2" item="48"/>
          <tpl fld="4" item="0"/>
          <tpl hier="9" item="4"/>
          <tpl hier="11" item="6"/>
          <tpl hier="12" item="5"/>
          <tpl fld="1" item="0"/>
        </tpls>
      </n>
      <n v="1755910016">
        <tpls c="8">
          <tpl hier="2" item="0"/>
          <tpl hier="4" item="1"/>
          <tpl fld="2" item="32"/>
          <tpl fld="4" item="0"/>
          <tpl hier="9" item="4"/>
          <tpl hier="11" item="6"/>
          <tpl hier="12" item="5"/>
          <tpl fld="1" item="0"/>
        </tpls>
      </n>
      <n v="213587410944">
        <tpls c="8">
          <tpl hier="2" item="0"/>
          <tpl hier="4" item="1"/>
          <tpl fld="2" item="41"/>
          <tpl fld="4" item="78"/>
          <tpl hier="9" item="4"/>
          <tpl hier="11" item="6"/>
          <tpl hier="12" item="5"/>
          <tpl fld="1" item="0"/>
        </tpls>
      </n>
      <n v="236880816">
        <tpls c="8">
          <tpl hier="2" item="0"/>
          <tpl hier="4" item="1"/>
          <tpl fld="2" item="23"/>
          <tpl fld="4" item="56"/>
          <tpl hier="9" item="4"/>
          <tpl hier="11" item="6"/>
          <tpl hier="12" item="5"/>
          <tpl fld="1" item="0"/>
        </tpls>
      </n>
      <n v="87924547584">
        <tpls c="8">
          <tpl hier="2" item="0"/>
          <tpl hier="4" item="1"/>
          <tpl fld="2" item="42"/>
          <tpl fld="4" item="49"/>
          <tpl hier="9" item="4"/>
          <tpl hier="11" item="6"/>
          <tpl hier="12" item="5"/>
          <tpl fld="1" item="0"/>
        </tpls>
      </n>
      <n v="94641381376">
        <tpls c="8">
          <tpl hier="2" item="0"/>
          <tpl hier="4" item="1"/>
          <tpl fld="2" item="33"/>
          <tpl fld="4" item="43"/>
          <tpl hier="9" item="4"/>
          <tpl hier="11" item="6"/>
          <tpl hier="12" item="5"/>
          <tpl fld="1" item="0"/>
        </tpls>
      </n>
      <n v="1201725440">
        <tpls c="8">
          <tpl hier="2" item="0"/>
          <tpl hier="4" item="1"/>
          <tpl fld="2" item="16"/>
          <tpl fld="4" item="38"/>
          <tpl hier="9" item="4"/>
          <tpl hier="11" item="6"/>
          <tpl hier="12" item="5"/>
          <tpl fld="1" item="0"/>
        </tpls>
      </n>
      <n v="1017003392">
        <tpls c="8">
          <tpl hier="2" item="0"/>
          <tpl hier="4" item="1"/>
          <tpl fld="2" item="0"/>
          <tpl fld="4" item="34"/>
          <tpl hier="9" item="4"/>
          <tpl hier="11" item="6"/>
          <tpl hier="12" item="5"/>
          <tpl fld="1" item="0"/>
        </tpls>
      </n>
      <n v="750049728">
        <tpls c="8">
          <tpl hier="2" item="0"/>
          <tpl hier="4" item="1"/>
          <tpl fld="2" item="7"/>
          <tpl fld="4" item="33"/>
          <tpl hier="9" item="4"/>
          <tpl hier="11" item="6"/>
          <tpl hier="12" item="5"/>
          <tpl fld="1" item="0"/>
        </tpls>
      </n>
      <n v="444720736">
        <tpls c="8">
          <tpl hier="2" item="0"/>
          <tpl hier="4" item="1"/>
          <tpl fld="2" item="21"/>
          <tpl fld="4" item="32"/>
          <tpl hier="9" item="4"/>
          <tpl hier="11" item="6"/>
          <tpl hier="12" item="5"/>
          <tpl fld="1" item="0"/>
        </tpls>
      </n>
      <n v="65108545536">
        <tpls c="8">
          <tpl hier="2" item="0"/>
          <tpl hier="4" item="1"/>
          <tpl fld="2" item="34"/>
          <tpl fld="4" item="31"/>
          <tpl hier="9" item="4"/>
          <tpl hier="11" item="6"/>
          <tpl hier="12" item="5"/>
          <tpl fld="1" item="0"/>
        </tpls>
      </n>
      <n v="8751843328">
        <tpls c="8">
          <tpl hier="2" item="0"/>
          <tpl hier="4" item="1"/>
          <tpl fld="2" item="1"/>
          <tpl fld="4" item="31"/>
          <tpl hier="9" item="4"/>
          <tpl hier="11" item="6"/>
          <tpl hier="12" item="5"/>
          <tpl fld="1" item="0"/>
        </tpls>
      </n>
      <n v="3108999936">
        <tpls c="8">
          <tpl hier="2" item="0"/>
          <tpl hier="4" item="1"/>
          <tpl fld="2" item="22"/>
          <tpl fld="4" item="30"/>
          <tpl hier="9" item="4"/>
          <tpl hier="11" item="6"/>
          <tpl hier="12" item="5"/>
          <tpl fld="1" item="0"/>
        </tpls>
      </n>
      <n v="557531398144">
        <tpls c="8">
          <tpl hier="2" item="0"/>
          <tpl hier="4" item="1"/>
          <tpl fld="2" item="46"/>
          <tpl fld="4" item="29"/>
          <tpl hier="9" item="4"/>
          <tpl hier="11" item="6"/>
          <tpl hier="12" item="5"/>
          <tpl fld="1" item="0"/>
        </tpls>
      </n>
      <n v="189719986176">
        <tpls c="8">
          <tpl hier="2" item="0"/>
          <tpl hier="4" item="1"/>
          <tpl fld="2" item="21"/>
          <tpl fld="4" item="29"/>
          <tpl hier="9" item="4"/>
          <tpl hier="11" item="6"/>
          <tpl hier="12" item="5"/>
          <tpl fld="1" item="0"/>
        </tpls>
      </n>
      <n v="169988243456">
        <tpls c="8">
          <tpl hier="2" item="0"/>
          <tpl hier="4" item="1"/>
          <tpl fld="2" item="49"/>
          <tpl fld="4" item="28"/>
          <tpl hier="9" item="4"/>
          <tpl hier="11" item="6"/>
          <tpl hier="12" item="5"/>
          <tpl fld="1" item="0"/>
        </tpls>
      </n>
      <n v="46941495296">
        <tpls c="8">
          <tpl hier="2" item="0"/>
          <tpl hier="4" item="1"/>
          <tpl fld="2" item="26"/>
          <tpl fld="4" item="28"/>
          <tpl hier="9" item="4"/>
          <tpl hier="11" item="6"/>
          <tpl hier="12" item="5"/>
          <tpl fld="1" item="0"/>
        </tpls>
      </n>
      <n v="6761786368">
        <tpls c="8">
          <tpl hier="2" item="0"/>
          <tpl hier="4" item="1"/>
          <tpl fld="2" item="2"/>
          <tpl fld="4" item="28"/>
          <tpl hier="9" item="4"/>
          <tpl hier="11" item="6"/>
          <tpl hier="12" item="5"/>
          <tpl fld="1" item="0"/>
        </tpls>
      </n>
      <n v="10252345933824">
        <tpls c="8">
          <tpl hier="2" item="0"/>
          <tpl hier="4" item="1"/>
          <tpl fld="2" item="30"/>
          <tpl fld="4" item="27"/>
          <tpl hier="9" item="4"/>
          <tpl hier="11" item="6"/>
          <tpl hier="12" item="5"/>
          <tpl fld="1" item="0"/>
        </tpls>
      </n>
      <n v="1873411964928">
        <tpls c="8">
          <tpl hier="2" item="0"/>
          <tpl hier="4" item="1"/>
          <tpl fld="2" item="6"/>
          <tpl fld="4" item="27"/>
          <tpl hier="9" item="4"/>
          <tpl hier="11" item="6"/>
          <tpl hier="12" item="5"/>
          <tpl fld="1" item="0"/>
        </tpls>
      </n>
      <n v="2416931504128">
        <tpls c="8">
          <tpl hier="2" item="0"/>
          <tpl hier="4" item="1"/>
          <tpl fld="2" item="34"/>
          <tpl fld="4" item="26"/>
          <tpl hier="9" item="4"/>
          <tpl hier="11" item="6"/>
          <tpl hier="12" item="5"/>
          <tpl fld="1" item="0"/>
        </tpls>
      </n>
      <n v="515048931328">
        <tpls c="8">
          <tpl hier="2" item="0"/>
          <tpl hier="4" item="1"/>
          <tpl fld="2" item="12"/>
          <tpl fld="4" item="26"/>
          <tpl hier="9" item="4"/>
          <tpl hier="11" item="6"/>
          <tpl hier="12" item="5"/>
          <tpl fld="1" item="0"/>
        </tpls>
      </n>
      <n v="583782957056">
        <tpls c="8">
          <tpl hier="2" item="0"/>
          <tpl hier="4" item="1"/>
          <tpl fld="2" item="40"/>
          <tpl fld="4" item="25"/>
          <tpl hier="9" item="4"/>
          <tpl hier="11" item="6"/>
          <tpl hier="12" item="5"/>
          <tpl fld="1" item="0"/>
        </tpls>
      </n>
      <n v="202078699520">
        <tpls c="8">
          <tpl hier="2" item="0"/>
          <tpl hier="4" item="1"/>
          <tpl fld="2" item="19"/>
          <tpl fld="4" item="25"/>
          <tpl hier="9" item="4"/>
          <tpl hier="11" item="6"/>
          <tpl hier="12" item="5"/>
          <tpl fld="1" item="0"/>
        </tpls>
      </n>
      <n v="24274075648">
        <tpls c="8">
          <tpl hier="2" item="0"/>
          <tpl hier="4" item="1"/>
          <tpl fld="2" item="0"/>
          <tpl fld="4" item="25"/>
          <tpl hier="9" item="4"/>
          <tpl hier="11" item="6"/>
          <tpl hier="12" item="5"/>
          <tpl fld="1" item="0"/>
        </tpls>
      </n>
      <n v="262835453952">
        <tpls c="8">
          <tpl hier="2" item="0"/>
          <tpl hier="4" item="1"/>
          <tpl fld="2" item="30"/>
          <tpl fld="4" item="24"/>
          <tpl hier="9" item="4"/>
          <tpl hier="11" item="6"/>
          <tpl hier="12" item="5"/>
          <tpl fld="1" item="0"/>
        </tpls>
      </n>
      <n v="129686937600">
        <tpls c="8">
          <tpl hier="2" item="0"/>
          <tpl hier="4" item="1"/>
          <tpl fld="2" item="11"/>
          <tpl fld="4" item="24"/>
          <tpl hier="9" item="4"/>
          <tpl hier="11" item="6"/>
          <tpl hier="12" item="5"/>
          <tpl fld="1" item="0"/>
        </tpls>
      </n>
      <n v="1324820070400">
        <tpls c="8">
          <tpl hier="2" item="0"/>
          <tpl hier="4" item="1"/>
          <tpl fld="2" item="42"/>
          <tpl fld="4" item="23"/>
          <tpl hier="9" item="4"/>
          <tpl hier="11" item="6"/>
          <tpl hier="12" item="5"/>
          <tpl fld="1" item="0"/>
        </tpls>
      </n>
      <n v="525075644416">
        <tpls c="8">
          <tpl hier="2" item="0"/>
          <tpl hier="4" item="1"/>
          <tpl fld="2" item="23"/>
          <tpl fld="4" item="23"/>
          <tpl hier="9" item="4"/>
          <tpl hier="11" item="6"/>
          <tpl hier="12" item="5"/>
          <tpl fld="1" item="0"/>
        </tpls>
      </n>
      <n v="59132416000">
        <tpls c="8">
          <tpl hier="2" item="0"/>
          <tpl hier="4" item="1"/>
          <tpl fld="2" item="2"/>
          <tpl fld="4" item="23"/>
          <tpl hier="9" item="4"/>
          <tpl hier="11" item="6"/>
          <tpl hier="12" item="5"/>
          <tpl fld="1" item="0"/>
        </tpls>
      </n>
      <n v="793174999040">
        <tpls c="8">
          <tpl hier="2" item="0"/>
          <tpl hier="4" item="1"/>
          <tpl fld="2" item="34"/>
          <tpl fld="4" item="22"/>
          <tpl hier="9" item="4"/>
          <tpl hier="11" item="6"/>
          <tpl hier="12" item="5"/>
          <tpl fld="1" item="0"/>
        </tpls>
      </n>
      <n v="97510236160">
        <tpls c="8">
          <tpl hier="2" item="0"/>
          <tpl hier="4" item="1"/>
          <tpl fld="2" item="14"/>
          <tpl fld="4" item="22"/>
          <tpl hier="9" item="4"/>
          <tpl hier="11" item="6"/>
          <tpl hier="12" item="5"/>
          <tpl fld="1" item="0"/>
        </tpls>
      </n>
      <n v="341863333888">
        <tpls c="8">
          <tpl hier="2" item="0"/>
          <tpl hier="4" item="1"/>
          <tpl fld="2" item="47"/>
          <tpl fld="4" item="21"/>
          <tpl hier="9" item="4"/>
          <tpl hier="11" item="6"/>
          <tpl hier="12" item="5"/>
          <tpl fld="1" item="0"/>
        </tpls>
      </n>
      <n v="86284664832">
        <tpls c="8">
          <tpl hier="2" item="0"/>
          <tpl hier="4" item="1"/>
          <tpl fld="2" item="29"/>
          <tpl fld="4" item="21"/>
          <tpl hier="9" item="4"/>
          <tpl hier="11" item="6"/>
          <tpl hier="12" item="5"/>
          <tpl fld="1" item="0"/>
        </tpls>
      </n>
      <n v="14175228928">
        <tpls c="8">
          <tpl hier="2" item="0"/>
          <tpl hier="4" item="1"/>
          <tpl fld="2" item="11"/>
          <tpl fld="4" item="21"/>
          <tpl hier="9" item="4"/>
          <tpl hier="11" item="6"/>
          <tpl hier="12" item="5"/>
          <tpl fld="1" item="0"/>
        </tpls>
      </n>
      <n v="216236605440">
        <tpls c="8">
          <tpl hier="2" item="0"/>
          <tpl hier="4" item="1"/>
          <tpl fld="2" item="42"/>
          <tpl fld="4" item="20"/>
          <tpl hier="9" item="4"/>
          <tpl hier="11" item="6"/>
          <tpl hier="12" item="5"/>
          <tpl fld="1" item="0"/>
        </tpls>
      </n>
      <n v="99688644608">
        <tpls c="8">
          <tpl hier="2" item="0"/>
          <tpl hier="4" item="1"/>
          <tpl fld="2" item="24"/>
          <tpl fld="4" item="20"/>
          <tpl hier="9" item="4"/>
          <tpl hier="11" item="6"/>
          <tpl hier="12" item="5"/>
          <tpl fld="1" item="0"/>
        </tpls>
      </n>
      <n v="20332834816">
        <tpls c="8">
          <tpl hier="2" item="0"/>
          <tpl hier="4" item="1"/>
          <tpl fld="2" item="6"/>
          <tpl fld="4" item="20"/>
          <tpl hier="9" item="4"/>
          <tpl hier="11" item="6"/>
          <tpl hier="12" item="5"/>
          <tpl fld="1" item="0"/>
        </tpls>
      </n>
      <n v="428757024768">
        <tpls c="8">
          <tpl hier="2" item="0"/>
          <tpl hier="4" item="1"/>
          <tpl fld="2" item="40"/>
          <tpl fld="4" item="19"/>
          <tpl hier="9" item="4"/>
          <tpl hier="11" item="6"/>
          <tpl hier="12" item="5"/>
          <tpl fld="1" item="0"/>
        </tpls>
      </n>
      <n v="120579072000">
        <tpls c="8">
          <tpl hier="2" item="0"/>
          <tpl hier="4" item="1"/>
          <tpl fld="2" item="23"/>
          <tpl fld="4" item="19"/>
          <tpl hier="9" item="4"/>
          <tpl hier="11" item="6"/>
          <tpl hier="12" item="5"/>
          <tpl fld="1" item="0"/>
        </tpls>
      </n>
      <n v="35942268928">
        <tpls c="8">
          <tpl hier="2" item="0"/>
          <tpl hier="4" item="1"/>
          <tpl fld="2" item="6"/>
          <tpl fld="4" item="19"/>
          <tpl hier="9" item="4"/>
          <tpl hier="11" item="6"/>
          <tpl hier="12" item="5"/>
          <tpl fld="1" item="0"/>
        </tpls>
      </n>
      <n v="168510193664">
        <tpls c="8">
          <tpl hier="2" item="0"/>
          <tpl hier="4" item="1"/>
          <tpl fld="2" item="41"/>
          <tpl fld="4" item="18"/>
          <tpl hier="9" item="4"/>
          <tpl hier="11" item="6"/>
          <tpl hier="12" item="5"/>
          <tpl fld="1" item="0"/>
        </tpls>
      </n>
      <n v="63918702592">
        <tpls c="8">
          <tpl hier="2" item="0"/>
          <tpl hier="4" item="1"/>
          <tpl fld="2" item="25"/>
          <tpl fld="4" item="18"/>
          <tpl hier="9" item="4"/>
          <tpl hier="11" item="6"/>
          <tpl hier="12" item="5"/>
          <tpl fld="1" item="0"/>
        </tpls>
      </n>
      <n v="20731242496">
        <tpls c="8">
          <tpl hier="2" item="0"/>
          <tpl hier="4" item="1"/>
          <tpl fld="2" item="9"/>
          <tpl fld="4" item="18"/>
          <tpl hier="9" item="4"/>
          <tpl hier="11" item="6"/>
          <tpl hier="12" item="5"/>
          <tpl fld="1" item="0"/>
        </tpls>
      </n>
      <n v="890981318656">
        <tpls c="8">
          <tpl hier="2" item="0"/>
          <tpl hier="4" item="1"/>
          <tpl fld="2" item="44"/>
          <tpl fld="4" item="17"/>
          <tpl hier="9" item="4"/>
          <tpl hier="11" item="6"/>
          <tpl hier="12" item="5"/>
          <tpl fld="1" item="0"/>
        </tpls>
      </n>
      <n v="438008217600">
        <tpls c="8">
          <tpl hier="2" item="0"/>
          <tpl hier="4" item="1"/>
          <tpl fld="2" item="28"/>
          <tpl fld="4" item="17"/>
          <tpl hier="9" item="4"/>
          <tpl hier="11" item="6"/>
          <tpl hier="12" item="5"/>
          <tpl fld="1" item="0"/>
        </tpls>
      </n>
      <n v="158479532032">
        <tpls c="8">
          <tpl hier="2" item="0"/>
          <tpl hier="4" item="1"/>
          <tpl fld="2" item="12"/>
          <tpl fld="4" item="17"/>
          <tpl hier="9" item="4"/>
          <tpl hier="11" item="6"/>
          <tpl hier="12" item="5"/>
          <tpl fld="1" item="0"/>
        </tpls>
      </n>
      <n v="12747857920">
        <tpls c="8">
          <tpl hier="2" item="0"/>
          <tpl hier="4" item="1"/>
          <tpl fld="2" item="47"/>
          <tpl fld="4" item="16"/>
          <tpl hier="9" item="4"/>
          <tpl hier="11" item="6"/>
          <tpl hier="12" item="5"/>
          <tpl fld="1" item="0"/>
        </tpls>
      </n>
      <n v="4066485248">
        <tpls c="8">
          <tpl hier="2" item="0"/>
          <tpl hier="4" item="1"/>
          <tpl fld="2" item="31"/>
          <tpl fld="4" item="16"/>
          <tpl hier="9" item="4"/>
          <tpl hier="11" item="6"/>
          <tpl hier="12" item="5"/>
          <tpl fld="1" item="0"/>
        </tpls>
      </n>
      <n v="1117835264">
        <tpls c="8">
          <tpl hier="2" item="0"/>
          <tpl hier="4" item="1"/>
          <tpl fld="2" item="15"/>
          <tpl fld="4" item="16"/>
          <tpl hier="9" item="4"/>
          <tpl hier="11" item="6"/>
          <tpl hier="12" item="5"/>
          <tpl fld="1" item="0"/>
        </tpls>
      </n>
      <n v="1272884789120">
        <tpls c="8">
          <tpl hier="2" item="0"/>
          <tpl hier="4" item="1"/>
          <tpl hier="5" item="3"/>
          <tpl fld="4" item="15"/>
          <tpl hier="9" item="4"/>
          <tpl hier="11" item="6"/>
          <tpl hier="12" item="5"/>
          <tpl fld="1" item="0"/>
        </tpls>
      </n>
      <n v="34685280256">
        <tpls c="8">
          <tpl hier="2" item="0"/>
          <tpl hier="4" item="1"/>
          <tpl fld="2" item="34"/>
          <tpl fld="4" item="15"/>
          <tpl hier="9" item="4"/>
          <tpl hier="11" item="6"/>
          <tpl hier="12" item="5"/>
          <tpl fld="1" item="0"/>
        </tpls>
      </n>
      <n v="9750161408">
        <tpls c="8">
          <tpl hier="2" item="0"/>
          <tpl hier="4" item="1"/>
          <tpl fld="2" item="18"/>
          <tpl fld="4" item="15"/>
          <tpl hier="9" item="4"/>
          <tpl hier="11" item="6"/>
          <tpl hier="12" item="5"/>
          <tpl fld="1" item="0"/>
        </tpls>
      </n>
      <n v="1968733056">
        <tpls c="8">
          <tpl hier="2" item="0"/>
          <tpl hier="4" item="1"/>
          <tpl fld="2" item="2"/>
          <tpl fld="4" item="15"/>
          <tpl hier="9" item="4"/>
          <tpl hier="11" item="6"/>
          <tpl hier="12" item="5"/>
          <tpl fld="1" item="0"/>
        </tpls>
      </n>
      <n v="4515264724992">
        <tpls c="8">
          <tpl hier="2" item="0"/>
          <tpl hier="4" item="1"/>
          <tpl fld="2" item="37"/>
          <tpl fld="4" item="14"/>
          <tpl hier="9" item="4"/>
          <tpl hier="11" item="6"/>
          <tpl hier="12" item="5"/>
          <tpl fld="1" item="0"/>
        </tpls>
      </n>
      <n v="3584419954688">
        <tpls c="8">
          <tpl hier="2" item="0"/>
          <tpl hier="4" item="1"/>
          <tpl fld="2" item="21"/>
          <tpl fld="4" item="14"/>
          <tpl hier="9" item="4"/>
          <tpl hier="11" item="6"/>
          <tpl hier="12" item="5"/>
          <tpl fld="1" item="0"/>
        </tpls>
      </n>
      <n v="521541910528">
        <tpls c="8">
          <tpl hier="2" item="0"/>
          <tpl hier="4" item="1"/>
          <tpl fld="2" item="5"/>
          <tpl fld="4" item="14"/>
          <tpl hier="9" item="4"/>
          <tpl hier="11" item="6"/>
          <tpl hier="12" item="5"/>
          <tpl fld="1" item="0"/>
        </tpls>
      </n>
      <n v="2134017835008">
        <tpls c="8">
          <tpl hier="2" item="0"/>
          <tpl hier="4" item="1"/>
          <tpl fld="2" item="40"/>
          <tpl fld="4" item="13"/>
          <tpl hier="9" item="4"/>
          <tpl hier="11" item="6"/>
          <tpl hier="12" item="5"/>
          <tpl fld="1" item="0"/>
        </tpls>
      </n>
      <n v="1099216715776">
        <tpls c="8">
          <tpl hier="2" item="0"/>
          <tpl hier="4" item="1"/>
          <tpl fld="2" item="24"/>
          <tpl fld="4" item="13"/>
          <tpl hier="9" item="4"/>
          <tpl hier="11" item="6"/>
          <tpl hier="12" item="5"/>
          <tpl fld="1" item="0"/>
        </tpls>
      </n>
      <n v="315058323456">
        <tpls c="8">
          <tpl hier="2" item="0"/>
          <tpl hier="4" item="1"/>
          <tpl fld="2" item="8"/>
          <tpl fld="4" item="13"/>
          <tpl hier="9" item="4"/>
          <tpl hier="11" item="6"/>
          <tpl hier="12" item="5"/>
          <tpl fld="1" item="0"/>
        </tpls>
      </n>
      <n v="292636164096">
        <tpls c="8">
          <tpl hier="2" item="0"/>
          <tpl hier="4" item="1"/>
          <tpl fld="2" item="43"/>
          <tpl fld="4" item="12"/>
          <tpl hier="9" item="4"/>
          <tpl hier="11" item="6"/>
          <tpl hier="12" item="5"/>
          <tpl fld="1" item="0"/>
        </tpls>
      </n>
      <n v="114692620288">
        <tpls c="8">
          <tpl hier="2" item="0"/>
          <tpl hier="4" item="1"/>
          <tpl fld="2" item="27"/>
          <tpl fld="4" item="12"/>
          <tpl hier="9" item="4"/>
          <tpl hier="11" item="6"/>
          <tpl hier="12" item="5"/>
          <tpl fld="1" item="0"/>
        </tpls>
      </n>
      <n v="25579227136">
        <tpls c="8">
          <tpl hier="2" item="0"/>
          <tpl hier="4" item="1"/>
          <tpl fld="2" item="11"/>
          <tpl fld="4" item="12"/>
          <tpl hier="9" item="4"/>
          <tpl hier="11" item="6"/>
          <tpl hier="12" item="5"/>
          <tpl fld="1" item="0"/>
        </tpls>
      </n>
      <n v="300523290624">
        <tpls c="8">
          <tpl hier="2" item="0"/>
          <tpl hier="4" item="1"/>
          <tpl fld="2" item="46"/>
          <tpl fld="4" item="11"/>
          <tpl hier="9" item="4"/>
          <tpl hier="11" item="6"/>
          <tpl hier="12" item="5"/>
          <tpl fld="1" item="0"/>
        </tpls>
      </n>
      <n v="99852959744">
        <tpls c="8">
          <tpl hier="2" item="0"/>
          <tpl hier="4" item="1"/>
          <tpl fld="2" item="30"/>
          <tpl fld="4" item="11"/>
          <tpl hier="9" item="4"/>
          <tpl hier="11" item="6"/>
          <tpl hier="12" item="5"/>
          <tpl fld="1" item="0"/>
        </tpls>
      </n>
      <n v="20130727936">
        <tpls c="8">
          <tpl hier="2" item="0"/>
          <tpl hier="4" item="1"/>
          <tpl fld="2" item="14"/>
          <tpl fld="4" item="11"/>
          <tpl hier="9" item="4"/>
          <tpl hier="11" item="6"/>
          <tpl hier="12" item="5"/>
          <tpl fld="1" item="0"/>
        </tpls>
      </n>
      <n v="24188035072">
        <tpls c="8">
          <tpl hier="2" item="0"/>
          <tpl hier="4" item="1"/>
          <tpl fld="2" item="49"/>
          <tpl fld="4" item="10"/>
          <tpl hier="9" item="4"/>
          <tpl hier="11" item="6"/>
          <tpl hier="12" item="5"/>
          <tpl fld="1" item="0"/>
        </tpls>
      </n>
      <n v="11414054912">
        <tpls c="8">
          <tpl hier="2" item="0"/>
          <tpl hier="4" item="1"/>
          <tpl fld="2" item="33"/>
          <tpl fld="4" item="10"/>
          <tpl hier="9" item="4"/>
          <tpl hier="11" item="6"/>
          <tpl hier="12" item="5"/>
          <tpl fld="1" item="0"/>
        </tpls>
      </n>
      <n v="5528615936">
        <tpls c="8">
          <tpl hier="2" item="0"/>
          <tpl hier="4" item="1"/>
          <tpl fld="2" item="17"/>
          <tpl fld="4" item="10"/>
          <tpl hier="9" item="4"/>
          <tpl hier="11" item="6"/>
          <tpl hier="12" item="5"/>
          <tpl fld="1" item="0"/>
        </tpls>
      </n>
      <n v="671258752">
        <tpls c="8">
          <tpl hier="2" item="0"/>
          <tpl hier="4" item="1"/>
          <tpl fld="2" item="1"/>
          <tpl fld="4" item="10"/>
          <tpl hier="9" item="4"/>
          <tpl hier="11" item="6"/>
          <tpl hier="12" item="5"/>
          <tpl fld="1" item="0"/>
        </tpls>
      </n>
      <n v="273317740544">
        <tpls c="8">
          <tpl hier="2" item="0"/>
          <tpl hier="4" item="1"/>
          <tpl fld="2" item="36"/>
          <tpl fld="4" item="9"/>
          <tpl hier="9" item="4"/>
          <tpl hier="11" item="6"/>
          <tpl hier="12" item="5"/>
          <tpl fld="1" item="0"/>
        </tpls>
      </n>
      <n v="97891090432">
        <tpls c="8">
          <tpl hier="2" item="0"/>
          <tpl hier="4" item="1"/>
          <tpl fld="2" item="20"/>
          <tpl fld="4" item="9"/>
          <tpl hier="9" item="4"/>
          <tpl hier="11" item="6"/>
          <tpl hier="12" item="5"/>
          <tpl fld="1" item="0"/>
        </tpls>
      </n>
      <n v="25351305216">
        <tpls c="8">
          <tpl hier="2" item="0"/>
          <tpl hier="4" item="1"/>
          <tpl fld="2" item="4"/>
          <tpl fld="4" item="9"/>
          <tpl hier="9" item="4"/>
          <tpl hier="11" item="6"/>
          <tpl hier="12" item="5"/>
          <tpl fld="1" item="0"/>
        </tpls>
      </n>
      <n v="3397790990336">
        <tpls c="8">
          <tpl hier="2" item="0"/>
          <tpl hier="4" item="1"/>
          <tpl fld="2" item="39"/>
          <tpl fld="4" item="8"/>
          <tpl hier="9" item="4"/>
          <tpl hier="11" item="6"/>
          <tpl hier="12" item="5"/>
          <tpl fld="1" item="0"/>
        </tpls>
      </n>
      <n v="2071323738112">
        <tpls c="8">
          <tpl hier="2" item="0"/>
          <tpl hier="4" item="1"/>
          <tpl fld="2" item="23"/>
          <tpl fld="4" item="8"/>
          <tpl hier="9" item="4"/>
          <tpl hier="11" item="6"/>
          <tpl hier="12" item="5"/>
          <tpl fld="1" item="0"/>
        </tpls>
      </n>
      <n v="600498241536">
        <tpls c="8">
          <tpl hier="2" item="0"/>
          <tpl hier="4" item="1"/>
          <tpl fld="2" item="7"/>
          <tpl fld="4" item="8"/>
          <tpl hier="9" item="4"/>
          <tpl hier="11" item="6"/>
          <tpl hier="12" item="5"/>
          <tpl fld="1" item="0"/>
        </tpls>
      </n>
      <n v="2683825291264">
        <tpls c="8">
          <tpl hier="2" item="0"/>
          <tpl hier="4" item="1"/>
          <tpl fld="2" item="42"/>
          <tpl fld="4" item="7"/>
          <tpl hier="9" item="4"/>
          <tpl hier="11" item="6"/>
          <tpl hier="12" item="5"/>
          <tpl fld="1" item="0"/>
        </tpls>
      </n>
      <n v="1605675122688">
        <tpls c="8">
          <tpl hier="2" item="0"/>
          <tpl hier="4" item="1"/>
          <tpl fld="2" item="26"/>
          <tpl fld="4" item="7"/>
          <tpl hier="9" item="4"/>
          <tpl hier="11" item="6"/>
          <tpl hier="12" item="5"/>
          <tpl fld="1" item="0"/>
        </tpls>
      </n>
      <n v="701288415232">
        <tpls c="8">
          <tpl hier="2" item="0"/>
          <tpl hier="4" item="1"/>
          <tpl fld="2" item="10"/>
          <tpl fld="4" item="7"/>
          <tpl hier="9" item="4"/>
          <tpl hier="11" item="6"/>
          <tpl hier="12" item="5"/>
          <tpl fld="1" item="0"/>
        </tpls>
      </n>
      <n v="234440081408">
        <tpls c="8">
          <tpl hier="2" item="0"/>
          <tpl hier="4" item="1"/>
          <tpl fld="2" item="45"/>
          <tpl fld="4" item="6"/>
          <tpl hier="9" item="4"/>
          <tpl hier="11" item="6"/>
          <tpl hier="12" item="5"/>
          <tpl fld="1" item="0"/>
        </tpls>
      </n>
      <n v="135218413568">
        <tpls c="8">
          <tpl hier="2" item="0"/>
          <tpl hier="4" item="1"/>
          <tpl fld="2" item="29"/>
          <tpl fld="4" item="6"/>
          <tpl hier="9" item="4"/>
          <tpl hier="11" item="6"/>
          <tpl hier="12" item="5"/>
          <tpl fld="1" item="0"/>
        </tpls>
      </n>
      <n v="50973528064">
        <tpls c="8">
          <tpl hier="2" item="0"/>
          <tpl hier="4" item="1"/>
          <tpl fld="2" item="13"/>
          <tpl fld="4" item="6"/>
          <tpl hier="9" item="4"/>
          <tpl hier="11" item="6"/>
          <tpl hier="12" item="5"/>
          <tpl fld="1" item="0"/>
        </tpls>
      </n>
      <n v="1223186816">
        <tpls c="8">
          <tpl hier="2" item="0"/>
          <tpl hier="4" item="1"/>
          <tpl fld="2" item="13"/>
          <tpl fld="4" item="67"/>
          <tpl hier="9" item="4"/>
          <tpl hier="11" item="6"/>
          <tpl hier="12" item="5"/>
          <tpl fld="1" item="0"/>
        </tpls>
      </n>
      <n v="78540056">
        <tpls c="8">
          <tpl hier="2" item="0"/>
          <tpl hier="4" item="1"/>
          <tpl fld="2" item="1"/>
          <tpl fld="4" item="56"/>
          <tpl hier="9" item="4"/>
          <tpl hier="11" item="6"/>
          <tpl hier="12" item="5"/>
          <tpl fld="1" item="0"/>
        </tpls>
      </n>
      <n v="18938718208">
        <tpls c="8">
          <tpl hier="2" item="0"/>
          <tpl hier="4" item="1"/>
          <tpl fld="2" item="23"/>
          <tpl fld="4" item="49"/>
          <tpl hier="9" item="4"/>
          <tpl hier="11" item="6"/>
          <tpl hier="12" item="5"/>
          <tpl fld="1" item="0"/>
        </tpls>
      </n>
      <n v="38729822208">
        <tpls c="8">
          <tpl hier="2" item="0"/>
          <tpl hier="4" item="1"/>
          <tpl fld="2" item="13"/>
          <tpl fld="4" item="43"/>
          <tpl hier="9" item="4"/>
          <tpl hier="11" item="6"/>
          <tpl hier="12" item="5"/>
          <tpl fld="1" item="0"/>
        </tpls>
      </n>
      <n v="242732576">
        <tpls c="8">
          <tpl hier="2" item="0"/>
          <tpl hier="4" item="1"/>
          <tpl fld="2" item="0"/>
          <tpl fld="4" item="38"/>
          <tpl hier="9" item="4"/>
          <tpl hier="11" item="6"/>
          <tpl hier="12" item="5"/>
          <tpl fld="1" item="0"/>
        </tpls>
      </n>
      <n v="227789753664">
        <tpls c="8">
          <tpl hier="2" item="0"/>
          <tpl hier="4" item="1"/>
          <tpl hier="5" item="3"/>
          <tpl fld="4" item="33"/>
          <tpl hier="9" item="4"/>
          <tpl hier="11" item="6"/>
          <tpl hier="12" item="5"/>
          <tpl fld="1" item="0"/>
        </tpls>
      </n>
      <n v="504376032">
        <tpls c="8">
          <tpl hier="2" item="0"/>
          <tpl hier="4" item="1"/>
          <tpl fld="2" item="3"/>
          <tpl fld="4" item="33"/>
          <tpl hier="9" item="4"/>
          <tpl hier="11" item="6"/>
          <tpl hier="12" item="5"/>
          <tpl fld="1" item="0"/>
        </tpls>
      </n>
      <n v="320093376">
        <tpls c="8">
          <tpl hier="2" item="0"/>
          <tpl hier="4" item="1"/>
          <tpl fld="2" item="18"/>
          <tpl fld="4" item="32"/>
          <tpl hier="9" item="4"/>
          <tpl hier="11" item="6"/>
          <tpl hier="12" item="5"/>
          <tpl fld="1" item="0"/>
        </tpls>
      </n>
      <n v="60158930944">
        <tpls c="8">
          <tpl hier="2" item="0"/>
          <tpl hier="4" item="1"/>
          <tpl fld="2" item="33"/>
          <tpl fld="4" item="31"/>
          <tpl hier="9" item="4"/>
          <tpl hier="11" item="6"/>
          <tpl hier="12" item="5"/>
          <tpl fld="1" item="0"/>
        </tpls>
      </n>
      <n v="12826999808">
        <tpls c="8">
          <tpl hier="2" item="0"/>
          <tpl hier="4" item="1"/>
          <tpl fld="2" item="49"/>
          <tpl fld="4" item="30"/>
          <tpl hier="9" item="4"/>
          <tpl hier="11" item="6"/>
          <tpl hier="12" item="5"/>
          <tpl fld="1" item="0"/>
        </tpls>
      </n>
      <n v="3111160064">
        <tpls c="8">
          <tpl hier="2" item="0"/>
          <tpl hier="4" item="1"/>
          <tpl fld="2" item="21"/>
          <tpl fld="4" item="30"/>
          <tpl hier="9" item="4"/>
          <tpl hier="11" item="6"/>
          <tpl hier="12" item="5"/>
          <tpl fld="1" item="0"/>
        </tpls>
      </n>
      <n v="552025128960">
        <tpls c="8">
          <tpl hier="2" item="0"/>
          <tpl hier="4" item="1"/>
          <tpl fld="2" item="43"/>
          <tpl fld="4" item="29"/>
          <tpl hier="9" item="4"/>
          <tpl hier="11" item="6"/>
          <tpl hier="12" item="5"/>
          <tpl fld="1" item="0"/>
        </tpls>
      </n>
      <n v="141352370176">
        <tpls c="8">
          <tpl hier="2" item="0"/>
          <tpl hier="4" item="1"/>
          <tpl fld="2" item="20"/>
          <tpl fld="4" item="29"/>
          <tpl hier="9" item="4"/>
          <tpl hier="11" item="6"/>
          <tpl hier="12" item="5"/>
          <tpl fld="1" item="0"/>
        </tpls>
      </n>
      <n v="167389364224">
        <tpls c="8">
          <tpl hier="2" item="0"/>
          <tpl hier="4" item="1"/>
          <tpl fld="2" item="47"/>
          <tpl fld="4" item="28"/>
          <tpl hier="9" item="4"/>
          <tpl hier="11" item="6"/>
          <tpl hier="12" item="5"/>
          <tpl fld="1" item="0"/>
        </tpls>
      </n>
      <n v="42542571520">
        <tpls c="8">
          <tpl hier="2" item="0"/>
          <tpl hier="4" item="1"/>
          <tpl fld="2" item="24"/>
          <tpl fld="4" item="28"/>
          <tpl hier="9" item="4"/>
          <tpl hier="11" item="6"/>
          <tpl hier="12" item="5"/>
          <tpl fld="1" item="0"/>
        </tpls>
      </n>
      <n v="5077222400">
        <tpls c="8">
          <tpl hier="2" item="0"/>
          <tpl hier="4" item="1"/>
          <tpl fld="2" item="1"/>
          <tpl fld="4" item="28"/>
          <tpl hier="9" item="4"/>
          <tpl hier="11" item="6"/>
          <tpl hier="12" item="5"/>
          <tpl fld="1" item="0"/>
        </tpls>
      </n>
      <n v="9630664097792">
        <tpls c="8">
          <tpl hier="2" item="0"/>
          <tpl hier="4" item="1"/>
          <tpl fld="2" item="29"/>
          <tpl fld="4" item="27"/>
          <tpl hier="9" item="4"/>
          <tpl hier="11" item="6"/>
          <tpl hier="12" item="5"/>
          <tpl fld="1" item="0"/>
        </tpls>
      </n>
      <n v="1684903952384">
        <tpls c="8">
          <tpl hier="2" item="0"/>
          <tpl hier="4" item="1"/>
          <tpl fld="2" item="5"/>
          <tpl fld="4" item="27"/>
          <tpl hier="9" item="4"/>
          <tpl hier="11" item="6"/>
          <tpl hier="12" item="5"/>
          <tpl fld="1" item="0"/>
        </tpls>
      </n>
      <n v="2053018746880">
        <tpls c="8">
          <tpl hier="2" item="0"/>
          <tpl hier="4" item="1"/>
          <tpl fld="2" item="33"/>
          <tpl fld="4" item="26"/>
          <tpl hier="9" item="4"/>
          <tpl hier="11" item="6"/>
          <tpl hier="12" item="5"/>
          <tpl fld="1" item="0"/>
        </tpls>
      </n>
      <n v="438994075648">
        <tpls c="8">
          <tpl hier="2" item="0"/>
          <tpl hier="4" item="1"/>
          <tpl fld="2" item="9"/>
          <tpl fld="4" item="26"/>
          <tpl hier="9" item="4"/>
          <tpl hier="11" item="6"/>
          <tpl hier="12" item="5"/>
          <tpl fld="1" item="0"/>
        </tpls>
      </n>
      <n v="541506502656">
        <tpls c="8">
          <tpl hier="2" item="0"/>
          <tpl hier="4" item="1"/>
          <tpl fld="2" item="39"/>
          <tpl fld="4" item="25"/>
          <tpl hier="9" item="4"/>
          <tpl hier="11" item="6"/>
          <tpl hier="12" item="5"/>
          <tpl fld="1" item="0"/>
        </tpls>
      </n>
      <n v="209298161664">
        <tpls c="8">
          <tpl hier="2" item="0"/>
          <tpl hier="4" item="1"/>
          <tpl fld="2" item="18"/>
          <tpl fld="4" item="25"/>
          <tpl hier="9" item="4"/>
          <tpl hier="11" item="6"/>
          <tpl hier="12" item="5"/>
          <tpl fld="1" item="0"/>
        </tpls>
      </n>
      <n v="14047582760960">
        <tpls c="8">
          <tpl hier="2" item="0"/>
          <tpl hier="4" item="1"/>
          <tpl hier="5" item="3"/>
          <tpl fld="4" item="24"/>
          <tpl hier="9" item="4"/>
          <tpl hier="11" item="6"/>
          <tpl hier="12" item="5"/>
          <tpl fld="1" item="0"/>
        </tpls>
      </n>
      <n v="274072174592">
        <tpls c="8">
          <tpl hier="2" item="0"/>
          <tpl hier="4" item="1"/>
          <tpl fld="2" item="29"/>
          <tpl fld="4" item="24"/>
          <tpl hier="9" item="4"/>
          <tpl hier="11" item="6"/>
          <tpl hier="12" item="5"/>
          <tpl fld="1" item="0"/>
        </tpls>
      </n>
      <n v="142092075008">
        <tpls c="8">
          <tpl hier="2" item="0"/>
          <tpl hier="4" item="1"/>
          <tpl fld="2" item="10"/>
          <tpl fld="4" item="24"/>
          <tpl hier="9" item="4"/>
          <tpl hier="11" item="6"/>
          <tpl hier="12" item="5"/>
          <tpl fld="1" item="0"/>
        </tpls>
      </n>
      <n v="1478772785152">
        <tpls c="8">
          <tpl hier="2" item="0"/>
          <tpl hier="4" item="1"/>
          <tpl fld="2" item="41"/>
          <tpl fld="4" item="23"/>
          <tpl hier="9" item="4"/>
          <tpl hier="11" item="6"/>
          <tpl hier="12" item="5"/>
          <tpl fld="1" item="0"/>
        </tpls>
      </n>
      <n v="630915989504">
        <tpls c="8">
          <tpl hier="2" item="0"/>
          <tpl hier="4" item="1"/>
          <tpl fld="2" item="22"/>
          <tpl fld="4" item="23"/>
          <tpl hier="9" item="4"/>
          <tpl hier="11" item="6"/>
          <tpl hier="12" item="5"/>
          <tpl fld="1" item="0"/>
        </tpls>
      </n>
      <n v="46619418624">
        <tpls c="8">
          <tpl hier="2" item="0"/>
          <tpl hier="4" item="1"/>
          <tpl fld="2" item="1"/>
          <tpl fld="4" item="23"/>
          <tpl hier="9" item="4"/>
          <tpl hier="11" item="6"/>
          <tpl hier="12" item="5"/>
          <tpl fld="1" item="0"/>
        </tpls>
      </n>
      <n v="702717362176">
        <tpls c="8">
          <tpl hier="2" item="0"/>
          <tpl hier="4" item="1"/>
          <tpl fld="2" item="33"/>
          <tpl fld="4" item="22"/>
          <tpl hier="9" item="4"/>
          <tpl hier="11" item="6"/>
          <tpl hier="12" item="5"/>
          <tpl fld="1" item="0"/>
        </tpls>
      </n>
      <n v="87760363520">
        <tpls c="8">
          <tpl hier="2" item="0"/>
          <tpl hier="4" item="1"/>
          <tpl fld="2" item="13"/>
          <tpl fld="4" item="22"/>
          <tpl hier="9" item="4"/>
          <tpl hier="11" item="6"/>
          <tpl hier="12" item="5"/>
          <tpl fld="1" item="0"/>
        </tpls>
      </n>
      <n v="318652350464">
        <tpls c="8">
          <tpl hier="2" item="0"/>
          <tpl hier="4" item="1"/>
          <tpl fld="2" item="46"/>
          <tpl fld="4" item="21"/>
          <tpl hier="9" item="4"/>
          <tpl hier="11" item="6"/>
          <tpl hier="12" item="5"/>
          <tpl fld="1" item="0"/>
        </tpls>
      </n>
      <n v="85728313344">
        <tpls c="8">
          <tpl hier="2" item="0"/>
          <tpl hier="4" item="1"/>
          <tpl fld="2" item="28"/>
          <tpl fld="4" item="21"/>
          <tpl hier="9" item="4"/>
          <tpl hier="11" item="6"/>
          <tpl hier="12" item="5"/>
          <tpl fld="1" item="0"/>
        </tpls>
      </n>
      <n v="7517176320">
        <tpls c="8">
          <tpl hier="2" item="0"/>
          <tpl hier="4" item="1"/>
          <tpl fld="2" item="8"/>
          <tpl fld="4" item="21"/>
          <tpl hier="9" item="4"/>
          <tpl hier="11" item="6"/>
          <tpl hier="12" item="5"/>
          <tpl fld="1" item="0"/>
        </tpls>
      </n>
      <n v="244797227008">
        <tpls c="8">
          <tpl hier="2" item="0"/>
          <tpl hier="4" item="1"/>
          <tpl fld="2" item="41"/>
          <tpl fld="4" item="20"/>
          <tpl hier="9" item="4"/>
          <tpl hier="11" item="6"/>
          <tpl hier="12" item="5"/>
          <tpl fld="1" item="0"/>
        </tpls>
      </n>
      <n v="95009751040">
        <tpls c="8">
          <tpl hier="2" item="0"/>
          <tpl hier="4" item="1"/>
          <tpl fld="2" item="23"/>
          <tpl fld="4" item="20"/>
          <tpl hier="9" item="4"/>
          <tpl hier="11" item="6"/>
          <tpl hier="12" item="5"/>
          <tpl fld="1" item="0"/>
        </tpls>
      </n>
      <n v="19347609600">
        <tpls c="8">
          <tpl hier="2" item="0"/>
          <tpl hier="4" item="1"/>
          <tpl fld="2" item="5"/>
          <tpl fld="4" item="20"/>
          <tpl hier="9" item="4"/>
          <tpl hier="11" item="6"/>
          <tpl hier="12" item="5"/>
          <tpl fld="1" item="0"/>
        </tpls>
      </n>
      <n v="386190376960">
        <tpls c="8">
          <tpl hier="2" item="0"/>
          <tpl hier="4" item="1"/>
          <tpl fld="2" item="39"/>
          <tpl fld="4" item="19"/>
          <tpl hier="9" item="4"/>
          <tpl hier="11" item="6"/>
          <tpl hier="12" item="5"/>
          <tpl fld="1" item="0"/>
        </tpls>
      </n>
      <n v="130838036480">
        <tpls c="8">
          <tpl hier="2" item="0"/>
          <tpl hier="4" item="1"/>
          <tpl fld="2" item="22"/>
          <tpl fld="4" item="19"/>
          <tpl hier="9" item="4"/>
          <tpl hier="11" item="6"/>
          <tpl hier="12" item="5"/>
          <tpl fld="1" item="0"/>
        </tpls>
      </n>
      <n v="32877805568">
        <tpls c="8">
          <tpl hier="2" item="0"/>
          <tpl hier="4" item="1"/>
          <tpl fld="2" item="5"/>
          <tpl fld="4" item="19"/>
          <tpl hier="9" item="4"/>
          <tpl hier="11" item="6"/>
          <tpl hier="12" item="5"/>
          <tpl fld="1" item="0"/>
        </tpls>
      </n>
      <n v="146619138048">
        <tpls c="8">
          <tpl hier="2" item="0"/>
          <tpl hier="4" item="1"/>
          <tpl fld="2" item="40"/>
          <tpl fld="4" item="18"/>
          <tpl hier="9" item="4"/>
          <tpl hier="11" item="6"/>
          <tpl hier="12" item="5"/>
          <tpl fld="1" item="0"/>
        </tpls>
      </n>
      <n v="55314731008">
        <tpls c="8">
          <tpl hier="2" item="0"/>
          <tpl hier="4" item="1"/>
          <tpl fld="2" item="24"/>
          <tpl fld="4" item="18"/>
          <tpl hier="9" item="4"/>
          <tpl hier="11" item="6"/>
          <tpl hier="12" item="5"/>
          <tpl fld="1" item="0"/>
        </tpls>
      </n>
      <n v="18530519040">
        <tpls c="8">
          <tpl hier="2" item="0"/>
          <tpl hier="4" item="1"/>
          <tpl fld="2" item="8"/>
          <tpl fld="4" item="18"/>
          <tpl hier="9" item="4"/>
          <tpl hier="11" item="6"/>
          <tpl hier="12" item="5"/>
          <tpl fld="1" item="0"/>
        </tpls>
      </n>
      <n v="876923518976">
        <tpls c="8">
          <tpl hier="2" item="0"/>
          <tpl hier="4" item="1"/>
          <tpl fld="2" item="43"/>
          <tpl fld="4" item="17"/>
          <tpl hier="9" item="4"/>
          <tpl hier="11" item="6"/>
          <tpl hier="12" item="5"/>
          <tpl fld="1" item="0"/>
        </tpls>
      </n>
      <n v="416812728320">
        <tpls c="8">
          <tpl hier="2" item="0"/>
          <tpl hier="4" item="1"/>
          <tpl fld="2" item="27"/>
          <tpl fld="4" item="17"/>
          <tpl hier="9" item="4"/>
          <tpl hier="11" item="6"/>
          <tpl hier="12" item="5"/>
          <tpl fld="1" item="0"/>
        </tpls>
      </n>
      <n v="164134223872">
        <tpls c="8">
          <tpl hier="2" item="0"/>
          <tpl hier="4" item="1"/>
          <tpl fld="2" item="11"/>
          <tpl fld="4" item="17"/>
          <tpl hier="9" item="4"/>
          <tpl hier="11" item="6"/>
          <tpl hier="12" item="5"/>
          <tpl fld="1" item="0"/>
        </tpls>
      </n>
      <n v="11444483072">
        <tpls c="8">
          <tpl hier="2" item="0"/>
          <tpl hier="4" item="1"/>
          <tpl fld="2" item="46"/>
          <tpl fld="4" item="16"/>
          <tpl hier="9" item="4"/>
          <tpl hier="11" item="6"/>
          <tpl hier="12" item="5"/>
          <tpl fld="1" item="0"/>
        </tpls>
      </n>
      <n v="4053395712">
        <tpls c="8">
          <tpl hier="2" item="0"/>
          <tpl hier="4" item="1"/>
          <tpl fld="2" item="30"/>
          <tpl fld="4" item="16"/>
          <tpl hier="9" item="4"/>
          <tpl hier="11" item="6"/>
          <tpl hier="12" item="5"/>
          <tpl fld="1" item="0"/>
        </tpls>
      </n>
      <n v="1101828608">
        <tpls c="8">
          <tpl hier="2" item="0"/>
          <tpl hier="4" item="1"/>
          <tpl fld="2" item="14"/>
          <tpl fld="4" item="16"/>
          <tpl hier="9" item="4"/>
          <tpl hier="11" item="6"/>
          <tpl hier="12" item="5"/>
          <tpl fld="1" item="0"/>
        </tpls>
      </n>
      <n v="71104921600">
        <tpls c="8">
          <tpl hier="2" item="0"/>
          <tpl hier="4" item="1"/>
          <tpl fld="2" item="49"/>
          <tpl fld="4" item="15"/>
          <tpl hier="9" item="4"/>
          <tpl hier="11" item="6"/>
          <tpl hier="12" item="5"/>
          <tpl fld="1" item="0"/>
        </tpls>
      </n>
      <n v="29557325824">
        <tpls c="8">
          <tpl hier="2" item="0"/>
          <tpl hier="4" item="1"/>
          <tpl fld="2" item="33"/>
          <tpl fld="4" item="15"/>
          <tpl hier="9" item="4"/>
          <tpl hier="11" item="6"/>
          <tpl hier="12" item="5"/>
          <tpl fld="1" item="0"/>
        </tpls>
      </n>
      <n v="8614215680">
        <tpls c="8">
          <tpl hier="2" item="0"/>
          <tpl hier="4" item="1"/>
          <tpl fld="2" item="17"/>
          <tpl fld="4" item="15"/>
          <tpl hier="9" item="4"/>
          <tpl hier="11" item="6"/>
          <tpl hier="12" item="5"/>
          <tpl fld="1" item="0"/>
        </tpls>
      </n>
      <n v="1572310784">
        <tpls c="8">
          <tpl hier="2" item="0"/>
          <tpl hier="4" item="1"/>
          <tpl fld="2" item="1"/>
          <tpl fld="4" item="15"/>
          <tpl hier="9" item="4"/>
          <tpl hier="11" item="6"/>
          <tpl hier="12" item="5"/>
          <tpl fld="1" item="0"/>
        </tpls>
      </n>
      <n v="4530377326592">
        <tpls c="8">
          <tpl hier="2" item="0"/>
          <tpl hier="4" item="1"/>
          <tpl fld="2" item="36"/>
          <tpl fld="4" item="14"/>
          <tpl hier="9" item="4"/>
          <tpl hier="11" item="6"/>
          <tpl hier="12" item="5"/>
          <tpl fld="1" item="0"/>
        </tpls>
      </n>
      <n v="3132817670144">
        <tpls c="8">
          <tpl hier="2" item="0"/>
          <tpl hier="4" item="1"/>
          <tpl fld="2" item="20"/>
          <tpl fld="4" item="14"/>
          <tpl hier="9" item="4"/>
          <tpl hier="11" item="6"/>
          <tpl hier="12" item="5"/>
          <tpl fld="1" item="0"/>
        </tpls>
      </n>
      <n v="479626002432">
        <tpls c="8">
          <tpl hier="2" item="0"/>
          <tpl hier="4" item="1"/>
          <tpl fld="2" item="4"/>
          <tpl fld="4" item="14"/>
          <tpl hier="9" item="4"/>
          <tpl hier="11" item="6"/>
          <tpl hier="12" item="5"/>
          <tpl fld="1" item="0"/>
        </tpls>
      </n>
      <n v="2191241904128">
        <tpls c="8">
          <tpl hier="2" item="0"/>
          <tpl hier="4" item="1"/>
          <tpl fld="2" item="39"/>
          <tpl fld="4" item="13"/>
          <tpl hier="9" item="4"/>
          <tpl hier="11" item="6"/>
          <tpl hier="12" item="5"/>
          <tpl fld="1" item="0"/>
        </tpls>
      </n>
      <n v="1064958099456">
        <tpls c="8">
          <tpl hier="2" item="0"/>
          <tpl hier="4" item="1"/>
          <tpl fld="2" item="23"/>
          <tpl fld="4" item="13"/>
          <tpl hier="9" item="4"/>
          <tpl hier="11" item="6"/>
          <tpl hier="12" item="5"/>
          <tpl fld="1" item="0"/>
        </tpls>
      </n>
      <n v="257596309504">
        <tpls c="8">
          <tpl hier="2" item="0"/>
          <tpl hier="4" item="1"/>
          <tpl fld="2" item="7"/>
          <tpl fld="4" item="13"/>
          <tpl hier="9" item="4"/>
          <tpl hier="11" item="6"/>
          <tpl hier="12" item="5"/>
          <tpl fld="1" item="0"/>
        </tpls>
      </n>
      <n v="257180139520">
        <tpls c="8">
          <tpl hier="2" item="0"/>
          <tpl hier="4" item="1"/>
          <tpl fld="2" item="42"/>
          <tpl fld="4" item="12"/>
          <tpl hier="9" item="4"/>
          <tpl hier="11" item="6"/>
          <tpl hier="12" item="5"/>
          <tpl fld="1" item="0"/>
        </tpls>
      </n>
      <n v="109995843584">
        <tpls c="8">
          <tpl hier="2" item="0"/>
          <tpl hier="4" item="1"/>
          <tpl fld="2" item="26"/>
          <tpl fld="4" item="12"/>
          <tpl hier="9" item="4"/>
          <tpl hier="11" item="6"/>
          <tpl hier="12" item="5"/>
          <tpl fld="1" item="0"/>
        </tpls>
      </n>
      <n v="24164509696">
        <tpls c="8">
          <tpl hier="2" item="0"/>
          <tpl hier="4" item="1"/>
          <tpl fld="2" item="10"/>
          <tpl fld="4" item="12"/>
          <tpl hier="9" item="4"/>
          <tpl hier="11" item="6"/>
          <tpl hier="12" item="5"/>
          <tpl fld="1" item="0"/>
        </tpls>
      </n>
      <n v="291499802624">
        <tpls c="8">
          <tpl hier="2" item="0"/>
          <tpl hier="4" item="1"/>
          <tpl fld="2" item="45"/>
          <tpl fld="4" item="11"/>
          <tpl hier="9" item="4"/>
          <tpl hier="11" item="6"/>
          <tpl hier="12" item="5"/>
          <tpl fld="1" item="0"/>
        </tpls>
      </n>
      <n v="98692079616">
        <tpls c="8">
          <tpl hier="2" item="0"/>
          <tpl hier="4" item="1"/>
          <tpl fld="2" item="29"/>
          <tpl fld="4" item="11"/>
          <tpl hier="9" item="4"/>
          <tpl hier="11" item="6"/>
          <tpl hier="12" item="5"/>
          <tpl fld="1" item="0"/>
        </tpls>
      </n>
      <n v="20790917120">
        <tpls c="8">
          <tpl hier="2" item="0"/>
          <tpl hier="4" item="1"/>
          <tpl fld="2" item="13"/>
          <tpl fld="4" item="11"/>
          <tpl hier="9" item="4"/>
          <tpl hier="11" item="6"/>
          <tpl hier="12" item="5"/>
          <tpl fld="1" item="0"/>
        </tpls>
      </n>
      <n v="25737594880">
        <tpls c="8">
          <tpl hier="2" item="0"/>
          <tpl hier="4" item="1"/>
          <tpl fld="2" item="48"/>
          <tpl fld="4" item="10"/>
          <tpl hier="9" item="4"/>
          <tpl hier="11" item="6"/>
          <tpl hier="12" item="5"/>
          <tpl fld="1" item="0"/>
        </tpls>
      </n>
      <n v="9294652416">
        <tpls c="8">
          <tpl hier="2" item="0"/>
          <tpl hier="4" item="1"/>
          <tpl fld="2" item="32"/>
          <tpl fld="4" item="10"/>
          <tpl hier="9" item="4"/>
          <tpl hier="11" item="6"/>
          <tpl hier="12" item="5"/>
          <tpl fld="1" item="0"/>
        </tpls>
      </n>
      <n v="3995619584">
        <tpls c="8">
          <tpl hier="2" item="0"/>
          <tpl hier="4" item="1"/>
          <tpl fld="2" item="16"/>
          <tpl fld="4" item="10"/>
          <tpl hier="9" item="4"/>
          <tpl hier="11" item="6"/>
          <tpl hier="12" item="5"/>
          <tpl fld="1" item="0"/>
        </tpls>
      </n>
      <n v="527496576">
        <tpls c="8">
          <tpl hier="2" item="0"/>
          <tpl hier="4" item="1"/>
          <tpl fld="2" item="0"/>
          <tpl fld="4" item="10"/>
          <tpl hier="9" item="4"/>
          <tpl hier="11" item="6"/>
          <tpl hier="12" item="5"/>
          <tpl fld="1" item="0"/>
        </tpls>
      </n>
      <n v="247782998016">
        <tpls c="8">
          <tpl hier="2" item="0"/>
          <tpl hier="4" item="1"/>
          <tpl fld="2" item="35"/>
          <tpl fld="4" item="9"/>
          <tpl hier="9" item="4"/>
          <tpl hier="11" item="6"/>
          <tpl hier="12" item="5"/>
          <tpl fld="1" item="0"/>
        </tpls>
      </n>
      <n v="79169044480">
        <tpls c="8">
          <tpl hier="2" item="0"/>
          <tpl hier="4" item="1"/>
          <tpl fld="2" item="19"/>
          <tpl fld="4" item="9"/>
          <tpl hier="9" item="4"/>
          <tpl hier="11" item="6"/>
          <tpl hier="12" item="5"/>
          <tpl fld="1" item="0"/>
        </tpls>
      </n>
      <n v="22347845632">
        <tpls c="8">
          <tpl hier="2" item="0"/>
          <tpl hier="4" item="1"/>
          <tpl fld="2" item="3"/>
          <tpl fld="4" item="9"/>
          <tpl hier="9" item="4"/>
          <tpl hier="11" item="6"/>
          <tpl hier="12" item="5"/>
          <tpl fld="1" item="0"/>
        </tpls>
      </n>
      <n v="5751790080">
        <tpls c="8">
          <tpl hier="2" item="0"/>
          <tpl hier="4" item="1"/>
          <tpl fld="2" item="23"/>
          <tpl fld="4" item="63"/>
          <tpl hier="9" item="4"/>
          <tpl hier="11" item="6"/>
          <tpl hier="12" item="5"/>
          <tpl fld="1" item="0"/>
        </tpls>
      </n>
      <n v="19395491840">
        <tpls c="8">
          <tpl hier="2" item="0"/>
          <tpl hier="4" item="1"/>
          <tpl fld="2" item="28"/>
          <tpl fld="4" item="55"/>
          <tpl hier="9" item="4"/>
          <tpl hier="11" item="6"/>
          <tpl hier="12" item="5"/>
          <tpl fld="1" item="0"/>
        </tpls>
      </n>
      <n v="3185987328">
        <tpls c="8">
          <tpl hier="2" item="0"/>
          <tpl hier="4" item="1"/>
          <tpl fld="2" item="2"/>
          <tpl fld="4" item="49"/>
          <tpl hier="9" item="4"/>
          <tpl hier="11" item="6"/>
          <tpl hier="12" item="5"/>
          <tpl fld="1" item="0"/>
        </tpls>
      </n>
      <n v="250440138752">
        <tpls c="8">
          <tpl hier="2" item="0"/>
          <tpl hier="4" item="1"/>
          <tpl fld="2" item="46"/>
          <tpl fld="4" item="42"/>
          <tpl hier="9" item="4"/>
          <tpl hier="11" item="6"/>
          <tpl hier="12" item="5"/>
          <tpl fld="1" item="0"/>
        </tpls>
      </n>
      <n v="6143909376">
        <tpls c="8">
          <tpl hier="2" item="0"/>
          <tpl hier="4" item="1"/>
          <tpl fld="2" item="35"/>
          <tpl fld="4" item="37"/>
          <tpl hier="9" item="4"/>
          <tpl hier="11" item="6"/>
          <tpl hier="12" item="5"/>
          <tpl fld="1" item="0"/>
        </tpls>
      </n>
      <n v="12701657088">
        <tpls c="8">
          <tpl hier="2" item="0"/>
          <tpl hier="4" item="1"/>
          <tpl fld="2" item="47"/>
          <tpl fld="4" item="33"/>
          <tpl hier="9" item="4"/>
          <tpl hier="11" item="6"/>
          <tpl hier="12" item="5"/>
          <tpl fld="1" item="0"/>
        </tpls>
      </n>
      <n v="410331904">
        <tpls c="8">
          <tpl hier="2" item="0"/>
          <tpl hier="4" item="1"/>
          <tpl fld="2" item="2"/>
          <tpl fld="4" item="33"/>
          <tpl hier="9" item="4"/>
          <tpl hier="11" item="6"/>
          <tpl hier="12" item="5"/>
          <tpl fld="1" item="0"/>
        </tpls>
      </n>
      <n v="212643744">
        <tpls c="8">
          <tpl hier="2" item="0"/>
          <tpl hier="4" item="1"/>
          <tpl fld="2" item="15"/>
          <tpl fld="4" item="32"/>
          <tpl hier="9" item="4"/>
          <tpl hier="11" item="6"/>
          <tpl hier="12" item="5"/>
          <tpl fld="1" item="0"/>
        </tpls>
      </n>
      <n v="53369786368">
        <tpls c="8">
          <tpl hier="2" item="0"/>
          <tpl hier="4" item="1"/>
          <tpl fld="2" item="30"/>
          <tpl fld="4" item="31"/>
          <tpl hier="9" item="4"/>
          <tpl hier="11" item="6"/>
          <tpl hier="12" item="5"/>
          <tpl fld="1" item="0"/>
        </tpls>
      </n>
      <n v="12424500224">
        <tpls c="8">
          <tpl hier="2" item="0"/>
          <tpl hier="4" item="1"/>
          <tpl fld="2" item="48"/>
          <tpl fld="4" item="30"/>
          <tpl hier="9" item="4"/>
          <tpl hier="11" item="6"/>
          <tpl hier="12" item="5"/>
          <tpl fld="1" item="0"/>
        </tpls>
      </n>
      <n v="3166000128">
        <tpls c="8">
          <tpl hier="2" item="0"/>
          <tpl hier="4" item="1"/>
          <tpl fld="2" item="20"/>
          <tpl fld="4" item="30"/>
          <tpl hier="9" item="4"/>
          <tpl hier="11" item="6"/>
          <tpl hier="12" item="5"/>
          <tpl fld="1" item="0"/>
        </tpls>
      </n>
      <n v="530163269632">
        <tpls c="8">
          <tpl hier="2" item="0"/>
          <tpl hier="4" item="1"/>
          <tpl fld="2" item="41"/>
          <tpl fld="4" item="29"/>
          <tpl hier="9" item="4"/>
          <tpl hier="11" item="6"/>
          <tpl hier="12" item="5"/>
          <tpl fld="1" item="0"/>
        </tpls>
      </n>
      <n v="76636897280">
        <tpls c="8">
          <tpl hier="2" item="0"/>
          <tpl hier="4" item="1"/>
          <tpl fld="2" item="19"/>
          <tpl fld="4" item="29"/>
          <tpl hier="9" item="4"/>
          <tpl hier="11" item="6"/>
          <tpl hier="12" item="5"/>
          <tpl fld="1" item="0"/>
        </tpls>
      </n>
      <n v="160033849344">
        <tpls c="8">
          <tpl hier="2" item="0"/>
          <tpl hier="4" item="1"/>
          <tpl fld="2" item="46"/>
          <tpl fld="4" item="28"/>
          <tpl hier="9" item="4"/>
          <tpl hier="11" item="6"/>
          <tpl hier="12" item="5"/>
          <tpl fld="1" item="0"/>
        </tpls>
      </n>
      <n v="49946456064">
        <tpls c="8">
          <tpl hier="2" item="0"/>
          <tpl hier="4" item="1"/>
          <tpl fld="2" item="23"/>
          <tpl fld="4" item="28"/>
          <tpl hier="9" item="4"/>
          <tpl hier="11" item="6"/>
          <tpl hier="12" item="5"/>
          <tpl fld="1" item="0"/>
        </tpls>
      </n>
      <n v="439870922293248">
        <tpls c="8">
          <tpl hier="2" item="0"/>
          <tpl hier="4" item="1"/>
          <tpl hier="5" item="3"/>
          <tpl fld="4" item="27"/>
          <tpl hier="9" item="4"/>
          <tpl hier="11" item="6"/>
          <tpl hier="12" item="5"/>
          <tpl fld="1" item="0"/>
        </tpls>
      </n>
      <n v="8577554579456">
        <tpls c="8">
          <tpl hier="2" item="0"/>
          <tpl hier="4" item="1"/>
          <tpl fld="2" item="27"/>
          <tpl fld="4" item="27"/>
          <tpl hier="9" item="4"/>
          <tpl hier="11" item="6"/>
          <tpl hier="12" item="5"/>
          <tpl fld="1" item="0"/>
        </tpls>
      </n>
      <n v="1545242935296">
        <tpls c="8">
          <tpl hier="2" item="0"/>
          <tpl hier="4" item="1"/>
          <tpl fld="2" item="4"/>
          <tpl fld="4" item="27"/>
          <tpl hier="9" item="4"/>
          <tpl hier="11" item="6"/>
          <tpl hier="12" item="5"/>
          <tpl fld="1" item="0"/>
        </tpls>
      </n>
      <n v="1784473976832">
        <tpls c="8">
          <tpl hier="2" item="0"/>
          <tpl hier="4" item="1"/>
          <tpl fld="2" item="32"/>
          <tpl fld="4" item="26"/>
          <tpl hier="9" item="4"/>
          <tpl hier="11" item="6"/>
          <tpl hier="12" item="5"/>
          <tpl fld="1" item="0"/>
        </tpls>
      </n>
      <n v="335883042816">
        <tpls c="8">
          <tpl hier="2" item="0"/>
          <tpl hier="4" item="1"/>
          <tpl fld="2" item="8"/>
          <tpl fld="4" item="26"/>
          <tpl hier="9" item="4"/>
          <tpl hier="11" item="6"/>
          <tpl hier="12" item="5"/>
          <tpl fld="1" item="0"/>
        </tpls>
      </n>
      <n v="479913050112">
        <tpls c="8">
          <tpl hier="2" item="0"/>
          <tpl hier="4" item="1"/>
          <tpl fld="2" item="37"/>
          <tpl fld="4" item="25"/>
          <tpl hier="9" item="4"/>
          <tpl hier="11" item="6"/>
          <tpl hier="12" item="5"/>
          <tpl fld="1" item="0"/>
        </tpls>
      </n>
      <n v="193466105856">
        <tpls c="8">
          <tpl hier="2" item="0"/>
          <tpl hier="4" item="1"/>
          <tpl fld="2" item="17"/>
          <tpl fld="4" item="25"/>
          <tpl hier="9" item="4"/>
          <tpl hier="11" item="6"/>
          <tpl hier="12" item="5"/>
          <tpl fld="1" item="0"/>
        </tpls>
      </n>
      <n v="541018750976">
        <tpls c="8">
          <tpl hier="2" item="0"/>
          <tpl hier="4" item="1"/>
          <tpl fld="2" item="47"/>
          <tpl fld="4" item="24"/>
          <tpl hier="9" item="4"/>
          <tpl hier="11" item="6"/>
          <tpl hier="12" item="5"/>
          <tpl fld="1" item="0"/>
        </tpls>
      </n>
      <n v="270809071616">
        <tpls c="8">
          <tpl hier="2" item="0"/>
          <tpl hier="4" item="1"/>
          <tpl fld="2" item="28"/>
          <tpl fld="4" item="24"/>
          <tpl hier="9" item="4"/>
          <tpl hier="11" item="6"/>
          <tpl hier="12" item="5"/>
          <tpl fld="1" item="0"/>
        </tpls>
      </n>
      <n v="104442347520">
        <tpls c="8">
          <tpl hier="2" item="0"/>
          <tpl hier="4" item="1"/>
          <tpl fld="2" item="8"/>
          <tpl fld="4" item="24"/>
          <tpl hier="9" item="4"/>
          <tpl hier="11" item="6"/>
          <tpl hier="12" item="5"/>
          <tpl fld="1" item="0"/>
        </tpls>
      </n>
      <n v="1420722044928">
        <tpls c="8">
          <tpl hier="2" item="0"/>
          <tpl hier="4" item="1"/>
          <tpl fld="2" item="40"/>
          <tpl fld="4" item="23"/>
          <tpl hier="9" item="4"/>
          <tpl hier="11" item="6"/>
          <tpl hier="12" item="5"/>
          <tpl fld="1" item="0"/>
        </tpls>
      </n>
      <n v="577166180352">
        <tpls c="8">
          <tpl hier="2" item="0"/>
          <tpl hier="4" item="1"/>
          <tpl fld="2" item="21"/>
          <tpl fld="4" item="23"/>
          <tpl hier="9" item="4"/>
          <tpl hier="11" item="6"/>
          <tpl hier="12" item="5"/>
          <tpl fld="1" item="0"/>
        </tpls>
      </n>
      <n v="40992997376">
        <tpls c="8">
          <tpl hier="2" item="0"/>
          <tpl hier="4" item="1"/>
          <tpl fld="2" item="0"/>
          <tpl fld="4" item="23"/>
          <tpl hier="9" item="4"/>
          <tpl hier="11" item="6"/>
          <tpl hier="12" item="5"/>
          <tpl fld="1" item="0"/>
        </tpls>
      </n>
      <n v="627246104576">
        <tpls c="8">
          <tpl hier="2" item="0"/>
          <tpl hier="4" item="1"/>
          <tpl fld="2" item="32"/>
          <tpl fld="4" item="22"/>
          <tpl hier="9" item="4"/>
          <tpl hier="11" item="6"/>
          <tpl hier="12" item="5"/>
          <tpl fld="1" item="0"/>
        </tpls>
      </n>
      <n v="78358863872">
        <tpls c="8">
          <tpl hier="2" item="0"/>
          <tpl hier="4" item="1"/>
          <tpl fld="2" item="12"/>
          <tpl fld="4" item="22"/>
          <tpl hier="9" item="4"/>
          <tpl hier="11" item="6"/>
          <tpl hier="12" item="5"/>
          <tpl fld="1" item="0"/>
        </tpls>
      </n>
      <n v="308004159488">
        <tpls c="8">
          <tpl hier="2" item="0"/>
          <tpl hier="4" item="1"/>
          <tpl fld="2" item="45"/>
          <tpl fld="4" item="21"/>
          <tpl hier="9" item="4"/>
          <tpl hier="11" item="6"/>
          <tpl hier="12" item="5"/>
          <tpl fld="1" item="0"/>
        </tpls>
      </n>
      <n v="100124188672">
        <tpls c="8">
          <tpl hier="2" item="0"/>
          <tpl hier="4" item="1"/>
          <tpl fld="2" item="27"/>
          <tpl fld="4" item="21"/>
          <tpl hier="9" item="4"/>
          <tpl hier="11" item="6"/>
          <tpl hier="12" item="5"/>
          <tpl fld="1" item="0"/>
        </tpls>
      </n>
      <n v="6618585088">
        <tpls c="8">
          <tpl hier="2" item="0"/>
          <tpl hier="4" item="1"/>
          <tpl fld="2" item="7"/>
          <tpl fld="4" item="21"/>
          <tpl hier="9" item="4"/>
          <tpl hier="11" item="6"/>
          <tpl hier="12" item="5"/>
          <tpl fld="1" item="0"/>
        </tpls>
      </n>
      <n v="237880901632">
        <tpls c="8">
          <tpl hier="2" item="0"/>
          <tpl hier="4" item="1"/>
          <tpl fld="2" item="40"/>
          <tpl fld="4" item="20"/>
          <tpl hier="9" item="4"/>
          <tpl hier="11" item="6"/>
          <tpl hier="12" item="5"/>
          <tpl fld="1" item="0"/>
        </tpls>
      </n>
      <n v="107592097792">
        <tpls c="8">
          <tpl hier="2" item="0"/>
          <tpl hier="4" item="1"/>
          <tpl fld="2" item="22"/>
          <tpl fld="4" item="20"/>
          <tpl hier="9" item="4"/>
          <tpl hier="11" item="6"/>
          <tpl hier="12" item="5"/>
          <tpl fld="1" item="0"/>
        </tpls>
      </n>
      <n v="17512388608">
        <tpls c="8">
          <tpl hier="2" item="0"/>
          <tpl hier="4" item="1"/>
          <tpl fld="2" item="4"/>
          <tpl fld="4" item="20"/>
          <tpl hier="9" item="4"/>
          <tpl hier="11" item="6"/>
          <tpl hier="12" item="5"/>
          <tpl fld="1" item="0"/>
        </tpls>
      </n>
      <n v="462249984000">
        <tpls c="8">
          <tpl hier="2" item="0"/>
          <tpl hier="4" item="1"/>
          <tpl fld="2" item="38"/>
          <tpl fld="4" item="19"/>
          <tpl hier="9" item="4"/>
          <tpl hier="11" item="6"/>
          <tpl hier="12" item="5"/>
          <tpl fld="1" item="0"/>
        </tpls>
      </n>
      <n v="121872465920">
        <tpls c="8">
          <tpl hier="2" item="0"/>
          <tpl hier="4" item="1"/>
          <tpl fld="2" item="21"/>
          <tpl fld="4" item="19"/>
          <tpl hier="9" item="4"/>
          <tpl hier="11" item="6"/>
          <tpl hier="12" item="5"/>
          <tpl fld="1" item="0"/>
        </tpls>
      </n>
      <n v="27145693184">
        <tpls c="8">
          <tpl hier="2" item="0"/>
          <tpl hier="4" item="1"/>
          <tpl fld="2" item="4"/>
          <tpl fld="4" item="19"/>
          <tpl hier="9" item="4"/>
          <tpl hier="11" item="6"/>
          <tpl hier="12" item="5"/>
          <tpl fld="1" item="0"/>
        </tpls>
      </n>
      <n v="121357983744">
        <tpls c="8">
          <tpl hier="2" item="0"/>
          <tpl hier="4" item="1"/>
          <tpl fld="2" item="39"/>
          <tpl fld="4" item="18"/>
          <tpl hier="9" item="4"/>
          <tpl hier="11" item="6"/>
          <tpl hier="12" item="5"/>
          <tpl fld="1" item="0"/>
        </tpls>
      </n>
      <n v="46775619584">
        <tpls c="8">
          <tpl hier="2" item="0"/>
          <tpl hier="4" item="1"/>
          <tpl fld="2" item="23"/>
          <tpl fld="4" item="18"/>
          <tpl hier="9" item="4"/>
          <tpl hier="11" item="6"/>
          <tpl hier="12" item="5"/>
          <tpl fld="1" item="0"/>
        </tpls>
      </n>
      <n v="15446824960">
        <tpls c="8">
          <tpl hier="2" item="0"/>
          <tpl hier="4" item="1"/>
          <tpl fld="2" item="7"/>
          <tpl fld="4" item="18"/>
          <tpl hier="9" item="4"/>
          <tpl hier="11" item="6"/>
          <tpl hier="12" item="5"/>
          <tpl fld="1" item="0"/>
        </tpls>
      </n>
      <n v="838971293696">
        <tpls c="8">
          <tpl hier="2" item="0"/>
          <tpl hier="4" item="1"/>
          <tpl fld="2" item="42"/>
          <tpl fld="4" item="17"/>
          <tpl hier="9" item="4"/>
          <tpl hier="11" item="6"/>
          <tpl hier="12" item="5"/>
          <tpl fld="1" item="0"/>
        </tpls>
      </n>
      <n v="450490204160">
        <tpls c="8">
          <tpl hier="2" item="0"/>
          <tpl hier="4" item="1"/>
          <tpl fld="2" item="26"/>
          <tpl fld="4" item="17"/>
          <tpl hier="9" item="4"/>
          <tpl hier="11" item="6"/>
          <tpl hier="12" item="5"/>
          <tpl fld="1" item="0"/>
        </tpls>
      </n>
      <n v="195152084992">
        <tpls c="8">
          <tpl hier="2" item="0"/>
          <tpl hier="4" item="1"/>
          <tpl fld="2" item="10"/>
          <tpl fld="4" item="17"/>
          <tpl hier="9" item="4"/>
          <tpl hier="11" item="6"/>
          <tpl hier="12" item="5"/>
          <tpl fld="1" item="0"/>
        </tpls>
      </n>
      <n v="10682394624">
        <tpls c="8">
          <tpl hier="2" item="0"/>
          <tpl hier="4" item="1"/>
          <tpl fld="2" item="45"/>
          <tpl fld="4" item="16"/>
          <tpl hier="9" item="4"/>
          <tpl hier="11" item="6"/>
          <tpl hier="12" item="5"/>
          <tpl fld="1" item="0"/>
        </tpls>
      </n>
      <n v="4127313920">
        <tpls c="8">
          <tpl hier="2" item="0"/>
          <tpl hier="4" item="1"/>
          <tpl fld="2" item="29"/>
          <tpl fld="4" item="16"/>
          <tpl hier="9" item="4"/>
          <tpl hier="11" item="6"/>
          <tpl hier="12" item="5"/>
          <tpl fld="1" item="0"/>
        </tpls>
      </n>
      <n v="1165771392">
        <tpls c="8">
          <tpl hier="2" item="0"/>
          <tpl hier="4" item="1"/>
          <tpl fld="2" item="13"/>
          <tpl fld="4" item="16"/>
          <tpl hier="9" item="4"/>
          <tpl hier="11" item="6"/>
          <tpl hier="12" item="5"/>
          <tpl fld="1" item="0"/>
        </tpls>
      </n>
      <n v="70919954432">
        <tpls c="8">
          <tpl hier="2" item="0"/>
          <tpl hier="4" item="1"/>
          <tpl fld="2" item="48"/>
          <tpl fld="4" item="15"/>
          <tpl hier="9" item="4"/>
          <tpl hier="11" item="6"/>
          <tpl hier="12" item="5"/>
          <tpl fld="1" item="0"/>
        </tpls>
      </n>
      <n v="23616329728">
        <tpls c="8">
          <tpl hier="2" item="0"/>
          <tpl hier="4" item="1"/>
          <tpl fld="2" item="32"/>
          <tpl fld="4" item="15"/>
          <tpl hier="9" item="4"/>
          <tpl hier="11" item="6"/>
          <tpl hier="12" item="5"/>
          <tpl fld="1" item="0"/>
        </tpls>
      </n>
      <n v="6921264128">
        <tpls c="8">
          <tpl hier="2" item="0"/>
          <tpl hier="4" item="1"/>
          <tpl fld="2" item="16"/>
          <tpl fld="4" item="15"/>
          <tpl hier="9" item="4"/>
          <tpl hier="11" item="6"/>
          <tpl hier="12" item="5"/>
          <tpl fld="1" item="0"/>
        </tpls>
      </n>
      <n v="1509155072">
        <tpls c="8">
          <tpl hier="2" item="0"/>
          <tpl hier="4" item="1"/>
          <tpl fld="2" item="0"/>
          <tpl fld="4" item="15"/>
          <tpl hier="9" item="4"/>
          <tpl hier="11" item="6"/>
          <tpl hier="12" item="5"/>
          <tpl fld="1" item="0"/>
        </tpls>
      </n>
      <n v="4755410649088">
        <tpls c="8">
          <tpl hier="2" item="0"/>
          <tpl hier="4" item="1"/>
          <tpl fld="2" item="35"/>
          <tpl fld="4" item="14"/>
          <tpl hier="9" item="4"/>
          <tpl hier="11" item="6"/>
          <tpl hier="12" item="5"/>
          <tpl fld="1" item="0"/>
        </tpls>
      </n>
      <n v="3054914240512">
        <tpls c="8">
          <tpl hier="2" item="0"/>
          <tpl hier="4" item="1"/>
          <tpl fld="2" item="19"/>
          <tpl fld="4" item="14"/>
          <tpl hier="9" item="4"/>
          <tpl hier="11" item="6"/>
          <tpl hier="12" item="5"/>
          <tpl fld="1" item="0"/>
        </tpls>
      </n>
      <n v="432082681856">
        <tpls c="8">
          <tpl hier="2" item="0"/>
          <tpl hier="4" item="1"/>
          <tpl fld="2" item="3"/>
          <tpl fld="4" item="14"/>
          <tpl hier="9" item="4"/>
          <tpl hier="11" item="6"/>
          <tpl hier="12" item="5"/>
          <tpl fld="1" item="0"/>
        </tpls>
      </n>
      <n v="2398856675328">
        <tpls c="8">
          <tpl hier="2" item="0"/>
          <tpl hier="4" item="1"/>
          <tpl fld="2" item="38"/>
          <tpl fld="4" item="13"/>
          <tpl hier="9" item="4"/>
          <tpl hier="11" item="6"/>
          <tpl hier="12" item="5"/>
          <tpl fld="1" item="0"/>
        </tpls>
      </n>
      <n v="1320161640448">
        <tpls c="8">
          <tpl hier="2" item="0"/>
          <tpl hier="4" item="1"/>
          <tpl fld="2" item="22"/>
          <tpl fld="4" item="13"/>
          <tpl hier="9" item="4"/>
          <tpl hier="11" item="6"/>
          <tpl hier="12" item="5"/>
          <tpl fld="1" item="0"/>
        </tpls>
      </n>
      <n v="224717275136">
        <tpls c="8">
          <tpl hier="2" item="0"/>
          <tpl hier="4" item="1"/>
          <tpl fld="2" item="6"/>
          <tpl fld="4" item="13"/>
          <tpl hier="9" item="4"/>
          <tpl hier="11" item="6"/>
          <tpl hier="12" item="5"/>
          <tpl fld="1" item="0"/>
        </tpls>
      </n>
      <n v="261468635136">
        <tpls c="8">
          <tpl hier="2" item="0"/>
          <tpl hier="4" item="1"/>
          <tpl fld="2" item="41"/>
          <tpl fld="4" item="12"/>
          <tpl hier="9" item="4"/>
          <tpl hier="11" item="6"/>
          <tpl hier="12" item="5"/>
          <tpl fld="1" item="0"/>
        </tpls>
      </n>
      <n v="100384808960">
        <tpls c="8">
          <tpl hier="2" item="0"/>
          <tpl hier="4" item="1"/>
          <tpl fld="2" item="25"/>
          <tpl fld="4" item="12"/>
          <tpl hier="9" item="4"/>
          <tpl hier="11" item="6"/>
          <tpl hier="12" item="5"/>
          <tpl fld="1" item="0"/>
        </tpls>
      </n>
      <n v="21514080256">
        <tpls c="8">
          <tpl hier="2" item="0"/>
          <tpl hier="4" item="1"/>
          <tpl fld="2" item="9"/>
          <tpl fld="4" item="12"/>
          <tpl hier="9" item="4"/>
          <tpl hier="11" item="6"/>
          <tpl hier="12" item="5"/>
          <tpl fld="1" item="0"/>
        </tpls>
      </n>
      <n v="258471886848">
        <tpls c="8">
          <tpl hier="2" item="0"/>
          <tpl hier="4" item="1"/>
          <tpl fld="2" item="44"/>
          <tpl fld="4" item="11"/>
          <tpl hier="9" item="4"/>
          <tpl hier="11" item="6"/>
          <tpl hier="12" item="5"/>
          <tpl fld="1" item="0"/>
        </tpls>
      </n>
      <n v="90082050048">
        <tpls c="8">
          <tpl hier="2" item="0"/>
          <tpl hier="4" item="1"/>
          <tpl fld="2" item="28"/>
          <tpl fld="4" item="11"/>
          <tpl hier="9" item="4"/>
          <tpl hier="11" item="6"/>
          <tpl hier="12" item="5"/>
          <tpl fld="1" item="0"/>
        </tpls>
      </n>
      <n v="21500471296">
        <tpls c="8">
          <tpl hier="2" item="0"/>
          <tpl hier="4" item="1"/>
          <tpl fld="2" item="12"/>
          <tpl fld="4" item="11"/>
          <tpl hier="9" item="4"/>
          <tpl hier="11" item="6"/>
          <tpl hier="12" item="5"/>
          <tpl fld="1" item="0"/>
        </tpls>
      </n>
      <n v="24488175616">
        <tpls c="8">
          <tpl hier="2" item="0"/>
          <tpl hier="4" item="1"/>
          <tpl fld="2" item="47"/>
          <tpl fld="4" item="10"/>
          <tpl hier="9" item="4"/>
          <tpl hier="11" item="6"/>
          <tpl hier="12" item="5"/>
          <tpl fld="1" item="0"/>
        </tpls>
      </n>
      <n v="8205357568">
        <tpls c="8">
          <tpl hier="2" item="0"/>
          <tpl hier="4" item="1"/>
          <tpl fld="2" item="31"/>
          <tpl fld="4" item="10"/>
          <tpl hier="9" item="4"/>
          <tpl hier="11" item="6"/>
          <tpl hier="12" item="5"/>
          <tpl fld="1" item="0"/>
        </tpls>
      </n>
      <n v="2988537856">
        <tpls c="8">
          <tpl hier="2" item="0"/>
          <tpl hier="4" item="1"/>
          <tpl fld="2" item="15"/>
          <tpl fld="4" item="10"/>
          <tpl hier="9" item="4"/>
          <tpl hier="11" item="6"/>
          <tpl hier="12" item="5"/>
          <tpl fld="1" item="0"/>
        </tpls>
      </n>
      <n v="6850762587136">
        <tpls c="8">
          <tpl hier="2" item="0"/>
          <tpl hier="4" item="1"/>
          <tpl hier="5" item="3"/>
          <tpl fld="4" item="9"/>
          <tpl hier="9" item="4"/>
          <tpl hier="11" item="6"/>
          <tpl hier="12" item="5"/>
          <tpl fld="1" item="0"/>
        </tpls>
      </n>
      <n v="240521265152">
        <tpls c="8">
          <tpl hier="2" item="0"/>
          <tpl hier="4" item="1"/>
          <tpl fld="2" item="34"/>
          <tpl fld="4" item="9"/>
          <tpl hier="9" item="4"/>
          <tpl hier="11" item="6"/>
          <tpl hier="12" item="5"/>
          <tpl fld="1" item="0"/>
        </tpls>
      </n>
      <n v="76261277696">
        <tpls c="8">
          <tpl hier="2" item="0"/>
          <tpl hier="4" item="1"/>
          <tpl fld="2" item="18"/>
          <tpl fld="4" item="9"/>
          <tpl hier="9" item="4"/>
          <tpl hier="11" item="6"/>
          <tpl hier="12" item="5"/>
          <tpl fld="1" item="0"/>
        </tpls>
      </n>
      <n v="16885507072">
        <tpls c="8">
          <tpl hier="2" item="0"/>
          <tpl hier="4" item="1"/>
          <tpl fld="2" item="2"/>
          <tpl fld="4" item="9"/>
          <tpl hier="9" item="4"/>
          <tpl hier="11" item="6"/>
          <tpl hier="12" item="5"/>
          <tpl fld="1" item="0"/>
        </tpls>
      </n>
      <n v="14262589440">
        <tpls c="8">
          <tpl hier="2" item="0"/>
          <tpl hier="4" item="1"/>
          <tpl fld="2" item="43"/>
          <tpl fld="4" item="62"/>
          <tpl hier="9" item="4"/>
          <tpl hier="11" item="6"/>
          <tpl hier="12" item="5"/>
          <tpl fld="1" item="0"/>
        </tpls>
      </n>
      <n v="3645900032">
        <tpls c="8">
          <tpl hier="2" item="0"/>
          <tpl hier="4" item="1"/>
          <tpl fld="2" item="5"/>
          <tpl fld="4" item="55"/>
          <tpl hier="9" item="4"/>
          <tpl hier="11" item="6"/>
          <tpl hier="12" item="5"/>
          <tpl fld="1" item="0"/>
        </tpls>
      </n>
      <n v="22692575232">
        <tpls c="8">
          <tpl hier="2" item="0"/>
          <tpl hier="4" item="1"/>
          <tpl fld="2" item="34"/>
          <tpl fld="4" item="48"/>
          <tpl hier="9" item="4"/>
          <tpl hier="11" item="6"/>
          <tpl hier="12" item="5"/>
          <tpl fld="1" item="0"/>
        </tpls>
      </n>
      <n v="81577426944">
        <tpls c="8">
          <tpl hier="2" item="0"/>
          <tpl hier="4" item="1"/>
          <tpl fld="2" item="28"/>
          <tpl fld="4" item="42"/>
          <tpl hier="9" item="4"/>
          <tpl hier="11" item="6"/>
          <tpl hier="12" item="5"/>
          <tpl fld="1" item="0"/>
        </tpls>
      </n>
      <n v="2615588608">
        <tpls c="8">
          <tpl hier="2" item="0"/>
          <tpl hier="4" item="1"/>
          <tpl fld="2" item="19"/>
          <tpl fld="4" item="37"/>
          <tpl hier="9" item="4"/>
          <tpl hier="11" item="6"/>
          <tpl hier="12" item="5"/>
          <tpl fld="1" item="0"/>
        </tpls>
      </n>
      <n v="13284529152">
        <tpls c="8">
          <tpl hier="2" item="0"/>
          <tpl hier="4" item="1"/>
          <tpl fld="2" item="44"/>
          <tpl fld="4" item="33"/>
          <tpl hier="9" item="4"/>
          <tpl hier="11" item="6"/>
          <tpl hier="12" item="5"/>
          <tpl fld="1" item="0"/>
        </tpls>
      </n>
      <n v="36833592132">
        <tpls c="8">
          <tpl hier="2" item="0"/>
          <tpl hier="4" item="1"/>
          <tpl hier="5" item="3"/>
          <tpl fld="4" item="32"/>
          <tpl hier="9" item="4"/>
          <tpl hier="11" item="6"/>
          <tpl hier="12" item="5"/>
          <tpl fld="1" item="0"/>
        </tpls>
      </n>
      <n v="214381952">
        <tpls c="8">
          <tpl hier="2" item="0"/>
          <tpl hier="4" item="1"/>
          <tpl fld="2" item="14"/>
          <tpl fld="4" item="32"/>
          <tpl hier="9" item="4"/>
          <tpl hier="11" item="6"/>
          <tpl hier="12" item="5"/>
          <tpl fld="1" item="0"/>
        </tpls>
      </n>
      <n v="51270569984">
        <tpls c="8">
          <tpl hier="2" item="0"/>
          <tpl hier="4" item="1"/>
          <tpl fld="2" item="29"/>
          <tpl fld="4" item="31"/>
          <tpl hier="9" item="4"/>
          <tpl hier="11" item="6"/>
          <tpl hier="12" item="5"/>
          <tpl fld="1" item="0"/>
        </tpls>
      </n>
      <n v="11752299520">
        <tpls c="8">
          <tpl hier="2" item="0"/>
          <tpl hier="4" item="1"/>
          <tpl fld="2" item="45"/>
          <tpl fld="4" item="30"/>
          <tpl hier="9" item="4"/>
          <tpl hier="11" item="6"/>
          <tpl hier="12" item="5"/>
          <tpl fld="1" item="0"/>
        </tpls>
      </n>
      <n v="2713999872">
        <tpls c="8">
          <tpl hier="2" item="0"/>
          <tpl hier="4" item="1"/>
          <tpl fld="2" item="17"/>
          <tpl fld="4" item="30"/>
          <tpl hier="9" item="4"/>
          <tpl hier="11" item="6"/>
          <tpl hier="12" item="5"/>
          <tpl fld="1" item="0"/>
        </tpls>
      </n>
      <n v="423627423744">
        <tpls c="8">
          <tpl hier="2" item="0"/>
          <tpl hier="4" item="1"/>
          <tpl fld="2" item="40"/>
          <tpl fld="4" item="29"/>
          <tpl hier="9" item="4"/>
          <tpl hier="11" item="6"/>
          <tpl hier="12" item="5"/>
          <tpl fld="1" item="0"/>
        </tpls>
      </n>
      <n v="110934441984">
        <tpls c="8">
          <tpl hier="2" item="0"/>
          <tpl hier="4" item="1"/>
          <tpl fld="2" item="16"/>
          <tpl fld="4" item="29"/>
          <tpl hier="9" item="4"/>
          <tpl hier="11" item="6"/>
          <tpl hier="12" item="5"/>
          <tpl fld="1" item="0"/>
        </tpls>
      </n>
      <n v="213808807936">
        <tpls c="8">
          <tpl hier="2" item="0"/>
          <tpl hier="4" item="1"/>
          <tpl fld="2" item="44"/>
          <tpl fld="4" item="28"/>
          <tpl hier="9" item="4"/>
          <tpl hier="11" item="6"/>
          <tpl hier="12" item="5"/>
          <tpl fld="1" item="0"/>
        </tpls>
      </n>
      <n v="48003297280">
        <tpls c="8">
          <tpl hier="2" item="0"/>
          <tpl hier="4" item="1"/>
          <tpl fld="2" item="22"/>
          <tpl fld="4" item="28"/>
          <tpl hier="9" item="4"/>
          <tpl hier="11" item="6"/>
          <tpl hier="12" item="5"/>
          <tpl fld="1" item="0"/>
        </tpls>
      </n>
      <n v="21374418550784">
        <tpls c="8">
          <tpl hier="2" item="0"/>
          <tpl hier="4" item="1"/>
          <tpl fld="2" item="49"/>
          <tpl fld="4" item="27"/>
          <tpl hier="9" item="4"/>
          <tpl hier="11" item="6"/>
          <tpl hier="12" item="5"/>
          <tpl fld="1" item="0"/>
        </tpls>
      </n>
      <n v="8073121890304">
        <tpls c="8">
          <tpl hier="2" item="0"/>
          <tpl hier="4" item="1"/>
          <tpl fld="2" item="26"/>
          <tpl fld="4" item="27"/>
          <tpl hier="9" item="4"/>
          <tpl hier="11" item="6"/>
          <tpl hier="12" item="5"/>
          <tpl fld="1" item="0"/>
        </tpls>
      </n>
      <n v="1279110021120">
        <tpls c="8">
          <tpl hier="2" item="0"/>
          <tpl hier="4" item="1"/>
          <tpl fld="2" item="2"/>
          <tpl fld="4" item="27"/>
          <tpl hier="9" item="4"/>
          <tpl hier="11" item="6"/>
          <tpl hier="12" item="5"/>
          <tpl fld="1" item="0"/>
        </tpls>
      </n>
      <n v="1657816612864">
        <tpls c="8">
          <tpl hier="2" item="0"/>
          <tpl hier="4" item="1"/>
          <tpl fld="2" item="30"/>
          <tpl fld="4" item="26"/>
          <tpl hier="9" item="4"/>
          <tpl hier="11" item="6"/>
          <tpl hier="12" item="5"/>
          <tpl fld="1" item="0"/>
        </tpls>
      </n>
      <n v="263066451968">
        <tpls c="8">
          <tpl hier="2" item="0"/>
          <tpl hier="4" item="1"/>
          <tpl fld="2" item="7"/>
          <tpl fld="4" item="26"/>
          <tpl hier="9" item="4"/>
          <tpl hier="11" item="6"/>
          <tpl hier="12" item="5"/>
          <tpl fld="1" item="0"/>
        </tpls>
      </n>
      <n v="430921187328">
        <tpls c="8">
          <tpl hier="2" item="0"/>
          <tpl hier="4" item="1"/>
          <tpl fld="2" item="36"/>
          <tpl fld="4" item="25"/>
          <tpl hier="9" item="4"/>
          <tpl hier="11" item="6"/>
          <tpl hier="12" item="5"/>
          <tpl fld="1" item="0"/>
        </tpls>
      </n>
      <n v="154482376704">
        <tpls c="8">
          <tpl hier="2" item="0"/>
          <tpl hier="4" item="1"/>
          <tpl fld="2" item="16"/>
          <tpl fld="4" item="25"/>
          <tpl hier="9" item="4"/>
          <tpl hier="11" item="6"/>
          <tpl hier="12" item="5"/>
          <tpl fld="1" item="0"/>
        </tpls>
      </n>
      <n v="515654680576">
        <tpls c="8">
          <tpl hier="2" item="0"/>
          <tpl hier="4" item="1"/>
          <tpl fld="2" item="46"/>
          <tpl fld="4" item="24"/>
          <tpl hier="9" item="4"/>
          <tpl hier="11" item="6"/>
          <tpl hier="12" item="5"/>
          <tpl fld="1" item="0"/>
        </tpls>
      </n>
      <n v="268146147328">
        <tpls c="8">
          <tpl hier="2" item="0"/>
          <tpl hier="4" item="1"/>
          <tpl fld="2" item="27"/>
          <tpl fld="4" item="24"/>
          <tpl hier="9" item="4"/>
          <tpl hier="11" item="6"/>
          <tpl hier="12" item="5"/>
          <tpl fld="1" item="0"/>
        </tpls>
      </n>
      <n v="94468743168">
        <tpls c="8">
          <tpl hier="2" item="0"/>
          <tpl hier="4" item="1"/>
          <tpl fld="2" item="7"/>
          <tpl fld="4" item="24"/>
          <tpl hier="9" item="4"/>
          <tpl hier="11" item="6"/>
          <tpl hier="12" item="5"/>
          <tpl fld="1" item="0"/>
        </tpls>
      </n>
      <n v="1485583548416">
        <tpls c="8">
          <tpl hier="2" item="0"/>
          <tpl hier="4" item="1"/>
          <tpl fld="2" item="39"/>
          <tpl fld="4" item="23"/>
          <tpl hier="9" item="4"/>
          <tpl hier="11" item="6"/>
          <tpl hier="12" item="5"/>
          <tpl fld="1" item="0"/>
        </tpls>
      </n>
      <n v="376160419840">
        <tpls c="8">
          <tpl hier="2" item="0"/>
          <tpl hier="4" item="1"/>
          <tpl fld="2" item="18"/>
          <tpl fld="4" item="23"/>
          <tpl hier="9" item="4"/>
          <tpl hier="11" item="6"/>
          <tpl hier="12" item="5"/>
          <tpl fld="1" item="0"/>
        </tpls>
      </n>
      <n v="28822547512320">
        <tpls c="8">
          <tpl hier="2" item="0"/>
          <tpl hier="4" item="1"/>
          <tpl hier="5" item="3"/>
          <tpl fld="4" item="22"/>
          <tpl hier="9" item="4"/>
          <tpl hier="11" item="6"/>
          <tpl hier="12" item="5"/>
          <tpl fld="1" item="0"/>
        </tpls>
      </n>
      <n v="576178094080">
        <tpls c="8">
          <tpl hier="2" item="0"/>
          <tpl hier="4" item="1"/>
          <tpl fld="2" item="30"/>
          <tpl fld="4" item="22"/>
          <tpl hier="9" item="4"/>
          <tpl hier="11" item="6"/>
          <tpl hier="12" item="5"/>
          <tpl fld="1" item="0"/>
        </tpls>
      </n>
      <n v="72933351424">
        <tpls c="8">
          <tpl hier="2" item="0"/>
          <tpl hier="4" item="1"/>
          <tpl fld="2" item="11"/>
          <tpl fld="4" item="22"/>
          <tpl hier="9" item="4"/>
          <tpl hier="11" item="6"/>
          <tpl hier="12" item="5"/>
          <tpl fld="1" item="0"/>
        </tpls>
      </n>
      <n v="314851164160">
        <tpls c="8">
          <tpl hier="2" item="0"/>
          <tpl hier="4" item="1"/>
          <tpl fld="2" item="44"/>
          <tpl fld="4" item="21"/>
          <tpl hier="9" item="4"/>
          <tpl hier="11" item="6"/>
          <tpl hier="12" item="5"/>
          <tpl fld="1" item="0"/>
        </tpls>
      </n>
      <n v="73690849280">
        <tpls c="8">
          <tpl hier="2" item="0"/>
          <tpl hier="4" item="1"/>
          <tpl fld="2" item="24"/>
          <tpl fld="4" item="21"/>
          <tpl hier="9" item="4"/>
          <tpl hier="11" item="6"/>
          <tpl hier="12" item="5"/>
          <tpl fld="1" item="0"/>
        </tpls>
      </n>
      <n v="6327077888">
        <tpls c="8">
          <tpl hier="2" item="0"/>
          <tpl hier="4" item="1"/>
          <tpl fld="2" item="6"/>
          <tpl fld="4" item="21"/>
          <tpl hier="9" item="4"/>
          <tpl hier="11" item="6"/>
          <tpl hier="12" item="5"/>
          <tpl fld="1" item="0"/>
        </tpls>
      </n>
      <n v="243701628928">
        <tpls c="8">
          <tpl hier="2" item="0"/>
          <tpl hier="4" item="1"/>
          <tpl fld="2" item="39"/>
          <tpl fld="4" item="20"/>
          <tpl hier="9" item="4"/>
          <tpl hier="11" item="6"/>
          <tpl hier="12" item="5"/>
          <tpl fld="1" item="0"/>
        </tpls>
      </n>
      <n v="89233596416">
        <tpls c="8">
          <tpl hier="2" item="0"/>
          <tpl hier="4" item="1"/>
          <tpl fld="2" item="21"/>
          <tpl fld="4" item="20"/>
          <tpl hier="9" item="4"/>
          <tpl hier="11" item="6"/>
          <tpl hier="12" item="5"/>
          <tpl fld="1" item="0"/>
        </tpls>
      </n>
      <n v="15090566144">
        <tpls c="8">
          <tpl hier="2" item="0"/>
          <tpl hier="4" item="1"/>
          <tpl fld="2" item="3"/>
          <tpl fld="4" item="20"/>
          <tpl hier="9" item="4"/>
          <tpl hier="11" item="6"/>
          <tpl hier="12" item="5"/>
          <tpl fld="1" item="0"/>
        </tpls>
      </n>
      <n v="400937091072">
        <tpls c="8">
          <tpl hier="2" item="0"/>
          <tpl hier="4" item="1"/>
          <tpl fld="2" item="37"/>
          <tpl fld="4" item="19"/>
          <tpl hier="9" item="4"/>
          <tpl hier="11" item="6"/>
          <tpl hier="12" item="5"/>
          <tpl fld="1" item="0"/>
        </tpls>
      </n>
      <n v="119791681536">
        <tpls c="8">
          <tpl hier="2" item="0"/>
          <tpl hier="4" item="1"/>
          <tpl fld="2" item="20"/>
          <tpl fld="4" item="19"/>
          <tpl hier="9" item="4"/>
          <tpl hier="11" item="6"/>
          <tpl hier="12" item="5"/>
          <tpl fld="1" item="0"/>
        </tpls>
      </n>
      <n v="22534254592">
        <tpls c="8">
          <tpl hier="2" item="0"/>
          <tpl hier="4" item="1"/>
          <tpl fld="2" item="3"/>
          <tpl fld="4" item="19"/>
          <tpl hier="9" item="4"/>
          <tpl hier="11" item="6"/>
          <tpl hier="12" item="5"/>
          <tpl fld="1" item="0"/>
        </tpls>
      </n>
      <n v="133290221568">
        <tpls c="8">
          <tpl hier="2" item="0"/>
          <tpl hier="4" item="1"/>
          <tpl fld="2" item="38"/>
          <tpl fld="4" item="18"/>
          <tpl hier="9" item="4"/>
          <tpl hier="11" item="6"/>
          <tpl hier="12" item="5"/>
          <tpl fld="1" item="0"/>
        </tpls>
      </n>
      <n v="41649827840">
        <tpls c="8">
          <tpl hier="2" item="0"/>
          <tpl hier="4" item="1"/>
          <tpl fld="2" item="22"/>
          <tpl fld="4" item="18"/>
          <tpl hier="9" item="4"/>
          <tpl hier="11" item="6"/>
          <tpl hier="12" item="5"/>
          <tpl fld="1" item="0"/>
        </tpls>
      </n>
      <n v="13604832256">
        <tpls c="8">
          <tpl hier="2" item="0"/>
          <tpl hier="4" item="1"/>
          <tpl fld="2" item="6"/>
          <tpl fld="4" item="18"/>
          <tpl hier="9" item="4"/>
          <tpl hier="11" item="6"/>
          <tpl hier="12" item="5"/>
          <tpl fld="1" item="0"/>
        </tpls>
      </n>
      <n v="904085962752">
        <tpls c="8">
          <tpl hier="2" item="0"/>
          <tpl hier="4" item="1"/>
          <tpl fld="2" item="41"/>
          <tpl fld="4" item="17"/>
          <tpl hier="9" item="4"/>
          <tpl hier="11" item="6"/>
          <tpl hier="12" item="5"/>
          <tpl fld="1" item="0"/>
        </tpls>
      </n>
      <n v="452301684736">
        <tpls c="8">
          <tpl hier="2" item="0"/>
          <tpl hier="4" item="1"/>
          <tpl fld="2" item="25"/>
          <tpl fld="4" item="17"/>
          <tpl hier="9" item="4"/>
          <tpl hier="11" item="6"/>
          <tpl hier="12" item="5"/>
          <tpl fld="1" item="0"/>
        </tpls>
      </n>
      <n v="179669401600">
        <tpls c="8">
          <tpl hier="2" item="0"/>
          <tpl hier="4" item="1"/>
          <tpl fld="2" item="9"/>
          <tpl fld="4" item="17"/>
          <tpl hier="9" item="4"/>
          <tpl hier="11" item="6"/>
          <tpl hier="12" item="5"/>
          <tpl fld="1" item="0"/>
        </tpls>
      </n>
      <n v="11302343680">
        <tpls c="8">
          <tpl hier="2" item="0"/>
          <tpl hier="4" item="1"/>
          <tpl fld="2" item="44"/>
          <tpl fld="4" item="16"/>
          <tpl hier="9" item="4"/>
          <tpl hier="11" item="6"/>
          <tpl hier="12" item="5"/>
          <tpl fld="1" item="0"/>
        </tpls>
      </n>
      <n v="3923638016">
        <tpls c="8">
          <tpl hier="2" item="0"/>
          <tpl hier="4" item="1"/>
          <tpl fld="2" item="28"/>
          <tpl fld="4" item="16"/>
          <tpl hier="9" item="4"/>
          <tpl hier="11" item="6"/>
          <tpl hier="12" item="5"/>
          <tpl fld="1" item="0"/>
        </tpls>
      </n>
      <n v="1234518144">
        <tpls c="8">
          <tpl hier="2" item="0"/>
          <tpl hier="4" item="1"/>
          <tpl fld="2" item="12"/>
          <tpl fld="4" item="16"/>
          <tpl hier="9" item="4"/>
          <tpl hier="11" item="6"/>
          <tpl hier="12" item="5"/>
          <tpl fld="1" item="0"/>
        </tpls>
      </n>
      <n v="64181944320">
        <tpls c="8">
          <tpl hier="2" item="0"/>
          <tpl hier="4" item="1"/>
          <tpl fld="2" item="47"/>
          <tpl fld="4" item="15"/>
          <tpl hier="9" item="4"/>
          <tpl hier="11" item="6"/>
          <tpl hier="12" item="5"/>
          <tpl fld="1" item="0"/>
        </tpls>
      </n>
      <n v="21272418304">
        <tpls c="8">
          <tpl hier="2" item="0"/>
          <tpl hier="4" item="1"/>
          <tpl fld="2" item="31"/>
          <tpl fld="4" item="15"/>
          <tpl hier="9" item="4"/>
          <tpl hier="11" item="6"/>
          <tpl hier="12" item="5"/>
          <tpl fld="1" item="0"/>
        </tpls>
      </n>
      <n v="4738559488">
        <tpls c="8">
          <tpl hier="2" item="0"/>
          <tpl hier="4" item="1"/>
          <tpl fld="2" item="15"/>
          <tpl fld="4" item="15"/>
          <tpl hier="9" item="4"/>
          <tpl hier="11" item="6"/>
          <tpl hier="12" item="5"/>
          <tpl fld="1" item="0"/>
        </tpls>
      </n>
      <n v="165937159503872">
        <tpls c="8">
          <tpl hier="2" item="0"/>
          <tpl hier="4" item="1"/>
          <tpl hier="5" item="3"/>
          <tpl fld="4" item="14"/>
          <tpl hier="9" item="4"/>
          <tpl hier="11" item="6"/>
          <tpl hier="12" item="5"/>
          <tpl fld="1" item="0"/>
        </tpls>
      </n>
      <n v="4815149072384">
        <tpls c="8">
          <tpl hier="2" item="0"/>
          <tpl hier="4" item="1"/>
          <tpl fld="2" item="34"/>
          <tpl fld="4" item="14"/>
          <tpl hier="9" item="4"/>
          <tpl hier="11" item="6"/>
          <tpl hier="12" item="5"/>
          <tpl fld="1" item="0"/>
        </tpls>
      </n>
      <n v="3071683067904">
        <tpls c="8">
          <tpl hier="2" item="0"/>
          <tpl hier="4" item="1"/>
          <tpl fld="2" item="18"/>
          <tpl fld="4" item="14"/>
          <tpl hier="9" item="4"/>
          <tpl hier="11" item="6"/>
          <tpl hier="12" item="5"/>
          <tpl fld="1" item="0"/>
        </tpls>
      </n>
      <n v="318031298560">
        <tpls c="8">
          <tpl hier="2" item="0"/>
          <tpl hier="4" item="1"/>
          <tpl fld="2" item="2"/>
          <tpl fld="4" item="14"/>
          <tpl hier="9" item="4"/>
          <tpl hier="11" item="6"/>
          <tpl hier="12" item="5"/>
          <tpl fld="1" item="0"/>
        </tpls>
      </n>
      <n v="2210292563968">
        <tpls c="8">
          <tpl hier="2" item="0"/>
          <tpl hier="4" item="1"/>
          <tpl fld="2" item="37"/>
          <tpl fld="4" item="13"/>
          <tpl hier="9" item="4"/>
          <tpl hier="11" item="6"/>
          <tpl hier="12" item="5"/>
          <tpl fld="1" item="0"/>
        </tpls>
      </n>
      <n v="1246220124160">
        <tpls c="8">
          <tpl hier="2" item="0"/>
          <tpl hier="4" item="1"/>
          <tpl fld="2" item="21"/>
          <tpl fld="4" item="13"/>
          <tpl hier="9" item="4"/>
          <tpl hier="11" item="6"/>
          <tpl hier="12" item="5"/>
          <tpl fld="1" item="0"/>
        </tpls>
      </n>
      <n v="227695853568">
        <tpls c="8">
          <tpl hier="2" item="0"/>
          <tpl hier="4" item="1"/>
          <tpl fld="2" item="5"/>
          <tpl fld="4" item="13"/>
          <tpl hier="9" item="4"/>
          <tpl hier="11" item="6"/>
          <tpl hier="12" item="5"/>
          <tpl fld="1" item="0"/>
        </tpls>
      </n>
      <n v="233995681792">
        <tpls c="8">
          <tpl hier="2" item="0"/>
          <tpl hier="4" item="1"/>
          <tpl fld="2" item="40"/>
          <tpl fld="4" item="12"/>
          <tpl hier="9" item="4"/>
          <tpl hier="11" item="6"/>
          <tpl hier="12" item="5"/>
          <tpl fld="1" item="0"/>
        </tpls>
      </n>
      <n v="86342656000">
        <tpls c="8">
          <tpl hier="2" item="0"/>
          <tpl hier="4" item="1"/>
          <tpl fld="2" item="24"/>
          <tpl fld="4" item="12"/>
          <tpl hier="9" item="4"/>
          <tpl hier="11" item="6"/>
          <tpl hier="12" item="5"/>
          <tpl fld="1" item="0"/>
        </tpls>
      </n>
      <n v="16843176960">
        <tpls c="8">
          <tpl hier="2" item="0"/>
          <tpl hier="4" item="1"/>
          <tpl fld="2" item="8"/>
          <tpl fld="4" item="12"/>
          <tpl hier="9" item="4"/>
          <tpl hier="11" item="6"/>
          <tpl hier="12" item="5"/>
          <tpl fld="1" item="0"/>
        </tpls>
      </n>
      <n v="238543536128">
        <tpls c="8">
          <tpl hier="2" item="0"/>
          <tpl hier="4" item="1"/>
          <tpl fld="2" item="43"/>
          <tpl fld="4" item="11"/>
          <tpl hier="9" item="4"/>
          <tpl hier="11" item="6"/>
          <tpl hier="12" item="5"/>
          <tpl fld="1" item="0"/>
        </tpls>
      </n>
      <n v="82826141696">
        <tpls c="8">
          <tpl hier="2" item="0"/>
          <tpl hier="4" item="1"/>
          <tpl fld="2" item="27"/>
          <tpl fld="4" item="11"/>
          <tpl hier="9" item="4"/>
          <tpl hier="11" item="6"/>
          <tpl hier="12" item="5"/>
          <tpl fld="1" item="0"/>
        </tpls>
      </n>
      <n v="20694943744">
        <tpls c="8">
          <tpl hier="2" item="0"/>
          <tpl hier="4" item="1"/>
          <tpl fld="2" item="11"/>
          <tpl fld="4" item="11"/>
          <tpl hier="9" item="4"/>
          <tpl hier="11" item="6"/>
          <tpl hier="12" item="5"/>
          <tpl fld="1" item="0"/>
        </tpls>
      </n>
      <n v="20618362880">
        <tpls c="8">
          <tpl hier="2" item="0"/>
          <tpl hier="4" item="1"/>
          <tpl fld="2" item="46"/>
          <tpl fld="4" item="10"/>
          <tpl hier="9" item="4"/>
          <tpl hier="11" item="6"/>
          <tpl hier="12" item="5"/>
          <tpl fld="1" item="0"/>
        </tpls>
      </n>
      <n v="9003639808">
        <tpls c="8">
          <tpl hier="2" item="0"/>
          <tpl hier="4" item="1"/>
          <tpl fld="2" item="30"/>
          <tpl fld="4" item="10"/>
          <tpl hier="9" item="4"/>
          <tpl hier="11" item="6"/>
          <tpl hier="12" item="5"/>
          <tpl fld="1" item="0"/>
        </tpls>
      </n>
      <n v="2868747008">
        <tpls c="8">
          <tpl hier="2" item="0"/>
          <tpl hier="4" item="1"/>
          <tpl fld="2" item="14"/>
          <tpl fld="4" item="10"/>
          <tpl hier="9" item="4"/>
          <tpl hier="11" item="6"/>
          <tpl hier="12" item="5"/>
          <tpl fld="1" item="0"/>
        </tpls>
      </n>
      <n v="209852760064">
        <tpls c="8">
          <tpl hier="2" item="0"/>
          <tpl hier="4" item="1"/>
          <tpl fld="2" item="49"/>
          <tpl fld="4" item="9"/>
          <tpl hier="9" item="4"/>
          <tpl hier="11" item="6"/>
          <tpl hier="12" item="5"/>
          <tpl fld="1" item="0"/>
        </tpls>
      </n>
      <n v="201924263936">
        <tpls c="8">
          <tpl hier="2" item="0"/>
          <tpl hier="4" item="1"/>
          <tpl fld="2" item="33"/>
          <tpl fld="4" item="9"/>
          <tpl hier="9" item="4"/>
          <tpl hier="11" item="6"/>
          <tpl hier="12" item="5"/>
          <tpl fld="1" item="0"/>
        </tpls>
      </n>
      <n v="65652752384">
        <tpls c="8">
          <tpl hier="2" item="0"/>
          <tpl hier="4" item="1"/>
          <tpl fld="2" item="17"/>
          <tpl fld="4" item="9"/>
          <tpl hier="9" item="4"/>
          <tpl hier="11" item="6"/>
          <tpl hier="12" item="5"/>
          <tpl fld="1" item="0"/>
        </tpls>
      </n>
      <n v="14591755264">
        <tpls c="8">
          <tpl hier="2" item="0"/>
          <tpl hier="4" item="1"/>
          <tpl fld="2" item="1"/>
          <tpl fld="4" item="9"/>
          <tpl hier="9" item="4"/>
          <tpl hier="11" item="6"/>
          <tpl hier="12" item="5"/>
          <tpl fld="1" item="0"/>
        </tpls>
      </n>
      <n v="2992196812800">
        <tpls c="8">
          <tpl hier="2" item="0"/>
          <tpl hier="4" item="1"/>
          <tpl fld="2" item="36"/>
          <tpl fld="4" item="8"/>
          <tpl hier="9" item="4"/>
          <tpl hier="11" item="6"/>
          <tpl hier="12" item="5"/>
          <tpl fld="1" item="0"/>
        </tpls>
      </n>
      <n v="1771671257088">
        <tpls c="8">
          <tpl hier="2" item="0"/>
          <tpl hier="4" item="1"/>
          <tpl fld="2" item="20"/>
          <tpl fld="4" item="8"/>
          <tpl hier="9" item="4"/>
          <tpl hier="11" item="6"/>
          <tpl hier="12" item="5"/>
          <tpl fld="1" item="0"/>
        </tpls>
      </n>
      <n v="445303488512">
        <tpls c="8">
          <tpl hier="2" item="0"/>
          <tpl hier="4" item="1"/>
          <tpl fld="2" item="4"/>
          <tpl fld="4" item="8"/>
          <tpl hier="9" item="4"/>
          <tpl hier="11" item="6"/>
          <tpl hier="12" item="5"/>
          <tpl fld="1" item="0"/>
        </tpls>
      </n>
      <n v="2690222391296">
        <tpls c="8">
          <tpl hier="2" item="0"/>
          <tpl hier="4" item="1"/>
          <tpl fld="2" item="39"/>
          <tpl fld="4" item="7"/>
          <tpl hier="9" item="4"/>
          <tpl hier="11" item="6"/>
          <tpl hier="12" item="5"/>
          <tpl fld="1" item="0"/>
        </tpls>
      </n>
      <n v="3286987520">
        <tpls c="8">
          <tpl hier="2" item="0"/>
          <tpl hier="4" item="1"/>
          <tpl fld="2" item="17"/>
          <tpl fld="4" item="62"/>
          <tpl hier="9" item="4"/>
          <tpl hier="11" item="6"/>
          <tpl hier="12" item="5"/>
          <tpl fld="1" item="0"/>
        </tpls>
      </n>
      <n v="6166330368">
        <tpls c="8">
          <tpl hier="2" item="0"/>
          <tpl hier="4" item="1"/>
          <tpl fld="2" item="32"/>
          <tpl fld="4" item="54"/>
          <tpl hier="9" item="4"/>
          <tpl hier="11" item="6"/>
          <tpl hier="12" item="5"/>
          <tpl fld="1" item="0"/>
        </tpls>
      </n>
      <n v="11594000384">
        <tpls c="8">
          <tpl hier="2" item="0"/>
          <tpl hier="4" item="1"/>
          <tpl fld="2" item="14"/>
          <tpl fld="4" item="48"/>
          <tpl hier="9" item="4"/>
          <tpl hier="11" item="6"/>
          <tpl hier="12" item="5"/>
          <tpl fld="1" item="0"/>
        </tpls>
      </n>
      <n v="21803696128">
        <tpls c="8">
          <tpl hier="2" item="0"/>
          <tpl hier="4" item="1"/>
          <tpl fld="2" item="9"/>
          <tpl fld="4" item="42"/>
          <tpl hier="9" item="4"/>
          <tpl hier="11" item="6"/>
          <tpl hier="12" item="5"/>
          <tpl fld="1" item="0"/>
        </tpls>
      </n>
      <n v="674773824">
        <tpls c="8">
          <tpl hier="2" item="0"/>
          <tpl hier="4" item="1"/>
          <tpl fld="2" item="3"/>
          <tpl fld="4" item="37"/>
          <tpl hier="9" item="4"/>
          <tpl hier="11" item="6"/>
          <tpl hier="12" item="5"/>
          <tpl fld="1" item="0"/>
        </tpls>
      </n>
      <n v="12517846016">
        <tpls c="8">
          <tpl hier="2" item="0"/>
          <tpl hier="4" item="1"/>
          <tpl fld="2" item="43"/>
          <tpl fld="4" item="33"/>
          <tpl hier="9" item="4"/>
          <tpl hier="11" item="6"/>
          <tpl hier="12" item="5"/>
          <tpl fld="1" item="0"/>
        </tpls>
      </n>
      <n v="1836600064">
        <tpls c="8">
          <tpl hier="2" item="0"/>
          <tpl hier="4" item="1"/>
          <tpl fld="2" item="47"/>
          <tpl fld="4" item="32"/>
          <tpl hier="9" item="4"/>
          <tpl hier="11" item="6"/>
          <tpl hier="12" item="5"/>
          <tpl fld="1" item="0"/>
        </tpls>
      </n>
      <n v="196089856">
        <tpls c="8">
          <tpl hier="2" item="0"/>
          <tpl hier="4" item="1"/>
          <tpl fld="2" item="11"/>
          <tpl fld="4" item="32"/>
          <tpl hier="9" item="4"/>
          <tpl hier="11" item="6"/>
          <tpl hier="12" item="5"/>
          <tpl fld="1" item="0"/>
        </tpls>
      </n>
      <n v="37939748864">
        <tpls c="8">
          <tpl hier="2" item="0"/>
          <tpl hier="4" item="1"/>
          <tpl fld="2" item="25"/>
          <tpl fld="4" item="31"/>
          <tpl hier="9" item="4"/>
          <tpl hier="11" item="6"/>
          <tpl hier="12" item="5"/>
          <tpl fld="1" item="0"/>
        </tpls>
      </n>
      <n v="10913300480">
        <tpls c="8">
          <tpl hier="2" item="0"/>
          <tpl hier="4" item="1"/>
          <tpl fld="2" item="44"/>
          <tpl fld="4" item="30"/>
          <tpl hier="9" item="4"/>
          <tpl hier="11" item="6"/>
          <tpl hier="12" item="5"/>
          <tpl fld="1" item="0"/>
        </tpls>
      </n>
      <n v="2472499968">
        <tpls c="8">
          <tpl hier="2" item="0"/>
          <tpl hier="4" item="1"/>
          <tpl fld="2" item="16"/>
          <tpl fld="4" item="30"/>
          <tpl hier="9" item="4"/>
          <tpl hier="11" item="6"/>
          <tpl hier="12" item="5"/>
          <tpl fld="1" item="0"/>
        </tpls>
      </n>
      <n v="332976488448">
        <tpls c="8">
          <tpl hier="2" item="0"/>
          <tpl hier="4" item="1"/>
          <tpl fld="2" item="39"/>
          <tpl fld="4" item="29"/>
          <tpl hier="9" item="4"/>
          <tpl hier="11" item="6"/>
          <tpl hier="12" item="5"/>
          <tpl fld="1" item="0"/>
        </tpls>
      </n>
      <n v="88416665600">
        <tpls c="8">
          <tpl hier="2" item="0"/>
          <tpl hier="4" item="1"/>
          <tpl fld="2" item="15"/>
          <tpl fld="4" item="29"/>
          <tpl hier="9" item="4"/>
          <tpl hier="11" item="6"/>
          <tpl hier="12" item="5"/>
          <tpl fld="1" item="0"/>
        </tpls>
      </n>
      <n v="209754767360">
        <tpls c="8">
          <tpl hier="2" item="0"/>
          <tpl hier="4" item="1"/>
          <tpl fld="2" item="43"/>
          <tpl fld="4" item="28"/>
          <tpl hier="9" item="4"/>
          <tpl hier="11" item="6"/>
          <tpl hier="12" item="5"/>
          <tpl fld="1" item="0"/>
        </tpls>
      </n>
      <n v="55631491072">
        <tpls c="8">
          <tpl hier="2" item="0"/>
          <tpl hier="4" item="1"/>
          <tpl fld="2" item="19"/>
          <tpl fld="4" item="28"/>
          <tpl hier="9" item="4"/>
          <tpl hier="11" item="6"/>
          <tpl hier="12" item="5"/>
          <tpl fld="1" item="0"/>
        </tpls>
      </n>
      <n v="19485394206720">
        <tpls c="8">
          <tpl hier="2" item="0"/>
          <tpl hier="4" item="1"/>
          <tpl fld="2" item="47"/>
          <tpl fld="4" item="27"/>
          <tpl hier="9" item="4"/>
          <tpl hier="11" item="6"/>
          <tpl hier="12" item="5"/>
          <tpl fld="1" item="0"/>
        </tpls>
      </n>
      <n v="7639749099520">
        <tpls c="8">
          <tpl hier="2" item="0"/>
          <tpl hier="4" item="1"/>
          <tpl fld="2" item="25"/>
          <tpl fld="4" item="27"/>
          <tpl hier="9" item="4"/>
          <tpl hier="11" item="6"/>
          <tpl hier="12" item="5"/>
          <tpl fld="1" item="0"/>
        </tpls>
      </n>
      <n v="1164849971200">
        <tpls c="8">
          <tpl hier="2" item="0"/>
          <tpl hier="4" item="1"/>
          <tpl fld="2" item="1"/>
          <tpl fld="4" item="27"/>
          <tpl hier="9" item="4"/>
          <tpl hier="11" item="6"/>
          <tpl hier="12" item="5"/>
          <tpl fld="1" item="0"/>
        </tpls>
      </n>
      <n v="1682399297536">
        <tpls c="8">
          <tpl hier="2" item="0"/>
          <tpl hier="4" item="1"/>
          <tpl fld="2" item="29"/>
          <tpl fld="4" item="26"/>
          <tpl hier="9" item="4"/>
          <tpl hier="11" item="6"/>
          <tpl hier="12" item="5"/>
          <tpl fld="1" item="0"/>
        </tpls>
      </n>
      <n v="241756635136">
        <tpls c="8">
          <tpl hier="2" item="0"/>
          <tpl hier="4" item="1"/>
          <tpl fld="2" item="5"/>
          <tpl fld="4" item="26"/>
          <tpl hier="9" item="4"/>
          <tpl hier="11" item="6"/>
          <tpl hier="12" item="5"/>
          <tpl fld="1" item="0"/>
        </tpls>
      </n>
      <n v="408689344512">
        <tpls c="8">
          <tpl hier="2" item="0"/>
          <tpl hier="4" item="1"/>
          <tpl fld="2" item="35"/>
          <tpl fld="4" item="25"/>
          <tpl hier="9" item="4"/>
          <tpl hier="11" item="6"/>
          <tpl hier="12" item="5"/>
          <tpl fld="1" item="0"/>
        </tpls>
      </n>
      <n v="107766112256">
        <tpls c="8">
          <tpl hier="2" item="0"/>
          <tpl hier="4" item="1"/>
          <tpl fld="2" item="15"/>
          <tpl fld="4" item="25"/>
          <tpl hier="9" item="4"/>
          <tpl hier="11" item="6"/>
          <tpl hier="12" item="5"/>
          <tpl fld="1" item="0"/>
        </tpls>
      </n>
      <n v="505103777792">
        <tpls c="8">
          <tpl hier="2" item="0"/>
          <tpl hier="4" item="1"/>
          <tpl fld="2" item="45"/>
          <tpl fld="4" item="24"/>
          <tpl hier="9" item="4"/>
          <tpl hier="11" item="6"/>
          <tpl hier="12" item="5"/>
          <tpl fld="1" item="0"/>
        </tpls>
      </n>
      <n v="291743825920">
        <tpls c="8">
          <tpl hier="2" item="0"/>
          <tpl hier="4" item="1"/>
          <tpl fld="2" item="26"/>
          <tpl fld="4" item="24"/>
          <tpl hier="9" item="4"/>
          <tpl hier="11" item="6"/>
          <tpl hier="12" item="5"/>
          <tpl fld="1" item="0"/>
        </tpls>
      </n>
      <n v="89362071552">
        <tpls c="8">
          <tpl hier="2" item="0"/>
          <tpl hier="4" item="1"/>
          <tpl fld="2" item="6"/>
          <tpl fld="4" item="24"/>
          <tpl hier="9" item="4"/>
          <tpl hier="11" item="6"/>
          <tpl hier="12" item="5"/>
          <tpl fld="1" item="0"/>
        </tpls>
      </n>
      <n v="1625224904704">
        <tpls c="8">
          <tpl hier="2" item="0"/>
          <tpl hier="4" item="1"/>
          <tpl fld="2" item="38"/>
          <tpl fld="4" item="23"/>
          <tpl hier="9" item="4"/>
          <tpl hier="11" item="6"/>
          <tpl hier="12" item="5"/>
          <tpl fld="1" item="0"/>
        </tpls>
      </n>
      <n v="318747934720">
        <tpls c="8">
          <tpl hier="2" item="0"/>
          <tpl hier="4" item="1"/>
          <tpl fld="2" item="17"/>
          <tpl fld="4" item="23"/>
          <tpl hier="9" item="4"/>
          <tpl hier="11" item="6"/>
          <tpl hier="12" item="5"/>
          <tpl fld="1" item="0"/>
        </tpls>
      </n>
      <n v="1642383278080">
        <tpls c="8">
          <tpl hier="2" item="0"/>
          <tpl hier="4" item="1"/>
          <tpl fld="2" item="49"/>
          <tpl fld="4" item="22"/>
          <tpl hier="9" item="4"/>
          <tpl hier="11" item="6"/>
          <tpl hier="12" item="5"/>
          <tpl fld="1" item="0"/>
        </tpls>
      </n>
      <n v="497512644608">
        <tpls c="8">
          <tpl hier="2" item="0"/>
          <tpl hier="4" item="1"/>
          <tpl fld="2" item="29"/>
          <tpl fld="4" item="22"/>
          <tpl hier="9" item="4"/>
          <tpl hier="11" item="6"/>
          <tpl hier="12" item="5"/>
          <tpl fld="1" item="0"/>
        </tpls>
      </n>
      <n v="65398644736">
        <tpls c="8">
          <tpl hier="2" item="0"/>
          <tpl hier="4" item="1"/>
          <tpl fld="2" item="10"/>
          <tpl fld="4" item="22"/>
          <tpl hier="9" item="4"/>
          <tpl hier="11" item="6"/>
          <tpl hier="12" item="5"/>
          <tpl fld="1" item="0"/>
        </tpls>
      </n>
      <n v="307576373248">
        <tpls c="8">
          <tpl hier="2" item="0"/>
          <tpl hier="4" item="1"/>
          <tpl fld="2" item="43"/>
          <tpl fld="4" item="21"/>
          <tpl hier="9" item="4"/>
          <tpl hier="11" item="6"/>
          <tpl hier="12" item="5"/>
          <tpl fld="1" item="0"/>
        </tpls>
      </n>
      <n v="60603478016">
        <tpls c="8">
          <tpl hier="2" item="0"/>
          <tpl hier="4" item="1"/>
          <tpl fld="2" item="23"/>
          <tpl fld="4" item="21"/>
          <tpl hier="9" item="4"/>
          <tpl hier="11" item="6"/>
          <tpl hier="12" item="5"/>
          <tpl fld="1" item="0"/>
        </tpls>
      </n>
      <n v="5633673728">
        <tpls c="8">
          <tpl hier="2" item="0"/>
          <tpl hier="4" item="1"/>
          <tpl fld="2" item="5"/>
          <tpl fld="4" item="21"/>
          <tpl hier="9" item="4"/>
          <tpl hier="11" item="6"/>
          <tpl hier="12" item="5"/>
          <tpl fld="1" item="0"/>
        </tpls>
      </n>
      <n v="262344785920">
        <tpls c="8">
          <tpl hier="2" item="0"/>
          <tpl hier="4" item="1"/>
          <tpl fld="2" item="38"/>
          <tpl fld="4" item="20"/>
          <tpl hier="9" item="4"/>
          <tpl hier="11" item="6"/>
          <tpl hier="12" item="5"/>
          <tpl fld="1" item="0"/>
        </tpls>
      </n>
      <n v="78713856000">
        <tpls c="8">
          <tpl hier="2" item="0"/>
          <tpl hier="4" item="1"/>
          <tpl fld="2" item="20"/>
          <tpl fld="4" item="20"/>
          <tpl hier="9" item="4"/>
          <tpl hier="11" item="6"/>
          <tpl hier="12" item="5"/>
          <tpl fld="1" item="0"/>
        </tpls>
      </n>
      <n v="11239116800">
        <tpls c="8">
          <tpl hier="2" item="0"/>
          <tpl hier="4" item="1"/>
          <tpl fld="2" item="2"/>
          <tpl fld="4" item="20"/>
          <tpl hier="9" item="4"/>
          <tpl hier="11" item="6"/>
          <tpl hier="12" item="5"/>
          <tpl fld="1" item="0"/>
        </tpls>
      </n>
      <n v="345581355008">
        <tpls c="8">
          <tpl hier="2" item="0"/>
          <tpl hier="4" item="1"/>
          <tpl fld="2" item="36"/>
          <tpl fld="4" item="19"/>
          <tpl hier="9" item="4"/>
          <tpl hier="11" item="6"/>
          <tpl hier="12" item="5"/>
          <tpl fld="1" item="0"/>
        </tpls>
      </n>
      <n v="102633791488">
        <tpls c="8">
          <tpl hier="2" item="0"/>
          <tpl hier="4" item="1"/>
          <tpl fld="2" item="19"/>
          <tpl fld="4" item="19"/>
          <tpl hier="9" item="4"/>
          <tpl hier="11" item="6"/>
          <tpl hier="12" item="5"/>
          <tpl fld="1" item="0"/>
        </tpls>
      </n>
      <n v="17358610432">
        <tpls c="8">
          <tpl hier="2" item="0"/>
          <tpl hier="4" item="1"/>
          <tpl fld="2" item="2"/>
          <tpl fld="4" item="19"/>
          <tpl hier="9" item="4"/>
          <tpl hier="11" item="6"/>
          <tpl hier="12" item="5"/>
          <tpl fld="1" item="0"/>
        </tpls>
      </n>
      <n v="137320497152">
        <tpls c="8">
          <tpl hier="2" item="0"/>
          <tpl hier="4" item="1"/>
          <tpl fld="2" item="37"/>
          <tpl fld="4" item="18"/>
          <tpl hier="9" item="4"/>
          <tpl hier="11" item="6"/>
          <tpl hier="12" item="5"/>
          <tpl fld="1" item="0"/>
        </tpls>
      </n>
      <n v="42745331712">
        <tpls c="8">
          <tpl hier="2" item="0"/>
          <tpl hier="4" item="1"/>
          <tpl fld="2" item="21"/>
          <tpl fld="4" item="18"/>
          <tpl hier="9" item="4"/>
          <tpl hier="11" item="6"/>
          <tpl hier="12" item="5"/>
          <tpl fld="1" item="0"/>
        </tpls>
      </n>
      <n v="12861983744">
        <tpls c="8">
          <tpl hier="2" item="0"/>
          <tpl hier="4" item="1"/>
          <tpl fld="2" item="5"/>
          <tpl fld="4" item="18"/>
          <tpl hier="9" item="4"/>
          <tpl hier="11" item="6"/>
          <tpl hier="12" item="5"/>
          <tpl fld="1" item="0"/>
        </tpls>
      </n>
      <n v="846554923008">
        <tpls c="8">
          <tpl hier="2" item="0"/>
          <tpl hier="4" item="1"/>
          <tpl fld="2" item="40"/>
          <tpl fld="4" item="17"/>
          <tpl hier="9" item="4"/>
          <tpl hier="11" item="6"/>
          <tpl hier="12" item="5"/>
          <tpl fld="1" item="0"/>
        </tpls>
      </n>
      <n v="379130249216">
        <tpls c="8">
          <tpl hier="2" item="0"/>
          <tpl hier="4" item="1"/>
          <tpl fld="2" item="24"/>
          <tpl fld="4" item="17"/>
          <tpl hier="9" item="4"/>
          <tpl hier="11" item="6"/>
          <tpl hier="12" item="5"/>
          <tpl fld="1" item="0"/>
        </tpls>
      </n>
      <n v="155859697664">
        <tpls c="8">
          <tpl hier="2" item="0"/>
          <tpl hier="4" item="1"/>
          <tpl fld="2" item="8"/>
          <tpl fld="4" item="17"/>
          <tpl hier="9" item="4"/>
          <tpl hier="11" item="6"/>
          <tpl hier="12" item="5"/>
          <tpl fld="1" item="0"/>
        </tpls>
      </n>
      <n v="10153894912">
        <tpls c="8">
          <tpl hier="2" item="0"/>
          <tpl hier="4" item="1"/>
          <tpl fld="2" item="43"/>
          <tpl fld="4" item="16"/>
          <tpl hier="9" item="4"/>
          <tpl hier="11" item="6"/>
          <tpl hier="12" item="5"/>
          <tpl fld="1" item="0"/>
        </tpls>
      </n>
      <n v="3705372160">
        <tpls c="8">
          <tpl hier="2" item="0"/>
          <tpl hier="4" item="1"/>
          <tpl fld="2" item="27"/>
          <tpl fld="4" item="16"/>
          <tpl hier="9" item="4"/>
          <tpl hier="11" item="6"/>
          <tpl hier="12" item="5"/>
          <tpl fld="1" item="0"/>
        </tpls>
      </n>
      <n v="1243469312">
        <tpls c="8">
          <tpl hier="2" item="0"/>
          <tpl hier="4" item="1"/>
          <tpl fld="2" item="11"/>
          <tpl fld="4" item="16"/>
          <tpl hier="9" item="4"/>
          <tpl hier="11" item="6"/>
          <tpl hier="12" item="5"/>
          <tpl fld="1" item="0"/>
        </tpls>
      </n>
      <n v="60691484672">
        <tpls c="8">
          <tpl hier="2" item="0"/>
          <tpl hier="4" item="1"/>
          <tpl fld="2" item="46"/>
          <tpl fld="4" item="15"/>
          <tpl hier="9" item="4"/>
          <tpl hier="11" item="6"/>
          <tpl hier="12" item="5"/>
          <tpl fld="1" item="0"/>
        </tpls>
      </n>
      <n v="21263515648">
        <tpls c="8">
          <tpl hier="2" item="0"/>
          <tpl hier="4" item="1"/>
          <tpl fld="2" item="30"/>
          <tpl fld="4" item="15"/>
          <tpl hier="9" item="4"/>
          <tpl hier="11" item="6"/>
          <tpl hier="12" item="5"/>
          <tpl fld="1" item="0"/>
        </tpls>
      </n>
      <n v="4594891776">
        <tpls c="8">
          <tpl hier="2" item="0"/>
          <tpl hier="4" item="1"/>
          <tpl fld="2" item="14"/>
          <tpl fld="4" item="15"/>
          <tpl hier="9" item="4"/>
          <tpl hier="11" item="6"/>
          <tpl hier="12" item="5"/>
          <tpl fld="1" item="0"/>
        </tpls>
      </n>
      <n v="5081769443328">
        <tpls c="8">
          <tpl hier="2" item="0"/>
          <tpl hier="4" item="1"/>
          <tpl fld="2" item="49"/>
          <tpl fld="4" item="14"/>
          <tpl hier="9" item="4"/>
          <tpl hier="11" item="6"/>
          <tpl hier="12" item="5"/>
          <tpl fld="1" item="0"/>
        </tpls>
      </n>
      <n v="4445658152960">
        <tpls c="8">
          <tpl hier="2" item="0"/>
          <tpl hier="4" item="1"/>
          <tpl fld="2" item="33"/>
          <tpl fld="4" item="14"/>
          <tpl hier="9" item="4"/>
          <tpl hier="11" item="6"/>
          <tpl hier="12" item="5"/>
          <tpl fld="1" item="0"/>
        </tpls>
      </n>
      <n v="2532808589312">
        <tpls c="8">
          <tpl hier="2" item="0"/>
          <tpl hier="4" item="1"/>
          <tpl fld="2" item="17"/>
          <tpl fld="4" item="14"/>
          <tpl hier="9" item="4"/>
          <tpl hier="11" item="6"/>
          <tpl hier="12" item="5"/>
          <tpl fld="1" item="0"/>
        </tpls>
      </n>
      <n v="240151805952">
        <tpls c="8">
          <tpl hier="2" item="0"/>
          <tpl hier="4" item="1"/>
          <tpl fld="2" item="1"/>
          <tpl fld="4" item="14"/>
          <tpl hier="9" item="4"/>
          <tpl hier="11" item="6"/>
          <tpl hier="12" item="5"/>
          <tpl fld="1" item="0"/>
        </tpls>
      </n>
      <n v="1947919712256">
        <tpls c="8">
          <tpl hier="2" item="0"/>
          <tpl hier="4" item="1"/>
          <tpl fld="2" item="36"/>
          <tpl fld="4" item="13"/>
          <tpl hier="9" item="4"/>
          <tpl hier="11" item="6"/>
          <tpl hier="12" item="5"/>
          <tpl fld="1" item="0"/>
        </tpls>
      </n>
      <n v="1181222699008">
        <tpls c="8">
          <tpl hier="2" item="0"/>
          <tpl hier="4" item="1"/>
          <tpl fld="2" item="20"/>
          <tpl fld="4" item="13"/>
          <tpl hier="9" item="4"/>
          <tpl hier="11" item="6"/>
          <tpl hier="12" item="5"/>
          <tpl fld="1" item="0"/>
        </tpls>
      </n>
      <n v="199564492800">
        <tpls c="8">
          <tpl hier="2" item="0"/>
          <tpl hier="4" item="1"/>
          <tpl fld="2" item="4"/>
          <tpl fld="4" item="13"/>
          <tpl hier="9" item="4"/>
          <tpl hier="11" item="6"/>
          <tpl hier="12" item="5"/>
          <tpl fld="1" item="0"/>
        </tpls>
      </n>
      <n v="207468167168">
        <tpls c="8">
          <tpl hier="2" item="0"/>
          <tpl hier="4" item="1"/>
          <tpl fld="2" item="39"/>
          <tpl fld="4" item="12"/>
          <tpl hier="9" item="4"/>
          <tpl hier="11" item="6"/>
          <tpl hier="12" item="5"/>
          <tpl fld="1" item="0"/>
        </tpls>
      </n>
      <n v="75985903616">
        <tpls c="8">
          <tpl hier="2" item="0"/>
          <tpl hier="4" item="1"/>
          <tpl fld="2" item="23"/>
          <tpl fld="4" item="12"/>
          <tpl hier="9" item="4"/>
          <tpl hier="11" item="6"/>
          <tpl hier="12" item="5"/>
          <tpl fld="1" item="0"/>
        </tpls>
      </n>
      <n v="17372798976">
        <tpls c="8">
          <tpl hier="2" item="0"/>
          <tpl hier="4" item="1"/>
          <tpl fld="2" item="7"/>
          <tpl fld="4" item="12"/>
          <tpl hier="9" item="4"/>
          <tpl hier="11" item="6"/>
          <tpl hier="12" item="5"/>
          <tpl fld="1" item="0"/>
        </tpls>
      </n>
      <n v="224999489536">
        <tpls c="8">
          <tpl hier="2" item="0"/>
          <tpl hier="4" item="1"/>
          <tpl fld="2" item="42"/>
          <tpl fld="4" item="11"/>
          <tpl hier="9" item="4"/>
          <tpl hier="11" item="6"/>
          <tpl hier="12" item="5"/>
          <tpl fld="1" item="0"/>
        </tpls>
      </n>
      <n v="75880628224">
        <tpls c="8">
          <tpl hier="2" item="0"/>
          <tpl hier="4" item="1"/>
          <tpl fld="2" item="26"/>
          <tpl fld="4" item="11"/>
          <tpl hier="9" item="4"/>
          <tpl hier="11" item="6"/>
          <tpl hier="12" item="5"/>
          <tpl fld="1" item="0"/>
        </tpls>
      </n>
      <n v="21773901824">
        <tpls c="8">
          <tpl hier="2" item="0"/>
          <tpl hier="4" item="1"/>
          <tpl fld="2" item="10"/>
          <tpl fld="4" item="11"/>
          <tpl hier="9" item="4"/>
          <tpl hier="11" item="6"/>
          <tpl hier="12" item="5"/>
          <tpl fld="1" item="0"/>
        </tpls>
      </n>
      <n v="17389101056">
        <tpls c="8">
          <tpl hier="2" item="0"/>
          <tpl hier="4" item="1"/>
          <tpl fld="2" item="45"/>
          <tpl fld="4" item="10"/>
          <tpl hier="9" item="4"/>
          <tpl hier="11" item="6"/>
          <tpl hier="12" item="5"/>
          <tpl fld="1" item="0"/>
        </tpls>
      </n>
      <n v="8971609088">
        <tpls c="8">
          <tpl hier="2" item="0"/>
          <tpl hier="4" item="1"/>
          <tpl fld="2" item="29"/>
          <tpl fld="4" item="10"/>
          <tpl hier="9" item="4"/>
          <tpl hier="11" item="6"/>
          <tpl hier="12" item="5"/>
          <tpl fld="1" item="0"/>
        </tpls>
      </n>
      <n v="2770107904">
        <tpls c="8">
          <tpl hier="2" item="0"/>
          <tpl hier="4" item="1"/>
          <tpl fld="2" item="13"/>
          <tpl fld="4" item="10"/>
          <tpl hier="9" item="4"/>
          <tpl hier="11" item="6"/>
          <tpl hier="12" item="5"/>
          <tpl fld="1" item="0"/>
        </tpls>
      </n>
      <n v="218138361856">
        <tpls c="8">
          <tpl hier="2" item="0"/>
          <tpl hier="4" item="1"/>
          <tpl fld="2" item="48"/>
          <tpl fld="4" item="9"/>
          <tpl hier="9" item="4"/>
          <tpl hier="11" item="6"/>
          <tpl hier="12" item="5"/>
          <tpl fld="1" item="0"/>
        </tpls>
      </n>
      <n v="153830948864">
        <tpls c="8">
          <tpl hier="2" item="0"/>
          <tpl hier="4" item="1"/>
          <tpl fld="2" item="32"/>
          <tpl fld="4" item="9"/>
          <tpl hier="9" item="4"/>
          <tpl hier="11" item="6"/>
          <tpl hier="12" item="5"/>
          <tpl fld="1" item="0"/>
        </tpls>
      </n>
      <n v="56379592704">
        <tpls c="8">
          <tpl hier="2" item="0"/>
          <tpl hier="4" item="1"/>
          <tpl fld="2" item="16"/>
          <tpl fld="4" item="9"/>
          <tpl hier="9" item="4"/>
          <tpl hier="11" item="6"/>
          <tpl hier="12" item="5"/>
          <tpl fld="1" item="0"/>
        </tpls>
      </n>
      <n v="13139862528">
        <tpls c="8">
          <tpl hier="2" item="0"/>
          <tpl hier="4" item="1"/>
          <tpl fld="2" item="0"/>
          <tpl fld="4" item="9"/>
          <tpl hier="9" item="4"/>
          <tpl hier="11" item="6"/>
          <tpl hier="12" item="5"/>
          <tpl fld="1" item="0"/>
        </tpls>
      </n>
      <n v="2845802758144">
        <tpls c="8">
          <tpl hier="2" item="0"/>
          <tpl hier="4" item="1"/>
          <tpl fld="2" item="35"/>
          <tpl fld="4" item="8"/>
          <tpl hier="9" item="4"/>
          <tpl hier="11" item="6"/>
          <tpl hier="12" item="5"/>
          <tpl fld="1" item="0"/>
        </tpls>
      </n>
      <n v="1398967500800">
        <tpls c="8">
          <tpl hier="2" item="0"/>
          <tpl hier="4" item="1"/>
          <tpl fld="2" item="19"/>
          <tpl fld="4" item="8"/>
          <tpl hier="9" item="4"/>
          <tpl hier="11" item="6"/>
          <tpl hier="12" item="5"/>
          <tpl fld="1" item="0"/>
        </tpls>
      </n>
      <n v="398374010880">
        <tpls c="8">
          <tpl hier="2" item="0"/>
          <tpl hier="4" item="1"/>
          <tpl fld="2" item="3"/>
          <tpl fld="4" item="8"/>
          <tpl hier="9" item="4"/>
          <tpl hier="11" item="6"/>
          <tpl hier="12" item="5"/>
          <tpl fld="1" item="0"/>
        </tpls>
      </n>
      <n v="2918382829568">
        <tpls c="8">
          <tpl hier="2" item="0"/>
          <tpl hier="4" item="1"/>
          <tpl fld="2" item="38"/>
          <tpl fld="4" item="7"/>
          <tpl hier="9" item="4"/>
          <tpl hier="11" item="6"/>
          <tpl hier="12" item="5"/>
          <tpl fld="1" item="0"/>
        </tpls>
      </n>
      <n v="1401465864192">
        <tpls c="8">
          <tpl hier="2" item="0"/>
          <tpl hier="4" item="1"/>
          <tpl fld="2" item="22"/>
          <tpl fld="4" item="7"/>
          <tpl hier="9" item="4"/>
          <tpl hier="11" item="6"/>
          <tpl hier="12" item="5"/>
          <tpl fld="1" item="0"/>
        </tpls>
      </n>
      <n v="372319027200">
        <tpls c="8">
          <tpl hier="2" item="0"/>
          <tpl hier="4" item="1"/>
          <tpl fld="2" item="6"/>
          <tpl fld="4" item="7"/>
          <tpl hier="9" item="4"/>
          <tpl hier="11" item="6"/>
          <tpl hier="12" item="5"/>
          <tpl fld="1" item="0"/>
        </tpls>
      </n>
      <n v="275243696128">
        <tpls c="8">
          <tpl hier="2" item="0"/>
          <tpl hier="4" item="1"/>
          <tpl fld="2" item="41"/>
          <tpl fld="4" item="6"/>
          <tpl hier="9" item="4"/>
          <tpl hier="11" item="6"/>
          <tpl hier="12" item="5"/>
          <tpl fld="1" item="0"/>
        </tpls>
      </n>
      <n v="134189817856">
        <tpls c="8">
          <tpl hier="2" item="0"/>
          <tpl hier="4" item="1"/>
          <tpl fld="2" item="25"/>
          <tpl fld="4" item="6"/>
          <tpl hier="9" item="4"/>
          <tpl hier="11" item="6"/>
          <tpl hier="12" item="5"/>
          <tpl fld="1" item="0"/>
        </tpls>
      </n>
      <n v="44465254400">
        <tpls c="8">
          <tpl hier="2" item="0"/>
          <tpl hier="4" item="1"/>
          <tpl fld="2" item="9"/>
          <tpl fld="4" item="6"/>
          <tpl hier="9" item="4"/>
          <tpl hier="11" item="6"/>
          <tpl hier="12" item="5"/>
          <tpl fld="1" item="0"/>
        </tpls>
      </n>
      <n v="352993640448">
        <tpls c="8">
          <tpl hier="2" item="0"/>
          <tpl hier="4" item="1"/>
          <tpl fld="2" item="44"/>
          <tpl fld="4" item="5"/>
          <tpl hier="9" item="4"/>
          <tpl hier="11" item="6"/>
          <tpl hier="12" item="5"/>
          <tpl fld="1" item="0"/>
        </tpls>
      </n>
      <n v="176991928320">
        <tpls c="8">
          <tpl hier="2" item="0"/>
          <tpl hier="4" item="1"/>
          <tpl fld="2" item="28"/>
          <tpl fld="4" item="5"/>
          <tpl hier="9" item="4"/>
          <tpl hier="11" item="6"/>
          <tpl hier="12" item="5"/>
          <tpl fld="1" item="0"/>
        </tpls>
      </n>
      <n v="60412846080">
        <tpls c="8">
          <tpl hier="2" item="0"/>
          <tpl hier="4" item="1"/>
          <tpl fld="2" item="12"/>
          <tpl fld="4" item="5"/>
          <tpl hier="9" item="4"/>
          <tpl hier="11" item="6"/>
          <tpl hier="12" item="5"/>
          <tpl fld="1" item="0"/>
        </tpls>
      </n>
      <n v="1649878106112">
        <tpls c="8">
          <tpl hier="2" item="0"/>
          <tpl hier="4" item="1"/>
          <tpl fld="2" item="47"/>
          <tpl fld="4" item="4"/>
          <tpl hier="9" item="4"/>
          <tpl hier="11" item="6"/>
          <tpl hier="12" item="5"/>
          <tpl fld="1" item="0"/>
        </tpls>
      </n>
      <n v="736379797504">
        <tpls c="8">
          <tpl hier="2" item="0"/>
          <tpl hier="4" item="1"/>
          <tpl fld="2" item="31"/>
          <tpl fld="4" item="4"/>
          <tpl hier="9" item="4"/>
          <tpl hier="11" item="6"/>
          <tpl hier="12" item="5"/>
          <tpl fld="1" item="0"/>
        </tpls>
      </n>
      <n v="364756500480">
        <tpls c="8">
          <tpl hier="2" item="0"/>
          <tpl hier="4" item="1"/>
          <tpl fld="2" item="15"/>
          <tpl fld="4" item="4"/>
          <tpl hier="9" item="4"/>
          <tpl hier="11" item="6"/>
          <tpl hier="12" item="5"/>
          <tpl fld="1" item="0"/>
        </tpls>
      </n>
      <n v="13014387263488">
        <tpls c="8">
          <tpl hier="2" item="0"/>
          <tpl hier="4" item="1"/>
          <tpl hier="5" item="3"/>
          <tpl fld="4" item="3"/>
          <tpl hier="9" item="4"/>
          <tpl hier="11" item="6"/>
          <tpl hier="12" item="5"/>
          <tpl fld="1" item="0"/>
        </tpls>
      </n>
      <n v="368537010176">
        <tpls c="8">
          <tpl hier="2" item="0"/>
          <tpl hier="4" item="1"/>
          <tpl fld="2" item="34"/>
          <tpl fld="4" item="3"/>
          <tpl hier="9" item="4"/>
          <tpl hier="11" item="6"/>
          <tpl hier="12" item="5"/>
          <tpl fld="1" item="0"/>
        </tpls>
      </n>
      <n v="162299101184">
        <tpls c="8">
          <tpl hier="2" item="0"/>
          <tpl hier="4" item="1"/>
          <tpl fld="2" item="18"/>
          <tpl fld="4" item="3"/>
          <tpl hier="9" item="4"/>
          <tpl hier="11" item="6"/>
          <tpl hier="12" item="5"/>
          <tpl fld="1" item="0"/>
        </tpls>
      </n>
      <n v="131613663232">
        <tpls c="8">
          <tpl hier="2" item="0"/>
          <tpl hier="4" item="1"/>
          <tpl fld="2" item="38"/>
          <tpl fld="4" item="61"/>
          <tpl hier="9" item="4"/>
          <tpl hier="11" item="6"/>
          <tpl hier="12" item="5"/>
          <tpl fld="1" item="0"/>
        </tpls>
      </n>
      <n v="4020227840">
        <tpls c="8">
          <tpl hier="2" item="0"/>
          <tpl hier="4" item="1"/>
          <tpl fld="2" item="9"/>
          <tpl fld="4" item="54"/>
          <tpl hier="9" item="4"/>
          <tpl hier="11" item="6"/>
          <tpl hier="12" item="5"/>
          <tpl fld="1" item="0"/>
        </tpls>
      </n>
      <n v="47964233728">
        <tpls c="8">
          <tpl hier="2" item="0"/>
          <tpl hier="4" item="1"/>
          <tpl fld="2" item="46"/>
          <tpl fld="4" item="47"/>
          <tpl hier="9" item="4"/>
          <tpl hier="11" item="6"/>
          <tpl hier="12" item="5"/>
          <tpl fld="1" item="0"/>
        </tpls>
      </n>
      <n v="12953535488">
        <tpls c="8">
          <tpl hier="2" item="0"/>
          <tpl hier="4" item="1"/>
          <tpl fld="2" item="43"/>
          <tpl fld="4" item="41"/>
          <tpl hier="9" item="4"/>
          <tpl hier="11" item="6"/>
          <tpl hier="12" item="5"/>
          <tpl fld="1" item="0"/>
        </tpls>
      </n>
      <n v="1695824609280">
        <tpls c="8">
          <tpl hier="2" item="0"/>
          <tpl hier="4" item="1"/>
          <tpl fld="2" item="38"/>
          <tpl fld="4" item="36"/>
          <tpl hier="9" item="4"/>
          <tpl hier="11" item="6"/>
          <tpl hier="12" item="5"/>
          <tpl fld="1" item="0"/>
        </tpls>
      </n>
      <n v="6565043712">
        <tpls c="8">
          <tpl hier="2" item="0"/>
          <tpl hier="4" item="1"/>
          <tpl fld="2" item="35"/>
          <tpl fld="4" item="33"/>
          <tpl hier="9" item="4"/>
          <tpl hier="11" item="6"/>
          <tpl hier="12" item="5"/>
          <tpl fld="1" item="0"/>
        </tpls>
      </n>
      <n v="1775100032">
        <tpls c="8">
          <tpl hier="2" item="0"/>
          <tpl hier="4" item="1"/>
          <tpl fld="2" item="46"/>
          <tpl fld="4" item="32"/>
          <tpl hier="9" item="4"/>
          <tpl hier="11" item="6"/>
          <tpl hier="12" item="5"/>
          <tpl fld="1" item="0"/>
        </tpls>
      </n>
      <n v="197938224">
        <tpls c="8">
          <tpl hier="2" item="0"/>
          <tpl hier="4" item="1"/>
          <tpl fld="2" item="10"/>
          <tpl fld="4" item="32"/>
          <tpl hier="9" item="4"/>
          <tpl hier="11" item="6"/>
          <tpl hier="12" item="5"/>
          <tpl fld="1" item="0"/>
        </tpls>
      </n>
      <n v="33768660992">
        <tpls c="8">
          <tpl hier="2" item="0"/>
          <tpl hier="4" item="1"/>
          <tpl fld="2" item="24"/>
          <tpl fld="4" item="31"/>
          <tpl hier="9" item="4"/>
          <tpl hier="11" item="6"/>
          <tpl hier="12" item="5"/>
          <tpl fld="1" item="0"/>
        </tpls>
      </n>
      <n v="10562700288">
        <tpls c="8">
          <tpl hier="2" item="0"/>
          <tpl hier="4" item="1"/>
          <tpl fld="2" item="43"/>
          <tpl fld="4" item="30"/>
          <tpl hier="9" item="4"/>
          <tpl hier="11" item="6"/>
          <tpl hier="12" item="5"/>
          <tpl fld="1" item="0"/>
        </tpls>
      </n>
      <n v="1732800000">
        <tpls c="8">
          <tpl hier="2" item="0"/>
          <tpl hier="4" item="1"/>
          <tpl fld="2" item="13"/>
          <tpl fld="4" item="30"/>
          <tpl hier="9" item="4"/>
          <tpl hier="11" item="6"/>
          <tpl hier="12" item="5"/>
          <tpl fld="1" item="0"/>
        </tpls>
      </n>
      <n v="287530516480">
        <tpls c="8">
          <tpl hier="2" item="0"/>
          <tpl hier="4" item="1"/>
          <tpl fld="2" item="37"/>
          <tpl fld="4" item="29"/>
          <tpl hier="9" item="4"/>
          <tpl hier="11" item="6"/>
          <tpl hier="12" item="5"/>
          <tpl fld="1" item="0"/>
        </tpls>
      </n>
      <n v="79091998720">
        <tpls c="8">
          <tpl hier="2" item="0"/>
          <tpl hier="4" item="1"/>
          <tpl fld="2" item="14"/>
          <tpl fld="4" item="29"/>
          <tpl hier="9" item="4"/>
          <tpl hier="11" item="6"/>
          <tpl hier="12" item="5"/>
          <tpl fld="1" item="0"/>
        </tpls>
      </n>
      <n v="209060315136">
        <tpls c="8">
          <tpl hier="2" item="0"/>
          <tpl hier="4" item="1"/>
          <tpl fld="2" item="42"/>
          <tpl fld="4" item="28"/>
          <tpl hier="9" item="4"/>
          <tpl hier="11" item="6"/>
          <tpl hier="12" item="5"/>
          <tpl fld="1" item="0"/>
        </tpls>
      </n>
      <n v="59089068032">
        <tpls c="8">
          <tpl hier="2" item="0"/>
          <tpl hier="4" item="1"/>
          <tpl fld="2" item="18"/>
          <tpl fld="4" item="28"/>
          <tpl hier="9" item="4"/>
          <tpl hier="11" item="6"/>
          <tpl hier="12" item="5"/>
          <tpl fld="1" item="0"/>
        </tpls>
      </n>
      <n v="18707187236864">
        <tpls c="8">
          <tpl hier="2" item="0"/>
          <tpl hier="4" item="1"/>
          <tpl fld="2" item="46"/>
          <tpl fld="4" item="27"/>
          <tpl hier="9" item="4"/>
          <tpl hier="11" item="6"/>
          <tpl hier="12" item="5"/>
          <tpl fld="1" item="0"/>
        </tpls>
      </n>
      <n v="6520327110656">
        <tpls c="8">
          <tpl hier="2" item="0"/>
          <tpl hier="4" item="1"/>
          <tpl fld="2" item="22"/>
          <tpl fld="4" item="27"/>
          <tpl hier="9" item="4"/>
          <tpl hier="11" item="6"/>
          <tpl hier="12" item="5"/>
          <tpl fld="1" item="0"/>
        </tpls>
      </n>
      <n v="72776136859648">
        <tpls c="8">
          <tpl hier="2" item="0"/>
          <tpl hier="4" item="1"/>
          <tpl hier="5" item="3"/>
          <tpl fld="4" item="26"/>
          <tpl hier="9" item="4"/>
          <tpl hier="11" item="6"/>
          <tpl hier="12" item="5"/>
          <tpl fld="1" item="0"/>
        </tpls>
      </n>
      <n v="1650172231680">
        <tpls c="8">
          <tpl hier="2" item="0"/>
          <tpl hier="4" item="1"/>
          <tpl fld="2" item="28"/>
          <tpl fld="4" item="26"/>
          <tpl hier="9" item="4"/>
          <tpl hier="11" item="6"/>
          <tpl hier="12" item="5"/>
          <tpl fld="1" item="0"/>
        </tpls>
      </n>
      <n v="206131363840">
        <tpls c="8">
          <tpl hier="2" item="0"/>
          <tpl hier="4" item="1"/>
          <tpl fld="2" item="4"/>
          <tpl fld="4" item="26"/>
          <tpl hier="9" item="4"/>
          <tpl hier="11" item="6"/>
          <tpl hier="12" item="5"/>
          <tpl fld="1" item="0"/>
        </tpls>
      </n>
      <n v="352914833408">
        <tpls c="8">
          <tpl hier="2" item="0"/>
          <tpl hier="4" item="1"/>
          <tpl fld="2" item="33"/>
          <tpl fld="4" item="25"/>
          <tpl hier="9" item="4"/>
          <tpl hier="11" item="6"/>
          <tpl hier="12" item="5"/>
          <tpl fld="1" item="0"/>
        </tpls>
      </n>
      <n v="111711494144">
        <tpls c="8">
          <tpl hier="2" item="0"/>
          <tpl hier="4" item="1"/>
          <tpl fld="2" item="12"/>
          <tpl fld="4" item="25"/>
          <tpl hier="9" item="4"/>
          <tpl hier="11" item="6"/>
          <tpl hier="12" item="5"/>
          <tpl fld="1" item="0"/>
        </tpls>
      </n>
      <n v="581964005376">
        <tpls c="8">
          <tpl hier="2" item="0"/>
          <tpl hier="4" item="1"/>
          <tpl fld="2" item="44"/>
          <tpl fld="4" item="24"/>
          <tpl hier="9" item="4"/>
          <tpl hier="11" item="6"/>
          <tpl hier="12" item="5"/>
          <tpl fld="1" item="0"/>
        </tpls>
      </n>
      <n v="229033574400">
        <tpls c="8">
          <tpl hier="2" item="0"/>
          <tpl hier="4" item="1"/>
          <tpl fld="2" item="24"/>
          <tpl fld="4" item="24"/>
          <tpl hier="9" item="4"/>
          <tpl hier="11" item="6"/>
          <tpl hier="12" item="5"/>
          <tpl fld="1" item="0"/>
        </tpls>
      </n>
      <n v="82885394432">
        <tpls c="8">
          <tpl hier="2" item="0"/>
          <tpl hier="4" item="1"/>
          <tpl fld="2" item="5"/>
          <tpl fld="4" item="24"/>
          <tpl hier="9" item="4"/>
          <tpl hier="11" item="6"/>
          <tpl hier="12" item="5"/>
          <tpl fld="1" item="0"/>
        </tpls>
      </n>
      <n v="1472131104768">
        <tpls c="8">
          <tpl hier="2" item="0"/>
          <tpl hier="4" item="1"/>
          <tpl fld="2" item="37"/>
          <tpl fld="4" item="23"/>
          <tpl hier="9" item="4"/>
          <tpl hier="11" item="6"/>
          <tpl hier="12" item="5"/>
          <tpl fld="1" item="0"/>
        </tpls>
      </n>
      <n v="251321073664">
        <tpls c="8">
          <tpl hier="2" item="0"/>
          <tpl hier="4" item="1"/>
          <tpl fld="2" item="16"/>
          <tpl fld="4" item="23"/>
          <tpl hier="9" item="4"/>
          <tpl hier="11" item="6"/>
          <tpl hier="12" item="5"/>
          <tpl fld="1" item="0"/>
        </tpls>
      </n>
      <n v="1720578867200">
        <tpls c="8">
          <tpl hier="2" item="0"/>
          <tpl hier="4" item="1"/>
          <tpl fld="2" item="48"/>
          <tpl fld="4" item="22"/>
          <tpl hier="9" item="4"/>
          <tpl hier="11" item="6"/>
          <tpl hier="12" item="5"/>
          <tpl fld="1" item="0"/>
        </tpls>
      </n>
      <n v="383330942976">
        <tpls c="8">
          <tpl hier="2" item="0"/>
          <tpl hier="4" item="1"/>
          <tpl fld="2" item="28"/>
          <tpl fld="4" item="22"/>
          <tpl hier="9" item="4"/>
          <tpl hier="11" item="6"/>
          <tpl hier="12" item="5"/>
          <tpl fld="1" item="0"/>
        </tpls>
      </n>
      <n v="66946899968">
        <tpls c="8">
          <tpl hier="2" item="0"/>
          <tpl hier="4" item="1"/>
          <tpl fld="2" item="9"/>
          <tpl fld="4" item="22"/>
          <tpl hier="9" item="4"/>
          <tpl hier="11" item="6"/>
          <tpl hier="12" item="5"/>
          <tpl fld="1" item="0"/>
        </tpls>
      </n>
      <n v="239809380352">
        <tpls c="8">
          <tpl hier="2" item="0"/>
          <tpl hier="4" item="1"/>
          <tpl fld="2" item="40"/>
          <tpl fld="4" item="21"/>
          <tpl hier="9" item="4"/>
          <tpl hier="11" item="6"/>
          <tpl hier="12" item="5"/>
          <tpl fld="1" item="0"/>
        </tpls>
      </n>
      <n v="52130263040">
        <tpls c="8">
          <tpl hier="2" item="0"/>
          <tpl hier="4" item="1"/>
          <tpl fld="2" item="22"/>
          <tpl fld="4" item="21"/>
          <tpl hier="9" item="4"/>
          <tpl hier="11" item="6"/>
          <tpl hier="12" item="5"/>
          <tpl fld="1" item="0"/>
        </tpls>
      </n>
      <n v="5221534720">
        <tpls c="8">
          <tpl hier="2" item="0"/>
          <tpl hier="4" item="1"/>
          <tpl fld="2" item="4"/>
          <tpl fld="4" item="21"/>
          <tpl hier="9" item="4"/>
          <tpl hier="11" item="6"/>
          <tpl hier="12" item="5"/>
          <tpl fld="1" item="0"/>
        </tpls>
      </n>
      <n v="240190799872">
        <tpls c="8">
          <tpl hier="2" item="0"/>
          <tpl hier="4" item="1"/>
          <tpl fld="2" item="37"/>
          <tpl fld="4" item="20"/>
          <tpl hier="9" item="4"/>
          <tpl hier="11" item="6"/>
          <tpl hier="12" item="5"/>
          <tpl fld="1" item="0"/>
        </tpls>
      </n>
      <n v="60594094080">
        <tpls c="8">
          <tpl hier="2" item="0"/>
          <tpl hier="4" item="1"/>
          <tpl fld="2" item="19"/>
          <tpl fld="4" item="20"/>
          <tpl hier="9" item="4"/>
          <tpl hier="11" item="6"/>
          <tpl hier="12" item="5"/>
          <tpl fld="1" item="0"/>
        </tpls>
      </n>
      <n v="9201606656">
        <tpls c="8">
          <tpl hier="2" item="0"/>
          <tpl hier="4" item="1"/>
          <tpl fld="2" item="1"/>
          <tpl fld="4" item="20"/>
          <tpl hier="9" item="4"/>
          <tpl hier="11" item="6"/>
          <tpl hier="12" item="5"/>
          <tpl fld="1" item="0"/>
        </tpls>
      </n>
      <n v="308884275200">
        <tpls c="8">
          <tpl hier="2" item="0"/>
          <tpl hier="4" item="1"/>
          <tpl fld="2" item="35"/>
          <tpl fld="4" item="19"/>
          <tpl hier="9" item="4"/>
          <tpl hier="11" item="6"/>
          <tpl hier="12" item="5"/>
          <tpl fld="1" item="0"/>
        </tpls>
      </n>
      <n v="101900263424">
        <tpls c="8">
          <tpl hier="2" item="0"/>
          <tpl hier="4" item="1"/>
          <tpl fld="2" item="18"/>
          <tpl fld="4" item="19"/>
          <tpl hier="9" item="4"/>
          <tpl hier="11" item="6"/>
          <tpl hier="12" item="5"/>
          <tpl fld="1" item="0"/>
        </tpls>
      </n>
      <n v="14583114752">
        <tpls c="8">
          <tpl hier="2" item="0"/>
          <tpl hier="4" item="1"/>
          <tpl fld="2" item="1"/>
          <tpl fld="4" item="19"/>
          <tpl hier="9" item="4"/>
          <tpl hier="11" item="6"/>
          <tpl hier="12" item="5"/>
          <tpl fld="1" item="0"/>
        </tpls>
      </n>
      <n v="111608848384">
        <tpls c="8">
          <tpl hier="2" item="0"/>
          <tpl hier="4" item="1"/>
          <tpl fld="2" item="36"/>
          <tpl fld="4" item="18"/>
          <tpl hier="9" item="4"/>
          <tpl hier="11" item="6"/>
          <tpl hier="12" item="5"/>
          <tpl fld="1" item="0"/>
        </tpls>
      </n>
      <n v="45495128064">
        <tpls c="8">
          <tpl hier="2" item="0"/>
          <tpl hier="4" item="1"/>
          <tpl fld="2" item="20"/>
          <tpl fld="4" item="18"/>
          <tpl hier="9" item="4"/>
          <tpl hier="11" item="6"/>
          <tpl hier="12" item="5"/>
          <tpl fld="1" item="0"/>
        </tpls>
      </n>
      <n v="13940981760">
        <tpls c="8">
          <tpl hier="2" item="0"/>
          <tpl hier="4" item="1"/>
          <tpl fld="2" item="4"/>
          <tpl fld="4" item="18"/>
          <tpl hier="9" item="4"/>
          <tpl hier="11" item="6"/>
          <tpl hier="12" item="5"/>
          <tpl fld="1" item="0"/>
        </tpls>
      </n>
      <n v="868077273088">
        <tpls c="8">
          <tpl hier="2" item="0"/>
          <tpl hier="4" item="1"/>
          <tpl fld="2" item="39"/>
          <tpl fld="4" item="17"/>
          <tpl hier="9" item="4"/>
          <tpl hier="11" item="6"/>
          <tpl hier="12" item="5"/>
          <tpl fld="1" item="0"/>
        </tpls>
      </n>
      <n v="353550172160">
        <tpls c="8">
          <tpl hier="2" item="0"/>
          <tpl hier="4" item="1"/>
          <tpl fld="2" item="23"/>
          <tpl fld="4" item="17"/>
          <tpl hier="9" item="4"/>
          <tpl hier="11" item="6"/>
          <tpl hier="12" item="5"/>
          <tpl fld="1" item="0"/>
        </tpls>
      </n>
      <n v="127016992768">
        <tpls c="8">
          <tpl hier="2" item="0"/>
          <tpl hier="4" item="1"/>
          <tpl fld="2" item="7"/>
          <tpl fld="4" item="17"/>
          <tpl hier="9" item="4"/>
          <tpl hier="11" item="6"/>
          <tpl hier="12" item="5"/>
          <tpl fld="1" item="0"/>
        </tpls>
      </n>
      <n v="9205506048">
        <tpls c="8">
          <tpl hier="2" item="0"/>
          <tpl hier="4" item="1"/>
          <tpl fld="2" item="42"/>
          <tpl fld="4" item="16"/>
          <tpl hier="9" item="4"/>
          <tpl hier="11" item="6"/>
          <tpl hier="12" item="5"/>
          <tpl fld="1" item="0"/>
        </tpls>
      </n>
      <n v="3570271488">
        <tpls c="8">
          <tpl hier="2" item="0"/>
          <tpl hier="4" item="1"/>
          <tpl fld="2" item="26"/>
          <tpl fld="4" item="16"/>
          <tpl hier="9" item="4"/>
          <tpl hier="11" item="6"/>
          <tpl hier="12" item="5"/>
          <tpl fld="1" item="0"/>
        </tpls>
      </n>
      <n v="1250242048">
        <tpls c="8">
          <tpl hier="2" item="0"/>
          <tpl hier="4" item="1"/>
          <tpl fld="2" item="10"/>
          <tpl fld="4" item="16"/>
          <tpl hier="9" item="4"/>
          <tpl hier="11" item="6"/>
          <tpl hier="12" item="5"/>
          <tpl fld="1" item="0"/>
        </tpls>
      </n>
      <n v="57744457728">
        <tpls c="8">
          <tpl hier="2" item="0"/>
          <tpl hier="4" item="1"/>
          <tpl fld="2" item="45"/>
          <tpl fld="4" item="15"/>
          <tpl hier="9" item="4"/>
          <tpl hier="11" item="6"/>
          <tpl hier="12" item="5"/>
          <tpl fld="1" item="0"/>
        </tpls>
      </n>
      <n v="22235928576">
        <tpls c="8">
          <tpl hier="2" item="0"/>
          <tpl hier="4" item="1"/>
          <tpl fld="2" item="29"/>
          <tpl fld="4" item="15"/>
          <tpl hier="9" item="4"/>
          <tpl hier="11" item="6"/>
          <tpl hier="12" item="5"/>
          <tpl fld="1" item="0"/>
        </tpls>
      </n>
      <n v="4683697664">
        <tpls c="8">
          <tpl hier="2" item="0"/>
          <tpl hier="4" item="1"/>
          <tpl fld="2" item="13"/>
          <tpl fld="4" item="15"/>
          <tpl hier="9" item="4"/>
          <tpl hier="11" item="6"/>
          <tpl hier="12" item="5"/>
          <tpl fld="1" item="0"/>
        </tpls>
      </n>
      <n v="4954806812672">
        <tpls c="8">
          <tpl hier="2" item="0"/>
          <tpl hier="4" item="1"/>
          <tpl fld="2" item="48"/>
          <tpl fld="4" item="14"/>
          <tpl hier="9" item="4"/>
          <tpl hier="11" item="6"/>
          <tpl hier="12" item="5"/>
          <tpl fld="1" item="0"/>
        </tpls>
      </n>
      <n v="4115116326912">
        <tpls c="8">
          <tpl hier="2" item="0"/>
          <tpl hier="4" item="1"/>
          <tpl fld="2" item="32"/>
          <tpl fld="4" item="14"/>
          <tpl hier="9" item="4"/>
          <tpl hier="11" item="6"/>
          <tpl hier="12" item="5"/>
          <tpl fld="1" item="0"/>
        </tpls>
      </n>
      <n v="2078953308160">
        <tpls c="8">
          <tpl hier="2" item="0"/>
          <tpl hier="4" item="1"/>
          <tpl fld="2" item="16"/>
          <tpl fld="4" item="14"/>
          <tpl hier="9" item="4"/>
          <tpl hier="11" item="6"/>
          <tpl hier="12" item="5"/>
          <tpl fld="1" item="0"/>
        </tpls>
      </n>
      <n v="212609187840">
        <tpls c="8">
          <tpl hier="2" item="0"/>
          <tpl hier="4" item="1"/>
          <tpl fld="2" item="0"/>
          <tpl fld="4" item="14"/>
          <tpl hier="9" item="4"/>
          <tpl hier="11" item="6"/>
          <tpl hier="12" item="5"/>
          <tpl fld="1" item="0"/>
        </tpls>
      </n>
      <n v="1857524334592">
        <tpls c="8">
          <tpl hier="2" item="0"/>
          <tpl hier="4" item="1"/>
          <tpl fld="2" item="35"/>
          <tpl fld="4" item="13"/>
          <tpl hier="9" item="4"/>
          <tpl hier="11" item="6"/>
          <tpl hier="12" item="5"/>
          <tpl fld="1" item="0"/>
        </tpls>
      </n>
      <n v="928661307392">
        <tpls c="8">
          <tpl hier="2" item="0"/>
          <tpl hier="4" item="1"/>
          <tpl fld="2" item="19"/>
          <tpl fld="4" item="13"/>
          <tpl hier="9" item="4"/>
          <tpl hier="11" item="6"/>
          <tpl hier="12" item="5"/>
          <tpl fld="1" item="0"/>
        </tpls>
      </n>
      <n v="175492055040">
        <tpls c="8">
          <tpl hier="2" item="0"/>
          <tpl hier="4" item="1"/>
          <tpl fld="2" item="3"/>
          <tpl fld="4" item="13"/>
          <tpl hier="9" item="4"/>
          <tpl hier="11" item="6"/>
          <tpl hier="12" item="5"/>
          <tpl fld="1" item="0"/>
        </tpls>
      </n>
      <n v="216105172992">
        <tpls c="8">
          <tpl hier="2" item="0"/>
          <tpl hier="4" item="1"/>
          <tpl fld="2" item="38"/>
          <tpl fld="4" item="12"/>
          <tpl hier="9" item="4"/>
          <tpl hier="11" item="6"/>
          <tpl hier="12" item="5"/>
          <tpl fld="1" item="0"/>
        </tpls>
      </n>
      <n v="75607007232">
        <tpls c="8">
          <tpl hier="2" item="0"/>
          <tpl hier="4" item="1"/>
          <tpl fld="2" item="22"/>
          <tpl fld="4" item="12"/>
          <tpl hier="9" item="4"/>
          <tpl hier="11" item="6"/>
          <tpl hier="12" item="5"/>
          <tpl fld="1" item="0"/>
        </tpls>
      </n>
      <n v="15183125504">
        <tpls c="8">
          <tpl hier="2" item="0"/>
          <tpl hier="4" item="1"/>
          <tpl fld="2" item="6"/>
          <tpl fld="4" item="12"/>
          <tpl hier="9" item="4"/>
          <tpl hier="11" item="6"/>
          <tpl hier="12" item="5"/>
          <tpl fld="1" item="0"/>
        </tpls>
      </n>
      <n v="237472366592">
        <tpls c="8">
          <tpl hier="2" item="0"/>
          <tpl hier="4" item="1"/>
          <tpl fld="2" item="41"/>
          <tpl fld="4" item="11"/>
          <tpl hier="9" item="4"/>
          <tpl hier="11" item="6"/>
          <tpl hier="12" item="5"/>
          <tpl fld="1" item="0"/>
        </tpls>
      </n>
      <n v="69222621184">
        <tpls c="8">
          <tpl hier="2" item="0"/>
          <tpl hier="4" item="1"/>
          <tpl fld="2" item="25"/>
          <tpl fld="4" item="11"/>
          <tpl hier="9" item="4"/>
          <tpl hier="11" item="6"/>
          <tpl hier="12" item="5"/>
          <tpl fld="1" item="0"/>
        </tpls>
      </n>
      <n v="18341273600">
        <tpls c="8">
          <tpl hier="2" item="0"/>
          <tpl hier="4" item="1"/>
          <tpl fld="2" item="9"/>
          <tpl fld="4" item="11"/>
          <tpl hier="9" item="4"/>
          <tpl hier="11" item="6"/>
          <tpl hier="12" item="5"/>
          <tpl fld="1" item="0"/>
        </tpls>
      </n>
      <n v="17758050304">
        <tpls c="8">
          <tpl hier="2" item="0"/>
          <tpl hier="4" item="1"/>
          <tpl fld="2" item="44"/>
          <tpl fld="4" item="10"/>
          <tpl hier="9" item="4"/>
          <tpl hier="11" item="6"/>
          <tpl hier="12" item="5"/>
          <tpl fld="1" item="0"/>
        </tpls>
      </n>
      <n v="8494094848">
        <tpls c="8">
          <tpl hier="2" item="0"/>
          <tpl hier="4" item="1"/>
          <tpl fld="2" item="28"/>
          <tpl fld="4" item="10"/>
          <tpl hier="9" item="4"/>
          <tpl hier="11" item="6"/>
          <tpl hier="12" item="5"/>
          <tpl fld="1" item="0"/>
        </tpls>
      </n>
      <n v="3211446528">
        <tpls c="8">
          <tpl hier="2" item="0"/>
          <tpl hier="4" item="1"/>
          <tpl fld="2" item="12"/>
          <tpl fld="4" item="10"/>
          <tpl hier="9" item="4"/>
          <tpl hier="11" item="6"/>
          <tpl hier="12" item="5"/>
          <tpl fld="1" item="0"/>
        </tpls>
      </n>
      <n v="203588419584">
        <tpls c="8">
          <tpl hier="2" item="0"/>
          <tpl hier="4" item="1"/>
          <tpl fld="2" item="47"/>
          <tpl fld="4" item="9"/>
          <tpl hier="9" item="4"/>
          <tpl hier="11" item="6"/>
          <tpl hier="12" item="5"/>
          <tpl fld="1" item="0"/>
        </tpls>
      </n>
      <n v="136191352832">
        <tpls c="8">
          <tpl hier="2" item="0"/>
          <tpl hier="4" item="1"/>
          <tpl fld="2" item="31"/>
          <tpl fld="4" item="9"/>
          <tpl hier="9" item="4"/>
          <tpl hier="11" item="6"/>
          <tpl hier="12" item="5"/>
          <tpl fld="1" item="0"/>
        </tpls>
      </n>
      <n v="47820849152">
        <tpls c="8">
          <tpl hier="2" item="0"/>
          <tpl hier="4" item="1"/>
          <tpl fld="2" item="15"/>
          <tpl fld="4" item="9"/>
          <tpl hier="9" item="4"/>
          <tpl hier="11" item="6"/>
          <tpl hier="12" item="5"/>
          <tpl fld="1" item="0"/>
        </tpls>
      </n>
      <n v="100740455563264">
        <tpls c="8">
          <tpl hier="2" item="0"/>
          <tpl hier="4" item="1"/>
          <tpl hier="5" item="3"/>
          <tpl fld="4" item="8"/>
          <tpl hier="9" item="4"/>
          <tpl hier="11" item="6"/>
          <tpl hier="12" item="5"/>
          <tpl fld="1" item="0"/>
        </tpls>
      </n>
      <n v="2809188057088">
        <tpls c="8">
          <tpl hier="2" item="0"/>
          <tpl hier="4" item="1"/>
          <tpl fld="2" item="34"/>
          <tpl fld="4" item="8"/>
          <tpl hier="9" item="4"/>
          <tpl hier="11" item="6"/>
          <tpl hier="12" item="5"/>
          <tpl fld="1" item="0"/>
        </tpls>
      </n>
      <n v="1401233211392">
        <tpls c="8">
          <tpl hier="2" item="0"/>
          <tpl hier="4" item="1"/>
          <tpl fld="2" item="18"/>
          <tpl fld="4" item="8"/>
          <tpl hier="9" item="4"/>
          <tpl hier="11" item="6"/>
          <tpl hier="12" item="5"/>
          <tpl fld="1" item="0"/>
        </tpls>
      </n>
      <n v="299801542656">
        <tpls c="8">
          <tpl hier="2" item="0"/>
          <tpl hier="4" item="1"/>
          <tpl fld="2" item="2"/>
          <tpl fld="4" item="8"/>
          <tpl hier="9" item="4"/>
          <tpl hier="11" item="6"/>
          <tpl hier="12" item="5"/>
          <tpl fld="1" item="0"/>
        </tpls>
      </n>
      <n v="2657213218816">
        <tpls c="8">
          <tpl hier="2" item="0"/>
          <tpl hier="4" item="1"/>
          <tpl fld="2" item="37"/>
          <tpl fld="4" item="7"/>
          <tpl hier="9" item="4"/>
          <tpl hier="11" item="6"/>
          <tpl hier="12" item="5"/>
          <tpl fld="1" item="0"/>
        </tpls>
      </n>
      <n v="1269276868608">
        <tpls c="8">
          <tpl hier="2" item="0"/>
          <tpl hier="4" item="1"/>
          <tpl fld="2" item="21"/>
          <tpl fld="4" item="7"/>
          <tpl hier="9" item="4"/>
          <tpl hier="11" item="6"/>
          <tpl hier="12" item="5"/>
          <tpl fld="1" item="0"/>
        </tpls>
      </n>
      <n v="360832172032">
        <tpls c="8">
          <tpl hier="2" item="0"/>
          <tpl hier="4" item="1"/>
          <tpl fld="2" item="5"/>
          <tpl fld="4" item="7"/>
          <tpl hier="9" item="4"/>
          <tpl hier="11" item="6"/>
          <tpl hier="12" item="5"/>
          <tpl fld="1" item="0"/>
        </tpls>
      </n>
      <n v="249181192192">
        <tpls c="8">
          <tpl hier="2" item="0"/>
          <tpl hier="4" item="1"/>
          <tpl fld="2" item="40"/>
          <tpl fld="4" item="6"/>
          <tpl hier="9" item="4"/>
          <tpl hier="11" item="6"/>
          <tpl hier="12" item="5"/>
          <tpl fld="1" item="0"/>
        </tpls>
      </n>
      <n v="103299940352">
        <tpls c="8">
          <tpl hier="2" item="0"/>
          <tpl hier="4" item="1"/>
          <tpl fld="2" item="24"/>
          <tpl fld="4" item="6"/>
          <tpl hier="9" item="4"/>
          <tpl hier="11" item="6"/>
          <tpl hier="12" item="5"/>
          <tpl fld="1" item="0"/>
        </tpls>
      </n>
      <n v="36256161792">
        <tpls c="8">
          <tpl hier="2" item="0"/>
          <tpl hier="4" item="1"/>
          <tpl fld="2" item="8"/>
          <tpl fld="4" item="6"/>
          <tpl hier="9" item="4"/>
          <tpl hier="11" item="6"/>
          <tpl hier="12" item="5"/>
          <tpl fld="1" item="0"/>
        </tpls>
      </n>
      <n v="343584407552">
        <tpls c="8">
          <tpl hier="2" item="0"/>
          <tpl hier="4" item="1"/>
          <tpl fld="2" item="43"/>
          <tpl fld="4" item="5"/>
          <tpl hier="9" item="4"/>
          <tpl hier="11" item="6"/>
          <tpl hier="12" item="5"/>
          <tpl fld="1" item="0"/>
        </tpls>
      </n>
      <n v="173537640448">
        <tpls c="8">
          <tpl hier="2" item="0"/>
          <tpl hier="4" item="1"/>
          <tpl fld="2" item="27"/>
          <tpl fld="4" item="5"/>
          <tpl hier="9" item="4"/>
          <tpl hier="11" item="6"/>
          <tpl hier="12" item="5"/>
          <tpl fld="1" item="0"/>
        </tpls>
      </n>
      <n v="61877813248">
        <tpls c="8">
          <tpl hier="2" item="0"/>
          <tpl hier="4" item="1"/>
          <tpl fld="2" item="11"/>
          <tpl fld="4" item="5"/>
          <tpl hier="9" item="4"/>
          <tpl hier="11" item="6"/>
          <tpl hier="12" item="5"/>
          <tpl fld="1" item="0"/>
        </tpls>
      </n>
      <n v="1528243159040">
        <tpls c="8">
          <tpl hier="2" item="0"/>
          <tpl hier="4" item="1"/>
          <tpl fld="2" item="46"/>
          <tpl fld="4" item="4"/>
          <tpl hier="9" item="4"/>
          <tpl hier="11" item="6"/>
          <tpl hier="12" item="5"/>
          <tpl fld="1" item="0"/>
        </tpls>
      </n>
      <n v="742295470080">
        <tpls c="8">
          <tpl hier="2" item="0"/>
          <tpl hier="4" item="1"/>
          <tpl fld="2" item="30"/>
          <tpl fld="4" item="4"/>
          <tpl hier="9" item="4"/>
          <tpl hier="11" item="6"/>
          <tpl hier="12" item="5"/>
          <tpl fld="1" item="0"/>
        </tpls>
      </n>
      <n v="355372564480">
        <tpls c="8">
          <tpl hier="2" item="0"/>
          <tpl hier="4" item="1"/>
          <tpl fld="2" item="14"/>
          <tpl fld="4" item="4"/>
          <tpl hier="9" item="4"/>
          <tpl hier="11" item="6"/>
          <tpl hier="12" item="5"/>
          <tpl fld="1" item="0"/>
        </tpls>
      </n>
      <n v="529606705152">
        <tpls c="8">
          <tpl hier="2" item="0"/>
          <tpl hier="4" item="1"/>
          <tpl fld="2" item="49"/>
          <tpl fld="4" item="3"/>
          <tpl hier="9" item="4"/>
          <tpl hier="11" item="6"/>
          <tpl hier="12" item="5"/>
          <tpl fld="1" item="0"/>
        </tpls>
      </n>
      <n v="317381705728">
        <tpls c="8">
          <tpl hier="2" item="0"/>
          <tpl hier="4" item="1"/>
          <tpl fld="2" item="33"/>
          <tpl fld="4" item="3"/>
          <tpl hier="9" item="4"/>
          <tpl hier="11" item="6"/>
          <tpl hier="12" item="5"/>
          <tpl fld="1" item="0"/>
        </tpls>
      </n>
      <n v="149394407424">
        <tpls c="8">
          <tpl hier="2" item="0"/>
          <tpl hier="4" item="1"/>
          <tpl fld="2" item="17"/>
          <tpl fld="4" item="3"/>
          <tpl hier="9" item="4"/>
          <tpl hier="11" item="6"/>
          <tpl hier="12" item="5"/>
          <tpl fld="1" item="0"/>
        </tpls>
      </n>
      <n v="29821661184">
        <tpls c="8">
          <tpl hier="2" item="0"/>
          <tpl hier="4" item="1"/>
          <tpl fld="2" item="1"/>
          <tpl fld="4" item="3"/>
          <tpl hier="9" item="4"/>
          <tpl hier="11" item="6"/>
          <tpl hier="12" item="5"/>
          <tpl fld="1" item="0"/>
        </tpls>
      </n>
      <n v="335998550016">
        <tpls c="8">
          <tpl hier="2" item="0"/>
          <tpl hier="4" item="1"/>
          <tpl fld="2" item="36"/>
          <tpl fld="4" item="2"/>
          <tpl hier="9" item="4"/>
          <tpl hier="11" item="6"/>
          <tpl hier="12" item="5"/>
          <tpl fld="1" item="0"/>
        </tpls>
      </n>
      <n v="166463389696">
        <tpls c="8">
          <tpl hier="2" item="0"/>
          <tpl hier="4" item="1"/>
          <tpl fld="2" item="20"/>
          <tpl fld="4" item="2"/>
          <tpl hier="9" item="4"/>
          <tpl hier="11" item="6"/>
          <tpl hier="12" item="5"/>
          <tpl fld="1" item="0"/>
        </tpls>
      </n>
      <n v="35189301248">
        <tpls c="8">
          <tpl hier="2" item="0"/>
          <tpl hier="4" item="1"/>
          <tpl fld="2" item="4"/>
          <tpl fld="4" item="2"/>
          <tpl hier="9" item="4"/>
          <tpl hier="11" item="6"/>
          <tpl hier="12" item="5"/>
          <tpl fld="1" item="0"/>
        </tpls>
      </n>
      <n v="927805210624">
        <tpls c="8">
          <tpl hier="2" item="0"/>
          <tpl hier="4" item="1"/>
          <tpl fld="2" item="39"/>
          <tpl fld="4" item="1"/>
          <tpl hier="9" item="4"/>
          <tpl hier="11" item="6"/>
          <tpl hier="12" item="5"/>
          <tpl fld="1" item="0"/>
        </tpls>
      </n>
      <n v="311544414208">
        <tpls c="8">
          <tpl hier="2" item="0"/>
          <tpl hier="4" item="1"/>
          <tpl fld="2" item="23"/>
          <tpl fld="4" item="1"/>
          <tpl hier="9" item="4"/>
          <tpl hier="11" item="6"/>
          <tpl hier="12" item="5"/>
          <tpl fld="1" item="0"/>
        </tpls>
      </n>
      <n v="110201880576">
        <tpls c="8">
          <tpl hier="2" item="0"/>
          <tpl hier="4" item="1"/>
          <tpl fld="2" item="7"/>
          <tpl fld="4" item="1"/>
          <tpl hier="9" item="4"/>
          <tpl hier="11" item="6"/>
          <tpl hier="12" item="5"/>
          <tpl fld="1" item="0"/>
        </tpls>
      </n>
      <n v="3188808960">
        <tpls c="8">
          <tpl hier="2" item="0"/>
          <tpl hier="4" item="1"/>
          <tpl fld="2" item="42"/>
          <tpl fld="4" item="0"/>
          <tpl hier="9" item="4"/>
          <tpl hier="11" item="6"/>
          <tpl hier="12" item="5"/>
          <tpl fld="1" item="0"/>
        </tpls>
      </n>
      <n v="1223945344">
        <tpls c="8">
          <tpl hier="2" item="0"/>
          <tpl hier="4" item="1"/>
          <tpl fld="2" item="26"/>
          <tpl fld="4" item="0"/>
          <tpl hier="9" item="4"/>
          <tpl hier="11" item="6"/>
          <tpl hier="12" item="5"/>
          <tpl fld="1" item="0"/>
        </tpls>
      </n>
      <n v="446416096">
        <tpls c="8">
          <tpl hier="2" item="0"/>
          <tpl hier="4" item="1"/>
          <tpl fld="2" item="10"/>
          <tpl fld="4" item="0"/>
          <tpl hier="9" item="4"/>
          <tpl hier="11" item="6"/>
          <tpl hier="12" item="5"/>
          <tpl fld="1" item="0"/>
        </tpls>
      </n>
      <n v="11061553004544">
        <tpls c="8">
          <tpl hier="2" item="0"/>
          <tpl hier="4" item="1"/>
          <tpl fld="2" item="45"/>
          <tpl fld="3" item="0"/>
          <tpl hier="9" item="4"/>
          <tpl hier="11" item="6"/>
          <tpl hier="12" item="5"/>
          <tpl fld="1" item="0"/>
        </tpls>
      </n>
      <n v="1093997297664">
        <tpls c="8">
          <tpl hier="2" item="0"/>
          <tpl hier="4" item="1"/>
          <tpl fld="2" item="29"/>
          <tpl fld="3" item="0"/>
          <tpl hier="9" item="4"/>
          <tpl hier="11" item="6"/>
          <tpl hier="12" item="5"/>
          <tpl fld="1" item="0"/>
        </tpls>
      </n>
      <n v="230686752768">
        <tpls c="8">
          <tpl hier="2" item="0"/>
          <tpl hier="4" item="1"/>
          <tpl fld="2" item="13"/>
          <tpl fld="3" item="0"/>
          <tpl hier="9" item="4"/>
          <tpl hier="11" item="6"/>
          <tpl hier="12" item="5"/>
          <tpl fld="1" item="0"/>
        </tpls>
      </n>
      <n v="7438183424">
        <tpls c="8">
          <tpl hier="2" item="0"/>
          <tpl hier="4" item="1"/>
          <tpl fld="2" item="26"/>
          <tpl fld="4" item="10"/>
          <tpl hier="9" item="4"/>
          <tpl hier="11" item="6"/>
          <tpl hier="12" item="5"/>
          <tpl fld="1" item="0"/>
        </tpls>
      </n>
      <n v="2196126040064">
        <tpls c="8">
          <tpl hier="2" item="0"/>
          <tpl hier="4" item="1"/>
          <tpl fld="2" item="35"/>
          <tpl fld="4" item="7"/>
          <tpl hier="9" item="4"/>
          <tpl hier="11" item="6"/>
          <tpl hier="12" item="5"/>
          <tpl fld="1" item="0"/>
        </tpls>
      </n>
      <n v="31849515008">
        <tpls c="8">
          <tpl hier="2" item="0"/>
          <tpl hier="4" item="1"/>
          <tpl fld="2" item="6"/>
          <tpl fld="4" item="6"/>
          <tpl hier="9" item="4"/>
          <tpl hier="11" item="6"/>
          <tpl hier="12" item="5"/>
          <tpl fld="1" item="0"/>
        </tpls>
      </n>
      <n v="1803533156352">
        <tpls c="8">
          <tpl hier="2" item="0"/>
          <tpl hier="4" item="1"/>
          <tpl fld="2" item="44"/>
          <tpl fld="4" item="4"/>
          <tpl hier="9" item="4"/>
          <tpl hier="11" item="6"/>
          <tpl hier="12" item="5"/>
          <tpl fld="1" item="0"/>
        </tpls>
      </n>
      <n v="503788765184">
        <tpls c="8">
          <tpl hier="2" item="0"/>
          <tpl hier="4" item="1"/>
          <tpl fld="2" item="47"/>
          <tpl fld="4" item="3"/>
          <tpl hier="9" item="4"/>
          <tpl hier="11" item="6"/>
          <tpl hier="12" item="5"/>
          <tpl fld="1" item="0"/>
        </tpls>
      </n>
      <n v="300904218624">
        <tpls c="8">
          <tpl hier="2" item="0"/>
          <tpl hier="4" item="1"/>
          <tpl fld="2" item="34"/>
          <tpl fld="4" item="2"/>
          <tpl hier="9" item="4"/>
          <tpl hier="11" item="6"/>
          <tpl hier="12" item="5"/>
          <tpl fld="1" item="0"/>
        </tpls>
      </n>
      <n v="325310414848">
        <tpls c="8">
          <tpl hier="2" item="0"/>
          <tpl hier="4" item="1"/>
          <tpl fld="2" item="21"/>
          <tpl fld="4" item="1"/>
          <tpl hier="9" item="4"/>
          <tpl hier="11" item="6"/>
          <tpl hier="12" item="5"/>
          <tpl fld="1" item="0"/>
        </tpls>
      </n>
      <n v="1017549120">
        <tpls c="8">
          <tpl hier="2" item="0"/>
          <tpl hier="4" item="1"/>
          <tpl fld="2" item="24"/>
          <tpl fld="4" item="0"/>
          <tpl hier="9" item="4"/>
          <tpl hier="11" item="6"/>
          <tpl hier="12" item="5"/>
          <tpl fld="1" item="0"/>
        </tpls>
      </n>
      <n v="961603960832">
        <tpls c="8">
          <tpl hier="2" item="0"/>
          <tpl hier="4" item="1"/>
          <tpl fld="2" item="27"/>
          <tpl fld="3" item="0"/>
          <tpl hier="9" item="4"/>
          <tpl hier="11" item="6"/>
          <tpl hier="12" item="5"/>
          <tpl fld="1" item="0"/>
        </tpls>
      </n>
      <n v="195866378240">
        <tpls c="8">
          <tpl hier="2" item="0"/>
          <tpl hier="4" item="1"/>
          <tpl fld="2" item="11"/>
          <tpl fld="3" item="0"/>
          <tpl hier="9" item="4"/>
          <tpl hier="11" item="6"/>
          <tpl hier="12" item="5"/>
          <tpl fld="1" item="0"/>
        </tpls>
      </n>
      <n v="38424989696">
        <tpls c="8">
          <tpl hier="2" item="0"/>
          <tpl hier="4" item="1"/>
          <tpl fld="2" item="11"/>
          <tpl fld="4" item="61"/>
          <tpl hier="9" item="4"/>
          <tpl hier="11" item="6"/>
          <tpl hier="12" item="5"/>
          <tpl fld="1" item="0"/>
        </tpls>
      </n>
      <n v="1054113408">
        <tpls c="8">
          <tpl hier="2" item="0"/>
          <tpl hier="4" item="1"/>
          <tpl fld="2" item="36"/>
          <tpl fld="4" item="53"/>
          <tpl hier="9" item="4"/>
          <tpl hier="11" item="6"/>
          <tpl hier="12" item="5"/>
          <tpl fld="1" item="0"/>
        </tpls>
      </n>
      <n v="11000146944">
        <tpls c="8">
          <tpl hier="2" item="0"/>
          <tpl hier="4" item="1"/>
          <tpl fld="2" item="25"/>
          <tpl fld="4" item="47"/>
          <tpl hier="9" item="4"/>
          <tpl hier="11" item="6"/>
          <tpl hier="12" item="5"/>
          <tpl fld="1" item="0"/>
        </tpls>
      </n>
      <n v="1607345408">
        <tpls c="8">
          <tpl hier="2" item="0"/>
          <tpl hier="4" item="1"/>
          <tpl fld="2" item="26"/>
          <tpl fld="4" item="41"/>
          <tpl hier="9" item="4"/>
          <tpl hier="11" item="6"/>
          <tpl hier="12" item="5"/>
          <tpl fld="1" item="0"/>
        </tpls>
      </n>
      <n v="400599252992">
        <tpls c="8">
          <tpl hier="2" item="0"/>
          <tpl hier="4" item="1"/>
          <tpl fld="2" item="22"/>
          <tpl fld="4" item="36"/>
          <tpl hier="9" item="4"/>
          <tpl hier="11" item="6"/>
          <tpl hier="12" item="5"/>
          <tpl fld="1" item="0"/>
        </tpls>
      </n>
      <n v="6179176448">
        <tpls c="8">
          <tpl hier="2" item="0"/>
          <tpl hier="4" item="1"/>
          <tpl fld="2" item="34"/>
          <tpl fld="4" item="33"/>
          <tpl hier="9" item="4"/>
          <tpl hier="11" item="6"/>
          <tpl hier="12" item="5"/>
          <tpl fld="1" item="0"/>
        </tpls>
      </n>
      <n v="1579399936">
        <tpls c="8">
          <tpl hier="2" item="0"/>
          <tpl hier="4" item="1"/>
          <tpl fld="2" item="43"/>
          <tpl fld="4" item="32"/>
          <tpl hier="9" item="4"/>
          <tpl hier="11" item="6"/>
          <tpl hier="12" item="5"/>
          <tpl fld="1" item="0"/>
        </tpls>
      </n>
      <n v="96905832">
        <tpls c="8">
          <tpl hier="2" item="0"/>
          <tpl hier="4" item="1"/>
          <tpl fld="2" item="6"/>
          <tpl fld="4" item="32"/>
          <tpl hier="9" item="4"/>
          <tpl hier="11" item="6"/>
          <tpl hier="12" item="5"/>
          <tpl fld="1" item="0"/>
        </tpls>
      </n>
      <n v="30957484032">
        <tpls c="8">
          <tpl hier="2" item="0"/>
          <tpl hier="4" item="1"/>
          <tpl fld="2" item="21"/>
          <tpl fld="4" item="31"/>
          <tpl hier="9" item="4"/>
          <tpl hier="11" item="6"/>
          <tpl hier="12" item="5"/>
          <tpl fld="1" item="0"/>
        </tpls>
      </n>
      <n v="10095760384">
        <tpls c="8">
          <tpl hier="2" item="0"/>
          <tpl hier="4" item="1"/>
          <tpl fld="2" item="40"/>
          <tpl fld="4" item="30"/>
          <tpl hier="9" item="4"/>
          <tpl hier="11" item="6"/>
          <tpl hier="12" item="5"/>
          <tpl fld="1" item="0"/>
        </tpls>
      </n>
      <n v="1578300032">
        <tpls c="8">
          <tpl hier="2" item="0"/>
          <tpl hier="4" item="1"/>
          <tpl fld="2" item="12"/>
          <tpl fld="4" item="30"/>
          <tpl hier="9" item="4"/>
          <tpl hier="11" item="6"/>
          <tpl hier="12" item="5"/>
          <tpl fld="1" item="0"/>
        </tpls>
      </n>
      <n v="232557264896">
        <tpls c="8">
          <tpl hier="2" item="0"/>
          <tpl hier="4" item="1"/>
          <tpl fld="2" item="36"/>
          <tpl fld="4" item="29"/>
          <tpl hier="9" item="4"/>
          <tpl hier="11" item="6"/>
          <tpl hier="12" item="5"/>
          <tpl fld="1" item="0"/>
        </tpls>
      </n>
      <n v="84307484672">
        <tpls c="8">
          <tpl hier="2" item="0"/>
          <tpl hier="4" item="1"/>
          <tpl fld="2" item="12"/>
          <tpl fld="4" item="29"/>
          <tpl hier="9" item="4"/>
          <tpl hier="11" item="6"/>
          <tpl hier="12" item="5"/>
          <tpl fld="1" item="0"/>
        </tpls>
      </n>
      <n v="161207746560">
        <tpls c="8">
          <tpl hier="2" item="0"/>
          <tpl hier="4" item="1"/>
          <tpl fld="2" item="40"/>
          <tpl fld="4" item="28"/>
          <tpl hier="9" item="4"/>
          <tpl hier="11" item="6"/>
          <tpl hier="12" item="5"/>
          <tpl fld="1" item="0"/>
        </tpls>
      </n>
      <n v="66742267904">
        <tpls c="8">
          <tpl hier="2" item="0"/>
          <tpl hier="4" item="1"/>
          <tpl fld="2" item="17"/>
          <tpl fld="4" item="28"/>
          <tpl hier="9" item="4"/>
          <tpl hier="11" item="6"/>
          <tpl hier="12" item="5"/>
          <tpl fld="1" item="0"/>
        </tpls>
      </n>
      <n v="18219297406976">
        <tpls c="8">
          <tpl hier="2" item="0"/>
          <tpl hier="4" item="1"/>
          <tpl fld="2" item="45"/>
          <tpl fld="4" item="27"/>
          <tpl hier="9" item="4"/>
          <tpl hier="11" item="6"/>
          <tpl hier="12" item="5"/>
          <tpl fld="1" item="0"/>
        </tpls>
      </n>
      <n v="6158129037312">
        <tpls c="8">
          <tpl hier="2" item="0"/>
          <tpl hier="4" item="1"/>
          <tpl fld="2" item="21"/>
          <tpl fld="4" item="27"/>
          <tpl hier="9" item="4"/>
          <tpl hier="11" item="6"/>
          <tpl hier="12" item="5"/>
          <tpl fld="1" item="0"/>
        </tpls>
      </n>
      <n v="2827113201664">
        <tpls c="8">
          <tpl hier="2" item="0"/>
          <tpl hier="4" item="1"/>
          <tpl fld="2" item="49"/>
          <tpl fld="4" item="26"/>
          <tpl hier="9" item="4"/>
          <tpl hier="11" item="6"/>
          <tpl hier="12" item="5"/>
          <tpl fld="1" item="0"/>
        </tpls>
      </n>
      <n v="1341584310272">
        <tpls c="8">
          <tpl hier="2" item="0"/>
          <tpl hier="4" item="1"/>
          <tpl fld="2" item="25"/>
          <tpl fld="4" item="26"/>
          <tpl hier="9" item="4"/>
          <tpl hier="11" item="6"/>
          <tpl hier="12" item="5"/>
          <tpl fld="1" item="0"/>
        </tpls>
      </n>
      <n v="169965027328">
        <tpls c="8">
          <tpl hier="2" item="0"/>
          <tpl hier="4" item="1"/>
          <tpl fld="2" item="2"/>
          <tpl fld="4" item="26"/>
          <tpl hier="9" item="4"/>
          <tpl hier="11" item="6"/>
          <tpl hier="12" item="5"/>
          <tpl fld="1" item="0"/>
        </tpls>
      </n>
      <n v="301416808448">
        <tpls c="8">
          <tpl hier="2" item="0"/>
          <tpl hier="4" item="1"/>
          <tpl fld="2" item="32"/>
          <tpl fld="4" item="25"/>
          <tpl hier="9" item="4"/>
          <tpl hier="11" item="6"/>
          <tpl hier="12" item="5"/>
          <tpl fld="1" item="0"/>
        </tpls>
      </n>
      <n v="108993978368">
        <tpls c="8">
          <tpl hier="2" item="0"/>
          <tpl hier="4" item="1"/>
          <tpl fld="2" item="11"/>
          <tpl fld="4" item="25"/>
          <tpl hier="9" item="4"/>
          <tpl hier="11" item="6"/>
          <tpl hier="12" item="5"/>
          <tpl fld="1" item="0"/>
        </tpls>
      </n>
      <n v="586841849856">
        <tpls c="8">
          <tpl hier="2" item="0"/>
          <tpl hier="4" item="1"/>
          <tpl fld="2" item="43"/>
          <tpl fld="4" item="24"/>
          <tpl hier="9" item="4"/>
          <tpl hier="11" item="6"/>
          <tpl hier="12" item="5"/>
          <tpl fld="1" item="0"/>
        </tpls>
      </n>
      <n v="212953333760">
        <tpls c="8">
          <tpl hier="2" item="0"/>
          <tpl hier="4" item="1"/>
          <tpl fld="2" item="23"/>
          <tpl fld="4" item="24"/>
          <tpl hier="9" item="4"/>
          <tpl hier="11" item="6"/>
          <tpl hier="12" item="5"/>
          <tpl fld="1" item="0"/>
        </tpls>
      </n>
      <n v="66013339648">
        <tpls c="8">
          <tpl hier="2" item="0"/>
          <tpl hier="4" item="1"/>
          <tpl fld="2" item="4"/>
          <tpl fld="4" item="24"/>
          <tpl hier="9" item="4"/>
          <tpl hier="11" item="6"/>
          <tpl hier="12" item="5"/>
          <tpl fld="1" item="0"/>
        </tpls>
      </n>
      <n v="1067093393408">
        <tpls c="8">
          <tpl hier="2" item="0"/>
          <tpl hier="4" item="1"/>
          <tpl fld="2" item="34"/>
          <tpl fld="4" item="23"/>
          <tpl hier="9" item="4"/>
          <tpl hier="11" item="6"/>
          <tpl hier="12" item="5"/>
          <tpl fld="1" item="0"/>
        </tpls>
      </n>
      <n v="180793458688">
        <tpls c="8">
          <tpl hier="2" item="0"/>
          <tpl hier="4" item="1"/>
          <tpl fld="2" item="15"/>
          <tpl fld="4" item="23"/>
          <tpl hier="9" item="4"/>
          <tpl hier="11" item="6"/>
          <tpl hier="12" item="5"/>
          <tpl fld="1" item="0"/>
        </tpls>
      </n>
      <n v="1500111568896">
        <tpls c="8">
          <tpl hier="2" item="0"/>
          <tpl hier="4" item="1"/>
          <tpl fld="2" item="46"/>
          <tpl fld="4" item="22"/>
          <tpl hier="9" item="4"/>
          <tpl hier="11" item="6"/>
          <tpl hier="12" item="5"/>
          <tpl fld="1" item="0"/>
        </tpls>
      </n>
      <n v="569754517504">
        <tpls c="8">
          <tpl hier="2" item="0"/>
          <tpl hier="4" item="1"/>
          <tpl fld="2" item="27"/>
          <tpl fld="4" item="22"/>
          <tpl hier="9" item="4"/>
          <tpl hier="11" item="6"/>
          <tpl hier="12" item="5"/>
          <tpl fld="1" item="0"/>
        </tpls>
      </n>
      <n v="51972108288">
        <tpls c="8">
          <tpl hier="2" item="0"/>
          <tpl hier="4" item="1"/>
          <tpl fld="2" item="8"/>
          <tpl fld="4" item="22"/>
          <tpl hier="9" item="4"/>
          <tpl hier="11" item="6"/>
          <tpl hier="12" item="5"/>
          <tpl fld="1" item="0"/>
        </tpls>
      </n>
      <n v="194152284160">
        <tpls c="8">
          <tpl hier="2" item="0"/>
          <tpl hier="4" item="1"/>
          <tpl fld="2" item="39"/>
          <tpl fld="4" item="21"/>
          <tpl hier="9" item="4"/>
          <tpl hier="11" item="6"/>
          <tpl hier="12" item="5"/>
          <tpl fld="1" item="0"/>
        </tpls>
      </n>
      <n v="45466165248">
        <tpls c="8">
          <tpl hier="2" item="0"/>
          <tpl hier="4" item="1"/>
          <tpl fld="2" item="21"/>
          <tpl fld="4" item="21"/>
          <tpl hier="9" item="4"/>
          <tpl hier="11" item="6"/>
          <tpl hier="12" item="5"/>
          <tpl fld="1" item="0"/>
        </tpls>
      </n>
      <n v="3696213248">
        <tpls c="8">
          <tpl hier="2" item="0"/>
          <tpl hier="4" item="1"/>
          <tpl fld="2" item="3"/>
          <tpl fld="4" item="21"/>
          <tpl hier="9" item="4"/>
          <tpl hier="11" item="6"/>
          <tpl hier="12" item="5"/>
          <tpl fld="1" item="0"/>
        </tpls>
      </n>
      <n v="208581689344">
        <tpls c="8">
          <tpl hier="2" item="0"/>
          <tpl hier="4" item="1"/>
          <tpl fld="2" item="36"/>
          <tpl fld="4" item="20"/>
          <tpl hier="9" item="4"/>
          <tpl hier="11" item="6"/>
          <tpl hier="12" item="5"/>
          <tpl fld="1" item="0"/>
        </tpls>
      </n>
      <n v="56347250688">
        <tpls c="8">
          <tpl hier="2" item="0"/>
          <tpl hier="4" item="1"/>
          <tpl fld="2" item="18"/>
          <tpl fld="4" item="20"/>
          <tpl hier="9" item="4"/>
          <tpl hier="11" item="6"/>
          <tpl hier="12" item="5"/>
          <tpl fld="1" item="0"/>
        </tpls>
      </n>
      <n v="8108234752">
        <tpls c="8">
          <tpl hier="2" item="0"/>
          <tpl hier="4" item="1"/>
          <tpl fld="2" item="0"/>
          <tpl fld="4" item="20"/>
          <tpl hier="9" item="4"/>
          <tpl hier="11" item="6"/>
          <tpl hier="12" item="5"/>
          <tpl fld="1" item="0"/>
        </tpls>
      </n>
      <n v="264511635456">
        <tpls c="8">
          <tpl hier="2" item="0"/>
          <tpl hier="4" item="1"/>
          <tpl fld="2" item="34"/>
          <tpl fld="4" item="19"/>
          <tpl hier="9" item="4"/>
          <tpl hier="11" item="6"/>
          <tpl hier="12" item="5"/>
          <tpl fld="1" item="0"/>
        </tpls>
      </n>
      <n v="94230052864">
        <tpls c="8">
          <tpl hier="2" item="0"/>
          <tpl hier="4" item="1"/>
          <tpl fld="2" item="17"/>
          <tpl fld="4" item="19"/>
          <tpl hier="9" item="4"/>
          <tpl hier="11" item="6"/>
          <tpl hier="12" item="5"/>
          <tpl fld="1" item="0"/>
        </tpls>
      </n>
      <n v="12814123008">
        <tpls c="8">
          <tpl hier="2" item="0"/>
          <tpl hier="4" item="1"/>
          <tpl fld="2" item="0"/>
          <tpl fld="4" item="19"/>
          <tpl hier="9" item="4"/>
          <tpl hier="11" item="6"/>
          <tpl hier="12" item="5"/>
          <tpl fld="1" item="0"/>
        </tpls>
      </n>
      <n v="114720129024">
        <tpls c="8">
          <tpl hier="2" item="0"/>
          <tpl hier="4" item="1"/>
          <tpl fld="2" item="35"/>
          <tpl fld="4" item="18"/>
          <tpl hier="9" item="4"/>
          <tpl hier="11" item="6"/>
          <tpl hier="12" item="5"/>
          <tpl fld="1" item="0"/>
        </tpls>
      </n>
      <n v="43920224256">
        <tpls c="8">
          <tpl hier="2" item="0"/>
          <tpl hier="4" item="1"/>
          <tpl fld="2" item="19"/>
          <tpl fld="4" item="18"/>
          <tpl hier="9" item="4"/>
          <tpl hier="11" item="6"/>
          <tpl hier="12" item="5"/>
          <tpl fld="1" item="0"/>
        </tpls>
      </n>
      <n v="12802281472">
        <tpls c="8">
          <tpl hier="2" item="0"/>
          <tpl hier="4" item="1"/>
          <tpl fld="2" item="3"/>
          <tpl fld="4" item="18"/>
          <tpl hier="9" item="4"/>
          <tpl hier="11" item="6"/>
          <tpl hier="12" item="5"/>
          <tpl fld="1" item="0"/>
        </tpls>
      </n>
      <n v="947997638656">
        <tpls c="8">
          <tpl hier="2" item="0"/>
          <tpl hier="4" item="1"/>
          <tpl fld="2" item="38"/>
          <tpl fld="4" item="17"/>
          <tpl hier="9" item="4"/>
          <tpl hier="11" item="6"/>
          <tpl hier="12" item="5"/>
          <tpl fld="1" item="0"/>
        </tpls>
      </n>
      <n v="362962878464">
        <tpls c="8">
          <tpl hier="2" item="0"/>
          <tpl hier="4" item="1"/>
          <tpl fld="2" item="22"/>
          <tpl fld="4" item="17"/>
          <tpl hier="9" item="4"/>
          <tpl hier="11" item="6"/>
          <tpl hier="12" item="5"/>
          <tpl fld="1" item="0"/>
        </tpls>
      </n>
      <n v="109168721920">
        <tpls c="8">
          <tpl hier="2" item="0"/>
          <tpl hier="4" item="1"/>
          <tpl fld="2" item="6"/>
          <tpl fld="4" item="17"/>
          <tpl hier="9" item="4"/>
          <tpl hier="11" item="6"/>
          <tpl hier="12" item="5"/>
          <tpl fld="1" item="0"/>
        </tpls>
      </n>
      <n v="9515297792">
        <tpls c="8">
          <tpl hier="2" item="0"/>
          <tpl hier="4" item="1"/>
          <tpl fld="2" item="41"/>
          <tpl fld="4" item="16"/>
          <tpl hier="9" item="4"/>
          <tpl hier="11" item="6"/>
          <tpl hier="12" item="5"/>
          <tpl fld="1" item="0"/>
        </tpls>
      </n>
      <n v="3439931904">
        <tpls c="8">
          <tpl hier="2" item="0"/>
          <tpl hier="4" item="1"/>
          <tpl fld="2" item="25"/>
          <tpl fld="4" item="16"/>
          <tpl hier="9" item="4"/>
          <tpl hier="11" item="6"/>
          <tpl hier="12" item="5"/>
          <tpl fld="1" item="0"/>
        </tpls>
      </n>
      <n v="1001300864">
        <tpls c="8">
          <tpl hier="2" item="0"/>
          <tpl hier="4" item="1"/>
          <tpl fld="2" item="9"/>
          <tpl fld="4" item="16"/>
          <tpl hier="9" item="4"/>
          <tpl hier="11" item="6"/>
          <tpl hier="12" item="5"/>
          <tpl fld="1" item="0"/>
        </tpls>
      </n>
      <n v="66103853056">
        <tpls c="8">
          <tpl hier="2" item="0"/>
          <tpl hier="4" item="1"/>
          <tpl fld="2" item="44"/>
          <tpl fld="4" item="15"/>
          <tpl hier="9" item="4"/>
          <tpl hier="11" item="6"/>
          <tpl hier="12" item="5"/>
          <tpl fld="1" item="0"/>
        </tpls>
      </n>
      <n v="20209121280">
        <tpls c="8">
          <tpl hier="2" item="0"/>
          <tpl hier="4" item="1"/>
          <tpl fld="2" item="28"/>
          <tpl fld="4" item="15"/>
          <tpl hier="9" item="4"/>
          <tpl hier="11" item="6"/>
          <tpl hier="12" item="5"/>
          <tpl fld="1" item="0"/>
        </tpls>
      </n>
      <n v="4764549632">
        <tpls c="8">
          <tpl hier="2" item="0"/>
          <tpl hier="4" item="1"/>
          <tpl fld="2" item="12"/>
          <tpl fld="4" item="15"/>
          <tpl hier="9" item="4"/>
          <tpl hier="11" item="6"/>
          <tpl hier="12" item="5"/>
          <tpl fld="1" item="0"/>
        </tpls>
      </n>
      <n v="4866864316416">
        <tpls c="8">
          <tpl hier="2" item="0"/>
          <tpl hier="4" item="1"/>
          <tpl fld="2" item="47"/>
          <tpl fld="4" item="14"/>
          <tpl hier="9" item="4"/>
          <tpl hier="11" item="6"/>
          <tpl hier="12" item="5"/>
          <tpl fld="1" item="0"/>
        </tpls>
      </n>
      <n v="4303544385536">
        <tpls c="8">
          <tpl hier="2" item="0"/>
          <tpl hier="4" item="1"/>
          <tpl fld="2" item="31"/>
          <tpl fld="4" item="14"/>
          <tpl hier="9" item="4"/>
          <tpl hier="11" item="6"/>
          <tpl hier="12" item="5"/>
          <tpl fld="1" item="0"/>
        </tpls>
      </n>
      <n v="1398892789760">
        <tpls c="8">
          <tpl hier="2" item="0"/>
          <tpl hier="4" item="1"/>
          <tpl fld="2" item="15"/>
          <tpl fld="4" item="14"/>
          <tpl hier="9" item="4"/>
          <tpl hier="11" item="6"/>
          <tpl hier="12" item="5"/>
          <tpl fld="1" item="0"/>
        </tpls>
      </n>
      <n v="58413502324736">
        <tpls c="8">
          <tpl hier="2" item="0"/>
          <tpl hier="4" item="1"/>
          <tpl hier="5" item="3"/>
          <tpl fld="4" item="13"/>
          <tpl hier="9" item="4"/>
          <tpl hier="11" item="6"/>
          <tpl hier="12" item="5"/>
          <tpl fld="1" item="0"/>
        </tpls>
      </n>
      <n v="1803226972160">
        <tpls c="8">
          <tpl hier="2" item="0"/>
          <tpl hier="4" item="1"/>
          <tpl fld="2" item="34"/>
          <tpl fld="4" item="13"/>
          <tpl hier="9" item="4"/>
          <tpl hier="11" item="6"/>
          <tpl hier="12" item="5"/>
          <tpl fld="1" item="0"/>
        </tpls>
      </n>
      <n v="891608956928">
        <tpls c="8">
          <tpl hier="2" item="0"/>
          <tpl hier="4" item="1"/>
          <tpl fld="2" item="18"/>
          <tpl fld="4" item="13"/>
          <tpl hier="9" item="4"/>
          <tpl hier="11" item="6"/>
          <tpl hier="12" item="5"/>
          <tpl fld="1" item="0"/>
        </tpls>
      </n>
      <n v="145260036096">
        <tpls c="8">
          <tpl hier="2" item="0"/>
          <tpl hier="4" item="1"/>
          <tpl fld="2" item="2"/>
          <tpl fld="4" item="13"/>
          <tpl hier="9" item="4"/>
          <tpl hier="11" item="6"/>
          <tpl hier="12" item="5"/>
          <tpl fld="1" item="0"/>
        </tpls>
      </n>
      <n v="178959187968">
        <tpls c="8">
          <tpl hier="2" item="0"/>
          <tpl hier="4" item="1"/>
          <tpl fld="2" item="37"/>
          <tpl fld="4" item="12"/>
          <tpl hier="9" item="4"/>
          <tpl hier="11" item="6"/>
          <tpl hier="12" item="5"/>
          <tpl fld="1" item="0"/>
        </tpls>
      </n>
      <n v="67558014976">
        <tpls c="8">
          <tpl hier="2" item="0"/>
          <tpl hier="4" item="1"/>
          <tpl fld="2" item="21"/>
          <tpl fld="4" item="12"/>
          <tpl hier="9" item="4"/>
          <tpl hier="11" item="6"/>
          <tpl hier="12" item="5"/>
          <tpl fld="1" item="0"/>
        </tpls>
      </n>
      <n v="15360166912">
        <tpls c="8">
          <tpl hier="2" item="0"/>
          <tpl hier="4" item="1"/>
          <tpl fld="2" item="5"/>
          <tpl fld="4" item="12"/>
          <tpl hier="9" item="4"/>
          <tpl hier="11" item="6"/>
          <tpl hier="12" item="5"/>
          <tpl fld="1" item="0"/>
        </tpls>
      </n>
      <n v="222148755456">
        <tpls c="8">
          <tpl hier="2" item="0"/>
          <tpl hier="4" item="1"/>
          <tpl fld="2" item="40"/>
          <tpl fld="4" item="11"/>
          <tpl hier="9" item="4"/>
          <tpl hier="11" item="6"/>
          <tpl hier="12" item="5"/>
          <tpl fld="1" item="0"/>
        </tpls>
      </n>
      <n v="57166036992">
        <tpls c="8">
          <tpl hier="2" item="0"/>
          <tpl hier="4" item="1"/>
          <tpl fld="2" item="24"/>
          <tpl fld="4" item="11"/>
          <tpl hier="9" item="4"/>
          <tpl hier="11" item="6"/>
          <tpl hier="12" item="5"/>
          <tpl fld="1" item="0"/>
        </tpls>
      </n>
      <n v="14665538560">
        <tpls c="8">
          <tpl hier="2" item="0"/>
          <tpl hier="4" item="1"/>
          <tpl fld="2" item="8"/>
          <tpl fld="4" item="11"/>
          <tpl hier="9" item="4"/>
          <tpl hier="11" item="6"/>
          <tpl hier="12" item="5"/>
          <tpl fld="1" item="0"/>
        </tpls>
      </n>
      <n v="16033517568">
        <tpls c="8">
          <tpl hier="2" item="0"/>
          <tpl hier="4" item="1"/>
          <tpl fld="2" item="43"/>
          <tpl fld="4" item="10"/>
          <tpl hier="9" item="4"/>
          <tpl hier="11" item="6"/>
          <tpl hier="12" item="5"/>
          <tpl fld="1" item="0"/>
        </tpls>
      </n>
      <n v="7580988928">
        <tpls c="8">
          <tpl hier="2" item="0"/>
          <tpl hier="4" item="1"/>
          <tpl fld="2" item="27"/>
          <tpl fld="4" item="10"/>
          <tpl hier="9" item="4"/>
          <tpl hier="11" item="6"/>
          <tpl hier="12" item="5"/>
          <tpl fld="1" item="0"/>
        </tpls>
      </n>
      <n v="3498247424">
        <tpls c="8">
          <tpl hier="2" item="0"/>
          <tpl hier="4" item="1"/>
          <tpl fld="2" item="11"/>
          <tpl fld="4" item="10"/>
          <tpl hier="9" item="4"/>
          <tpl hier="11" item="6"/>
          <tpl hier="12" item="5"/>
          <tpl fld="1" item="0"/>
        </tpls>
      </n>
      <n v="195222437888">
        <tpls c="8">
          <tpl hier="2" item="0"/>
          <tpl hier="4" item="1"/>
          <tpl fld="2" item="46"/>
          <tpl fld="4" item="9"/>
          <tpl hier="9" item="4"/>
          <tpl hier="11" item="6"/>
          <tpl hier="12" item="5"/>
          <tpl fld="1" item="0"/>
        </tpls>
      </n>
      <n v="130133843968">
        <tpls c="8">
          <tpl hier="2" item="0"/>
          <tpl hier="4" item="1"/>
          <tpl fld="2" item="30"/>
          <tpl fld="4" item="9"/>
          <tpl hier="9" item="4"/>
          <tpl hier="11" item="6"/>
          <tpl hier="12" item="5"/>
          <tpl fld="1" item="0"/>
        </tpls>
      </n>
      <n v="48020025344">
        <tpls c="8">
          <tpl hier="2" item="0"/>
          <tpl hier="4" item="1"/>
          <tpl fld="2" item="14"/>
          <tpl fld="4" item="9"/>
          <tpl hier="9" item="4"/>
          <tpl hier="11" item="6"/>
          <tpl hier="12" item="5"/>
          <tpl fld="1" item="0"/>
        </tpls>
      </n>
      <n v="3845629935616">
        <tpls c="8">
          <tpl hier="2" item="0"/>
          <tpl hier="4" item="1"/>
          <tpl fld="2" item="49"/>
          <tpl fld="4" item="8"/>
          <tpl hier="9" item="4"/>
          <tpl hier="11" item="6"/>
          <tpl hier="12" item="5"/>
          <tpl fld="1" item="0"/>
        </tpls>
      </n>
      <n v="2496128614400">
        <tpls c="8">
          <tpl hier="2" item="0"/>
          <tpl hier="4" item="1"/>
          <tpl fld="2" item="33"/>
          <tpl fld="4" item="8"/>
          <tpl hier="9" item="4"/>
          <tpl hier="11" item="6"/>
          <tpl hier="12" item="5"/>
          <tpl fld="1" item="0"/>
        </tpls>
      </n>
      <n v="1298176147456">
        <tpls c="8">
          <tpl hier="2" item="0"/>
          <tpl hier="4" item="1"/>
          <tpl fld="2" item="17"/>
          <tpl fld="4" item="8"/>
          <tpl hier="9" item="4"/>
          <tpl hier="11" item="6"/>
          <tpl hier="12" item="5"/>
          <tpl fld="1" item="0"/>
        </tpls>
      </n>
      <n v="249985056768">
        <tpls c="8">
          <tpl hier="2" item="0"/>
          <tpl hier="4" item="1"/>
          <tpl fld="2" item="1"/>
          <tpl fld="4" item="8"/>
          <tpl hier="9" item="4"/>
          <tpl hier="11" item="6"/>
          <tpl hier="12" item="5"/>
          <tpl fld="1" item="0"/>
        </tpls>
      </n>
      <n v="2318593687552">
        <tpls c="8">
          <tpl hier="2" item="0"/>
          <tpl hier="4" item="1"/>
          <tpl fld="2" item="36"/>
          <tpl fld="4" item="7"/>
          <tpl hier="9" item="4"/>
          <tpl hier="11" item="6"/>
          <tpl hier="12" item="5"/>
          <tpl fld="1" item="0"/>
        </tpls>
      </n>
      <n v="1269179613184">
        <tpls c="8">
          <tpl hier="2" item="0"/>
          <tpl hier="4" item="1"/>
          <tpl fld="2" item="20"/>
          <tpl fld="4" item="7"/>
          <tpl hier="9" item="4"/>
          <tpl hier="11" item="6"/>
          <tpl hier="12" item="5"/>
          <tpl fld="1" item="0"/>
        </tpls>
      </n>
      <n v="285552377856">
        <tpls c="8">
          <tpl hier="2" item="0"/>
          <tpl hier="4" item="1"/>
          <tpl fld="2" item="4"/>
          <tpl fld="4" item="7"/>
          <tpl hier="9" item="4"/>
          <tpl hier="11" item="6"/>
          <tpl hier="12" item="5"/>
          <tpl fld="1" item="0"/>
        </tpls>
      </n>
      <n v="252496527360">
        <tpls c="8">
          <tpl hier="2" item="0"/>
          <tpl hier="4" item="1"/>
          <tpl fld="2" item="39"/>
          <tpl fld="4" item="6"/>
          <tpl hier="9" item="4"/>
          <tpl hier="11" item="6"/>
          <tpl hier="12" item="5"/>
          <tpl fld="1" item="0"/>
        </tpls>
      </n>
      <n v="89214115840">
        <tpls c="8">
          <tpl hier="2" item="0"/>
          <tpl hier="4" item="1"/>
          <tpl fld="2" item="23"/>
          <tpl fld="4" item="6"/>
          <tpl hier="9" item="4"/>
          <tpl hier="11" item="6"/>
          <tpl hier="12" item="5"/>
          <tpl fld="1" item="0"/>
        </tpls>
      </n>
      <n v="33499799552">
        <tpls c="8">
          <tpl hier="2" item="0"/>
          <tpl hier="4" item="1"/>
          <tpl fld="2" item="7"/>
          <tpl fld="4" item="6"/>
          <tpl hier="9" item="4"/>
          <tpl hier="11" item="6"/>
          <tpl hier="12" item="5"/>
          <tpl fld="1" item="0"/>
        </tpls>
      </n>
      <n v="327148929024">
        <tpls c="8">
          <tpl hier="2" item="0"/>
          <tpl hier="4" item="1"/>
          <tpl fld="2" item="42"/>
          <tpl fld="4" item="5"/>
          <tpl hier="9" item="4"/>
          <tpl hier="11" item="6"/>
          <tpl hier="12" item="5"/>
          <tpl fld="1" item="0"/>
        </tpls>
      </n>
      <n v="187632353280">
        <tpls c="8">
          <tpl hier="2" item="0"/>
          <tpl hier="4" item="1"/>
          <tpl fld="2" item="26"/>
          <tpl fld="4" item="5"/>
          <tpl hier="9" item="4"/>
          <tpl hier="11" item="6"/>
          <tpl hier="12" item="5"/>
          <tpl fld="1" item="0"/>
        </tpls>
      </n>
      <n v="71127531520">
        <tpls c="8">
          <tpl hier="2" item="0"/>
          <tpl hier="4" item="1"/>
          <tpl fld="2" item="10"/>
          <tpl fld="4" item="5"/>
          <tpl hier="9" item="4"/>
          <tpl hier="11" item="6"/>
          <tpl hier="12" item="5"/>
          <tpl fld="1" item="0"/>
        </tpls>
      </n>
      <n v="1556129513472">
        <tpls c="8">
          <tpl hier="2" item="0"/>
          <tpl hier="4" item="1"/>
          <tpl fld="2" item="45"/>
          <tpl fld="4" item="4"/>
          <tpl hier="9" item="4"/>
          <tpl hier="11" item="6"/>
          <tpl hier="12" item="5"/>
          <tpl fld="1" item="0"/>
        </tpls>
      </n>
      <n v="676083990528">
        <tpls c="8">
          <tpl hier="2" item="0"/>
          <tpl hier="4" item="1"/>
          <tpl fld="2" item="29"/>
          <tpl fld="4" item="4"/>
          <tpl hier="9" item="4"/>
          <tpl hier="11" item="6"/>
          <tpl hier="12" item="5"/>
          <tpl fld="1" item="0"/>
        </tpls>
      </n>
      <n v="340547698688">
        <tpls c="8">
          <tpl hier="2" item="0"/>
          <tpl hier="4" item="1"/>
          <tpl fld="2" item="13"/>
          <tpl fld="4" item="4"/>
          <tpl hier="9" item="4"/>
          <tpl hier="11" item="6"/>
          <tpl hier="12" item="5"/>
          <tpl fld="1" item="0"/>
        </tpls>
      </n>
      <n v="542685921280">
        <tpls c="8">
          <tpl hier="2" item="0"/>
          <tpl hier="4" item="1"/>
          <tpl fld="2" item="48"/>
          <tpl fld="4" item="3"/>
          <tpl hier="9" item="4"/>
          <tpl hier="11" item="6"/>
          <tpl hier="12" item="5"/>
          <tpl fld="1" item="0"/>
        </tpls>
      </n>
      <n v="257157824512">
        <tpls c="8">
          <tpl hier="2" item="0"/>
          <tpl hier="4" item="1"/>
          <tpl fld="2" item="32"/>
          <tpl fld="4" item="3"/>
          <tpl hier="9" item="4"/>
          <tpl hier="11" item="6"/>
          <tpl hier="12" item="5"/>
          <tpl fld="1" item="0"/>
        </tpls>
      </n>
      <n v="120018788352">
        <tpls c="8">
          <tpl hier="2" item="0"/>
          <tpl hier="4" item="1"/>
          <tpl fld="2" item="16"/>
          <tpl fld="4" item="3"/>
          <tpl hier="9" item="4"/>
          <tpl hier="11" item="6"/>
          <tpl hier="12" item="5"/>
          <tpl fld="1" item="0"/>
        </tpls>
      </n>
      <n v="26706196480">
        <tpls c="8">
          <tpl hier="2" item="0"/>
          <tpl hier="4" item="1"/>
          <tpl fld="2" item="0"/>
          <tpl fld="4" item="3"/>
          <tpl hier="9" item="4"/>
          <tpl hier="11" item="6"/>
          <tpl hier="12" item="5"/>
          <tpl fld="1" item="0"/>
        </tpls>
      </n>
      <n v="315974418432">
        <tpls c="8">
          <tpl hier="2" item="0"/>
          <tpl hier="4" item="1"/>
          <tpl fld="2" item="35"/>
          <tpl fld="4" item="2"/>
          <tpl hier="9" item="4"/>
          <tpl hier="11" item="6"/>
          <tpl hier="12" item="5"/>
          <tpl fld="1" item="0"/>
        </tpls>
      </n>
      <n v="133105803264">
        <tpls c="8">
          <tpl hier="2" item="0"/>
          <tpl hier="4" item="1"/>
          <tpl fld="2" item="19"/>
          <tpl fld="4" item="2"/>
          <tpl hier="9" item="4"/>
          <tpl hier="11" item="6"/>
          <tpl hier="12" item="5"/>
          <tpl fld="1" item="0"/>
        </tpls>
      </n>
      <n v="29515468800">
        <tpls c="8">
          <tpl hier="2" item="0"/>
          <tpl hier="4" item="1"/>
          <tpl fld="2" item="3"/>
          <tpl fld="4" item="2"/>
          <tpl hier="9" item="4"/>
          <tpl hier="11" item="6"/>
          <tpl hier="12" item="5"/>
          <tpl fld="1" item="0"/>
        </tpls>
      </n>
      <n v="1053995499520">
        <tpls c="8">
          <tpl hier="2" item="0"/>
          <tpl hier="4" item="1"/>
          <tpl fld="2" item="38"/>
          <tpl fld="4" item="1"/>
          <tpl hier="9" item="4"/>
          <tpl hier="11" item="6"/>
          <tpl hier="12" item="5"/>
          <tpl fld="1" item="0"/>
        </tpls>
      </n>
      <n v="324878860288">
        <tpls c="8">
          <tpl hier="2" item="0"/>
          <tpl hier="4" item="1"/>
          <tpl fld="2" item="22"/>
          <tpl fld="4" item="1"/>
          <tpl hier="9" item="4"/>
          <tpl hier="11" item="6"/>
          <tpl hier="12" item="5"/>
          <tpl fld="1" item="0"/>
        </tpls>
      </n>
      <n v="104921219072">
        <tpls c="8">
          <tpl hier="2" item="0"/>
          <tpl hier="4" item="1"/>
          <tpl fld="2" item="6"/>
          <tpl fld="4" item="1"/>
          <tpl hier="9" item="4"/>
          <tpl hier="11" item="6"/>
          <tpl hier="12" item="5"/>
          <tpl fld="1" item="0"/>
        </tpls>
      </n>
      <n v="3629203712">
        <tpls c="8">
          <tpl hier="2" item="0"/>
          <tpl hier="4" item="1"/>
          <tpl fld="2" item="41"/>
          <tpl fld="4" item="0"/>
          <tpl hier="9" item="4"/>
          <tpl hier="11" item="6"/>
          <tpl hier="12" item="5"/>
          <tpl fld="1" item="0"/>
        </tpls>
      </n>
      <n v="1178738944">
        <tpls c="8">
          <tpl hier="2" item="0"/>
          <tpl hier="4" item="1"/>
          <tpl fld="2" item="25"/>
          <tpl fld="4" item="0"/>
          <tpl hier="9" item="4"/>
          <tpl hier="11" item="6"/>
          <tpl hier="12" item="5"/>
          <tpl fld="1" item="0"/>
        </tpls>
      </n>
      <n v="411578336">
        <tpls c="8">
          <tpl hier="2" item="0"/>
          <tpl hier="4" item="1"/>
          <tpl fld="2" item="9"/>
          <tpl fld="4" item="0"/>
          <tpl hier="9" item="4"/>
          <tpl hier="11" item="6"/>
          <tpl hier="12" item="5"/>
          <tpl fld="1" item="0"/>
        </tpls>
      </n>
      <n v="10475683184640">
        <tpls c="8">
          <tpl hier="2" item="0"/>
          <tpl hier="4" item="1"/>
          <tpl fld="2" item="44"/>
          <tpl fld="3" item="0"/>
          <tpl hier="9" item="4"/>
          <tpl hier="11" item="6"/>
          <tpl hier="12" item="5"/>
          <tpl fld="1" item="0"/>
        </tpls>
      </n>
      <n v="1029043126272">
        <tpls c="8">
          <tpl hier="2" item="0"/>
          <tpl hier="4" item="1"/>
          <tpl fld="2" item="28"/>
          <tpl fld="3" item="0"/>
          <tpl hier="9" item="4"/>
          <tpl hier="11" item="6"/>
          <tpl hier="12" item="5"/>
          <tpl fld="1" item="0"/>
        </tpls>
      </n>
      <n v="205089701888">
        <tpls c="8">
          <tpl hier="2" item="0"/>
          <tpl hier="4" item="1"/>
          <tpl fld="2" item="12"/>
          <tpl fld="3" item="0"/>
          <tpl hier="9" item="4"/>
          <tpl hier="11" item="6"/>
          <tpl hier="12" item="5"/>
          <tpl fld="1" item="0"/>
        </tpls>
      </n>
      <n v="3386501888">
        <tpls c="8">
          <tpl hier="2" item="0"/>
          <tpl hier="4" item="1"/>
          <tpl fld="2" item="10"/>
          <tpl fld="4" item="10"/>
          <tpl hier="9" item="4"/>
          <tpl hier="11" item="6"/>
          <tpl hier="12" item="5"/>
          <tpl fld="1" item="0"/>
        </tpls>
      </n>
      <n v="1046259367936">
        <tpls c="8">
          <tpl hier="2" item="0"/>
          <tpl hier="4" item="1"/>
          <tpl fld="2" item="16"/>
          <tpl fld="4" item="8"/>
          <tpl hier="9" item="4"/>
          <tpl hier="11" item="6"/>
          <tpl hier="12" item="5"/>
          <tpl fld="1" item="0"/>
        </tpls>
      </n>
      <n v="264429879296">
        <tpls c="8">
          <tpl hier="2" item="0"/>
          <tpl hier="4" item="1"/>
          <tpl fld="2" item="3"/>
          <tpl fld="4" item="7"/>
          <tpl hier="9" item="4"/>
          <tpl hier="11" item="6"/>
          <tpl hier="12" item="5"/>
          <tpl fld="1" item="0"/>
        </tpls>
      </n>
      <n v="344003149824">
        <tpls c="8">
          <tpl hier="2" item="0"/>
          <tpl hier="4" item="1"/>
          <tpl fld="2" item="41"/>
          <tpl fld="4" item="5"/>
          <tpl hier="9" item="4"/>
          <tpl hier="11" item="6"/>
          <tpl hier="12" item="5"/>
          <tpl fld="1" item="0"/>
        </tpls>
      </n>
      <n v="70366240768">
        <tpls c="8">
          <tpl hier="2" item="0"/>
          <tpl hier="4" item="1"/>
          <tpl fld="2" item="9"/>
          <tpl fld="4" item="5"/>
          <tpl hier="9" item="4"/>
          <tpl hier="11" item="6"/>
          <tpl hier="12" item="5"/>
          <tpl fld="1" item="0"/>
        </tpls>
      </n>
      <n v="313506529280">
        <tpls c="8">
          <tpl hier="2" item="0"/>
          <tpl hier="4" item="1"/>
          <tpl fld="2" item="12"/>
          <tpl fld="4" item="4"/>
          <tpl hier="9" item="4"/>
          <tpl hier="11" item="6"/>
          <tpl hier="12" item="5"/>
          <tpl fld="1" item="0"/>
        </tpls>
      </n>
      <n v="86268264448">
        <tpls c="8">
          <tpl hier="2" item="0"/>
          <tpl hier="4" item="1"/>
          <tpl fld="2" item="15"/>
          <tpl fld="4" item="3"/>
          <tpl hier="9" item="4"/>
          <tpl hier="11" item="6"/>
          <tpl hier="12" item="5"/>
          <tpl fld="1" item="0"/>
        </tpls>
      </n>
      <n v="133339398144">
        <tpls c="8">
          <tpl hier="2" item="0"/>
          <tpl hier="4" item="1"/>
          <tpl fld="2" item="18"/>
          <tpl fld="4" item="2"/>
          <tpl hier="9" item="4"/>
          <tpl hier="11" item="6"/>
          <tpl hier="12" item="5"/>
          <tpl fld="1" item="0"/>
        </tpls>
      </n>
      <n v="853099610112">
        <tpls c="8">
          <tpl hier="2" item="0"/>
          <tpl hier="4" item="1"/>
          <tpl fld="2" item="37"/>
          <tpl fld="4" item="1"/>
          <tpl hier="9" item="4"/>
          <tpl hier="11" item="6"/>
          <tpl hier="12" item="5"/>
          <tpl fld="1" item="0"/>
        </tpls>
      </n>
      <n v="3449966848">
        <tpls c="8">
          <tpl hier="2" item="0"/>
          <tpl hier="4" item="1"/>
          <tpl fld="2" item="40"/>
          <tpl fld="4" item="0"/>
          <tpl hier="9" item="4"/>
          <tpl hier="11" item="6"/>
          <tpl hier="12" item="5"/>
          <tpl fld="1" item="0"/>
        </tpls>
      </n>
      <n v="9570405580800">
        <tpls c="8">
          <tpl hier="2" item="0"/>
          <tpl hier="4" item="1"/>
          <tpl fld="2" item="43"/>
          <tpl fld="3" item="0"/>
          <tpl hier="9" item="4"/>
          <tpl hier="11" item="6"/>
          <tpl hier="12" item="5"/>
          <tpl fld="1" item="0"/>
        </tpls>
      </n>
      <n v="203494146048">
        <tpls c="8">
          <tpl hier="2" item="0"/>
          <tpl hier="4" item="1"/>
          <tpl fld="2" item="2"/>
          <tpl fld="4" item="7"/>
          <tpl hier="9" item="4"/>
          <tpl hier="11" item="6"/>
          <tpl hier="12" item="5"/>
          <tpl fld="1" item="0"/>
        </tpls>
      </n>
      <n v="514937946112">
        <tpls c="8">
          <tpl hier="2" item="0"/>
          <tpl hier="4" item="1"/>
          <tpl fld="2" item="32"/>
          <tpl fld="4" item="60"/>
          <tpl hier="9" item="4"/>
          <tpl hier="11" item="6"/>
          <tpl hier="12" item="5"/>
          <tpl fld="1" item="0"/>
        </tpls>
      </n>
      <n v="225724848">
        <tpls c="8">
          <tpl hier="2" item="0"/>
          <tpl hier="4" item="1"/>
          <tpl fld="2" item="15"/>
          <tpl fld="4" item="53"/>
          <tpl hier="9" item="4"/>
          <tpl hier="11" item="6"/>
          <tpl hier="12" item="5"/>
          <tpl fld="1" item="0"/>
        </tpls>
      </n>
      <n v="4662053888">
        <tpls c="8">
          <tpl hier="2" item="0"/>
          <tpl hier="4" item="1"/>
          <tpl fld="2" item="6"/>
          <tpl fld="4" item="47"/>
          <tpl hier="9" item="4"/>
          <tpl hier="11" item="6"/>
          <tpl hier="12" item="5"/>
          <tpl fld="1" item="0"/>
        </tpls>
      </n>
      <n v="1004316480">
        <tpls c="8">
          <tpl hier="2" item="0"/>
          <tpl hier="4" item="1"/>
          <tpl fld="2" item="9"/>
          <tpl fld="4" item="41"/>
          <tpl hier="9" item="4"/>
          <tpl hier="11" item="6"/>
          <tpl hier="12" item="5"/>
          <tpl fld="1" item="0"/>
        </tpls>
      </n>
      <n v="152678023168">
        <tpls c="8">
          <tpl hier="2" item="0"/>
          <tpl hier="4" item="1"/>
          <tpl fld="2" item="6"/>
          <tpl fld="4" item="36"/>
          <tpl hier="9" item="4"/>
          <tpl hier="11" item="6"/>
          <tpl hier="12" item="5"/>
          <tpl fld="1" item="0"/>
        </tpls>
      </n>
      <n v="3663017728">
        <tpls c="8">
          <tpl hier="2" item="0"/>
          <tpl hier="4" item="1"/>
          <tpl fld="2" item="31"/>
          <tpl fld="4" item="33"/>
          <tpl hier="9" item="4"/>
          <tpl hier="11" item="6"/>
          <tpl hier="12" item="5"/>
          <tpl fld="1" item="0"/>
        </tpls>
      </n>
      <n v="1522899968">
        <tpls c="8">
          <tpl hier="2" item="0"/>
          <tpl hier="4" item="1"/>
          <tpl fld="2" item="42"/>
          <tpl fld="4" item="32"/>
          <tpl hier="9" item="4"/>
          <tpl hier="11" item="6"/>
          <tpl hier="12" item="5"/>
          <tpl fld="1" item="0"/>
        </tpls>
      </n>
      <n v="118066296">
        <tpls c="8">
          <tpl hier="2" item="0"/>
          <tpl hier="4" item="1"/>
          <tpl fld="2" item="5"/>
          <tpl fld="4" item="32"/>
          <tpl hier="9" item="4"/>
          <tpl hier="11" item="6"/>
          <tpl hier="12" item="5"/>
          <tpl fld="1" item="0"/>
        </tpls>
      </n>
      <n v="26579005440">
        <tpls c="8">
          <tpl hier="2" item="0"/>
          <tpl hier="4" item="1"/>
          <tpl fld="2" item="18"/>
          <tpl fld="4" item="31"/>
          <tpl hier="9" item="4"/>
          <tpl hier="11" item="6"/>
          <tpl hier="12" item="5"/>
          <tpl fld="1" item="0"/>
        </tpls>
      </n>
      <n v="10526000128">
        <tpls c="8">
          <tpl hier="2" item="0"/>
          <tpl hier="4" item="1"/>
          <tpl fld="2" item="38"/>
          <tpl fld="4" item="30"/>
          <tpl hier="9" item="4"/>
          <tpl hier="11" item="6"/>
          <tpl hier="12" item="5"/>
          <tpl fld="1" item="0"/>
        </tpls>
      </n>
      <n v="1426499968">
        <tpls c="8">
          <tpl hier="2" item="0"/>
          <tpl hier="4" item="1"/>
          <tpl fld="2" item="11"/>
          <tpl fld="4" item="30"/>
          <tpl hier="9" item="4"/>
          <tpl hier="11" item="6"/>
          <tpl hier="12" item="5"/>
          <tpl fld="1" item="0"/>
        </tpls>
      </n>
      <n v="198737100800">
        <tpls c="8">
          <tpl hier="2" item="0"/>
          <tpl hier="4" item="1"/>
          <tpl fld="2" item="35"/>
          <tpl fld="4" item="29"/>
          <tpl hier="9" item="4"/>
          <tpl hier="11" item="6"/>
          <tpl hier="12" item="5"/>
          <tpl fld="1" item="0"/>
        </tpls>
      </n>
      <n v="78676844544">
        <tpls c="8">
          <tpl hier="2" item="0"/>
          <tpl hier="4" item="1"/>
          <tpl fld="2" item="11"/>
          <tpl fld="4" item="29"/>
          <tpl hier="9" item="4"/>
          <tpl hier="11" item="6"/>
          <tpl hier="12" item="5"/>
          <tpl fld="1" item="0"/>
        </tpls>
      </n>
      <n v="137210691584">
        <tpls c="8">
          <tpl hier="2" item="0"/>
          <tpl hier="4" item="1"/>
          <tpl fld="2" item="39"/>
          <tpl fld="4" item="28"/>
          <tpl hier="9" item="4"/>
          <tpl hier="11" item="6"/>
          <tpl hier="12" item="5"/>
          <tpl fld="1" item="0"/>
        </tpls>
      </n>
      <n v="57937866752">
        <tpls c="8">
          <tpl hier="2" item="0"/>
          <tpl hier="4" item="1"/>
          <tpl fld="2" item="15"/>
          <tpl fld="4" item="28"/>
          <tpl hier="9" item="4"/>
          <tpl hier="11" item="6"/>
          <tpl hier="12" item="5"/>
          <tpl fld="1" item="0"/>
        </tpls>
      </n>
      <n v="16784849633280">
        <tpls c="8">
          <tpl hier="2" item="0"/>
          <tpl hier="4" item="1"/>
          <tpl fld="2" item="43"/>
          <tpl fld="4" item="27"/>
          <tpl hier="9" item="4"/>
          <tpl hier="11" item="6"/>
          <tpl hier="12" item="5"/>
          <tpl fld="1" item="0"/>
        </tpls>
      </n>
      <n v="5963144232960">
        <tpls c="8">
          <tpl hier="2" item="0"/>
          <tpl hier="4" item="1"/>
          <tpl fld="2" item="20"/>
          <tpl fld="4" item="27"/>
          <tpl hier="9" item="4"/>
          <tpl hier="11" item="6"/>
          <tpl hier="12" item="5"/>
          <tpl fld="1" item="0"/>
        </tpls>
      </n>
      <n v="2860667633664">
        <tpls c="8">
          <tpl hier="2" item="0"/>
          <tpl hier="4" item="1"/>
          <tpl fld="2" item="48"/>
          <tpl fld="4" item="26"/>
          <tpl hier="9" item="4"/>
          <tpl hier="11" item="6"/>
          <tpl hier="12" item="5"/>
          <tpl fld="1" item="0"/>
        </tpls>
      </n>
      <n v="1140489715712">
        <tpls c="8">
          <tpl hier="2" item="0"/>
          <tpl hier="4" item="1"/>
          <tpl fld="2" item="24"/>
          <tpl fld="4" item="26"/>
          <tpl hier="9" item="4"/>
          <tpl hier="11" item="6"/>
          <tpl hier="12" item="5"/>
          <tpl fld="1" item="0"/>
        </tpls>
      </n>
      <n v="148113899520">
        <tpls c="8">
          <tpl hier="2" item="0"/>
          <tpl hier="4" item="1"/>
          <tpl fld="2" item="1"/>
          <tpl fld="4" item="26"/>
          <tpl hier="9" item="4"/>
          <tpl hier="11" item="6"/>
          <tpl hier="12" item="5"/>
          <tpl fld="1" item="0"/>
        </tpls>
      </n>
      <n v="278631284736">
        <tpls c="8">
          <tpl hier="2" item="0"/>
          <tpl hier="4" item="1"/>
          <tpl fld="2" item="31"/>
          <tpl fld="4" item="25"/>
          <tpl hier="9" item="4"/>
          <tpl hier="11" item="6"/>
          <tpl hier="12" item="5"/>
          <tpl fld="1" item="0"/>
        </tpls>
      </n>
      <n v="119008337920">
        <tpls c="8">
          <tpl hier="2" item="0"/>
          <tpl hier="4" item="1"/>
          <tpl fld="2" item="10"/>
          <tpl fld="4" item="25"/>
          <tpl hier="9" item="4"/>
          <tpl hier="11" item="6"/>
          <tpl hier="12" item="5"/>
          <tpl fld="1" item="0"/>
        </tpls>
      </n>
      <n v="552483749888">
        <tpls c="8">
          <tpl hier="2" item="0"/>
          <tpl hier="4" item="1"/>
          <tpl fld="2" item="42"/>
          <tpl fld="4" item="24"/>
          <tpl hier="9" item="4"/>
          <tpl hier="11" item="6"/>
          <tpl hier="12" item="5"/>
          <tpl fld="1" item="0"/>
        </tpls>
      </n>
      <n v="284321120256">
        <tpls c="8">
          <tpl hier="2" item="0"/>
          <tpl hier="4" item="1"/>
          <tpl fld="2" item="22"/>
          <tpl fld="4" item="24"/>
          <tpl hier="9" item="4"/>
          <tpl hier="11" item="6"/>
          <tpl hier="12" item="5"/>
          <tpl fld="1" item="0"/>
        </tpls>
      </n>
      <n v="59404967936">
        <tpls c="8">
          <tpl hier="2" item="0"/>
          <tpl hier="4" item="1"/>
          <tpl fld="2" item="3"/>
          <tpl fld="4" item="24"/>
          <tpl hier="9" item="4"/>
          <tpl hier="11" item="6"/>
          <tpl hier="12" item="5"/>
          <tpl fld="1" item="0"/>
        </tpls>
      </n>
      <n v="905492103168">
        <tpls c="8">
          <tpl hier="2" item="0"/>
          <tpl hier="4" item="1"/>
          <tpl fld="2" item="33"/>
          <tpl fld="4" item="23"/>
          <tpl hier="9" item="4"/>
          <tpl hier="11" item="6"/>
          <tpl hier="12" item="5"/>
          <tpl fld="1" item="0"/>
        </tpls>
      </n>
      <n v="172102909952">
        <tpls c="8">
          <tpl hier="2" item="0"/>
          <tpl hier="4" item="1"/>
          <tpl fld="2" item="14"/>
          <tpl fld="4" item="23"/>
          <tpl hier="9" item="4"/>
          <tpl hier="11" item="6"/>
          <tpl hier="12" item="5"/>
          <tpl fld="1" item="0"/>
        </tpls>
      </n>
      <n v="1465773195264">
        <tpls c="8">
          <tpl hier="2" item="0"/>
          <tpl hier="4" item="1"/>
          <tpl fld="2" item="45"/>
          <tpl fld="4" item="22"/>
          <tpl hier="9" item="4"/>
          <tpl hier="11" item="6"/>
          <tpl hier="12" item="5"/>
          <tpl fld="1" item="0"/>
        </tpls>
      </n>
      <n v="610169585664">
        <tpls c="8">
          <tpl hier="2" item="0"/>
          <tpl hier="4" item="1"/>
          <tpl fld="2" item="26"/>
          <tpl fld="4" item="22"/>
          <tpl hier="9" item="4"/>
          <tpl hier="11" item="6"/>
          <tpl hier="12" item="5"/>
          <tpl fld="1" item="0"/>
        </tpls>
      </n>
      <n v="21784297472">
        <tpls c="8">
          <tpl hier="2" item="0"/>
          <tpl hier="4" item="1"/>
          <tpl fld="2" item="5"/>
          <tpl fld="4" item="22"/>
          <tpl hier="9" item="4"/>
          <tpl hier="11" item="6"/>
          <tpl hier="12" item="5"/>
          <tpl fld="1" item="0"/>
        </tpls>
      </n>
      <n v="193611988992">
        <tpls c="8">
          <tpl hier="2" item="0"/>
          <tpl hier="4" item="1"/>
          <tpl fld="2" item="38"/>
          <tpl fld="4" item="21"/>
          <tpl hier="9" item="4"/>
          <tpl hier="11" item="6"/>
          <tpl hier="12" item="5"/>
          <tpl fld="1" item="0"/>
        </tpls>
      </n>
      <n v="36144336896">
        <tpls c="8">
          <tpl hier="2" item="0"/>
          <tpl hier="4" item="1"/>
          <tpl fld="2" item="20"/>
          <tpl fld="4" item="21"/>
          <tpl hier="9" item="4"/>
          <tpl hier="11" item="6"/>
          <tpl hier="12" item="5"/>
          <tpl fld="1" item="0"/>
        </tpls>
      </n>
      <n v="2721441024">
        <tpls c="8">
          <tpl hier="2" item="0"/>
          <tpl hier="4" item="1"/>
          <tpl fld="2" item="2"/>
          <tpl fld="4" item="21"/>
          <tpl hier="9" item="4"/>
          <tpl hier="11" item="6"/>
          <tpl hier="12" item="5"/>
          <tpl fld="1" item="0"/>
        </tpls>
      </n>
      <n v="197180325888">
        <tpls c="8">
          <tpl hier="2" item="0"/>
          <tpl hier="4" item="1"/>
          <tpl fld="2" item="35"/>
          <tpl fld="4" item="20"/>
          <tpl hier="9" item="4"/>
          <tpl hier="11" item="6"/>
          <tpl hier="12" item="5"/>
          <tpl fld="1" item="0"/>
        </tpls>
      </n>
      <n v="48182923264">
        <tpls c="8">
          <tpl hier="2" item="0"/>
          <tpl hier="4" item="1"/>
          <tpl fld="2" item="17"/>
          <tpl fld="4" item="20"/>
          <tpl hier="9" item="4"/>
          <tpl hier="11" item="6"/>
          <tpl hier="12" item="5"/>
          <tpl fld="1" item="0"/>
        </tpls>
      </n>
      <n v="9861422384128">
        <tpls c="8">
          <tpl hier="2" item="0"/>
          <tpl hier="4" item="1"/>
          <tpl hier="5" item="3"/>
          <tpl fld="4" item="19"/>
          <tpl hier="9" item="4"/>
          <tpl hier="11" item="6"/>
          <tpl hier="12" item="5"/>
          <tpl fld="1" item="0"/>
        </tpls>
      </n>
      <n v="228858511360">
        <tpls c="8">
          <tpl hier="2" item="0"/>
          <tpl hier="4" item="1"/>
          <tpl fld="2" item="33"/>
          <tpl fld="4" item="19"/>
          <tpl hier="9" item="4"/>
          <tpl hier="11" item="6"/>
          <tpl hier="12" item="5"/>
          <tpl fld="1" item="0"/>
        </tpls>
      </n>
      <n v="78693253120">
        <tpls c="8">
          <tpl hier="2" item="0"/>
          <tpl hier="4" item="1"/>
          <tpl fld="2" item="16"/>
          <tpl fld="4" item="19"/>
          <tpl hier="9" item="4"/>
          <tpl hier="11" item="6"/>
          <tpl hier="12" item="5"/>
          <tpl fld="1" item="0"/>
        </tpls>
      </n>
      <n v="3834236154880">
        <tpls c="8">
          <tpl hier="2" item="0"/>
          <tpl hier="4" item="1"/>
          <tpl hier="5" item="3"/>
          <tpl fld="4" item="18"/>
          <tpl hier="9" item="4"/>
          <tpl hier="11" item="6"/>
          <tpl hier="12" item="5"/>
          <tpl fld="1" item="0"/>
        </tpls>
      </n>
      <n v="103905206272">
        <tpls c="8">
          <tpl hier="2" item="0"/>
          <tpl hier="4" item="1"/>
          <tpl fld="2" item="34"/>
          <tpl fld="4" item="18"/>
          <tpl hier="9" item="4"/>
          <tpl hier="11" item="6"/>
          <tpl hier="12" item="5"/>
          <tpl fld="1" item="0"/>
        </tpls>
      </n>
      <n v="45176811520">
        <tpls c="8">
          <tpl hier="2" item="0"/>
          <tpl hier="4" item="1"/>
          <tpl fld="2" item="18"/>
          <tpl fld="4" item="18"/>
          <tpl hier="9" item="4"/>
          <tpl hier="11" item="6"/>
          <tpl hier="12" item="5"/>
          <tpl fld="1" item="0"/>
        </tpls>
      </n>
      <n v="9567331328">
        <tpls c="8">
          <tpl hier="2" item="0"/>
          <tpl hier="4" item="1"/>
          <tpl fld="2" item="2"/>
          <tpl fld="4" item="18"/>
          <tpl hier="9" item="4"/>
          <tpl hier="11" item="6"/>
          <tpl hier="12" item="5"/>
          <tpl fld="1" item="0"/>
        </tpls>
      </n>
      <n v="847481536512">
        <tpls c="8">
          <tpl hier="2" item="0"/>
          <tpl hier="4" item="1"/>
          <tpl fld="2" item="37"/>
          <tpl fld="4" item="17"/>
          <tpl hier="9" item="4"/>
          <tpl hier="11" item="6"/>
          <tpl hier="12" item="5"/>
          <tpl fld="1" item="0"/>
        </tpls>
      </n>
      <n v="327500333056">
        <tpls c="8">
          <tpl hier="2" item="0"/>
          <tpl hier="4" item="1"/>
          <tpl fld="2" item="21"/>
          <tpl fld="4" item="17"/>
          <tpl hier="9" item="4"/>
          <tpl hier="11" item="6"/>
          <tpl hier="12" item="5"/>
          <tpl fld="1" item="0"/>
        </tpls>
      </n>
      <n v="100249526272">
        <tpls c="8">
          <tpl hier="2" item="0"/>
          <tpl hier="4" item="1"/>
          <tpl fld="2" item="5"/>
          <tpl fld="4" item="17"/>
          <tpl hier="9" item="4"/>
          <tpl hier="11" item="6"/>
          <tpl hier="12" item="5"/>
          <tpl fld="1" item="0"/>
        </tpls>
      </n>
      <n v="8749171712">
        <tpls c="8">
          <tpl hier="2" item="0"/>
          <tpl hier="4" item="1"/>
          <tpl fld="2" item="40"/>
          <tpl fld="4" item="16"/>
          <tpl hier="9" item="4"/>
          <tpl hier="11" item="6"/>
          <tpl hier="12" item="5"/>
          <tpl fld="1" item="0"/>
        </tpls>
      </n>
      <n v="2998570240">
        <tpls c="8">
          <tpl hier="2" item="0"/>
          <tpl hier="4" item="1"/>
          <tpl fld="2" item="24"/>
          <tpl fld="4" item="16"/>
          <tpl hier="9" item="4"/>
          <tpl hier="11" item="6"/>
          <tpl hier="12" item="5"/>
          <tpl fld="1" item="0"/>
        </tpls>
      </n>
      <n v="793675200">
        <tpls c="8">
          <tpl hier="2" item="0"/>
          <tpl hier="4" item="1"/>
          <tpl fld="2" item="8"/>
          <tpl fld="4" item="16"/>
          <tpl hier="9" item="4"/>
          <tpl hier="11" item="6"/>
          <tpl hier="12" item="5"/>
          <tpl fld="1" item="0"/>
        </tpls>
      </n>
      <n v="61739352064">
        <tpls c="8">
          <tpl hier="2" item="0"/>
          <tpl hier="4" item="1"/>
          <tpl fld="2" item="43"/>
          <tpl fld="4" item="15"/>
          <tpl hier="9" item="4"/>
          <tpl hier="11" item="6"/>
          <tpl hier="12" item="5"/>
          <tpl fld="1" item="0"/>
        </tpls>
      </n>
      <n v="19731912704">
        <tpls c="8">
          <tpl hier="2" item="0"/>
          <tpl hier="4" item="1"/>
          <tpl fld="2" item="27"/>
          <tpl fld="4" item="15"/>
          <tpl hier="9" item="4"/>
          <tpl hier="11" item="6"/>
          <tpl hier="12" item="5"/>
          <tpl fld="1" item="0"/>
        </tpls>
      </n>
      <n v="5231808512">
        <tpls c="8">
          <tpl hier="2" item="0"/>
          <tpl hier="4" item="1"/>
          <tpl fld="2" item="11"/>
          <tpl fld="4" item="15"/>
          <tpl hier="9" item="4"/>
          <tpl hier="11" item="6"/>
          <tpl hier="12" item="5"/>
          <tpl fld="1" item="0"/>
        </tpls>
      </n>
      <n v="4922537934848">
        <tpls c="8">
          <tpl hier="2" item="0"/>
          <tpl hier="4" item="1"/>
          <tpl fld="2" item="46"/>
          <tpl fld="4" item="14"/>
          <tpl hier="9" item="4"/>
          <tpl hier="11" item="6"/>
          <tpl hier="12" item="5"/>
          <tpl fld="1" item="0"/>
        </tpls>
      </n>
      <n v="4887519690752">
        <tpls c="8">
          <tpl hier="2" item="0"/>
          <tpl hier="4" item="1"/>
          <tpl fld="2" item="30"/>
          <tpl fld="4" item="14"/>
          <tpl hier="9" item="4"/>
          <tpl hier="11" item="6"/>
          <tpl hier="12" item="5"/>
          <tpl fld="1" item="0"/>
        </tpls>
      </n>
      <n v="1318381682688">
        <tpls c="8">
          <tpl hier="2" item="0"/>
          <tpl hier="4" item="1"/>
          <tpl fld="2" item="14"/>
          <tpl fld="4" item="14"/>
          <tpl hier="9" item="4"/>
          <tpl hier="11" item="6"/>
          <tpl hier="12" item="5"/>
          <tpl fld="1" item="0"/>
        </tpls>
      </n>
      <n v="2001244389376">
        <tpls c="8">
          <tpl hier="2" item="0"/>
          <tpl hier="4" item="1"/>
          <tpl fld="2" item="49"/>
          <tpl fld="4" item="13"/>
          <tpl hier="9" item="4"/>
          <tpl hier="11" item="6"/>
          <tpl hier="12" item="5"/>
          <tpl fld="1" item="0"/>
        </tpls>
      </n>
      <n v="1574145884160">
        <tpls c="8">
          <tpl hier="2" item="0"/>
          <tpl hier="4" item="1"/>
          <tpl fld="2" item="33"/>
          <tpl fld="4" item="13"/>
          <tpl hier="9" item="4"/>
          <tpl hier="11" item="6"/>
          <tpl hier="12" item="5"/>
          <tpl fld="1" item="0"/>
        </tpls>
      </n>
      <n v="805713149952">
        <tpls c="8">
          <tpl hier="2" item="0"/>
          <tpl hier="4" item="1"/>
          <tpl fld="2" item="17"/>
          <tpl fld="4" item="13"/>
          <tpl hier="9" item="4"/>
          <tpl hier="11" item="6"/>
          <tpl hier="12" item="5"/>
          <tpl fld="1" item="0"/>
        </tpls>
      </n>
      <n v="124672368640">
        <tpls c="8">
          <tpl hier="2" item="0"/>
          <tpl hier="4" item="1"/>
          <tpl fld="2" item="1"/>
          <tpl fld="4" item="13"/>
          <tpl hier="9" item="4"/>
          <tpl hier="11" item="6"/>
          <tpl hier="12" item="5"/>
          <tpl fld="1" item="0"/>
        </tpls>
      </n>
      <n v="154034323456">
        <tpls c="8">
          <tpl hier="2" item="0"/>
          <tpl hier="4" item="1"/>
          <tpl fld="2" item="36"/>
          <tpl fld="4" item="12"/>
          <tpl hier="9" item="4"/>
          <tpl hier="11" item="6"/>
          <tpl hier="12" item="5"/>
          <tpl fld="1" item="0"/>
        </tpls>
      </n>
      <n v="59011272704">
        <tpls c="8">
          <tpl hier="2" item="0"/>
          <tpl hier="4" item="1"/>
          <tpl fld="2" item="20"/>
          <tpl fld="4" item="12"/>
          <tpl hier="9" item="4"/>
          <tpl hier="11" item="6"/>
          <tpl hier="12" item="5"/>
          <tpl fld="1" item="0"/>
        </tpls>
      </n>
      <n v="16341000192">
        <tpls c="8">
          <tpl hier="2" item="0"/>
          <tpl hier="4" item="1"/>
          <tpl fld="2" item="4"/>
          <tpl fld="4" item="12"/>
          <tpl hier="9" item="4"/>
          <tpl hier="11" item="6"/>
          <tpl hier="12" item="5"/>
          <tpl fld="1" item="0"/>
        </tpls>
      </n>
      <n v="236316409856">
        <tpls c="8">
          <tpl hier="2" item="0"/>
          <tpl hier="4" item="1"/>
          <tpl fld="2" item="39"/>
          <tpl fld="4" item="11"/>
          <tpl hier="9" item="4"/>
          <tpl hier="11" item="6"/>
          <tpl hier="12" item="5"/>
          <tpl fld="1" item="0"/>
        </tpls>
      </n>
      <n v="52480249856">
        <tpls c="8">
          <tpl hier="2" item="0"/>
          <tpl hier="4" item="1"/>
          <tpl fld="2" item="23"/>
          <tpl fld="4" item="11"/>
          <tpl hier="9" item="4"/>
          <tpl hier="11" item="6"/>
          <tpl hier="12" item="5"/>
          <tpl fld="1" item="0"/>
        </tpls>
      </n>
      <n v="11261810688">
        <tpls c="8">
          <tpl hier="2" item="0"/>
          <tpl hier="4" item="1"/>
          <tpl fld="2" item="7"/>
          <tpl fld="4" item="11"/>
          <tpl hier="9" item="4"/>
          <tpl hier="11" item="6"/>
          <tpl hier="12" item="5"/>
          <tpl fld="1" item="0"/>
        </tpls>
      </n>
      <n v="14724078592">
        <tpls c="8">
          <tpl hier="2" item="0"/>
          <tpl hier="4" item="1"/>
          <tpl fld="2" item="42"/>
          <tpl fld="4" item="10"/>
          <tpl hier="9" item="4"/>
          <tpl hier="11" item="6"/>
          <tpl hier="12" item="5"/>
          <tpl fld="1" item="0"/>
        </tpls>
      </n>
      <n v="196591353856">
        <tpls c="8">
          <tpl hier="2" item="0"/>
          <tpl hier="4" item="1"/>
          <tpl fld="2" item="45"/>
          <tpl fld="4" item="9"/>
          <tpl hier="9" item="4"/>
          <tpl hier="11" item="6"/>
          <tpl hier="12" item="5"/>
          <tpl fld="1" item="0"/>
        </tpls>
      </n>
      <n v="142540734464">
        <tpls c="8">
          <tpl hier="2" item="0"/>
          <tpl hier="4" item="1"/>
          <tpl fld="2" item="29"/>
          <tpl fld="4" item="9"/>
          <tpl hier="9" item="4"/>
          <tpl hier="11" item="6"/>
          <tpl hier="12" item="5"/>
          <tpl fld="1" item="0"/>
        </tpls>
      </n>
      <n v="49428873216">
        <tpls c="8">
          <tpl hier="2" item="0"/>
          <tpl hier="4" item="1"/>
          <tpl fld="2" item="13"/>
          <tpl fld="4" item="9"/>
          <tpl hier="9" item="4"/>
          <tpl hier="11" item="6"/>
          <tpl hier="12" item="5"/>
          <tpl fld="1" item="0"/>
        </tpls>
      </n>
      <n v="3949548797952">
        <tpls c="8">
          <tpl hier="2" item="0"/>
          <tpl hier="4" item="1"/>
          <tpl fld="2" item="48"/>
          <tpl fld="4" item="8"/>
          <tpl hier="9" item="4"/>
          <tpl hier="11" item="6"/>
          <tpl hier="12" item="5"/>
          <tpl fld="1" item="0"/>
        </tpls>
      </n>
      <n v="2068624179200">
        <tpls c="8">
          <tpl hier="2" item="0"/>
          <tpl hier="4" item="1"/>
          <tpl fld="2" item="32"/>
          <tpl fld="4" item="8"/>
          <tpl hier="9" item="4"/>
          <tpl hier="11" item="6"/>
          <tpl hier="12" item="5"/>
          <tpl fld="1" item="0"/>
        </tpls>
      </n>
      <n v="215838441472">
        <tpls c="8">
          <tpl hier="2" item="0"/>
          <tpl hier="4" item="1"/>
          <tpl fld="2" item="0"/>
          <tpl fld="4" item="8"/>
          <tpl hier="9" item="4"/>
          <tpl hier="11" item="6"/>
          <tpl hier="12" item="5"/>
          <tpl fld="1" item="0"/>
        </tpls>
      </n>
      <n v="1025211826176">
        <tpls c="8">
          <tpl hier="2" item="0"/>
          <tpl hier="4" item="1"/>
          <tpl fld="2" item="19"/>
          <tpl fld="4" item="7"/>
          <tpl hier="9" item="4"/>
          <tpl hier="11" item="6"/>
          <tpl hier="12" item="5"/>
          <tpl fld="1" item="0"/>
        </tpls>
      </n>
      <n v="284553969664">
        <tpls c="8">
          <tpl hier="2" item="0"/>
          <tpl hier="4" item="1"/>
          <tpl fld="2" item="38"/>
          <tpl fld="4" item="6"/>
          <tpl hier="9" item="4"/>
          <tpl hier="11" item="6"/>
          <tpl hier="12" item="5"/>
          <tpl fld="1" item="0"/>
        </tpls>
      </n>
      <n v="112532520960">
        <tpls c="8">
          <tpl hier="2" item="0"/>
          <tpl hier="4" item="1"/>
          <tpl fld="2" item="22"/>
          <tpl fld="4" item="6"/>
          <tpl hier="9" item="4"/>
          <tpl hier="11" item="6"/>
          <tpl hier="12" item="5"/>
          <tpl fld="1" item="0"/>
        </tpls>
      </n>
      <n v="185006882816">
        <tpls c="8">
          <tpl hier="2" item="0"/>
          <tpl hier="4" item="1"/>
          <tpl fld="2" item="25"/>
          <tpl fld="4" item="5"/>
          <tpl hier="9" item="4"/>
          <tpl hier="11" item="6"/>
          <tpl hier="12" item="5"/>
          <tpl fld="1" item="0"/>
        </tpls>
      </n>
      <n v="631813308416">
        <tpls c="8">
          <tpl hier="2" item="0"/>
          <tpl hier="4" item="1"/>
          <tpl fld="2" item="28"/>
          <tpl fld="4" item="4"/>
          <tpl hier="9" item="4"/>
          <tpl hier="11" item="6"/>
          <tpl hier="12" item="5"/>
          <tpl fld="1" item="0"/>
        </tpls>
      </n>
      <n v="236541296640">
        <tpls c="8">
          <tpl hier="2" item="0"/>
          <tpl hier="4" item="1"/>
          <tpl fld="2" item="31"/>
          <tpl fld="4" item="3"/>
          <tpl hier="9" item="4"/>
          <tpl hier="11" item="6"/>
          <tpl hier="12" item="5"/>
          <tpl fld="1" item="0"/>
        </tpls>
      </n>
      <n v="10612771687424">
        <tpls c="8">
          <tpl hier="2" item="0"/>
          <tpl hier="4" item="1"/>
          <tpl hier="5" item="3"/>
          <tpl fld="4" item="2"/>
          <tpl hier="9" item="4"/>
          <tpl hier="11" item="6"/>
          <tpl hier="12" item="5"/>
          <tpl fld="1" item="0"/>
        </tpls>
      </n>
      <n v="22059612160">
        <tpls c="8">
          <tpl hier="2" item="0"/>
          <tpl hier="4" item="1"/>
          <tpl fld="2" item="2"/>
          <tpl fld="4" item="2"/>
          <tpl hier="9" item="4"/>
          <tpl hier="11" item="6"/>
          <tpl hier="12" item="5"/>
          <tpl fld="1" item="0"/>
        </tpls>
      </n>
      <n v="97170554880">
        <tpls c="8">
          <tpl hier="2" item="0"/>
          <tpl hier="4" item="1"/>
          <tpl fld="2" item="5"/>
          <tpl fld="4" item="1"/>
          <tpl hier="9" item="4"/>
          <tpl hier="11" item="6"/>
          <tpl hier="12" item="5"/>
          <tpl fld="1" item="0"/>
        </tpls>
      </n>
      <n v="308008896">
        <tpls c="8">
          <tpl hier="2" item="0"/>
          <tpl hier="4" item="1"/>
          <tpl fld="2" item="8"/>
          <tpl fld="4" item="0"/>
          <tpl hier="9" item="4"/>
          <tpl hier="11" item="6"/>
          <tpl hier="12" item="5"/>
          <tpl fld="1" item="0"/>
        </tpls>
      </n>
      <n v="1018847035392">
        <tpls c="8">
          <tpl hier="2" item="0"/>
          <tpl hier="4" item="1"/>
          <tpl fld="2" item="18"/>
          <tpl fld="4" item="7"/>
          <tpl hier="9" item="4"/>
          <tpl hier="11" item="6"/>
          <tpl hier="12" item="5"/>
          <tpl fld="1" item="0"/>
        </tpls>
      </n>
      <n v="102717161472">
        <tpls c="8">
          <tpl hier="2" item="0"/>
          <tpl hier="4" item="1"/>
          <tpl fld="2" item="6"/>
          <tpl fld="4" item="60"/>
          <tpl hier="9" item="4"/>
          <tpl hier="11" item="6"/>
          <tpl hier="12" item="5"/>
          <tpl fld="1" item="0"/>
        </tpls>
      </n>
      <n v="14929488896">
        <tpls c="8">
          <tpl hier="2" item="0"/>
          <tpl hier="4" item="1"/>
          <tpl fld="2" item="47"/>
          <tpl fld="4" item="52"/>
          <tpl hier="9" item="4"/>
          <tpl hier="11" item="6"/>
          <tpl hier="12" item="5"/>
          <tpl fld="1" item="0"/>
        </tpls>
      </n>
      <n v="26743971840">
        <tpls c="8">
          <tpl hier="2" item="0"/>
          <tpl hier="4" item="1"/>
          <tpl fld="2" item="37"/>
          <tpl fld="4" item="46"/>
          <tpl hier="9" item="4"/>
          <tpl hier="11" item="6"/>
          <tpl hier="12" item="5"/>
          <tpl fld="1" item="0"/>
        </tpls>
      </n>
      <n v="1691544192">
        <tpls c="8">
          <tpl hier="2" item="0"/>
          <tpl hier="4" item="1"/>
          <tpl fld="2" item="43"/>
          <tpl fld="4" item="40"/>
          <tpl hier="9" item="4"/>
          <tpl hier="11" item="6"/>
          <tpl hier="12" item="5"/>
          <tpl fld="1" item="0"/>
        </tpls>
      </n>
      <n v="15351971840">
        <tpls c="8">
          <tpl hier="2" item="0"/>
          <tpl hier="4" item="1"/>
          <tpl fld="2" item="41"/>
          <tpl fld="4" item="35"/>
          <tpl hier="9" item="4"/>
          <tpl hier="11" item="6"/>
          <tpl hier="12" item="5"/>
          <tpl fld="1" item="0"/>
        </tpls>
      </n>
      <n v="2455092480">
        <tpls c="8">
          <tpl hier="2" item="0"/>
          <tpl hier="4" item="1"/>
          <tpl fld="2" item="28"/>
          <tpl fld="4" item="33"/>
          <tpl hier="9" item="4"/>
          <tpl hier="11" item="6"/>
          <tpl hier="12" item="5"/>
          <tpl fld="1" item="0"/>
        </tpls>
      </n>
      <n v="1351350016">
        <tpls c="8">
          <tpl hier="2" item="0"/>
          <tpl hier="4" item="1"/>
          <tpl fld="2" item="38"/>
          <tpl fld="4" item="32"/>
          <tpl hier="9" item="4"/>
          <tpl hier="11" item="6"/>
          <tpl hier="12" item="5"/>
          <tpl fld="1" item="0"/>
        </tpls>
      </n>
      <n v="66062500">
        <tpls c="8">
          <tpl hier="2" item="0"/>
          <tpl hier="4" item="1"/>
          <tpl fld="2" item="2"/>
          <tpl fld="4" item="32"/>
          <tpl hier="9" item="4"/>
          <tpl hier="11" item="6"/>
          <tpl hier="12" item="5"/>
          <tpl fld="1" item="0"/>
        </tpls>
      </n>
      <n v="24298033152">
        <tpls c="8">
          <tpl hier="2" item="0"/>
          <tpl hier="4" item="1"/>
          <tpl fld="2" item="17"/>
          <tpl fld="4" item="31"/>
          <tpl hier="9" item="4"/>
          <tpl hier="11" item="6"/>
          <tpl hier="12" item="5"/>
          <tpl fld="1" item="0"/>
        </tpls>
      </n>
      <n v="10618340352">
        <tpls c="8">
          <tpl hier="2" item="0"/>
          <tpl hier="4" item="1"/>
          <tpl fld="2" item="37"/>
          <tpl fld="4" item="30"/>
          <tpl hier="9" item="4"/>
          <tpl hier="11" item="6"/>
          <tpl hier="12" item="5"/>
          <tpl fld="1" item="0"/>
        </tpls>
      </n>
      <n v="832400000">
        <tpls c="8">
          <tpl hier="2" item="0"/>
          <tpl hier="4" item="1"/>
          <tpl fld="2" item="8"/>
          <tpl fld="4" item="30"/>
          <tpl hier="9" item="4"/>
          <tpl hier="11" item="6"/>
          <tpl hier="12" item="5"/>
          <tpl fld="1" item="0"/>
        </tpls>
      </n>
      <n v="97724006400">
        <tpls c="8">
          <tpl hier="2" item="0"/>
          <tpl hier="4" item="1"/>
          <tpl fld="2" item="32"/>
          <tpl fld="4" item="29"/>
          <tpl hier="9" item="4"/>
          <tpl hier="11" item="6"/>
          <tpl hier="12" item="5"/>
          <tpl fld="1" item="0"/>
        </tpls>
      </n>
      <n v="69252325376">
        <tpls c="8">
          <tpl hier="2" item="0"/>
          <tpl hier="4" item="1"/>
          <tpl fld="2" item="9"/>
          <tpl fld="4" item="29"/>
          <tpl hier="9" item="4"/>
          <tpl hier="11" item="6"/>
          <tpl hier="12" item="5"/>
          <tpl fld="1" item="0"/>
        </tpls>
      </n>
      <n v="171000643584">
        <tpls c="8">
          <tpl hier="2" item="0"/>
          <tpl hier="4" item="1"/>
          <tpl fld="2" item="38"/>
          <tpl fld="4" item="28"/>
          <tpl hier="9" item="4"/>
          <tpl hier="11" item="6"/>
          <tpl hier="12" item="5"/>
          <tpl fld="1" item="0"/>
        </tpls>
      </n>
      <n v="53698277376">
        <tpls c="8">
          <tpl hier="2" item="0"/>
          <tpl hier="4" item="1"/>
          <tpl fld="2" item="14"/>
          <tpl fld="4" item="28"/>
          <tpl hier="9" item="4"/>
          <tpl hier="11" item="6"/>
          <tpl hier="12" item="5"/>
          <tpl fld="1" item="0"/>
        </tpls>
      </n>
      <n v="16197007441920">
        <tpls c="8">
          <tpl hier="2" item="0"/>
          <tpl hier="4" item="1"/>
          <tpl fld="2" item="42"/>
          <tpl fld="4" item="27"/>
          <tpl hier="9" item="4"/>
          <tpl hier="11" item="6"/>
          <tpl hier="12" item="5"/>
          <tpl fld="1" item="0"/>
        </tpls>
      </n>
      <n v="5236438073344">
        <tpls c="8">
          <tpl hier="2" item="0"/>
          <tpl hier="4" item="1"/>
          <tpl fld="2" item="18"/>
          <tpl fld="4" item="27"/>
          <tpl hier="9" item="4"/>
          <tpl hier="11" item="6"/>
          <tpl hier="12" item="5"/>
          <tpl fld="1" item="0"/>
        </tpls>
      </n>
      <n v="2694283264000">
        <tpls c="8">
          <tpl hier="2" item="0"/>
          <tpl hier="4" item="1"/>
          <tpl fld="2" item="46"/>
          <tpl fld="4" item="26"/>
          <tpl hier="9" item="4"/>
          <tpl hier="11" item="6"/>
          <tpl hier="12" item="5"/>
          <tpl fld="1" item="0"/>
        </tpls>
      </n>
      <n v="1061388746752">
        <tpls c="8">
          <tpl hier="2" item="0"/>
          <tpl hier="4" item="1"/>
          <tpl fld="2" item="23"/>
          <tpl fld="4" item="26"/>
          <tpl hier="9" item="4"/>
          <tpl hier="11" item="6"/>
          <tpl hier="12" item="5"/>
          <tpl fld="1" item="0"/>
        </tpls>
      </n>
      <n v="130671943680">
        <tpls c="8">
          <tpl hier="2" item="0"/>
          <tpl hier="4" item="1"/>
          <tpl fld="2" item="0"/>
          <tpl fld="4" item="26"/>
          <tpl hier="9" item="4"/>
          <tpl hier="11" item="6"/>
          <tpl hier="12" item="5"/>
          <tpl fld="1" item="0"/>
        </tpls>
      </n>
      <n v="295045136384">
        <tpls c="8">
          <tpl hier="2" item="0"/>
          <tpl hier="4" item="1"/>
          <tpl fld="2" item="28"/>
          <tpl fld="4" item="25"/>
          <tpl hier="9" item="4"/>
          <tpl hier="11" item="6"/>
          <tpl hier="12" item="5"/>
          <tpl fld="1" item="0"/>
        </tpls>
      </n>
      <n v="111640338432">
        <tpls c="8">
          <tpl hier="2" item="0"/>
          <tpl hier="4" item="1"/>
          <tpl fld="2" item="9"/>
          <tpl fld="4" item="25"/>
          <tpl hier="9" item="4"/>
          <tpl hier="11" item="6"/>
          <tpl hier="12" item="5"/>
          <tpl fld="1" item="0"/>
        </tpls>
      </n>
      <n v="495812542464">
        <tpls c="8">
          <tpl hier="2" item="0"/>
          <tpl hier="4" item="1"/>
          <tpl fld="2" item="40"/>
          <tpl fld="4" item="24"/>
          <tpl hier="9" item="4"/>
          <tpl hier="11" item="6"/>
          <tpl hier="12" item="5"/>
          <tpl fld="1" item="0"/>
        </tpls>
      </n>
      <n v="274229035008">
        <tpls c="8">
          <tpl hier="2" item="0"/>
          <tpl hier="4" item="1"/>
          <tpl fld="2" item="21"/>
          <tpl fld="4" item="24"/>
          <tpl hier="9" item="4"/>
          <tpl hier="11" item="6"/>
          <tpl hier="12" item="5"/>
          <tpl fld="1" item="0"/>
        </tpls>
      </n>
      <n v="48954146816">
        <tpls c="8">
          <tpl hier="2" item="0"/>
          <tpl hier="4" item="1"/>
          <tpl fld="2" item="2"/>
          <tpl fld="4" item="24"/>
          <tpl hier="9" item="4"/>
          <tpl hier="11" item="6"/>
          <tpl hier="12" item="5"/>
          <tpl fld="1" item="0"/>
        </tpls>
      </n>
      <n v="705394311168">
        <tpls c="8">
          <tpl hier="2" item="0"/>
          <tpl hier="4" item="1"/>
          <tpl fld="2" item="32"/>
          <tpl fld="4" item="23"/>
          <tpl hier="9" item="4"/>
          <tpl hier="11" item="6"/>
          <tpl hier="12" item="5"/>
          <tpl fld="1" item="0"/>
        </tpls>
      </n>
      <n v="170951180288">
        <tpls c="8">
          <tpl hier="2" item="0"/>
          <tpl hier="4" item="1"/>
          <tpl fld="2" item="13"/>
          <tpl fld="4" item="23"/>
          <tpl hier="9" item="4"/>
          <tpl hier="11" item="6"/>
          <tpl hier="12" item="5"/>
          <tpl fld="1" item="0"/>
        </tpls>
      </n>
      <n v="1484318179328">
        <tpls c="8">
          <tpl hier="2" item="0"/>
          <tpl hier="4" item="1"/>
          <tpl fld="2" item="44"/>
          <tpl fld="4" item="22"/>
          <tpl hier="9" item="4"/>
          <tpl hier="11" item="6"/>
          <tpl hier="12" item="5"/>
          <tpl fld="1" item="0"/>
        </tpls>
      </n>
      <n v="566583427072">
        <tpls c="8">
          <tpl hier="2" item="0"/>
          <tpl hier="4" item="1"/>
          <tpl fld="2" item="25"/>
          <tpl fld="4" item="22"/>
          <tpl hier="9" item="4"/>
          <tpl hier="11" item="6"/>
          <tpl hier="12" item="5"/>
          <tpl fld="1" item="0"/>
        </tpls>
      </n>
      <n v="19544094720">
        <tpls c="8">
          <tpl hier="2" item="0"/>
          <tpl hier="4" item="1"/>
          <tpl fld="2" item="4"/>
          <tpl fld="4" item="22"/>
          <tpl hier="9" item="4"/>
          <tpl hier="11" item="6"/>
          <tpl hier="12" item="5"/>
          <tpl fld="1" item="0"/>
        </tpls>
      </n>
      <n v="180941946880">
        <tpls c="8">
          <tpl hier="2" item="0"/>
          <tpl hier="4" item="1"/>
          <tpl fld="2" item="37"/>
          <tpl fld="4" item="21"/>
          <tpl hier="9" item="4"/>
          <tpl hier="11" item="6"/>
          <tpl hier="12" item="5"/>
          <tpl fld="1" item="0"/>
        </tpls>
      </n>
      <n v="30465363968">
        <tpls c="8">
          <tpl hier="2" item="0"/>
          <tpl hier="4" item="1"/>
          <tpl fld="2" item="19"/>
          <tpl fld="4" item="21"/>
          <tpl hier="9" item="4"/>
          <tpl hier="11" item="6"/>
          <tpl hier="12" item="5"/>
          <tpl fld="1" item="0"/>
        </tpls>
      </n>
      <n v="2263785472">
        <tpls c="8">
          <tpl hier="2" item="0"/>
          <tpl hier="4" item="1"/>
          <tpl fld="2" item="1"/>
          <tpl fld="4" item="21"/>
          <tpl hier="9" item="4"/>
          <tpl hier="11" item="6"/>
          <tpl hier="12" item="5"/>
          <tpl fld="1" item="0"/>
        </tpls>
      </n>
      <n v="189034496000">
        <tpls c="8">
          <tpl hier="2" item="0"/>
          <tpl hier="4" item="1"/>
          <tpl fld="2" item="34"/>
          <tpl fld="4" item="20"/>
          <tpl hier="9" item="4"/>
          <tpl hier="11" item="6"/>
          <tpl hier="12" item="5"/>
          <tpl fld="1" item="0"/>
        </tpls>
      </n>
      <n v="38745903104">
        <tpls c="8">
          <tpl hier="2" item="0"/>
          <tpl hier="4" item="1"/>
          <tpl fld="2" item="16"/>
          <tpl fld="4" item="20"/>
          <tpl hier="9" item="4"/>
          <tpl hier="11" item="6"/>
          <tpl hier="12" item="5"/>
          <tpl fld="1" item="0"/>
        </tpls>
      </n>
      <n v="403336364032">
        <tpls c="8">
          <tpl hier="2" item="0"/>
          <tpl hier="4" item="1"/>
          <tpl fld="2" item="49"/>
          <tpl fld="4" item="19"/>
          <tpl hier="9" item="4"/>
          <tpl hier="11" item="6"/>
          <tpl hier="12" item="5"/>
          <tpl fld="1" item="0"/>
        </tpls>
      </n>
      <n v="195524182016">
        <tpls c="8">
          <tpl hier="2" item="0"/>
          <tpl hier="4" item="1"/>
          <tpl fld="2" item="32"/>
          <tpl fld="4" item="19"/>
          <tpl hier="9" item="4"/>
          <tpl hier="11" item="6"/>
          <tpl hier="12" item="5"/>
          <tpl fld="1" item="0"/>
        </tpls>
      </n>
      <n v="62057955328">
        <tpls c="8">
          <tpl hier="2" item="0"/>
          <tpl hier="4" item="1"/>
          <tpl fld="2" item="14"/>
          <tpl fld="4" item="19"/>
          <tpl hier="9" item="4"/>
          <tpl hier="11" item="6"/>
          <tpl hier="12" item="5"/>
          <tpl fld="1" item="0"/>
        </tpls>
      </n>
      <n v="206928773120">
        <tpls c="8">
          <tpl hier="2" item="0"/>
          <tpl hier="4" item="1"/>
          <tpl fld="2" item="49"/>
          <tpl fld="4" item="18"/>
          <tpl hier="9" item="4"/>
          <tpl hier="11" item="6"/>
          <tpl hier="12" item="5"/>
          <tpl fld="1" item="0"/>
        </tpls>
      </n>
      <n v="88250884096">
        <tpls c="8">
          <tpl hier="2" item="0"/>
          <tpl hier="4" item="1"/>
          <tpl fld="2" item="33"/>
          <tpl fld="4" item="18"/>
          <tpl hier="9" item="4"/>
          <tpl hier="11" item="6"/>
          <tpl hier="12" item="5"/>
          <tpl fld="1" item="0"/>
        </tpls>
      </n>
      <n v="40376352768">
        <tpls c="8">
          <tpl hier="2" item="0"/>
          <tpl hier="4" item="1"/>
          <tpl fld="2" item="17"/>
          <tpl fld="4" item="18"/>
          <tpl hier="9" item="4"/>
          <tpl hier="11" item="6"/>
          <tpl hier="12" item="5"/>
          <tpl fld="1" item="0"/>
        </tpls>
      </n>
      <n v="7911136768">
        <tpls c="8">
          <tpl hier="2" item="0"/>
          <tpl hier="4" item="1"/>
          <tpl fld="2" item="1"/>
          <tpl fld="4" item="18"/>
          <tpl hier="9" item="4"/>
          <tpl hier="11" item="6"/>
          <tpl hier="12" item="5"/>
          <tpl fld="1" item="0"/>
        </tpls>
      </n>
      <n v="733340893184">
        <tpls c="8">
          <tpl hier="2" item="0"/>
          <tpl hier="4" item="1"/>
          <tpl fld="2" item="36"/>
          <tpl fld="4" item="17"/>
          <tpl hier="9" item="4"/>
          <tpl hier="11" item="6"/>
          <tpl hier="12" item="5"/>
          <tpl fld="1" item="0"/>
        </tpls>
      </n>
      <n v="318330503168">
        <tpls c="8">
          <tpl hier="2" item="0"/>
          <tpl hier="4" item="1"/>
          <tpl fld="2" item="20"/>
          <tpl fld="4" item="17"/>
          <tpl hier="9" item="4"/>
          <tpl hier="11" item="6"/>
          <tpl hier="12" item="5"/>
          <tpl fld="1" item="0"/>
        </tpls>
      </n>
      <n v="87243415552">
        <tpls c="8">
          <tpl hier="2" item="0"/>
          <tpl hier="4" item="1"/>
          <tpl fld="2" item="4"/>
          <tpl fld="4" item="17"/>
          <tpl hier="9" item="4"/>
          <tpl hier="11" item="6"/>
          <tpl hier="12" item="5"/>
          <tpl fld="1" item="0"/>
        </tpls>
      </n>
      <n v="8528202240">
        <tpls c="8">
          <tpl hier="2" item="0"/>
          <tpl hier="4" item="1"/>
          <tpl fld="2" item="39"/>
          <tpl fld="4" item="16"/>
          <tpl hier="9" item="4"/>
          <tpl hier="11" item="6"/>
          <tpl hier="12" item="5"/>
          <tpl fld="1" item="0"/>
        </tpls>
      </n>
      <n v="2709178368">
        <tpls c="8">
          <tpl hier="2" item="0"/>
          <tpl hier="4" item="1"/>
          <tpl fld="2" item="23"/>
          <tpl fld="4" item="16"/>
          <tpl hier="9" item="4"/>
          <tpl hier="11" item="6"/>
          <tpl hier="12" item="5"/>
          <tpl fld="1" item="0"/>
        </tpls>
      </n>
      <n v="625573376">
        <tpls c="8">
          <tpl hier="2" item="0"/>
          <tpl hier="4" item="1"/>
          <tpl fld="2" item="7"/>
          <tpl fld="4" item="16"/>
          <tpl hier="9" item="4"/>
          <tpl hier="11" item="6"/>
          <tpl hier="12" item="5"/>
          <tpl fld="1" item="0"/>
        </tpls>
      </n>
      <n v="56677961728">
        <tpls c="8">
          <tpl hier="2" item="0"/>
          <tpl hier="4" item="1"/>
          <tpl fld="2" item="42"/>
          <tpl fld="4" item="15"/>
          <tpl hier="9" item="4"/>
          <tpl hier="11" item="6"/>
          <tpl hier="12" item="5"/>
          <tpl fld="1" item="0"/>
        </tpls>
      </n>
      <n v="21776609280">
        <tpls c="8">
          <tpl hier="2" item="0"/>
          <tpl hier="4" item="1"/>
          <tpl fld="2" item="26"/>
          <tpl fld="4" item="15"/>
          <tpl hier="9" item="4"/>
          <tpl hier="11" item="6"/>
          <tpl hier="12" item="5"/>
          <tpl fld="1" item="0"/>
        </tpls>
      </n>
      <n v="6232005632">
        <tpls c="8">
          <tpl hier="2" item="0"/>
          <tpl hier="4" item="1"/>
          <tpl fld="2" item="10"/>
          <tpl fld="4" item="15"/>
          <tpl hier="9" item="4"/>
          <tpl hier="11" item="6"/>
          <tpl hier="12" item="5"/>
          <tpl fld="1" item="0"/>
        </tpls>
      </n>
      <n v="4389475713024">
        <tpls c="8">
          <tpl hier="2" item="0"/>
          <tpl hier="4" item="1"/>
          <tpl fld="2" item="45"/>
          <tpl fld="4" item="14"/>
          <tpl hier="9" item="4"/>
          <tpl hier="11" item="6"/>
          <tpl hier="12" item="5"/>
          <tpl fld="1" item="0"/>
        </tpls>
      </n>
      <n v="4562078924800">
        <tpls c="8">
          <tpl hier="2" item="0"/>
          <tpl hier="4" item="1"/>
          <tpl fld="2" item="29"/>
          <tpl fld="4" item="14"/>
          <tpl hier="9" item="4"/>
          <tpl hier="11" item="6"/>
          <tpl hier="12" item="5"/>
          <tpl fld="1" item="0"/>
        </tpls>
      </n>
      <n v="1243323564032">
        <tpls c="8">
          <tpl hier="2" item="0"/>
          <tpl hier="4" item="1"/>
          <tpl fld="2" item="13"/>
          <tpl fld="4" item="14"/>
          <tpl hier="9" item="4"/>
          <tpl hier="11" item="6"/>
          <tpl hier="12" item="5"/>
          <tpl fld="1" item="0"/>
        </tpls>
      </n>
      <n v="2085764333568">
        <tpls c="8">
          <tpl hier="2" item="0"/>
          <tpl hier="4" item="1"/>
          <tpl fld="2" item="48"/>
          <tpl fld="4" item="13"/>
          <tpl hier="9" item="4"/>
          <tpl hier="11" item="6"/>
          <tpl hier="12" item="5"/>
          <tpl fld="1" item="0"/>
        </tpls>
      </n>
      <n v="1270712369152">
        <tpls c="8">
          <tpl hier="2" item="0"/>
          <tpl hier="4" item="1"/>
          <tpl fld="2" item="32"/>
          <tpl fld="4" item="13"/>
          <tpl hier="9" item="4"/>
          <tpl hier="11" item="6"/>
          <tpl hier="12" item="5"/>
          <tpl fld="1" item="0"/>
        </tpls>
      </n>
      <n v="640386334720">
        <tpls c="8">
          <tpl hier="2" item="0"/>
          <tpl hier="4" item="1"/>
          <tpl fld="2" item="16"/>
          <tpl fld="4" item="13"/>
          <tpl hier="9" item="4"/>
          <tpl hier="11" item="6"/>
          <tpl hier="12" item="5"/>
          <tpl fld="1" item="0"/>
        </tpls>
      </n>
      <n v="113395318784">
        <tpls c="8">
          <tpl hier="2" item="0"/>
          <tpl hier="4" item="1"/>
          <tpl fld="2" item="0"/>
          <tpl fld="4" item="13"/>
          <tpl hier="9" item="4"/>
          <tpl hier="11" item="6"/>
          <tpl hier="12" item="5"/>
          <tpl fld="1" item="0"/>
        </tpls>
      </n>
      <n v="142528905216">
        <tpls c="8">
          <tpl hier="2" item="0"/>
          <tpl hier="4" item="1"/>
          <tpl fld="2" item="35"/>
          <tpl fld="4" item="12"/>
          <tpl hier="9" item="4"/>
          <tpl hier="11" item="6"/>
          <tpl hier="12" item="5"/>
          <tpl fld="1" item="0"/>
        </tpls>
      </n>
      <n v="49901961216">
        <tpls c="8">
          <tpl hier="2" item="0"/>
          <tpl hier="4" item="1"/>
          <tpl fld="2" item="19"/>
          <tpl fld="4" item="12"/>
          <tpl hier="9" item="4"/>
          <tpl hier="11" item="6"/>
          <tpl hier="12" item="5"/>
          <tpl fld="1" item="0"/>
        </tpls>
      </n>
      <n v="11326249984">
        <tpls c="8">
          <tpl hier="2" item="0"/>
          <tpl hier="4" item="1"/>
          <tpl fld="2" item="3"/>
          <tpl fld="4" item="12"/>
          <tpl hier="9" item="4"/>
          <tpl hier="11" item="6"/>
          <tpl hier="12" item="5"/>
          <tpl fld="1" item="0"/>
        </tpls>
      </n>
      <n v="275038896128">
        <tpls c="8">
          <tpl hier="2" item="0"/>
          <tpl hier="4" item="1"/>
          <tpl fld="2" item="38"/>
          <tpl fld="4" item="11"/>
          <tpl hier="9" item="4"/>
          <tpl hier="11" item="6"/>
          <tpl hier="12" item="5"/>
          <tpl fld="1" item="0"/>
        </tpls>
      </n>
      <n v="55985504256">
        <tpls c="8">
          <tpl hier="2" item="0"/>
          <tpl hier="4" item="1"/>
          <tpl fld="2" item="22"/>
          <tpl fld="4" item="11"/>
          <tpl hier="9" item="4"/>
          <tpl hier="11" item="6"/>
          <tpl hier="12" item="5"/>
          <tpl fld="1" item="0"/>
        </tpls>
      </n>
      <n v="9465077760">
        <tpls c="8">
          <tpl hier="2" item="0"/>
          <tpl hier="4" item="1"/>
          <tpl fld="2" item="6"/>
          <tpl fld="4" item="11"/>
          <tpl hier="9" item="4"/>
          <tpl hier="11" item="6"/>
          <tpl hier="12" item="5"/>
          <tpl fld="1" item="0"/>
        </tpls>
      </n>
      <n v="15158548480">
        <tpls c="8">
          <tpl hier="2" item="0"/>
          <tpl hier="4" item="1"/>
          <tpl fld="2" item="41"/>
          <tpl fld="4" item="10"/>
          <tpl hier="9" item="4"/>
          <tpl hier="11" item="6"/>
          <tpl hier="12" item="5"/>
          <tpl fld="1" item="0"/>
        </tpls>
      </n>
      <n v="7134341120">
        <tpls c="8">
          <tpl hier="2" item="0"/>
          <tpl hier="4" item="1"/>
          <tpl fld="2" item="25"/>
          <tpl fld="4" item="10"/>
          <tpl hier="9" item="4"/>
          <tpl hier="11" item="6"/>
          <tpl hier="12" item="5"/>
          <tpl fld="1" item="0"/>
        </tpls>
      </n>
      <n v="2857724160">
        <tpls c="8">
          <tpl hier="2" item="0"/>
          <tpl hier="4" item="1"/>
          <tpl fld="2" item="9"/>
          <tpl fld="4" item="10"/>
          <tpl hier="9" item="4"/>
          <tpl hier="11" item="6"/>
          <tpl hier="12" item="5"/>
          <tpl fld="1" item="0"/>
        </tpls>
      </n>
      <n v="237029572608">
        <tpls c="8">
          <tpl hier="2" item="0"/>
          <tpl hier="4" item="1"/>
          <tpl fld="2" item="44"/>
          <tpl fld="4" item="9"/>
          <tpl hier="9" item="4"/>
          <tpl hier="11" item="6"/>
          <tpl hier="12" item="5"/>
          <tpl fld="1" item="0"/>
        </tpls>
      </n>
      <n v="144428171264">
        <tpls c="8">
          <tpl hier="2" item="0"/>
          <tpl hier="4" item="1"/>
          <tpl fld="2" item="28"/>
          <tpl fld="4" item="9"/>
          <tpl hier="9" item="4"/>
          <tpl hier="11" item="6"/>
          <tpl hier="12" item="5"/>
          <tpl fld="1" item="0"/>
        </tpls>
      </n>
      <n v="54617993216">
        <tpls c="8">
          <tpl hier="2" item="0"/>
          <tpl hier="4" item="1"/>
          <tpl fld="2" item="12"/>
          <tpl fld="4" item="9"/>
          <tpl hier="9" item="4"/>
          <tpl hier="11" item="6"/>
          <tpl hier="12" item="5"/>
          <tpl fld="1" item="0"/>
        </tpls>
      </n>
      <n v="3665804132352">
        <tpls c="8">
          <tpl hier="2" item="0"/>
          <tpl hier="4" item="1"/>
          <tpl fld="2" item="47"/>
          <tpl fld="4" item="8"/>
          <tpl hier="9" item="4"/>
          <tpl hier="11" item="6"/>
          <tpl hier="12" item="5"/>
          <tpl fld="1" item="0"/>
        </tpls>
      </n>
      <n v="1944107352064">
        <tpls c="8">
          <tpl hier="2" item="0"/>
          <tpl hier="4" item="1"/>
          <tpl fld="2" item="31"/>
          <tpl fld="4" item="8"/>
          <tpl hier="9" item="4"/>
          <tpl hier="11" item="6"/>
          <tpl hier="12" item="5"/>
          <tpl fld="1" item="0"/>
        </tpls>
      </n>
      <n v="732534865920">
        <tpls c="8">
          <tpl hier="2" item="0"/>
          <tpl hier="4" item="1"/>
          <tpl fld="2" item="15"/>
          <tpl fld="4" item="8"/>
          <tpl hier="9" item="4"/>
          <tpl hier="11" item="6"/>
          <tpl hier="12" item="5"/>
          <tpl fld="1" item="0"/>
        </tpls>
      </n>
      <n v="2115742466048">
        <tpls c="8">
          <tpl hier="2" item="0"/>
          <tpl hier="4" item="1"/>
          <tpl fld="2" item="34"/>
          <tpl fld="4" item="7"/>
          <tpl hier="9" item="4"/>
          <tpl hier="11" item="6"/>
          <tpl hier="12" item="5"/>
          <tpl fld="1" item="0"/>
        </tpls>
      </n>
      <n v="256052559872">
        <tpls c="8">
          <tpl hier="2" item="0"/>
          <tpl hier="4" item="1"/>
          <tpl fld="2" item="37"/>
          <tpl fld="4" item="6"/>
          <tpl hier="9" item="4"/>
          <tpl hier="11" item="6"/>
          <tpl hier="12" item="5"/>
          <tpl fld="1" item="0"/>
        </tpls>
      </n>
      <n v="127773859840">
        <tpls c="8">
          <tpl hier="2" item="0"/>
          <tpl hier="4" item="1"/>
          <tpl fld="2" item="21"/>
          <tpl fld="4" item="6"/>
          <tpl hier="9" item="4"/>
          <tpl hier="11" item="6"/>
          <tpl hier="12" item="5"/>
          <tpl fld="1" item="0"/>
        </tpls>
      </n>
      <n v="29472624640">
        <tpls c="8">
          <tpl hier="2" item="0"/>
          <tpl hier="4" item="1"/>
          <tpl fld="2" item="5"/>
          <tpl fld="4" item="6"/>
          <tpl hier="9" item="4"/>
          <tpl hier="11" item="6"/>
          <tpl hier="12" item="5"/>
          <tpl fld="1" item="0"/>
        </tpls>
      </n>
      <n v="8140271104">
        <tpls c="8">
          <tpl hier="2" item="0"/>
          <tpl hier="4" item="1"/>
          <tpl fld="2" item="33"/>
          <tpl fld="4" item="59"/>
          <tpl hier="9" item="4"/>
          <tpl hier="11" item="6"/>
          <tpl hier="12" item="5"/>
          <tpl fld="1" item="0"/>
        </tpls>
      </n>
      <n v="5694040576">
        <tpls c="8">
          <tpl hier="2" item="0"/>
          <tpl hier="4" item="1"/>
          <tpl fld="2" item="26"/>
          <tpl fld="4" item="52"/>
          <tpl hier="9" item="4"/>
          <tpl hier="11" item="6"/>
          <tpl hier="12" item="5"/>
          <tpl fld="1" item="0"/>
        </tpls>
      </n>
      <n v="4614629888">
        <tpls c="8">
          <tpl hier="2" item="0"/>
          <tpl hier="4" item="1"/>
          <tpl fld="2" item="18"/>
          <tpl fld="4" item="46"/>
          <tpl hier="9" item="4"/>
          <tpl hier="11" item="6"/>
          <tpl hier="12" item="5"/>
          <tpl fld="1" item="0"/>
        </tpls>
      </n>
      <n v="1007791168">
        <tpls c="8">
          <tpl hier="2" item="0"/>
          <tpl hier="4" item="1"/>
          <tpl fld="2" item="26"/>
          <tpl fld="4" item="40"/>
          <tpl hier="9" item="4"/>
          <tpl hier="11" item="6"/>
          <tpl hier="12" item="5"/>
          <tpl fld="1" item="0"/>
        </tpls>
      </n>
      <n v="4730611200">
        <tpls c="8">
          <tpl hier="2" item="0"/>
          <tpl hier="4" item="1"/>
          <tpl fld="2" item="25"/>
          <tpl fld="4" item="35"/>
          <tpl hier="9" item="4"/>
          <tpl hier="11" item="6"/>
          <tpl hier="12" item="5"/>
          <tpl fld="1" item="0"/>
        </tpls>
      </n>
      <n v="2268301568">
        <tpls c="8">
          <tpl hier="2" item="0"/>
          <tpl hier="4" item="1"/>
          <tpl fld="2" item="27"/>
          <tpl fld="4" item="33"/>
          <tpl hier="9" item="4"/>
          <tpl hier="11" item="6"/>
          <tpl hier="12" item="5"/>
          <tpl fld="1" item="0"/>
        </tpls>
      </n>
      <n v="1271600000">
        <tpls c="8">
          <tpl hier="2" item="0"/>
          <tpl hier="4" item="1"/>
          <tpl fld="2" item="37"/>
          <tpl fld="4" item="32"/>
          <tpl hier="9" item="4"/>
          <tpl hier="11" item="6"/>
          <tpl hier="12" item="5"/>
          <tpl fld="1" item="0"/>
        </tpls>
      </n>
      <n v="3370227200000">
        <tpls c="8">
          <tpl hier="2" item="0"/>
          <tpl hier="4" item="1"/>
          <tpl hier="5" item="3"/>
          <tpl fld="4" item="31"/>
          <tpl hier="9" item="4"/>
          <tpl hier="11" item="6"/>
          <tpl hier="12" item="5"/>
          <tpl fld="1" item="0"/>
        </tpls>
      </n>
      <n v="18920839168">
        <tpls c="8">
          <tpl hier="2" item="0"/>
          <tpl hier="4" item="1"/>
          <tpl fld="2" item="14"/>
          <tpl fld="4" item="31"/>
          <tpl hier="9" item="4"/>
          <tpl hier="11" item="6"/>
          <tpl hier="12" item="5"/>
          <tpl fld="1" item="0"/>
        </tpls>
      </n>
      <n v="10167249920">
        <tpls c="8">
          <tpl hier="2" item="0"/>
          <tpl hier="4" item="1"/>
          <tpl fld="2" item="36"/>
          <tpl fld="4" item="30"/>
          <tpl hier="9" item="4"/>
          <tpl hier="11" item="6"/>
          <tpl hier="12" item="5"/>
          <tpl fld="1" item="0"/>
        </tpls>
      </n>
      <n v="642099968">
        <tpls c="8">
          <tpl hier="2" item="0"/>
          <tpl hier="4" item="1"/>
          <tpl fld="2" item="6"/>
          <tpl fld="4" item="30"/>
          <tpl hier="9" item="4"/>
          <tpl hier="11" item="6"/>
          <tpl hier="12" item="5"/>
          <tpl fld="1" item="0"/>
        </tpls>
      </n>
      <n v="268696748032">
        <tpls c="8">
          <tpl hier="2" item="0"/>
          <tpl hier="4" item="1"/>
          <tpl fld="2" item="31"/>
          <tpl fld="4" item="29"/>
          <tpl hier="9" item="4"/>
          <tpl hier="11" item="6"/>
          <tpl hier="12" item="5"/>
          <tpl fld="1" item="0"/>
        </tpls>
      </n>
      <n v="58082869248">
        <tpls c="8">
          <tpl hier="2" item="0"/>
          <tpl hier="4" item="1"/>
          <tpl fld="2" item="8"/>
          <tpl fld="4" item="29"/>
          <tpl hier="9" item="4"/>
          <tpl hier="11" item="6"/>
          <tpl hier="12" item="5"/>
          <tpl fld="1" item="0"/>
        </tpls>
      </n>
      <n v="103198441472">
        <tpls c="8">
          <tpl hier="2" item="0"/>
          <tpl hier="4" item="1"/>
          <tpl fld="2" item="35"/>
          <tpl fld="4" item="28"/>
          <tpl hier="9" item="4"/>
          <tpl hier="11" item="6"/>
          <tpl hier="12" item="5"/>
          <tpl fld="1" item="0"/>
        </tpls>
      </n>
      <n v="45207089152">
        <tpls c="8">
          <tpl hier="2" item="0"/>
          <tpl hier="4" item="1"/>
          <tpl fld="2" item="12"/>
          <tpl fld="4" item="28"/>
          <tpl hier="9" item="4"/>
          <tpl hier="11" item="6"/>
          <tpl hier="12" item="5"/>
          <tpl fld="1" item="0"/>
        </tpls>
      </n>
      <n v="15542580674560">
        <tpls c="8">
          <tpl hier="2" item="0"/>
          <tpl hier="4" item="1"/>
          <tpl fld="2" item="41"/>
          <tpl fld="4" item="27"/>
          <tpl hier="9" item="4"/>
          <tpl hier="11" item="6"/>
          <tpl hier="12" item="5"/>
          <tpl fld="1" item="0"/>
        </tpls>
      </n>
      <n v="4855215161344">
        <tpls c="8">
          <tpl hier="2" item="0"/>
          <tpl hier="4" item="1"/>
          <tpl fld="2" item="17"/>
          <tpl fld="4" item="27"/>
          <tpl hier="9" item="4"/>
          <tpl hier="11" item="6"/>
          <tpl hier="12" item="5"/>
          <tpl fld="1" item="0"/>
        </tpls>
      </n>
      <n v="2928590979072">
        <tpls c="8">
          <tpl hier="2" item="0"/>
          <tpl hier="4" item="1"/>
          <tpl fld="2" item="45"/>
          <tpl fld="4" item="26"/>
          <tpl hier="9" item="4"/>
          <tpl hier="11" item="6"/>
          <tpl hier="12" item="5"/>
          <tpl fld="1" item="0"/>
        </tpls>
      </n>
      <n v="1142797238272">
        <tpls c="8">
          <tpl hier="2" item="0"/>
          <tpl hier="4" item="1"/>
          <tpl fld="2" item="21"/>
          <tpl fld="4" item="26"/>
          <tpl hier="9" item="4"/>
          <tpl hier="11" item="6"/>
          <tpl hier="12" item="5"/>
          <tpl fld="1" item="0"/>
        </tpls>
      </n>
      <n v="703082463232">
        <tpls c="8">
          <tpl hier="2" item="0"/>
          <tpl hier="4" item="1"/>
          <tpl fld="2" item="49"/>
          <tpl fld="4" item="25"/>
          <tpl hier="9" item="4"/>
          <tpl hier="11" item="6"/>
          <tpl hier="12" item="5"/>
          <tpl fld="1" item="0"/>
        </tpls>
      </n>
      <n v="286519132160">
        <tpls c="8">
          <tpl hier="2" item="0"/>
          <tpl hier="4" item="1"/>
          <tpl fld="2" item="27"/>
          <tpl fld="4" item="25"/>
          <tpl hier="9" item="4"/>
          <tpl hier="11" item="6"/>
          <tpl hier="12" item="5"/>
          <tpl fld="1" item="0"/>
        </tpls>
      </n>
      <n v="99318235136">
        <tpls c="8">
          <tpl hier="2" item="0"/>
          <tpl hier="4" item="1"/>
          <tpl fld="2" item="8"/>
          <tpl fld="4" item="25"/>
          <tpl hier="9" item="4"/>
          <tpl hier="11" item="6"/>
          <tpl hier="12" item="5"/>
          <tpl fld="1" item="0"/>
        </tpls>
      </n>
      <n v="436536999936">
        <tpls c="8">
          <tpl hier="2" item="0"/>
          <tpl hier="4" item="1"/>
          <tpl fld="2" item="39"/>
          <tpl fld="4" item="24"/>
          <tpl hier="9" item="4"/>
          <tpl hier="11" item="6"/>
          <tpl hier="12" item="5"/>
          <tpl fld="1" item="0"/>
        </tpls>
      </n>
      <n v="261846188032">
        <tpls c="8">
          <tpl hier="2" item="0"/>
          <tpl hier="4" item="1"/>
          <tpl fld="2" item="20"/>
          <tpl fld="4" item="24"/>
          <tpl hier="9" item="4"/>
          <tpl hier="11" item="6"/>
          <tpl hier="12" item="5"/>
          <tpl fld="1" item="0"/>
        </tpls>
      </n>
      <n v="33881244266496">
        <tpls c="8">
          <tpl hier="2" item="0"/>
          <tpl hier="4" item="1"/>
          <tpl hier="5" item="3"/>
          <tpl fld="4" item="23"/>
          <tpl hier="9" item="4"/>
          <tpl hier="11" item="6"/>
          <tpl hier="12" item="5"/>
          <tpl fld="1" item="0"/>
        </tpls>
      </n>
      <n v="627286802432">
        <tpls c="8">
          <tpl hier="2" item="0"/>
          <tpl hier="4" item="1"/>
          <tpl fld="2" item="31"/>
          <tpl fld="4" item="23"/>
          <tpl hier="9" item="4"/>
          <tpl hier="11" item="6"/>
          <tpl hier="12" item="5"/>
          <tpl fld="1" item="0"/>
        </tpls>
      </n>
      <n v="202807885824">
        <tpls c="8">
          <tpl hier="2" item="0"/>
          <tpl hier="4" item="1"/>
          <tpl fld="2" item="11"/>
          <tpl fld="4" item="23"/>
          <tpl hier="9" item="4"/>
          <tpl hier="11" item="6"/>
          <tpl hier="12" item="5"/>
          <tpl fld="1" item="0"/>
        </tpls>
      </n>
      <n v="1370795147264">
        <tpls c="8">
          <tpl hier="2" item="0"/>
          <tpl hier="4" item="1"/>
          <tpl fld="2" item="43"/>
          <tpl fld="4" item="22"/>
          <tpl hier="9" item="4"/>
          <tpl hier="11" item="6"/>
          <tpl hier="12" item="5"/>
          <tpl fld="1" item="0"/>
        </tpls>
      </n>
      <n v="463617392640">
        <tpls c="8">
          <tpl hier="2" item="0"/>
          <tpl hier="4" item="1"/>
          <tpl fld="2" item="24"/>
          <tpl fld="4" item="22"/>
          <tpl hier="9" item="4"/>
          <tpl hier="11" item="6"/>
          <tpl hier="12" item="5"/>
          <tpl fld="1" item="0"/>
        </tpls>
      </n>
      <n v="13876531200">
        <tpls c="8">
          <tpl hier="2" item="0"/>
          <tpl hier="4" item="1"/>
          <tpl fld="2" item="3"/>
          <tpl fld="4" item="22"/>
          <tpl hier="9" item="4"/>
          <tpl hier="11" item="6"/>
          <tpl hier="12" item="5"/>
          <tpl fld="1" item="0"/>
        </tpls>
      </n>
      <n v="148630372352">
        <tpls c="8">
          <tpl hier="2" item="0"/>
          <tpl hier="4" item="1"/>
          <tpl fld="2" item="36"/>
          <tpl fld="4" item="21"/>
          <tpl hier="9" item="4"/>
          <tpl hier="11" item="6"/>
          <tpl hier="12" item="5"/>
          <tpl fld="1" item="0"/>
        </tpls>
      </n>
      <n v="25371461632">
        <tpls c="8">
          <tpl hier="2" item="0"/>
          <tpl hier="4" item="1"/>
          <tpl fld="2" item="18"/>
          <tpl fld="4" item="21"/>
          <tpl hier="9" item="4"/>
          <tpl hier="11" item="6"/>
          <tpl hier="12" item="5"/>
          <tpl fld="1" item="0"/>
        </tpls>
      </n>
      <n v="1920586752">
        <tpls c="8">
          <tpl hier="2" item="0"/>
          <tpl hier="4" item="1"/>
          <tpl fld="2" item="0"/>
          <tpl fld="4" item="21"/>
          <tpl hier="9" item="4"/>
          <tpl hier="11" item="6"/>
          <tpl hier="12" item="5"/>
          <tpl fld="1" item="0"/>
        </tpls>
      </n>
      <n v="164862148608">
        <tpls c="8">
          <tpl hier="2" item="0"/>
          <tpl hier="4" item="1"/>
          <tpl fld="2" item="33"/>
          <tpl fld="4" item="20"/>
          <tpl hier="9" item="4"/>
          <tpl hier="11" item="6"/>
          <tpl hier="12" item="5"/>
          <tpl fld="1" item="0"/>
        </tpls>
      </n>
      <n v="27115806720">
        <tpls c="8">
          <tpl hier="2" item="0"/>
          <tpl hier="4" item="1"/>
          <tpl fld="2" item="15"/>
          <tpl fld="4" item="20"/>
          <tpl hier="9" item="4"/>
          <tpl hier="11" item="6"/>
          <tpl hier="12" item="5"/>
          <tpl fld="1" item="0"/>
        </tpls>
      </n>
      <n v="434166628352">
        <tpls c="8">
          <tpl hier="2" item="0"/>
          <tpl hier="4" item="1"/>
          <tpl fld="2" item="48"/>
          <tpl fld="4" item="19"/>
          <tpl hier="9" item="4"/>
          <tpl hier="11" item="6"/>
          <tpl hier="12" item="5"/>
          <tpl fld="1" item="0"/>
        </tpls>
      </n>
      <n v="171247124480">
        <tpls c="8">
          <tpl hier="2" item="0"/>
          <tpl hier="4" item="1"/>
          <tpl fld="2" item="30"/>
          <tpl fld="4" item="19"/>
          <tpl hier="9" item="4"/>
          <tpl hier="11" item="6"/>
          <tpl hier="12" item="5"/>
          <tpl fld="1" item="0"/>
        </tpls>
      </n>
      <n v="61627240448">
        <tpls c="8">
          <tpl hier="2" item="0"/>
          <tpl hier="4" item="1"/>
          <tpl fld="2" item="13"/>
          <tpl fld="4" item="19"/>
          <tpl hier="9" item="4"/>
          <tpl hier="11" item="6"/>
          <tpl hier="12" item="5"/>
          <tpl fld="1" item="0"/>
        </tpls>
      </n>
      <n v="207920611328">
        <tpls c="8">
          <tpl hier="2" item="0"/>
          <tpl hier="4" item="1"/>
          <tpl fld="2" item="48"/>
          <tpl fld="4" item="18"/>
          <tpl hier="9" item="4"/>
          <tpl hier="11" item="6"/>
          <tpl hier="12" item="5"/>
          <tpl fld="1" item="0"/>
        </tpls>
      </n>
      <n v="66627727360">
        <tpls c="8">
          <tpl hier="2" item="0"/>
          <tpl hier="4" item="1"/>
          <tpl fld="2" item="32"/>
          <tpl fld="4" item="18"/>
          <tpl hier="9" item="4"/>
          <tpl hier="11" item="6"/>
          <tpl hier="12" item="5"/>
          <tpl fld="1" item="0"/>
        </tpls>
      </n>
      <n v="30604668928">
        <tpls c="8">
          <tpl hier="2" item="0"/>
          <tpl hier="4" item="1"/>
          <tpl fld="2" item="16"/>
          <tpl fld="4" item="18"/>
          <tpl hier="9" item="4"/>
          <tpl hier="11" item="6"/>
          <tpl hier="12" item="5"/>
          <tpl fld="1" item="0"/>
        </tpls>
      </n>
      <n v="6495605248">
        <tpls c="8">
          <tpl hier="2" item="0"/>
          <tpl hier="4" item="1"/>
          <tpl fld="2" item="0"/>
          <tpl fld="4" item="18"/>
          <tpl hier="9" item="4"/>
          <tpl hier="11" item="6"/>
          <tpl hier="12" item="5"/>
          <tpl fld="1" item="0"/>
        </tpls>
      </n>
      <n v="685092634624">
        <tpls c="8">
          <tpl hier="2" item="0"/>
          <tpl hier="4" item="1"/>
          <tpl fld="2" item="35"/>
          <tpl fld="4" item="17"/>
          <tpl hier="9" item="4"/>
          <tpl hier="11" item="6"/>
          <tpl hier="12" item="5"/>
          <tpl fld="1" item="0"/>
        </tpls>
      </n>
      <n v="258336702464">
        <tpls c="8">
          <tpl hier="2" item="0"/>
          <tpl hier="4" item="1"/>
          <tpl fld="2" item="19"/>
          <tpl fld="4" item="17"/>
          <tpl hier="9" item="4"/>
          <tpl hier="11" item="6"/>
          <tpl hier="12" item="5"/>
          <tpl fld="1" item="0"/>
        </tpls>
      </n>
      <n v="71840907264">
        <tpls c="8">
          <tpl hier="2" item="0"/>
          <tpl hier="4" item="1"/>
          <tpl fld="2" item="3"/>
          <tpl fld="4" item="17"/>
          <tpl hier="9" item="4"/>
          <tpl hier="11" item="6"/>
          <tpl hier="12" item="5"/>
          <tpl fld="1" item="0"/>
        </tpls>
      </n>
      <n v="8977149952">
        <tpls c="8">
          <tpl hier="2" item="0"/>
          <tpl hier="4" item="1"/>
          <tpl fld="2" item="38"/>
          <tpl fld="4" item="16"/>
          <tpl hier="9" item="4"/>
          <tpl hier="11" item="6"/>
          <tpl hier="12" item="5"/>
          <tpl fld="1" item="0"/>
        </tpls>
      </n>
      <n v="3021910272">
        <tpls c="8">
          <tpl hier="2" item="0"/>
          <tpl hier="4" item="1"/>
          <tpl fld="2" item="22"/>
          <tpl fld="4" item="16"/>
          <tpl hier="9" item="4"/>
          <tpl hier="11" item="6"/>
          <tpl hier="12" item="5"/>
          <tpl fld="1" item="0"/>
        </tpls>
      </n>
      <n v="527936992">
        <tpls c="8">
          <tpl hier="2" item="0"/>
          <tpl hier="4" item="1"/>
          <tpl fld="2" item="6"/>
          <tpl fld="4" item="16"/>
          <tpl hier="9" item="4"/>
          <tpl hier="11" item="6"/>
          <tpl hier="12" item="5"/>
          <tpl fld="1" item="0"/>
        </tpls>
      </n>
      <n v="60004630528">
        <tpls c="8">
          <tpl hier="2" item="0"/>
          <tpl hier="4" item="1"/>
          <tpl fld="2" item="41"/>
          <tpl fld="4" item="15"/>
          <tpl hier="9" item="4"/>
          <tpl hier="11" item="6"/>
          <tpl hier="12" item="5"/>
          <tpl fld="1" item="0"/>
        </tpls>
      </n>
      <n v="21588170752">
        <tpls c="8">
          <tpl hier="2" item="0"/>
          <tpl hier="4" item="1"/>
          <tpl fld="2" item="25"/>
          <tpl fld="4" item="15"/>
          <tpl hier="9" item="4"/>
          <tpl hier="11" item="6"/>
          <tpl hier="12" item="5"/>
          <tpl fld="1" item="0"/>
        </tpls>
      </n>
      <n v="5711457792">
        <tpls c="8">
          <tpl hier="2" item="0"/>
          <tpl hier="4" item="1"/>
          <tpl fld="2" item="9"/>
          <tpl fld="4" item="15"/>
          <tpl hier="9" item="4"/>
          <tpl hier="11" item="6"/>
          <tpl hier="12" item="5"/>
          <tpl fld="1" item="0"/>
        </tpls>
      </n>
      <n v="4850413731840">
        <tpls c="8">
          <tpl hier="2" item="0"/>
          <tpl hier="4" item="1"/>
          <tpl fld="2" item="44"/>
          <tpl fld="4" item="14"/>
          <tpl hier="9" item="4"/>
          <tpl hier="11" item="6"/>
          <tpl hier="12" item="5"/>
          <tpl fld="1" item="0"/>
        </tpls>
      </n>
      <n v="4032509771776">
        <tpls c="8">
          <tpl hier="2" item="0"/>
          <tpl hier="4" item="1"/>
          <tpl fld="2" item="28"/>
          <tpl fld="4" item="14"/>
          <tpl hier="9" item="4"/>
          <tpl hier="11" item="6"/>
          <tpl hier="12" item="5"/>
          <tpl fld="1" item="0"/>
        </tpls>
      </n>
      <n v="1134517944320">
        <tpls c="8">
          <tpl hier="2" item="0"/>
          <tpl hier="4" item="1"/>
          <tpl fld="2" item="12"/>
          <tpl fld="4" item="14"/>
          <tpl hier="9" item="4"/>
          <tpl hier="11" item="6"/>
          <tpl hier="12" item="5"/>
          <tpl fld="1" item="0"/>
        </tpls>
      </n>
      <n v="1961796173824">
        <tpls c="8">
          <tpl hier="2" item="0"/>
          <tpl hier="4" item="1"/>
          <tpl fld="2" item="47"/>
          <tpl fld="4" item="13"/>
          <tpl hier="9" item="4"/>
          <tpl hier="11" item="6"/>
          <tpl hier="12" item="5"/>
          <tpl fld="1" item="0"/>
        </tpls>
      </n>
      <n v="1167012790272">
        <tpls c="8">
          <tpl hier="2" item="0"/>
          <tpl hier="4" item="1"/>
          <tpl fld="2" item="31"/>
          <tpl fld="4" item="13"/>
          <tpl hier="9" item="4"/>
          <tpl hier="11" item="6"/>
          <tpl hier="12" item="5"/>
          <tpl fld="1" item="0"/>
        </tpls>
      </n>
      <n v="452217503744">
        <tpls c="8">
          <tpl hier="2" item="0"/>
          <tpl hier="4" item="1"/>
          <tpl fld="2" item="15"/>
          <tpl fld="4" item="13"/>
          <tpl hier="9" item="4"/>
          <tpl hier="11" item="6"/>
          <tpl hier="12" item="5"/>
          <tpl fld="1" item="0"/>
        </tpls>
      </n>
      <n v="6037804995584">
        <tpls c="8">
          <tpl hier="2" item="0"/>
          <tpl hier="4" item="1"/>
          <tpl hier="5" item="3"/>
          <tpl fld="4" item="12"/>
          <tpl hier="9" item="4"/>
          <tpl hier="11" item="6"/>
          <tpl hier="12" item="5"/>
          <tpl fld="1" item="0"/>
        </tpls>
      </n>
      <n v="135477428224">
        <tpls c="8">
          <tpl hier="2" item="0"/>
          <tpl hier="4" item="1"/>
          <tpl fld="2" item="34"/>
          <tpl fld="4" item="12"/>
          <tpl hier="9" item="4"/>
          <tpl hier="11" item="6"/>
          <tpl hier="12" item="5"/>
          <tpl fld="1" item="0"/>
        </tpls>
      </n>
      <n v="50099380224">
        <tpls c="8">
          <tpl hier="2" item="0"/>
          <tpl hier="4" item="1"/>
          <tpl fld="2" item="18"/>
          <tpl fld="4" item="12"/>
          <tpl hier="9" item="4"/>
          <tpl hier="11" item="6"/>
          <tpl hier="12" item="5"/>
          <tpl fld="1" item="0"/>
        </tpls>
      </n>
      <n v="8775249920">
        <tpls c="8">
          <tpl hier="2" item="0"/>
          <tpl hier="4" item="1"/>
          <tpl fld="2" item="2"/>
          <tpl fld="4" item="12"/>
          <tpl hier="9" item="4"/>
          <tpl hier="11" item="6"/>
          <tpl hier="12" item="5"/>
          <tpl fld="1" item="0"/>
        </tpls>
      </n>
      <n v="269917945856">
        <tpls c="8">
          <tpl hier="2" item="0"/>
          <tpl hier="4" item="1"/>
          <tpl fld="2" item="37"/>
          <tpl fld="4" item="11"/>
          <tpl hier="9" item="4"/>
          <tpl hier="11" item="6"/>
          <tpl hier="12" item="5"/>
          <tpl fld="1" item="0"/>
        </tpls>
      </n>
      <n v="49847128064">
        <tpls c="8">
          <tpl hier="2" item="0"/>
          <tpl hier="4" item="1"/>
          <tpl fld="2" item="21"/>
          <tpl fld="4" item="11"/>
          <tpl hier="9" item="4"/>
          <tpl hier="11" item="6"/>
          <tpl hier="12" item="5"/>
          <tpl fld="1" item="0"/>
        </tpls>
      </n>
      <n v="9495165952">
        <tpls c="8">
          <tpl hier="2" item="0"/>
          <tpl hier="4" item="1"/>
          <tpl fld="2" item="5"/>
          <tpl fld="4" item="11"/>
          <tpl hier="9" item="4"/>
          <tpl hier="11" item="6"/>
          <tpl hier="12" item="5"/>
          <tpl fld="1" item="0"/>
        </tpls>
      </n>
      <n v="13683689472">
        <tpls c="8">
          <tpl hier="2" item="0"/>
          <tpl hier="4" item="1"/>
          <tpl fld="2" item="40"/>
          <tpl fld="4" item="10"/>
          <tpl hier="9" item="4"/>
          <tpl hier="11" item="6"/>
          <tpl hier="12" item="5"/>
          <tpl fld="1" item="0"/>
        </tpls>
      </n>
      <n v="6399064576">
        <tpls c="8">
          <tpl hier="2" item="0"/>
          <tpl hier="4" item="1"/>
          <tpl fld="2" item="24"/>
          <tpl fld="4" item="10"/>
          <tpl hier="9" item="4"/>
          <tpl hier="11" item="6"/>
          <tpl hier="12" item="5"/>
          <tpl fld="1" item="0"/>
        </tpls>
      </n>
      <n v="2515601664">
        <tpls c="8">
          <tpl hier="2" item="0"/>
          <tpl hier="4" item="1"/>
          <tpl fld="2" item="8"/>
          <tpl fld="4" item="10"/>
          <tpl hier="9" item="4"/>
          <tpl hier="11" item="6"/>
          <tpl hier="12" item="5"/>
          <tpl fld="1" item="0"/>
        </tpls>
      </n>
      <n v="239862005760">
        <tpls c="8">
          <tpl hier="2" item="0"/>
          <tpl hier="4" item="1"/>
          <tpl fld="2" item="43"/>
          <tpl fld="4" item="9"/>
          <tpl hier="9" item="4"/>
          <tpl hier="11" item="6"/>
          <tpl hier="12" item="5"/>
          <tpl fld="1" item="0"/>
        </tpls>
      </n>
      <n v="143157592064">
        <tpls c="8">
          <tpl hier="2" item="0"/>
          <tpl hier="4" item="1"/>
          <tpl fld="2" item="27"/>
          <tpl fld="4" item="9"/>
          <tpl hier="9" item="4"/>
          <tpl hier="11" item="6"/>
          <tpl hier="12" item="5"/>
          <tpl fld="1" item="0"/>
        </tpls>
      </n>
      <n v="3968160000">
        <tpls c="8">
          <tpl hier="2" item="0"/>
          <tpl hier="4" item="1"/>
          <tpl fld="2" item="10"/>
          <tpl fld="4" item="59"/>
          <tpl hier="9" item="4"/>
          <tpl hier="11" item="6"/>
          <tpl hier="12" item="5"/>
          <tpl fld="1" item="0"/>
        </tpls>
      </n>
      <n v="2809349120">
        <tpls c="8">
          <tpl hier="2" item="0"/>
          <tpl hier="4" item="1"/>
          <tpl fld="2" item="7"/>
          <tpl fld="4" item="52"/>
          <tpl hier="9" item="4"/>
          <tpl hier="11" item="6"/>
          <tpl hier="12" item="5"/>
          <tpl fld="1" item="0"/>
        </tpls>
      </n>
      <n v="229376945248">
        <tpls c="8">
          <tpl hier="2" item="0"/>
          <tpl hier="4" item="1"/>
          <tpl hier="5" item="3"/>
          <tpl fld="4" item="45"/>
          <tpl hier="9" item="4"/>
          <tpl hier="11" item="6"/>
          <tpl hier="12" item="5"/>
          <tpl fld="1" item="0"/>
        </tpls>
      </n>
      <n v="797048000">
        <tpls c="8">
          <tpl hier="2" item="0"/>
          <tpl hier="4" item="1"/>
          <tpl fld="2" item="10"/>
          <tpl fld="4" item="40"/>
          <tpl hier="9" item="4"/>
          <tpl hier="11" item="6"/>
          <tpl hier="12" item="5"/>
          <tpl fld="1" item="0"/>
        </tpls>
      </n>
      <n v="819877312">
        <tpls c="8">
          <tpl hier="2" item="0"/>
          <tpl hier="4" item="1"/>
          <tpl fld="2" item="9"/>
          <tpl fld="4" item="35"/>
          <tpl hier="9" item="4"/>
          <tpl hier="11" item="6"/>
          <tpl hier="12" item="5"/>
          <tpl fld="1" item="0"/>
        </tpls>
      </n>
      <n v="1502294400">
        <tpls c="8">
          <tpl hier="2" item="0"/>
          <tpl hier="4" item="1"/>
          <tpl fld="2" item="19"/>
          <tpl fld="4" item="33"/>
          <tpl hier="9" item="4"/>
          <tpl hier="11" item="6"/>
          <tpl hier="12" item="5"/>
          <tpl fld="1" item="0"/>
        </tpls>
      </n>
      <n v="1051350016">
        <tpls c="8">
          <tpl hier="2" item="0"/>
          <tpl hier="4" item="1"/>
          <tpl fld="2" item="34"/>
          <tpl fld="4" item="32"/>
          <tpl hier="9" item="4"/>
          <tpl hier="11" item="6"/>
          <tpl hier="12" item="5"/>
          <tpl fld="1" item="0"/>
        </tpls>
      </n>
      <n v="302571257856">
        <tpls c="8">
          <tpl hier="2" item="0"/>
          <tpl hier="4" item="1"/>
          <tpl fld="2" item="49"/>
          <tpl fld="4" item="31"/>
          <tpl hier="9" item="4"/>
          <tpl hier="11" item="6"/>
          <tpl hier="12" item="5"/>
          <tpl fld="1" item="0"/>
        </tpls>
      </n>
      <n v="17609048064">
        <tpls c="8">
          <tpl hier="2" item="0"/>
          <tpl hier="4" item="1"/>
          <tpl fld="2" item="13"/>
          <tpl fld="4" item="31"/>
          <tpl hier="9" item="4"/>
          <tpl hier="11" item="6"/>
          <tpl hier="12" item="5"/>
          <tpl fld="1" item="0"/>
        </tpls>
      </n>
      <n v="8870089728">
        <tpls c="8">
          <tpl hier="2" item="0"/>
          <tpl hier="4" item="1"/>
          <tpl fld="2" item="33"/>
          <tpl fld="4" item="30"/>
          <tpl hier="9" item="4"/>
          <tpl hier="11" item="6"/>
          <tpl hier="12" item="5"/>
          <tpl fld="1" item="0"/>
        </tpls>
      </n>
      <n v="596200000">
        <tpls c="8">
          <tpl hier="2" item="0"/>
          <tpl hier="4" item="1"/>
          <tpl fld="2" item="5"/>
          <tpl fld="4" item="30"/>
          <tpl hier="9" item="4"/>
          <tpl hier="11" item="6"/>
          <tpl hier="12" item="5"/>
          <tpl fld="1" item="0"/>
        </tpls>
      </n>
      <n v="284203745280">
        <tpls c="8">
          <tpl hier="2" item="0"/>
          <tpl hier="4" item="1"/>
          <tpl fld="2" item="30"/>
          <tpl fld="4" item="29"/>
          <tpl hier="9" item="4"/>
          <tpl hier="11" item="6"/>
          <tpl hier="12" item="5"/>
          <tpl fld="1" item="0"/>
        </tpls>
      </n>
      <n v="56781000704">
        <tpls c="8">
          <tpl hier="2" item="0"/>
          <tpl hier="4" item="1"/>
          <tpl fld="2" item="7"/>
          <tpl fld="4" item="29"/>
          <tpl hier="9" item="4"/>
          <tpl hier="11" item="6"/>
          <tpl hier="12" item="5"/>
          <tpl fld="1" item="0"/>
        </tpls>
      </n>
      <n v="85324767232">
        <tpls c="8">
          <tpl hier="2" item="0"/>
          <tpl hier="4" item="1"/>
          <tpl fld="2" item="34"/>
          <tpl fld="4" item="28"/>
          <tpl hier="9" item="4"/>
          <tpl hier="11" item="6"/>
          <tpl hier="12" item="5"/>
          <tpl fld="1" item="0"/>
        </tpls>
      </n>
      <n v="44348674048">
        <tpls c="8">
          <tpl hier="2" item="0"/>
          <tpl hier="4" item="1"/>
          <tpl fld="2" item="11"/>
          <tpl fld="4" item="28"/>
          <tpl hier="9" item="4"/>
          <tpl hier="11" item="6"/>
          <tpl hier="12" item="5"/>
          <tpl fld="1" item="0"/>
        </tpls>
      </n>
      <n v="14712844582912">
        <tpls c="8">
          <tpl hier="2" item="0"/>
          <tpl hier="4" item="1"/>
          <tpl fld="2" item="38"/>
          <tpl fld="4" item="27"/>
          <tpl hier="9" item="4"/>
          <tpl hier="11" item="6"/>
          <tpl hier="12" item="5"/>
          <tpl fld="1" item="0"/>
        </tpls>
      </n>
      <n v="4338978914304">
        <tpls c="8">
          <tpl hier="2" item="0"/>
          <tpl hier="4" item="1"/>
          <tpl fld="2" item="15"/>
          <tpl fld="4" item="27"/>
          <tpl hier="9" item="4"/>
          <tpl hier="11" item="6"/>
          <tpl hier="12" item="5"/>
          <tpl fld="1" item="0"/>
        </tpls>
      </n>
      <n v="3063803281408">
        <tpls c="8">
          <tpl hier="2" item="0"/>
          <tpl hier="4" item="1"/>
          <tpl fld="2" item="44"/>
          <tpl fld="4" item="26"/>
          <tpl hier="9" item="4"/>
          <tpl hier="11" item="6"/>
          <tpl hier="12" item="5"/>
          <tpl fld="1" item="0"/>
        </tpls>
      </n>
      <n v="1093169381376">
        <tpls c="8">
          <tpl hier="2" item="0"/>
          <tpl hier="4" item="1"/>
          <tpl fld="2" item="20"/>
          <tpl fld="4" item="26"/>
          <tpl hier="9" item="4"/>
          <tpl hier="11" item="6"/>
          <tpl hier="12" item="5"/>
          <tpl fld="1" item="0"/>
        </tpls>
      </n>
      <n v="705140621312">
        <tpls c="8">
          <tpl hier="2" item="0"/>
          <tpl hier="4" item="1"/>
          <tpl fld="2" item="48"/>
          <tpl fld="4" item="25"/>
          <tpl hier="9" item="4"/>
          <tpl hier="11" item="6"/>
          <tpl hier="12" item="5"/>
          <tpl fld="1" item="0"/>
        </tpls>
      </n>
      <n v="330091692032">
        <tpls c="8">
          <tpl hier="2" item="0"/>
          <tpl hier="4" item="1"/>
          <tpl fld="2" item="26"/>
          <tpl fld="4" item="25"/>
          <tpl hier="9" item="4"/>
          <tpl hier="11" item="6"/>
          <tpl hier="12" item="5"/>
          <tpl fld="1" item="0"/>
        </tpls>
      </n>
      <n v="71017619456">
        <tpls c="8">
          <tpl hier="2" item="0"/>
          <tpl hier="4" item="1"/>
          <tpl fld="2" item="7"/>
          <tpl fld="4" item="25"/>
          <tpl hier="9" item="4"/>
          <tpl hier="11" item="6"/>
          <tpl hier="12" item="5"/>
          <tpl fld="1" item="0"/>
        </tpls>
      </n>
      <n v="517706153984">
        <tpls c="8">
          <tpl hier="2" item="0"/>
          <tpl hier="4" item="1"/>
          <tpl fld="2" item="38"/>
          <tpl fld="4" item="24"/>
          <tpl hier="9" item="4"/>
          <tpl hier="11" item="6"/>
          <tpl hier="12" item="5"/>
          <tpl fld="1" item="0"/>
        </tpls>
      </n>
      <n v="217948323840">
        <tpls c="8">
          <tpl hier="2" item="0"/>
          <tpl hier="4" item="1"/>
          <tpl fld="2" item="19"/>
          <tpl fld="4" item="24"/>
          <tpl hier="9" item="4"/>
          <tpl hier="11" item="6"/>
          <tpl hier="12" item="5"/>
          <tpl fld="1" item="0"/>
        </tpls>
      </n>
      <n v="1394116263936">
        <tpls c="8">
          <tpl hier="2" item="0"/>
          <tpl hier="4" item="1"/>
          <tpl fld="2" item="49"/>
          <tpl fld="4" item="23"/>
          <tpl hier="9" item="4"/>
          <tpl hier="11" item="6"/>
          <tpl hier="12" item="5"/>
          <tpl fld="1" item="0"/>
        </tpls>
      </n>
      <n v="596877639680">
        <tpls c="8">
          <tpl hier="2" item="0"/>
          <tpl hier="4" item="1"/>
          <tpl fld="2" item="30"/>
          <tpl fld="4" item="23"/>
          <tpl hier="9" item="4"/>
          <tpl hier="11" item="6"/>
          <tpl hier="12" item="5"/>
          <tpl fld="1" item="0"/>
        </tpls>
      </n>
      <n v="232766816256">
        <tpls c="8">
          <tpl hier="2" item="0"/>
          <tpl hier="4" item="1"/>
          <tpl fld="2" item="10"/>
          <tpl fld="4" item="23"/>
          <tpl hier="9" item="4"/>
          <tpl hier="11" item="6"/>
          <tpl hier="12" item="5"/>
          <tpl fld="1" item="0"/>
        </tpls>
      </n>
      <n v="1278427660288">
        <tpls c="8">
          <tpl hier="2" item="0"/>
          <tpl hier="4" item="1"/>
          <tpl fld="2" item="42"/>
          <tpl fld="4" item="22"/>
          <tpl hier="9" item="4"/>
          <tpl hier="11" item="6"/>
          <tpl hier="12" item="5"/>
          <tpl fld="1" item="0"/>
        </tpls>
      </n>
      <n v="330648518656">
        <tpls c="8">
          <tpl hier="2" item="0"/>
          <tpl hier="4" item="1"/>
          <tpl fld="2" item="21"/>
          <tpl fld="4" item="22"/>
          <tpl hier="9" item="4"/>
          <tpl hier="11" item="6"/>
          <tpl hier="12" item="5"/>
          <tpl fld="1" item="0"/>
        </tpls>
      </n>
      <n v="10862327808">
        <tpls c="8">
          <tpl hier="2" item="0"/>
          <tpl hier="4" item="1"/>
          <tpl fld="2" item="2"/>
          <tpl fld="4" item="22"/>
          <tpl hier="9" item="4"/>
          <tpl hier="11" item="6"/>
          <tpl hier="12" item="5"/>
          <tpl fld="1" item="0"/>
        </tpls>
      </n>
      <n v="127807619072">
        <tpls c="8">
          <tpl hier="2" item="0"/>
          <tpl hier="4" item="1"/>
          <tpl fld="2" item="35"/>
          <tpl fld="4" item="21"/>
          <tpl hier="9" item="4"/>
          <tpl hier="11" item="6"/>
          <tpl hier="12" item="5"/>
          <tpl fld="1" item="0"/>
        </tpls>
      </n>
      <n v="20919216128">
        <tpls c="8">
          <tpl hier="2" item="0"/>
          <tpl hier="4" item="1"/>
          <tpl fld="2" item="17"/>
          <tpl fld="4" item="21"/>
          <tpl hier="9" item="4"/>
          <tpl hier="11" item="6"/>
          <tpl hier="12" item="5"/>
          <tpl fld="1" item="0"/>
        </tpls>
      </n>
      <n v="5771268185088">
        <tpls c="8">
          <tpl hier="2" item="0"/>
          <tpl hier="4" item="1"/>
          <tpl hier="5" item="3"/>
          <tpl fld="4" item="20"/>
          <tpl hier="9" item="4"/>
          <tpl hier="11" item="6"/>
          <tpl hier="12" item="5"/>
          <tpl fld="1" item="0"/>
        </tpls>
      </n>
      <n v="134156091392">
        <tpls c="8">
          <tpl hier="2" item="0"/>
          <tpl hier="4" item="1"/>
          <tpl fld="2" item="32"/>
          <tpl fld="4" item="20"/>
          <tpl hier="9" item="4"/>
          <tpl hier="11" item="6"/>
          <tpl hier="12" item="5"/>
          <tpl fld="1" item="0"/>
        </tpls>
      </n>
      <n v="25217970176">
        <tpls c="8">
          <tpl hier="2" item="0"/>
          <tpl hier="4" item="1"/>
          <tpl fld="2" item="14"/>
          <tpl fld="4" item="20"/>
          <tpl hier="9" item="4"/>
          <tpl hier="11" item="6"/>
          <tpl hier="12" item="5"/>
          <tpl fld="1" item="0"/>
        </tpls>
      </n>
      <n v="368819929088">
        <tpls c="8">
          <tpl hier="2" item="0"/>
          <tpl hier="4" item="1"/>
          <tpl fld="2" item="46"/>
          <tpl fld="4" item="19"/>
          <tpl hier="9" item="4"/>
          <tpl hier="11" item="6"/>
          <tpl hier="12" item="5"/>
          <tpl fld="1" item="0"/>
        </tpls>
      </n>
      <n v="162284470272">
        <tpls c="8">
          <tpl hier="2" item="0"/>
          <tpl hier="4" item="1"/>
          <tpl fld="2" item="29"/>
          <tpl fld="4" item="19"/>
          <tpl hier="9" item="4"/>
          <tpl hier="11" item="6"/>
          <tpl hier="12" item="5"/>
          <tpl fld="1" item="0"/>
        </tpls>
      </n>
      <n v="62647193600">
        <tpls c="8">
          <tpl hier="2" item="0"/>
          <tpl hier="4" item="1"/>
          <tpl fld="2" item="12"/>
          <tpl fld="4" item="19"/>
          <tpl hier="9" item="4"/>
          <tpl hier="11" item="6"/>
          <tpl hier="12" item="5"/>
          <tpl fld="1" item="0"/>
        </tpls>
      </n>
      <n v="205415858176">
        <tpls c="8">
          <tpl hier="2" item="0"/>
          <tpl hier="4" item="1"/>
          <tpl fld="2" item="47"/>
          <tpl fld="4" item="18"/>
          <tpl hier="9" item="4"/>
          <tpl hier="11" item="6"/>
          <tpl hier="12" item="5"/>
          <tpl fld="1" item="0"/>
        </tpls>
      </n>
      <n v="53872427008">
        <tpls c="8">
          <tpl hier="2" item="0"/>
          <tpl hier="4" item="1"/>
          <tpl fld="2" item="31"/>
          <tpl fld="4" item="18"/>
          <tpl hier="9" item="4"/>
          <tpl hier="11" item="6"/>
          <tpl hier="12" item="5"/>
          <tpl fld="1" item="0"/>
        </tpls>
      </n>
      <n v="24679794688">
        <tpls c="8">
          <tpl hier="2" item="0"/>
          <tpl hier="4" item="1"/>
          <tpl fld="2" item="15"/>
          <tpl fld="4" item="18"/>
          <tpl hier="9" item="4"/>
          <tpl hier="11" item="6"/>
          <tpl hier="12" item="5"/>
          <tpl fld="1" item="0"/>
        </tpls>
      </n>
      <n v="22040189034496">
        <tpls c="8">
          <tpl hier="2" item="0"/>
          <tpl hier="4" item="1"/>
          <tpl hier="5" item="3"/>
          <tpl fld="4" item="17"/>
          <tpl hier="9" item="4"/>
          <tpl hier="11" item="6"/>
          <tpl hier="12" item="5"/>
          <tpl fld="1" item="0"/>
        </tpls>
      </n>
      <n v="657171611648">
        <tpls c="8">
          <tpl hier="2" item="0"/>
          <tpl hier="4" item="1"/>
          <tpl fld="2" item="34"/>
          <tpl fld="4" item="17"/>
          <tpl hier="9" item="4"/>
          <tpl hier="11" item="6"/>
          <tpl hier="12" item="5"/>
          <tpl fld="1" item="0"/>
        </tpls>
      </n>
      <n v="261910511616">
        <tpls c="8">
          <tpl hier="2" item="0"/>
          <tpl hier="4" item="1"/>
          <tpl fld="2" item="18"/>
          <tpl fld="4" item="17"/>
          <tpl hier="9" item="4"/>
          <tpl hier="11" item="6"/>
          <tpl hier="12" item="5"/>
          <tpl fld="1" item="0"/>
        </tpls>
      </n>
      <n v="54706556928">
        <tpls c="8">
          <tpl hier="2" item="0"/>
          <tpl hier="4" item="1"/>
          <tpl fld="2" item="2"/>
          <tpl fld="4" item="17"/>
          <tpl hier="9" item="4"/>
          <tpl hier="11" item="6"/>
          <tpl hier="12" item="5"/>
          <tpl fld="1" item="0"/>
        </tpls>
      </n>
      <n v="7880508928">
        <tpls c="8">
          <tpl hier="2" item="0"/>
          <tpl hier="4" item="1"/>
          <tpl fld="2" item="37"/>
          <tpl fld="4" item="16"/>
          <tpl hier="9" item="4"/>
          <tpl hier="11" item="6"/>
          <tpl hier="12" item="5"/>
          <tpl fld="1" item="0"/>
        </tpls>
      </n>
      <n v="2750041344">
        <tpls c="8">
          <tpl hier="2" item="0"/>
          <tpl hier="4" item="1"/>
          <tpl fld="2" item="21"/>
          <tpl fld="4" item="16"/>
          <tpl hier="9" item="4"/>
          <tpl hier="11" item="6"/>
          <tpl hier="12" item="5"/>
          <tpl fld="1" item="0"/>
        </tpls>
      </n>
      <n v="474620448">
        <tpls c="8">
          <tpl hier="2" item="0"/>
          <tpl hier="4" item="1"/>
          <tpl fld="2" item="5"/>
          <tpl fld="4" item="16"/>
          <tpl hier="9" item="4"/>
          <tpl hier="11" item="6"/>
          <tpl hier="12" item="5"/>
          <tpl fld="1" item="0"/>
        </tpls>
      </n>
      <n v="53212475392">
        <tpls c="8">
          <tpl hier="2" item="0"/>
          <tpl hier="4" item="1"/>
          <tpl fld="2" item="40"/>
          <tpl fld="4" item="15"/>
          <tpl hier="9" item="4"/>
          <tpl hier="11" item="6"/>
          <tpl hier="12" item="5"/>
          <tpl fld="1" item="0"/>
        </tpls>
      </n>
      <n v="18325790720">
        <tpls c="8">
          <tpl hier="2" item="0"/>
          <tpl hier="4" item="1"/>
          <tpl fld="2" item="24"/>
          <tpl fld="4" item="15"/>
          <tpl hier="9" item="4"/>
          <tpl hier="11" item="6"/>
          <tpl hier="12" item="5"/>
          <tpl fld="1" item="0"/>
        </tpls>
      </n>
      <n v="4884869120">
        <tpls c="8">
          <tpl hier="2" item="0"/>
          <tpl hier="4" item="1"/>
          <tpl fld="2" item="8"/>
          <tpl fld="4" item="15"/>
          <tpl hier="9" item="4"/>
          <tpl hier="11" item="6"/>
          <tpl hier="12" item="5"/>
          <tpl fld="1" item="0"/>
        </tpls>
      </n>
      <n v="5155717120000">
        <tpls c="8">
          <tpl hier="2" item="0"/>
          <tpl hier="4" item="1"/>
          <tpl fld="2" item="43"/>
          <tpl fld="4" item="14"/>
          <tpl hier="9" item="4"/>
          <tpl hier="11" item="6"/>
          <tpl hier="12" item="5"/>
          <tpl fld="1" item="0"/>
        </tpls>
      </n>
      <n v="4414733025280">
        <tpls c="8">
          <tpl hier="2" item="0"/>
          <tpl hier="4" item="1"/>
          <tpl fld="2" item="27"/>
          <tpl fld="4" item="14"/>
          <tpl hier="9" item="4"/>
          <tpl hier="11" item="6"/>
          <tpl hier="12" item="5"/>
          <tpl fld="1" item="0"/>
        </tpls>
      </n>
      <n v="1218988998656">
        <tpls c="8">
          <tpl hier="2" item="0"/>
          <tpl hier="4" item="1"/>
          <tpl fld="2" item="11"/>
          <tpl fld="4" item="14"/>
          <tpl hier="9" item="4"/>
          <tpl hier="11" item="6"/>
          <tpl hier="12" item="5"/>
          <tpl fld="1" item="0"/>
        </tpls>
      </n>
      <n v="1875797475328">
        <tpls c="8">
          <tpl hier="2" item="0"/>
          <tpl hier="4" item="1"/>
          <tpl fld="2" item="46"/>
          <tpl fld="4" item="13"/>
          <tpl hier="9" item="4"/>
          <tpl hier="11" item="6"/>
          <tpl hier="12" item="5"/>
          <tpl fld="1" item="0"/>
        </tpls>
      </n>
      <n v="1143829823488">
        <tpls c="8">
          <tpl hier="2" item="0"/>
          <tpl hier="4" item="1"/>
          <tpl fld="2" item="30"/>
          <tpl fld="4" item="13"/>
          <tpl hier="9" item="4"/>
          <tpl hier="11" item="6"/>
          <tpl hier="12" item="5"/>
          <tpl fld="1" item="0"/>
        </tpls>
      </n>
      <n v="437887696896">
        <tpls c="8">
          <tpl hier="2" item="0"/>
          <tpl hier="4" item="1"/>
          <tpl fld="2" item="14"/>
          <tpl fld="4" item="13"/>
          <tpl hier="9" item="4"/>
          <tpl hier="11" item="6"/>
          <tpl hier="12" item="5"/>
          <tpl fld="1" item="0"/>
        </tpls>
      </n>
      <n v="395098652672">
        <tpls c="8">
          <tpl hier="2" item="0"/>
          <tpl hier="4" item="1"/>
          <tpl fld="2" item="49"/>
          <tpl fld="4" item="12"/>
          <tpl hier="9" item="4"/>
          <tpl hier="11" item="6"/>
          <tpl hier="12" item="5"/>
          <tpl fld="1" item="0"/>
        </tpls>
      </n>
      <n v="126965981184">
        <tpls c="8">
          <tpl hier="2" item="0"/>
          <tpl hier="4" item="1"/>
          <tpl fld="2" item="33"/>
          <tpl fld="4" item="12"/>
          <tpl hier="9" item="4"/>
          <tpl hier="11" item="6"/>
          <tpl hier="12" item="5"/>
          <tpl fld="1" item="0"/>
        </tpls>
      </n>
      <n v="40963276800">
        <tpls c="8">
          <tpl hier="2" item="0"/>
          <tpl hier="4" item="1"/>
          <tpl fld="2" item="17"/>
          <tpl fld="4" item="12"/>
          <tpl hier="9" item="4"/>
          <tpl hier="11" item="6"/>
          <tpl hier="12" item="5"/>
          <tpl fld="1" item="0"/>
        </tpls>
      </n>
      <n v="6711750144">
        <tpls c="8">
          <tpl hier="2" item="0"/>
          <tpl hier="4" item="1"/>
          <tpl fld="2" item="1"/>
          <tpl fld="4" item="12"/>
          <tpl hier="9" item="4"/>
          <tpl hier="11" item="6"/>
          <tpl hier="12" item="5"/>
          <tpl fld="1" item="0"/>
        </tpls>
      </n>
      <n v="232083472384">
        <tpls c="8">
          <tpl hier="2" item="0"/>
          <tpl hier="4" item="1"/>
          <tpl fld="2" item="36"/>
          <tpl fld="4" item="11"/>
          <tpl hier="9" item="4"/>
          <tpl hier="11" item="6"/>
          <tpl hier="12" item="5"/>
          <tpl fld="1" item="0"/>
        </tpls>
      </n>
      <n v="49364680704">
        <tpls c="8">
          <tpl hier="2" item="0"/>
          <tpl hier="4" item="1"/>
          <tpl fld="2" item="20"/>
          <tpl fld="4" item="11"/>
          <tpl hier="9" item="4"/>
          <tpl hier="11" item="6"/>
          <tpl hier="12" item="5"/>
          <tpl fld="1" item="0"/>
        </tpls>
      </n>
      <n v="7906317312">
        <tpls c="8">
          <tpl hier="2" item="0"/>
          <tpl hier="4" item="1"/>
          <tpl fld="2" item="4"/>
          <tpl fld="4" item="11"/>
          <tpl hier="9" item="4"/>
          <tpl hier="11" item="6"/>
          <tpl hier="12" item="5"/>
          <tpl fld="1" item="0"/>
        </tpls>
      </n>
      <n v="13164652544">
        <tpls c="8">
          <tpl hier="2" item="0"/>
          <tpl hier="4" item="1"/>
          <tpl fld="2" item="39"/>
          <tpl fld="4" item="10"/>
          <tpl hier="9" item="4"/>
          <tpl hier="11" item="6"/>
          <tpl hier="12" item="5"/>
          <tpl fld="1" item="0"/>
        </tpls>
      </n>
      <n v="6227929088">
        <tpls c="8">
          <tpl hier="2" item="0"/>
          <tpl hier="4" item="1"/>
          <tpl fld="2" item="23"/>
          <tpl fld="4" item="10"/>
          <tpl hier="9" item="4"/>
          <tpl hier="11" item="6"/>
          <tpl hier="12" item="5"/>
          <tpl fld="1" item="0"/>
        </tpls>
      </n>
      <n v="2211828992">
        <tpls c="8">
          <tpl hier="2" item="0"/>
          <tpl hier="4" item="1"/>
          <tpl fld="2" item="7"/>
          <tpl fld="4" item="10"/>
          <tpl hier="9" item="4"/>
          <tpl hier="11" item="6"/>
          <tpl hier="12" item="5"/>
          <tpl fld="1" item="0"/>
        </tpls>
      </n>
      <n v="5885325824">
        <tpls c="8">
          <tpl hier="2" item="0"/>
          <tpl hier="4" item="1"/>
          <tpl fld="2" item="37"/>
          <tpl fld="4" item="58"/>
          <tpl hier="9" item="4"/>
          <tpl hier="11" item="6"/>
          <tpl hier="12" item="5"/>
          <tpl fld="1" item="0"/>
        </tpls>
      </n>
      <n v="3523185920">
        <tpls c="8">
          <tpl hier="2" item="0"/>
          <tpl hier="4" item="1"/>
          <tpl fld="2" item="38"/>
          <tpl fld="4" item="51"/>
          <tpl hier="9" item="4"/>
          <tpl hier="11" item="6"/>
          <tpl hier="12" item="5"/>
          <tpl fld="1" item="0"/>
        </tpls>
      </n>
      <n v="2353909504">
        <tpls c="8">
          <tpl hier="2" item="0"/>
          <tpl hier="4" item="1"/>
          <tpl fld="2" item="29"/>
          <tpl fld="4" item="45"/>
          <tpl hier="9" item="4"/>
          <tpl hier="11" item="6"/>
          <tpl hier="12" item="5"/>
          <tpl fld="1" item="0"/>
        </tpls>
      </n>
      <n v="30928654336">
        <tpls c="8">
          <tpl hier="2" item="0"/>
          <tpl hier="4" item="1"/>
          <tpl fld="2" item="45"/>
          <tpl fld="4" item="39"/>
          <tpl hier="9" item="4"/>
          <tpl hier="11" item="6"/>
          <tpl hier="12" item="5"/>
          <tpl fld="1" item="0"/>
        </tpls>
      </n>
      <n v="32996188160">
        <tpls c="8">
          <tpl hier="2" item="0"/>
          <tpl hier="4" item="1"/>
          <tpl fld="2" item="44"/>
          <tpl fld="4" item="34"/>
          <tpl hier="9" item="4"/>
          <tpl hier="11" item="6"/>
          <tpl hier="12" item="5"/>
          <tpl fld="1" item="0"/>
        </tpls>
      </n>
      <n v="1620246144">
        <tpls c="8">
          <tpl hier="2" item="0"/>
          <tpl hier="4" item="1"/>
          <tpl fld="2" item="18"/>
          <tpl fld="4" item="33"/>
          <tpl hier="9" item="4"/>
          <tpl hier="11" item="6"/>
          <tpl hier="12" item="5"/>
          <tpl fld="1" item="0"/>
        </tpls>
      </n>
      <n v="868350016">
        <tpls c="8">
          <tpl hier="2" item="0"/>
          <tpl hier="4" item="1"/>
          <tpl fld="2" item="31"/>
          <tpl fld="4" item="32"/>
          <tpl hier="9" item="4"/>
          <tpl hier="11" item="6"/>
          <tpl hier="12" item="5"/>
          <tpl fld="1" item="0"/>
        </tpls>
      </n>
      <n v="221415161856">
        <tpls c="8">
          <tpl hier="2" item="0"/>
          <tpl hier="4" item="1"/>
          <tpl fld="2" item="46"/>
          <tpl fld="4" item="31"/>
          <tpl hier="9" item="4"/>
          <tpl hier="11" item="6"/>
          <tpl hier="12" item="5"/>
          <tpl fld="1" item="0"/>
        </tpls>
      </n>
      <n v="18138048512">
        <tpls c="8">
          <tpl hier="2" item="0"/>
          <tpl hier="4" item="1"/>
          <tpl fld="2" item="10"/>
          <tpl fld="4" item="31"/>
          <tpl hier="9" item="4"/>
          <tpl hier="11" item="6"/>
          <tpl hier="12" item="5"/>
          <tpl fld="1" item="0"/>
        </tpls>
      </n>
      <n v="8881160192">
        <tpls c="8">
          <tpl hier="2" item="0"/>
          <tpl hier="4" item="1"/>
          <tpl fld="2" item="32"/>
          <tpl fld="4" item="30"/>
          <tpl hier="9" item="4"/>
          <tpl hier="11" item="6"/>
          <tpl hier="12" item="5"/>
          <tpl fld="1" item="0"/>
        </tpls>
      </n>
      <n v="632400000">
        <tpls c="8">
          <tpl hier="2" item="0"/>
          <tpl hier="4" item="1"/>
          <tpl fld="2" item="4"/>
          <tpl fld="4" item="30"/>
          <tpl hier="9" item="4"/>
          <tpl hier="11" item="6"/>
          <tpl hier="12" item="5"/>
          <tpl fld="1" item="0"/>
        </tpls>
      </n>
      <n v="298948263936">
        <tpls c="8">
          <tpl hier="2" item="0"/>
          <tpl hier="4" item="1"/>
          <tpl fld="2" item="28"/>
          <tpl fld="4" item="29"/>
          <tpl hier="9" item="4"/>
          <tpl hier="11" item="6"/>
          <tpl hier="12" item="5"/>
          <tpl fld="1" item="0"/>
        </tpls>
      </n>
      <n v="52438646784">
        <tpls c="8">
          <tpl hier="2" item="0"/>
          <tpl hier="4" item="1"/>
          <tpl fld="2" item="5"/>
          <tpl fld="4" item="29"/>
          <tpl hier="9" item="4"/>
          <tpl hier="11" item="6"/>
          <tpl hier="12" item="5"/>
          <tpl fld="1" item="0"/>
        </tpls>
      </n>
      <n v="67864850432">
        <tpls c="8">
          <tpl hier="2" item="0"/>
          <tpl hier="4" item="1"/>
          <tpl fld="2" item="33"/>
          <tpl fld="4" item="28"/>
          <tpl hier="9" item="4"/>
          <tpl hier="11" item="6"/>
          <tpl hier="12" item="5"/>
          <tpl fld="1" item="0"/>
        </tpls>
      </n>
      <n v="42345275392">
        <tpls c="8">
          <tpl hier="2" item="0"/>
          <tpl hier="4" item="1"/>
          <tpl fld="2" item="10"/>
          <tpl fld="4" item="28"/>
          <tpl hier="9" item="4"/>
          <tpl hier="11" item="6"/>
          <tpl hier="12" item="5"/>
          <tpl fld="1" item="0"/>
        </tpls>
      </n>
      <n v="14451858210816">
        <tpls c="8">
          <tpl hier="2" item="0"/>
          <tpl hier="4" item="1"/>
          <tpl fld="2" item="37"/>
          <tpl fld="4" item="27"/>
          <tpl hier="9" item="4"/>
          <tpl hier="11" item="6"/>
          <tpl hier="12" item="5"/>
          <tpl fld="1" item="0"/>
        </tpls>
      </n>
      <n v="4037612929024">
        <tpls c="8">
          <tpl hier="2" item="0"/>
          <tpl hier="4" item="1"/>
          <tpl fld="2" item="14"/>
          <tpl fld="4" item="27"/>
          <tpl hier="9" item="4"/>
          <tpl hier="11" item="6"/>
          <tpl hier="12" item="5"/>
          <tpl fld="1" item="0"/>
        </tpls>
      </n>
      <n v="2659310108672">
        <tpls c="8">
          <tpl hier="2" item="0"/>
          <tpl hier="4" item="1"/>
          <tpl fld="2" item="41"/>
          <tpl fld="4" item="26"/>
          <tpl hier="9" item="4"/>
          <tpl hier="11" item="6"/>
          <tpl hier="12" item="5"/>
          <tpl fld="1" item="0"/>
        </tpls>
      </n>
      <n v="910122745856">
        <tpls c="8">
          <tpl hier="2" item="0"/>
          <tpl hier="4" item="1"/>
          <tpl fld="2" item="18"/>
          <tpl fld="4" item="26"/>
          <tpl hier="9" item="4"/>
          <tpl hier="11" item="6"/>
          <tpl hier="12" item="5"/>
          <tpl fld="1" item="0"/>
        </tpls>
      </n>
      <n v="679950483456">
        <tpls c="8">
          <tpl hier="2" item="0"/>
          <tpl hier="4" item="1"/>
          <tpl fld="2" item="47"/>
          <tpl fld="4" item="25"/>
          <tpl hier="9" item="4"/>
          <tpl hier="11" item="6"/>
          <tpl hier="12" item="5"/>
          <tpl fld="1" item="0"/>
        </tpls>
      </n>
      <n v="342616997888">
        <tpls c="8">
          <tpl hier="2" item="0"/>
          <tpl hier="4" item="1"/>
          <tpl fld="2" item="25"/>
          <tpl fld="4" item="25"/>
          <tpl hier="9" item="4"/>
          <tpl hier="11" item="6"/>
          <tpl hier="12" item="5"/>
          <tpl fld="1" item="0"/>
        </tpls>
      </n>
      <n v="63570059264">
        <tpls c="8">
          <tpl hier="2" item="0"/>
          <tpl hier="4" item="1"/>
          <tpl fld="2" item="5"/>
          <tpl fld="4" item="25"/>
          <tpl hier="9" item="4"/>
          <tpl hier="11" item="6"/>
          <tpl hier="12" item="5"/>
          <tpl fld="1" item="0"/>
        </tpls>
      </n>
      <n v="491252580352">
        <tpls c="8">
          <tpl hier="2" item="0"/>
          <tpl hier="4" item="1"/>
          <tpl fld="2" item="37"/>
          <tpl fld="4" item="24"/>
          <tpl hier="9" item="4"/>
          <tpl hier="11" item="6"/>
          <tpl hier="12" item="5"/>
          <tpl fld="1" item="0"/>
        </tpls>
      </n>
      <n v="206986674176">
        <tpls c="8">
          <tpl hier="2" item="0"/>
          <tpl hier="4" item="1"/>
          <tpl fld="2" item="18"/>
          <tpl fld="4" item="24"/>
          <tpl hier="9" item="4"/>
          <tpl hier="11" item="6"/>
          <tpl hier="12" item="5"/>
          <tpl fld="1" item="0"/>
        </tpls>
      </n>
      <n v="1419735203840">
        <tpls c="8">
          <tpl hier="2" item="0"/>
          <tpl hier="4" item="1"/>
          <tpl fld="2" item="48"/>
          <tpl fld="4" item="23"/>
          <tpl hier="9" item="4"/>
          <tpl hier="11" item="6"/>
          <tpl hier="12" item="5"/>
          <tpl fld="1" item="0"/>
        </tpls>
      </n>
      <n v="634693156864">
        <tpls c="8">
          <tpl hier="2" item="0"/>
          <tpl hier="4" item="1"/>
          <tpl fld="2" item="29"/>
          <tpl fld="4" item="23"/>
          <tpl hier="9" item="4"/>
          <tpl hier="11" item="6"/>
          <tpl hier="12" item="5"/>
          <tpl fld="1" item="0"/>
        </tpls>
      </n>
      <n v="214601957376">
        <tpls c="8">
          <tpl hier="2" item="0"/>
          <tpl hier="4" item="1"/>
          <tpl fld="2" item="9"/>
          <tpl fld="4" item="23"/>
          <tpl hier="9" item="4"/>
          <tpl hier="11" item="6"/>
          <tpl hier="12" item="5"/>
          <tpl fld="1" item="0"/>
        </tpls>
      </n>
      <n v="1253223038976">
        <tpls c="8">
          <tpl hier="2" item="0"/>
          <tpl hier="4" item="1"/>
          <tpl fld="2" item="41"/>
          <tpl fld="4" item="22"/>
          <tpl hier="9" item="4"/>
          <tpl hier="11" item="6"/>
          <tpl hier="12" item="5"/>
          <tpl fld="1" item="0"/>
        </tpls>
      </n>
      <n v="283367538688">
        <tpls c="8">
          <tpl hier="2" item="0"/>
          <tpl hier="4" item="1"/>
          <tpl fld="2" item="20"/>
          <tpl fld="4" item="22"/>
          <tpl hier="9" item="4"/>
          <tpl hier="11" item="6"/>
          <tpl hier="12" item="5"/>
          <tpl fld="1" item="0"/>
        </tpls>
      </n>
      <n v="9903500288">
        <tpls c="8">
          <tpl hier="2" item="0"/>
          <tpl hier="4" item="1"/>
          <tpl fld="2" item="1"/>
          <tpl fld="4" item="22"/>
          <tpl hier="9" item="4"/>
          <tpl hier="11" item="6"/>
          <tpl hier="12" item="5"/>
          <tpl fld="1" item="0"/>
        </tpls>
      </n>
      <n v="115035496448">
        <tpls c="8">
          <tpl hier="2" item="0"/>
          <tpl hier="4" item="1"/>
          <tpl fld="2" item="34"/>
          <tpl fld="4" item="21"/>
          <tpl hier="9" item="4"/>
          <tpl hier="11" item="6"/>
          <tpl hier="12" item="5"/>
          <tpl fld="1" item="0"/>
        </tpls>
      </n>
      <n v="18586746880">
        <tpls c="8">
          <tpl hier="2" item="0"/>
          <tpl hier="4" item="1"/>
          <tpl fld="2" item="16"/>
          <tpl fld="4" item="21"/>
          <tpl hier="9" item="4"/>
          <tpl hier="11" item="6"/>
          <tpl hier="12" item="5"/>
          <tpl fld="1" item="0"/>
        </tpls>
      </n>
      <n v="237686079488">
        <tpls c="8">
          <tpl hier="2" item="0"/>
          <tpl hier="4" item="1"/>
          <tpl fld="2" item="49"/>
          <tpl fld="4" item="20"/>
          <tpl hier="9" item="4"/>
          <tpl hier="11" item="6"/>
          <tpl hier="12" item="5"/>
          <tpl fld="1" item="0"/>
        </tpls>
      </n>
      <n v="121498886144">
        <tpls c="8">
          <tpl hier="2" item="0"/>
          <tpl hier="4" item="1"/>
          <tpl fld="2" item="31"/>
          <tpl fld="4" item="20"/>
          <tpl hier="9" item="4"/>
          <tpl hier="11" item="6"/>
          <tpl hier="12" item="5"/>
          <tpl fld="1" item="0"/>
        </tpls>
      </n>
      <n v="31977275392">
        <tpls c="8">
          <tpl hier="2" item="0"/>
          <tpl hier="4" item="1"/>
          <tpl fld="2" item="11"/>
          <tpl fld="4" item="20"/>
          <tpl hier="9" item="4"/>
          <tpl hier="11" item="6"/>
          <tpl hier="12" item="5"/>
          <tpl fld="1" item="0"/>
        </tpls>
      </n>
      <n v="385801551872">
        <tpls c="8">
          <tpl hier="2" item="0"/>
          <tpl hier="4" item="1"/>
          <tpl fld="2" item="45"/>
          <tpl fld="4" item="19"/>
          <tpl hier="9" item="4"/>
          <tpl hier="11" item="6"/>
          <tpl hier="12" item="5"/>
          <tpl fld="1" item="0"/>
        </tpls>
      </n>
      <n v="154163363840">
        <tpls c="8">
          <tpl hier="2" item="0"/>
          <tpl hier="4" item="1"/>
          <tpl fld="2" item="28"/>
          <tpl fld="4" item="19"/>
          <tpl hier="9" item="4"/>
          <tpl hier="11" item="6"/>
          <tpl hier="12" item="5"/>
          <tpl fld="1" item="0"/>
        </tpls>
      </n>
      <n v="63596654592">
        <tpls c="8">
          <tpl hier="2" item="0"/>
          <tpl hier="4" item="1"/>
          <tpl fld="2" item="11"/>
          <tpl fld="4" item="19"/>
          <tpl hier="9" item="4"/>
          <tpl hier="11" item="6"/>
          <tpl hier="12" item="5"/>
          <tpl fld="1" item="0"/>
        </tpls>
      </n>
      <n v="188223668224">
        <tpls c="8">
          <tpl hier="2" item="0"/>
          <tpl hier="4" item="1"/>
          <tpl fld="2" item="46"/>
          <tpl fld="4" item="18"/>
          <tpl hier="9" item="4"/>
          <tpl hier="11" item="6"/>
          <tpl hier="12" item="5"/>
          <tpl fld="1" item="0"/>
        </tpls>
      </n>
      <n v="52623282176">
        <tpls c="8">
          <tpl hier="2" item="0"/>
          <tpl hier="4" item="1"/>
          <tpl fld="2" item="30"/>
          <tpl fld="4" item="18"/>
          <tpl hier="9" item="4"/>
          <tpl hier="11" item="6"/>
          <tpl hier="12" item="5"/>
          <tpl fld="1" item="0"/>
        </tpls>
      </n>
      <n v="21665976320">
        <tpls c="8">
          <tpl hier="2" item="0"/>
          <tpl hier="4" item="1"/>
          <tpl fld="2" item="14"/>
          <tpl fld="4" item="18"/>
          <tpl hier="9" item="4"/>
          <tpl hier="11" item="6"/>
          <tpl hier="12" item="5"/>
          <tpl fld="1" item="0"/>
        </tpls>
      </n>
      <n v="909070368768">
        <tpls c="8">
          <tpl hier="2" item="0"/>
          <tpl hier="4" item="1"/>
          <tpl fld="2" item="49"/>
          <tpl fld="4" item="17"/>
          <tpl hier="9" item="4"/>
          <tpl hier="11" item="6"/>
          <tpl hier="12" item="5"/>
          <tpl fld="1" item="0"/>
        </tpls>
      </n>
      <n v="578792325120">
        <tpls c="8">
          <tpl hier="2" item="0"/>
          <tpl hier="4" item="1"/>
          <tpl fld="2" item="33"/>
          <tpl fld="4" item="17"/>
          <tpl hier="9" item="4"/>
          <tpl hier="11" item="6"/>
          <tpl hier="12" item="5"/>
          <tpl fld="1" item="0"/>
        </tpls>
      </n>
      <n v="245046312960">
        <tpls c="8">
          <tpl hier="2" item="0"/>
          <tpl hier="4" item="1"/>
          <tpl fld="2" item="17"/>
          <tpl fld="4" item="17"/>
          <tpl hier="9" item="4"/>
          <tpl hier="11" item="6"/>
          <tpl hier="12" item="5"/>
          <tpl fld="1" item="0"/>
        </tpls>
      </n>
      <n v="44579123200">
        <tpls c="8">
          <tpl hier="2" item="0"/>
          <tpl hier="4" item="1"/>
          <tpl fld="2" item="1"/>
          <tpl fld="4" item="17"/>
          <tpl hier="9" item="4"/>
          <tpl hier="11" item="6"/>
          <tpl hier="12" item="5"/>
          <tpl fld="1" item="0"/>
        </tpls>
      </n>
      <n v="6757119488">
        <tpls c="8">
          <tpl hier="2" item="0"/>
          <tpl hier="4" item="1"/>
          <tpl fld="2" item="36"/>
          <tpl fld="4" item="16"/>
          <tpl hier="9" item="4"/>
          <tpl hier="11" item="6"/>
          <tpl hier="12" item="5"/>
          <tpl fld="1" item="0"/>
        </tpls>
      </n>
      <n v="2547163648">
        <tpls c="8">
          <tpl hier="2" item="0"/>
          <tpl hier="4" item="1"/>
          <tpl fld="2" item="20"/>
          <tpl fld="4" item="16"/>
          <tpl hier="9" item="4"/>
          <tpl hier="11" item="6"/>
          <tpl hier="12" item="5"/>
          <tpl fld="1" item="0"/>
        </tpls>
      </n>
      <n v="376094112">
        <tpls c="8">
          <tpl hier="2" item="0"/>
          <tpl hier="4" item="1"/>
          <tpl fld="2" item="4"/>
          <tpl fld="4" item="16"/>
          <tpl hier="9" item="4"/>
          <tpl hier="11" item="6"/>
          <tpl hier="12" item="5"/>
          <tpl fld="1" item="0"/>
        </tpls>
      </n>
      <n v="51370545152">
        <tpls c="8">
          <tpl hier="2" item="0"/>
          <tpl hier="4" item="1"/>
          <tpl fld="2" item="39"/>
          <tpl fld="4" item="15"/>
          <tpl hier="9" item="4"/>
          <tpl hier="11" item="6"/>
          <tpl hier="12" item="5"/>
          <tpl fld="1" item="0"/>
        </tpls>
      </n>
      <n v="16486899712">
        <tpls c="8">
          <tpl hier="2" item="0"/>
          <tpl hier="4" item="1"/>
          <tpl fld="2" item="23"/>
          <tpl fld="4" item="15"/>
          <tpl hier="9" item="4"/>
          <tpl hier="11" item="6"/>
          <tpl hier="12" item="5"/>
          <tpl fld="1" item="0"/>
        </tpls>
      </n>
      <n v="3922895872">
        <tpls c="8">
          <tpl hier="2" item="0"/>
          <tpl hier="4" item="1"/>
          <tpl fld="2" item="7"/>
          <tpl fld="4" item="15"/>
          <tpl hier="9" item="4"/>
          <tpl hier="11" item="6"/>
          <tpl hier="12" item="5"/>
          <tpl fld="1" item="0"/>
        </tpls>
      </n>
      <n v="6203213086720">
        <tpls c="8">
          <tpl hier="2" item="0"/>
          <tpl hier="4" item="1"/>
          <tpl fld="2" item="42"/>
          <tpl fld="4" item="14"/>
          <tpl hier="9" item="4"/>
          <tpl hier="11" item="6"/>
          <tpl hier="12" item="5"/>
          <tpl fld="1" item="0"/>
        </tpls>
      </n>
      <n v="4833712537600">
        <tpls c="8">
          <tpl hier="2" item="0"/>
          <tpl hier="4" item="1"/>
          <tpl fld="2" item="26"/>
          <tpl fld="4" item="14"/>
          <tpl hier="9" item="4"/>
          <tpl hier="11" item="6"/>
          <tpl hier="12" item="5"/>
          <tpl fld="1" item="0"/>
        </tpls>
      </n>
      <n v="1105386012672">
        <tpls c="8">
          <tpl hier="2" item="0"/>
          <tpl hier="4" item="1"/>
          <tpl fld="2" item="10"/>
          <tpl fld="4" item="14"/>
          <tpl hier="9" item="4"/>
          <tpl hier="11" item="6"/>
          <tpl hier="12" item="5"/>
          <tpl fld="1" item="0"/>
        </tpls>
      </n>
      <n v="1835899289600">
        <tpls c="8">
          <tpl hier="2" item="0"/>
          <tpl hier="4" item="1"/>
          <tpl fld="2" item="45"/>
          <tpl fld="4" item="13"/>
          <tpl hier="9" item="4"/>
          <tpl hier="11" item="6"/>
          <tpl hier="12" item="5"/>
          <tpl fld="1" item="0"/>
        </tpls>
      </n>
      <n v="1252023730176">
        <tpls c="8">
          <tpl hier="2" item="0"/>
          <tpl hier="4" item="1"/>
          <tpl fld="2" item="29"/>
          <tpl fld="4" item="13"/>
          <tpl hier="9" item="4"/>
          <tpl hier="11" item="6"/>
          <tpl hier="12" item="5"/>
          <tpl fld="1" item="0"/>
        </tpls>
      </n>
      <n v="443042365440">
        <tpls c="8">
          <tpl hier="2" item="0"/>
          <tpl hier="4" item="1"/>
          <tpl fld="2" item="13"/>
          <tpl fld="4" item="13"/>
          <tpl hier="9" item="4"/>
          <tpl hier="11" item="6"/>
          <tpl hier="12" item="5"/>
          <tpl fld="1" item="0"/>
        </tpls>
      </n>
      <n v="370587992064">
        <tpls c="8">
          <tpl hier="2" item="0"/>
          <tpl hier="4" item="1"/>
          <tpl fld="2" item="48"/>
          <tpl fld="4" item="12"/>
          <tpl hier="9" item="4"/>
          <tpl hier="11" item="6"/>
          <tpl hier="12" item="5"/>
          <tpl fld="1" item="0"/>
        </tpls>
      </n>
      <n v="121123831808">
        <tpls c="8">
          <tpl hier="2" item="0"/>
          <tpl hier="4" item="1"/>
          <tpl fld="2" item="32"/>
          <tpl fld="4" item="12"/>
          <tpl hier="9" item="4"/>
          <tpl hier="11" item="6"/>
          <tpl hier="12" item="5"/>
          <tpl fld="1" item="0"/>
        </tpls>
      </n>
      <n v="34097559552">
        <tpls c="8">
          <tpl hier="2" item="0"/>
          <tpl hier="4" item="1"/>
          <tpl fld="2" item="16"/>
          <tpl fld="4" item="12"/>
          <tpl hier="9" item="4"/>
          <tpl hier="11" item="6"/>
          <tpl hier="12" item="5"/>
          <tpl fld="1" item="0"/>
        </tpls>
      </n>
      <n v="7048666624">
        <tpls c="8">
          <tpl hier="2" item="0"/>
          <tpl hier="4" item="1"/>
          <tpl fld="2" item="0"/>
          <tpl fld="4" item="12"/>
          <tpl hier="9" item="4"/>
          <tpl hier="11" item="6"/>
          <tpl hier="12" item="5"/>
          <tpl fld="1" item="0"/>
        </tpls>
      </n>
      <n v="211649036288">
        <tpls c="8">
          <tpl hier="2" item="0"/>
          <tpl hier="4" item="1"/>
          <tpl fld="2" item="35"/>
          <tpl fld="4" item="11"/>
          <tpl hier="9" item="4"/>
          <tpl hier="11" item="6"/>
          <tpl hier="12" item="5"/>
          <tpl fld="1" item="0"/>
        </tpls>
      </n>
      <n v="39285383168">
        <tpls c="8">
          <tpl hier="2" item="0"/>
          <tpl hier="4" item="1"/>
          <tpl fld="2" item="19"/>
          <tpl fld="4" item="11"/>
          <tpl hier="9" item="4"/>
          <tpl hier="11" item="6"/>
          <tpl hier="12" item="5"/>
          <tpl fld="1" item="0"/>
        </tpls>
      </n>
      <n v="7490132480">
        <tpls c="8">
          <tpl hier="2" item="0"/>
          <tpl hier="4" item="1"/>
          <tpl fld="2" item="3"/>
          <tpl fld="4" item="11"/>
          <tpl hier="9" item="4"/>
          <tpl hier="11" item="6"/>
          <tpl hier="12" item="5"/>
          <tpl fld="1" item="0"/>
        </tpls>
      </n>
      <n v="17905252352">
        <tpls c="8">
          <tpl hier="2" item="0"/>
          <tpl hier="4" item="1"/>
          <tpl fld="2" item="38"/>
          <tpl fld="4" item="10"/>
          <tpl hier="9" item="4"/>
          <tpl hier="11" item="6"/>
          <tpl hier="12" item="5"/>
          <tpl fld="1" item="0"/>
        </tpls>
      </n>
      <n v="7091625472">
        <tpls c="8">
          <tpl hier="2" item="0"/>
          <tpl hier="4" item="1"/>
          <tpl fld="2" item="22"/>
          <tpl fld="4" item="10"/>
          <tpl hier="9" item="4"/>
          <tpl hier="11" item="6"/>
          <tpl hier="12" item="5"/>
          <tpl fld="1" item="0"/>
        </tpls>
      </n>
      <n v="1671997824">
        <tpls c="8">
          <tpl hier="2" item="0"/>
          <tpl hier="4" item="1"/>
          <tpl fld="2" item="6"/>
          <tpl fld="4" item="10"/>
          <tpl hier="9" item="4"/>
          <tpl hier="11" item="6"/>
          <tpl hier="12" item="5"/>
          <tpl fld="1" item="0"/>
        </tpls>
      </n>
      <n v="287797837824">
        <tpls c="8">
          <tpl hier="2" item="0"/>
          <tpl hier="4" item="1"/>
          <tpl fld="2" item="41"/>
          <tpl fld="4" item="9"/>
          <tpl hier="9" item="4"/>
          <tpl hier="11" item="6"/>
          <tpl hier="12" item="5"/>
          <tpl fld="1" item="0"/>
        </tpls>
      </n>
      <n v="136878366720">
        <tpls c="8">
          <tpl hier="2" item="0"/>
          <tpl hier="4" item="1"/>
          <tpl fld="2" item="25"/>
          <tpl fld="4" item="9"/>
          <tpl hier="9" item="4"/>
          <tpl hier="11" item="6"/>
          <tpl hier="12" item="5"/>
          <tpl fld="1" item="0"/>
        </tpls>
      </n>
      <n v="54481874944">
        <tpls c="8">
          <tpl hier="2" item="0"/>
          <tpl hier="4" item="1"/>
          <tpl fld="2" item="9"/>
          <tpl fld="4" item="9"/>
          <tpl hier="9" item="4"/>
          <tpl hier="11" item="6"/>
          <tpl hier="12" item="5"/>
          <tpl fld="1" item="0"/>
        </tpls>
      </n>
      <n v="3883920261120">
        <tpls c="8">
          <tpl hier="2" item="0"/>
          <tpl hier="4" item="1"/>
          <tpl fld="2" item="44"/>
          <tpl fld="4" item="8"/>
          <tpl hier="9" item="4"/>
          <tpl hier="11" item="6"/>
          <tpl hier="12" item="5"/>
          <tpl fld="1" item="0"/>
        </tpls>
      </n>
      <n v="2238990778368">
        <tpls c="8">
          <tpl hier="2" item="0"/>
          <tpl hier="4" item="1"/>
          <tpl fld="2" item="28"/>
          <tpl fld="4" item="8"/>
          <tpl hier="9" item="4"/>
          <tpl hier="11" item="6"/>
          <tpl hier="12" item="5"/>
          <tpl fld="1" item="0"/>
        </tpls>
      </n>
      <n v="776576434176">
        <tpls c="8">
          <tpl hier="2" item="0"/>
          <tpl hier="4" item="1"/>
          <tpl fld="2" item="12"/>
          <tpl fld="4" item="8"/>
          <tpl hier="9" item="4"/>
          <tpl hier="11" item="6"/>
          <tpl hier="12" item="5"/>
          <tpl fld="1" item="0"/>
        </tpls>
      </n>
      <n v="1816199936">
        <tpls c="8">
          <tpl hier="2" item="0"/>
          <tpl hier="4" item="1"/>
          <tpl fld="2" item="14"/>
          <tpl fld="4" item="58"/>
          <tpl hier="9" item="4"/>
          <tpl hier="11" item="6"/>
          <tpl hier="12" item="5"/>
          <tpl fld="1" item="0"/>
        </tpls>
      </n>
      <n v="1182686592">
        <tpls c="8">
          <tpl hier="2" item="0"/>
          <tpl hier="4" item="1"/>
          <tpl fld="2" item="19"/>
          <tpl fld="4" item="51"/>
          <tpl hier="9" item="4"/>
          <tpl hier="11" item="6"/>
          <tpl hier="12" item="5"/>
          <tpl fld="1" item="0"/>
        </tpls>
      </n>
      <n v="1705796864">
        <tpls c="8">
          <tpl hier="2" item="0"/>
          <tpl hier="4" item="1"/>
          <tpl fld="2" item="10"/>
          <tpl fld="4" item="45"/>
          <tpl hier="9" item="4"/>
          <tpl hier="11" item="6"/>
          <tpl hier="12" item="5"/>
          <tpl fld="1" item="0"/>
        </tpls>
      </n>
      <n v="11198379008">
        <tpls c="8">
          <tpl hier="2" item="0"/>
          <tpl hier="4" item="1"/>
          <tpl fld="2" item="29"/>
          <tpl fld="4" item="39"/>
          <tpl hier="9" item="4"/>
          <tpl hier="11" item="6"/>
          <tpl hier="12" item="5"/>
          <tpl fld="1" item="0"/>
        </tpls>
      </n>
      <n v="7905485312">
        <tpls c="8">
          <tpl hier="2" item="0"/>
          <tpl hier="4" item="1"/>
          <tpl fld="2" item="32"/>
          <tpl fld="4" item="34"/>
          <tpl hier="9" item="4"/>
          <tpl hier="11" item="6"/>
          <tpl hier="12" item="5"/>
          <tpl fld="1" item="0"/>
        </tpls>
      </n>
      <n v="1045712704">
        <tpls c="8">
          <tpl hier="2" item="0"/>
          <tpl hier="4" item="1"/>
          <tpl fld="2" item="15"/>
          <tpl fld="4" item="33"/>
          <tpl hier="9" item="4"/>
          <tpl hier="11" item="6"/>
          <tpl hier="12" item="5"/>
          <tpl fld="1" item="0"/>
        </tpls>
      </n>
      <n v="832049984">
        <tpls c="8">
          <tpl hier="2" item="0"/>
          <tpl hier="4" item="1"/>
          <tpl fld="2" item="30"/>
          <tpl fld="4" item="32"/>
          <tpl hier="9" item="4"/>
          <tpl hier="11" item="6"/>
          <tpl hier="12" item="5"/>
          <tpl fld="1" item="0"/>
        </tpls>
      </n>
      <n v="195078684672">
        <tpls c="8">
          <tpl hier="2" item="0"/>
          <tpl hier="4" item="1"/>
          <tpl fld="2" item="45"/>
          <tpl fld="4" item="31"/>
          <tpl hier="9" item="4"/>
          <tpl hier="11" item="6"/>
          <tpl hier="12" item="5"/>
          <tpl fld="1" item="0"/>
        </tpls>
      </n>
      <n v="15565479936">
        <tpls c="8">
          <tpl hier="2" item="0"/>
          <tpl hier="4" item="1"/>
          <tpl fld="2" item="9"/>
          <tpl fld="4" item="31"/>
          <tpl hier="9" item="4"/>
          <tpl hier="11" item="6"/>
          <tpl hier="12" item="5"/>
          <tpl fld="1" item="0"/>
        </tpls>
      </n>
      <n v="7683870208">
        <tpls c="8">
          <tpl hier="2" item="0"/>
          <tpl hier="4" item="1"/>
          <tpl fld="2" item="29"/>
          <tpl fld="4" item="30"/>
          <tpl hier="9" item="4"/>
          <tpl hier="11" item="6"/>
          <tpl hier="12" item="5"/>
          <tpl fld="1" item="0"/>
        </tpls>
      </n>
      <n v="573400000">
        <tpls c="8">
          <tpl hier="2" item="0"/>
          <tpl hier="4" item="1"/>
          <tpl fld="2" item="1"/>
          <tpl fld="4" item="30"/>
          <tpl hier="9" item="4"/>
          <tpl hier="11" item="6"/>
          <tpl hier="12" item="5"/>
          <tpl fld="1" item="0"/>
        </tpls>
      </n>
      <n v="292858986496">
        <tpls c="8">
          <tpl hier="2" item="0"/>
          <tpl hier="4" item="1"/>
          <tpl fld="2" item="27"/>
          <tpl fld="4" item="29"/>
          <tpl hier="9" item="4"/>
          <tpl hier="11" item="6"/>
          <tpl hier="12" item="5"/>
          <tpl fld="1" item="0"/>
        </tpls>
      </n>
      <n v="72436776960">
        <tpls c="8">
          <tpl hier="2" item="0"/>
          <tpl hier="4" item="1"/>
          <tpl fld="2" item="4"/>
          <tpl fld="4" item="29"/>
          <tpl hier="9" item="4"/>
          <tpl hier="11" item="6"/>
          <tpl hier="12" item="5"/>
          <tpl fld="1" item="0"/>
        </tpls>
      </n>
      <n v="54745837568">
        <tpls c="8">
          <tpl hier="2" item="0"/>
          <tpl hier="4" item="1"/>
          <tpl fld="2" item="31"/>
          <tpl fld="4" item="28"/>
          <tpl hier="9" item="4"/>
          <tpl hier="11" item="6"/>
          <tpl hier="12" item="5"/>
          <tpl fld="1" item="0"/>
        </tpls>
      </n>
      <n v="26364491776">
        <tpls c="8">
          <tpl hier="2" item="0"/>
          <tpl hier="4" item="1"/>
          <tpl fld="2" item="8"/>
          <tpl fld="4" item="28"/>
          <tpl hier="9" item="4"/>
          <tpl hier="11" item="6"/>
          <tpl hier="12" item="5"/>
          <tpl fld="1" item="0"/>
        </tpls>
      </n>
      <n v="13814611312640">
        <tpls c="8">
          <tpl hier="2" item="0"/>
          <tpl hier="4" item="1"/>
          <tpl fld="2" item="36"/>
          <tpl fld="4" item="27"/>
          <tpl hier="9" item="4"/>
          <tpl hier="11" item="6"/>
          <tpl hier="12" item="5"/>
          <tpl fld="1" item="0"/>
        </tpls>
      </n>
      <n v="3634038046720">
        <tpls c="8">
          <tpl hier="2" item="0"/>
          <tpl hier="4" item="1"/>
          <tpl fld="2" item="13"/>
          <tpl fld="4" item="27"/>
          <tpl hier="9" item="4"/>
          <tpl hier="11" item="6"/>
          <tpl hier="12" item="5"/>
          <tpl fld="1" item="0"/>
        </tpls>
      </n>
      <n v="2475244388352">
        <tpls c="8">
          <tpl hier="2" item="0"/>
          <tpl hier="4" item="1"/>
          <tpl fld="2" item="40"/>
          <tpl fld="4" item="26"/>
          <tpl hier="9" item="4"/>
          <tpl hier="11" item="6"/>
          <tpl hier="12" item="5"/>
          <tpl fld="1" item="0"/>
        </tpls>
      </n>
      <n v="745162604544">
        <tpls c="8">
          <tpl hier="2" item="0"/>
          <tpl hier="4" item="1"/>
          <tpl fld="2" item="17"/>
          <tpl fld="4" item="26"/>
          <tpl hier="9" item="4"/>
          <tpl hier="11" item="6"/>
          <tpl hier="12" item="5"/>
          <tpl fld="1" item="0"/>
        </tpls>
      </n>
      <n v="709182554112">
        <tpls c="8">
          <tpl hier="2" item="0"/>
          <tpl hier="4" item="1"/>
          <tpl fld="2" item="44"/>
          <tpl fld="4" item="25"/>
          <tpl hier="9" item="4"/>
          <tpl hier="11" item="6"/>
          <tpl hier="12" item="5"/>
          <tpl fld="1" item="0"/>
        </tpls>
      </n>
      <n v="292646649856">
        <tpls c="8">
          <tpl hier="2" item="0"/>
          <tpl hier="4" item="1"/>
          <tpl fld="2" item="24"/>
          <tpl fld="4" item="25"/>
          <tpl hier="9" item="4"/>
          <tpl hier="11" item="6"/>
          <tpl hier="12" item="5"/>
          <tpl fld="1" item="0"/>
        </tpls>
      </n>
      <n v="55449198592">
        <tpls c="8">
          <tpl hier="2" item="0"/>
          <tpl hier="4" item="1"/>
          <tpl fld="2" item="4"/>
          <tpl fld="4" item="25"/>
          <tpl hier="9" item="4"/>
          <tpl hier="11" item="6"/>
          <tpl hier="12" item="5"/>
          <tpl fld="1" item="0"/>
        </tpls>
      </n>
      <n v="423093436416">
        <tpls c="8">
          <tpl hier="2" item="0"/>
          <tpl hier="4" item="1"/>
          <tpl fld="2" item="36"/>
          <tpl fld="4" item="24"/>
          <tpl hier="9" item="4"/>
          <tpl hier="11" item="6"/>
          <tpl hier="12" item="5"/>
          <tpl fld="1" item="0"/>
        </tpls>
      </n>
      <n v="114123538432">
        <tpls c="8">
          <tpl hier="2" item="0"/>
          <tpl hier="4" item="1"/>
          <tpl fld="2" item="15"/>
          <tpl fld="4" item="24"/>
          <tpl hier="9" item="4"/>
          <tpl hier="11" item="6"/>
          <tpl hier="12" item="5"/>
          <tpl fld="1" item="0"/>
        </tpls>
      </n>
      <n v="1312551731200">
        <tpls c="8">
          <tpl hier="2" item="0"/>
          <tpl hier="4" item="1"/>
          <tpl fld="2" item="47"/>
          <tpl fld="4" item="23"/>
          <tpl hier="9" item="4"/>
          <tpl hier="11" item="6"/>
          <tpl hier="12" item="5"/>
          <tpl fld="1" item="0"/>
        </tpls>
      </n>
      <n v="590077296640">
        <tpls c="8">
          <tpl hier="2" item="0"/>
          <tpl hier="4" item="1"/>
          <tpl fld="2" item="27"/>
          <tpl fld="4" item="23"/>
          <tpl hier="9" item="4"/>
          <tpl hier="11" item="6"/>
          <tpl hier="12" item="5"/>
          <tpl fld="1" item="0"/>
        </tpls>
      </n>
      <n v="160599687168">
        <tpls c="8">
          <tpl hier="2" item="0"/>
          <tpl hier="4" item="1"/>
          <tpl fld="2" item="8"/>
          <tpl fld="4" item="23"/>
          <tpl hier="9" item="4"/>
          <tpl hier="11" item="6"/>
          <tpl hier="12" item="5"/>
          <tpl fld="1" item="0"/>
        </tpls>
      </n>
      <n v="1144066932736">
        <tpls c="8">
          <tpl hier="2" item="0"/>
          <tpl hier="4" item="1"/>
          <tpl fld="2" item="40"/>
          <tpl fld="4" item="22"/>
          <tpl hier="9" item="4"/>
          <tpl hier="11" item="6"/>
          <tpl hier="12" item="5"/>
          <tpl fld="1" item="0"/>
        </tpls>
      </n>
      <n v="246927294464">
        <tpls c="8">
          <tpl hier="2" item="0"/>
          <tpl hier="4" item="1"/>
          <tpl fld="2" item="19"/>
          <tpl fld="4" item="22"/>
          <tpl hier="9" item="4"/>
          <tpl hier="11" item="6"/>
          <tpl hier="12" item="5"/>
          <tpl fld="1" item="0"/>
        </tpls>
      </n>
      <n v="9005023232">
        <tpls c="8">
          <tpl hier="2" item="0"/>
          <tpl hier="4" item="1"/>
          <tpl fld="2" item="0"/>
          <tpl fld="4" item="22"/>
          <tpl hier="9" item="4"/>
          <tpl hier="11" item="6"/>
          <tpl hier="12" item="5"/>
          <tpl fld="1" item="0"/>
        </tpls>
      </n>
      <n v="97645445120">
        <tpls c="8">
          <tpl hier="2" item="0"/>
          <tpl hier="4" item="1"/>
          <tpl fld="2" item="33"/>
          <tpl fld="4" item="21"/>
          <tpl hier="9" item="4"/>
          <tpl hier="11" item="6"/>
          <tpl hier="12" item="5"/>
          <tpl fld="1" item="0"/>
        </tpls>
      </n>
      <n v="19156533248">
        <tpls c="8">
          <tpl hier="2" item="0"/>
          <tpl hier="4" item="1"/>
          <tpl fld="2" item="15"/>
          <tpl fld="4" item="21"/>
          <tpl hier="9" item="4"/>
          <tpl hier="11" item="6"/>
          <tpl hier="12" item="5"/>
          <tpl fld="1" item="0"/>
        </tpls>
      </n>
      <n v="241274634240">
        <tpls c="8">
          <tpl hier="2" item="0"/>
          <tpl hier="4" item="1"/>
          <tpl fld="2" item="48"/>
          <tpl fld="4" item="20"/>
          <tpl hier="9" item="4"/>
          <tpl hier="11" item="6"/>
          <tpl hier="12" item="5"/>
          <tpl fld="1" item="0"/>
        </tpls>
      </n>
      <n v="118310707200">
        <tpls c="8">
          <tpl hier="2" item="0"/>
          <tpl hier="4" item="1"/>
          <tpl fld="2" item="30"/>
          <tpl fld="4" item="20"/>
          <tpl hier="9" item="4"/>
          <tpl hier="11" item="6"/>
          <tpl hier="12" item="5"/>
          <tpl fld="1" item="0"/>
        </tpls>
      </n>
      <n v="32896522240">
        <tpls c="8">
          <tpl hier="2" item="0"/>
          <tpl hier="4" item="1"/>
          <tpl fld="2" item="10"/>
          <tpl fld="4" item="20"/>
          <tpl hier="9" item="4"/>
          <tpl hier="11" item="6"/>
          <tpl hier="12" item="5"/>
          <tpl fld="1" item="0"/>
        </tpls>
      </n>
      <n v="498410061824">
        <tpls c="8">
          <tpl hier="2" item="0"/>
          <tpl hier="4" item="1"/>
          <tpl fld="2" item="44"/>
          <tpl fld="4" item="19"/>
          <tpl hier="9" item="4"/>
          <tpl hier="11" item="6"/>
          <tpl hier="12" item="5"/>
          <tpl fld="1" item="0"/>
        </tpls>
      </n>
      <n v="161356627968">
        <tpls c="8">
          <tpl hier="2" item="0"/>
          <tpl hier="4" item="1"/>
          <tpl fld="2" item="27"/>
          <tpl fld="4" item="19"/>
          <tpl hier="9" item="4"/>
          <tpl hier="11" item="6"/>
          <tpl hier="12" item="5"/>
          <tpl fld="1" item="0"/>
        </tpls>
      </n>
      <n v="64439382016">
        <tpls c="8">
          <tpl hier="2" item="0"/>
          <tpl hier="4" item="1"/>
          <tpl fld="2" item="10"/>
          <tpl fld="4" item="19"/>
          <tpl hier="9" item="4"/>
          <tpl hier="11" item="6"/>
          <tpl hier="12" item="5"/>
          <tpl fld="1" item="0"/>
        </tpls>
      </n>
      <n v="177467523072">
        <tpls c="8">
          <tpl hier="2" item="0"/>
          <tpl hier="4" item="1"/>
          <tpl fld="2" item="45"/>
          <tpl fld="4" item="18"/>
          <tpl hier="9" item="4"/>
          <tpl hier="11" item="6"/>
          <tpl hier="12" item="5"/>
          <tpl fld="1" item="0"/>
        </tpls>
      </n>
      <n v="58762260480">
        <tpls c="8">
          <tpl hier="2" item="0"/>
          <tpl hier="4" item="1"/>
          <tpl fld="2" item="29"/>
          <tpl fld="4" item="18"/>
          <tpl hier="9" item="4"/>
          <tpl hier="11" item="6"/>
          <tpl hier="12" item="5"/>
          <tpl fld="1" item="0"/>
        </tpls>
      </n>
      <n v="24309278720">
        <tpls c="8">
          <tpl hier="2" item="0"/>
          <tpl hier="4" item="1"/>
          <tpl fld="2" item="13"/>
          <tpl fld="4" item="18"/>
          <tpl hier="9" item="4"/>
          <tpl hier="11" item="6"/>
          <tpl hier="12" item="5"/>
          <tpl fld="1" item="0"/>
        </tpls>
      </n>
      <n v="914104844288">
        <tpls c="8">
          <tpl hier="2" item="0"/>
          <tpl hier="4" item="1"/>
          <tpl fld="2" item="48"/>
          <tpl fld="4" item="17"/>
          <tpl hier="9" item="4"/>
          <tpl hier="11" item="6"/>
          <tpl hier="12" item="5"/>
          <tpl fld="1" item="0"/>
        </tpls>
      </n>
      <n v="471613964288">
        <tpls c="8">
          <tpl hier="2" item="0"/>
          <tpl hier="4" item="1"/>
          <tpl fld="2" item="32"/>
          <tpl fld="4" item="17"/>
          <tpl hier="9" item="4"/>
          <tpl hier="11" item="6"/>
          <tpl hier="12" item="5"/>
          <tpl fld="1" item="0"/>
        </tpls>
      </n>
      <n v="200862089216">
        <tpls c="8">
          <tpl hier="2" item="0"/>
          <tpl hier="4" item="1"/>
          <tpl fld="2" item="16"/>
          <tpl fld="4" item="17"/>
          <tpl hier="9" item="4"/>
          <tpl hier="11" item="6"/>
          <tpl hier="12" item="5"/>
          <tpl fld="1" item="0"/>
        </tpls>
      </n>
      <n v="38164717568">
        <tpls c="8">
          <tpl hier="2" item="0"/>
          <tpl hier="4" item="1"/>
          <tpl fld="2" item="0"/>
          <tpl fld="4" item="17"/>
          <tpl hier="9" item="4"/>
          <tpl hier="11" item="6"/>
          <tpl hier="12" item="5"/>
          <tpl fld="1" item="0"/>
        </tpls>
      </n>
      <n v="6403839488">
        <tpls c="8">
          <tpl hier="2" item="0"/>
          <tpl hier="4" item="1"/>
          <tpl fld="2" item="35"/>
          <tpl fld="4" item="16"/>
          <tpl hier="9" item="4"/>
          <tpl hier="11" item="6"/>
          <tpl hier="12" item="5"/>
          <tpl fld="1" item="0"/>
        </tpls>
      </n>
      <n v="2118574720">
        <tpls c="8">
          <tpl hier="2" item="0"/>
          <tpl hier="4" item="1"/>
          <tpl fld="2" item="19"/>
          <tpl fld="4" item="16"/>
          <tpl hier="9" item="4"/>
          <tpl hier="11" item="6"/>
          <tpl hier="12" item="5"/>
          <tpl fld="1" item="0"/>
        </tpls>
      </n>
      <n v="345602016">
        <tpls c="8">
          <tpl hier="2" item="0"/>
          <tpl hier="4" item="1"/>
          <tpl fld="2" item="3"/>
          <tpl fld="4" item="16"/>
          <tpl hier="9" item="4"/>
          <tpl hier="11" item="6"/>
          <tpl hier="12" item="5"/>
          <tpl fld="1" item="0"/>
        </tpls>
      </n>
      <n v="55849684992">
        <tpls c="8">
          <tpl hier="2" item="0"/>
          <tpl hier="4" item="1"/>
          <tpl fld="2" item="38"/>
          <tpl fld="4" item="15"/>
          <tpl hier="9" item="4"/>
          <tpl hier="11" item="6"/>
          <tpl hier="12" item="5"/>
          <tpl fld="1" item="0"/>
        </tpls>
      </n>
      <n v="16065740800">
        <tpls c="8">
          <tpl hier="2" item="0"/>
          <tpl hier="4" item="1"/>
          <tpl fld="2" item="22"/>
          <tpl fld="4" item="15"/>
          <tpl hier="9" item="4"/>
          <tpl hier="11" item="6"/>
          <tpl hier="12" item="5"/>
          <tpl fld="1" item="0"/>
        </tpls>
      </n>
      <n v="3544268032">
        <tpls c="8">
          <tpl hier="2" item="0"/>
          <tpl hier="4" item="1"/>
          <tpl fld="2" item="6"/>
          <tpl fld="4" item="15"/>
          <tpl hier="9" item="4"/>
          <tpl hier="11" item="6"/>
          <tpl hier="12" item="5"/>
          <tpl fld="1" item="0"/>
        </tpls>
      </n>
      <n v="6157459521536">
        <tpls c="8">
          <tpl hier="2" item="0"/>
          <tpl hier="4" item="1"/>
          <tpl fld="2" item="41"/>
          <tpl fld="4" item="14"/>
          <tpl hier="9" item="4"/>
          <tpl hier="11" item="6"/>
          <tpl hier="12" item="5"/>
          <tpl fld="1" item="0"/>
        </tpls>
      </n>
      <n v="5449116549120">
        <tpls c="8">
          <tpl hier="2" item="0"/>
          <tpl hier="4" item="1"/>
          <tpl fld="2" item="25"/>
          <tpl fld="4" item="14"/>
          <tpl hier="9" item="4"/>
          <tpl hier="11" item="6"/>
          <tpl hier="12" item="5"/>
          <tpl fld="1" item="0"/>
        </tpls>
      </n>
      <n v="1055012093952">
        <tpls c="8">
          <tpl hier="2" item="0"/>
          <tpl hier="4" item="1"/>
          <tpl fld="2" item="9"/>
          <tpl fld="4" item="14"/>
          <tpl hier="9" item="4"/>
          <tpl hier="11" item="6"/>
          <tpl hier="12" item="5"/>
          <tpl fld="1" item="0"/>
        </tpls>
      </n>
      <n v="2159133982720">
        <tpls c="8">
          <tpl hier="2" item="0"/>
          <tpl hier="4" item="1"/>
          <tpl fld="2" item="44"/>
          <tpl fld="4" item="13"/>
          <tpl hier="9" item="4"/>
          <tpl hier="11" item="6"/>
          <tpl hier="12" item="5"/>
          <tpl fld="1" item="0"/>
        </tpls>
      </n>
      <n v="1270052552704">
        <tpls c="8">
          <tpl hier="2" item="0"/>
          <tpl hier="4" item="1"/>
          <tpl fld="2" item="28"/>
          <tpl fld="4" item="13"/>
          <tpl hier="9" item="4"/>
          <tpl hier="11" item="6"/>
          <tpl hier="12" item="5"/>
          <tpl fld="1" item="0"/>
        </tpls>
      </n>
      <n v="427272634368">
        <tpls c="8">
          <tpl hier="2" item="0"/>
          <tpl hier="4" item="1"/>
          <tpl fld="2" item="12"/>
          <tpl fld="4" item="13"/>
          <tpl hier="9" item="4"/>
          <tpl hier="11" item="6"/>
          <tpl hier="12" item="5"/>
          <tpl fld="1" item="0"/>
        </tpls>
      </n>
      <n v="353253392384">
        <tpls c="8">
          <tpl hier="2" item="0"/>
          <tpl hier="4" item="1"/>
          <tpl fld="2" item="47"/>
          <tpl fld="4" item="12"/>
          <tpl hier="9" item="4"/>
          <tpl hier="11" item="6"/>
          <tpl hier="12" item="5"/>
          <tpl fld="1" item="0"/>
        </tpls>
      </n>
      <n v="130756337664">
        <tpls c="8">
          <tpl hier="2" item="0"/>
          <tpl hier="4" item="1"/>
          <tpl fld="2" item="31"/>
          <tpl fld="4" item="12"/>
          <tpl hier="9" item="4"/>
          <tpl hier="11" item="6"/>
          <tpl hier="12" item="5"/>
          <tpl fld="1" item="0"/>
        </tpls>
      </n>
      <n v="27504906240">
        <tpls c="8">
          <tpl hier="2" item="0"/>
          <tpl hier="4" item="1"/>
          <tpl fld="2" item="15"/>
          <tpl fld="4" item="12"/>
          <tpl hier="9" item="4"/>
          <tpl hier="11" item="6"/>
          <tpl hier="12" item="5"/>
          <tpl fld="1" item="0"/>
        </tpls>
      </n>
      <n v="5842798287872">
        <tpls c="8">
          <tpl hier="2" item="0"/>
          <tpl hier="4" item="1"/>
          <tpl hier="5" item="3"/>
          <tpl fld="4" item="11"/>
          <tpl hier="9" item="4"/>
          <tpl hier="11" item="6"/>
          <tpl hier="12" item="5"/>
          <tpl fld="1" item="0"/>
        </tpls>
      </n>
      <n v="193870692352">
        <tpls c="8">
          <tpl hier="2" item="0"/>
          <tpl hier="4" item="1"/>
          <tpl fld="2" item="34"/>
          <tpl fld="4" item="11"/>
          <tpl hier="9" item="4"/>
          <tpl hier="11" item="6"/>
          <tpl hier="12" item="5"/>
          <tpl fld="1" item="0"/>
        </tpls>
      </n>
      <n v="37818134528">
        <tpls c="8">
          <tpl hier="2" item="0"/>
          <tpl hier="4" item="1"/>
          <tpl fld="2" item="18"/>
          <tpl fld="4" item="11"/>
          <tpl hier="9" item="4"/>
          <tpl hier="11" item="6"/>
          <tpl hier="12" item="5"/>
          <tpl fld="1" item="0"/>
        </tpls>
      </n>
      <n v="6325627392">
        <tpls c="8">
          <tpl hier="2" item="0"/>
          <tpl hier="4" item="1"/>
          <tpl fld="2" item="2"/>
          <tpl fld="4" item="11"/>
          <tpl hier="9" item="4"/>
          <tpl hier="11" item="6"/>
          <tpl hier="12" item="5"/>
          <tpl fld="1" item="0"/>
        </tpls>
      </n>
      <n v="21514962944">
        <tpls c="8">
          <tpl hier="2" item="0"/>
          <tpl hier="4" item="1"/>
          <tpl fld="2" item="37"/>
          <tpl fld="4" item="10"/>
          <tpl hier="9" item="4"/>
          <tpl hier="11" item="6"/>
          <tpl hier="12" item="5"/>
          <tpl fld="1" item="0"/>
        </tpls>
      </n>
      <n v="6920116736">
        <tpls c="8">
          <tpl hier="2" item="0"/>
          <tpl hier="4" item="1"/>
          <tpl fld="2" item="21"/>
          <tpl fld="4" item="10"/>
          <tpl hier="9" item="4"/>
          <tpl hier="11" item="6"/>
          <tpl hier="12" item="5"/>
          <tpl fld="1" item="0"/>
        </tpls>
      </n>
      <n v="1408989824">
        <tpls c="8">
          <tpl hier="2" item="0"/>
          <tpl hier="4" item="1"/>
          <tpl fld="2" item="5"/>
          <tpl fld="4" item="10"/>
          <tpl hier="9" item="4"/>
          <tpl hier="11" item="6"/>
          <tpl hier="12" item="5"/>
          <tpl fld="1" item="0"/>
        </tpls>
      </n>
      <n v="299361566720">
        <tpls c="8">
          <tpl hier="2" item="0"/>
          <tpl hier="4" item="1"/>
          <tpl fld="2" item="40"/>
          <tpl fld="4" item="9"/>
          <tpl hier="9" item="4"/>
          <tpl hier="11" item="6"/>
          <tpl hier="12" item="5"/>
          <tpl fld="1" item="0"/>
        </tpls>
      </n>
      <n v="116601798656">
        <tpls c="8">
          <tpl hier="2" item="0"/>
          <tpl hier="4" item="1"/>
          <tpl fld="2" item="24"/>
          <tpl fld="4" item="9"/>
          <tpl hier="9" item="4"/>
          <tpl hier="11" item="6"/>
          <tpl hier="12" item="5"/>
          <tpl fld="1" item="0"/>
        </tpls>
      </n>
      <n v="44270202880">
        <tpls c="8">
          <tpl hier="2" item="0"/>
          <tpl hier="4" item="1"/>
          <tpl fld="2" item="8"/>
          <tpl fld="4" item="9"/>
          <tpl hier="9" item="4"/>
          <tpl hier="11" item="6"/>
          <tpl hier="12" item="5"/>
          <tpl fld="1" item="0"/>
        </tpls>
      </n>
      <n v="3732743389184">
        <tpls c="8">
          <tpl hier="2" item="0"/>
          <tpl hier="4" item="1"/>
          <tpl fld="2" item="43"/>
          <tpl fld="4" item="8"/>
          <tpl hier="9" item="4"/>
          <tpl hier="11" item="6"/>
          <tpl hier="12" item="5"/>
          <tpl fld="1" item="0"/>
        </tpls>
      </n>
      <n v="2211989684224">
        <tpls c="8">
          <tpl hier="2" item="0"/>
          <tpl hier="4" item="1"/>
          <tpl fld="2" item="27"/>
          <tpl fld="4" item="8"/>
          <tpl hier="9" item="4"/>
          <tpl hier="11" item="6"/>
          <tpl hier="12" item="5"/>
          <tpl fld="1" item="0"/>
        </tpls>
      </n>
      <n v="800472039424">
        <tpls c="8">
          <tpl hier="2" item="0"/>
          <tpl hier="4" item="1"/>
          <tpl fld="2" item="11"/>
          <tpl fld="4" item="8"/>
          <tpl hier="9" item="4"/>
          <tpl hier="11" item="6"/>
          <tpl hier="12" item="5"/>
          <tpl fld="1" item="0"/>
        </tpls>
      </n>
      <n v="2471285489664">
        <tpls c="8">
          <tpl hier="2" item="0"/>
          <tpl hier="4" item="1"/>
          <tpl fld="2" item="46"/>
          <tpl fld="4" item="7"/>
          <tpl hier="9" item="4"/>
          <tpl hier="11" item="6"/>
          <tpl hier="12" item="5"/>
          <tpl fld="1" item="0"/>
        </tpls>
      </n>
      <n v="1362248990720">
        <tpls c="8">
          <tpl hier="2" item="0"/>
          <tpl hier="4" item="1"/>
          <tpl fld="2" item="30"/>
          <tpl fld="4" item="7"/>
          <tpl hier="9" item="4"/>
          <tpl hier="11" item="6"/>
          <tpl hier="12" item="5"/>
          <tpl fld="1" item="0"/>
        </tpls>
      </n>
      <n v="530683789312">
        <tpls c="8">
          <tpl hier="2" item="0"/>
          <tpl hier="4" item="1"/>
          <tpl fld="2" item="14"/>
          <tpl fld="4" item="7"/>
          <tpl hier="9" item="4"/>
          <tpl hier="11" item="6"/>
          <tpl hier="12" item="5"/>
          <tpl fld="1" item="0"/>
        </tpls>
      </n>
      <n v="268761202688">
        <tpls c="8">
          <tpl hier="2" item="0"/>
          <tpl hier="4" item="1"/>
          <tpl fld="2" item="49"/>
          <tpl fld="4" item="6"/>
          <tpl hier="9" item="4"/>
          <tpl hier="11" item="6"/>
          <tpl hier="12" item="5"/>
          <tpl fld="1" item="0"/>
        </tpls>
      </n>
      <n v="171274272768">
        <tpls c="8">
          <tpl hier="2" item="0"/>
          <tpl hier="4" item="1"/>
          <tpl fld="2" item="33"/>
          <tpl fld="4" item="6"/>
          <tpl hier="9" item="4"/>
          <tpl hier="11" item="6"/>
          <tpl hier="12" item="5"/>
          <tpl fld="1" item="0"/>
        </tpls>
      </n>
      <n v="91594752000">
        <tpls c="8">
          <tpl hier="2" item="0"/>
          <tpl hier="4" item="1"/>
          <tpl fld="2" item="17"/>
          <tpl fld="4" item="6"/>
          <tpl hier="9" item="4"/>
          <tpl hier="11" item="6"/>
          <tpl hier="12" item="5"/>
          <tpl fld="1" item="0"/>
        </tpls>
      </n>
      <n v="12527405056">
        <tpls c="8">
          <tpl hier="2" item="0"/>
          <tpl hier="4" item="1"/>
          <tpl fld="2" item="1"/>
          <tpl fld="4" item="6"/>
          <tpl hier="9" item="4"/>
          <tpl hier="11" item="6"/>
          <tpl hier="12" item="5"/>
          <tpl fld="1" item="0"/>
        </tpls>
      </n>
      <n v="282884931584">
        <tpls c="8">
          <tpl hier="2" item="0"/>
          <tpl hier="4" item="1"/>
          <tpl fld="2" item="36"/>
          <tpl fld="4" item="5"/>
          <tpl hier="9" item="4"/>
          <tpl hier="11" item="6"/>
          <tpl hier="12" item="5"/>
          <tpl fld="1" item="0"/>
        </tpls>
      </n>
      <n v="138247290880">
        <tpls c="8">
          <tpl hier="2" item="0"/>
          <tpl hier="4" item="1"/>
          <tpl fld="2" item="20"/>
          <tpl fld="4" item="5"/>
          <tpl hier="9" item="4"/>
          <tpl hier="11" item="6"/>
          <tpl hier="12" item="5"/>
          <tpl fld="1" item="0"/>
        </tpls>
      </n>
      <n v="34160445440">
        <tpls c="8">
          <tpl hier="2" item="0"/>
          <tpl hier="4" item="1"/>
          <tpl fld="2" item="4"/>
          <tpl fld="4" item="5"/>
          <tpl hier="9" item="4"/>
          <tpl hier="11" item="6"/>
          <tpl hier="12" item="5"/>
          <tpl fld="1" item="0"/>
        </tpls>
      </n>
      <n v="1371152973824">
        <tpls c="8">
          <tpl hier="2" item="0"/>
          <tpl hier="4" item="1"/>
          <tpl fld="2" item="39"/>
          <tpl fld="4" item="4"/>
          <tpl hier="9" item="4"/>
          <tpl hier="11" item="6"/>
          <tpl hier="12" item="5"/>
          <tpl fld="1" item="0"/>
        </tpls>
      </n>
      <n v="577170767872">
        <tpls c="8">
          <tpl hier="2" item="0"/>
          <tpl hier="4" item="1"/>
          <tpl fld="2" item="23"/>
          <tpl fld="4" item="4"/>
          <tpl hier="9" item="4"/>
          <tpl hier="11" item="6"/>
          <tpl hier="12" item="5"/>
          <tpl fld="1" item="0"/>
        </tpls>
      </n>
      <n v="211612155904">
        <tpls c="8">
          <tpl hier="2" item="0"/>
          <tpl hier="4" item="1"/>
          <tpl fld="2" item="7"/>
          <tpl fld="4" item="4"/>
          <tpl hier="9" item="4"/>
          <tpl hier="11" item="6"/>
          <tpl hier="12" item="5"/>
          <tpl fld="1" item="0"/>
        </tpls>
      </n>
      <n v="496181248000">
        <tpls c="8">
          <tpl hier="2" item="0"/>
          <tpl hier="4" item="1"/>
          <tpl fld="2" item="42"/>
          <tpl fld="4" item="3"/>
          <tpl hier="9" item="4"/>
          <tpl hier="11" item="6"/>
          <tpl hier="12" item="5"/>
          <tpl fld="1" item="0"/>
        </tpls>
      </n>
      <n v="279201447936">
        <tpls c="8">
          <tpl hier="2" item="0"/>
          <tpl hier="4" item="1"/>
          <tpl fld="2" item="26"/>
          <tpl fld="4" item="3"/>
          <tpl hier="9" item="4"/>
          <tpl hier="11" item="6"/>
          <tpl hier="12" item="5"/>
          <tpl fld="1" item="0"/>
        </tpls>
      </n>
      <n v="2576024064">
        <tpls c="8">
          <tpl hier="2" item="0"/>
          <tpl hier="4" item="1"/>
          <tpl fld="2" item="41"/>
          <tpl fld="4" item="57"/>
          <tpl hier="9" item="4"/>
          <tpl hier="11" item="6"/>
          <tpl hier="12" item="5"/>
          <tpl fld="1" item="0"/>
        </tpls>
      </n>
      <n v="219878480">
        <tpls c="8">
          <tpl hier="2" item="0"/>
          <tpl hier="4" item="1"/>
          <tpl fld="2" item="0"/>
          <tpl fld="4" item="51"/>
          <tpl hier="9" item="4"/>
          <tpl hier="11" item="6"/>
          <tpl hier="12" item="5"/>
          <tpl fld="1" item="0"/>
        </tpls>
      </n>
      <n v="25839749120">
        <tpls c="8">
          <tpl hier="2" item="0"/>
          <tpl hier="4" item="1"/>
          <tpl fld="2" item="41"/>
          <tpl fld="4" item="44"/>
          <tpl hier="9" item="4"/>
          <tpl hier="11" item="6"/>
          <tpl hier="12" item="5"/>
          <tpl fld="1" item="0"/>
        </tpls>
      </n>
      <n v="7381854720">
        <tpls c="8">
          <tpl hier="2" item="0"/>
          <tpl hier="4" item="1"/>
          <tpl fld="2" item="13"/>
          <tpl fld="4" item="39"/>
          <tpl hier="9" item="4"/>
          <tpl hier="11" item="6"/>
          <tpl hier="12" item="5"/>
          <tpl fld="1" item="0"/>
        </tpls>
      </n>
      <n v="8497545728">
        <tpls c="8">
          <tpl hier="2" item="0"/>
          <tpl hier="4" item="1"/>
          <tpl fld="2" item="28"/>
          <tpl fld="4" item="34"/>
          <tpl hier="9" item="4"/>
          <tpl hier="11" item="6"/>
          <tpl hier="12" item="5"/>
          <tpl fld="1" item="0"/>
        </tpls>
      </n>
      <n v="1267778432">
        <tpls c="8">
          <tpl hier="2" item="0"/>
          <tpl hier="4" item="1"/>
          <tpl fld="2" item="12"/>
          <tpl fld="4" item="33"/>
          <tpl hier="9" item="4"/>
          <tpl hier="11" item="6"/>
          <tpl hier="12" item="5"/>
          <tpl fld="1" item="0"/>
        </tpls>
      </n>
      <n v="654314368">
        <tpls c="8">
          <tpl hier="2" item="0"/>
          <tpl hier="4" item="1"/>
          <tpl fld="2" item="27"/>
          <tpl fld="4" item="32"/>
          <tpl hier="9" item="4"/>
          <tpl hier="11" item="6"/>
          <tpl hier="12" item="5"/>
          <tpl fld="1" item="0"/>
        </tpls>
      </n>
      <n v="128637935616">
        <tpls c="8">
          <tpl hier="2" item="0"/>
          <tpl hier="4" item="1"/>
          <tpl fld="2" item="41"/>
          <tpl fld="4" item="31"/>
          <tpl hier="9" item="4"/>
          <tpl hier="11" item="6"/>
          <tpl hier="12" item="5"/>
          <tpl fld="1" item="0"/>
        </tpls>
      </n>
      <n v="13281767424">
        <tpls c="8">
          <tpl hier="2" item="0"/>
          <tpl hier="4" item="1"/>
          <tpl fld="2" item="8"/>
          <tpl fld="4" item="31"/>
          <tpl hier="9" item="4"/>
          <tpl hier="11" item="6"/>
          <tpl hier="12" item="5"/>
          <tpl fld="1" item="0"/>
        </tpls>
      </n>
      <n v="6833220096">
        <tpls c="8">
          <tpl hier="2" item="0"/>
          <tpl hier="4" item="1"/>
          <tpl fld="2" item="28"/>
          <tpl fld="4" item="30"/>
          <tpl hier="9" item="4"/>
          <tpl hier="11" item="6"/>
          <tpl hier="12" item="5"/>
          <tpl fld="1" item="0"/>
        </tpls>
      </n>
      <n v="538423168">
        <tpls c="8">
          <tpl hier="2" item="0"/>
          <tpl hier="4" item="1"/>
          <tpl fld="2" item="0"/>
          <tpl fld="4" item="30"/>
          <tpl hier="9" item="4"/>
          <tpl hier="11" item="6"/>
          <tpl hier="12" item="5"/>
          <tpl fld="1" item="0"/>
        </tpls>
      </n>
      <n v="258031747072">
        <tpls c="8">
          <tpl hier="2" item="0"/>
          <tpl hier="4" item="1"/>
          <tpl fld="2" item="25"/>
          <tpl fld="4" item="29"/>
          <tpl hier="9" item="4"/>
          <tpl hier="11" item="6"/>
          <tpl hier="12" item="5"/>
          <tpl fld="1" item="0"/>
        </tpls>
      </n>
      <n v="52544000000">
        <tpls c="8">
          <tpl hier="2" item="0"/>
          <tpl hier="4" item="1"/>
          <tpl fld="2" item="3"/>
          <tpl fld="4" item="29"/>
          <tpl hier="9" item="4"/>
          <tpl hier="11" item="6"/>
          <tpl hier="12" item="5"/>
          <tpl fld="1" item="0"/>
        </tpls>
      </n>
      <n v="54788730880">
        <tpls c="8">
          <tpl hier="2" item="0"/>
          <tpl hier="4" item="1"/>
          <tpl fld="2" item="30"/>
          <tpl fld="4" item="28"/>
          <tpl hier="9" item="4"/>
          <tpl hier="11" item="6"/>
          <tpl hier="12" item="5"/>
          <tpl fld="1" item="0"/>
        </tpls>
      </n>
      <n v="20971900928">
        <tpls c="8">
          <tpl hier="2" item="0"/>
          <tpl hier="4" item="1"/>
          <tpl fld="2" item="7"/>
          <tpl fld="4" item="28"/>
          <tpl hier="9" item="4"/>
          <tpl hier="11" item="6"/>
          <tpl hier="12" item="5"/>
          <tpl fld="1" item="0"/>
        </tpls>
      </n>
      <n v="12213729361920">
        <tpls c="8">
          <tpl hier="2" item="0"/>
          <tpl hier="4" item="1"/>
          <tpl fld="2" item="34"/>
          <tpl fld="4" item="27"/>
          <tpl hier="9" item="4"/>
          <tpl hier="11" item="6"/>
          <tpl hier="12" item="5"/>
          <tpl fld="1" item="0"/>
        </tpls>
      </n>
      <n v="3207041908736">
        <tpls c="8">
          <tpl hier="2" item="0"/>
          <tpl hier="4" item="1"/>
          <tpl fld="2" item="11"/>
          <tpl fld="4" item="27"/>
          <tpl hier="9" item="4"/>
          <tpl hier="11" item="6"/>
          <tpl hier="12" item="5"/>
          <tpl fld="1" item="0"/>
        </tpls>
      </n>
      <n v="2410909794304">
        <tpls c="8">
          <tpl hier="2" item="0"/>
          <tpl hier="4" item="1"/>
          <tpl fld="2" item="39"/>
          <tpl fld="4" item="26"/>
          <tpl hier="9" item="4"/>
          <tpl hier="11" item="6"/>
          <tpl hier="12" item="5"/>
          <tpl fld="1" item="0"/>
        </tpls>
      </n>
      <n v="601452642304">
        <tpls c="8">
          <tpl hier="2" item="0"/>
          <tpl hier="4" item="1"/>
          <tpl fld="2" item="16"/>
          <tpl fld="4" item="26"/>
          <tpl hier="9" item="4"/>
          <tpl hier="11" item="6"/>
          <tpl hier="12" item="5"/>
          <tpl fld="1" item="0"/>
        </tpls>
      </n>
      <n v="688504176640">
        <tpls c="8">
          <tpl hier="2" item="0"/>
          <tpl hier="4" item="1"/>
          <tpl fld="2" item="43"/>
          <tpl fld="4" item="25"/>
          <tpl hier="9" item="4"/>
          <tpl hier="11" item="6"/>
          <tpl hier="12" item="5"/>
          <tpl fld="1" item="0"/>
        </tpls>
      </n>
      <n v="264353005568">
        <tpls c="8">
          <tpl hier="2" item="0"/>
          <tpl hier="4" item="1"/>
          <tpl fld="2" item="23"/>
          <tpl fld="4" item="25"/>
          <tpl hier="9" item="4"/>
          <tpl hier="11" item="6"/>
          <tpl hier="12" item="5"/>
          <tpl fld="1" item="0"/>
        </tpls>
      </n>
      <n v="48114941952">
        <tpls c="8">
          <tpl hier="2" item="0"/>
          <tpl hier="4" item="1"/>
          <tpl fld="2" item="3"/>
          <tpl fld="4" item="25"/>
          <tpl hier="9" item="4"/>
          <tpl hier="11" item="6"/>
          <tpl hier="12" item="5"/>
          <tpl fld="1" item="0"/>
        </tpls>
      </n>
      <n v="392218083328">
        <tpls c="8">
          <tpl hier="2" item="0"/>
          <tpl hier="4" item="1"/>
          <tpl fld="2" item="35"/>
          <tpl fld="4" item="24"/>
          <tpl hier="9" item="4"/>
          <tpl hier="11" item="6"/>
          <tpl hier="12" item="5"/>
          <tpl fld="1" item="0"/>
        </tpls>
      </n>
      <n v="109201358848">
        <tpls c="8">
          <tpl hier="2" item="0"/>
          <tpl hier="4" item="1"/>
          <tpl fld="2" item="14"/>
          <tpl fld="4" item="24"/>
          <tpl hier="9" item="4"/>
          <tpl hier="11" item="6"/>
          <tpl hier="12" item="5"/>
          <tpl fld="1" item="0"/>
        </tpls>
      </n>
      <n v="1232076013568">
        <tpls c="8">
          <tpl hier="2" item="0"/>
          <tpl hier="4" item="1"/>
          <tpl fld="2" item="46"/>
          <tpl fld="4" item="23"/>
          <tpl hier="9" item="4"/>
          <tpl hier="11" item="6"/>
          <tpl hier="12" item="5"/>
          <tpl fld="1" item="0"/>
        </tpls>
      </n>
      <n v="642588999680">
        <tpls c="8">
          <tpl hier="2" item="0"/>
          <tpl hier="4" item="1"/>
          <tpl fld="2" item="26"/>
          <tpl fld="4" item="23"/>
          <tpl hier="9" item="4"/>
          <tpl hier="11" item="6"/>
          <tpl hier="12" item="5"/>
          <tpl fld="1" item="0"/>
        </tpls>
      </n>
      <n v="132449280000">
        <tpls c="8">
          <tpl hier="2" item="0"/>
          <tpl hier="4" item="1"/>
          <tpl fld="2" item="7"/>
          <tpl fld="4" item="23"/>
          <tpl hier="9" item="4"/>
          <tpl hier="11" item="6"/>
          <tpl hier="12" item="5"/>
          <tpl fld="1" item="0"/>
        </tpls>
      </n>
      <n v="1172614021120">
        <tpls c="8">
          <tpl hier="2" item="0"/>
          <tpl hier="4" item="1"/>
          <tpl fld="2" item="37"/>
          <tpl fld="4" item="22"/>
          <tpl hier="9" item="4"/>
          <tpl hier="11" item="6"/>
          <tpl hier="12" item="5"/>
          <tpl fld="1" item="0"/>
        </tpls>
      </n>
      <n v="199590821888">
        <tpls c="8">
          <tpl hier="2" item="0"/>
          <tpl hier="4" item="1"/>
          <tpl fld="2" item="18"/>
          <tpl fld="4" item="22"/>
          <tpl hier="9" item="4"/>
          <tpl hier="11" item="6"/>
          <tpl hier="12" item="5"/>
          <tpl fld="1" item="0"/>
        </tpls>
      </n>
      <n v="5456391719424">
        <tpls c="8">
          <tpl hier="2" item="0"/>
          <tpl hier="4" item="1"/>
          <tpl hier="5" item="3"/>
          <tpl fld="4" item="21"/>
          <tpl hier="9" item="4"/>
          <tpl hier="11" item="6"/>
          <tpl hier="12" item="5"/>
          <tpl fld="1" item="0"/>
        </tpls>
      </n>
      <n v="92537749504">
        <tpls c="8">
          <tpl hier="2" item="0"/>
          <tpl hier="4" item="1"/>
          <tpl fld="2" item="32"/>
          <tpl fld="4" item="21"/>
          <tpl hier="9" item="4"/>
          <tpl hier="11" item="6"/>
          <tpl hier="12" item="5"/>
          <tpl fld="1" item="0"/>
        </tpls>
      </n>
      <n v="19749361664">
        <tpls c="8">
          <tpl hier="2" item="0"/>
          <tpl hier="4" item="1"/>
          <tpl fld="2" item="14"/>
          <tpl fld="4" item="21"/>
          <tpl hier="9" item="4"/>
          <tpl hier="11" item="6"/>
          <tpl hier="12" item="5"/>
          <tpl fld="1" item="0"/>
        </tpls>
      </n>
      <n v="221357867008">
        <tpls c="8">
          <tpl hier="2" item="0"/>
          <tpl hier="4" item="1"/>
          <tpl fld="2" item="47"/>
          <tpl fld="4" item="20"/>
          <tpl hier="9" item="4"/>
          <tpl hier="11" item="6"/>
          <tpl hier="12" item="5"/>
          <tpl fld="1" item="0"/>
        </tpls>
      </n>
      <n v="117016535040">
        <tpls c="8">
          <tpl hier="2" item="0"/>
          <tpl hier="4" item="1"/>
          <tpl fld="2" item="27"/>
          <tpl fld="4" item="20"/>
          <tpl hier="9" item="4"/>
          <tpl hier="11" item="6"/>
          <tpl hier="12" item="5"/>
          <tpl fld="1" item="0"/>
        </tpls>
      </n>
      <n v="26622818304">
        <tpls c="8">
          <tpl hier="2" item="0"/>
          <tpl hier="4" item="1"/>
          <tpl fld="2" item="9"/>
          <tpl fld="4" item="20"/>
          <tpl hier="9" item="4"/>
          <tpl hier="11" item="6"/>
          <tpl hier="12" item="5"/>
          <tpl fld="1" item="0"/>
        </tpls>
      </n>
      <n v="522761535488">
        <tpls c="8">
          <tpl hier="2" item="0"/>
          <tpl hier="4" item="1"/>
          <tpl fld="2" item="43"/>
          <tpl fld="4" item="19"/>
          <tpl hier="9" item="4"/>
          <tpl hier="11" item="6"/>
          <tpl hier="12" item="5"/>
          <tpl fld="1" item="0"/>
        </tpls>
      </n>
      <n v="163520102400">
        <tpls c="8">
          <tpl hier="2" item="0"/>
          <tpl hier="4" item="1"/>
          <tpl fld="2" item="26"/>
          <tpl fld="4" item="19"/>
          <tpl hier="9" item="4"/>
          <tpl hier="11" item="6"/>
          <tpl hier="12" item="5"/>
          <tpl fld="1" item="0"/>
        </tpls>
      </n>
      <n v="53132242944">
        <tpls c="8">
          <tpl hier="2" item="0"/>
          <tpl hier="4" item="1"/>
          <tpl fld="2" item="9"/>
          <tpl fld="4" item="19"/>
          <tpl hier="9" item="4"/>
          <tpl hier="11" item="6"/>
          <tpl hier="12" item="5"/>
          <tpl fld="1" item="0"/>
        </tpls>
      </n>
      <n v="200921939968">
        <tpls c="8">
          <tpl hier="2" item="0"/>
          <tpl hier="4" item="1"/>
          <tpl fld="2" item="44"/>
          <tpl fld="4" item="18"/>
          <tpl hier="9" item="4"/>
          <tpl hier="11" item="6"/>
          <tpl hier="12" item="5"/>
          <tpl fld="1" item="0"/>
        </tpls>
      </n>
      <n v="56227168256">
        <tpls c="8">
          <tpl hier="2" item="0"/>
          <tpl hier="4" item="1"/>
          <tpl fld="2" item="28"/>
          <tpl fld="4" item="18"/>
          <tpl hier="9" item="4"/>
          <tpl hier="11" item="6"/>
          <tpl hier="12" item="5"/>
          <tpl fld="1" item="0"/>
        </tpls>
      </n>
      <n v="24164603904">
        <tpls c="8">
          <tpl hier="2" item="0"/>
          <tpl hier="4" item="1"/>
          <tpl fld="2" item="12"/>
          <tpl fld="4" item="18"/>
          <tpl hier="9" item="4"/>
          <tpl hier="11" item="6"/>
          <tpl hier="12" item="5"/>
          <tpl fld="1" item="0"/>
        </tpls>
      </n>
      <n v="833869643776">
        <tpls c="8">
          <tpl hier="2" item="0"/>
          <tpl hier="4" item="1"/>
          <tpl fld="2" item="47"/>
          <tpl fld="4" item="17"/>
          <tpl hier="9" item="4"/>
          <tpl hier="11" item="6"/>
          <tpl hier="12" item="5"/>
          <tpl fld="1" item="0"/>
        </tpls>
      </n>
      <n v="431213412352">
        <tpls c="8">
          <tpl hier="2" item="0"/>
          <tpl hier="4" item="1"/>
          <tpl fld="2" item="31"/>
          <tpl fld="4" item="17"/>
          <tpl hier="9" item="4"/>
          <tpl hier="11" item="6"/>
          <tpl hier="12" item="5"/>
          <tpl fld="1" item="0"/>
        </tpls>
      </n>
      <n v="143845818368">
        <tpls c="8">
          <tpl hier="2" item="0"/>
          <tpl hier="4" item="1"/>
          <tpl fld="2" item="15"/>
          <tpl fld="4" item="17"/>
          <tpl hier="9" item="4"/>
          <tpl hier="11" item="6"/>
          <tpl hier="12" item="5"/>
          <tpl fld="1" item="0"/>
        </tpls>
      </n>
      <n v="227971264032">
        <tpls c="8">
          <tpl hier="2" item="0"/>
          <tpl hier="4" item="1"/>
          <tpl hier="5" item="3"/>
          <tpl fld="4" item="16"/>
          <tpl hier="9" item="4"/>
          <tpl hier="11" item="6"/>
          <tpl hier="12" item="5"/>
          <tpl fld="1" item="0"/>
        </tpls>
      </n>
      <n v="6044382208">
        <tpls c="8">
          <tpl hier="2" item="0"/>
          <tpl hier="4" item="1"/>
          <tpl fld="2" item="34"/>
          <tpl fld="4" item="16"/>
          <tpl hier="9" item="4"/>
          <tpl hier="11" item="6"/>
          <tpl hier="12" item="5"/>
          <tpl fld="1" item="0"/>
        </tpls>
      </n>
      <n v="2019474304">
        <tpls c="8">
          <tpl hier="2" item="0"/>
          <tpl hier="4" item="1"/>
          <tpl fld="2" item="18"/>
          <tpl fld="4" item="16"/>
          <tpl hier="9" item="4"/>
          <tpl hier="11" item="6"/>
          <tpl hier="12" item="5"/>
          <tpl fld="1" item="0"/>
        </tpls>
      </n>
      <n v="295118240">
        <tpls c="8">
          <tpl hier="2" item="0"/>
          <tpl hier="4" item="1"/>
          <tpl fld="2" item="2"/>
          <tpl fld="4" item="16"/>
          <tpl hier="9" item="4"/>
          <tpl hier="11" item="6"/>
          <tpl hier="12" item="5"/>
          <tpl fld="1" item="0"/>
        </tpls>
      </n>
      <n v="50888134656">
        <tpls c="8">
          <tpl hier="2" item="0"/>
          <tpl hier="4" item="1"/>
          <tpl fld="2" item="37"/>
          <tpl fld="4" item="15"/>
          <tpl hier="9" item="4"/>
          <tpl hier="11" item="6"/>
          <tpl hier="12" item="5"/>
          <tpl fld="1" item="0"/>
        </tpls>
      </n>
      <n v="14321879040">
        <tpls c="8">
          <tpl hier="2" item="0"/>
          <tpl hier="4" item="1"/>
          <tpl fld="2" item="21"/>
          <tpl fld="4" item="15"/>
          <tpl hier="9" item="4"/>
          <tpl hier="11" item="6"/>
          <tpl hier="12" item="5"/>
          <tpl fld="1" item="0"/>
        </tpls>
      </n>
      <n v="3233431552">
        <tpls c="8">
          <tpl hier="2" item="0"/>
          <tpl hier="4" item="1"/>
          <tpl fld="2" item="5"/>
          <tpl fld="4" item="15"/>
          <tpl hier="9" item="4"/>
          <tpl hier="11" item="6"/>
          <tpl hier="12" item="5"/>
          <tpl fld="1" item="0"/>
        </tpls>
      </n>
      <n v="5700097933312">
        <tpls c="8">
          <tpl hier="2" item="0"/>
          <tpl hier="4" item="1"/>
          <tpl fld="2" item="40"/>
          <tpl fld="4" item="14"/>
          <tpl hier="9" item="4"/>
          <tpl hier="11" item="6"/>
          <tpl hier="12" item="5"/>
          <tpl fld="1" item="0"/>
        </tpls>
      </n>
      <n v="4907039457280">
        <tpls c="8">
          <tpl hier="2" item="0"/>
          <tpl hier="4" item="1"/>
          <tpl fld="2" item="24"/>
          <tpl fld="4" item="14"/>
          <tpl hier="9" item="4"/>
          <tpl hier="11" item="6"/>
          <tpl hier="12" item="5"/>
          <tpl fld="1" item="0"/>
        </tpls>
      </n>
      <n v="1013612150784">
        <tpls c="8">
          <tpl hier="2" item="0"/>
          <tpl hier="4" item="1"/>
          <tpl fld="2" item="8"/>
          <tpl fld="4" item="14"/>
          <tpl hier="9" item="4"/>
          <tpl hier="11" item="6"/>
          <tpl hier="12" item="5"/>
          <tpl fld="1" item="0"/>
        </tpls>
      </n>
      <n v="2141315268608">
        <tpls c="8">
          <tpl hier="2" item="0"/>
          <tpl hier="4" item="1"/>
          <tpl fld="2" item="43"/>
          <tpl fld="4" item="13"/>
          <tpl hier="9" item="4"/>
          <tpl hier="11" item="6"/>
          <tpl hier="12" item="5"/>
          <tpl fld="1" item="0"/>
        </tpls>
      </n>
      <n v="1241879543808">
        <tpls c="8">
          <tpl hier="2" item="0"/>
          <tpl hier="4" item="1"/>
          <tpl fld="2" item="27"/>
          <tpl fld="4" item="13"/>
          <tpl hier="9" item="4"/>
          <tpl hier="11" item="6"/>
          <tpl hier="12" item="5"/>
          <tpl fld="1" item="0"/>
        </tpls>
      </n>
      <n v="430702854144">
        <tpls c="8">
          <tpl hier="2" item="0"/>
          <tpl hier="4" item="1"/>
          <tpl fld="2" item="11"/>
          <tpl fld="4" item="13"/>
          <tpl hier="9" item="4"/>
          <tpl hier="11" item="6"/>
          <tpl hier="12" item="5"/>
          <tpl fld="1" item="0"/>
        </tpls>
      </n>
      <n v="318950604800">
        <tpls c="8">
          <tpl hier="2" item="0"/>
          <tpl hier="4" item="1"/>
          <tpl fld="2" item="46"/>
          <tpl fld="4" item="12"/>
          <tpl hier="9" item="4"/>
          <tpl hier="11" item="6"/>
          <tpl hier="12" item="5"/>
          <tpl fld="1" item="0"/>
        </tpls>
      </n>
      <n v="132343046144">
        <tpls c="8">
          <tpl hier="2" item="0"/>
          <tpl hier="4" item="1"/>
          <tpl fld="2" item="30"/>
          <tpl fld="4" item="12"/>
          <tpl hier="9" item="4"/>
          <tpl hier="11" item="6"/>
          <tpl hier="12" item="5"/>
          <tpl fld="1" item="0"/>
        </tpls>
      </n>
      <n v="29160458240">
        <tpls c="8">
          <tpl hier="2" item="0"/>
          <tpl hier="4" item="1"/>
          <tpl fld="2" item="14"/>
          <tpl fld="4" item="12"/>
          <tpl hier="9" item="4"/>
          <tpl hier="11" item="6"/>
          <tpl hier="12" item="5"/>
          <tpl fld="1" item="0"/>
        </tpls>
      </n>
      <n v="388698701824">
        <tpls c="8">
          <tpl hier="2" item="0"/>
          <tpl hier="4" item="1"/>
          <tpl fld="2" item="49"/>
          <tpl fld="4" item="11"/>
          <tpl hier="9" item="4"/>
          <tpl hier="11" item="6"/>
          <tpl hier="12" item="5"/>
          <tpl fld="1" item="0"/>
        </tpls>
      </n>
      <n v="164284694528">
        <tpls c="8">
          <tpl hier="2" item="0"/>
          <tpl hier="4" item="1"/>
          <tpl fld="2" item="33"/>
          <tpl fld="4" item="11"/>
          <tpl hier="9" item="4"/>
          <tpl hier="11" item="6"/>
          <tpl hier="12" item="5"/>
          <tpl fld="1" item="0"/>
        </tpls>
      </n>
      <n v="33961142272">
        <tpls c="8">
          <tpl hier="2" item="0"/>
          <tpl hier="4" item="1"/>
          <tpl fld="2" item="17"/>
          <tpl fld="4" item="11"/>
          <tpl hier="9" item="4"/>
          <tpl hier="11" item="6"/>
          <tpl hier="12" item="5"/>
          <tpl fld="1" item="0"/>
        </tpls>
      </n>
      <n v="5104355328">
        <tpls c="8">
          <tpl hier="2" item="0"/>
          <tpl hier="4" item="1"/>
          <tpl fld="2" item="1"/>
          <tpl fld="4" item="11"/>
          <tpl hier="9" item="4"/>
          <tpl hier="11" item="6"/>
          <tpl hier="12" item="5"/>
          <tpl fld="1" item="0"/>
        </tpls>
      </n>
      <n v="17216419840">
        <tpls c="8">
          <tpl hier="2" item="0"/>
          <tpl hier="4" item="1"/>
          <tpl fld="2" item="36"/>
          <tpl fld="4" item="10"/>
          <tpl hier="9" item="4"/>
          <tpl hier="11" item="6"/>
          <tpl hier="12" item="5"/>
          <tpl fld="1" item="0"/>
        </tpls>
      </n>
      <n v="6478459904">
        <tpls c="8">
          <tpl hier="2" item="0"/>
          <tpl hier="4" item="1"/>
          <tpl fld="2" item="20"/>
          <tpl fld="4" item="10"/>
          <tpl hier="9" item="4"/>
          <tpl hier="11" item="6"/>
          <tpl hier="12" item="5"/>
          <tpl fld="1" item="0"/>
        </tpls>
      </n>
      <n v="1517467776">
        <tpls c="8">
          <tpl hier="2" item="0"/>
          <tpl hier="4" item="1"/>
          <tpl fld="2" item="4"/>
          <tpl fld="4" item="10"/>
          <tpl hier="9" item="4"/>
          <tpl hier="11" item="6"/>
          <tpl hier="12" item="5"/>
          <tpl fld="1" item="0"/>
        </tpls>
      </n>
      <n v="330000236544">
        <tpls c="8">
          <tpl hier="2" item="0"/>
          <tpl hier="4" item="1"/>
          <tpl fld="2" item="39"/>
          <tpl fld="4" item="9"/>
          <tpl hier="9" item="4"/>
          <tpl hier="11" item="6"/>
          <tpl hier="12" item="5"/>
          <tpl fld="1" item="0"/>
        </tpls>
      </n>
      <n v="108809060352">
        <tpls c="8">
          <tpl hier="2" item="0"/>
          <tpl hier="4" item="1"/>
          <tpl fld="2" item="23"/>
          <tpl fld="4" item="9"/>
          <tpl hier="9" item="4"/>
          <tpl hier="11" item="6"/>
          <tpl hier="12" item="5"/>
          <tpl fld="1" item="0"/>
        </tpls>
      </n>
      <n v="36176232448">
        <tpls c="8">
          <tpl hier="2" item="0"/>
          <tpl hier="4" item="1"/>
          <tpl fld="2" item="7"/>
          <tpl fld="4" item="9"/>
          <tpl hier="9" item="4"/>
          <tpl hier="11" item="6"/>
          <tpl hier="12" item="5"/>
          <tpl fld="1" item="0"/>
        </tpls>
      </n>
      <n v="3527344914432">
        <tpls c="8">
          <tpl hier="2" item="0"/>
          <tpl hier="4" item="1"/>
          <tpl fld="2" item="42"/>
          <tpl fld="4" item="8"/>
          <tpl hier="9" item="4"/>
          <tpl hier="11" item="6"/>
          <tpl hier="12" item="5"/>
          <tpl fld="1" item="0"/>
        </tpls>
      </n>
      <n v="2497244561408">
        <tpls c="8">
          <tpl hier="2" item="0"/>
          <tpl hier="4" item="1"/>
          <tpl fld="2" item="26"/>
          <tpl fld="4" item="8"/>
          <tpl hier="9" item="4"/>
          <tpl hier="11" item="6"/>
          <tpl hier="12" item="5"/>
          <tpl fld="1" item="0"/>
        </tpls>
      </n>
      <n v="950290874368">
        <tpls c="8">
          <tpl hier="2" item="0"/>
          <tpl hier="4" item="1"/>
          <tpl fld="2" item="10"/>
          <tpl fld="4" item="8"/>
          <tpl hier="9" item="4"/>
          <tpl hier="11" item="6"/>
          <tpl hier="12" item="5"/>
          <tpl fld="1" item="0"/>
        </tpls>
      </n>
      <n v="2438207897600">
        <tpls c="8">
          <tpl hier="2" item="0"/>
          <tpl hier="4" item="1"/>
          <tpl fld="2" item="45"/>
          <tpl fld="4" item="7"/>
          <tpl hier="9" item="4"/>
          <tpl hier="11" item="6"/>
          <tpl hier="12" item="5"/>
          <tpl fld="1" item="0"/>
        </tpls>
      </n>
      <n v="1492647542784">
        <tpls c="8">
          <tpl hier="2" item="0"/>
          <tpl hier="4" item="1"/>
          <tpl fld="2" item="29"/>
          <tpl fld="4" item="7"/>
          <tpl hier="9" item="4"/>
          <tpl hier="11" item="6"/>
          <tpl hier="12" item="5"/>
          <tpl fld="1" item="0"/>
        </tpls>
      </n>
      <n v="559869198336">
        <tpls c="8">
          <tpl hier="2" item="0"/>
          <tpl hier="4" item="1"/>
          <tpl fld="2" item="13"/>
          <tpl fld="4" item="7"/>
          <tpl hier="9" item="4"/>
          <tpl hier="11" item="6"/>
          <tpl hier="12" item="5"/>
          <tpl fld="1" item="0"/>
        </tpls>
      </n>
      <n v="275893682176">
        <tpls c="8">
          <tpl hier="2" item="0"/>
          <tpl hier="4" item="1"/>
          <tpl fld="2" item="48"/>
          <tpl fld="4" item="6"/>
          <tpl hier="9" item="4"/>
          <tpl hier="11" item="6"/>
          <tpl hier="12" item="5"/>
          <tpl fld="1" item="0"/>
        </tpls>
      </n>
      <n v="139738382336">
        <tpls c="8">
          <tpl hier="2" item="0"/>
          <tpl hier="4" item="1"/>
          <tpl fld="2" item="32"/>
          <tpl fld="4" item="6"/>
          <tpl hier="9" item="4"/>
          <tpl hier="11" item="6"/>
          <tpl hier="12" item="5"/>
          <tpl fld="1" item="0"/>
        </tpls>
      </n>
      <n v="73531547648">
        <tpls c="8">
          <tpl hier="2" item="0"/>
          <tpl hier="4" item="1"/>
          <tpl fld="2" item="16"/>
          <tpl fld="4" item="6"/>
          <tpl hier="9" item="4"/>
          <tpl hier="11" item="6"/>
          <tpl hier="12" item="5"/>
          <tpl fld="1" item="0"/>
        </tpls>
      </n>
      <n v="11357516800">
        <tpls c="8">
          <tpl hier="2" item="0"/>
          <tpl hier="4" item="1"/>
          <tpl fld="2" item="0"/>
          <tpl fld="4" item="6"/>
          <tpl hier="9" item="4"/>
          <tpl hier="11" item="6"/>
          <tpl hier="12" item="5"/>
          <tpl fld="1" item="0"/>
        </tpls>
      </n>
      <n v="264467333120">
        <tpls c="8">
          <tpl hier="2" item="0"/>
          <tpl hier="4" item="1"/>
          <tpl fld="2" item="35"/>
          <tpl fld="4" item="5"/>
          <tpl hier="9" item="4"/>
          <tpl hier="11" item="6"/>
          <tpl hier="12" item="5"/>
          <tpl fld="1" item="0"/>
        </tpls>
      </n>
      <n v="112409223168">
        <tpls c="8">
          <tpl hier="2" item="0"/>
          <tpl hier="4" item="1"/>
          <tpl fld="2" item="19"/>
          <tpl fld="4" item="5"/>
          <tpl hier="9" item="4"/>
          <tpl hier="11" item="6"/>
          <tpl hier="12" item="5"/>
          <tpl fld="1" item="0"/>
        </tpls>
      </n>
      <n v="30730627072">
        <tpls c="8">
          <tpl hier="2" item="0"/>
          <tpl hier="4" item="1"/>
          <tpl fld="2" item="3"/>
          <tpl fld="4" item="5"/>
          <tpl hier="9" item="4"/>
          <tpl hier="11" item="6"/>
          <tpl hier="12" item="5"/>
          <tpl fld="1" item="0"/>
        </tpls>
      </n>
      <n v="1549131186176">
        <tpls c="8">
          <tpl hier="2" item="0"/>
          <tpl hier="4" item="1"/>
          <tpl fld="2" item="38"/>
          <tpl fld="4" item="4"/>
          <tpl hier="9" item="4"/>
          <tpl hier="11" item="6"/>
          <tpl hier="12" item="5"/>
          <tpl fld="1" item="0"/>
        </tpls>
      </n>
      <n v="592387702784">
        <tpls c="8">
          <tpl hier="2" item="0"/>
          <tpl hier="4" item="1"/>
          <tpl fld="2" item="22"/>
          <tpl fld="4" item="4"/>
          <tpl hier="9" item="4"/>
          <tpl hier="11" item="6"/>
          <tpl hier="12" item="5"/>
          <tpl fld="1" item="0"/>
        </tpls>
      </n>
      <n v="206575566848">
        <tpls c="8">
          <tpl hier="2" item="0"/>
          <tpl hier="4" item="1"/>
          <tpl fld="2" item="6"/>
          <tpl fld="4" item="4"/>
          <tpl hier="9" item="4"/>
          <tpl hier="11" item="6"/>
          <tpl hier="12" item="5"/>
          <tpl fld="1" item="0"/>
        </tpls>
      </n>
      <n v="522645504000">
        <tpls c="8">
          <tpl hier="2" item="0"/>
          <tpl hier="4" item="1"/>
          <tpl fld="2" item="41"/>
          <tpl fld="4" item="3"/>
          <tpl hier="9" item="4"/>
          <tpl hier="11" item="6"/>
          <tpl hier="12" item="5"/>
          <tpl fld="1" item="0"/>
        </tpls>
      </n>
      <n v="288025575424">
        <tpls c="8">
          <tpl hier="2" item="0"/>
          <tpl hier="4" item="1"/>
          <tpl fld="2" item="25"/>
          <tpl fld="4" item="3"/>
          <tpl hier="9" item="4"/>
          <tpl hier="11" item="6"/>
          <tpl hier="12" item="5"/>
          <tpl fld="1" item="0"/>
        </tpls>
      </n>
      <n v="116315455488">
        <tpls c="8">
          <tpl hier="2" item="0"/>
          <tpl hier="4" item="1"/>
          <tpl fld="2" item="9"/>
          <tpl fld="4" item="3"/>
          <tpl hier="9" item="4"/>
          <tpl hier="11" item="6"/>
          <tpl hier="12" item="5"/>
          <tpl fld="1" item="0"/>
        </tpls>
      </n>
      <n v="441996115968">
        <tpls c="8">
          <tpl hier="2" item="0"/>
          <tpl hier="4" item="1"/>
          <tpl fld="2" item="44"/>
          <tpl fld="4" item="2"/>
          <tpl hier="9" item="4"/>
          <tpl hier="11" item="6"/>
          <tpl hier="12" item="5"/>
          <tpl fld="1" item="0"/>
        </tpls>
      </n>
      <n v="218259898368">
        <tpls c="8">
          <tpl hier="2" item="0"/>
          <tpl hier="4" item="1"/>
          <tpl fld="2" item="28"/>
          <tpl fld="4" item="2"/>
          <tpl hier="9" item="4"/>
          <tpl hier="11" item="6"/>
          <tpl hier="12" item="5"/>
          <tpl fld="1" item="0"/>
        </tpls>
      </n>
      <n v="71275290624">
        <tpls c="8">
          <tpl hier="2" item="0"/>
          <tpl hier="4" item="1"/>
          <tpl fld="2" item="12"/>
          <tpl fld="4" item="2"/>
          <tpl hier="9" item="4"/>
          <tpl hier="11" item="6"/>
          <tpl hier="12" item="5"/>
          <tpl fld="1" item="0"/>
        </tpls>
      </n>
      <n v="1330135695360">
        <tpls c="8">
          <tpl hier="2" item="0"/>
          <tpl hier="4" item="1"/>
          <tpl fld="2" item="47"/>
          <tpl fld="4" item="1"/>
          <tpl hier="9" item="4"/>
          <tpl hier="11" item="6"/>
          <tpl hier="12" item="5"/>
          <tpl fld="1" item="0"/>
        </tpls>
      </n>
      <n v="378376093696">
        <tpls c="8">
          <tpl hier="2" item="0"/>
          <tpl hier="4" item="1"/>
          <tpl fld="2" item="31"/>
          <tpl fld="4" item="1"/>
          <tpl hier="9" item="4"/>
          <tpl hier="11" item="6"/>
          <tpl hier="12" item="5"/>
          <tpl fld="1" item="0"/>
        </tpls>
      </n>
      <n v="180234715136">
        <tpls c="8">
          <tpl hier="2" item="0"/>
          <tpl hier="4" item="1"/>
          <tpl fld="2" item="15"/>
          <tpl fld="4" item="1"/>
          <tpl hier="9" item="4"/>
          <tpl hier="11" item="6"/>
          <tpl hier="12" item="5"/>
          <tpl fld="1" item="0"/>
        </tpls>
      </n>
      <n v="78381739792">
        <tpls c="8">
          <tpl hier="2" item="0"/>
          <tpl hier="4" item="1"/>
          <tpl hier="5" item="3"/>
          <tpl fld="4" item="0"/>
          <tpl hier="9" item="4"/>
          <tpl hier="11" item="6"/>
          <tpl hier="12" item="5"/>
          <tpl fld="1" item="0"/>
        </tpls>
      </n>
      <n v="2894921728">
        <tpls c="8">
          <tpl hier="2" item="0"/>
          <tpl hier="4" item="1"/>
          <tpl fld="2" item="34"/>
          <tpl fld="4" item="0"/>
          <tpl hier="9" item="4"/>
          <tpl hier="11" item="6"/>
          <tpl hier="12" item="5"/>
          <tpl fld="1" item="0"/>
        </tpls>
      </n>
      <n v="721425920">
        <tpls c="8">
          <tpl hier="2" item="0"/>
          <tpl hier="4" item="1"/>
          <tpl fld="2" item="18"/>
          <tpl fld="4" item="0"/>
          <tpl hier="9" item="4"/>
          <tpl hier="11" item="6"/>
          <tpl hier="12" item="5"/>
          <tpl fld="1" item="0"/>
        </tpls>
      </n>
      <n v="113408232">
        <tpls c="8">
          <tpl hier="2" item="0"/>
          <tpl hier="4" item="1"/>
          <tpl fld="2" item="2"/>
          <tpl fld="4" item="0"/>
          <tpl hier="9" item="4"/>
          <tpl hier="11" item="6"/>
          <tpl hier="12" item="5"/>
          <tpl fld="1" item="0"/>
        </tpls>
      </n>
      <n v="3550342545408">
        <tpls c="8">
          <tpl hier="2" item="0"/>
          <tpl hier="4" item="1"/>
          <tpl fld="2" item="37"/>
          <tpl fld="3" item="0"/>
          <tpl hier="9" item="4"/>
          <tpl hier="11" item="6"/>
          <tpl hier="12" item="5"/>
          <tpl fld="1" item="0"/>
        </tpls>
      </n>
      <n v="383373312000">
        <tpls c="8">
          <tpl hier="2" item="0"/>
          <tpl hier="4" item="1"/>
          <tpl fld="2" item="21"/>
          <tpl fld="3" item="0"/>
          <tpl hier="9" item="4"/>
          <tpl hier="11" item="6"/>
          <tpl hier="12" item="5"/>
          <tpl fld="1" item="0"/>
        </tpls>
      </n>
      <n v="163431546880">
        <tpls c="8">
          <tpl hier="2" item="0"/>
          <tpl hier="4" item="1"/>
          <tpl fld="2" item="5"/>
          <tpl fld="3" item="0"/>
          <tpl hier="9" item="4"/>
          <tpl hier="11" item="6"/>
          <tpl hier="12" item="5"/>
          <tpl fld="1" item="0"/>
        </tpls>
      </n>
      <n v="413800000">
        <tpls c="8">
          <tpl hier="2" item="0"/>
          <tpl hier="4" item="1"/>
          <tpl fld="2" item="18"/>
          <tpl fld="4" item="57"/>
          <tpl hier="9" item="4"/>
          <tpl hier="11" item="6"/>
          <tpl hier="12" item="5"/>
          <tpl fld="1" item="0"/>
        </tpls>
      </n>
      <n v="11784927232">
        <tpls c="8">
          <tpl hier="2" item="0"/>
          <tpl hier="4" item="1"/>
          <tpl fld="2" item="30"/>
          <tpl fld="4" item="50"/>
          <tpl hier="9" item="4"/>
          <tpl hier="11" item="6"/>
          <tpl hier="12" item="5"/>
          <tpl fld="1" item="0"/>
        </tpls>
      </n>
      <n v="8227343872">
        <tpls c="8">
          <tpl hier="2" item="0"/>
          <tpl hier="4" item="1"/>
          <tpl fld="2" item="22"/>
          <tpl fld="4" item="44"/>
          <tpl hier="9" item="4"/>
          <tpl hier="11" item="6"/>
          <tpl hier="12" item="5"/>
          <tpl fld="1" item="0"/>
        </tpls>
      </n>
      <n v="3036931840">
        <tpls c="8">
          <tpl hier="2" item="0"/>
          <tpl hier="4" item="1"/>
          <tpl fld="2" item="48"/>
          <tpl fld="4" item="38"/>
          <tpl hier="9" item="4"/>
          <tpl hier="11" item="6"/>
          <tpl hier="12" item="5"/>
          <tpl fld="1" item="0"/>
        </tpls>
      </n>
      <n v="3958338816">
        <tpls c="8">
          <tpl hier="2" item="0"/>
          <tpl hier="4" item="1"/>
          <tpl fld="2" item="16"/>
          <tpl fld="4" item="34"/>
          <tpl hier="9" item="4"/>
          <tpl hier="11" item="6"/>
          <tpl hier="12" item="5"/>
          <tpl fld="1" item="0"/>
        </tpls>
      </n>
      <n v="1291120000">
        <tpls c="8">
          <tpl hier="2" item="0"/>
          <tpl hier="4" item="1"/>
          <tpl fld="2" item="11"/>
          <tpl fld="4" item="33"/>
          <tpl hier="9" item="4"/>
          <tpl hier="11" item="6"/>
          <tpl hier="12" item="5"/>
          <tpl fld="1" item="0"/>
        </tpls>
      </n>
      <n v="641383808">
        <tpls c="8">
          <tpl hier="2" item="0"/>
          <tpl hier="4" item="1"/>
          <tpl fld="2" item="26"/>
          <tpl fld="4" item="32"/>
          <tpl hier="9" item="4"/>
          <tpl hier="11" item="6"/>
          <tpl hier="12" item="5"/>
          <tpl fld="1" item="0"/>
        </tpls>
      </n>
      <n v="115279077376">
        <tpls c="8">
          <tpl hier="2" item="0"/>
          <tpl hier="4" item="1"/>
          <tpl fld="2" item="40"/>
          <tpl fld="4" item="31"/>
          <tpl hier="9" item="4"/>
          <tpl hier="11" item="6"/>
          <tpl hier="12" item="5"/>
          <tpl fld="1" item="0"/>
        </tpls>
      </n>
      <n v="19448348672">
        <tpls c="8">
          <tpl hier="2" item="0"/>
          <tpl hier="4" item="1"/>
          <tpl fld="2" item="5"/>
          <tpl fld="4" item="31"/>
          <tpl hier="9" item="4"/>
          <tpl hier="11" item="6"/>
          <tpl hier="12" item="5"/>
          <tpl fld="1" item="0"/>
        </tpls>
      </n>
      <n v="6332360192">
        <tpls c="8">
          <tpl hier="2" item="0"/>
          <tpl hier="4" item="1"/>
          <tpl fld="2" item="27"/>
          <tpl fld="4" item="30"/>
          <tpl hier="9" item="4"/>
          <tpl hier="11" item="6"/>
          <tpl hier="12" item="5"/>
          <tpl fld="1" item="0"/>
        </tpls>
      </n>
      <n v="519871528960">
        <tpls c="8">
          <tpl hier="2" item="0"/>
          <tpl hier="4" item="1"/>
          <tpl fld="2" item="48"/>
          <tpl fld="4" item="29"/>
          <tpl hier="9" item="4"/>
          <tpl hier="11" item="6"/>
          <tpl hier="12" item="5"/>
          <tpl fld="1" item="0"/>
        </tpls>
      </n>
      <n v="257440006144">
        <tpls c="8">
          <tpl hier="2" item="0"/>
          <tpl hier="4" item="1"/>
          <tpl fld="2" item="24"/>
          <tpl fld="4" item="29"/>
          <tpl hier="9" item="4"/>
          <tpl hier="11" item="6"/>
          <tpl hier="12" item="5"/>
          <tpl fld="1" item="0"/>
        </tpls>
      </n>
      <n v="31584210944">
        <tpls c="8">
          <tpl hier="2" item="0"/>
          <tpl hier="4" item="1"/>
          <tpl fld="2" item="0"/>
          <tpl fld="4" item="29"/>
          <tpl hier="9" item="4"/>
          <tpl hier="11" item="6"/>
          <tpl hier="12" item="5"/>
          <tpl fld="1" item="0"/>
        </tpls>
      </n>
      <n v="48187748352">
        <tpls c="8">
          <tpl hier="2" item="0"/>
          <tpl hier="4" item="1"/>
          <tpl fld="2" item="28"/>
          <tpl fld="4" item="28"/>
          <tpl hier="9" item="4"/>
          <tpl hier="11" item="6"/>
          <tpl hier="12" item="5"/>
          <tpl fld="1" item="0"/>
        </tpls>
      </n>
      <n v="17728348160">
        <tpls c="8">
          <tpl hier="2" item="0"/>
          <tpl hier="4" item="1"/>
          <tpl fld="2" item="6"/>
          <tpl fld="4" item="28"/>
          <tpl hier="9" item="4"/>
          <tpl hier="11" item="6"/>
          <tpl hier="12" item="5"/>
          <tpl fld="1" item="0"/>
        </tpls>
      </n>
      <n v="17784113152">
        <tpls c="8">
          <tpl hier="2" item="0"/>
          <tpl hier="4" item="1"/>
          <tpl fld="2" item="13"/>
          <tpl fld="4" item="21"/>
          <tpl hier="9" item="4"/>
          <tpl hier="11" item="6"/>
          <tpl hier="12" item="5"/>
          <tpl fld="1" item="0"/>
        </tpls>
      </n>
      <n v="4401259520">
        <tpls c="8">
          <tpl hier="2" item="0"/>
          <tpl hier="4" item="1"/>
          <tpl fld="2" item="0"/>
          <tpl fld="4" item="11"/>
          <tpl hier="9" item="4"/>
          <tpl hier="11" item="6"/>
          <tpl hier="12" item="5"/>
          <tpl fld="1" item="0"/>
        </tpls>
      </n>
      <n v="2642609438720">
        <tpls c="8">
          <tpl hier="2" item="0"/>
          <tpl hier="4" item="1"/>
          <tpl fld="2" item="40"/>
          <tpl fld="4" item="7"/>
          <tpl hier="9" item="4"/>
          <tpl hier="11" item="6"/>
          <tpl hier="12" item="5"/>
          <tpl fld="1" item="0"/>
        </tpls>
      </n>
      <n v="251373010944">
        <tpls c="8">
          <tpl hier="2" item="0"/>
          <tpl hier="4" item="1"/>
          <tpl fld="2" item="34"/>
          <tpl fld="4" item="5"/>
          <tpl hier="9" item="4"/>
          <tpl hier="11" item="6"/>
          <tpl hier="12" item="5"/>
          <tpl fld="1" item="0"/>
        </tpls>
      </n>
      <n v="652823887872">
        <tpls c="8">
          <tpl hier="2" item="0"/>
          <tpl hier="4" item="1"/>
          <tpl fld="2" item="27"/>
          <tpl fld="4" item="4"/>
          <tpl hier="9" item="4"/>
          <tpl hier="11" item="6"/>
          <tpl hier="12" item="5"/>
          <tpl fld="1" item="0"/>
        </tpls>
      </n>
      <n v="234781655040">
        <tpls c="8">
          <tpl hier="2" item="0"/>
          <tpl hier="4" item="1"/>
          <tpl fld="2" item="22"/>
          <tpl fld="4" item="3"/>
          <tpl hier="9" item="4"/>
          <tpl hier="11" item="6"/>
          <tpl hier="12" item="5"/>
          <tpl fld="1" item="0"/>
        </tpls>
      </n>
      <n v="17858486272">
        <tpls c="8">
          <tpl hier="2" item="0"/>
          <tpl hier="4" item="1"/>
          <tpl fld="2" item="1"/>
          <tpl fld="4" item="2"/>
          <tpl hier="9" item="4"/>
          <tpl hier="11" item="6"/>
          <tpl hier="12" item="5"/>
          <tpl fld="1" item="0"/>
        </tpls>
      </n>
      <n v="3159905536">
        <tpls c="8">
          <tpl hier="2" item="0"/>
          <tpl hier="4" item="1"/>
          <tpl fld="2" item="35"/>
          <tpl fld="4" item="0"/>
          <tpl hier="9" item="4"/>
          <tpl hier="11" item="6"/>
          <tpl hier="12" item="5"/>
          <tpl fld="1" item="0"/>
        </tpls>
      </n>
      <n v="7551500419072">
        <tpls c="8">
          <tpl hier="2" item="0"/>
          <tpl hier="4" item="1"/>
          <tpl fld="2" item="41"/>
          <tpl fld="3" item="0"/>
          <tpl hier="9" item="4"/>
          <tpl hier="11" item="6"/>
          <tpl hier="12" item="5"/>
          <tpl fld="1" item="0"/>
        </tpls>
      </n>
      <n v="92602974208">
        <tpls c="8">
          <tpl hier="2" item="0"/>
          <tpl hier="4" item="1"/>
          <tpl fld="2" item="0"/>
          <tpl fld="3" item="0"/>
          <tpl hier="9" item="4"/>
          <tpl hier="11" item="6"/>
          <tpl hier="12" item="5"/>
          <tpl fld="1" item="0"/>
        </tpls>
      </n>
      <n v="375895968">
        <tpls c="8">
          <tpl hier="2" item="0"/>
          <tpl hier="4" item="1"/>
          <tpl fld="2" item="12"/>
          <tpl fld="4" item="0"/>
          <tpl hier="9" item="4"/>
          <tpl hier="11" item="6"/>
          <tpl hier="12" item="5"/>
          <tpl fld="1" item="0"/>
        </tpls>
      </n>
      <n v="347768061952">
        <tpls c="8">
          <tpl hier="2" item="0"/>
          <tpl hier="4" item="1"/>
          <tpl fld="2" item="19"/>
          <tpl fld="3" item="0"/>
          <tpl hier="9" item="4"/>
          <tpl hier="11" item="6"/>
          <tpl hier="12" item="5"/>
          <tpl fld="1" item="0"/>
        </tpls>
      </n>
      <n v="42959974400">
        <tpls c="8">
          <tpl hier="2" item="0"/>
          <tpl hier="4" item="1"/>
          <tpl fld="2" item="6"/>
          <tpl fld="4" item="2"/>
          <tpl hier="9" item="4"/>
          <tpl hier="11" item="6"/>
          <tpl hier="12" item="5"/>
          <tpl fld="1" item="0"/>
        </tpls>
      </n>
      <n v="2857306947584">
        <tpls c="8">
          <tpl hier="2" item="0"/>
          <tpl hier="4" item="1"/>
          <tpl fld="2" item="10"/>
          <tpl fld="4" item="27"/>
          <tpl hier="9" item="4"/>
          <tpl hier="11" item="6"/>
          <tpl hier="12" item="5"/>
          <tpl fld="1" item="0"/>
        </tpls>
      </n>
      <n v="206286028800">
        <tpls c="8">
          <tpl hier="2" item="0"/>
          <tpl hier="4" item="1"/>
          <tpl fld="2" item="46"/>
          <tpl fld="4" item="20"/>
          <tpl hier="9" item="4"/>
          <tpl hier="11" item="6"/>
          <tpl hier="12" item="5"/>
          <tpl fld="1" item="0"/>
        </tpls>
      </n>
      <n v="42414309376">
        <tpls c="8">
          <tpl hier="2" item="0"/>
          <tpl hier="4" item="1"/>
          <tpl fld="2" item="36"/>
          <tpl fld="4" item="15"/>
          <tpl hier="9" item="4"/>
          <tpl hier="11" item="6"/>
          <tpl hier="12" item="5"/>
          <tpl fld="1" item="0"/>
        </tpls>
      </n>
      <n v="16812530688">
        <tpls c="8">
          <tpl hier="2" item="0"/>
          <tpl hier="4" item="1"/>
          <tpl fld="2" item="35"/>
          <tpl fld="4" item="10"/>
          <tpl hier="9" item="4"/>
          <tpl hier="11" item="6"/>
          <tpl hier="12" item="5"/>
          <tpl fld="1" item="0"/>
        </tpls>
      </n>
      <n v="2194204131328">
        <tpls c="8">
          <tpl hier="2" item="0"/>
          <tpl hier="4" item="1"/>
          <tpl fld="2" item="29"/>
          <tpl fld="4" item="8"/>
          <tpl hier="9" item="4"/>
          <tpl hier="11" item="6"/>
          <tpl hier="12" item="5"/>
          <tpl fld="1" item="0"/>
        </tpls>
      </n>
      <n v="1840480780288">
        <tpls c="8">
          <tpl hier="2" item="0"/>
          <tpl hier="4" item="1"/>
          <tpl fld="2" item="33"/>
          <tpl fld="4" item="7"/>
          <tpl hier="9" item="4"/>
          <tpl hier="11" item="6"/>
          <tpl hier="12" item="5"/>
          <tpl fld="1" item="0"/>
        </tpls>
      </n>
      <n v="6788480998400">
        <tpls c="8">
          <tpl hier="2" item="0"/>
          <tpl hier="4" item="1"/>
          <tpl hier="5" item="3"/>
          <tpl fld="4" item="6"/>
          <tpl hier="9" item="4"/>
          <tpl hier="11" item="6"/>
          <tpl hier="12" item="5"/>
          <tpl fld="1" item="0"/>
        </tpls>
      </n>
      <n v="52797583360">
        <tpls c="8">
          <tpl hier="2" item="0"/>
          <tpl hier="4" item="1"/>
          <tpl fld="2" item="12"/>
          <tpl fld="4" item="6"/>
          <tpl hier="9" item="4"/>
          <tpl hier="11" item="6"/>
          <tpl hier="12" item="5"/>
          <tpl fld="1" item="0"/>
        </tpls>
      </n>
      <n v="178635161600">
        <tpls c="8">
          <tpl hier="2" item="0"/>
          <tpl hier="4" item="1"/>
          <tpl fld="2" item="32"/>
          <tpl fld="4" item="5"/>
          <tpl hier="9" item="4"/>
          <tpl hier="11" item="6"/>
          <tpl hier="12" item="5"/>
          <tpl fld="1" item="0"/>
        </tpls>
      </n>
      <n v="40474406912">
        <tpls c="8">
          <tpl hier="2" item="0"/>
          <tpl hier="4" item="1"/>
          <tpl fld="2" item="5"/>
          <tpl fld="4" item="5"/>
          <tpl hier="9" item="4"/>
          <tpl hier="11" item="6"/>
          <tpl hier="12" item="5"/>
          <tpl fld="1" item="0"/>
        </tpls>
      </n>
      <n v="628546404352">
        <tpls c="8">
          <tpl hier="2" item="0"/>
          <tpl hier="4" item="1"/>
          <tpl fld="2" item="26"/>
          <tpl fld="4" item="4"/>
          <tpl hier="9" item="4"/>
          <tpl hier="11" item="6"/>
          <tpl hier="12" item="5"/>
          <tpl fld="1" item="0"/>
        </tpls>
      </n>
      <n v="87896096768">
        <tpls c="8">
          <tpl hier="2" item="0"/>
          <tpl hier="4" item="1"/>
          <tpl fld="2" item="0"/>
          <tpl fld="4" item="4"/>
          <tpl hier="9" item="4"/>
          <tpl hier="11" item="6"/>
          <tpl hier="12" item="5"/>
          <tpl fld="1" item="0"/>
        </tpls>
      </n>
      <n v="210511003648">
        <tpls c="8">
          <tpl hier="2" item="0"/>
          <tpl hier="4" item="1"/>
          <tpl fld="2" item="21"/>
          <tpl fld="4" item="3"/>
          <tpl hier="9" item="4"/>
          <tpl hier="11" item="6"/>
          <tpl hier="12" item="5"/>
          <tpl fld="1" item="0"/>
        </tpls>
      </n>
      <n v="418316156928">
        <tpls c="8">
          <tpl hier="2" item="0"/>
          <tpl hier="4" item="1"/>
          <tpl fld="2" item="47"/>
          <tpl fld="4" item="2"/>
          <tpl hier="9" item="4"/>
          <tpl hier="11" item="6"/>
          <tpl hier="12" item="5"/>
          <tpl fld="1" item="0"/>
        </tpls>
      </n>
      <n v="203535237120">
        <tpls c="8">
          <tpl hier="2" item="0"/>
          <tpl hier="4" item="1"/>
          <tpl fld="2" item="24"/>
          <tpl fld="4" item="2"/>
          <tpl hier="9" item="4"/>
          <tpl hier="11" item="6"/>
          <tpl hier="12" item="5"/>
          <tpl fld="1" item="0"/>
        </tpls>
      </n>
      <n v="15373005824">
        <tpls c="8">
          <tpl hier="2" item="0"/>
          <tpl hier="4" item="1"/>
          <tpl fld="2" item="0"/>
          <tpl fld="4" item="2"/>
          <tpl hier="9" item="4"/>
          <tpl hier="11" item="6"/>
          <tpl hier="12" item="5"/>
          <tpl fld="1" item="0"/>
        </tpls>
      </n>
      <n v="398899150848">
        <tpls c="8">
          <tpl hier="2" item="0"/>
          <tpl hier="4" item="1"/>
          <tpl fld="2" item="28"/>
          <tpl fld="4" item="1"/>
          <tpl hier="9" item="4"/>
          <tpl hier="11" item="6"/>
          <tpl hier="12" item="5"/>
          <tpl fld="1" item="0"/>
        </tpls>
      </n>
      <n v="88831246336">
        <tpls c="8">
          <tpl hier="2" item="0"/>
          <tpl hier="4" item="1"/>
          <tpl fld="2" item="4"/>
          <tpl fld="4" item="1"/>
          <tpl hier="9" item="4"/>
          <tpl hier="11" item="6"/>
          <tpl hier="12" item="5"/>
          <tpl fld="1" item="0"/>
        </tpls>
      </n>
      <n v="2361726976">
        <tpls c="8">
          <tpl hier="2" item="0"/>
          <tpl hier="4" item="1"/>
          <tpl fld="2" item="33"/>
          <tpl fld="4" item="0"/>
          <tpl hier="9" item="4"/>
          <tpl hier="11" item="6"/>
          <tpl hier="12" item="5"/>
          <tpl fld="1" item="0"/>
        </tpls>
      </n>
      <n v="6087164559360">
        <tpls c="8">
          <tpl hier="2" item="0"/>
          <tpl hier="4" item="1"/>
          <tpl fld="2" item="40"/>
          <tpl fld="3" item="0"/>
          <tpl hier="9" item="4"/>
          <tpl hier="11" item="6"/>
          <tpl hier="12" item="5"/>
          <tpl fld="1" item="0"/>
        </tpls>
      </n>
      <n v="252708044800">
        <tpls c="8">
          <tpl hier="2" item="0"/>
          <tpl hier="4" item="1"/>
          <tpl fld="2" item="27"/>
          <tpl fld="4" item="3"/>
          <tpl hier="9" item="4"/>
          <tpl hier="11" item="6"/>
          <tpl hier="12" item="5"/>
          <tpl fld="1" item="0"/>
        </tpls>
      </n>
      <n v="3100882239488">
        <tpls c="8">
          <tpl hier="2" item="0"/>
          <tpl hier="4" item="1"/>
          <tpl fld="2" item="37"/>
          <tpl fld="4" item="26"/>
          <tpl hier="9" item="4"/>
          <tpl hier="11" item="6"/>
          <tpl hier="12" item="5"/>
          <tpl fld="1" item="0"/>
        </tpls>
      </n>
      <n v="122630086656">
        <tpls c="8">
          <tpl hier="2" item="0"/>
          <tpl hier="4" item="1"/>
          <tpl fld="2" item="26"/>
          <tpl fld="4" item="20"/>
          <tpl hier="9" item="4"/>
          <tpl hier="11" item="6"/>
          <tpl hier="12" item="5"/>
          <tpl fld="1" item="0"/>
        </tpls>
      </n>
      <n v="13229247488">
        <tpls c="8">
          <tpl hier="2" item="0"/>
          <tpl hier="4" item="1"/>
          <tpl fld="2" item="20"/>
          <tpl fld="4" item="15"/>
          <tpl hier="9" item="4"/>
          <tpl hier="11" item="6"/>
          <tpl hier="12" item="5"/>
          <tpl fld="1" item="0"/>
        </tpls>
      </n>
      <n v="5681096192">
        <tpls c="8">
          <tpl hier="2" item="0"/>
          <tpl hier="4" item="1"/>
          <tpl fld="2" item="19"/>
          <tpl fld="4" item="10"/>
          <tpl hier="9" item="4"/>
          <tpl hier="11" item="6"/>
          <tpl hier="12" item="5"/>
          <tpl fld="1" item="0"/>
        </tpls>
      </n>
      <n v="2585792348160">
        <tpls c="8">
          <tpl hier="2" item="0"/>
          <tpl hier="4" item="1"/>
          <tpl fld="2" item="25"/>
          <tpl fld="4" item="8"/>
          <tpl hier="9" item="4"/>
          <tpl hier="11" item="6"/>
          <tpl hier="12" item="5"/>
          <tpl fld="1" item="0"/>
        </tpls>
      </n>
      <n v="1494286598144">
        <tpls c="8">
          <tpl hier="2" item="0"/>
          <tpl hier="4" item="1"/>
          <tpl fld="2" item="32"/>
          <tpl fld="4" item="7"/>
          <tpl hier="9" item="4"/>
          <tpl hier="11" item="6"/>
          <tpl hier="12" item="5"/>
          <tpl fld="1" item="0"/>
        </tpls>
      </n>
      <n v="255122538496">
        <tpls c="8">
          <tpl hier="2" item="0"/>
          <tpl hier="4" item="1"/>
          <tpl fld="2" item="47"/>
          <tpl fld="4" item="6"/>
          <tpl hier="9" item="4"/>
          <tpl hier="11" item="6"/>
          <tpl hier="12" item="5"/>
          <tpl fld="1" item="0"/>
        </tpls>
      </n>
      <n v="52448333824">
        <tpls c="8">
          <tpl hier="2" item="0"/>
          <tpl hier="4" item="1"/>
          <tpl fld="2" item="11"/>
          <tpl fld="4" item="6"/>
          <tpl hier="9" item="4"/>
          <tpl hier="11" item="6"/>
          <tpl hier="12" item="5"/>
          <tpl fld="1" item="0"/>
        </tpls>
      </n>
      <n v="164791435264">
        <tpls c="8">
          <tpl hier="2" item="0"/>
          <tpl hier="4" item="1"/>
          <tpl fld="2" item="31"/>
          <tpl fld="4" item="5"/>
          <tpl hier="9" item="4"/>
          <tpl hier="11" item="6"/>
          <tpl hier="12" item="5"/>
          <tpl fld="1" item="0"/>
        </tpls>
      </n>
      <n v="23232380928">
        <tpls c="8">
          <tpl hier="2" item="0"/>
          <tpl hier="4" item="1"/>
          <tpl fld="2" item="2"/>
          <tpl fld="4" item="5"/>
          <tpl hier="9" item="4"/>
          <tpl hier="11" item="6"/>
          <tpl hier="12" item="5"/>
          <tpl fld="1" item="0"/>
        </tpls>
      </n>
      <n v="604031614976">
        <tpls c="8">
          <tpl hier="2" item="0"/>
          <tpl hier="4" item="1"/>
          <tpl fld="2" item="25"/>
          <tpl fld="4" item="4"/>
          <tpl hier="9" item="4"/>
          <tpl hier="11" item="6"/>
          <tpl hier="12" item="5"/>
          <tpl fld="1" item="0"/>
        </tpls>
      </n>
      <n v="475900870656">
        <tpls c="8">
          <tpl hier="2" item="0"/>
          <tpl hier="4" item="1"/>
          <tpl fld="2" item="46"/>
          <tpl fld="4" item="3"/>
          <tpl hier="9" item="4"/>
          <tpl hier="11" item="6"/>
          <tpl hier="12" item="5"/>
          <tpl fld="1" item="0"/>
        </tpls>
      </n>
      <n v="205331742720">
        <tpls c="8">
          <tpl hier="2" item="0"/>
          <tpl hier="4" item="1"/>
          <tpl fld="2" item="20"/>
          <tpl fld="4" item="3"/>
          <tpl hier="9" item="4"/>
          <tpl hier="11" item="6"/>
          <tpl hier="12" item="5"/>
          <tpl fld="1" item="0"/>
        </tpls>
      </n>
      <n v="395227693056">
        <tpls c="8">
          <tpl hier="2" item="0"/>
          <tpl hier="4" item="1"/>
          <tpl fld="2" item="46"/>
          <tpl fld="4" item="2"/>
          <tpl hier="9" item="4"/>
          <tpl hier="11" item="6"/>
          <tpl hier="12" item="5"/>
          <tpl fld="1" item="0"/>
        </tpls>
      </n>
      <n v="190379720704">
        <tpls c="8">
          <tpl hier="2" item="0"/>
          <tpl hier="4" item="1"/>
          <tpl fld="2" item="23"/>
          <tpl fld="4" item="2"/>
          <tpl hier="9" item="4"/>
          <tpl hier="11" item="6"/>
          <tpl hier="12" item="5"/>
          <tpl fld="1" item="0"/>
        </tpls>
      </n>
      <n v="26808795639808">
        <tpls c="8">
          <tpl hier="2" item="0"/>
          <tpl hier="4" item="1"/>
          <tpl hier="5" item="3"/>
          <tpl fld="4" item="1"/>
          <tpl hier="9" item="4"/>
          <tpl hier="11" item="6"/>
          <tpl hier="12" item="5"/>
          <tpl fld="1" item="0"/>
        </tpls>
      </n>
      <n v="434568003584">
        <tpls c="8">
          <tpl hier="2" item="0"/>
          <tpl hier="4" item="1"/>
          <tpl fld="2" item="27"/>
          <tpl fld="4" item="1"/>
          <tpl hier="9" item="4"/>
          <tpl hier="11" item="6"/>
          <tpl hier="12" item="5"/>
          <tpl fld="1" item="0"/>
        </tpls>
      </n>
      <n v="63737348096">
        <tpls c="8">
          <tpl hier="2" item="0"/>
          <tpl hier="4" item="1"/>
          <tpl fld="2" item="3"/>
          <tpl fld="4" item="1"/>
          <tpl hier="9" item="4"/>
          <tpl hier="11" item="6"/>
          <tpl hier="12" item="5"/>
          <tpl fld="1" item="0"/>
        </tpls>
      </n>
      <n v="1546926208">
        <tpls c="8">
          <tpl hier="2" item="0"/>
          <tpl hier="4" item="1"/>
          <tpl fld="2" item="31"/>
          <tpl fld="4" item="0"/>
          <tpl hier="9" item="4"/>
          <tpl hier="11" item="6"/>
          <tpl hier="12" item="5"/>
          <tpl fld="1" item="0"/>
        </tpls>
      </n>
      <n v="388958720">
        <tpls c="8">
          <tpl hier="2" item="0"/>
          <tpl hier="4" item="1"/>
          <tpl fld="2" item="11"/>
          <tpl fld="4" item="0"/>
          <tpl hier="9" item="4"/>
          <tpl hier="11" item="6"/>
          <tpl hier="12" item="5"/>
          <tpl fld="1" item="0"/>
        </tpls>
      </n>
      <n v="5101702348800">
        <tpls c="8">
          <tpl hier="2" item="0"/>
          <tpl hier="4" item="1"/>
          <tpl fld="2" item="39"/>
          <tpl fld="3" item="0"/>
          <tpl hier="9" item="4"/>
          <tpl hier="11" item="6"/>
          <tpl hier="12" item="5"/>
          <tpl fld="1" item="0"/>
        </tpls>
      </n>
      <n v="312353619968">
        <tpls c="8">
          <tpl hier="2" item="0"/>
          <tpl hier="4" item="1"/>
          <tpl fld="2" item="18"/>
          <tpl fld="3" item="0"/>
          <tpl hier="9" item="4"/>
          <tpl hier="11" item="6"/>
          <tpl hier="12" item="5"/>
          <tpl fld="1" item="0"/>
        </tpls>
      </n>
      <n v="37209419776">
        <tpls c="8">
          <tpl hier="2" item="0"/>
          <tpl hier="4" item="1"/>
          <tpl fld="2" item="2"/>
          <tpl fld="4" item="3"/>
          <tpl hier="9" item="4"/>
          <tpl hier="11" item="6"/>
          <tpl hier="12" item="5"/>
          <tpl fld="1" item="0"/>
        </tpls>
      </n>
      <n v="461487112192">
        <tpls c="8">
          <tpl hier="2" item="0"/>
          <tpl hier="4" item="1"/>
          <tpl fld="2" item="14"/>
          <tpl fld="4" item="26"/>
          <tpl hier="9" item="4"/>
          <tpl hier="11" item="6"/>
          <tpl hier="12" item="5"/>
          <tpl fld="1" item="0"/>
        </tpls>
      </n>
      <n v="23487612928">
        <tpls c="8">
          <tpl hier="2" item="0"/>
          <tpl hier="4" item="1"/>
          <tpl fld="2" item="8"/>
          <tpl fld="4" item="20"/>
          <tpl hier="9" item="4"/>
          <tpl hier="11" item="6"/>
          <tpl hier="12" item="5"/>
          <tpl fld="1" item="0"/>
        </tpls>
      </n>
      <n v="3295860992">
        <tpls c="8">
          <tpl hier="2" item="0"/>
          <tpl hier="4" item="1"/>
          <tpl fld="2" item="4"/>
          <tpl fld="4" item="15"/>
          <tpl hier="9" item="4"/>
          <tpl hier="11" item="6"/>
          <tpl hier="12" item="5"/>
          <tpl fld="1" item="0"/>
        </tpls>
      </n>
      <n v="1156175488">
        <tpls c="8">
          <tpl hier="2" item="0"/>
          <tpl hier="4" item="1"/>
          <tpl fld="2" item="3"/>
          <tpl fld="4" item="10"/>
          <tpl hier="9" item="4"/>
          <tpl hier="11" item="6"/>
          <tpl hier="12" item="5"/>
          <tpl fld="1" item="0"/>
        </tpls>
      </n>
      <n v="2131571638272">
        <tpls c="8">
          <tpl hier="2" item="0"/>
          <tpl hier="4" item="1"/>
          <tpl fld="2" item="22"/>
          <tpl fld="4" item="8"/>
          <tpl hier="9" item="4"/>
          <tpl hier="11" item="6"/>
          <tpl hier="12" item="5"/>
          <tpl fld="1" item="0"/>
        </tpls>
      </n>
      <n v="1376465321984">
        <tpls c="8">
          <tpl hier="2" item="0"/>
          <tpl hier="4" item="1"/>
          <tpl fld="2" item="31"/>
          <tpl fld="4" item="7"/>
          <tpl hier="9" item="4"/>
          <tpl hier="11" item="6"/>
          <tpl hier="12" item="5"/>
          <tpl fld="1" item="0"/>
        </tpls>
      </n>
      <n v="274497224704">
        <tpls c="8">
          <tpl hier="2" item="0"/>
          <tpl hier="4" item="1"/>
          <tpl fld="2" item="44"/>
          <tpl fld="4" item="6"/>
          <tpl hier="9" item="4"/>
          <tpl hier="11" item="6"/>
          <tpl hier="12" item="5"/>
          <tpl fld="1" item="0"/>
        </tpls>
      </n>
      <n v="53645201408">
        <tpls c="8">
          <tpl hier="2" item="0"/>
          <tpl hier="4" item="1"/>
          <tpl fld="2" item="10"/>
          <tpl fld="4" item="6"/>
          <tpl hier="9" item="4"/>
          <tpl hier="11" item="6"/>
          <tpl hier="12" item="5"/>
          <tpl fld="1" item="0"/>
        </tpls>
      </n>
      <n v="164158734336">
        <tpls c="8">
          <tpl hier="2" item="0"/>
          <tpl hier="4" item="1"/>
          <tpl fld="2" item="30"/>
          <tpl fld="4" item="5"/>
          <tpl hier="9" item="4"/>
          <tpl hier="11" item="6"/>
          <tpl hier="12" item="5"/>
          <tpl fld="1" item="0"/>
        </tpls>
      </n>
      <n v="17075458048">
        <tpls c="8">
          <tpl hier="2" item="0"/>
          <tpl hier="4" item="1"/>
          <tpl fld="2" item="0"/>
          <tpl fld="4" item="5"/>
          <tpl hier="9" item="4"/>
          <tpl hier="11" item="6"/>
          <tpl hier="12" item="5"/>
          <tpl fld="1" item="0"/>
        </tpls>
      </n>
      <n v="578139258880">
        <tpls c="8">
          <tpl hier="2" item="0"/>
          <tpl hier="4" item="1"/>
          <tpl fld="2" item="24"/>
          <tpl fld="4" item="4"/>
          <tpl hier="9" item="4"/>
          <tpl hier="11" item="6"/>
          <tpl hier="12" item="5"/>
          <tpl fld="1" item="0"/>
        </tpls>
      </n>
      <n v="462149681152">
        <tpls c="8">
          <tpl hier="2" item="0"/>
          <tpl hier="4" item="1"/>
          <tpl fld="2" item="45"/>
          <tpl fld="4" item="3"/>
          <tpl hier="9" item="4"/>
          <tpl hier="11" item="6"/>
          <tpl hier="12" item="5"/>
          <tpl fld="1" item="0"/>
        </tpls>
      </n>
      <n v="164221059072">
        <tpls c="8">
          <tpl hier="2" item="0"/>
          <tpl hier="4" item="1"/>
          <tpl fld="2" item="19"/>
          <tpl fld="4" item="3"/>
          <tpl hier="9" item="4"/>
          <tpl hier="11" item="6"/>
          <tpl hier="12" item="5"/>
          <tpl fld="1" item="0"/>
        </tpls>
      </n>
      <n v="381817552896">
        <tpls c="8">
          <tpl hier="2" item="0"/>
          <tpl hier="4" item="1"/>
          <tpl fld="2" item="45"/>
          <tpl fld="4" item="2"/>
          <tpl hier="9" item="4"/>
          <tpl hier="11" item="6"/>
          <tpl hier="12" item="5"/>
          <tpl fld="1" item="0"/>
        </tpls>
      </n>
      <n v="195078127616">
        <tpls c="8">
          <tpl hier="2" item="0"/>
          <tpl hier="4" item="1"/>
          <tpl fld="2" item="22"/>
          <tpl fld="4" item="2"/>
          <tpl hier="9" item="4"/>
          <tpl hier="11" item="6"/>
          <tpl hier="12" item="5"/>
          <tpl fld="1" item="0"/>
        </tpls>
      </n>
      <n v="1392680632320">
        <tpls c="8">
          <tpl hier="2" item="0"/>
          <tpl hier="4" item="1"/>
          <tpl fld="2" item="49"/>
          <tpl fld="4" item="1"/>
          <tpl hier="9" item="4"/>
          <tpl hier="11" item="6"/>
          <tpl hier="12" item="5"/>
          <tpl fld="1" item="0"/>
        </tpls>
      </n>
      <n v="400302735360">
        <tpls c="8">
          <tpl hier="2" item="0"/>
          <tpl hier="4" item="1"/>
          <tpl fld="2" item="26"/>
          <tpl fld="4" item="1"/>
          <tpl hier="9" item="4"/>
          <tpl hier="11" item="6"/>
          <tpl hier="12" item="5"/>
          <tpl fld="1" item="0"/>
        </tpls>
      </n>
      <n v="51967291392">
        <tpls c="8">
          <tpl hier="2" item="0"/>
          <tpl hier="4" item="1"/>
          <tpl fld="2" item="2"/>
          <tpl fld="4" item="1"/>
          <tpl hier="9" item="4"/>
          <tpl hier="11" item="6"/>
          <tpl hier="12" item="5"/>
          <tpl fld="1" item="0"/>
        </tpls>
      </n>
      <n v="1429049216">
        <tpls c="8">
          <tpl hier="2" item="0"/>
          <tpl hier="4" item="1"/>
          <tpl fld="2" item="30"/>
          <tpl fld="4" item="0"/>
          <tpl hier="9" item="4"/>
          <tpl hier="11" item="6"/>
          <tpl hier="12" item="5"/>
          <tpl fld="1" item="0"/>
        </tpls>
      </n>
      <n v="254020160">
        <tpls c="8">
          <tpl hier="2" item="0"/>
          <tpl hier="4" item="1"/>
          <tpl fld="2" item="7"/>
          <tpl fld="4" item="0"/>
          <tpl hier="9" item="4"/>
          <tpl hier="11" item="6"/>
          <tpl hier="12" item="5"/>
          <tpl fld="1" item="0"/>
        </tpls>
      </n>
      <n v="4594306908160">
        <tpls c="8">
          <tpl hier="2" item="0"/>
          <tpl hier="4" item="1"/>
          <tpl fld="2" item="38"/>
          <tpl fld="3" item="0"/>
          <tpl hier="9" item="4"/>
          <tpl hier="11" item="6"/>
          <tpl hier="12" item="5"/>
          <tpl fld="1" item="0"/>
        </tpls>
      </n>
      <n v="272972972032">
        <tpls c="8">
          <tpl hier="2" item="0"/>
          <tpl hier="4" item="1"/>
          <tpl fld="2" item="17"/>
          <tpl fld="3" item="0"/>
          <tpl hier="9" item="4"/>
          <tpl hier="11" item="6"/>
          <tpl hier="12" item="5"/>
          <tpl fld="1" item="0"/>
        </tpls>
      </n>
      <n v="217185779712">
        <tpls c="8">
          <tpl hier="2" item="0"/>
          <tpl hier="4" item="1"/>
          <tpl fld="2" item="29"/>
          <tpl fld="4" item="2"/>
          <tpl hier="9" item="4"/>
          <tpl hier="11" item="6"/>
          <tpl hier="12" item="5"/>
          <tpl fld="1" item="0"/>
        </tpls>
      </n>
      <n v="668043640832">
        <tpls c="8">
          <tpl hier="2" item="0"/>
          <tpl hier="4" item="1"/>
          <tpl fld="2" item="42"/>
          <tpl fld="4" item="25"/>
          <tpl hier="9" item="4"/>
          <tpl hier="11" item="6"/>
          <tpl hier="12" item="5"/>
          <tpl fld="1" item="0"/>
        </tpls>
      </n>
      <n v="509506322432">
        <tpls c="8">
          <tpl hier="2" item="0"/>
          <tpl hier="4" item="1"/>
          <tpl fld="2" item="42"/>
          <tpl fld="4" item="19"/>
          <tpl hier="9" item="4"/>
          <tpl hier="11" item="6"/>
          <tpl hier="12" item="5"/>
          <tpl fld="1" item="0"/>
        </tpls>
      </n>
      <n v="5231382888448">
        <tpls c="8">
          <tpl hier="2" item="0"/>
          <tpl hier="4" item="1"/>
          <tpl fld="2" item="39"/>
          <tpl fld="4" item="14"/>
          <tpl hier="9" item="4"/>
          <tpl hier="11" item="6"/>
          <tpl hier="12" item="5"/>
          <tpl fld="1" item="0"/>
        </tpls>
      </n>
      <n v="245670674432">
        <tpls c="8">
          <tpl hier="2" item="0"/>
          <tpl hier="4" item="1"/>
          <tpl fld="2" item="42"/>
          <tpl fld="4" item="9"/>
          <tpl hier="9" item="4"/>
          <tpl hier="11" item="6"/>
          <tpl hier="12" item="5"/>
          <tpl fld="1" item="0"/>
        </tpls>
      </n>
      <n v="1868945162240">
        <tpls c="8">
          <tpl hier="2" item="0"/>
          <tpl hier="4" item="1"/>
          <tpl fld="2" item="21"/>
          <tpl fld="4" item="8"/>
          <tpl hier="9" item="4"/>
          <tpl hier="11" item="6"/>
          <tpl hier="12" item="5"/>
          <tpl fld="1" item="0"/>
        </tpls>
      </n>
      <n v="1503108792320">
        <tpls c="8">
          <tpl hier="2" item="0"/>
          <tpl hier="4" item="1"/>
          <tpl fld="2" item="28"/>
          <tpl fld="4" item="7"/>
          <tpl hier="9" item="4"/>
          <tpl hier="11" item="6"/>
          <tpl hier="12" item="5"/>
          <tpl fld="1" item="0"/>
        </tpls>
      </n>
      <n v="271285272576">
        <tpls c="8">
          <tpl hier="2" item="0"/>
          <tpl hier="4" item="1"/>
          <tpl fld="2" item="43"/>
          <tpl fld="4" item="6"/>
          <tpl hier="9" item="4"/>
          <tpl hier="11" item="6"/>
          <tpl hier="12" item="5"/>
          <tpl fld="1" item="0"/>
        </tpls>
      </n>
      <n v="24848822272">
        <tpls c="8">
          <tpl hier="2" item="0"/>
          <tpl hier="4" item="1"/>
          <tpl fld="2" item="4"/>
          <tpl fld="4" item="6"/>
          <tpl hier="9" item="4"/>
          <tpl hier="11" item="6"/>
          <tpl hier="12" item="5"/>
          <tpl fld="1" item="0"/>
        </tpls>
      </n>
      <n v="177965187072">
        <tpls c="8">
          <tpl hier="2" item="0"/>
          <tpl hier="4" item="1"/>
          <tpl fld="2" item="29"/>
          <tpl fld="4" item="5"/>
          <tpl hier="9" item="4"/>
          <tpl hier="11" item="6"/>
          <tpl hier="12" item="5"/>
          <tpl fld="1" item="0"/>
        </tpls>
      </n>
      <n v="39717101748224">
        <tpls c="8">
          <tpl hier="2" item="0"/>
          <tpl hier="4" item="1"/>
          <tpl hier="5" item="3"/>
          <tpl fld="4" item="4"/>
          <tpl hier="9" item="4"/>
          <tpl hier="11" item="6"/>
          <tpl hier="12" item="5"/>
          <tpl fld="1" item="0"/>
        </tpls>
      </n>
      <n v="610328182784">
        <tpls c="8">
          <tpl hier="2" item="0"/>
          <tpl hier="4" item="1"/>
          <tpl fld="2" item="21"/>
          <tpl fld="4" item="4"/>
          <tpl hier="9" item="4"/>
          <tpl hier="11" item="6"/>
          <tpl hier="12" item="5"/>
          <tpl fld="1" item="0"/>
        </tpls>
      </n>
      <n v="534678077440">
        <tpls c="8">
          <tpl hier="2" item="0"/>
          <tpl hier="4" item="1"/>
          <tpl fld="2" item="44"/>
          <tpl fld="4" item="3"/>
          <tpl hier="9" item="4"/>
          <tpl hier="11" item="6"/>
          <tpl hier="12" item="5"/>
          <tpl fld="1" item="0"/>
        </tpls>
      </n>
      <n v="83349528576">
        <tpls c="8">
          <tpl hier="2" item="0"/>
          <tpl hier="4" item="1"/>
          <tpl fld="2" item="14"/>
          <tpl fld="4" item="3"/>
          <tpl hier="9" item="4"/>
          <tpl hier="11" item="6"/>
          <tpl hier="12" item="5"/>
          <tpl fld="1" item="0"/>
        </tpls>
      </n>
      <n v="430068727808">
        <tpls c="8">
          <tpl hier="2" item="0"/>
          <tpl hier="4" item="1"/>
          <tpl fld="2" item="43"/>
          <tpl fld="4" item="2"/>
          <tpl hier="9" item="4"/>
          <tpl hier="11" item="6"/>
          <tpl hier="12" item="5"/>
          <tpl fld="1" item="0"/>
        </tpls>
      </n>
      <n v="173794181120">
        <tpls c="8">
          <tpl hier="2" item="0"/>
          <tpl hier="4" item="1"/>
          <tpl fld="2" item="21"/>
          <tpl fld="4" item="2"/>
          <tpl hier="9" item="4"/>
          <tpl hier="11" item="6"/>
          <tpl hier="12" item="5"/>
          <tpl fld="1" item="0"/>
        </tpls>
      </n>
      <n v="1433904349184">
        <tpls c="8">
          <tpl hier="2" item="0"/>
          <tpl hier="4" item="1"/>
          <tpl fld="2" item="48"/>
          <tpl fld="4" item="1"/>
          <tpl hier="9" item="4"/>
          <tpl hier="11" item="6"/>
          <tpl hier="12" item="5"/>
          <tpl fld="1" item="0"/>
        </tpls>
      </n>
      <n v="367216361472">
        <tpls c="8">
          <tpl hier="2" item="0"/>
          <tpl hier="4" item="1"/>
          <tpl fld="2" item="25"/>
          <tpl fld="4" item="1"/>
          <tpl hier="9" item="4"/>
          <tpl hier="11" item="6"/>
          <tpl hier="12" item="5"/>
          <tpl fld="1" item="0"/>
        </tpls>
      </n>
      <n v="45149511680">
        <tpls c="8">
          <tpl hier="2" item="0"/>
          <tpl hier="4" item="1"/>
          <tpl fld="2" item="1"/>
          <tpl fld="4" item="1"/>
          <tpl hier="9" item="4"/>
          <tpl hier="11" item="6"/>
          <tpl hier="12" item="5"/>
          <tpl fld="1" item="0"/>
        </tpls>
      </n>
      <n v="1239876352">
        <tpls c="8">
          <tpl hier="2" item="0"/>
          <tpl hier="4" item="1"/>
          <tpl fld="2" item="29"/>
          <tpl fld="4" item="0"/>
          <tpl hier="9" item="4"/>
          <tpl hier="11" item="6"/>
          <tpl hier="12" item="5"/>
          <tpl fld="1" item="0"/>
        </tpls>
      </n>
      <n v="227281024">
        <tpls c="8">
          <tpl hier="2" item="0"/>
          <tpl hier="4" item="1"/>
          <tpl fld="2" item="6"/>
          <tpl fld="4" item="0"/>
          <tpl hier="9" item="4"/>
          <tpl hier="11" item="6"/>
          <tpl hier="12" item="5"/>
          <tpl fld="1" item="0"/>
        </tpls>
      </n>
      <n v="2752131891200">
        <tpls c="8">
          <tpl hier="2" item="0"/>
          <tpl hier="4" item="1"/>
          <tpl fld="2" item="36"/>
          <tpl fld="3" item="0"/>
          <tpl hier="9" item="4"/>
          <tpl hier="11" item="6"/>
          <tpl hier="12" item="5"/>
          <tpl fld="1" item="0"/>
        </tpls>
      </n>
      <n v="300758106112">
        <tpls c="8">
          <tpl hier="2" item="0"/>
          <tpl hier="4" item="1"/>
          <tpl fld="2" item="16"/>
          <tpl fld="3" item="0"/>
          <tpl hier="9" item="4"/>
          <tpl hier="11" item="6"/>
          <tpl hier="12" item="5"/>
          <tpl fld="1" item="0"/>
        </tpls>
      </n>
      <n v="131321856000">
        <tpls c="8">
          <tpl hier="2" item="0"/>
          <tpl hier="4" item="1"/>
          <tpl fld="2" item="3"/>
          <tpl fld="4" item="4"/>
          <tpl hier="9" item="4"/>
          <tpl hier="11" item="6"/>
          <tpl hier="12" item="5"/>
          <tpl fld="1" item="0"/>
        </tpls>
      </n>
      <n v="261113790464">
        <tpls c="8">
          <tpl hier="2" item="0"/>
          <tpl hier="4" item="1"/>
          <tpl fld="2" item="21"/>
          <tpl fld="4" item="25"/>
          <tpl hier="9" item="4"/>
          <tpl hier="11" item="6"/>
          <tpl hier="12" item="5"/>
          <tpl fld="1" item="0"/>
        </tpls>
      </n>
      <n v="152029609984">
        <tpls c="8">
          <tpl hier="2" item="0"/>
          <tpl hier="4" item="1"/>
          <tpl fld="2" item="25"/>
          <tpl fld="4" item="19"/>
          <tpl hier="9" item="4"/>
          <tpl hier="11" item="6"/>
          <tpl hier="12" item="5"/>
          <tpl fld="1" item="0"/>
        </tpls>
      </n>
      <n v="4454143754240">
        <tpls c="8">
          <tpl hier="2" item="0"/>
          <tpl hier="4" item="1"/>
          <tpl fld="2" item="23"/>
          <tpl fld="4" item="14"/>
          <tpl hier="9" item="4"/>
          <tpl hier="11" item="6"/>
          <tpl hier="12" item="5"/>
          <tpl fld="1" item="0"/>
        </tpls>
      </n>
      <n v="354460794880">
        <tpls c="8">
          <tpl hier="2" item="0"/>
          <tpl hier="4" item="1"/>
          <tpl fld="2" item="38"/>
          <tpl fld="4" item="9"/>
          <tpl hier="9" item="4"/>
          <tpl hier="11" item="6"/>
          <tpl hier="12" item="5"/>
          <tpl fld="1" item="0"/>
        </tpls>
      </n>
      <n v="725111144448">
        <tpls c="8">
          <tpl hier="2" item="0"/>
          <tpl hier="4" item="1"/>
          <tpl fld="2" item="14"/>
          <tpl fld="4" item="8"/>
          <tpl hier="9" item="4"/>
          <tpl hier="11" item="6"/>
          <tpl hier="12" item="5"/>
          <tpl fld="1" item="0"/>
        </tpls>
      </n>
      <n v="1601094811648">
        <tpls c="8">
          <tpl hier="2" item="0"/>
          <tpl hier="4" item="1"/>
          <tpl fld="2" item="25"/>
          <tpl fld="4" item="7"/>
          <tpl hier="9" item="4"/>
          <tpl hier="11" item="6"/>
          <tpl hier="12" item="5"/>
          <tpl fld="1" item="0"/>
        </tpls>
      </n>
      <n v="258304835584">
        <tpls c="8">
          <tpl hier="2" item="0"/>
          <tpl hier="4" item="1"/>
          <tpl fld="2" item="42"/>
          <tpl fld="4" item="6"/>
          <tpl hier="9" item="4"/>
          <tpl hier="11" item="6"/>
          <tpl hier="12" item="5"/>
          <tpl fld="1" item="0"/>
        </tpls>
      </n>
      <n v="19472363520">
        <tpls c="8">
          <tpl hier="2" item="0"/>
          <tpl hier="4" item="1"/>
          <tpl fld="2" item="3"/>
          <tpl fld="4" item="6"/>
          <tpl hier="9" item="4"/>
          <tpl hier="11" item="6"/>
          <tpl hier="12" item="5"/>
          <tpl fld="1" item="0"/>
        </tpls>
      </n>
      <n v="156162392064">
        <tpls c="8">
          <tpl hier="2" item="0"/>
          <tpl hier="4" item="1"/>
          <tpl fld="2" item="24"/>
          <tpl fld="4" item="5"/>
          <tpl hier="9" item="4"/>
          <tpl hier="11" item="6"/>
          <tpl hier="12" item="5"/>
          <tpl fld="1" item="0"/>
        </tpls>
      </n>
      <n v="1736425603072">
        <tpls c="8">
          <tpl hier="2" item="0"/>
          <tpl hier="4" item="1"/>
          <tpl fld="2" item="49"/>
          <tpl fld="4" item="4"/>
          <tpl hier="9" item="4"/>
          <tpl hier="11" item="6"/>
          <tpl hier="12" item="5"/>
          <tpl fld="1" item="0"/>
        </tpls>
      </n>
      <n v="565055717376">
        <tpls c="8">
          <tpl hier="2" item="0"/>
          <tpl hier="4" item="1"/>
          <tpl fld="2" item="19"/>
          <tpl fld="4" item="4"/>
          <tpl hier="9" item="4"/>
          <tpl hier="11" item="6"/>
          <tpl hier="12" item="5"/>
          <tpl fld="1" item="0"/>
        </tpls>
      </n>
      <n v="521642704896">
        <tpls c="8">
          <tpl hier="2" item="0"/>
          <tpl hier="4" item="1"/>
          <tpl fld="2" item="43"/>
          <tpl fld="4" item="3"/>
          <tpl hier="9" item="4"/>
          <tpl hier="11" item="6"/>
          <tpl hier="12" item="5"/>
          <tpl fld="1" item="0"/>
        </tpls>
      </n>
      <n v="87184236544">
        <tpls c="8">
          <tpl hier="2" item="0"/>
          <tpl hier="4" item="1"/>
          <tpl fld="2" item="13"/>
          <tpl fld="4" item="3"/>
          <tpl hier="9" item="4"/>
          <tpl hier="11" item="6"/>
          <tpl hier="12" item="5"/>
          <tpl fld="1" item="0"/>
        </tpls>
      </n>
      <n v="431120318464">
        <tpls c="8">
          <tpl hier="2" item="0"/>
          <tpl hier="4" item="1"/>
          <tpl fld="2" item="41"/>
          <tpl fld="4" item="2"/>
          <tpl hier="9" item="4"/>
          <tpl hier="11" item="6"/>
          <tpl hier="12" item="5"/>
          <tpl fld="1" item="0"/>
        </tpls>
      </n>
      <n v="124168445952">
        <tpls c="8">
          <tpl hier="2" item="0"/>
          <tpl hier="4" item="1"/>
          <tpl fld="2" item="17"/>
          <tpl fld="4" item="2"/>
          <tpl hier="9" item="4"/>
          <tpl hier="11" item="6"/>
          <tpl hier="12" item="5"/>
          <tpl fld="1" item="0"/>
        </tpls>
      </n>
      <n v="1208847040512">
        <tpls c="8">
          <tpl hier="2" item="0"/>
          <tpl hier="4" item="1"/>
          <tpl fld="2" item="46"/>
          <tpl fld="4" item="1"/>
          <tpl hier="9" item="4"/>
          <tpl hier="11" item="6"/>
          <tpl hier="12" item="5"/>
          <tpl fld="1" item="0"/>
        </tpls>
      </n>
      <n v="322211676160">
        <tpls c="8">
          <tpl hier="2" item="0"/>
          <tpl hier="4" item="1"/>
          <tpl fld="2" item="24"/>
          <tpl fld="4" item="1"/>
          <tpl hier="9" item="4"/>
          <tpl hier="11" item="6"/>
          <tpl hier="12" item="5"/>
          <tpl fld="1" item="0"/>
        </tpls>
      </n>
      <n v="41271140352">
        <tpls c="8">
          <tpl hier="2" item="0"/>
          <tpl hier="4" item="1"/>
          <tpl fld="2" item="0"/>
          <tpl fld="4" item="1"/>
          <tpl hier="9" item="4"/>
          <tpl hier="11" item="6"/>
          <tpl hier="12" item="5"/>
          <tpl fld="1" item="0"/>
        </tpls>
      </n>
      <n v="1211932416">
        <tpls c="8">
          <tpl hier="2" item="0"/>
          <tpl hier="4" item="1"/>
          <tpl fld="2" item="28"/>
          <tpl fld="4" item="0"/>
          <tpl hier="9" item="4"/>
          <tpl hier="11" item="6"/>
          <tpl hier="12" item="5"/>
          <tpl fld="1" item="0"/>
        </tpls>
      </n>
      <n v="220127248">
        <tpls c="8">
          <tpl hier="2" item="0"/>
          <tpl hier="4" item="1"/>
          <tpl fld="2" item="5"/>
          <tpl fld="4" item="0"/>
          <tpl hier="9" item="4"/>
          <tpl hier="11" item="6"/>
          <tpl hier="12" item="5"/>
          <tpl fld="1" item="0"/>
        </tpls>
      </n>
      <n v="2285965934592">
        <tpls c="8">
          <tpl hier="2" item="0"/>
          <tpl hier="4" item="1"/>
          <tpl fld="2" item="35"/>
          <tpl fld="3" item="0"/>
          <tpl hier="9" item="4"/>
          <tpl hier="11" item="6"/>
          <tpl hier="12" item="5"/>
          <tpl fld="1" item="0"/>
        </tpls>
      </n>
      <n v="309488025600">
        <tpls c="8">
          <tpl hier="2" item="0"/>
          <tpl hier="4" item="1"/>
          <tpl fld="2" item="15"/>
          <tpl fld="3" item="0"/>
          <tpl hier="9" item="4"/>
          <tpl hier="11" item="6"/>
          <tpl hier="12" item="5"/>
          <tpl fld="1" item="0"/>
        </tpls>
      </n>
      <n v="353361035264">
        <tpls c="8">
          <tpl hier="2" item="0"/>
          <tpl hier="4" item="1"/>
          <tpl fld="2" item="38"/>
          <tpl fld="4" item="5"/>
          <tpl hier="9" item="4"/>
          <tpl hier="11" item="6"/>
          <tpl hier="12" item="5"/>
          <tpl fld="1" item="0"/>
        </tpls>
      </n>
      <n v="35777236992">
        <tpls c="8">
          <tpl hier="2" item="0"/>
          <tpl hier="4" item="1"/>
          <tpl fld="2" item="2"/>
          <tpl fld="4" item="25"/>
          <tpl hier="9" item="4"/>
          <tpl hier="11" item="6"/>
          <tpl hier="12" item="5"/>
          <tpl fld="1" item="0"/>
        </tpls>
      </n>
      <n v="46523092992">
        <tpls c="8">
          <tpl hier="2" item="0"/>
          <tpl hier="4" item="1"/>
          <tpl fld="2" item="8"/>
          <tpl fld="4" item="19"/>
          <tpl hier="9" item="4"/>
          <tpl hier="11" item="6"/>
          <tpl hier="12" item="5"/>
          <tpl fld="1" item="0"/>
        </tpls>
      </n>
      <n v="721411768320">
        <tpls c="8">
          <tpl hier="2" item="0"/>
          <tpl hier="4" item="1"/>
          <tpl fld="2" item="7"/>
          <tpl fld="4" item="14"/>
          <tpl hier="9" item="4"/>
          <tpl hier="11" item="6"/>
          <tpl hier="12" item="5"/>
          <tpl fld="1" item="0"/>
        </tpls>
      </n>
      <n v="145861607424">
        <tpls c="8">
          <tpl hier="2" item="0"/>
          <tpl hier="4" item="1"/>
          <tpl fld="2" item="26"/>
          <tpl fld="4" item="9"/>
          <tpl hier="9" item="4"/>
          <tpl hier="11" item="6"/>
          <tpl hier="12" item="5"/>
          <tpl fld="1" item="0"/>
        </tpls>
      </n>
      <n v="770684354560">
        <tpls c="8">
          <tpl hier="2" item="0"/>
          <tpl hier="4" item="1"/>
          <tpl fld="2" item="13"/>
          <tpl fld="4" item="8"/>
          <tpl hier="9" item="4"/>
          <tpl hier="11" item="6"/>
          <tpl hier="12" item="5"/>
          <tpl fld="1" item="0"/>
        </tpls>
      </n>
      <n v="1393982701568">
        <tpls c="8">
          <tpl hier="2" item="0"/>
          <tpl hier="4" item="1"/>
          <tpl fld="2" item="24"/>
          <tpl fld="4" item="7"/>
          <tpl hier="9" item="4"/>
          <tpl hier="11" item="6"/>
          <tpl hier="12" item="5"/>
          <tpl fld="1" item="0"/>
        </tpls>
      </n>
      <n v="216907546624">
        <tpls c="8">
          <tpl hier="2" item="0"/>
          <tpl hier="4" item="1"/>
          <tpl fld="2" item="36"/>
          <tpl fld="4" item="6"/>
          <tpl hier="9" item="4"/>
          <tpl hier="11" item="6"/>
          <tpl hier="12" item="5"/>
          <tpl fld="1" item="0"/>
        </tpls>
      </n>
      <n v="14743185408">
        <tpls c="8">
          <tpl hier="2" item="0"/>
          <tpl hier="4" item="1"/>
          <tpl fld="2" item="2"/>
          <tpl fld="4" item="6"/>
          <tpl hier="9" item="4"/>
          <tpl hier="11" item="6"/>
          <tpl hier="12" item="5"/>
          <tpl fld="1" item="0"/>
        </tpls>
      </n>
      <n v="143195619328">
        <tpls c="8">
          <tpl hier="2" item="0"/>
          <tpl hier="4" item="1"/>
          <tpl fld="2" item="23"/>
          <tpl fld="4" item="5"/>
          <tpl hier="9" item="4"/>
          <tpl hier="11" item="6"/>
          <tpl hier="12" item="5"/>
          <tpl fld="1" item="0"/>
        </tpls>
      </n>
      <n v="1716262666240">
        <tpls c="8">
          <tpl hier="2" item="0"/>
          <tpl hier="4" item="1"/>
          <tpl fld="2" item="48"/>
          <tpl fld="4" item="4"/>
          <tpl hier="9" item="4"/>
          <tpl hier="11" item="6"/>
          <tpl hier="12" item="5"/>
          <tpl fld="1" item="0"/>
        </tpls>
      </n>
      <n v="507354349568">
        <tpls c="8">
          <tpl hier="2" item="0"/>
          <tpl hier="4" item="1"/>
          <tpl fld="2" item="18"/>
          <tpl fld="4" item="4"/>
          <tpl hier="9" item="4"/>
          <tpl hier="11" item="6"/>
          <tpl hier="12" item="5"/>
          <tpl fld="1" item="0"/>
        </tpls>
      </n>
      <n v="480951631872">
        <tpls c="8">
          <tpl hier="2" item="0"/>
          <tpl hier="4" item="1"/>
          <tpl fld="2" item="40"/>
          <tpl fld="4" item="3"/>
          <tpl hier="9" item="4"/>
          <tpl hier="11" item="6"/>
          <tpl hier="12" item="5"/>
          <tpl fld="1" item="0"/>
        </tpls>
      </n>
      <n v="92095930368">
        <tpls c="8">
          <tpl hier="2" item="0"/>
          <tpl hier="4" item="1"/>
          <tpl fld="2" item="12"/>
          <tpl fld="4" item="3"/>
          <tpl hier="9" item="4"/>
          <tpl hier="11" item="6"/>
          <tpl hier="12" item="5"/>
          <tpl fld="1" item="0"/>
        </tpls>
      </n>
      <n v="391892762624">
        <tpls c="8">
          <tpl hier="2" item="0"/>
          <tpl hier="4" item="1"/>
          <tpl fld="2" item="40"/>
          <tpl fld="4" item="2"/>
          <tpl hier="9" item="4"/>
          <tpl hier="11" item="6"/>
          <tpl hier="12" item="5"/>
          <tpl fld="1" item="0"/>
        </tpls>
      </n>
      <n v="99036168192">
        <tpls c="8">
          <tpl hier="2" item="0"/>
          <tpl hier="4" item="1"/>
          <tpl fld="2" item="16"/>
          <tpl fld="4" item="2"/>
          <tpl hier="9" item="4"/>
          <tpl hier="11" item="6"/>
          <tpl hier="12" item="5"/>
          <tpl fld="1" item="0"/>
        </tpls>
      </n>
      <n v="1467483684864">
        <tpls c="8">
          <tpl hier="2" item="0"/>
          <tpl hier="4" item="1"/>
          <tpl fld="2" item="44"/>
          <tpl fld="4" item="1"/>
          <tpl hier="9" item="4"/>
          <tpl hier="11" item="6"/>
          <tpl hier="12" item="5"/>
          <tpl fld="1" item="0"/>
        </tpls>
      </n>
      <n v="310777217024">
        <tpls c="8">
          <tpl hier="2" item="0"/>
          <tpl hier="4" item="1"/>
          <tpl fld="2" item="20"/>
          <tpl fld="4" item="1"/>
          <tpl hier="9" item="4"/>
          <tpl hier="11" item="6"/>
          <tpl hier="12" item="5"/>
          <tpl fld="1" item="0"/>
        </tpls>
      </n>
      <n v="3154057984">
        <tpls c="8">
          <tpl hier="2" item="0"/>
          <tpl hier="4" item="1"/>
          <tpl fld="2" item="49"/>
          <tpl fld="4" item="0"/>
          <tpl hier="9" item="4"/>
          <tpl hier="11" item="6"/>
          <tpl hier="12" item="5"/>
          <tpl fld="1" item="0"/>
        </tpls>
      </n>
      <n v="1180597248">
        <tpls c="8">
          <tpl hier="2" item="0"/>
          <tpl hier="4" item="1"/>
          <tpl fld="2" item="27"/>
          <tpl fld="4" item="0"/>
          <tpl hier="9" item="4"/>
          <tpl hier="11" item="6"/>
          <tpl hier="12" item="5"/>
          <tpl fld="1" item="0"/>
        </tpls>
      </n>
      <n v="186558704">
        <tpls c="8">
          <tpl hier="2" item="0"/>
          <tpl hier="4" item="1"/>
          <tpl fld="2" item="4"/>
          <tpl fld="4" item="0"/>
          <tpl hier="9" item="4"/>
          <tpl hier="11" item="6"/>
          <tpl hier="12" item="5"/>
          <tpl fld="1" item="0"/>
        </tpls>
      </n>
      <n v="1955347038208">
        <tpls c="8">
          <tpl hier="2" item="0"/>
          <tpl hier="4" item="1"/>
          <tpl fld="2" item="34"/>
          <tpl fld="3" item="0"/>
          <tpl hier="9" item="4"/>
          <tpl hier="11" item="6"/>
          <tpl hier="12" item="5"/>
          <tpl fld="1" item="0"/>
        </tpls>
      </n>
      <n v="259946512384">
        <tpls c="8">
          <tpl hier="2" item="0"/>
          <tpl hier="4" item="1"/>
          <tpl fld="2" item="14"/>
          <tpl fld="3" item="0"/>
          <tpl hier="9" item="4"/>
          <tpl hier="11" item="6"/>
          <tpl hier="12" item="5"/>
          <tpl fld="1" item="0"/>
        </tpls>
      </n>
      <n v="892382412800">
        <tpls c="8">
          <tpl hier="2" item="0"/>
          <tpl hier="4" item="1"/>
          <tpl fld="2" item="33"/>
          <tpl fld="4" item="4"/>
          <tpl hier="9" item="4"/>
          <tpl hier="11" item="6"/>
          <tpl hier="12" item="5"/>
          <tpl fld="1" item="0"/>
        </tpls>
      </n>
      <n v="385118044160">
        <tpls c="8">
          <tpl hier="2" item="0"/>
          <tpl hier="4" item="1"/>
          <tpl fld="2" item="34"/>
          <tpl fld="4" item="24"/>
          <tpl hier="9" item="4"/>
          <tpl hier="11" item="6"/>
          <tpl hier="12" item="5"/>
          <tpl fld="1" item="0"/>
        </tpls>
      </n>
      <n v="190845894656">
        <tpls c="8">
          <tpl hier="2" item="0"/>
          <tpl hier="4" item="1"/>
          <tpl fld="2" item="43"/>
          <tpl fld="4" item="18"/>
          <tpl hier="9" item="4"/>
          <tpl hier="11" item="6"/>
          <tpl hier="12" item="5"/>
          <tpl fld="1" item="0"/>
        </tpls>
      </n>
      <n v="2087077019648">
        <tpls c="8">
          <tpl hier="2" item="0"/>
          <tpl hier="4" item="1"/>
          <tpl fld="2" item="42"/>
          <tpl fld="4" item="13"/>
          <tpl hier="9" item="4"/>
          <tpl hier="11" item="6"/>
          <tpl hier="12" item="5"/>
          <tpl fld="1" item="0"/>
        </tpls>
      </n>
      <n v="116224671744">
        <tpls c="8">
          <tpl hier="2" item="0"/>
          <tpl hier="4" item="1"/>
          <tpl fld="2" item="22"/>
          <tpl fld="4" item="9"/>
          <tpl hier="9" item="4"/>
          <tpl hier="11" item="6"/>
          <tpl hier="12" item="5"/>
          <tpl fld="1" item="0"/>
        </tpls>
      </n>
      <n v="881345167360">
        <tpls c="8">
          <tpl hier="2" item="0"/>
          <tpl hier="4" item="1"/>
          <tpl fld="2" item="9"/>
          <tpl fld="4" item="8"/>
          <tpl hier="9" item="4"/>
          <tpl hier="11" item="6"/>
          <tpl hier="12" item="5"/>
          <tpl fld="1" item="0"/>
        </tpls>
      </n>
      <n v="1322815586304">
        <tpls c="8">
          <tpl hier="2" item="0"/>
          <tpl hier="4" item="1"/>
          <tpl fld="2" item="23"/>
          <tpl fld="4" item="7"/>
          <tpl hier="9" item="4"/>
          <tpl hier="11" item="6"/>
          <tpl hier="12" item="5"/>
          <tpl fld="1" item="0"/>
        </tpls>
      </n>
      <n v="204809109504">
        <tpls c="8">
          <tpl hier="2" item="0"/>
          <tpl hier="4" item="1"/>
          <tpl fld="2" item="35"/>
          <tpl fld="4" item="6"/>
          <tpl hier="9" item="4"/>
          <tpl hier="11" item="6"/>
          <tpl hier="12" item="5"/>
          <tpl fld="1" item="0"/>
        </tpls>
      </n>
      <n v="8679127357440">
        <tpls c="8">
          <tpl hier="2" item="0"/>
          <tpl hier="4" item="1"/>
          <tpl hier="5" item="3"/>
          <tpl fld="4" item="5"/>
          <tpl hier="9" item="4"/>
          <tpl hier="11" item="6"/>
          <tpl hier="12" item="5"/>
          <tpl fld="1" item="0"/>
        </tpls>
      </n>
      <n v="152915656704">
        <tpls c="8">
          <tpl hier="2" item="0"/>
          <tpl hier="4" item="1"/>
          <tpl fld="2" item="22"/>
          <tpl fld="4" item="5"/>
          <tpl hier="9" item="4"/>
          <tpl hier="11" item="6"/>
          <tpl hier="12" item="5"/>
          <tpl fld="1" item="0"/>
        </tpls>
      </n>
      <n v="1847208574976">
        <tpls c="8">
          <tpl hier="2" item="0"/>
          <tpl hier="4" item="1"/>
          <tpl fld="2" item="43"/>
          <tpl fld="4" item="4"/>
          <tpl hier="9" item="4"/>
          <tpl hier="11" item="6"/>
          <tpl hier="12" item="5"/>
          <tpl fld="1" item="0"/>
        </tpls>
      </n>
      <n v="431316729856">
        <tpls c="8">
          <tpl hier="2" item="0"/>
          <tpl hier="4" item="1"/>
          <tpl fld="2" item="17"/>
          <tpl fld="4" item="4"/>
          <tpl hier="9" item="4"/>
          <tpl hier="11" item="6"/>
          <tpl hier="12" item="5"/>
          <tpl fld="1" item="0"/>
        </tpls>
      </n>
      <n v="515223519232">
        <tpls c="8">
          <tpl hier="2" item="0"/>
          <tpl hier="4" item="1"/>
          <tpl fld="2" item="38"/>
          <tpl fld="4" item="3"/>
          <tpl hier="9" item="4"/>
          <tpl hier="11" item="6"/>
          <tpl hier="12" item="5"/>
          <tpl fld="1" item="0"/>
        </tpls>
      </n>
      <n v="104730017792">
        <tpls c="8">
          <tpl hier="2" item="0"/>
          <tpl hier="4" item="1"/>
          <tpl fld="2" item="11"/>
          <tpl fld="4" item="3"/>
          <tpl hier="9" item="4"/>
          <tpl hier="11" item="6"/>
          <tpl hier="12" item="5"/>
          <tpl fld="1" item="0"/>
        </tpls>
      </n>
      <n v="400172285952">
        <tpls c="8">
          <tpl hier="2" item="0"/>
          <tpl hier="4" item="1"/>
          <tpl fld="2" item="39"/>
          <tpl fld="4" item="2"/>
          <tpl hier="9" item="4"/>
          <tpl hier="11" item="6"/>
          <tpl hier="12" item="5"/>
          <tpl fld="1" item="0"/>
        </tpls>
      </n>
      <n v="69386772480">
        <tpls c="8">
          <tpl hier="2" item="0"/>
          <tpl hier="4" item="1"/>
          <tpl fld="2" item="15"/>
          <tpl fld="4" item="2"/>
          <tpl hier="9" item="4"/>
          <tpl hier="11" item="6"/>
          <tpl hier="12" item="5"/>
          <tpl fld="1" item="0"/>
        </tpls>
      </n>
      <n v="1576184446976">
        <tpls c="8">
          <tpl hier="2" item="0"/>
          <tpl hier="4" item="1"/>
          <tpl fld="2" item="43"/>
          <tpl fld="4" item="1"/>
          <tpl hier="9" item="4"/>
          <tpl hier="11" item="6"/>
          <tpl hier="12" item="5"/>
          <tpl fld="1" item="0"/>
        </tpls>
      </n>
      <n v="299267981312">
        <tpls c="8">
          <tpl hier="2" item="0"/>
          <tpl hier="4" item="1"/>
          <tpl fld="2" item="19"/>
          <tpl fld="4" item="1"/>
          <tpl hier="9" item="4"/>
          <tpl hier="11" item="6"/>
          <tpl hier="12" item="5"/>
          <tpl fld="1" item="0"/>
        </tpls>
      </n>
      <n v="3000180736">
        <tpls c="8">
          <tpl hier="2" item="0"/>
          <tpl hier="4" item="1"/>
          <tpl fld="2" item="47"/>
          <tpl fld="4" item="0"/>
          <tpl hier="9" item="4"/>
          <tpl hier="11" item="6"/>
          <tpl hier="12" item="5"/>
          <tpl fld="1" item="0"/>
        </tpls>
      </n>
      <n v="1007025728">
        <tpls c="8">
          <tpl hier="2" item="0"/>
          <tpl hier="4" item="1"/>
          <tpl fld="2" item="23"/>
          <tpl fld="4" item="0"/>
          <tpl hier="9" item="4"/>
          <tpl hier="11" item="6"/>
          <tpl hier="12" item="5"/>
          <tpl fld="1" item="0"/>
        </tpls>
      </n>
      <n v="150820096">
        <tpls c="8">
          <tpl hier="2" item="0"/>
          <tpl hier="4" item="1"/>
          <tpl fld="2" item="3"/>
          <tpl fld="4" item="0"/>
          <tpl hier="9" item="4"/>
          <tpl hier="11" item="6"/>
          <tpl hier="12" item="5"/>
          <tpl fld="1" item="0"/>
        </tpls>
      </n>
      <n v="1660287975424">
        <tpls c="8">
          <tpl hier="2" item="0"/>
          <tpl hier="4" item="1"/>
          <tpl fld="2" item="33"/>
          <tpl fld="3" item="0"/>
          <tpl hier="9" item="4"/>
          <tpl hier="11" item="6"/>
          <tpl hier="12" item="5"/>
          <tpl fld="1" item="0"/>
        </tpls>
      </n>
      <n v="191149211648">
        <tpls c="8">
          <tpl hier="2" item="0"/>
          <tpl hier="4" item="1"/>
          <tpl fld="2" item="10"/>
          <tpl fld="3" item="0"/>
          <tpl hier="9" item="4"/>
          <tpl hier="11" item="6"/>
          <tpl hier="12" item="5"/>
          <tpl fld="1" item="0"/>
        </tpls>
      </n>
      <n v="24417617920">
        <tpls c="8">
          <tpl hier="2" item="0"/>
          <tpl hier="4" item="1"/>
          <tpl fld="2" item="11"/>
          <tpl fld="4" item="18"/>
          <tpl hier="9" item="4"/>
          <tpl hier="11" item="6"/>
          <tpl hier="12" item="5"/>
          <tpl fld="1" item="0"/>
        </tpls>
      </n>
      <n v="1788647964672">
        <tpls c="8">
          <tpl hier="2" item="0"/>
          <tpl hier="4" item="1"/>
          <tpl fld="2" item="41"/>
          <tpl fld="4" item="4"/>
          <tpl hier="9" item="4"/>
          <tpl hier="11" item="6"/>
          <tpl hier="12" item="5"/>
          <tpl fld="1" item="0"/>
        </tpls>
      </n>
      <n v="101246525440">
        <tpls c="8">
          <tpl hier="2" item="0"/>
          <tpl hier="4" item="1"/>
          <tpl fld="2" item="8"/>
          <tpl fld="4" item="3"/>
          <tpl hier="9" item="4"/>
          <tpl hier="11" item="6"/>
          <tpl hier="12" item="5"/>
          <tpl fld="1" item="0"/>
        </tpls>
      </n>
      <n v="189060349952">
        <tpls c="8">
          <tpl hier="2" item="0"/>
          <tpl hier="4" item="1"/>
          <tpl fld="2" item="17"/>
          <tpl fld="4" item="1"/>
          <tpl hier="9" item="4"/>
          <tpl hier="11" item="6"/>
          <tpl hier="12" item="5"/>
          <tpl fld="1" item="0"/>
        </tpls>
      </n>
      <n v="78619208">
        <tpls c="8">
          <tpl hier="2" item="0"/>
          <tpl hier="4" item="1"/>
          <tpl fld="2" item="0"/>
          <tpl fld="4" item="0"/>
          <tpl hier="9" item="4"/>
          <tpl hier="11" item="6"/>
          <tpl hier="12" item="5"/>
          <tpl fld="1" item="0"/>
        </tpls>
      </n>
      <n v="1613464469504">
        <tpls c="8">
          <tpl hier="2" item="0"/>
          <tpl hier="4" item="1"/>
          <tpl fld="2" item="40"/>
          <tpl fld="4" item="4"/>
          <tpl hier="9" item="4"/>
          <tpl hier="11" item="6"/>
          <tpl hier="12" item="5"/>
          <tpl fld="1" item="0"/>
        </tpls>
      </n>
      <n v="1029048512">
        <tpls c="8">
          <tpl hier="2" item="0"/>
          <tpl hier="4" item="1"/>
          <tpl fld="2" item="20"/>
          <tpl fld="4" item="0"/>
          <tpl hier="9" item="4"/>
          <tpl hier="11" item="6"/>
          <tpl hier="12" item="5"/>
          <tpl fld="1" item="0"/>
        </tpls>
      </n>
      <n v="153940459520">
        <tpls c="8">
          <tpl hier="2" item="0"/>
          <tpl hier="4" item="1"/>
          <tpl fld="2" item="6"/>
          <tpl fld="3" item="0"/>
          <tpl hier="9" item="4"/>
          <tpl hier="11" item="6"/>
          <tpl hier="12" item="5"/>
          <tpl fld="1" item="0"/>
        </tpls>
      </n>
      <n v="3730027839488">
        <tpls c="8">
          <tpl hier="2" item="0"/>
          <tpl hier="4" item="1"/>
          <tpl fld="2" item="38"/>
          <tpl fld="4" item="8"/>
          <tpl hier="9" item="4"/>
          <tpl hier="11" item="6"/>
          <tpl hier="12" item="5"/>
          <tpl fld="1" item="0"/>
        </tpls>
      </n>
      <n v="11233277247488">
        <tpls c="8">
          <tpl hier="2" item="0"/>
          <tpl hier="4" item="1"/>
          <tpl fld="2" item="46"/>
          <tpl fld="3" item="0"/>
          <tpl hier="9" item="4"/>
          <tpl hier="11" item="6"/>
          <tpl hier="12" item="5"/>
          <tpl fld="1" item="0"/>
        </tpls>
      </n>
      <n v="105014353920">
        <tpls c="8">
          <tpl hier="2" item="0"/>
          <tpl hier="4" item="1"/>
          <tpl fld="2" item="13"/>
          <tpl fld="4" item="24"/>
          <tpl hier="9" item="4"/>
          <tpl hier="11" item="6"/>
          <tpl hier="12" item="5"/>
          <tpl fld="1" item="0"/>
        </tpls>
      </n>
      <n v="66075144192">
        <tpls c="8">
          <tpl hier="2" item="0"/>
          <tpl hier="4" item="1"/>
          <tpl fld="2" item="27"/>
          <tpl fld="4" item="18"/>
          <tpl hier="9" item="4"/>
          <tpl hier="11" item="6"/>
          <tpl hier="12" item="5"/>
          <tpl fld="1" item="0"/>
        </tpls>
      </n>
      <n v="1312426557440">
        <tpls c="8">
          <tpl hier="2" item="0"/>
          <tpl hier="4" item="1"/>
          <tpl fld="2" item="26"/>
          <tpl fld="4" item="13"/>
          <tpl hier="9" item="4"/>
          <tpl hier="11" item="6"/>
          <tpl hier="12" item="5"/>
          <tpl fld="1" item="0"/>
        </tpls>
      </n>
      <n v="52346507264">
        <tpls c="8">
          <tpl hier="2" item="0"/>
          <tpl hier="4" item="1"/>
          <tpl fld="2" item="11"/>
          <tpl fld="4" item="9"/>
          <tpl hier="9" item="4"/>
          <tpl hier="11" item="6"/>
          <tpl hier="12" item="5"/>
          <tpl fld="1" item="0"/>
        </tpls>
      </n>
      <n v="519754448896">
        <tpls c="8">
          <tpl hier="2" item="0"/>
          <tpl hier="4" item="1"/>
          <tpl fld="2" item="6"/>
          <tpl fld="4" item="8"/>
          <tpl hier="9" item="4"/>
          <tpl hier="11" item="6"/>
          <tpl hier="12" item="5"/>
          <tpl fld="1" item="0"/>
        </tpls>
      </n>
      <n v="934173278208">
        <tpls c="8">
          <tpl hier="2" item="0"/>
          <tpl hier="4" item="1"/>
          <tpl fld="2" item="17"/>
          <tpl fld="4" item="7"/>
          <tpl hier="9" item="4"/>
          <tpl hier="11" item="6"/>
          <tpl hier="12" item="5"/>
          <tpl fld="1" item="0"/>
        </tpls>
      </n>
      <n v="197116952576">
        <tpls c="8">
          <tpl hier="2" item="0"/>
          <tpl hier="4" item="1"/>
          <tpl fld="2" item="34"/>
          <tpl fld="4" item="6"/>
          <tpl hier="9" item="4"/>
          <tpl hier="11" item="6"/>
          <tpl hier="12" item="5"/>
          <tpl fld="1" item="0"/>
        </tpls>
      </n>
      <n v="355675340800">
        <tpls c="8">
          <tpl hier="2" item="0"/>
          <tpl hier="4" item="1"/>
          <tpl fld="2" item="48"/>
          <tpl fld="4" item="5"/>
          <tpl hier="9" item="4"/>
          <tpl hier="11" item="6"/>
          <tpl hier="12" item="5"/>
          <tpl fld="1" item="0"/>
        </tpls>
      </n>
      <n v="139224694784">
        <tpls c="8">
          <tpl hier="2" item="0"/>
          <tpl hier="4" item="1"/>
          <tpl fld="2" item="21"/>
          <tpl fld="4" item="5"/>
          <tpl hier="9" item="4"/>
          <tpl hier="11" item="6"/>
          <tpl hier="12" item="5"/>
          <tpl fld="1" item="0"/>
        </tpls>
      </n>
      <n v="1828689281024">
        <tpls c="8">
          <tpl hier="2" item="0"/>
          <tpl hier="4" item="1"/>
          <tpl fld="2" item="42"/>
          <tpl fld="4" item="4"/>
          <tpl hier="9" item="4"/>
          <tpl hier="11" item="6"/>
          <tpl hier="12" item="5"/>
          <tpl fld="1" item="0"/>
        </tpls>
      </n>
      <n v="377437913088">
        <tpls c="8">
          <tpl hier="2" item="0"/>
          <tpl hier="4" item="1"/>
          <tpl fld="2" item="16"/>
          <tpl fld="4" item="4"/>
          <tpl hier="9" item="4"/>
          <tpl hier="11" item="6"/>
          <tpl hier="12" item="5"/>
          <tpl fld="1" item="0"/>
        </tpls>
      </n>
      <n v="470324248576">
        <tpls c="8">
          <tpl hier="2" item="0"/>
          <tpl hier="4" item="1"/>
          <tpl fld="2" item="37"/>
          <tpl fld="4" item="3"/>
          <tpl hier="9" item="4"/>
          <tpl hier="11" item="6"/>
          <tpl hier="12" item="5"/>
          <tpl fld="1" item="0"/>
        </tpls>
      </n>
      <n v="126829314048">
        <tpls c="8">
          <tpl hier="2" item="0"/>
          <tpl hier="4" item="1"/>
          <tpl fld="2" item="10"/>
          <tpl fld="4" item="3"/>
          <tpl hier="9" item="4"/>
          <tpl hier="11" item="6"/>
          <tpl hier="12" item="5"/>
          <tpl fld="1" item="0"/>
        </tpls>
      </n>
      <n v="430294302720">
        <tpls c="8">
          <tpl hier="2" item="0"/>
          <tpl hier="4" item="1"/>
          <tpl fld="2" item="38"/>
          <tpl fld="4" item="2"/>
          <tpl hier="9" item="4"/>
          <tpl hier="11" item="6"/>
          <tpl hier="12" item="5"/>
          <tpl fld="1" item="0"/>
        </tpls>
      </n>
      <n v="67985346560">
        <tpls c="8">
          <tpl hier="2" item="0"/>
          <tpl hier="4" item="1"/>
          <tpl fld="2" item="14"/>
          <tpl fld="4" item="2"/>
          <tpl hier="9" item="4"/>
          <tpl hier="11" item="6"/>
          <tpl hier="12" item="5"/>
          <tpl fld="1" item="0"/>
        </tpls>
      </n>
      <n v="1546151788544">
        <tpls c="8">
          <tpl hier="2" item="0"/>
          <tpl hier="4" item="1"/>
          <tpl fld="2" item="42"/>
          <tpl fld="4" item="1"/>
          <tpl hier="9" item="4"/>
          <tpl hier="11" item="6"/>
          <tpl hier="12" item="5"/>
          <tpl fld="1" item="0"/>
        </tpls>
      </n>
      <n v="235659198464">
        <tpls c="8">
          <tpl hier="2" item="0"/>
          <tpl hier="4" item="1"/>
          <tpl fld="2" item="18"/>
          <tpl fld="4" item="1"/>
          <tpl hier="9" item="4"/>
          <tpl hier="11" item="6"/>
          <tpl hier="12" item="5"/>
          <tpl fld="1" item="0"/>
        </tpls>
      </n>
      <n v="2896679168">
        <tpls c="8">
          <tpl hier="2" item="0"/>
          <tpl hier="4" item="1"/>
          <tpl fld="2" item="46"/>
          <tpl fld="4" item="0"/>
          <tpl hier="9" item="4"/>
          <tpl hier="11" item="6"/>
          <tpl hier="12" item="5"/>
          <tpl fld="1" item="0"/>
        </tpls>
      </n>
      <n v="1210013696">
        <tpls c="8">
          <tpl hier="2" item="0"/>
          <tpl hier="4" item="1"/>
          <tpl fld="2" item="22"/>
          <tpl fld="4" item="0"/>
          <tpl hier="9" item="4"/>
          <tpl hier="11" item="6"/>
          <tpl hier="12" item="5"/>
          <tpl fld="1" item="0"/>
        </tpls>
      </n>
      <n v="89409824">
        <tpls c="8">
          <tpl hier="2" item="0"/>
          <tpl hier="4" item="1"/>
          <tpl fld="2" item="1"/>
          <tpl fld="4" item="0"/>
          <tpl hier="9" item="4"/>
          <tpl hier="11" item="6"/>
          <tpl hier="12" item="5"/>
          <tpl fld="1" item="0"/>
        </tpls>
      </n>
      <n v="1470549983232">
        <tpls c="8">
          <tpl hier="2" item="0"/>
          <tpl hier="4" item="1"/>
          <tpl fld="2" item="32"/>
          <tpl fld="3" item="0"/>
          <tpl hier="9" item="4"/>
          <tpl hier="11" item="6"/>
          <tpl hier="12" item="5"/>
          <tpl fld="1" item="0"/>
        </tpls>
      </n>
      <n v="178280595456">
        <tpls c="8">
          <tpl hier="2" item="0"/>
          <tpl hier="4" item="1"/>
          <tpl fld="2" item="9"/>
          <tpl fld="3" item="0"/>
          <tpl hier="9" item="4"/>
          <tpl hier="11" item="6"/>
          <tpl hier="12" item="5"/>
          <tpl fld="1" item="0"/>
        </tpls>
      </n>
      <n v="1195119214592">
        <tpls c="8">
          <tpl hier="2" item="0"/>
          <tpl hier="4" item="1"/>
          <tpl fld="2" item="45"/>
          <tpl fld="4" item="23"/>
          <tpl hier="9" item="4"/>
          <tpl hier="11" item="6"/>
          <tpl hier="12" item="5"/>
          <tpl fld="1" item="0"/>
        </tpls>
      </n>
      <n v="477256777728">
        <tpls c="8">
          <tpl hier="2" item="0"/>
          <tpl hier="4" item="1"/>
          <tpl fld="2" item="10"/>
          <tpl fld="4" item="13"/>
          <tpl hier="9" item="4"/>
          <tpl hier="11" item="6"/>
          <tpl hier="12" item="5"/>
          <tpl fld="1" item="0"/>
        </tpls>
      </n>
      <n v="56829665280">
        <tpls c="8">
          <tpl hier="2" item="0"/>
          <tpl hier="4" item="1"/>
          <tpl fld="2" item="10"/>
          <tpl fld="4" item="9"/>
          <tpl hier="9" item="4"/>
          <tpl hier="11" item="6"/>
          <tpl hier="12" item="5"/>
          <tpl fld="1" item="0"/>
        </tpls>
      </n>
      <n v="490636509184">
        <tpls c="8">
          <tpl hier="2" item="0"/>
          <tpl hier="4" item="1"/>
          <tpl fld="2" item="5"/>
          <tpl fld="4" item="8"/>
          <tpl hier="9" item="4"/>
          <tpl hier="11" item="6"/>
          <tpl hier="12" item="5"/>
          <tpl fld="1" item="0"/>
        </tpls>
      </n>
      <n v="771470786560">
        <tpls c="8">
          <tpl hier="2" item="0"/>
          <tpl hier="4" item="1"/>
          <tpl fld="2" item="16"/>
          <tpl fld="4" item="7"/>
          <tpl hier="9" item="4"/>
          <tpl hier="11" item="6"/>
          <tpl hier="12" item="5"/>
          <tpl fld="1" item="0"/>
        </tpls>
      </n>
      <n v="329417064448">
        <tpls c="8">
          <tpl hier="2" item="0"/>
          <tpl hier="4" item="1"/>
          <tpl fld="2" item="47"/>
          <tpl fld="4" item="5"/>
          <tpl hier="9" item="4"/>
          <tpl hier="11" item="6"/>
          <tpl hier="12" item="5"/>
          <tpl fld="1" item="0"/>
        </tpls>
      </n>
      <n v="115552845824">
        <tpls c="8">
          <tpl hier="2" item="0"/>
          <tpl hier="4" item="1"/>
          <tpl fld="2" item="18"/>
          <tpl fld="4" item="5"/>
          <tpl hier="9" item="4"/>
          <tpl hier="11" item="6"/>
          <tpl hier="12" item="5"/>
          <tpl fld="1" item="0"/>
        </tpls>
      </n>
      <n v="306214862848">
        <tpls c="8">
          <tpl hier="2" item="0"/>
          <tpl hier="4" item="1"/>
          <tpl fld="2" item="11"/>
          <tpl fld="4" item="4"/>
          <tpl hier="9" item="4"/>
          <tpl hier="11" item="6"/>
          <tpl hier="12" item="5"/>
          <tpl fld="1" item="0"/>
        </tpls>
      </n>
      <n v="407918084096">
        <tpls c="8">
          <tpl hier="2" item="0"/>
          <tpl hier="4" item="1"/>
          <tpl fld="2" item="36"/>
          <tpl fld="4" item="3"/>
          <tpl hier="9" item="4"/>
          <tpl hier="11" item="6"/>
          <tpl hier="12" item="5"/>
          <tpl fld="1" item="0"/>
        </tpls>
      </n>
      <n v="388691460096">
        <tpls c="8">
          <tpl hier="2" item="0"/>
          <tpl hier="4" item="1"/>
          <tpl fld="2" item="37"/>
          <tpl fld="4" item="2"/>
          <tpl hier="9" item="4"/>
          <tpl hier="11" item="6"/>
          <tpl hier="12" item="5"/>
          <tpl fld="1" item="0"/>
        </tpls>
      </n>
      <n v="1396649885696">
        <tpls c="8">
          <tpl hier="2" item="0"/>
          <tpl hier="4" item="1"/>
          <tpl fld="2" item="41"/>
          <tpl fld="4" item="1"/>
          <tpl hier="9" item="4"/>
          <tpl hier="11" item="6"/>
          <tpl hier="12" item="5"/>
          <tpl fld="1" item="0"/>
        </tpls>
      </n>
      <n v="2789870080">
        <tpls c="8">
          <tpl hier="2" item="0"/>
          <tpl hier="4" item="1"/>
          <tpl fld="2" item="45"/>
          <tpl fld="4" item="0"/>
          <tpl hier="9" item="4"/>
          <tpl hier="11" item="6"/>
          <tpl hier="12" item="5"/>
          <tpl fld="1" item="0"/>
        </tpls>
      </n>
      <n v="1339395670016">
        <tpls c="8">
          <tpl hier="2" item="0"/>
          <tpl hier="4" item="1"/>
          <tpl fld="2" item="31"/>
          <tpl fld="3" item="0"/>
          <tpl hier="9" item="4"/>
          <tpl hier="11" item="6"/>
          <tpl hier="12" item="5"/>
          <tpl fld="1" item="0"/>
        </tpls>
      </n>
      <n v="385570963456">
        <tpls c="8">
          <tpl hier="2" item="0"/>
          <tpl hier="4" item="1"/>
          <tpl fld="2" item="35"/>
          <tpl fld="4" item="3"/>
          <tpl hier="9" item="4"/>
          <tpl hier="11" item="6"/>
          <tpl hier="12" item="5"/>
          <tpl fld="1" item="0"/>
        </tpls>
      </n>
      <n v="182036938752">
        <tpls c="8">
          <tpl hier="2" item="0"/>
          <tpl hier="4" item="1"/>
          <tpl fld="2" item="16"/>
          <tpl fld="4" item="1"/>
          <tpl hier="9" item="4"/>
          <tpl hier="11" item="6"/>
          <tpl hier="12" item="5"/>
          <tpl fld="1" item="0"/>
        </tpls>
      </n>
      <n v="795449344">
        <tpls c="8">
          <tpl hier="2" item="0"/>
          <tpl hier="4" item="1"/>
          <tpl fld="2" item="19"/>
          <tpl fld="4" item="0"/>
          <tpl hier="9" item="4"/>
          <tpl hier="11" item="6"/>
          <tpl hier="12" item="5"/>
          <tpl fld="1" item="0"/>
        </tpls>
      </n>
      <n v="5415856128">
        <tpls c="8">
          <tpl hier="2" item="0"/>
          <tpl hier="4" item="1"/>
          <tpl fld="2" item="33"/>
          <tpl fld="4" item="16"/>
          <tpl hier="9" item="4"/>
          <tpl hier="11" item="6"/>
          <tpl hier="12" item="5"/>
          <tpl fld="1" item="0"/>
        </tpls>
      </n>
      <n v="149774925824">
        <tpls c="8">
          <tpl hier="2" item="0"/>
          <tpl hier="4" item="1"/>
          <tpl fld="2" item="10"/>
          <tpl fld="4" item="1"/>
          <tpl hier="9" item="4"/>
          <tpl hier="11" item="6"/>
          <tpl hier="12" item="5"/>
          <tpl fld="1" item="0"/>
        </tpls>
      </n>
      <n v="129421025280">
        <tpls c="8">
          <tpl hier="2" item="0"/>
          <tpl hier="4" item="1"/>
          <tpl fld="2" item="31"/>
          <tpl fld="4" item="6"/>
          <tpl hier="9" item="4"/>
          <tpl hier="11" item="6"/>
          <tpl hier="12" item="5"/>
          <tpl fld="1" item="0"/>
        </tpls>
      </n>
      <n v="72121016320">
        <tpls c="8">
          <tpl hier="2" item="0"/>
          <tpl hier="4" item="1"/>
          <tpl fld="2" item="13"/>
          <tpl fld="4" item="2"/>
          <tpl hier="9" item="4"/>
          <tpl hier="11" item="6"/>
          <tpl hier="12" item="5"/>
          <tpl fld="1" item="0"/>
        </tpls>
      </n>
      <n v="1106928640">
        <tpls c="8">
          <tpl hier="2" item="0"/>
          <tpl hier="4" item="1"/>
          <tpl fld="2" item="21"/>
          <tpl fld="4" item="0"/>
          <tpl hier="9" item="4"/>
          <tpl hier="11" item="6"/>
          <tpl hier="12" item="5"/>
          <tpl fld="1" item="0"/>
        </tpls>
      </n>
      <n v="149540749312">
        <tpls c="8">
          <tpl hier="2" item="0"/>
          <tpl hier="4" item="1"/>
          <tpl fld="2" item="8"/>
          <tpl fld="3" item="0"/>
          <tpl hier="9" item="4"/>
          <tpl hier="11" item="6"/>
          <tpl hier="12" item="5"/>
          <tpl fld="1" item="0"/>
        </tpls>
      </n>
      <n v="273853825024">
        <tpls c="8">
          <tpl hier="2" item="0"/>
          <tpl hier="4" item="1"/>
          <tpl fld="2" item="10"/>
          <tpl fld="4" item="4"/>
          <tpl hier="9" item="4"/>
          <tpl hier="11" item="6"/>
          <tpl hier="12" item="5"/>
          <tpl fld="1" item="0"/>
        </tpls>
      </n>
      <n v="3271808256">
        <tpls c="8">
          <tpl hier="2" item="0"/>
          <tpl hier="4" item="1"/>
          <tpl fld="2" item="44"/>
          <tpl fld="4" item="0"/>
          <tpl hier="9" item="4"/>
          <tpl hier="11" item="6"/>
          <tpl hier="12" item="5"/>
          <tpl fld="1" item="0"/>
        </tpls>
      </n>
      <n v="174938095616">
        <tpls c="8">
          <tpl hier="2" item="0"/>
          <tpl hier="4" item="1"/>
          <tpl fld="2" item="7"/>
          <tpl fld="3" item="0"/>
          <tpl hier="9" item="4"/>
          <tpl hier="11" item="6"/>
          <tpl hier="12" item="5"/>
          <tpl fld="1" item="0"/>
        </tpls>
      </n>
      <n v="3193704448">
        <tpls c="8">
          <tpl hier="2" item="0"/>
          <tpl hier="4" item="1"/>
          <tpl fld="2" item="43"/>
          <tpl fld="4" item="0"/>
          <tpl hier="9" item="4"/>
          <tpl hier="11" item="6"/>
          <tpl hier="12" item="5"/>
          <tpl fld="1" item="0"/>
        </tpls>
      </n>
      <n v="2852165779456">
        <tpls c="8">
          <tpl hier="2" item="0"/>
          <tpl hier="4" item="1"/>
          <tpl fld="2" item="44"/>
          <tpl fld="4" item="7"/>
          <tpl hier="9" item="4"/>
          <tpl hier="11" item="6"/>
          <tpl hier="12" item="5"/>
          <tpl fld="1" item="0"/>
        </tpls>
      </n>
      <n v="3952600576">
        <tpls c="8">
          <tpl hier="2" item="0"/>
          <tpl hier="4" item="1"/>
          <tpl fld="2" item="37"/>
          <tpl fld="4" item="0"/>
          <tpl hier="9" item="4"/>
          <tpl hier="11" item="6"/>
          <tpl hier="12" item="5"/>
          <tpl fld="1" item="0"/>
        </tpls>
      </n>
      <n v="614608994304">
        <tpls c="8">
          <tpl hier="2" item="0"/>
          <tpl hier="4" item="1"/>
          <tpl fld="2" item="25"/>
          <tpl fld="4" item="23"/>
          <tpl hier="9" item="4"/>
          <tpl hier="11" item="6"/>
          <tpl hier="12" item="5"/>
          <tpl fld="1" item="0"/>
        </tpls>
      </n>
      <n v="783528165376">
        <tpls c="8">
          <tpl hier="2" item="0"/>
          <tpl hier="4" item="1"/>
          <tpl fld="2" item="46"/>
          <tpl fld="4" item="17"/>
          <tpl hier="9" item="4"/>
          <tpl hier="11" item="6"/>
          <tpl hier="12" item="5"/>
          <tpl fld="1" item="0"/>
        </tpls>
      </n>
      <n v="299813109760">
        <tpls c="8">
          <tpl hier="2" item="0"/>
          <tpl hier="4" item="1"/>
          <tpl fld="2" item="45"/>
          <tpl fld="4" item="12"/>
          <tpl hier="9" item="4"/>
          <tpl hier="11" item="6"/>
          <tpl hier="12" item="5"/>
          <tpl fld="1" item="0"/>
        </tpls>
      </n>
      <n v="31152840704">
        <tpls c="8">
          <tpl hier="2" item="0"/>
          <tpl hier="4" item="1"/>
          <tpl fld="2" item="6"/>
          <tpl fld="4" item="9"/>
          <tpl hier="9" item="4"/>
          <tpl hier="11" item="6"/>
          <tpl hier="12" item="5"/>
          <tpl fld="1" item="0"/>
        </tpls>
      </n>
      <n v="72768111034368">
        <tpls c="8">
          <tpl hier="2" item="0"/>
          <tpl hier="4" item="1"/>
          <tpl hier="5" item="3"/>
          <tpl fld="4" item="7"/>
          <tpl hier="9" item="4"/>
          <tpl hier="11" item="6"/>
          <tpl hier="12" item="5"/>
          <tpl fld="1" item="0"/>
        </tpls>
      </n>
      <n v="553138388992">
        <tpls c="8">
          <tpl hier="2" item="0"/>
          <tpl hier="4" item="1"/>
          <tpl fld="2" item="15"/>
          <tpl fld="4" item="7"/>
          <tpl hier="9" item="4"/>
          <tpl hier="11" item="6"/>
          <tpl hier="12" item="5"/>
          <tpl fld="1" item="0"/>
        </tpls>
      </n>
      <n v="134038716416">
        <tpls c="8">
          <tpl hier="2" item="0"/>
          <tpl hier="4" item="1"/>
          <tpl fld="2" item="28"/>
          <tpl fld="4" item="6"/>
          <tpl hier="9" item="4"/>
          <tpl hier="11" item="6"/>
          <tpl hier="12" item="5"/>
          <tpl fld="1" item="0"/>
        </tpls>
      </n>
      <n v="313115934720">
        <tpls c="8">
          <tpl hier="2" item="0"/>
          <tpl hier="4" item="1"/>
          <tpl fld="2" item="46"/>
          <tpl fld="4" item="5"/>
          <tpl hier="9" item="4"/>
          <tpl hier="11" item="6"/>
          <tpl hier="12" item="5"/>
          <tpl fld="1" item="0"/>
        </tpls>
      </n>
      <n v="88078761984">
        <tpls c="8">
          <tpl hier="2" item="0"/>
          <tpl hier="4" item="1"/>
          <tpl fld="2" item="16"/>
          <tpl fld="4" item="5"/>
          <tpl hier="9" item="4"/>
          <tpl hier="11" item="6"/>
          <tpl hier="12" item="5"/>
          <tpl fld="1" item="0"/>
        </tpls>
      </n>
      <n v="71113883648">
        <tpls c="8">
          <tpl hier="2" item="0"/>
          <tpl hier="4" item="1"/>
          <tpl fld="2" item="6"/>
          <tpl fld="4" item="3"/>
          <tpl hier="9" item="4"/>
          <tpl hier="11" item="6"/>
          <tpl hier="12" item="5"/>
          <tpl fld="1" item="0"/>
        </tpls>
      </n>
      <n v="261695782912">
        <tpls c="8">
          <tpl hier="2" item="0"/>
          <tpl hier="4" item="1"/>
          <tpl fld="2" item="33"/>
          <tpl fld="4" item="2"/>
          <tpl hier="9" item="4"/>
          <tpl hier="11" item="6"/>
          <tpl hier="12" item="5"/>
          <tpl fld="1" item="0"/>
        </tpls>
      </n>
      <n v="71034224640">
        <tpls c="8">
          <tpl hier="2" item="0"/>
          <tpl hier="4" item="1"/>
          <tpl fld="2" item="11"/>
          <tpl fld="4" item="2"/>
          <tpl hier="9" item="4"/>
          <tpl hier="11" item="6"/>
          <tpl hier="12" item="5"/>
          <tpl fld="1" item="0"/>
        </tpls>
      </n>
      <n v="1146138525696">
        <tpls c="8">
          <tpl hier="2" item="0"/>
          <tpl hier="4" item="1"/>
          <tpl fld="2" item="40"/>
          <tpl fld="4" item="1"/>
          <tpl hier="9" item="4"/>
          <tpl hier="11" item="6"/>
          <tpl hier="12" item="5"/>
          <tpl fld="1" item="0"/>
        </tpls>
      </n>
      <n v="141879491469312">
        <tpls c="8">
          <tpl hier="2" item="0"/>
          <tpl hier="4" item="1"/>
          <tpl hier="5" item="3"/>
          <tpl fld="3" item="0"/>
          <tpl hier="9" item="4"/>
          <tpl hier="11" item="6"/>
          <tpl hier="12" item="5"/>
          <tpl fld="1" item="0"/>
        </tpls>
      </n>
      <n v="1211346845696">
        <tpls c="8">
          <tpl hier="2" item="0"/>
          <tpl hier="4" item="1"/>
          <tpl fld="2" item="30"/>
          <tpl fld="3" item="0"/>
          <tpl hier="9" item="4"/>
          <tpl hier="11" item="6"/>
          <tpl hier="12" item="5"/>
          <tpl fld="1" item="0"/>
        </tpls>
      </n>
      <n v="14342902775808">
        <tpls c="8">
          <tpl hier="2" item="0"/>
          <tpl hier="4" item="1"/>
          <tpl fld="2" item="49"/>
          <tpl fld="3" item="0"/>
          <tpl hier="9" item="4"/>
          <tpl hier="11" item="6"/>
          <tpl hier="12" item="5"/>
          <tpl fld="1" item="0"/>
        </tpls>
      </n>
      <n v="127949873152">
        <tpls c="8">
          <tpl hier="2" item="0"/>
          <tpl hier="4" item="1"/>
          <tpl fld="2" item="32"/>
          <tpl fld="4" item="11"/>
          <tpl hier="9" item="4"/>
          <tpl hier="11" item="6"/>
          <tpl hier="12" item="5"/>
          <tpl fld="1" item="0"/>
        </tpls>
      </n>
      <n v="466488066048">
        <tpls c="8">
          <tpl hier="2" item="0"/>
          <tpl hier="4" item="1"/>
          <tpl fld="2" item="33"/>
          <tpl fld="4" item="1"/>
          <tpl hier="9" item="4"/>
          <tpl hier="11" item="6"/>
          <tpl hier="12" item="5"/>
          <tpl fld="1" item="0"/>
        </tpls>
      </n>
      <n v="118507184128">
        <tpls c="8">
          <tpl hier="2" item="0"/>
          <tpl hier="4" item="1"/>
          <tpl fld="2" item="6"/>
          <tpl fld="4" item="23"/>
          <tpl hier="9" item="4"/>
          <tpl hier="11" item="6"/>
          <tpl hier="12" item="5"/>
          <tpl fld="1" item="0"/>
        </tpls>
      </n>
      <n v="416442777600">
        <tpls c="8">
          <tpl hier="2" item="0"/>
          <tpl hier="4" item="1"/>
          <tpl fld="2" item="30"/>
          <tpl fld="4" item="17"/>
          <tpl hier="9" item="4"/>
          <tpl hier="11" item="6"/>
          <tpl hier="12" item="5"/>
          <tpl fld="1" item="0"/>
        </tpls>
      </n>
      <n v="117111537664">
        <tpls c="8">
          <tpl hier="2" item="0"/>
          <tpl hier="4" item="1"/>
          <tpl fld="2" item="29"/>
          <tpl fld="4" item="12"/>
          <tpl hier="9" item="4"/>
          <tpl hier="11" item="6"/>
          <tpl hier="12" item="5"/>
          <tpl fld="1" item="0"/>
        </tpls>
      </n>
      <n v="3466790174720">
        <tpls c="8">
          <tpl hier="2" item="0"/>
          <tpl hier="4" item="1"/>
          <tpl fld="2" item="46"/>
          <tpl fld="4" item="8"/>
          <tpl hier="9" item="4"/>
          <tpl hier="11" item="6"/>
          <tpl hier="12" item="5"/>
          <tpl fld="1" item="0"/>
        </tpls>
      </n>
      <n v="2715518238720">
        <tpls c="8">
          <tpl hier="2" item="0"/>
          <tpl hier="4" item="1"/>
          <tpl fld="2" item="49"/>
          <tpl fld="4" item="7"/>
          <tpl hier="9" item="4"/>
          <tpl hier="11" item="6"/>
          <tpl hier="12" item="5"/>
          <tpl fld="1" item="0"/>
        </tpls>
      </n>
      <n v="584877735936">
        <tpls c="8">
          <tpl hier="2" item="0"/>
          <tpl hier="4" item="1"/>
          <tpl fld="2" item="12"/>
          <tpl fld="4" item="7"/>
          <tpl hier="9" item="4"/>
          <tpl hier="11" item="6"/>
          <tpl hier="12" item="5"/>
          <tpl fld="1" item="0"/>
        </tpls>
      </n>
      <n v="126912151552">
        <tpls c="8">
          <tpl hier="2" item="0"/>
          <tpl hier="4" item="1"/>
          <tpl fld="2" item="27"/>
          <tpl fld="4" item="6"/>
          <tpl hier="9" item="4"/>
          <tpl hier="11" item="6"/>
          <tpl hier="12" item="5"/>
          <tpl fld="1" item="0"/>
        </tpls>
      </n>
      <n v="302673068032">
        <tpls c="8">
          <tpl hier="2" item="0"/>
          <tpl hier="4" item="1"/>
          <tpl fld="2" item="45"/>
          <tpl fld="4" item="5"/>
          <tpl hier="9" item="4"/>
          <tpl hier="11" item="6"/>
          <tpl hier="12" item="5"/>
          <tpl fld="1" item="0"/>
        </tpls>
      </n>
      <n v="62658568192">
        <tpls c="8">
          <tpl hier="2" item="0"/>
          <tpl hier="4" item="1"/>
          <tpl fld="2" item="15"/>
          <tpl fld="4" item="5"/>
          <tpl hier="9" item="4"/>
          <tpl hier="11" item="6"/>
          <tpl hier="12" item="5"/>
          <tpl fld="1" item="0"/>
        </tpls>
      </n>
      <n v="1464977195008">
        <tpls c="8">
          <tpl hier="2" item="0"/>
          <tpl hier="4" item="1"/>
          <tpl fld="2" item="37"/>
          <tpl fld="4" item="4"/>
          <tpl hier="9" item="4"/>
          <tpl hier="11" item="6"/>
          <tpl hier="12" item="5"/>
          <tpl fld="1" item="0"/>
        </tpls>
      </n>
      <n v="243072106496">
        <tpls c="8">
          <tpl hier="2" item="0"/>
          <tpl hier="4" item="1"/>
          <tpl fld="2" item="9"/>
          <tpl fld="4" item="4"/>
          <tpl hier="9" item="4"/>
          <tpl hier="11" item="6"/>
          <tpl hier="12" item="5"/>
          <tpl fld="1" item="0"/>
        </tpls>
      </n>
      <n v="236204539904">
        <tpls c="8">
          <tpl hier="2" item="0"/>
          <tpl hier="4" item="1"/>
          <tpl fld="2" item="30"/>
          <tpl fld="4" item="3"/>
          <tpl hier="9" item="4"/>
          <tpl hier="11" item="6"/>
          <tpl hier="12" item="5"/>
          <tpl fld="1" item="0"/>
        </tpls>
      </n>
      <n v="65678188544">
        <tpls c="8">
          <tpl hier="2" item="0"/>
          <tpl hier="4" item="1"/>
          <tpl fld="2" item="5"/>
          <tpl fld="4" item="3"/>
          <tpl hier="9" item="4"/>
          <tpl hier="11" item="6"/>
          <tpl hier="12" item="5"/>
          <tpl fld="1" item="0"/>
        </tpls>
      </n>
      <n v="213377777664">
        <tpls c="8">
          <tpl hier="2" item="0"/>
          <tpl hier="4" item="1"/>
          <tpl fld="2" item="32"/>
          <tpl fld="4" item="2"/>
          <tpl hier="9" item="4"/>
          <tpl hier="11" item="6"/>
          <tpl hier="12" item="5"/>
          <tpl fld="1" item="0"/>
        </tpls>
      </n>
      <n v="73937297408">
        <tpls c="8">
          <tpl hier="2" item="0"/>
          <tpl hier="4" item="1"/>
          <tpl fld="2" item="9"/>
          <tpl fld="4" item="2"/>
          <tpl hier="9" item="4"/>
          <tpl hier="11" item="6"/>
          <tpl hier="12" item="5"/>
          <tpl fld="1" item="0"/>
        </tpls>
      </n>
      <n v="746054221824">
        <tpls c="8">
          <tpl hier="2" item="0"/>
          <tpl hier="4" item="1"/>
          <tpl fld="2" item="36"/>
          <tpl fld="4" item="1"/>
          <tpl hier="9" item="4"/>
          <tpl hier="11" item="6"/>
          <tpl hier="12" item="5"/>
          <tpl fld="1" item="0"/>
        </tpls>
      </n>
      <n v="193242169344">
        <tpls c="8">
          <tpl hier="2" item="0"/>
          <tpl hier="4" item="1"/>
          <tpl fld="2" item="14"/>
          <tpl fld="4" item="1"/>
          <tpl hier="9" item="4"/>
          <tpl hier="11" item="6"/>
          <tpl hier="12" item="5"/>
          <tpl fld="1" item="0"/>
        </tpls>
      </n>
      <n v="863746719744">
        <tpls c="8">
          <tpl hier="2" item="0"/>
          <tpl hier="4" item="1"/>
          <tpl fld="2" item="26"/>
          <tpl fld="3" item="0"/>
          <tpl hier="9" item="4"/>
          <tpl hier="11" item="6"/>
          <tpl hier="12" item="5"/>
          <tpl fld="1" item="0"/>
        </tpls>
      </n>
      <n v="119012057088">
        <tpls c="8">
          <tpl hier="2" item="0"/>
          <tpl hier="4" item="1"/>
          <tpl fld="2" item="19"/>
          <tpl fld="4" item="6"/>
          <tpl hier="9" item="4"/>
          <tpl hier="11" item="6"/>
          <tpl hier="12" item="5"/>
          <tpl fld="1" item="0"/>
        </tpls>
      </n>
      <n v="1053216931840">
        <tpls c="8">
          <tpl hier="2" item="0"/>
          <tpl hier="4" item="1"/>
          <tpl fld="2" item="36"/>
          <tpl fld="4" item="22"/>
          <tpl hier="9" item="4"/>
          <tpl hier="11" item="6"/>
          <tpl hier="12" item="5"/>
          <tpl fld="1" item="0"/>
        </tpls>
      </n>
      <n v="143912665088">
        <tpls c="8">
          <tpl hier="2" item="0"/>
          <tpl hier="4" item="1"/>
          <tpl fld="2" item="14"/>
          <tpl fld="4" item="17"/>
          <tpl hier="9" item="4"/>
          <tpl hier="11" item="6"/>
          <tpl hier="12" item="5"/>
          <tpl fld="1" item="0"/>
        </tpls>
      </n>
      <n v="31092230144">
        <tpls c="8">
          <tpl hier="2" item="0"/>
          <tpl hier="4" item="1"/>
          <tpl fld="2" item="13"/>
          <tpl fld="4" item="12"/>
          <tpl hier="9" item="4"/>
          <tpl hier="11" item="6"/>
          <tpl hier="12" item="5"/>
          <tpl fld="1" item="0"/>
        </tpls>
      </n>
      <n v="3360550027264">
        <tpls c="8">
          <tpl hier="2" item="0"/>
          <tpl hier="4" item="1"/>
          <tpl fld="2" item="45"/>
          <tpl fld="4" item="8"/>
          <tpl hier="9" item="4"/>
          <tpl hier="11" item="6"/>
          <tpl hier="12" item="5"/>
          <tpl fld="1" item="0"/>
        </tpls>
      </n>
      <n v="2787863953408">
        <tpls c="8">
          <tpl hier="2" item="0"/>
          <tpl hier="4" item="1"/>
          <tpl fld="2" item="48"/>
          <tpl fld="4" item="7"/>
          <tpl hier="9" item="4"/>
          <tpl hier="11" item="6"/>
          <tpl hier="12" item="5"/>
          <tpl fld="1" item="0"/>
        </tpls>
      </n>
      <n v="613953110016">
        <tpls c="8">
          <tpl hier="2" item="0"/>
          <tpl hier="4" item="1"/>
          <tpl fld="2" item="9"/>
          <tpl fld="4" item="7"/>
          <tpl hier="9" item="4"/>
          <tpl hier="11" item="6"/>
          <tpl hier="12" item="5"/>
          <tpl fld="1" item="0"/>
        </tpls>
      </n>
      <n v="132129177600">
        <tpls c="8">
          <tpl hier="2" item="0"/>
          <tpl hier="4" item="1"/>
          <tpl fld="2" item="26"/>
          <tpl fld="4" item="6"/>
          <tpl hier="9" item="4"/>
          <tpl hier="11" item="6"/>
          <tpl hier="12" item="5"/>
          <tpl fld="1" item="0"/>
        </tpls>
      </n>
      <n v="321995276288">
        <tpls c="8">
          <tpl hier="2" item="0"/>
          <tpl hier="4" item="1"/>
          <tpl fld="2" item="40"/>
          <tpl fld="4" item="5"/>
          <tpl hier="9" item="4"/>
          <tpl hier="11" item="6"/>
          <tpl hier="12" item="5"/>
          <tpl fld="1" item="0"/>
        </tpls>
      </n>
      <n v="59105234944">
        <tpls c="8">
          <tpl hier="2" item="0"/>
          <tpl hier="4" item="1"/>
          <tpl fld="2" item="14"/>
          <tpl fld="4" item="5"/>
          <tpl hier="9" item="4"/>
          <tpl hier="11" item="6"/>
          <tpl hier="12" item="5"/>
          <tpl fld="1" item="0"/>
        </tpls>
      </n>
      <n v="1169357930496">
        <tpls c="8">
          <tpl hier="2" item="0"/>
          <tpl hier="4" item="1"/>
          <tpl fld="2" item="35"/>
          <tpl fld="4" item="4"/>
          <tpl hier="9" item="4"/>
          <tpl hier="11" item="6"/>
          <tpl hier="12" item="5"/>
          <tpl fld="1" item="0"/>
        </tpls>
      </n>
      <n v="218632863744">
        <tpls c="8">
          <tpl hier="2" item="0"/>
          <tpl hier="4" item="1"/>
          <tpl fld="2" item="8"/>
          <tpl fld="4" item="4"/>
          <tpl hier="9" item="4"/>
          <tpl hier="11" item="6"/>
          <tpl hier="12" item="5"/>
          <tpl fld="1" item="0"/>
        </tpls>
      </n>
      <n v="258158526464">
        <tpls c="8">
          <tpl hier="2" item="0"/>
          <tpl hier="4" item="1"/>
          <tpl fld="2" item="29"/>
          <tpl fld="4" item="3"/>
          <tpl hier="9" item="4"/>
          <tpl hier="11" item="6"/>
          <tpl hier="12" item="5"/>
          <tpl fld="1" item="0"/>
        </tpls>
      </n>
      <n v="56033079296">
        <tpls c="8">
          <tpl hier="2" item="0"/>
          <tpl hier="4" item="1"/>
          <tpl fld="2" item="4"/>
          <tpl fld="4" item="3"/>
          <tpl hier="9" item="4"/>
          <tpl hier="11" item="6"/>
          <tpl hier="12" item="5"/>
          <tpl fld="1" item="0"/>
        </tpls>
      </n>
      <n v="197337874432">
        <tpls c="8">
          <tpl hier="2" item="0"/>
          <tpl hier="4" item="1"/>
          <tpl fld="2" item="31"/>
          <tpl fld="4" item="2"/>
          <tpl hier="9" item="4"/>
          <tpl hier="11" item="6"/>
          <tpl hier="12" item="5"/>
          <tpl fld="1" item="0"/>
        </tpls>
      </n>
      <n v="62052257792">
        <tpls c="8">
          <tpl hier="2" item="0"/>
          <tpl hier="4" item="1"/>
          <tpl fld="2" item="8"/>
          <tpl fld="4" item="2"/>
          <tpl hier="9" item="4"/>
          <tpl hier="11" item="6"/>
          <tpl hier="12" item="5"/>
          <tpl fld="1" item="0"/>
        </tpls>
      </n>
      <n v="693407776768">
        <tpls c="8">
          <tpl hier="2" item="0"/>
          <tpl hier="4" item="1"/>
          <tpl fld="2" item="35"/>
          <tpl fld="4" item="1"/>
          <tpl hier="9" item="4"/>
          <tpl hier="11" item="6"/>
          <tpl hier="12" item="5"/>
          <tpl fld="1" item="0"/>
        </tpls>
      </n>
      <n v="193770274816">
        <tpls c="8">
          <tpl hier="2" item="0"/>
          <tpl hier="4" item="1"/>
          <tpl fld="2" item="12"/>
          <tpl fld="4" item="1"/>
          <tpl hier="9" item="4"/>
          <tpl hier="11" item="6"/>
          <tpl hier="12" item="5"/>
          <tpl fld="1" item="0"/>
        </tpls>
      </n>
      <n v="3674409472">
        <tpls c="8">
          <tpl hier="2" item="0"/>
          <tpl hier="4" item="1"/>
          <tpl fld="2" item="39"/>
          <tpl fld="4" item="0"/>
          <tpl hier="9" item="4"/>
          <tpl hier="11" item="6"/>
          <tpl hier="12" item="5"/>
          <tpl fld="1" item="0"/>
        </tpls>
      </n>
      <n v="611316416">
        <tpls c="8">
          <tpl hier="2" item="0"/>
          <tpl hier="4" item="1"/>
          <tpl fld="2" item="17"/>
          <tpl fld="4" item="0"/>
          <tpl hier="9" item="4"/>
          <tpl hier="11" item="6"/>
          <tpl hier="12" item="5"/>
          <tpl fld="1" item="0"/>
        </tpls>
      </n>
      <n v="13894816890880">
        <tpls c="8">
          <tpl hier="2" item="0"/>
          <tpl hier="4" item="1"/>
          <tpl fld="2" item="48"/>
          <tpl fld="3" item="0"/>
          <tpl hier="9" item="4"/>
          <tpl hier="11" item="6"/>
          <tpl hier="12" item="5"/>
          <tpl fld="1" item="0"/>
        </tpls>
      </n>
      <n v="734547869696">
        <tpls c="8">
          <tpl hier="2" item="0"/>
          <tpl hier="4" item="1"/>
          <tpl fld="2" item="25"/>
          <tpl fld="3" item="0"/>
          <tpl hier="9" item="4"/>
          <tpl hier="11" item="6"/>
          <tpl hier="12" item="5"/>
          <tpl fld="1" item="0"/>
        </tpls>
      </n>
      <n v="144182132736">
        <tpls c="8">
          <tpl hier="2" item="0"/>
          <tpl hier="4" item="1"/>
          <tpl fld="2" item="4"/>
          <tpl fld="3" item="0"/>
          <tpl hier="9" item="4"/>
          <tpl hier="11" item="6"/>
          <tpl hier="12" item="5"/>
          <tpl fld="1" item="0"/>
        </tpls>
      </n>
      <n v="410279477248">
        <tpls c="8">
          <tpl hier="2" item="0"/>
          <tpl hier="4" item="1"/>
          <tpl fld="2" item="7"/>
          <tpl fld="4" item="7"/>
          <tpl hier="9" item="4"/>
          <tpl hier="11" item="6"/>
          <tpl hier="12" item="5"/>
          <tpl fld="1" item="0"/>
        </tpls>
      </n>
      <n v="113687584768">
        <tpls c="8">
          <tpl hier="2" item="0"/>
          <tpl hier="4" item="1"/>
          <tpl fld="2" item="2"/>
          <tpl fld="3" item="0"/>
          <tpl hier="9" item="4"/>
          <tpl hier="11" item="6"/>
          <tpl hier="12" item="5"/>
          <tpl fld="1" item="0"/>
        </tpls>
      </n>
      <n v="147948257280">
        <tpls c="8">
          <tpl hier="2" item="0"/>
          <tpl hier="4" item="1"/>
          <tpl fld="2" item="17"/>
          <tpl fld="4" item="22"/>
          <tpl hier="9" item="4"/>
          <tpl hier="11" item="6"/>
          <tpl hier="12" item="5"/>
          <tpl fld="1" item="0"/>
        </tpls>
      </n>
      <n v="14786156544">
        <tpls c="8">
          <tpl hier="2" item="0"/>
          <tpl hier="4" item="1"/>
          <tpl fld="2" item="49"/>
          <tpl fld="4" item="16"/>
          <tpl hier="9" item="4"/>
          <tpl hier="11" item="6"/>
          <tpl hier="12" item="5"/>
          <tpl fld="1" item="0"/>
        </tpls>
      </n>
      <n v="382674370560">
        <tpls c="8">
          <tpl hier="2" item="0"/>
          <tpl hier="4" item="1"/>
          <tpl fld="2" item="48"/>
          <tpl fld="4" item="11"/>
          <tpl hier="9" item="4"/>
          <tpl hier="11" item="6"/>
          <tpl hier="12" item="5"/>
          <tpl fld="1" item="0"/>
        </tpls>
      </n>
      <n v="3744408535040">
        <tpls c="8">
          <tpl hier="2" item="0"/>
          <tpl hier="4" item="1"/>
          <tpl fld="2" item="41"/>
          <tpl fld="4" item="8"/>
          <tpl hier="9" item="4"/>
          <tpl hier="11" item="6"/>
          <tpl hier="12" item="5"/>
          <tpl fld="1" item="0"/>
        </tpls>
      </n>
      <n v="2595151151104">
        <tpls c="8">
          <tpl hier="2" item="0"/>
          <tpl hier="4" item="1"/>
          <tpl fld="2" item="47"/>
          <tpl fld="4" item="7"/>
          <tpl hier="9" item="4"/>
          <tpl hier="11" item="6"/>
          <tpl hier="12" item="5"/>
          <tpl fld="1" item="0"/>
        </tpls>
      </n>
      <n v="506707836928">
        <tpls c="8">
          <tpl hier="2" item="0"/>
          <tpl hier="4" item="1"/>
          <tpl fld="2" item="8"/>
          <tpl fld="4" item="7"/>
          <tpl hier="9" item="4"/>
          <tpl hier="11" item="6"/>
          <tpl hier="12" item="5"/>
          <tpl fld="1" item="0"/>
        </tpls>
      </n>
      <n v="141438353408">
        <tpls c="8">
          <tpl hier="2" item="0"/>
          <tpl hier="4" item="1"/>
          <tpl fld="2" item="20"/>
          <tpl fld="4" item="6"/>
          <tpl hier="9" item="4"/>
          <tpl hier="11" item="6"/>
          <tpl hier="12" item="5"/>
          <tpl fld="1" item="0"/>
        </tpls>
      </n>
      <n v="321241317376">
        <tpls c="8">
          <tpl hier="2" item="0"/>
          <tpl hier="4" item="1"/>
          <tpl fld="2" item="39"/>
          <tpl fld="4" item="5"/>
          <tpl hier="9" item="4"/>
          <tpl hier="11" item="6"/>
          <tpl hier="12" item="5"/>
          <tpl fld="1" item="0"/>
        </tpls>
      </n>
      <n v="60644782080">
        <tpls c="8">
          <tpl hier="2" item="0"/>
          <tpl hier="4" item="1"/>
          <tpl fld="2" item="13"/>
          <tpl fld="4" item="5"/>
          <tpl hier="9" item="4"/>
          <tpl hier="11" item="6"/>
          <tpl hier="12" item="5"/>
          <tpl fld="1" item="0"/>
        </tpls>
      </n>
      <n v="1023196790784">
        <tpls c="8">
          <tpl hier="2" item="0"/>
          <tpl hier="4" item="1"/>
          <tpl fld="2" item="34"/>
          <tpl fld="4" item="4"/>
          <tpl hier="9" item="4"/>
          <tpl hier="11" item="6"/>
          <tpl hier="12" item="5"/>
          <tpl fld="1" item="0"/>
        </tpls>
      </n>
      <n v="173834027008">
        <tpls c="8">
          <tpl hier="2" item="0"/>
          <tpl hier="4" item="1"/>
          <tpl fld="2" item="5"/>
          <tpl fld="4" item="4"/>
          <tpl hier="9" item="4"/>
          <tpl hier="11" item="6"/>
          <tpl hier="12" item="5"/>
          <tpl fld="1" item="0"/>
        </tpls>
      </n>
      <n v="258528346112">
        <tpls c="8">
          <tpl hier="2" item="0"/>
          <tpl hier="4" item="1"/>
          <tpl fld="2" item="28"/>
          <tpl fld="4" item="3"/>
          <tpl hier="9" item="4"/>
          <tpl hier="11" item="6"/>
          <tpl hier="12" item="5"/>
          <tpl fld="1" item="0"/>
        </tpls>
      </n>
      <n v="47743803392">
        <tpls c="8">
          <tpl hier="2" item="0"/>
          <tpl hier="4" item="1"/>
          <tpl fld="2" item="3"/>
          <tpl fld="4" item="3"/>
          <tpl hier="9" item="4"/>
          <tpl hier="11" item="6"/>
          <tpl hier="12" item="5"/>
          <tpl fld="1" item="0"/>
        </tpls>
      </n>
      <n v="196799774720">
        <tpls c="8">
          <tpl hier="2" item="0"/>
          <tpl hier="4" item="1"/>
          <tpl fld="2" item="30"/>
          <tpl fld="4" item="2"/>
          <tpl hier="9" item="4"/>
          <tpl hier="11" item="6"/>
          <tpl hier="12" item="5"/>
          <tpl fld="1" item="0"/>
        </tpls>
      </n>
      <n v="51545759744">
        <tpls c="8">
          <tpl hier="2" item="0"/>
          <tpl hier="4" item="1"/>
          <tpl fld="2" item="7"/>
          <tpl fld="4" item="2"/>
          <tpl hier="9" item="4"/>
          <tpl hier="11" item="6"/>
          <tpl hier="12" item="5"/>
          <tpl fld="1" item="0"/>
        </tpls>
      </n>
      <n v="612490412032">
        <tpls c="8">
          <tpl hier="2" item="0"/>
          <tpl hier="4" item="1"/>
          <tpl fld="2" item="34"/>
          <tpl fld="4" item="1"/>
          <tpl hier="9" item="4"/>
          <tpl hier="11" item="6"/>
          <tpl hier="12" item="5"/>
          <tpl fld="1" item="0"/>
        </tpls>
      </n>
      <n v="176642277376">
        <tpls c="8">
          <tpl hier="2" item="0"/>
          <tpl hier="4" item="1"/>
          <tpl fld="2" item="11"/>
          <tpl fld="4" item="1"/>
          <tpl hier="9" item="4"/>
          <tpl hier="11" item="6"/>
          <tpl hier="12" item="5"/>
          <tpl fld="1" item="0"/>
        </tpls>
      </n>
      <n v="4085630464">
        <tpls c="8">
          <tpl hier="2" item="0"/>
          <tpl hier="4" item="1"/>
          <tpl fld="2" item="38"/>
          <tpl fld="4" item="0"/>
          <tpl hier="9" item="4"/>
          <tpl hier="11" item="6"/>
          <tpl hier="12" item="5"/>
          <tpl fld="1" item="0"/>
        </tpls>
      </n>
      <n v="482000608">
        <tpls c="8">
          <tpl hier="2" item="0"/>
          <tpl hier="4" item="1"/>
          <tpl fld="2" item="16"/>
          <tpl fld="4" item="0"/>
          <tpl hier="9" item="4"/>
          <tpl hier="11" item="6"/>
          <tpl hier="12" item="5"/>
          <tpl fld="1" item="0"/>
        </tpls>
      </n>
      <n v="12310409117696">
        <tpls c="8">
          <tpl hier="2" item="0"/>
          <tpl hier="4" item="1"/>
          <tpl fld="2" item="47"/>
          <tpl fld="3" item="0"/>
          <tpl hier="9" item="4"/>
          <tpl hier="11" item="6"/>
          <tpl hier="12" item="5"/>
          <tpl fld="1" item="0"/>
        </tpls>
      </n>
      <n v="564324663296">
        <tpls c="8">
          <tpl hier="2" item="0"/>
          <tpl hier="4" item="1"/>
          <tpl fld="2" item="24"/>
          <tpl fld="3" item="0"/>
          <tpl hier="9" item="4"/>
          <tpl hier="11" item="6"/>
          <tpl hier="12" item="5"/>
          <tpl fld="1" item="0"/>
        </tpls>
      </n>
      <n v="138544283648">
        <tpls c="8">
          <tpl hier="2" item="0"/>
          <tpl hier="4" item="1"/>
          <tpl fld="2" item="3"/>
          <tpl fld="3" item="0"/>
          <tpl hier="9" item="4"/>
          <tpl hier="11" item="6"/>
          <tpl hier="12" item="5"/>
          <tpl fld="1" item="0"/>
        </tpls>
      </n>
      <n v="372062519296">
        <tpls c="8">
          <tpl hier="2" item="0"/>
          <tpl hier="4" item="1"/>
          <tpl fld="2" item="49"/>
          <tpl fld="4" item="21"/>
          <tpl hier="9" item="4"/>
          <tpl hier="11" item="6"/>
          <tpl hier="12" item="5"/>
          <tpl fld="1" item="0"/>
        </tpls>
      </n>
      <n v="346737952">
        <tpls c="8">
          <tpl hier="2" item="0"/>
          <tpl hier="4" item="1"/>
          <tpl fld="2" item="15"/>
          <tpl fld="4" item="0"/>
          <tpl hier="9" item="4"/>
          <tpl hier="11" item="6"/>
          <tpl hier="12" item="5"/>
          <tpl fld="1" item="0"/>
        </tpls>
      </n>
      <n v="89794945024">
        <tpls c="8">
          <tpl hier="2" item="0"/>
          <tpl hier="4" item="1"/>
          <tpl fld="2" item="31"/>
          <tpl fld="4" item="21"/>
          <tpl hier="9" item="4"/>
          <tpl hier="11" item="6"/>
          <tpl hier="12" item="5"/>
          <tpl fld="1" item="0"/>
        </tpls>
      </n>
      <n v="1751247744">
        <tpls c="8">
          <tpl hier="2" item="0"/>
          <tpl hier="4" item="1"/>
          <tpl fld="2" item="17"/>
          <tpl fld="4" item="16"/>
          <tpl hier="9" item="4"/>
          <tpl hier="11" item="6"/>
          <tpl hier="12" item="5"/>
          <tpl fld="1" item="0"/>
        </tpls>
      </n>
      <n v="28748959744">
        <tpls c="8">
          <tpl hier="2" item="0"/>
          <tpl hier="4" item="1"/>
          <tpl fld="2" item="16"/>
          <tpl fld="4" item="11"/>
          <tpl hier="9" item="4"/>
          <tpl hier="11" item="6"/>
          <tpl hier="12" item="5"/>
          <tpl fld="1" item="0"/>
        </tpls>
      </n>
      <n v="3421229023232">
        <tpls c="8">
          <tpl hier="2" item="0"/>
          <tpl hier="4" item="1"/>
          <tpl fld="2" item="37"/>
          <tpl fld="4" item="8"/>
          <tpl hier="9" item="4"/>
          <tpl hier="11" item="6"/>
          <tpl hier="12" item="5"/>
          <tpl fld="1" item="0"/>
        </tpls>
      </n>
      <n v="2861408190464">
        <tpls c="8">
          <tpl hier="2" item="0"/>
          <tpl hier="4" item="1"/>
          <tpl fld="2" item="41"/>
          <tpl fld="4" item="7"/>
          <tpl hier="9" item="4"/>
          <tpl hier="11" item="6"/>
          <tpl hier="12" item="5"/>
          <tpl fld="1" item="0"/>
        </tpls>
      </n>
      <n v="165966610432">
        <tpls c="8">
          <tpl hier="2" item="0"/>
          <tpl hier="4" item="1"/>
          <tpl fld="2" item="1"/>
          <tpl fld="4" item="7"/>
          <tpl hier="9" item="4"/>
          <tpl hier="11" item="6"/>
          <tpl hier="12" item="5"/>
          <tpl fld="1" item="0"/>
        </tpls>
      </n>
      <n v="109058990080">
        <tpls c="8">
          <tpl hier="2" item="0"/>
          <tpl hier="4" item="1"/>
          <tpl fld="2" item="18"/>
          <tpl fld="4" item="6"/>
          <tpl hier="9" item="4"/>
          <tpl hier="11" item="6"/>
          <tpl hier="12" item="5"/>
          <tpl fld="1" item="0"/>
        </tpls>
      </n>
      <n v="319423414272">
        <tpls c="8">
          <tpl hier="2" item="0"/>
          <tpl hier="4" item="1"/>
          <tpl fld="2" item="37"/>
          <tpl fld="4" item="5"/>
          <tpl hier="9" item="4"/>
          <tpl hier="11" item="6"/>
          <tpl hier="12" item="5"/>
          <tpl fld="1" item="0"/>
        </tpls>
      </n>
      <n v="49784340480">
        <tpls c="8">
          <tpl hier="2" item="0"/>
          <tpl hier="4" item="1"/>
          <tpl fld="2" item="7"/>
          <tpl fld="4" item="5"/>
          <tpl hier="9" item="4"/>
          <tpl hier="11" item="6"/>
          <tpl hier="12" item="5"/>
          <tpl fld="1" item="0"/>
        </tpls>
      </n>
      <n v="757950709760">
        <tpls c="8">
          <tpl hier="2" item="0"/>
          <tpl hier="4" item="1"/>
          <tpl fld="2" item="32"/>
          <tpl fld="4" item="4"/>
          <tpl hier="9" item="4"/>
          <tpl hier="11" item="6"/>
          <tpl hier="12" item="5"/>
          <tpl fld="1" item="0"/>
        </tpls>
      </n>
      <n v="113082818560">
        <tpls c="8">
          <tpl hier="2" item="0"/>
          <tpl hier="4" item="1"/>
          <tpl fld="2" item="2"/>
          <tpl fld="4" item="4"/>
          <tpl hier="9" item="4"/>
          <tpl hier="11" item="6"/>
          <tpl hier="12" item="5"/>
          <tpl fld="1" item="0"/>
        </tpls>
      </n>
      <n v="244884127744">
        <tpls c="8">
          <tpl hier="2" item="0"/>
          <tpl hier="4" item="1"/>
          <tpl fld="2" item="24"/>
          <tpl fld="4" item="3"/>
          <tpl hier="9" item="4"/>
          <tpl hier="11" item="6"/>
          <tpl hier="12" item="5"/>
          <tpl fld="1" item="0"/>
        </tpls>
      </n>
      <n v="446314741760">
        <tpls c="8">
          <tpl hier="2" item="0"/>
          <tpl hier="4" item="1"/>
          <tpl fld="2" item="49"/>
          <tpl fld="4" item="2"/>
          <tpl hier="9" item="4"/>
          <tpl hier="11" item="6"/>
          <tpl hier="12" item="5"/>
          <tpl fld="1" item="0"/>
        </tpls>
      </n>
      <n v="212790345728">
        <tpls c="8">
          <tpl hier="2" item="0"/>
          <tpl hier="4" item="1"/>
          <tpl fld="2" item="27"/>
          <tpl fld="4" item="2"/>
          <tpl hier="9" item="4"/>
          <tpl hier="11" item="6"/>
          <tpl hier="12" item="5"/>
          <tpl fld="1" item="0"/>
        </tpls>
      </n>
      <n v="40059207680">
        <tpls c="8">
          <tpl hier="2" item="0"/>
          <tpl hier="4" item="1"/>
          <tpl fld="2" item="5"/>
          <tpl fld="4" item="2"/>
          <tpl hier="9" item="4"/>
          <tpl hier="11" item="6"/>
          <tpl hier="12" item="5"/>
          <tpl fld="1" item="0"/>
        </tpls>
      </n>
      <n v="394648911872">
        <tpls c="8">
          <tpl hier="2" item="0"/>
          <tpl hier="4" item="1"/>
          <tpl fld="2" item="32"/>
          <tpl fld="4" item="1"/>
          <tpl hier="9" item="4"/>
          <tpl hier="11" item="6"/>
          <tpl hier="12" item="5"/>
          <tpl fld="1" item="0"/>
        </tpls>
      </n>
      <n v="134712033280">
        <tpls c="8">
          <tpl hier="2" item="0"/>
          <tpl hier="4" item="1"/>
          <tpl fld="2" item="9"/>
          <tpl fld="4" item="1"/>
          <tpl hier="9" item="4"/>
          <tpl hier="11" item="6"/>
          <tpl hier="12" item="5"/>
          <tpl fld="1" item="0"/>
        </tpls>
      </n>
      <n v="3456442112">
        <tpls c="8">
          <tpl hier="2" item="0"/>
          <tpl hier="4" item="1"/>
          <tpl fld="2" item="36"/>
          <tpl fld="4" item="0"/>
          <tpl hier="9" item="4"/>
          <tpl hier="11" item="6"/>
          <tpl hier="12" item="5"/>
          <tpl fld="1" item="0"/>
        </tpls>
      </n>
      <n v="330070688">
        <tpls c="8">
          <tpl hier="2" item="0"/>
          <tpl hier="4" item="1"/>
          <tpl fld="2" item="14"/>
          <tpl fld="4" item="0"/>
          <tpl hier="9" item="4"/>
          <tpl hier="11" item="6"/>
          <tpl hier="12" item="5"/>
          <tpl fld="1" item="0"/>
        </tpls>
      </n>
      <n v="8532230930432">
        <tpls c="8">
          <tpl hier="2" item="0"/>
          <tpl hier="4" item="1"/>
          <tpl fld="2" item="42"/>
          <tpl fld="3" item="0"/>
          <tpl hier="9" item="4"/>
          <tpl hier="11" item="6"/>
          <tpl hier="12" item="5"/>
          <tpl fld="1" item="0"/>
        </tpls>
      </n>
      <n v="426915725312">
        <tpls c="8">
          <tpl hier="2" item="0"/>
          <tpl hier="4" item="1"/>
          <tpl fld="2" item="22"/>
          <tpl fld="3" item="0"/>
          <tpl hier="9" item="4"/>
          <tpl hier="11" item="6"/>
          <tpl hier="12" item="5"/>
          <tpl fld="1" item="0"/>
        </tpls>
      </n>
      <n v="99800956928">
        <tpls c="8">
          <tpl hier="2" item="0"/>
          <tpl hier="4" item="1"/>
          <tpl fld="2" item="1"/>
          <tpl fld="3" item="0"/>
          <tpl hier="9" item="4"/>
          <tpl hier="11" item="6"/>
          <tpl hier="12" item="5"/>
          <tpl fld="1" item="0"/>
        </tpls>
      </n>
      <n v="11458243985408">
        <tpls c="8">
          <tpl hier="2" item="0"/>
          <tpl hier="4" item="1"/>
          <tpl fld="2" item="33"/>
          <tpl fld="4" item="27"/>
          <tpl hier="9" item="4"/>
          <tpl hier="11" item="6"/>
          <tpl hier="12" item="5"/>
          <tpl fld="1" item="0"/>
        </tpls>
      </n>
      <n v="264579872">
        <tpls c="8">
          <tpl hier="2" item="0"/>
          <tpl hier="4" item="1"/>
          <tpl fld="2" item="1"/>
          <tpl fld="4" item="16"/>
          <tpl hier="9" item="4"/>
          <tpl hier="11" item="6"/>
          <tpl hier="12" item="5"/>
          <tpl fld="1" item="0"/>
        </tpls>
      </n>
      <n v="1943145414656">
        <tpls c="8">
          <tpl hier="2" item="0"/>
          <tpl hier="4" item="1"/>
          <tpl fld="2" item="30"/>
          <tpl fld="4" item="8"/>
          <tpl hier="9" item="4"/>
          <tpl hier="11" item="6"/>
          <tpl hier="12" item="5"/>
          <tpl fld="1" item="0"/>
        </tpls>
      </n>
      <n v="148456357888">
        <tpls c="8">
          <tpl hier="2" item="0"/>
          <tpl hier="4" item="1"/>
          <tpl fld="2" item="0"/>
          <tpl fld="4" item="7"/>
          <tpl hier="9" item="4"/>
          <tpl hier="11" item="6"/>
          <tpl hier="12" item="5"/>
          <tpl fld="1" item="0"/>
        </tpls>
      </n>
      <n v="55875862528">
        <tpls c="8">
          <tpl hier="2" item="0"/>
          <tpl hier="4" item="1"/>
          <tpl fld="2" item="15"/>
          <tpl fld="4" item="6"/>
          <tpl hier="9" item="4"/>
          <tpl hier="11" item="6"/>
          <tpl hier="12" item="5"/>
          <tpl fld="1" item="0"/>
        </tpls>
      </n>
      <n v="44575891456">
        <tpls c="8">
          <tpl hier="2" item="0"/>
          <tpl hier="4" item="1"/>
          <tpl fld="2" item="6"/>
          <tpl fld="4" item="5"/>
          <tpl hier="9" item="4"/>
          <tpl hier="11" item="6"/>
          <tpl hier="12" item="5"/>
          <tpl fld="1" item="0"/>
        </tpls>
      </n>
      <n v="99271958528">
        <tpls c="8">
          <tpl hier="2" item="0"/>
          <tpl hier="4" item="1"/>
          <tpl fld="2" item="1"/>
          <tpl fld="4" item="4"/>
          <tpl hier="9" item="4"/>
          <tpl hier="11" item="6"/>
          <tpl hier="12" item="5"/>
          <tpl fld="1" item="0"/>
        </tpls>
      </n>
      <n v="455508262912">
        <tpls c="8">
          <tpl hier="2" item="0"/>
          <tpl hier="4" item="1"/>
          <tpl fld="2" item="48"/>
          <tpl fld="4" item="2"/>
          <tpl hier="9" item="4"/>
          <tpl hier="11" item="6"/>
          <tpl hier="12" item="5"/>
          <tpl fld="1" item="0"/>
        </tpls>
      </n>
      <n v="241038278656">
        <tpls c="8">
          <tpl hier="2" item="0"/>
          <tpl hier="4" item="1"/>
          <tpl fld="2" item="25"/>
          <tpl fld="4" item="2"/>
          <tpl hier="9" item="4"/>
          <tpl hier="11" item="6"/>
          <tpl hier="12" item="5"/>
          <tpl fld="1" item="0"/>
        </tpls>
      </n>
      <n v="415222628352">
        <tpls c="8">
          <tpl hier="2" item="0"/>
          <tpl hier="4" item="1"/>
          <tpl fld="2" item="30"/>
          <tpl fld="4" item="1"/>
          <tpl hier="9" item="4"/>
          <tpl hier="11" item="6"/>
          <tpl hier="12" item="5"/>
          <tpl fld="1" item="0"/>
        </tpls>
      </n>
      <n v="118338600960">
        <tpls c="8">
          <tpl hier="2" item="0"/>
          <tpl hier="4" item="1"/>
          <tpl fld="2" item="8"/>
          <tpl fld="4" item="1"/>
          <tpl hier="9" item="4"/>
          <tpl hier="11" item="6"/>
          <tpl hier="12" item="5"/>
          <tpl fld="1" item="0"/>
        </tpls>
      </n>
      <n v="327861824">
        <tpls c="8">
          <tpl hier="2" item="0"/>
          <tpl hier="4" item="1"/>
          <tpl fld="2" item="13"/>
          <tpl fld="4" item="0"/>
          <tpl hier="9" item="4"/>
          <tpl hier="11" item="6"/>
          <tpl hier="12" item="5"/>
          <tpl fld="1" item="0"/>
        </tpls>
      </n>
      <n v="360857927680">
        <tpls c="8">
          <tpl hier="2" item="0"/>
          <tpl hier="4" item="1"/>
          <tpl fld="2" item="20"/>
          <tpl fld="3" item="0"/>
          <tpl hier="9" item="4"/>
          <tpl hier="11" item="6"/>
          <tpl hier="12" item="5"/>
          <tpl fld="1" item="0"/>
        </tpls>
      </n>
      <n v="60362932224">
        <tpls c="8">
          <tpl hier="2" item="0"/>
          <tpl hier="4" item="1"/>
          <tpl fld="2" item="8"/>
          <tpl fld="4" item="5"/>
          <tpl hier="9" item="4"/>
          <tpl hier="11" item="6"/>
          <tpl hier="12" item="5"/>
          <tpl fld="1" item="0"/>
        </tpls>
      </n>
      <n v="444731293696">
        <tpls c="8">
          <tpl hier="2" item="0"/>
          <tpl hier="4" item="1"/>
          <tpl fld="2" item="23"/>
          <tpl fld="3" item="0"/>
          <tpl hier="9" item="4"/>
          <tpl hier="11" item="6"/>
          <tpl hier="12" item="5"/>
          <tpl fld="1" item="0"/>
        </tpls>
      </n>
    </entries>
    <sets count="7">
      <set count="1" maxRank="1" setDefinition="{[Data].[GDP and other output measures].[Output Definition].&amp;[Expenditure Approach]}">
        <tpls c="1">
          <tpl fld="0" item="0"/>
        </tpls>
      </set>
      <set count="1" maxRank="1" setDefinition="{[Data].[Original Source Data].[Source].&amp;[WDI2020]}">
        <tpls c="1">
          <tpl fld="5" item="0"/>
        </tpls>
      </set>
      <set count="3" maxRank="1" setDefinition="{([Geography].[Blocs].[Major_Blocs].&amp;[South]),([Geography].[Blocs].[Major_Blocs].&amp;[North]),([Geography].[Blocs].[Major_Blocs].&amp;[China Mainland])}">
        <tpls c="1">
          <tpl fld="3" item="2"/>
        </tpls>
      </set>
      <set count="50" maxRank="1" setDefinition="{([Dates].[Year].&amp;[2019]),([Dates].[Year].&amp;[2018]),([Dates].[Year].&amp;[2017]),([Dates].[Year].&amp;[2016]),([Dates].[Year].&amp;[2015]),([Dates].[Year].&amp;[2014]),([Dates].[Year].&amp;[2013]),([Dates].[Year].&amp;[2012]),([Dates].[Year].&amp;[2011]),([Dates].[Year].&amp;[2010]),([Dates].[Year].&amp;[2009]),([Dates].[Year].&amp;[2008]),([Dates].[Year].&amp;[2007]),([Dates].[Year].&amp;[2006]),([Dates].[Year].&amp;[2005]),([Dates].[Year].&amp;[2004]),([Dates].[Year].&amp;[2003]),([Dates].[Year].&amp;[2002]),([Dates].[Year].&amp;[2001]),([Dates].[Year].&amp;[2000]),([Dates].[Year].&amp;[1999]),([Dates].[Year].&amp;[1998]),([Dates].[Year].&amp;[1997]),([Dates].[Year].&amp;[1996]),([Dates].[Year].&amp;[1995]),([Dates].[Year].&amp;[1994]),([Dates].[Year].&amp;[1993]),([Dates].[Year].&amp;[1992]),([Dates].[Year].&amp;[1991]),([Dates].[Year].&amp;[1990]),([Dates].[Year].&amp;[1989]),([Dates].[Year].&amp;[1988]),([Dates].[Year].&amp;[1987]),([Dates].[Year].&amp;[1986]),([Dates].[Year].&amp;[1985]),([Dates].[Year].&amp;[1984]),([Dates].[Year].&amp;[1983]),([Dates].[Year].&amp;[1982]),([Dates].[Year].&amp;[1981]),([Dates].[Year].&amp;[1980]),([Dates].[Year].&amp;[1979]),([Dates].[Year].&amp;[1978]),([Dates].[Year].&amp;[1977]),([Dates].[Year].&amp;[1976]),([Dates].[Year].&amp;[1975]),([Dates].[Year].&amp;[1974]),([Dates].[Year].&amp;[1973]),([Dates].[Year].&amp;[1972]),([Dates].[Year].&amp;[1971]),([Dates].[Year].&amp;[1970])}">
        <tpls c="1">
          <tpl fld="2" item="49"/>
        </tpls>
      </set>
      <set count="8" maxRank="1" setDefinition="{[Geography].[WDI Availability].[wdi_availability].&amp;[From 1960],[Geography].[WDI Availability].[wdi_availability].&amp;[From 1961],[Geography].[WDI Availability].[wdi_availability].&amp;[From 1962],[Geography].[WDI Availability].[wdi_availability].&amp;[From 1965],[Geography].[WDI Availability].[wdi_availability].&amp;[From 1966],[Geography].[WDI Availability].[wdi_availability].&amp;[From 1967],[Geography].[WDI Availability].[wdi_availability].&amp;[From 1968],[Geography].[WDI Availability].[wdi_availability].&amp;[From 1970]}">
        <tpls c="1">
          <tpl fld="6" item="0"/>
        </tpls>
      </set>
      <set count="1" maxRank="1" setDefinition="{[Indicator Detail].[Units].[Measure Type (Stock/Flow/etc)].&amp;[Flow].&amp;[Money].&amp;[USD]}">
        <tpls c="1">
          <tpl fld="9" item="0"/>
        </tpls>
      </set>
      <set count="1" maxRank="1" setDefinition="{[Indicator Detail].[Industrial Sector (Agriculture/Manufacturing/etc)].&amp;[Whole economy]}">
        <tpls c="1">
          <tpl fld="10" item="0"/>
        </tpls>
      </set>
    </sets>
    <queryCache count="159">
      <query mdx="[Measures].[Item]">
        <tpls c="1">
          <tpl fld="1" item="0"/>
        </tpls>
      </query>
      <query mdx="[Dates].[Year].&amp;[1970]">
        <tpls c="1">
          <tpl fld="2" item="0"/>
        </tpls>
      </query>
      <query mdx="[Dates].[Year].&amp;[1971]">
        <tpls c="1">
          <tpl fld="2" item="1"/>
        </tpls>
      </query>
      <query mdx="[Dates].[Year].&amp;[1972]">
        <tpls c="1">
          <tpl fld="2" item="2"/>
        </tpls>
      </query>
      <query mdx="[Dates].[Year].&amp;[1973]">
        <tpls c="1">
          <tpl fld="2" item="3"/>
        </tpls>
      </query>
      <query mdx="[Dates].[Year].&amp;[1974]">
        <tpls c="1">
          <tpl fld="2" item="4"/>
        </tpls>
      </query>
      <query mdx="[Dates].[Year].&amp;[1975]">
        <tpls c="1">
          <tpl fld="2" item="5"/>
        </tpls>
      </query>
      <query mdx="[Dates].[Year].&amp;[1976]">
        <tpls c="1">
          <tpl fld="2" item="6"/>
        </tpls>
      </query>
      <query mdx="[Dates].[Year].&amp;[1977]">
        <tpls c="1">
          <tpl fld="2" item="7"/>
        </tpls>
      </query>
      <query mdx="[Dates].[Year].&amp;[1978]">
        <tpls c="1">
          <tpl fld="2" item="8"/>
        </tpls>
      </query>
      <query mdx="[Dates].[Year].&amp;[1979]">
        <tpls c="1">
          <tpl fld="2" item="9"/>
        </tpls>
      </query>
      <query mdx="[Dates].[Year].&amp;[1980]">
        <tpls c="1">
          <tpl fld="2" item="10"/>
        </tpls>
      </query>
      <query mdx="[Dates].[Year].&amp;[1981]">
        <tpls c="1">
          <tpl fld="2" item="11"/>
        </tpls>
      </query>
      <query mdx="[Dates].[Year].&amp;[1982]">
        <tpls c="1">
          <tpl fld="2" item="12"/>
        </tpls>
      </query>
      <query mdx="[Dates].[Year].&amp;[1983]">
        <tpls c="1">
          <tpl fld="2" item="13"/>
        </tpls>
      </query>
      <query mdx="[Dates].[Year].&amp;[1984]">
        <tpls c="1">
          <tpl fld="2" item="14"/>
        </tpls>
      </query>
      <query mdx="[Dates].[Year].&amp;[1985]">
        <tpls c="1">
          <tpl fld="2" item="15"/>
        </tpls>
      </query>
      <query mdx="[Dates].[Year].&amp;[1986]">
        <tpls c="1">
          <tpl fld="2" item="16"/>
        </tpls>
      </query>
      <query mdx="[Dates].[Year].&amp;[1987]">
        <tpls c="1">
          <tpl fld="2" item="17"/>
        </tpls>
      </query>
      <query mdx="[Dates].[Year].&amp;[1988]">
        <tpls c="1">
          <tpl fld="2" item="18"/>
        </tpls>
      </query>
      <query mdx="[Dates].[Year].&amp;[1989]">
        <tpls c="1">
          <tpl fld="2" item="19"/>
        </tpls>
      </query>
      <query mdx="[Dates].[Year].&amp;[1990]">
        <tpls c="1">
          <tpl fld="2" item="20"/>
        </tpls>
      </query>
      <query mdx="[Dates].[Year].&amp;[1991]">
        <tpls c="1">
          <tpl fld="2" item="21"/>
        </tpls>
      </query>
      <query mdx="[Dates].[Year].&amp;[1992]">
        <tpls c="1">
          <tpl fld="2" item="22"/>
        </tpls>
      </query>
      <query mdx="[Dates].[Year].&amp;[1993]">
        <tpls c="1">
          <tpl fld="2" item="23"/>
        </tpls>
      </query>
      <query mdx="[Dates].[Year].&amp;[1994]">
        <tpls c="1">
          <tpl fld="2" item="24"/>
        </tpls>
      </query>
      <query mdx="[Dates].[Year].&amp;[1995]">
        <tpls c="1">
          <tpl fld="2" item="25"/>
        </tpls>
      </query>
      <query mdx="[Dates].[Year].&amp;[1996]">
        <tpls c="1">
          <tpl fld="2" item="26"/>
        </tpls>
      </query>
      <query mdx="[Dates].[Year].&amp;[1997]">
        <tpls c="1">
          <tpl fld="2" item="27"/>
        </tpls>
      </query>
      <query mdx="[Dates].[Year].&amp;[1998]">
        <tpls c="1">
          <tpl fld="2" item="28"/>
        </tpls>
      </query>
      <query mdx="[Dates].[Year].&amp;[1999]">
        <tpls c="1">
          <tpl fld="2" item="29"/>
        </tpls>
      </query>
      <query mdx="[Dates].[Year].&amp;[2000]">
        <tpls c="1">
          <tpl fld="2" item="30"/>
        </tpls>
      </query>
      <query mdx="[Dates].[Year].&amp;[2001]">
        <tpls c="1">
          <tpl fld="2" item="31"/>
        </tpls>
      </query>
      <query mdx="[Dates].[Year].&amp;[2002]">
        <tpls c="1">
          <tpl fld="2" item="32"/>
        </tpls>
      </query>
      <query mdx="[Dates].[Year].&amp;[2003]">
        <tpls c="1">
          <tpl fld="2" item="33"/>
        </tpls>
      </query>
      <query mdx="[Dates].[Year].&amp;[2004]">
        <tpls c="1">
          <tpl fld="2" item="34"/>
        </tpls>
      </query>
      <query mdx="[Dates].[Year].&amp;[2005]">
        <tpls c="1">
          <tpl fld="2" item="35"/>
        </tpls>
      </query>
      <query mdx="[Dates].[Year].&amp;[2006]">
        <tpls c="1">
          <tpl fld="2" item="36"/>
        </tpls>
      </query>
      <query mdx="[Dates].[Year].&amp;[2007]">
        <tpls c="1">
          <tpl fld="2" item="37"/>
        </tpls>
      </query>
      <query mdx="[Dates].[Year].&amp;[2008]">
        <tpls c="1">
          <tpl fld="2" item="38"/>
        </tpls>
      </query>
      <query mdx="[Dates].[Year].&amp;[2009]">
        <tpls c="1">
          <tpl fld="2" item="39"/>
        </tpls>
      </query>
      <query mdx="[Dates].[Year].&amp;[2010]">
        <tpls c="1">
          <tpl fld="2" item="40"/>
        </tpls>
      </query>
      <query mdx="[Dates].[Year].&amp;[2011]">
        <tpls c="1">
          <tpl fld="2" item="41"/>
        </tpls>
      </query>
      <query mdx="[Dates].[Year].&amp;[2012]">
        <tpls c="1">
          <tpl fld="2" item="42"/>
        </tpls>
      </query>
      <query mdx="[Dates].[Year].&amp;[2013]">
        <tpls c="1">
          <tpl fld="2" item="43"/>
        </tpls>
      </query>
      <query mdx="[Dates].[Year].&amp;[2014]">
        <tpls c="1">
          <tpl fld="2" item="44"/>
        </tpls>
      </query>
      <query mdx="[Dates].[Year].&amp;[2015]">
        <tpls c="1">
          <tpl fld="2" item="45"/>
        </tpls>
      </query>
      <query mdx="[Dates].[Year].&amp;[2016]">
        <tpls c="1">
          <tpl fld="2" item="46"/>
        </tpls>
      </query>
      <query mdx="[Dates].[Year].&amp;[2017]">
        <tpls c="1">
          <tpl fld="2" item="47"/>
        </tpls>
      </query>
      <query mdx="[Dates].[Year].&amp;[2018]">
        <tpls c="1">
          <tpl fld="2" item="48"/>
        </tpls>
      </query>
      <query mdx="[Dates].[Year].&amp;[2019]">
        <tpls c="1">
          <tpl fld="2" item="49"/>
        </tpls>
      </query>
      <query mdx="[Geography].[Blocs].[Major_Blocs].&amp;[China Mainland]">
        <tpls c="1">
          <tpl fld="3" item="0"/>
        </tpls>
      </query>
      <query mdx="[Geography].[Blocs].[Major_Blocs].&amp;[North]">
        <tpls c="1">
          <tpl fld="3" item="1"/>
        </tpls>
      </query>
      <query mdx="[Geography].[Blocs].[Country].&amp;[Andorra]">
        <tpls c="1">
          <tpl fld="4" item="0"/>
        </tpls>
      </query>
      <query mdx="[Geography].[Blocs].[Country].&amp;[Australia]">
        <tpls c="1">
          <tpl fld="4" item="1"/>
        </tpls>
      </query>
      <query mdx="[Geography].[Blocs].[Country].&amp;[Austria]">
        <tpls c="1">
          <tpl fld="4" item="2"/>
        </tpls>
      </query>
      <query mdx="[Geography].[Blocs].[Country].&amp;[Belgium]">
        <tpls c="1">
          <tpl fld="4" item="3"/>
        </tpls>
      </query>
      <query mdx="[Geography].[Blocs].[Country].&amp;[Canada]">
        <tpls c="1">
          <tpl fld="4" item="4"/>
        </tpls>
      </query>
      <query mdx="[Geography].[Blocs].[Country].&amp;[Denmark]">
        <tpls c="1">
          <tpl fld="4" item="5"/>
        </tpls>
      </query>
      <query mdx="[Geography].[Blocs].[Country].&amp;[Finland]">
        <tpls c="1">
          <tpl fld="4" item="6"/>
        </tpls>
      </query>
      <query mdx="[Geography].[Blocs].[Country].&amp;[France]">
        <tpls c="1">
          <tpl fld="4" item="7"/>
        </tpls>
      </query>
      <query mdx="[Geography].[Blocs].[Country].&amp;[Germany]">
        <tpls c="1">
          <tpl fld="4" item="8"/>
        </tpls>
      </query>
      <query mdx="[Geography].[Blocs].[Country].&amp;[Greece]">
        <tpls c="1">
          <tpl fld="4" item="9"/>
        </tpls>
      </query>
      <query mdx="[Geography].[Blocs].[Country].&amp;[Iceland]">
        <tpls c="1">
          <tpl fld="4" item="10"/>
        </tpls>
      </query>
      <query mdx="[Geography].[Blocs].[Country].&amp;[Ireland]">
        <tpls c="1">
          <tpl fld="4" item="11"/>
        </tpls>
      </query>
      <query mdx="[Geography].[Blocs].[Country].&amp;[Israel]">
        <tpls c="1">
          <tpl fld="4" item="12"/>
        </tpls>
      </query>
      <query mdx="[Geography].[Blocs].[Country].&amp;[Italy]">
        <tpls c="1">
          <tpl fld="4" item="13"/>
        </tpls>
      </query>
      <query mdx="[Geography].[Blocs].[Country].&amp;[Japan]">
        <tpls c="1">
          <tpl fld="4" item="14"/>
        </tpls>
      </query>
      <query mdx="[Geography].[Blocs].[Country].&amp;[Luxemburg]">
        <tpls c="1">
          <tpl fld="4" item="15"/>
        </tpls>
      </query>
      <query mdx="[Geography].[Blocs].[Country].&amp;[Malta]">
        <tpls c="1">
          <tpl fld="4" item="16"/>
        </tpls>
      </query>
      <query mdx="[Geography].[Blocs].[Country].&amp;[Netherlands]">
        <tpls c="1">
          <tpl fld="4" item="17"/>
        </tpls>
      </query>
      <query mdx="[Geography].[Blocs].[Country].&amp;[New Zealand]">
        <tpls c="1">
          <tpl fld="4" item="18"/>
        </tpls>
      </query>
      <query mdx="[Geography].[Blocs].[Country].&amp;[Norway]">
        <tpls c="1">
          <tpl fld="4" item="19"/>
        </tpls>
      </query>
      <query mdx="[Geography].[Blocs].[Country].&amp;[Portugal]">
        <tpls c="1">
          <tpl fld="4" item="20"/>
        </tpls>
      </query>
      <query mdx="[Geography].[Blocs].[Country].&amp;[Singapore]">
        <tpls c="1">
          <tpl fld="4" item="21"/>
        </tpls>
      </query>
      <query mdx="[Geography].[Blocs].[Country].&amp;[South Korea]">
        <tpls c="1">
          <tpl fld="4" item="22"/>
        </tpls>
      </query>
      <query mdx="[Geography].[Blocs].[Country].&amp;[Spain]">
        <tpls c="1">
          <tpl fld="4" item="23"/>
        </tpls>
      </query>
      <query mdx="[Geography].[Blocs].[Country].&amp;[Sweden]">
        <tpls c="1">
          <tpl fld="4" item="24"/>
        </tpls>
      </query>
      <query mdx="[Geography].[Blocs].[Country].&amp;[Switzerland]">
        <tpls c="1">
          <tpl fld="4" item="25"/>
        </tpls>
      </query>
      <query mdx="[Geography].[Blocs].[Country].&amp;[United Kingdom]">
        <tpls c="1">
          <tpl fld="4" item="26"/>
        </tpls>
      </query>
      <query mdx="[Geography].[Blocs].[Country].&amp;[United States]">
        <tpls c="1">
          <tpl fld="4" item="27"/>
        </tpls>
      </query>
      <query mdx="[Geography].[Blocs].[Major_Blocs].&amp;[South]">
        <tpls c="1">
          <tpl fld="3" item="2"/>
        </tpls>
      </query>
      <query mdx="[Geography].[Blocs].[Country].&amp;[Algeria]">
        <tpls c="1">
          <tpl fld="4" item="28"/>
        </tpls>
      </query>
      <query mdx="[Geography].[Blocs].[Country].&amp;[Argentina]">
        <tpls c="1">
          <tpl fld="4" item="29"/>
        </tpls>
      </query>
      <query mdx="[Geography].[Blocs].[Country].&amp;[Bahamas]">
        <tpls c="1">
          <tpl fld="4" item="30"/>
        </tpls>
      </query>
      <query mdx="[Geography].[Blocs].[Country].&amp;[Bangladesh]">
        <tpls c="1">
          <tpl fld="4" item="31"/>
        </tpls>
      </query>
      <query mdx="[Geography].[Blocs].[Country].&amp;[Belize]">
        <tpls c="1">
          <tpl fld="4" item="32"/>
        </tpls>
      </query>
      <query mdx="[Geography].[Blocs].[Country].&amp;[Benin]">
        <tpls c="1">
          <tpl fld="4" item="33"/>
        </tpls>
      </query>
      <query mdx="[Geography].[Blocs].[Country].&amp;[Bolivia]">
        <tpls c="1">
          <tpl fld="4" item="34"/>
        </tpls>
      </query>
      <query mdx="[Geography].[Blocs].[Country].&amp;[Botswana]">
        <tpls c="1">
          <tpl fld="4" item="35"/>
        </tpls>
      </query>
      <query mdx="[Geography].[Blocs].[Country].&amp;[Brazil]">
        <tpls c="1">
          <tpl fld="4" item="36"/>
        </tpls>
      </query>
      <query mdx="[Geography].[Blocs].[Country].&amp;[Burkina Faso]">
        <tpls c="1">
          <tpl fld="4" item="37"/>
        </tpls>
      </query>
      <query mdx="[Geography].[Blocs].[Country].&amp;[Burundi]">
        <tpls c="1">
          <tpl fld="4" item="38"/>
        </tpls>
      </query>
      <query mdx="[Geography].[Blocs].[Country].&amp;[Cameroon]">
        <tpls c="1">
          <tpl fld="4" item="39"/>
        </tpls>
      </query>
      <query mdx="[Geography].[Blocs].[Country].&amp;[Central African Republic]">
        <tpls c="1">
          <tpl fld="4" item="40"/>
        </tpls>
      </query>
      <query mdx="[Geography].[Blocs].[Country].&amp;[Chad]">
        <tpls c="1">
          <tpl fld="4" item="41"/>
        </tpls>
      </query>
      <query mdx="[Geography].[Blocs].[Country].&amp;[Chile]">
        <tpls c="1">
          <tpl fld="4" item="42"/>
        </tpls>
      </query>
      <query mdx="[Geography].[Blocs].[Country].&amp;[Colombia]">
        <tpls c="1">
          <tpl fld="4" item="43"/>
        </tpls>
      </query>
      <query mdx="[Geography].[Blocs].[Country].&amp;[Congo DR]">
        <tpls c="1">
          <tpl fld="4" item="44"/>
        </tpls>
      </query>
      <query mdx="[Geography].[Blocs].[Country].&amp;[Congo R]">
        <tpls c="1">
          <tpl fld="4" item="45"/>
        </tpls>
      </query>
      <query mdx="[Geography].[Blocs].[Country].&amp;[Costa Rica]">
        <tpls c="1">
          <tpl fld="4" item="46"/>
        </tpls>
      </query>
      <query mdx="[Geography].[Blocs].[Country].&amp;[Cote d'Ivoire]">
        <tpls c="1">
          <tpl fld="4" item="47"/>
        </tpls>
      </query>
      <query mdx="[Geography].[Blocs].[Country].&amp;[Dominican Republic]">
        <tpls c="1">
          <tpl fld="4" item="48"/>
        </tpls>
      </query>
      <query mdx="[Geography].[Blocs].[Country].&amp;[Ecuador]">
        <tpls c="1">
          <tpl fld="4" item="49"/>
        </tpls>
      </query>
      <query mdx="[Geography].[Blocs].[Country].&amp;[El Salvador]">
        <tpls c="1">
          <tpl fld="4" item="50"/>
        </tpls>
      </query>
      <query mdx="[Geography].[Blocs].[Country].&amp;[Fiji]">
        <tpls c="1">
          <tpl fld="4" item="51"/>
        </tpls>
      </query>
      <query mdx="[Geography].[Blocs].[Country].&amp;[Gabon]">
        <tpls c="1">
          <tpl fld="4" item="52"/>
        </tpls>
      </query>
      <query mdx="[Geography].[Blocs].[Country].&amp;[Gambia]">
        <tpls c="1">
          <tpl fld="4" item="53"/>
        </tpls>
      </query>
      <query mdx="[Geography].[Blocs].[Country].&amp;[Ghana]">
        <tpls c="1">
          <tpl fld="4" item="54"/>
        </tpls>
      </query>
      <query mdx="[Geography].[Blocs].[Country].&amp;[Guatemala]">
        <tpls c="1">
          <tpl fld="4" item="55"/>
        </tpls>
      </query>
      <query mdx="[Geography].[Blocs].[Country].&amp;[Guinea-Bissau]">
        <tpls c="1">
          <tpl fld="4" item="56"/>
        </tpls>
      </query>
      <query mdx="[Geography].[Blocs].[Country].&amp;[Guyana]">
        <tpls c="1">
          <tpl fld="4" item="57"/>
        </tpls>
      </query>
      <query mdx="[Geography].[Blocs].[Country].&amp;[Haiti]">
        <tpls c="1">
          <tpl fld="4" item="58"/>
        </tpls>
      </query>
      <query mdx="[Geography].[Blocs].[Country].&amp;[Honduras]">
        <tpls c="1">
          <tpl fld="4" item="59"/>
        </tpls>
      </query>
      <query mdx="[Geography].[Blocs].[Country].&amp;[India]">
        <tpls c="1">
          <tpl fld="4" item="60"/>
        </tpls>
      </query>
      <query mdx="[Geography].[Blocs].[Country].&amp;[Iraq]">
        <tpls c="1">
          <tpl fld="4" item="61"/>
        </tpls>
      </query>
      <query mdx="[Geography].[Blocs].[Country].&amp;[Jamaica]">
        <tpls c="1">
          <tpl fld="4" item="62"/>
        </tpls>
      </query>
      <query mdx="[Geography].[Blocs].[Country].&amp;[Kenya]">
        <tpls c="1">
          <tpl fld="4" item="63"/>
        </tpls>
      </query>
      <query mdx="[Geography].[Blocs].[Country].&amp;[Kiribati]">
        <tpls c="1">
          <tpl fld="4" item="64"/>
        </tpls>
      </query>
      <query mdx="[Geography].[Blocs].[Country].&amp;[Lesotho]">
        <tpls c="1">
          <tpl fld="4" item="65"/>
        </tpls>
      </query>
      <query mdx="[Geography].[Blocs].[Country].&amp;[Madagascar]">
        <tpls c="1">
          <tpl fld="4" item="66"/>
        </tpls>
      </query>
      <query mdx="[Geography].[Blocs].[Country].&amp;[Malawi]">
        <tpls c="1">
          <tpl fld="4" item="67"/>
        </tpls>
      </query>
      <query mdx="[Geography].[Blocs].[Country].&amp;[Malaysia]">
        <tpls c="1">
          <tpl fld="4" item="68"/>
        </tpls>
      </query>
      <query mdx="[Geography].[Blocs].[Country].&amp;[Mali]">
        <tpls c="1">
          <tpl fld="4" item="69"/>
        </tpls>
      </query>
      <query mdx="[Geography].[Blocs].[Country].&amp;[Mauritania]">
        <tpls c="1">
          <tpl fld="4" item="70"/>
        </tpls>
      </query>
      <query mdx="[Geography].[Blocs].[Country].&amp;[Mexico]">
        <tpls c="1">
          <tpl fld="4" item="71"/>
        </tpls>
      </query>
      <query mdx="[Geography].[Blocs].[Country].&amp;[Morocco]">
        <tpls c="1">
          <tpl fld="4" item="72"/>
        </tpls>
      </query>
      <query mdx="[Geography].[Blocs].[Country].&amp;[Nepal]">
        <tpls c="1">
          <tpl fld="4" item="73"/>
        </tpls>
      </query>
      <query mdx="[Geography].[Blocs].[Country].&amp;[Nicaragua]">
        <tpls c="1">
          <tpl fld="4" item="74"/>
        </tpls>
      </query>
      <query mdx="[Geography].[Blocs].[Country].&amp;[Niger]">
        <tpls c="1">
          <tpl fld="4" item="75"/>
        </tpls>
      </query>
      <query mdx="[Geography].[Blocs].[Country].&amp;[Nigeria]">
        <tpls c="1">
          <tpl fld="4" item="76"/>
        </tpls>
      </query>
      <query mdx="[Geography].[Blocs].[Country].&amp;[Oman]">
        <tpls c="1">
          <tpl fld="4" item="77"/>
        </tpls>
      </query>
      <query mdx="[Geography].[Blocs].[Country].&amp;[Pakistan]">
        <tpls c="1">
          <tpl fld="4" item="78"/>
        </tpls>
      </query>
      <query mdx="[Geography].[Blocs].[Country].&amp;[Panama]">
        <tpls c="1">
          <tpl fld="4" item="79"/>
        </tpls>
      </query>
      <query mdx="[Geography].[Blocs].[Country].&amp;[Papua New Guinea]">
        <tpls c="1">
          <tpl fld="4" item="80"/>
        </tpls>
      </query>
      <query mdx="[Geography].[Blocs].[Country].&amp;[Paraguay]">
        <tpls c="1">
          <tpl fld="4" item="81"/>
        </tpls>
      </query>
      <query mdx="[Geography].[Blocs].[Country].&amp;[Peru]">
        <tpls c="1">
          <tpl fld="4" item="82"/>
        </tpls>
      </query>
      <query mdx="[Geography].[Blocs].[Country].&amp;[Philippines]">
        <tpls c="1">
          <tpl fld="4" item="83"/>
        </tpls>
      </query>
      <query mdx="[Geography].[Blocs].[Country].&amp;[Puerto Rico]">
        <tpls c="1">
          <tpl fld="4" item="84"/>
        </tpls>
      </query>
      <query mdx="[Geography].[Blocs].[Country].&amp;[Rwanda]">
        <tpls c="1">
          <tpl fld="4" item="85"/>
        </tpls>
      </query>
      <query mdx="[Geography].[Blocs].[Country].&amp;[Saudi Arabia]">
        <tpls c="1">
          <tpl fld="4" item="86"/>
        </tpls>
      </query>
      <query mdx="[Geography].[Blocs].[Country].&amp;[Senegal]">
        <tpls c="1">
          <tpl fld="4" item="87"/>
        </tpls>
      </query>
      <query mdx="[Geography].[Blocs].[Country].&amp;[Seychelles]">
        <tpls c="1">
          <tpl fld="4" item="88"/>
        </tpls>
      </query>
      <query mdx="[Geography].[Blocs].[Country].&amp;[Sierra Leone]">
        <tpls c="1">
          <tpl fld="4" item="89"/>
        </tpls>
      </query>
      <query mdx="[Geography].[Blocs].[Country].&amp;[South Africa]">
        <tpls c="1">
          <tpl fld="4" item="90"/>
        </tpls>
      </query>
      <query mdx="[Geography].[Blocs].[Country].&amp;[Sri Lanka]">
        <tpls c="1">
          <tpl fld="4" item="91"/>
        </tpls>
      </query>
      <query mdx="[Geography].[Blocs].[Country].&amp;[Sudan (Former)]">
        <tpls c="1">
          <tpl fld="4" item="92"/>
        </tpls>
      </query>
      <query mdx="[Geography].[Blocs].[Country].&amp;[Suriname]">
        <tpls c="1">
          <tpl fld="4" item="93"/>
        </tpls>
      </query>
      <query mdx="[Geography].[Blocs].[Country].&amp;[Swaziland]">
        <tpls c="1">
          <tpl fld="4" item="94"/>
        </tpls>
      </query>
      <query mdx="[Geography].[Blocs].[Country].&amp;[Thailand]">
        <tpls c="1">
          <tpl fld="4" item="95"/>
        </tpls>
      </query>
      <query mdx="[Geography].[Blocs].[Country].&amp;[Togo]">
        <tpls c="1">
          <tpl fld="4" item="96"/>
        </tpls>
      </query>
      <query mdx="[Geography].[Blocs].[Country].&amp;[Trinidad and Tobago]">
        <tpls c="1">
          <tpl fld="4" item="97"/>
        </tpls>
      </query>
      <query mdx="[Geography].[Blocs].[Country].&amp;[Tunisia]">
        <tpls c="1">
          <tpl fld="4" item="98"/>
        </tpls>
      </query>
      <query mdx="[Geography].[Blocs].[Country].&amp;[Turkey]">
        <tpls c="1">
          <tpl fld="4" item="99"/>
        </tpls>
      </query>
      <query mdx="[Geography].[Blocs].[Country].&amp;[Uruguay]">
        <tpls c="1">
          <tpl fld="4" item="100"/>
        </tpls>
      </query>
      <query mdx="[Geography].[Blocs].[Country].&amp;[Zambia]">
        <tpls c="1">
          <tpl fld="4" item="101"/>
        </tpls>
      </query>
      <query mdx="[Geography].[Blocs].[Country].&amp;[Zimbabwe]">
        <tpls c="1">
          <tpl fld="4" item="102"/>
        </tpls>
      </query>
      <query mdx="GDP and other output measures"/>
      <query mdx="Expenditure Approach"/>
    </queryCache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4167.800409027775" backgroundQuery="1" createdVersion="6" refreshedVersion="6" minRefreshableVersion="3" recordCount="0" supportSubquery="1" supportAdvancedDrill="1" xr:uid="{C0D37023-C567-4D91-A23B-8C12CA5A9308}">
  <cacheSource type="external" connectionId="1"/>
  <cacheFields count="15">
    <cacheField name="[Data].[GDP and other output measures].[Output Definition]" caption="Output Definition" numFmtId="0" hierarchy="2" level="1">
      <sharedItems containsSemiMixedTypes="0" containsString="0"/>
    </cacheField>
    <cacheField name="[Data].[Original Source Data].[Source]" caption="Source" numFmtId="0" hierarchy="4" level="1">
      <sharedItems containsSemiMixedTypes="0" containsString="0"/>
    </cacheField>
    <cacheField name="[Data].[Original Source Data].[IndicatorSourceDescription]" caption="IndicatorSourceDescription" numFmtId="0" hierarchy="4" level="2">
      <sharedItems containsSemiMixedTypes="0" containsString="0"/>
    </cacheField>
    <cacheField name="[Dates].[Year].[Year]" caption="Year" numFmtId="0" hierarchy="5" level="1">
      <sharedItems count="50">
        <s v="[Dates].[Year].&amp;[1970]" c="1970"/>
        <s v="[Dates].[Year].&amp;[1971]" c="1971"/>
        <s v="[Dates].[Year].&amp;[1972]" c="1972"/>
        <s v="[Dates].[Year].&amp;[1973]" c="1973"/>
        <s v="[Dates].[Year].&amp;[1974]" c="1974"/>
        <s v="[Dates].[Year].&amp;[1975]" c="1975"/>
        <s v="[Dates].[Year].&amp;[1976]" c="1976"/>
        <s v="[Dates].[Year].&amp;[1977]" c="1977"/>
        <s v="[Dates].[Year].&amp;[1978]" c="1978"/>
        <s v="[Dates].[Year].&amp;[1979]" c="1979"/>
        <s v="[Dates].[Year].&amp;[1980]" c="1980"/>
        <s v="[Dates].[Year].&amp;[1981]" c="1981"/>
        <s v="[Dates].[Year].&amp;[1982]" c="1982"/>
        <s v="[Dates].[Year].&amp;[1983]" c="1983"/>
        <s v="[Dates].[Year].&amp;[1984]" c="1984"/>
        <s v="[Dates].[Year].&amp;[1985]" c="1985"/>
        <s v="[Dates].[Year].&amp;[1986]" c="1986"/>
        <s v="[Dates].[Year].&amp;[1987]" c="1987"/>
        <s v="[Dates].[Year].&amp;[1988]" c="1988"/>
        <s v="[Dates].[Year].&amp;[1989]" c="1989"/>
        <s v="[Dates].[Year].&amp;[1990]" c="1990"/>
        <s v="[Dates].[Year].&amp;[1991]" c="1991"/>
        <s v="[Dates].[Year].&amp;[1992]" c="1992"/>
        <s v="[Dates].[Year].&amp;[1993]" c="1993"/>
        <s v="[Dates].[Year].&amp;[1994]" c="1994"/>
        <s v="[Dates].[Year].&amp;[1995]" c="1995"/>
        <s v="[Dates].[Year].&amp;[1996]" c="1996"/>
        <s v="[Dates].[Year].&amp;[1997]" c="1997"/>
        <s v="[Dates].[Year].&amp;[1998]" c="1998"/>
        <s v="[Dates].[Year].&amp;[1999]" c="1999"/>
        <s v="[Dates].[Year].&amp;[2000]" c="2000"/>
        <s v="[Dates].[Year].&amp;[2001]" c="2001"/>
        <s v="[Dates].[Year].&amp;[2002]" c="2002"/>
        <s v="[Dates].[Year].&amp;[2003]" c="2003"/>
        <s v="[Dates].[Year].&amp;[2004]" c="2004"/>
        <s v="[Dates].[Year].&amp;[2005]" c="2005"/>
        <s v="[Dates].[Year].&amp;[2006]" c="2006"/>
        <s v="[Dates].[Year].&amp;[2007]" c="2007"/>
        <s v="[Dates].[Year].&amp;[2008]" c="2008"/>
        <s v="[Dates].[Year].&amp;[2009]" c="2009"/>
        <s v="[Dates].[Year].&amp;[2010]" c="2010"/>
        <s v="[Dates].[Year].&amp;[2011]" c="2011"/>
        <s v="[Dates].[Year].&amp;[2012]" c="2012"/>
        <s v="[Dates].[Year].&amp;[2013]" c="2013"/>
        <s v="[Dates].[Year].&amp;[2014]" c="2014"/>
        <s v="[Dates].[Year].&amp;[2015]" c="2015"/>
        <s v="[Dates].[Year].&amp;[2016]" c="2016"/>
        <s v="[Dates].[Year].&amp;[2017]" c="2017"/>
        <s v="[Dates].[Year].&amp;[2018]" c="2018"/>
        <s v="[Dates].[Year].&amp;[2019]" c="2019"/>
      </sharedItems>
    </cacheField>
    <cacheField name="[Geography].[Blocs].[Major_Blocs]" caption="Major_Blocs" numFmtId="0" hierarchy="6" level="1">
      <sharedItems count="3">
        <s v="[Geography].[Blocs].[Major_Blocs].&amp;[China Mainland]" c="China Mainland"/>
        <s v="[Geography].[Blocs].[Major_Blocs].&amp;[North]" c="North"/>
        <s v="[Geography].[Blocs].[Major_Blocs].&amp;[South]" c="South"/>
      </sharedItems>
    </cacheField>
    <cacheField name="[Geography].[Blocs].[Country]" caption="Country" numFmtId="0" hierarchy="6" level="2">
      <sharedItems count="103">
        <s v="[Geography].[Blocs].[Country].&amp;[Andorra]" c="Andorra"/>
        <s v="[Geography].[Blocs].[Country].&amp;[Australia]" c="Australia"/>
        <s v="[Geography].[Blocs].[Country].&amp;[Austria]" c="Austria"/>
        <s v="[Geography].[Blocs].[Country].&amp;[Belgium]" c="Belgium"/>
        <s v="[Geography].[Blocs].[Country].&amp;[Canada]" c="Canada"/>
        <s v="[Geography].[Blocs].[Country].&amp;[Denmark]" c="Denmark"/>
        <s v="[Geography].[Blocs].[Country].&amp;[Finland]" c="Finland"/>
        <s v="[Geography].[Blocs].[Country].&amp;[France]" c="France"/>
        <s v="[Geography].[Blocs].[Country].&amp;[Germany]" c="Germany"/>
        <s v="[Geography].[Blocs].[Country].&amp;[Greece]" c="Greece"/>
        <s v="[Geography].[Blocs].[Country].&amp;[Iceland]" c="Iceland"/>
        <s v="[Geography].[Blocs].[Country].&amp;[Ireland]" c="Ireland"/>
        <s v="[Geography].[Blocs].[Country].&amp;[Israel]" c="Israel"/>
        <s v="[Geography].[Blocs].[Country].&amp;[Italy]" c="Italy"/>
        <s v="[Geography].[Blocs].[Country].&amp;[Japan]" c="Japan"/>
        <s v="[Geography].[Blocs].[Country].&amp;[Luxemburg]" c="Luxemburg"/>
        <s v="[Geography].[Blocs].[Country].&amp;[Malta]" c="Malta"/>
        <s v="[Geography].[Blocs].[Country].&amp;[Netherlands]" c="Netherlands"/>
        <s v="[Geography].[Blocs].[Country].&amp;[New Zealand]" c="New Zealand"/>
        <s v="[Geography].[Blocs].[Country].&amp;[Norway]" c="Norway"/>
        <s v="[Geography].[Blocs].[Country].&amp;[Portugal]" c="Portugal"/>
        <s v="[Geography].[Blocs].[Country].&amp;[Singapore]" c="Singapore"/>
        <s v="[Geography].[Blocs].[Country].&amp;[South Korea]" c="South Korea"/>
        <s v="[Geography].[Blocs].[Country].&amp;[Spain]" c="Spain"/>
        <s v="[Geography].[Blocs].[Country].&amp;[Sweden]" c="Sweden"/>
        <s v="[Geography].[Blocs].[Country].&amp;[Switzerland]" c="Switzerland"/>
        <s v="[Geography].[Blocs].[Country].&amp;[United Kingdom]" c="United Kingdom"/>
        <s v="[Geography].[Blocs].[Country].&amp;[United States]" c="United States"/>
        <s v="[Geography].[Blocs].[Country].&amp;[Algeria]" c="Algeria"/>
        <s v="[Geography].[Blocs].[Country].&amp;[Argentina]" c="Argentina"/>
        <s v="[Geography].[Blocs].[Country].&amp;[Bahamas]" c="Bahamas"/>
        <s v="[Geography].[Blocs].[Country].&amp;[Bangladesh]" c="Bangladesh"/>
        <s v="[Geography].[Blocs].[Country].&amp;[Belize]" c="Belize"/>
        <s v="[Geography].[Blocs].[Country].&amp;[Benin]" c="Benin"/>
        <s v="[Geography].[Blocs].[Country].&amp;[Bolivia]" c="Bolivia"/>
        <s v="[Geography].[Blocs].[Country].&amp;[Botswana]" c="Botswana"/>
        <s v="[Geography].[Blocs].[Country].&amp;[Brazil]" c="Brazil"/>
        <s v="[Geography].[Blocs].[Country].&amp;[Burkina Faso]" c="Burkina Faso"/>
        <s v="[Geography].[Blocs].[Country].&amp;[Burundi]" c="Burundi"/>
        <s v="[Geography].[Blocs].[Country].&amp;[Cameroon]" c="Cameroon"/>
        <s v="[Geography].[Blocs].[Country].&amp;[Central African Republic]" c="Central African Republic"/>
        <s v="[Geography].[Blocs].[Country].&amp;[Chad]" c="Chad"/>
        <s v="[Geography].[Blocs].[Country].&amp;[Chile]" c="Chile"/>
        <s v="[Geography].[Blocs].[Country].&amp;[Colombia]" c="Colombia"/>
        <s v="[Geography].[Blocs].[Country].&amp;[Congo DR]" c="Congo DR"/>
        <s v="[Geography].[Blocs].[Country].&amp;[Congo R]" c="Congo R"/>
        <s v="[Geography].[Blocs].[Country].&amp;[Costa Rica]" c="Costa Rica"/>
        <s v="[Geography].[Blocs].[Country].&amp;[Cote d'Ivoire]" c="Cote d'Ivoire"/>
        <s v="[Geography].[Blocs].[Country].&amp;[Dominican Republic]" c="Dominican Republic"/>
        <s v="[Geography].[Blocs].[Country].&amp;[Ecuador]" c="Ecuador"/>
        <s v="[Geography].[Blocs].[Country].&amp;[El Salvador]" c="El Salvador"/>
        <s v="[Geography].[Blocs].[Country].&amp;[Fiji]" c="Fiji"/>
        <s v="[Geography].[Blocs].[Country].&amp;[Gabon]" c="Gabon"/>
        <s v="[Geography].[Blocs].[Country].&amp;[Gambia]" c="Gambia"/>
        <s v="[Geography].[Blocs].[Country].&amp;[Ghana]" c="Ghana"/>
        <s v="[Geography].[Blocs].[Country].&amp;[Guatemala]" c="Guatemala"/>
        <s v="[Geography].[Blocs].[Country].&amp;[Guinea-Bissau]" c="Guinea-Bissau"/>
        <s v="[Geography].[Blocs].[Country].&amp;[Guyana]" c="Guyana"/>
        <s v="[Geography].[Blocs].[Country].&amp;[Haiti]" c="Haiti"/>
        <s v="[Geography].[Blocs].[Country].&amp;[Honduras]" c="Honduras"/>
        <s v="[Geography].[Blocs].[Country].&amp;[India]" c="India"/>
        <s v="[Geography].[Blocs].[Country].&amp;[Iraq]" c="Iraq"/>
        <s v="[Geography].[Blocs].[Country].&amp;[Jamaica]" c="Jamaica"/>
        <s v="[Geography].[Blocs].[Country].&amp;[Kenya]" c="Kenya"/>
        <s v="[Geography].[Blocs].[Country].&amp;[Kiribati]" c="Kiribati"/>
        <s v="[Geography].[Blocs].[Country].&amp;[Lesotho]" c="Lesotho"/>
        <s v="[Geography].[Blocs].[Country].&amp;[Madagascar]" c="Madagascar"/>
        <s v="[Geography].[Blocs].[Country].&amp;[Malawi]" c="Malawi"/>
        <s v="[Geography].[Blocs].[Country].&amp;[Malaysia]" c="Malaysia"/>
        <s v="[Geography].[Blocs].[Country].&amp;[Mali]" c="Mali"/>
        <s v="[Geography].[Blocs].[Country].&amp;[Mauritania]" c="Mauritania"/>
        <s v="[Geography].[Blocs].[Country].&amp;[Mexico]" c="Mexico"/>
        <s v="[Geography].[Blocs].[Country].&amp;[Morocco]" c="Morocco"/>
        <s v="[Geography].[Blocs].[Country].&amp;[Nepal]" c="Nepal"/>
        <s v="[Geography].[Blocs].[Country].&amp;[Nicaragua]" c="Nicaragua"/>
        <s v="[Geography].[Blocs].[Country].&amp;[Niger]" c="Niger"/>
        <s v="[Geography].[Blocs].[Country].&amp;[Nigeria]" c="Nigeria"/>
        <s v="[Geography].[Blocs].[Country].&amp;[Oman]" c="Oman"/>
        <s v="[Geography].[Blocs].[Country].&amp;[Pakistan]" c="Pakistan"/>
        <s v="[Geography].[Blocs].[Country].&amp;[Panama]" c="Panama"/>
        <s v="[Geography].[Blocs].[Country].&amp;[Papua New Guinea]" c="Papua New Guinea"/>
        <s v="[Geography].[Blocs].[Country].&amp;[Paraguay]" c="Paraguay"/>
        <s v="[Geography].[Blocs].[Country].&amp;[Peru]" c="Peru"/>
        <s v="[Geography].[Blocs].[Country].&amp;[Philippines]" c="Philippines"/>
        <s v="[Geography].[Blocs].[Country].&amp;[Puerto Rico]" c="Puerto Rico"/>
        <s v="[Geography].[Blocs].[Country].&amp;[Rwanda]" c="Rwanda"/>
        <s v="[Geography].[Blocs].[Country].&amp;[Saudi Arabia]" c="Saudi Arabia"/>
        <s v="[Geography].[Blocs].[Country].&amp;[Senegal]" c="Senegal"/>
        <s v="[Geography].[Blocs].[Country].&amp;[Seychelles]" c="Seychelles"/>
        <s v="[Geography].[Blocs].[Country].&amp;[Sierra Leone]" c="Sierra Leone"/>
        <s v="[Geography].[Blocs].[Country].&amp;[South Africa]" c="South Africa"/>
        <s v="[Geography].[Blocs].[Country].&amp;[Sri Lanka]" c="Sri Lanka"/>
        <s v="[Geography].[Blocs].[Country].&amp;[Sudan (Former)]" c="Sudan (Former)"/>
        <s v="[Geography].[Blocs].[Country].&amp;[Suriname]" c="Suriname"/>
        <s v="[Geography].[Blocs].[Country].&amp;[Swaziland]" c="Swaziland"/>
        <s v="[Geography].[Blocs].[Country].&amp;[Thailand]" c="Thailand"/>
        <s v="[Geography].[Blocs].[Country].&amp;[Togo]" c="Togo"/>
        <s v="[Geography].[Blocs].[Country].&amp;[Trinidad and Tobago]" c="Trinidad and Tobago"/>
        <s v="[Geography].[Blocs].[Country].&amp;[Tunisia]" c="Tunisia"/>
        <s v="[Geography].[Blocs].[Country].&amp;[Turkey]" c="Turkey"/>
        <s v="[Geography].[Blocs].[Country].&amp;[Uruguay]" c="Uruguay"/>
        <s v="[Geography].[Blocs].[Country].&amp;[Zambia]" c="Zambia"/>
        <s v="[Geography].[Blocs].[Country].&amp;[Zimbabwe]" c="Zimbabwe"/>
      </sharedItems>
    </cacheField>
    <cacheField name="[Geography].[Blocs].[Nation]" caption="Nation" numFmtId="0" hierarchy="6" level="3">
      <sharedItems containsSemiMixedTypes="0" containsString="0"/>
    </cacheField>
    <cacheField name="[Geography].[WDI Availability].[wdi_availability]" caption="wdi_availability" numFmtId="0" hierarchy="9" level="1">
      <sharedItems containsSemiMixedTypes="0" containsString="0"/>
    </cacheField>
    <cacheField name="[Geography].[WDI Availability].[Country]" caption="Country" numFmtId="0" hierarchy="9" level="2">
      <sharedItems containsSemiMixedTypes="0" containsString="0"/>
    </cacheField>
    <cacheField name="[Geography].[WDI Availability].[Nation]" caption="Nation" numFmtId="0" hierarchy="9" level="3">
      <sharedItems containsSemiMixedTypes="0" containsString="0"/>
    </cacheField>
    <cacheField name="[Indicator Detail].[Units].[Measure Type (Stock/Flow/etc)]" caption="Measure Type (Stock/Flow/etc)" numFmtId="0" hierarchy="12" level="1">
      <sharedItems containsSemiMixedTypes="0" containsString="0"/>
    </cacheField>
    <cacheField name="[Indicator Detail].[Units].[Dimension (Money/Quantity/PPP)]" caption="Dimension (Money/Quantity/PPP)" numFmtId="0" hierarchy="12" level="2">
      <sharedItems containsSemiMixedTypes="0" containsString="0"/>
    </cacheField>
    <cacheField name="[Indicator Detail].[Units].[Units (USD/EUR/LCU/etc)]" caption="Units (USD/EUR/LCU/etc)" numFmtId="0" hierarchy="12" level="3">
      <sharedItems containsSemiMixedTypes="0" containsString="0"/>
    </cacheField>
    <cacheField name="[Indicator Detail].[Units].[Metric (Current/Constant/etc)]" caption="Metric (Current/Constant/etc)" numFmtId="0" hierarchy="12" level="4">
      <sharedItems containsSemiMixedTypes="0" containsString="0"/>
    </cacheField>
    <cacheField name="[Indicator Detail].[Industrial Sector (Agriculture/Manufacturing/etc)].[Industrial Sector (Agriculture/Manufacturing/etc)]" caption="Industrial Sector (Agriculture/Manufacturing/etc)" numFmtId="0" hierarchy="11" level="1">
      <sharedItems containsSemiMixedTypes="0" containsString="0"/>
    </cacheField>
  </cacheFields>
  <cacheHierarchies count="76">
    <cacheHierarchy uniqueName="[Data].[Balance of Payments Component]" caption="Balance of Payments Component" defaultMemberUniqueName="[Data].[Balance of Payments Component].[All]" allUniqueName="[Data].[Balance of Payments Component].[All]" dimensionUniqueName="[Data]" displayFolder="" count="0" unbalanced="0"/>
    <cacheHierarchy uniqueName="[Data].[Demographics]" caption="Demographics" defaultMemberUniqueName="[Data].[Demographics].[All]" allUniqueName="[Data].[Demographics].[All]" dimensionUniqueName="[Data]" displayFolder="" count="0" unbalanced="0"/>
    <cacheHierarchy uniqueName="[Data].[GDP and other output measures]" caption="GDP and other output measures" defaultMemberUniqueName="[Data].[GDP and other output measures].[All]" allUniqueName="[Data].[GDP and other output measures].[All]" dimensionUniqueName="[Data]" displayFolder="" count="2" unbalanced="0">
      <fieldsUsage count="2">
        <fieldUsage x="-1"/>
        <fieldUsage x="0"/>
      </fieldsUsage>
    </cacheHierarchy>
    <cacheHierarchy uniqueName="[Data].[Indicator Source and Code]" caption="Indicator Source and Code" attribute="1" defaultMemberUniqueName="[Data].[Indicator Source and Code].[All]" allUniqueName="[Data].[Indicator Source and Code].[All]" dimensionUniqueName="[Data]" displayFolder="" count="0" unbalanced="0"/>
    <cacheHierarchy uniqueName="[Data].[Original Source Data]" caption="Original Source Data" defaultMemberUniqueName="[Data].[Original Source Data].[All]" allUniqueName="[Data].[Original Source Data].[All]" dimensionUniqueName="[Data]" displayFolder="" count="3" unbalanced="0">
      <fieldsUsage count="3">
        <fieldUsage x="-1"/>
        <fieldUsage x="1"/>
        <fieldUsage x="2"/>
      </fieldsUsage>
    </cacheHierarchy>
    <cacheHierarchy uniqueName="[Dates].[Year]" caption="Year" attribute="1" defaultMemberUniqueName="[Dates].[Year].[All]" allUniqueName="[Dates].[Year].[All]" dimensionUniqueName="[Dates]" displayFolder="" count="2" unbalanced="0">
      <fieldsUsage count="2">
        <fieldUsage x="-1"/>
        <fieldUsage x="3"/>
      </fieldsUsage>
    </cacheHierarchy>
    <cacheHierarchy uniqueName="[Geography].[Blocs]" caption="Blocs" defaultMemberUniqueName="[Geography].[Blocs].[All]" allUniqueName="[Geography].[Blocs].[All]" dimensionUniqueName="[Geography]" displayFolder="" count="4" unbalanced="0">
      <fieldsUsage count="4">
        <fieldUsage x="-1"/>
        <fieldUsage x="4"/>
        <fieldUsage x="5"/>
        <fieldUsage x="6"/>
      </fieldsUsage>
    </cacheHierarchy>
    <cacheHierarchy uniqueName="[Geography].[GeoEconomic Region]" caption="GeoEconomic Region" defaultMemberUniqueName="[Geography].[GeoEconomic Region].[All]" allUniqueName="[Geography].[GeoEconomic Region].[All]" dimensionUniqueName="[Geography]" displayFolder="" count="0" unbalanced="0"/>
    <cacheHierarchy uniqueName="[Geography].[Penn Availability]" caption="Penn Availability" defaultMemberUniqueName="[Geography].[Penn Availability].[All]" allUniqueName="[Geography].[Penn Availability].[All]" dimensionUniqueName="[Geography]" displayFolder="" count="0" unbalanced="0"/>
    <cacheHierarchy uniqueName="[Geography].[WDI Availability]" caption="WDI Availability" defaultMemberUniqueName="[Geography].[WDI Availability].[All]" allUniqueName="[Geography].[WDI Availability].[All]" dimensionUniqueName="[Geography]" displayFolder="" count="4" unbalanced="0">
      <fieldsUsage count="4">
        <fieldUsage x="-1"/>
        <fieldUsage x="7"/>
        <fieldUsage x="8"/>
        <fieldUsage x="9"/>
      </fieldsUsage>
    </cacheHierarchy>
    <cacheHierarchy uniqueName="[Indicator Detail].[Accounting Basis (net/gross,paid/received, etc)]" caption="Accounting Basis (net/gross,paid/received, etc)" attribute="1" defaultMemberUniqueName="[Indicator Detail].[Accounting Basis (net/gross,paid/received, etc)].[All]" allUniqueName="[Indicator Detail].[Accounting Basis (net/gross,paid/received, etc)].[All]" dimensionUniqueName="[Indicator Detail]" displayFolder="" count="0" unbalanced="0"/>
    <cacheHierarchy uniqueName="[Indicator Detail].[Industrial Sector (Agriculture/Manufacturing/etc)]" caption="Industrial Sector (Agriculture/Manufacturing/etc)" attribute="1" defaultMemberUniqueName="[Indicator Detail].[Industrial Sector (Agriculture/Manufacturing/etc)].[All]" allUniqueName="[Indicator Detail].[Industrial Sector (Agriculture/Manufacturing/etc)].[All]" dimensionUniqueName="[Indicator Detail]" displayFolder="" count="2" unbalanced="0">
      <fieldsUsage count="2">
        <fieldUsage x="-1"/>
        <fieldUsage x="14"/>
      </fieldsUsage>
    </cacheHierarchy>
    <cacheHierarchy uniqueName="[Indicator Detail].[Units]" caption="Units" defaultMemberUniqueName="[Indicator Detail].[Units].[All]" allUniqueName="[Indicator Detail].[Units].[All]" dimensionUniqueName="[Indicator Detail]" displayFolder="" count="5" unbalanced="0">
      <fieldsUsage count="5">
        <fieldUsage x="-1"/>
        <fieldUsage x="10"/>
        <fieldUsage x="11"/>
        <fieldUsage x="12"/>
        <fieldUsage x="13"/>
      </fieldsUsage>
    </cacheHierarchy>
    <cacheHierarchy uniqueName="[Data].[Accounting Basis]" caption="Accounting Basis" attribute="1" defaultMemberUniqueName="[Data].[Accounting Basis].[All]" allUniqueName="[Data].[Accounting Basis].[All]" dimensionUniqueName="[Data]" displayFolder="" count="0" unbalanced="0" hidden="1"/>
    <cacheHierarchy uniqueName="[Data].[Balance of Payments]" caption="Balance of Payments" attribute="1" defaultMemberUniqueName="[Data].[Balance of Payments].[All]" allUniqueName="[Data].[Balance of Payments].[All]" dimensionUniqueName="[Data]" displayFolder="" count="0" unbalanced="0" hidden="1"/>
    <cacheHierarchy uniqueName="[Data].[DateField]" caption="DateField" attribute="1" defaultMemberUniqueName="[Data].[DateField].[All]" allUniqueName="[Data].[DateField].[All]" dimensionUniqueName="[Data]" displayFolder="" count="0" unbalanced="0" hidden="1"/>
    <cacheHierarchy uniqueName="[Data].[DimGeoID]" caption="DimGeoID" attribute="1" defaultMemberUniqueName="[Data].[DimGeoID].[All]" allUniqueName="[Data].[DimGeoID].[All]" dimensionUniqueName="[Data]" displayFolder="" count="0" unbalanced="0" hidden="1"/>
    <cacheHierarchy uniqueName="[Data].[DimIndicatorID]" caption="DimIndicatorID" attribute="1" defaultMemberUniqueName="[Data].[DimIndicatorID].[All]" allUniqueName="[Data].[DimIndicatorID].[All]" dimensionUniqueName="[Data]" displayFolder="" count="0" unbalanced="0" hidden="1"/>
    <cacheHierarchy uniqueName="[Data].[DimSourceID]" caption="DimSourceID" attribute="1" defaultMemberUniqueName="[Data].[DimSourceID].[All]" allUniqueName="[Data].[DimSourceID].[All]" dimensionUniqueName="[Data]" displayFolder="" count="0" unbalanced="0" hidden="1"/>
    <cacheHierarchy uniqueName="[Data].[FactID]" caption="FactID" attribute="1" defaultMemberUniqueName="[Data].[FactID].[All]" allUniqueName="[Data].[FactID].[All]" dimensionUniqueName="[Data]" displayFolder="" count="0" unbalanced="0" hidden="1"/>
    <cacheHierarchy uniqueName="[Data].[Indicator_Type]" caption="Indicator_Type" attribute="1" defaultMemberUniqueName="[Data].[Indicator_Type].[All]" allUniqueName="[Data].[Indicator_Type].[All]" dimensionUniqueName="[Data]" displayFolder="" count="0" unbalanced="0" hidden="1"/>
    <cacheHierarchy uniqueName="[Data].[IndicatorSourceDescription]" caption="IndicatorSourceDescription" attribute="1" defaultMemberUniqueName="[Data].[IndicatorSourceDescription].[All]" allUniqueName="[Data].[IndicatorSourceDescription].[All]" dimensionUniqueName="[Data]" displayFolder="" count="0" unbalanced="0" hidden="1"/>
    <cacheHierarchy uniqueName="[Data].[IndicatorStandardNamesID]" caption="IndicatorStandardNamesID" attribute="1" defaultMemberUniqueName="[Data].[IndicatorStandardNamesID].[All]" allUniqueName="[Data].[IndicatorStandardNamesID].[All]" dimensionUniqueName="[Data]" displayFolder="" count="0" unbalanced="0" hidden="1"/>
    <cacheHierarchy uniqueName="[Data].[Nation]" caption="Nation" attribute="1" defaultMemberUniqueName="[Data].[Nation].[All]" allUniqueName="[Data].[Nation].[All]" dimensionUniqueName="[Data]" displayFolder="" count="0" unbalanced="0" hidden="1"/>
    <cacheHierarchy uniqueName="[Data].[Output Definition]" caption="Output Definition" attribute="1" defaultMemberUniqueName="[Data].[Output Definition].[All]" allUniqueName="[Data].[Output Definition].[All]" dimensionUniqueName="[Data]" displayFolder="" count="0" unbalanced="0" hidden="1"/>
    <cacheHierarchy uniqueName="[Data].[Population]" caption="Population" attribute="1" defaultMemberUniqueName="[Data].[Population].[All]" allUniqueName="[Data].[Population].[All]" dimensionUniqueName="[Data]" displayFolder="" count="0" unbalanced="0" hidden="1"/>
    <cacheHierarchy uniqueName="[Data].[Source]" caption="Source" attribute="1" defaultMemberUniqueName="[Data].[Source].[All]" allUniqueName="[Data].[Source].[All]" dimensionUniqueName="[Data]" displayFolder="" count="0" unbalanced="0" hidden="1"/>
    <cacheHierarchy uniqueName="[Data].[Value]" caption="Value" attribute="1" defaultMemberUniqueName="[Data].[Value].[All]" allUniqueName="[Data].[Value].[All]" dimensionUniqueName="[Data]" displayFolder="" count="0" unbalanced="0" hidden="1"/>
    <cacheHierarchy uniqueName="[Dates].[CalendarKey]" caption="CalendarKey" attribute="1" defaultMemberUniqueName="[Dates].[CalendarKey].[All]" allUniqueName="[Dates].[CalendarKey].[All]" dimensionUniqueName="[Dates]" displayFolder="" count="0" unbalanced="0" hidden="1"/>
    <cacheHierarchy uniqueName="[Dates].[Date]" caption="Date" attribute="1" defaultMemberUniqueName="[Dates].[Date].[All]" allUniqueName="[Dates].[Date].[All]" dimensionUniqueName="[Dates]" displayFolder="" count="0" unbalanced="0" hidden="1"/>
    <cacheHierarchy uniqueName="[Geography].[Country]" caption="Country" attribute="1" defaultMemberUniqueName="[Geography].[Country].[All]" allUniqueName="[Geography].[Country].[All]" dimensionUniqueName="[Geography]" displayFolder="" count="0" unbalanced="0" hidden="1"/>
    <cacheHierarchy uniqueName="[Geography].[DimGeoID]" caption="DimGeoID" attribute="1" defaultMemberUniqueName="[Geography].[DimGeoID].[All]" allUniqueName="[Geography].[DimGeoID].[All]" dimensionUniqueName="[Geography]" displayFolder="" count="0" unbalanced="0" hidden="1"/>
    <cacheHierarchy uniqueName="[Geography].[GeoEconomic_Region]" caption="GeoEconomic_Region" attribute="1" defaultMemberUniqueName="[Geography].[GeoEconomic_Region].[All]" allUniqueName="[Geography].[GeoEconomic_Region].[All]" dimensionUniqueName="[Geography]" displayFolder="" count="0" unbalanced="0" hidden="1"/>
    <cacheHierarchy uniqueName="[Geography].[Geopolitical_Region]" caption="Geopolitical_Region" attribute="1" defaultMemberUniqueName="[Geography].[Geopolitical_Region].[All]" allUniqueName="[Geography].[Geopolitical_Region].[All]" dimensionUniqueName="[Geography]" displayFolder="" count="0" unbalanced="0" hidden="1"/>
    <cacheHierarchy uniqueName="[Geography].[GeoPolitical_Type]" caption="GeoPolitical_Type" attribute="1" defaultMemberUniqueName="[Geography].[GeoPolitical_Type].[All]" allUniqueName="[Geography].[GeoPolitical_Type].[All]" dimensionUniqueName="[Geography]" displayFolder="" count="0" unbalanced="0" hidden="1"/>
    <cacheHierarchy uniqueName="[Geography].[IMF_main_category]" caption="IMF_main_category" attribute="1" defaultMemberUniqueName="[Geography].[IMF_main_category].[All]" allUniqueName="[Geography].[IMF_main_category].[All]" dimensionUniqueName="[Geography]" displayFolder="" count="0" unbalanced="0" hidden="1"/>
    <cacheHierarchy uniqueName="[Geography].[IMF_sub_category]" caption="IMF_sub_category" attribute="1" defaultMemberUniqueName="[Geography].[IMF_sub_category].[All]" allUniqueName="[Geography].[IMF_sub_category].[All]" dimensionUniqueName="[Geography]" displayFolder="" count="0" unbalanced="0" hidden="1"/>
    <cacheHierarchy uniqueName="[Geography].[MACROHISTORY_Geography]" caption="MACROHISTORY_Geography" attribute="1" defaultMemberUniqueName="[Geography].[MACROHISTORY_Geography].[All]" allUniqueName="[Geography].[MACROHISTORY_Geography].[All]" dimensionUniqueName="[Geography]" displayFolder="" count="0" unbalanced="0" hidden="1"/>
    <cacheHierarchy uniqueName="[Geography].[Major_Blocs]" caption="Major_Blocs" attribute="1" defaultMemberUniqueName="[Geography].[Major_Blocs].[All]" allUniqueName="[Geography].[Major_Blocs].[All]" dimensionUniqueName="[Geography]" displayFolder="" count="0" unbalanced="0" hidden="1"/>
    <cacheHierarchy uniqueName="[Geography].[Nation]" caption="Nation" attribute="1" defaultMemberUniqueName="[Geography].[Nation].[All]" allUniqueName="[Geography].[Nation].[All]" dimensionUniqueName="[Geography]" displayFolder="" count="0" unbalanced="0" hidden="1"/>
    <cacheHierarchy uniqueName="[Geography].[penn_availability]" caption="penn_availability" attribute="1" defaultMemberUniqueName="[Geography].[penn_availability].[All]" allUniqueName="[Geography].[penn_availability].[All]" dimensionUniqueName="[Geography]" displayFolder="" count="0" unbalanced="0" hidden="1"/>
    <cacheHierarchy uniqueName="[Geography].[Size]" caption="Size" attribute="1" defaultMemberUniqueName="[Geography].[Size].[All]" allUniqueName="[Geography].[Size].[All]" dimensionUniqueName="[Geography]" displayFolder="" count="0" unbalanced="0" hidden="1"/>
    <cacheHierarchy uniqueName="[Geography].[wdi_availability]" caption="wdi_availability" attribute="1" defaultMemberUniqueName="[Geography].[wdi_availability].[All]" allUniqueName="[Geography].[wdi_availability].[All]" dimensionUniqueName="[Geography]" displayFolder="" count="0" unbalanced="0" hidden="1"/>
    <cacheHierarchy uniqueName="[Geography].[WID_Geography]" caption="WID_Geography" attribute="1" defaultMemberUniqueName="[Geography].[WID_Geography].[All]" allUniqueName="[Geography].[WID_Geography].[All]" dimensionUniqueName="[Geography]" displayFolder="" count="0" unbalanced="0" hidden="1"/>
    <cacheHierarchy uniqueName="[Indicator Detail].[balance_of_payments_component]" caption="balance_of_payments_component" attribute="1" defaultMemberUniqueName="[Indicator Detail].[balance_of_payments_component].[All]" allUniqueName="[Indicator Detail].[balance_of_payments_component].[All]" dimensionUniqueName="[Indicator Detail]" displayFolder="" count="0" unbalanced="0" hidden="1"/>
    <cacheHierarchy uniqueName="[Indicator Detail].[capital_component]" caption="capital_component" attribute="1" defaultMemberUniqueName="[Indicator Detail].[capital_component].[All]" allUniqueName="[Indicator Detail].[capital_component].[All]" dimensionUniqueName="[Indicator Detail]" displayFolder="" count="0" unbalanced="0" hidden="1"/>
    <cacheHierarchy uniqueName="[Indicator Detail].[DimIndicatorID]" caption="DimIndicatorID" attribute="1" defaultMemberUniqueName="[Indicator Detail].[DimIndicatorID].[All]" allUniqueName="[Indicator Detail].[DimIndicatorID].[All]" dimensionUniqueName="[Indicator Detail]" displayFolder="" count="0" unbalanced="0" hidden="1"/>
    <cacheHierarchy uniqueName="[Indicator Detail].[gdp_expenditure_component]" caption="gdp_expenditure_component" attribute="1" defaultMemberUniqueName="[Indicator Detail].[gdp_expenditure_component].[All]" allUniqueName="[Indicator Detail].[gdp_expenditure_component].[All]" dimensionUniqueName="[Indicator Detail]" displayFolder="" count="0" unbalanced="0" hidden="1"/>
    <cacheHierarchy uniqueName="[Indicator Detail].[indicator_dimension]" caption="indicator_dimension" attribute="1" defaultMemberUniqueName="[Indicator Detail].[indicator_dimension].[All]" allUniqueName="[Indicator Detail].[indicator_dimension].[All]" dimensionUniqueName="[Indicator Detail]" displayFolder="" count="0" unbalanced="0" hidden="1"/>
    <cacheHierarchy uniqueName="[Indicator Detail].[indicator_metrics]" caption="indicator_metrics" attribute="1" defaultMemberUniqueName="[Indicator Detail].[indicator_metrics].[All]" allUniqueName="[Indicator Detail].[indicator_metrics].[All]" dimensionUniqueName="[Indicator Detail]" displayFolder="" count="0" unbalanced="0" hidden="1"/>
    <cacheHierarchy uniqueName="[Indicator Detail].[indicator_type]" caption="indicator_type" attribute="1" defaultMemberUniqueName="[Indicator Detail].[indicator_type].[All]" allUniqueName="[Indicator Detail].[indicator_type].[All]" dimensionUniqueName="[Indicator Detail]" displayFolder="" count="0" unbalanced="0" hidden="1"/>
    <cacheHierarchy uniqueName="[Indicator Detail].[indicator_units]" caption="indicator_units" attribute="1" defaultMemberUniqueName="[Indicator Detail].[indicator_units].[All]" allUniqueName="[Indicator Detail].[indicator_units].[All]" dimensionUniqueName="[Indicator Detail]" displayFolder="" count="0" unbalanced="0" hidden="1"/>
    <cacheHierarchy uniqueName="[Indicator Detail].[IndicatorStandardName]" caption="IndicatorStandardName" attribute="1" defaultMemberUniqueName="[Indicator Detail].[IndicatorStandardName].[All]" allUniqueName="[Indicator Detail].[IndicatorStandardName].[All]" dimensionUniqueName="[Indicator Detail]" displayFolder="" count="0" unbalanced="0" hidden="1"/>
    <cacheHierarchy uniqueName="[Indicator Detail].[measure_type]" caption="measure_type" attribute="1" defaultMemberUniqueName="[Indicator Detail].[measure_type].[All]" allUniqueName="[Indicator Detail].[measure_type].[All]" dimensionUniqueName="[Indicator Detail]" displayFolder="" count="0" unbalanced="0" hidden="1"/>
    <cacheHierarchy uniqueName="[Indicator Detail].[other_indicator_description]" caption="other_indicator_description" attribute="1" defaultMemberUniqueName="[Indicator Detail].[other_indicator_description].[All]" allUniqueName="[Indicator Detail].[other_indicator_description].[All]" dimensionUniqueName="[Indicator Detail]" displayFolder="" count="0" unbalanced="0" hidden="1"/>
    <cacheHierarchy uniqueName="[Indicator Detail].[output_definition]" caption="output_definition" attribute="1" defaultMemberUniqueName="[Indicator Detail].[output_definition].[All]" allUniqueName="[Indicator Detail].[output_definition].[All]" dimensionUniqueName="[Indicator Detail]" displayFolder="" count="0" unbalanced="0" hidden="1"/>
    <cacheHierarchy uniqueName="[Indicator Detail].[population_component]" caption="population_component" attribute="1" defaultMemberUniqueName="[Indicator Detail].[population_component].[All]" allUniqueName="[Indicator Detail].[population_component].[All]" dimensionUniqueName="[Indicator Detail]" displayFolder="" count="0" unbalanced="0" hidden="1"/>
    <cacheHierarchy uniqueName="[Indicator Detail].[source_component]" caption="source_component" attribute="1" defaultMemberUniqueName="[Indicator Detail].[source_component].[All]" allUniqueName="[Indicator Detail].[source_component].[All]" dimensionUniqueName="[Indicator Detail]" displayFolder="" count="0" unbalanced="0" hidden="1"/>
    <cacheHierarchy uniqueName="[IndicatorStandardNames].[IndicatorSource]" caption="IndicatorSource" attribute="1" defaultMemberUniqueName="[IndicatorStandardNames].[IndicatorSource].[All]" allUniqueName="[IndicatorStandardNames].[IndicatorSource].[All]" dimensionUniqueName="[IndicatorStandardNames]" displayFolder="" count="0" unbalanced="0" hidden="1"/>
    <cacheHierarchy uniqueName="[IndicatorStandardNames].[IndicatorSourceCode]" caption="IndicatorSourceCode" attribute="1" defaultMemberUniqueName="[IndicatorStandardNames].[IndicatorSourceCode].[All]" allUniqueName="[IndicatorStandardNames].[IndicatorSourceCode].[All]" dimensionUniqueName="[IndicatorStandardNames]" displayFolder="" count="0" unbalanced="0" hidden="1"/>
    <cacheHierarchy uniqueName="[IndicatorStandardNames].[IndicatorSourceDescription]" caption="IndicatorSourceDescription" attribute="1" defaultMemberUniqueName="[IndicatorStandardNames].[IndicatorSourceDescription].[All]" allUniqueName="[IndicatorStandardNames].[IndicatorSourceDescription].[All]" dimensionUniqueName="[IndicatorStandardNames]" displayFolder="" count="0" unbalanced="0" hidden="1"/>
    <cacheHierarchy uniqueName="[IndicatorStandardNames].[IndicatorStandardName]" caption="IndicatorStandardName" attribute="1" defaultMemberUniqueName="[IndicatorStandardNames].[IndicatorStandardName].[All]" allUniqueName="[IndicatorStandardNames].[IndicatorStandardName].[All]" dimensionUniqueName="[IndicatorStandardNames]" displayFolder="" count="0" unbalanced="0" hidden="1"/>
    <cacheHierarchy uniqueName="[IndicatorStandardNames].[IndicatorStandardNamesID]" caption="IndicatorStandardNamesID" attribute="1" defaultMemberUniqueName="[IndicatorStandardNames].[IndicatorStandardNamesID].[All]" allUniqueName="[IndicatorStandardNames].[IndicatorStandardNamesID].[All]" dimensionUniqueName="[IndicatorStandardNames]" displayFolder="" count="0" unbalanced="0" hidden="1"/>
    <cacheHierarchy uniqueName="[Sources].[DataNotes]" caption="DataNotes" attribute="1" defaultMemberUniqueName="[Sources].[DataNotes].[All]" allUniqueName="[Sources].[DataNotes].[All]" dimensionUniqueName="[Sources]" displayFolder="" count="0" unbalanced="0" hidden="1"/>
    <cacheHierarchy uniqueName="[Sources].[DataOriginFile]" caption="DataOriginFile" attribute="1" defaultMemberUniqueName="[Sources].[DataOriginFile].[All]" allUniqueName="[Sources].[DataOriginFile].[All]" dimensionUniqueName="[Sources]" displayFolder="" count="0" unbalanced="0" hidden="1"/>
    <cacheHierarchy uniqueName="[Sources].[DataOriginURL]" caption="DataOriginURL" attribute="1" defaultMemberUniqueName="[Sources].[DataOriginURL].[All]" allUniqueName="[Sources].[DataOriginURL].[All]" dimensionUniqueName="[Sources]" displayFolder="" count="0" unbalanced="0" hidden="1"/>
    <cacheHierarchy uniqueName="[Sources].[Description]" caption="Description" attribute="1" defaultMemberUniqueName="[Sources].[Description].[All]" allUniqueName="[Sources].[Description].[All]" dimensionUniqueName="[Sources]" displayFolder="" count="0" unbalanced="0" hidden="1"/>
    <cacheHierarchy uniqueName="[Sources].[DimSourceID]" caption="DimSourceID" attribute="1" defaultMemberUniqueName="[Sources].[DimSourceID].[All]" allUniqueName="[Sources].[DimSourceID].[All]" dimensionUniqueName="[Sources]" displayFolder="" count="0" unbalanced="0" hidden="1"/>
    <cacheHierarchy uniqueName="[Sources].[PreparationNotes]" caption="PreparationNotes" attribute="1" defaultMemberUniqueName="[Sources].[PreparationNotes].[All]" allUniqueName="[Sources].[PreparationNotes].[All]" dimensionUniqueName="[Sources]" displayFolder="" count="0" unbalanced="0" hidden="1"/>
    <cacheHierarchy uniqueName="[Sources].[SourceName]" caption="SourceName" attribute="1" defaultMemberUniqueName="[Sources].[SourceName].[All]" allUniqueName="[Sources].[SourceName].[All]" dimensionUniqueName="[Sources]" displayFolder="" count="0" unbalanced="0" hidden="1"/>
    <cacheHierarchy uniqueName="[Sources].[SourceNameDetail]" caption="SourceNameDetail" attribute="1" defaultMemberUniqueName="[Sources].[SourceNameDetail].[All]" allUniqueName="[Sources].[SourceNameDetail].[All]" dimensionUniqueName="[Sources]" displayFolder="" count="0" unbalanced="0" hidden="1"/>
    <cacheHierarchy uniqueName="[Sources].[SourceNameParent]" caption="SourceNameParent" attribute="1" defaultMemberUniqueName="[Sources].[SourceNameParent].[All]" allUniqueName="[Sources].[SourceNameParent].[All]" dimensionUniqueName="[Sources]" displayFolder="" count="0" unbalanced="0" hidden="1"/>
    <cacheHierarchy uniqueName="[Sources].[SourceNotes]" caption="SourceNotes" attribute="1" defaultMemberUniqueName="[Sources].[SourceNotes].[All]" allUniqueName="[Sources].[SourceNotes].[All]" dimensionUniqueName="[Sources]" displayFolder="" count="0" unbalanced="0" hidden="1"/>
    <cacheHierarchy uniqueName="[Measures].[Item]" caption="Item" measure="1" displayFolder="" measureGroup="Data" count="0"/>
    <cacheHierarchy uniqueName="[Measures].[Count]" caption="Count" measure="1" displayFolder="" measureGroup="Data" count="0"/>
    <cacheHierarchy uniqueName="[Measures].[__Default measure]" caption="__Default measure" measure="1" displayFolder="" count="0" hidden="1"/>
  </cacheHierarchies>
  <kpis count="0"/>
  <dimensions count="5">
    <dimension name="Data" uniqueName="[Data]" caption="Data"/>
    <dimension name="Dates" uniqueName="[Dates]" caption="Dates"/>
    <dimension name="Geography" uniqueName="[Geography]" caption="Geography"/>
    <dimension name="Indicator Detail" uniqueName="[Indicator Detail]" caption="Indicator Detail"/>
    <dimension measure="1" name="Measures" uniqueName="[Measures]" caption="Measures"/>
  </dimensions>
  <measureGroups count="6">
    <measureGroup name="Data" caption="Data"/>
    <measureGroup name="Dates" caption="Dates"/>
    <measureGroup name="Geography" caption="Geography"/>
    <measureGroup name="Indicator Detail" caption="Indicator Detail"/>
    <measureGroup name="IndicatorStandardNames" caption="IndicatorStandardNames"/>
    <measureGroup name="Sources" caption="Sources"/>
  </measureGroups>
  <maps count="7">
    <map measureGroup="0" dimension="0"/>
    <map measureGroup="0" dimension="1"/>
    <map measureGroup="0" dimension="2"/>
    <map measureGroup="0" dimension="3"/>
    <map measureGroup="1" dimension="1"/>
    <map measureGroup="2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F05D9-E7CF-4F01-B0C8-D0DFF39E562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A7:AZ115" firstHeaderRow="1" firstDataRow="2" firstDataCol="1" rowPageCount="5" colPageCount="1"/>
  <pivotFields count="16">
    <pivotField axis="axisPage" allDrilled="1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Col" allDrilled="1" subtotalTop="0" showAll="0" dataSourceSort="1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xis="axisRow" allDrilled="1" subtotalTop="0" showAll="0" dataSourceSort="1" defaultSubtotal="0">
      <items count="3">
        <item s="1" c="1" x="0"/>
        <item s="1" c="1" x="1" d="1"/>
        <item s="1" c="1" x="2" d="1"/>
      </items>
    </pivotField>
    <pivotField axis="axisRow" subtotalTop="0" showAll="0" dataSourceSort="1" defaultSubtotal="0">
      <items count="10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c="1" x="99"/>
        <item c="1" x="100"/>
        <item c="1" x="101"/>
        <item c="1" x="102"/>
      </items>
    </pivotField>
    <pivotField axis="axisRow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allDrilled="1" subtotalTop="0" showAll="0" dataSourceSort="1" defaultSubtotal="0" defaultAttributeDrillState="1"/>
    <pivotField dataField="1" subtotalTop="0" showAll="0" defaultSubtotal="0"/>
  </pivotFields>
  <rowFields count="2">
    <field x="4"/>
    <field x="5"/>
  </rowFields>
  <rowItems count="107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2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t="grand">
      <x/>
    </i>
  </rowItems>
  <colFields count="1">
    <field x="3"/>
  </colFields>
  <col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colItems>
  <pageFields count="5">
    <pageField fld="0" hier="2" name="[Data].[GDP and other output measures].[Output Definition].&amp;[Expenditure Approach]" cap="Expenditure Approach"/>
    <pageField fld="1" hier="4" name="[Data].[Original Source Data].[Source].&amp;[WDI2020]" cap="WDI2020"/>
    <pageField fld="7" hier="9" name="[Geography].[WDI Availability].[wdi_availability].&amp;[From 1960]" cap="From 1960"/>
    <pageField fld="10" hier="12" name="[Indicator Detail].[Units].[Measure Type (Stock/Flow/etc)].&amp;[Flow].&amp;[Money].&amp;[USD]" cap="USD"/>
    <pageField fld="14" hier="11" name="[Indicator Detail].[Industrial Sector (Agriculture/Manufacturing/etc)].&amp;[Whole economy]" cap="Whole economy"/>
  </pageFields>
  <dataFields count="1">
    <dataField fld="15" subtotal="count" baseField="0" baseItem="0"/>
  </dataFields>
  <pivotHierarchies count="76">
    <pivotHierarchy/>
    <pivotHierarchy/>
    <pivotHierarchy/>
    <pivotHierarchy/>
    <pivotHierarchy/>
    <pivotHierarchy/>
    <pivotHierarchy/>
    <pivotHierarchy/>
    <pivotHierarchy/>
    <pivotHierarchy multipleItemSelectionAllowed="1">
      <members count="8" level="1">
        <member name="[Geography].[WDI Availability].[wdi_availability].&amp;[From 1960]"/>
        <member name="[Geography].[WDI Availability].[wdi_availability].&amp;[From 1961]"/>
        <member name="[Geography].[WDI Availability].[wdi_availability].&amp;[From 1962]"/>
        <member name="[Geography].[WDI Availability].[wdi_availability].&amp;[From 1965]"/>
        <member name="[Geography].[WDI Availability].[wdi_availability].&amp;[From 1966]"/>
        <member name="[Geography].[WDI Availability].[wdi_availability].&amp;[From 1967]"/>
        <member name="[Geography].[WDI Availability].[wdi_availability].&amp;[From 1968]"/>
        <member name="[Geography].[WDI Availability].[wdi_availability].&amp;[From 197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captionGreaterThanOrEqual" evalOrder="-1" id="1" stringValue1="1970">
      <autoFilter ref="A1">
        <filterColumn colId="0">
          <customFilters>
            <customFilter operator="greaterThanOrEqual" val="1970"/>
          </customFilters>
        </filterColumn>
      </autoFilter>
    </filter>
  </filters>
  <rowHierarchiesUsage count="1">
    <rowHierarchyUsage hierarchyUsage="6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88253-BCE9-4CF3-996B-8851A86B19B3}" name="PivotTable1" cacheId="2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outline="1" outlineData="1" multipleFieldFilters="0" fieldListSortAscending="1">
  <location ref="A7" firstHeaderRow="0" firstDataRow="0" firstDataCol="0" rowPageCount="5" colPageCount="1"/>
  <pivotFields count="15">
    <pivotField axis="axisPage" allDrilled="1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llDrilled="1" subtotalTop="0" showAll="0" dataSourceSort="1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llDrilled="1" subtotalTop="0" showAll="0" dataSourceSort="1" defaultSubtotal="0">
      <items count="3">
        <item s="1" c="1" x="0"/>
        <item s="1" c="1" x="1"/>
        <item s="1" c="1" x="2"/>
      </items>
    </pivotField>
    <pivotField subtotalTop="0" showAll="0" dataSourceSort="1" defaultSubtotal="0">
      <items count="10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c="1" x="99"/>
        <item c="1" x="100"/>
        <item c="1" x="101"/>
        <item c="1" x="102"/>
      </items>
    </pivotField>
    <pivotField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allDrilled="1" subtotalTop="0" showAll="0" dataSourceSort="1" defaultSubtotal="0" defaultAttributeDrillState="1"/>
  </pivotFields>
  <pageFields count="5">
    <pageField fld="0" hier="2" name="[Data].[GDP and other output measures].[Output Definition].&amp;[Expenditure Approach]" cap="Expenditure Approach"/>
    <pageField fld="1" hier="4" name="[Data].[Original Source Data].[Source].&amp;[WDI2020]" cap="WDI2020"/>
    <pageField fld="7" hier="9" name="[Geography].[WDI Availability].[wdi_availability].&amp;[From 1960]" cap="From 1960"/>
    <pageField fld="10" hier="12" name="[Indicator Detail].[Units].[Measure Type (Stock/Flow/etc)].&amp;[Flow].&amp;[Money].&amp;[USD]" cap="USD"/>
    <pageField fld="14" hier="11" name="[Indicator Detail].[Industrial Sector (Agriculture/Manufacturing/etc)].&amp;[Whole economy]" cap="Whole economy"/>
  </pageFields>
  <pivotHierarchies count="76">
    <pivotHierarchy/>
    <pivotHierarchy/>
    <pivotHierarchy/>
    <pivotHierarchy/>
    <pivotHierarchy/>
    <pivotHierarchy/>
    <pivotHierarchy/>
    <pivotHierarchy/>
    <pivotHierarchy/>
    <pivotHierarchy multipleItemSelectionAllowed="1">
      <members count="8" level="1">
        <member name="[Geography].[WDI Availability].[wdi_availability].&amp;[From 1960]"/>
        <member name="[Geography].[WDI Availability].[wdi_availability].&amp;[From 1961]"/>
        <member name="[Geography].[WDI Availability].[wdi_availability].&amp;[From 1962]"/>
        <member name="[Geography].[WDI Availability].[wdi_availability].&amp;[From 1965]"/>
        <member name="[Geography].[WDI Availability].[wdi_availability].&amp;[From 1966]"/>
        <member name="[Geography].[WDI Availability].[wdi_availability].&amp;[From 1967]"/>
        <member name="[Geography].[WDI Availability].[wdi_availability].&amp;[From 1968]"/>
        <member name="[Geography].[WDI Availability].[wdi_availability].&amp;[From 197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captionGreaterThanOrEqual" evalOrder="-1" id="1" stringValue1="1970">
      <autoFilter ref="A1">
        <filterColumn colId="0">
          <customFilters>
            <customFilter operator="greaterThanOrEqual" val="197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15"/>
  <sheetViews>
    <sheetView workbookViewId="0">
      <selection activeCell="A29" sqref="A29"/>
    </sheetView>
  </sheetViews>
  <sheetFormatPr defaultRowHeight="14.25" x14ac:dyDescent="0.45"/>
  <cols>
    <col min="1" max="1" width="39.9296875" bestFit="1" customWidth="1"/>
    <col min="2" max="2" width="20.53125" bestFit="1" customWidth="1"/>
    <col min="3" max="62" width="11.73046875" bestFit="1" customWidth="1"/>
    <col min="63" max="75" width="11.59765625" bestFit="1" customWidth="1"/>
    <col min="76" max="77" width="11.73046875" bestFit="1" customWidth="1"/>
    <col min="78" max="81" width="11.59765625" bestFit="1" customWidth="1"/>
    <col min="82" max="91" width="11.73046875" bestFit="1" customWidth="1"/>
    <col min="92" max="131" width="11.59765625" bestFit="1" customWidth="1"/>
    <col min="132" max="132" width="11.73046875" bestFit="1" customWidth="1"/>
    <col min="133" max="133" width="11.59765625" bestFit="1" customWidth="1"/>
    <col min="134" max="146" width="11.73046875" bestFit="1" customWidth="1"/>
    <col min="147" max="151" width="11.59765625" bestFit="1" customWidth="1"/>
    <col min="152" max="153" width="11.73046875" bestFit="1" customWidth="1"/>
    <col min="154" max="155" width="11.59765625" bestFit="1" customWidth="1"/>
  </cols>
  <sheetData>
    <row r="1" spans="1:52" x14ac:dyDescent="0.45">
      <c r="A1" s="1" t="s">
        <v>0</v>
      </c>
      <c r="B1" t="s" vm="1">
        <v>62</v>
      </c>
    </row>
    <row r="2" spans="1:52" x14ac:dyDescent="0.45">
      <c r="A2" s="1" t="s">
        <v>1</v>
      </c>
      <c r="B2" t="s" vm="2">
        <v>63</v>
      </c>
    </row>
    <row r="3" spans="1:52" x14ac:dyDescent="0.45">
      <c r="A3" s="1" t="s">
        <v>58</v>
      </c>
      <c r="B3" t="s" vm="5">
        <v>64</v>
      </c>
    </row>
    <row r="4" spans="1:52" x14ac:dyDescent="0.45">
      <c r="A4" s="1" t="s">
        <v>59</v>
      </c>
      <c r="B4" t="s" vm="3">
        <v>65</v>
      </c>
    </row>
    <row r="5" spans="1:52" x14ac:dyDescent="0.45">
      <c r="A5" s="1" t="s">
        <v>60</v>
      </c>
      <c r="B5" t="s" vm="4">
        <v>66</v>
      </c>
    </row>
    <row r="7" spans="1:52" x14ac:dyDescent="0.45">
      <c r="A7" s="1" t="s">
        <v>61</v>
      </c>
      <c r="B7" s="1" t="s">
        <v>2</v>
      </c>
    </row>
    <row r="8" spans="1:52" x14ac:dyDescent="0.45">
      <c r="A8" s="1" t="s">
        <v>54</v>
      </c>
      <c r="B8" t="s">
        <v>3</v>
      </c>
      <c r="C8" t="s">
        <v>4</v>
      </c>
      <c r="D8" t="s">
        <v>5</v>
      </c>
      <c r="E8" t="s">
        <v>6</v>
      </c>
      <c r="F8" t="s">
        <v>7</v>
      </c>
      <c r="G8" t="s">
        <v>8</v>
      </c>
      <c r="H8" t="s">
        <v>9</v>
      </c>
      <c r="I8" t="s">
        <v>10</v>
      </c>
      <c r="J8" t="s">
        <v>11</v>
      </c>
      <c r="K8" t="s">
        <v>12</v>
      </c>
      <c r="L8" t="s">
        <v>13</v>
      </c>
      <c r="M8" t="s">
        <v>14</v>
      </c>
      <c r="N8" t="s">
        <v>15</v>
      </c>
      <c r="O8" t="s">
        <v>16</v>
      </c>
      <c r="P8" t="s">
        <v>17</v>
      </c>
      <c r="Q8" t="s">
        <v>18</v>
      </c>
      <c r="R8" t="s">
        <v>19</v>
      </c>
      <c r="S8" t="s">
        <v>20</v>
      </c>
      <c r="T8" t="s">
        <v>21</v>
      </c>
      <c r="U8" t="s">
        <v>22</v>
      </c>
      <c r="V8" t="s">
        <v>23</v>
      </c>
      <c r="W8" t="s">
        <v>24</v>
      </c>
      <c r="X8" t="s">
        <v>25</v>
      </c>
      <c r="Y8" t="s">
        <v>26</v>
      </c>
      <c r="Z8" t="s">
        <v>27</v>
      </c>
      <c r="AA8" t="s">
        <v>28</v>
      </c>
      <c r="AB8" t="s">
        <v>29</v>
      </c>
      <c r="AC8" t="s">
        <v>30</v>
      </c>
      <c r="AD8" t="s">
        <v>31</v>
      </c>
      <c r="AE8" t="s">
        <v>32</v>
      </c>
      <c r="AF8" t="s">
        <v>33</v>
      </c>
      <c r="AG8" t="s">
        <v>34</v>
      </c>
      <c r="AH8" t="s">
        <v>35</v>
      </c>
      <c r="AI8" t="s">
        <v>36</v>
      </c>
      <c r="AJ8" t="s">
        <v>37</v>
      </c>
      <c r="AK8" t="s">
        <v>38</v>
      </c>
      <c r="AL8" t="s">
        <v>39</v>
      </c>
      <c r="AM8" t="s">
        <v>40</v>
      </c>
      <c r="AN8" t="s">
        <v>41</v>
      </c>
      <c r="AO8" t="s">
        <v>42</v>
      </c>
      <c r="AP8" t="s">
        <v>43</v>
      </c>
      <c r="AQ8" t="s">
        <v>44</v>
      </c>
      <c r="AR8" t="s">
        <v>45</v>
      </c>
      <c r="AS8" t="s">
        <v>46</v>
      </c>
      <c r="AT8" t="s">
        <v>47</v>
      </c>
      <c r="AU8" t="s">
        <v>48</v>
      </c>
      <c r="AV8" t="s">
        <v>49</v>
      </c>
      <c r="AW8" t="s">
        <v>50</v>
      </c>
      <c r="AX8" t="s">
        <v>51</v>
      </c>
      <c r="AY8" t="s">
        <v>52</v>
      </c>
      <c r="AZ8" t="s">
        <v>53</v>
      </c>
    </row>
    <row r="9" spans="1:52" x14ac:dyDescent="0.45">
      <c r="A9" s="2" t="s">
        <v>55</v>
      </c>
      <c r="B9" s="3">
        <v>92602974208</v>
      </c>
      <c r="C9" s="3">
        <v>99800956928</v>
      </c>
      <c r="D9" s="3">
        <v>113687584768</v>
      </c>
      <c r="E9" s="3">
        <v>138544283648</v>
      </c>
      <c r="F9" s="3">
        <v>144182132736</v>
      </c>
      <c r="G9" s="3">
        <v>163431546880</v>
      </c>
      <c r="H9" s="3">
        <v>153940459520</v>
      </c>
      <c r="I9" s="3">
        <v>174938095616</v>
      </c>
      <c r="J9" s="3">
        <v>149540749312</v>
      </c>
      <c r="K9" s="3">
        <v>178280595456</v>
      </c>
      <c r="L9" s="3">
        <v>191149211648</v>
      </c>
      <c r="M9" s="3">
        <v>195866378240</v>
      </c>
      <c r="N9" s="3">
        <v>205089701888</v>
      </c>
      <c r="O9" s="3">
        <v>230686752768</v>
      </c>
      <c r="P9" s="3">
        <v>259946512384</v>
      </c>
      <c r="Q9" s="3">
        <v>309488025600</v>
      </c>
      <c r="R9" s="3">
        <v>300758106112</v>
      </c>
      <c r="S9" s="3">
        <v>272972972032</v>
      </c>
      <c r="T9" s="3">
        <v>312353619968</v>
      </c>
      <c r="U9" s="3">
        <v>347768061952</v>
      </c>
      <c r="V9" s="3">
        <v>360857927680</v>
      </c>
      <c r="W9" s="3">
        <v>383373312000</v>
      </c>
      <c r="X9" s="3">
        <v>426915725312</v>
      </c>
      <c r="Y9" s="3">
        <v>444731293696</v>
      </c>
      <c r="Z9" s="3">
        <v>564324663296</v>
      </c>
      <c r="AA9" s="3">
        <v>734547869696</v>
      </c>
      <c r="AB9" s="3">
        <v>863746719744</v>
      </c>
      <c r="AC9" s="3">
        <v>961603960832</v>
      </c>
      <c r="AD9" s="3">
        <v>1029043126272</v>
      </c>
      <c r="AE9" s="3">
        <v>1093997297664</v>
      </c>
      <c r="AF9" s="3">
        <v>1211346845696</v>
      </c>
      <c r="AG9" s="3">
        <v>1339395670016</v>
      </c>
      <c r="AH9" s="3">
        <v>1470549983232</v>
      </c>
      <c r="AI9" s="3">
        <v>1660287975424</v>
      </c>
      <c r="AJ9" s="3">
        <v>1955347038208</v>
      </c>
      <c r="AK9" s="3">
        <v>2285965934592</v>
      </c>
      <c r="AL9" s="3">
        <v>2752131891200</v>
      </c>
      <c r="AM9" s="3">
        <v>3550342545408</v>
      </c>
      <c r="AN9" s="3">
        <v>4594306908160</v>
      </c>
      <c r="AO9" s="3">
        <v>5101702348800</v>
      </c>
      <c r="AP9" s="3">
        <v>6087164559360</v>
      </c>
      <c r="AQ9" s="3">
        <v>7551500419072</v>
      </c>
      <c r="AR9" s="3">
        <v>8532230930432</v>
      </c>
      <c r="AS9" s="3">
        <v>9570405580800</v>
      </c>
      <c r="AT9" s="3">
        <v>10475683184640</v>
      </c>
      <c r="AU9" s="3">
        <v>11061553004544</v>
      </c>
      <c r="AV9" s="3">
        <v>11233277247488</v>
      </c>
      <c r="AW9" s="3">
        <v>12310409117696</v>
      </c>
      <c r="AX9" s="3">
        <v>13894816890880</v>
      </c>
      <c r="AY9" s="3">
        <v>14342902775808</v>
      </c>
      <c r="AZ9" s="3">
        <v>141879491469312</v>
      </c>
    </row>
    <row r="10" spans="1:52" x14ac:dyDescent="0.45">
      <c r="A10" s="2" t="s">
        <v>56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1:52" x14ac:dyDescent="0.45">
      <c r="A11" s="4" t="s">
        <v>85</v>
      </c>
      <c r="B11" s="3">
        <v>78619208</v>
      </c>
      <c r="C11" s="3">
        <v>89409824</v>
      </c>
      <c r="D11" s="3">
        <v>113408232</v>
      </c>
      <c r="E11" s="3">
        <v>150820096</v>
      </c>
      <c r="F11" s="3">
        <v>186558704</v>
      </c>
      <c r="G11" s="3">
        <v>220127248</v>
      </c>
      <c r="H11" s="3">
        <v>227281024</v>
      </c>
      <c r="I11" s="3">
        <v>254020160</v>
      </c>
      <c r="J11" s="3">
        <v>308008896</v>
      </c>
      <c r="K11" s="3">
        <v>411578336</v>
      </c>
      <c r="L11" s="3">
        <v>446416096</v>
      </c>
      <c r="M11" s="3">
        <v>388958720</v>
      </c>
      <c r="N11" s="3">
        <v>375895968</v>
      </c>
      <c r="O11" s="3">
        <v>327861824</v>
      </c>
      <c r="P11" s="3">
        <v>330070688</v>
      </c>
      <c r="Q11" s="3">
        <v>346737952</v>
      </c>
      <c r="R11" s="3">
        <v>482000608</v>
      </c>
      <c r="S11" s="3">
        <v>611316416</v>
      </c>
      <c r="T11" s="3">
        <v>721425920</v>
      </c>
      <c r="U11" s="3">
        <v>795449344</v>
      </c>
      <c r="V11" s="3">
        <v>1029048512</v>
      </c>
      <c r="W11" s="3">
        <v>1106928640</v>
      </c>
      <c r="X11" s="3">
        <v>1210013696</v>
      </c>
      <c r="Y11" s="3">
        <v>1007025728</v>
      </c>
      <c r="Z11" s="3">
        <v>1017549120</v>
      </c>
      <c r="AA11" s="3">
        <v>1178738944</v>
      </c>
      <c r="AB11" s="3">
        <v>1223945344</v>
      </c>
      <c r="AC11" s="3">
        <v>1180597248</v>
      </c>
      <c r="AD11" s="3">
        <v>1211932416</v>
      </c>
      <c r="AE11" s="3">
        <v>1239876352</v>
      </c>
      <c r="AF11" s="3">
        <v>1429049216</v>
      </c>
      <c r="AG11" s="3">
        <v>1546926208</v>
      </c>
      <c r="AH11" s="3">
        <v>1755910016</v>
      </c>
      <c r="AI11" s="3">
        <v>2361726976</v>
      </c>
      <c r="AJ11" s="3">
        <v>2894921728</v>
      </c>
      <c r="AK11" s="3">
        <v>3159905536</v>
      </c>
      <c r="AL11" s="3">
        <v>3456442112</v>
      </c>
      <c r="AM11" s="3">
        <v>3952600576</v>
      </c>
      <c r="AN11" s="3">
        <v>4085630464</v>
      </c>
      <c r="AO11" s="3">
        <v>3674409472</v>
      </c>
      <c r="AP11" s="3">
        <v>3449966848</v>
      </c>
      <c r="AQ11" s="3">
        <v>3629203712</v>
      </c>
      <c r="AR11" s="3">
        <v>3188808960</v>
      </c>
      <c r="AS11" s="3">
        <v>3193704448</v>
      </c>
      <c r="AT11" s="3">
        <v>3271808256</v>
      </c>
      <c r="AU11" s="3">
        <v>2789870080</v>
      </c>
      <c r="AV11" s="3">
        <v>2896679168</v>
      </c>
      <c r="AW11" s="3">
        <v>3000180736</v>
      </c>
      <c r="AX11" s="3">
        <v>3218316032</v>
      </c>
      <c r="AY11" s="3">
        <v>3154057984</v>
      </c>
      <c r="AZ11" s="3">
        <v>78381739792</v>
      </c>
    </row>
    <row r="12" spans="1:52" x14ac:dyDescent="0.45">
      <c r="A12" s="4" t="s">
        <v>81</v>
      </c>
      <c r="B12" s="3">
        <v>41271140352</v>
      </c>
      <c r="C12" s="3">
        <v>45149511680</v>
      </c>
      <c r="D12" s="3">
        <v>51967291392</v>
      </c>
      <c r="E12" s="3">
        <v>63737348096</v>
      </c>
      <c r="F12" s="3">
        <v>88831246336</v>
      </c>
      <c r="G12" s="3">
        <v>97170554880</v>
      </c>
      <c r="H12" s="3">
        <v>104921219072</v>
      </c>
      <c r="I12" s="3">
        <v>110201880576</v>
      </c>
      <c r="J12" s="3">
        <v>118338600960</v>
      </c>
      <c r="K12" s="3">
        <v>134712033280</v>
      </c>
      <c r="L12" s="3">
        <v>149774925824</v>
      </c>
      <c r="M12" s="3">
        <v>176642277376</v>
      </c>
      <c r="N12" s="3">
        <v>193770274816</v>
      </c>
      <c r="O12" s="3">
        <v>177030414336</v>
      </c>
      <c r="P12" s="3">
        <v>193242169344</v>
      </c>
      <c r="Q12" s="3">
        <v>180234715136</v>
      </c>
      <c r="R12" s="3">
        <v>182036938752</v>
      </c>
      <c r="S12" s="3">
        <v>189060349952</v>
      </c>
      <c r="T12" s="3">
        <v>235659198464</v>
      </c>
      <c r="U12" s="3">
        <v>299267981312</v>
      </c>
      <c r="V12" s="3">
        <v>310777217024</v>
      </c>
      <c r="W12" s="3">
        <v>325310414848</v>
      </c>
      <c r="X12" s="3">
        <v>324878860288</v>
      </c>
      <c r="Y12" s="3">
        <v>311544414208</v>
      </c>
      <c r="Z12" s="3">
        <v>322211676160</v>
      </c>
      <c r="AA12" s="3">
        <v>367216361472</v>
      </c>
      <c r="AB12" s="3">
        <v>400302735360</v>
      </c>
      <c r="AC12" s="3">
        <v>434568003584</v>
      </c>
      <c r="AD12" s="3">
        <v>398899150848</v>
      </c>
      <c r="AE12" s="3">
        <v>388608229376</v>
      </c>
      <c r="AF12" s="3">
        <v>415222628352</v>
      </c>
      <c r="AG12" s="3">
        <v>378376093696</v>
      </c>
      <c r="AH12" s="3">
        <v>394648911872</v>
      </c>
      <c r="AI12" s="3">
        <v>466488066048</v>
      </c>
      <c r="AJ12" s="3">
        <v>612490412032</v>
      </c>
      <c r="AK12" s="3">
        <v>693407776768</v>
      </c>
      <c r="AL12" s="3">
        <v>746054221824</v>
      </c>
      <c r="AM12" s="3">
        <v>853099610112</v>
      </c>
      <c r="AN12" s="3">
        <v>1053995499520</v>
      </c>
      <c r="AO12" s="3">
        <v>927805210624</v>
      </c>
      <c r="AP12" s="3">
        <v>1146138525696</v>
      </c>
      <c r="AQ12" s="3">
        <v>1396649885696</v>
      </c>
      <c r="AR12" s="3">
        <v>1546151788544</v>
      </c>
      <c r="AS12" s="3">
        <v>1576184446976</v>
      </c>
      <c r="AT12" s="3">
        <v>1467483684864</v>
      </c>
      <c r="AU12" s="3">
        <v>1351694024704</v>
      </c>
      <c r="AV12" s="3">
        <v>1208847040512</v>
      </c>
      <c r="AW12" s="3">
        <v>1330135695360</v>
      </c>
      <c r="AX12" s="3">
        <v>1433904349184</v>
      </c>
      <c r="AY12" s="3">
        <v>1392680632320</v>
      </c>
      <c r="AZ12" s="3">
        <v>26808795639808</v>
      </c>
    </row>
    <row r="13" spans="1:52" x14ac:dyDescent="0.45">
      <c r="A13" s="4" t="s">
        <v>84</v>
      </c>
      <c r="B13" s="3">
        <v>15373005824</v>
      </c>
      <c r="C13" s="3">
        <v>17858486272</v>
      </c>
      <c r="D13" s="3">
        <v>22059612160</v>
      </c>
      <c r="E13" s="3">
        <v>29515468800</v>
      </c>
      <c r="F13" s="3">
        <v>35189301248</v>
      </c>
      <c r="G13" s="3">
        <v>40059207680</v>
      </c>
      <c r="H13" s="3">
        <v>42959974400</v>
      </c>
      <c r="I13" s="3">
        <v>51545759744</v>
      </c>
      <c r="J13" s="3">
        <v>62052257792</v>
      </c>
      <c r="K13" s="3">
        <v>73937297408</v>
      </c>
      <c r="L13" s="3">
        <v>82058911744</v>
      </c>
      <c r="M13" s="3">
        <v>71034224640</v>
      </c>
      <c r="N13" s="3">
        <v>71275290624</v>
      </c>
      <c r="O13" s="3">
        <v>72121016320</v>
      </c>
      <c r="P13" s="3">
        <v>67985346560</v>
      </c>
      <c r="Q13" s="3">
        <v>69386772480</v>
      </c>
      <c r="R13" s="3">
        <v>99036168192</v>
      </c>
      <c r="S13" s="3">
        <v>124168445952</v>
      </c>
      <c r="T13" s="3">
        <v>133339398144</v>
      </c>
      <c r="U13" s="3">
        <v>133105803264</v>
      </c>
      <c r="V13" s="3">
        <v>166463389696</v>
      </c>
      <c r="W13" s="3">
        <v>173794181120</v>
      </c>
      <c r="X13" s="3">
        <v>195078127616</v>
      </c>
      <c r="Y13" s="3">
        <v>190379720704</v>
      </c>
      <c r="Z13" s="3">
        <v>203535237120</v>
      </c>
      <c r="AA13" s="3">
        <v>241038278656</v>
      </c>
      <c r="AB13" s="3">
        <v>237250953216</v>
      </c>
      <c r="AC13" s="3">
        <v>212790345728</v>
      </c>
      <c r="AD13" s="3">
        <v>218259898368</v>
      </c>
      <c r="AE13" s="3">
        <v>217185779712</v>
      </c>
      <c r="AF13" s="3">
        <v>196799774720</v>
      </c>
      <c r="AG13" s="3">
        <v>197337874432</v>
      </c>
      <c r="AH13" s="3">
        <v>213377777664</v>
      </c>
      <c r="AI13" s="3">
        <v>261695782912</v>
      </c>
      <c r="AJ13" s="3">
        <v>300904218624</v>
      </c>
      <c r="AK13" s="3">
        <v>315974418432</v>
      </c>
      <c r="AL13" s="3">
        <v>335998550016</v>
      </c>
      <c r="AM13" s="3">
        <v>388691460096</v>
      </c>
      <c r="AN13" s="3">
        <v>430294302720</v>
      </c>
      <c r="AO13" s="3">
        <v>400172285952</v>
      </c>
      <c r="AP13" s="3">
        <v>391892762624</v>
      </c>
      <c r="AQ13" s="3">
        <v>431120318464</v>
      </c>
      <c r="AR13" s="3">
        <v>409425248256</v>
      </c>
      <c r="AS13" s="3">
        <v>430068727808</v>
      </c>
      <c r="AT13" s="3">
        <v>441996115968</v>
      </c>
      <c r="AU13" s="3">
        <v>381817552896</v>
      </c>
      <c r="AV13" s="3">
        <v>395227693056</v>
      </c>
      <c r="AW13" s="3">
        <v>418316156928</v>
      </c>
      <c r="AX13" s="3">
        <v>455508262912</v>
      </c>
      <c r="AY13" s="3">
        <v>446314741760</v>
      </c>
      <c r="AZ13" s="3">
        <v>10612771687424</v>
      </c>
    </row>
    <row r="14" spans="1:52" x14ac:dyDescent="0.45">
      <c r="A14" s="4" t="s">
        <v>80</v>
      </c>
      <c r="B14" s="3">
        <v>26706196480</v>
      </c>
      <c r="C14" s="3">
        <v>29821661184</v>
      </c>
      <c r="D14" s="3">
        <v>37209419776</v>
      </c>
      <c r="E14" s="3">
        <v>47743803392</v>
      </c>
      <c r="F14" s="3">
        <v>56033079296</v>
      </c>
      <c r="G14" s="3">
        <v>65678188544</v>
      </c>
      <c r="H14" s="3">
        <v>71113883648</v>
      </c>
      <c r="I14" s="3">
        <v>82839904256</v>
      </c>
      <c r="J14" s="3">
        <v>101246525440</v>
      </c>
      <c r="K14" s="3">
        <v>116315455488</v>
      </c>
      <c r="L14" s="3">
        <v>126829314048</v>
      </c>
      <c r="M14" s="3">
        <v>104730017792</v>
      </c>
      <c r="N14" s="3">
        <v>92095930368</v>
      </c>
      <c r="O14" s="3">
        <v>87184236544</v>
      </c>
      <c r="P14" s="3">
        <v>83349528576</v>
      </c>
      <c r="Q14" s="3">
        <v>86268264448</v>
      </c>
      <c r="R14" s="3">
        <v>120018788352</v>
      </c>
      <c r="S14" s="3">
        <v>149394407424</v>
      </c>
      <c r="T14" s="3">
        <v>162299101184</v>
      </c>
      <c r="U14" s="3">
        <v>164221059072</v>
      </c>
      <c r="V14" s="3">
        <v>205331742720</v>
      </c>
      <c r="W14" s="3">
        <v>210511003648</v>
      </c>
      <c r="X14" s="3">
        <v>234781655040</v>
      </c>
      <c r="Y14" s="3">
        <v>224721797120</v>
      </c>
      <c r="Z14" s="3">
        <v>244884127744</v>
      </c>
      <c r="AA14" s="3">
        <v>288025575424</v>
      </c>
      <c r="AB14" s="3">
        <v>279201447936</v>
      </c>
      <c r="AC14" s="3">
        <v>252708044800</v>
      </c>
      <c r="AD14" s="3">
        <v>258528346112</v>
      </c>
      <c r="AE14" s="3">
        <v>258158526464</v>
      </c>
      <c r="AF14" s="3">
        <v>236204539904</v>
      </c>
      <c r="AG14" s="3">
        <v>236541296640</v>
      </c>
      <c r="AH14" s="3">
        <v>257157824512</v>
      </c>
      <c r="AI14" s="3">
        <v>317381705728</v>
      </c>
      <c r="AJ14" s="3">
        <v>368537010176</v>
      </c>
      <c r="AK14" s="3">
        <v>385570963456</v>
      </c>
      <c r="AL14" s="3">
        <v>407918084096</v>
      </c>
      <c r="AM14" s="3">
        <v>470324248576</v>
      </c>
      <c r="AN14" s="3">
        <v>515223519232</v>
      </c>
      <c r="AO14" s="3">
        <v>481345929216</v>
      </c>
      <c r="AP14" s="3">
        <v>480951631872</v>
      </c>
      <c r="AQ14" s="3">
        <v>522645504000</v>
      </c>
      <c r="AR14" s="3">
        <v>496181248000</v>
      </c>
      <c r="AS14" s="3">
        <v>521642704896</v>
      </c>
      <c r="AT14" s="3">
        <v>534678077440</v>
      </c>
      <c r="AU14" s="3">
        <v>462149681152</v>
      </c>
      <c r="AV14" s="3">
        <v>475900870656</v>
      </c>
      <c r="AW14" s="3">
        <v>503788765184</v>
      </c>
      <c r="AX14" s="3">
        <v>542685921280</v>
      </c>
      <c r="AY14" s="3">
        <v>529606705152</v>
      </c>
      <c r="AZ14" s="3">
        <v>13014387263488</v>
      </c>
    </row>
    <row r="15" spans="1:52" x14ac:dyDescent="0.45">
      <c r="A15" s="4" t="s">
        <v>86</v>
      </c>
      <c r="B15" s="3">
        <v>87896096768</v>
      </c>
      <c r="C15" s="3">
        <v>99271958528</v>
      </c>
      <c r="D15" s="3">
        <v>113082818560</v>
      </c>
      <c r="E15" s="3">
        <v>131321856000</v>
      </c>
      <c r="F15" s="3">
        <v>160408698880</v>
      </c>
      <c r="G15" s="3">
        <v>173834027008</v>
      </c>
      <c r="H15" s="3">
        <v>206575566848</v>
      </c>
      <c r="I15" s="3">
        <v>211612155904</v>
      </c>
      <c r="J15" s="3">
        <v>218632863744</v>
      </c>
      <c r="K15" s="3">
        <v>243072106496</v>
      </c>
      <c r="L15" s="3">
        <v>273853825024</v>
      </c>
      <c r="M15" s="3">
        <v>306214862848</v>
      </c>
      <c r="N15" s="3">
        <v>313506529280</v>
      </c>
      <c r="O15" s="3">
        <v>340547698688</v>
      </c>
      <c r="P15" s="3">
        <v>355372564480</v>
      </c>
      <c r="Q15" s="3">
        <v>364756500480</v>
      </c>
      <c r="R15" s="3">
        <v>377437913088</v>
      </c>
      <c r="S15" s="3">
        <v>431316729856</v>
      </c>
      <c r="T15" s="3">
        <v>507354349568</v>
      </c>
      <c r="U15" s="3">
        <v>565055717376</v>
      </c>
      <c r="V15" s="3">
        <v>593929568256</v>
      </c>
      <c r="W15" s="3">
        <v>610328182784</v>
      </c>
      <c r="X15" s="3">
        <v>592387702784</v>
      </c>
      <c r="Y15" s="3">
        <v>577170767872</v>
      </c>
      <c r="Z15" s="3">
        <v>578139258880</v>
      </c>
      <c r="AA15" s="3">
        <v>604031614976</v>
      </c>
      <c r="AB15" s="3">
        <v>628546404352</v>
      </c>
      <c r="AC15" s="3">
        <v>652823887872</v>
      </c>
      <c r="AD15" s="3">
        <v>631813308416</v>
      </c>
      <c r="AE15" s="3">
        <v>676083990528</v>
      </c>
      <c r="AF15" s="3">
        <v>742295470080</v>
      </c>
      <c r="AG15" s="3">
        <v>736379797504</v>
      </c>
      <c r="AH15" s="3">
        <v>757950709760</v>
      </c>
      <c r="AI15" s="3">
        <v>892382412800</v>
      </c>
      <c r="AJ15" s="3">
        <v>1023196790784</v>
      </c>
      <c r="AK15" s="3">
        <v>1169357930496</v>
      </c>
      <c r="AL15" s="3">
        <v>1315415261184</v>
      </c>
      <c r="AM15" s="3">
        <v>1464977195008</v>
      </c>
      <c r="AN15" s="3">
        <v>1549131186176</v>
      </c>
      <c r="AO15" s="3">
        <v>1371152973824</v>
      </c>
      <c r="AP15" s="3">
        <v>1613464469504</v>
      </c>
      <c r="AQ15" s="3">
        <v>1788647964672</v>
      </c>
      <c r="AR15" s="3">
        <v>1828689281024</v>
      </c>
      <c r="AS15" s="3">
        <v>1847208574976</v>
      </c>
      <c r="AT15" s="3">
        <v>1803533156352</v>
      </c>
      <c r="AU15" s="3">
        <v>1556129513472</v>
      </c>
      <c r="AV15" s="3">
        <v>1528243159040</v>
      </c>
      <c r="AW15" s="3">
        <v>1649878106112</v>
      </c>
      <c r="AX15" s="3">
        <v>1716262666240</v>
      </c>
      <c r="AY15" s="3">
        <v>1736425603072</v>
      </c>
      <c r="AZ15" s="3">
        <v>39717101748224</v>
      </c>
    </row>
    <row r="16" spans="1:52" x14ac:dyDescent="0.45">
      <c r="A16" s="4" t="s">
        <v>87</v>
      </c>
      <c r="B16" s="3">
        <v>17075458048</v>
      </c>
      <c r="C16" s="3">
        <v>19085731840</v>
      </c>
      <c r="D16" s="3">
        <v>23232380928</v>
      </c>
      <c r="E16" s="3">
        <v>30730627072</v>
      </c>
      <c r="F16" s="3">
        <v>34160445440</v>
      </c>
      <c r="G16" s="3">
        <v>40474406912</v>
      </c>
      <c r="H16" s="3">
        <v>44575891456</v>
      </c>
      <c r="I16" s="3">
        <v>49784340480</v>
      </c>
      <c r="J16" s="3">
        <v>60362932224</v>
      </c>
      <c r="K16" s="3">
        <v>70366240768</v>
      </c>
      <c r="L16" s="3">
        <v>71127531520</v>
      </c>
      <c r="M16" s="3">
        <v>61877813248</v>
      </c>
      <c r="N16" s="3">
        <v>60412846080</v>
      </c>
      <c r="O16" s="3">
        <v>60644782080</v>
      </c>
      <c r="P16" s="3">
        <v>59105234944</v>
      </c>
      <c r="Q16" s="3">
        <v>62658568192</v>
      </c>
      <c r="R16" s="3">
        <v>88078761984</v>
      </c>
      <c r="S16" s="3">
        <v>109414424576</v>
      </c>
      <c r="T16" s="3">
        <v>115552845824</v>
      </c>
      <c r="U16" s="3">
        <v>112409223168</v>
      </c>
      <c r="V16" s="3">
        <v>138247290880</v>
      </c>
      <c r="W16" s="3">
        <v>139224694784</v>
      </c>
      <c r="X16" s="3">
        <v>152915656704</v>
      </c>
      <c r="Y16" s="3">
        <v>143195619328</v>
      </c>
      <c r="Z16" s="3">
        <v>156162392064</v>
      </c>
      <c r="AA16" s="3">
        <v>185006882816</v>
      </c>
      <c r="AB16" s="3">
        <v>187632353280</v>
      </c>
      <c r="AC16" s="3">
        <v>173537640448</v>
      </c>
      <c r="AD16" s="3">
        <v>176991928320</v>
      </c>
      <c r="AE16" s="3">
        <v>177965187072</v>
      </c>
      <c r="AF16" s="3">
        <v>164158734336</v>
      </c>
      <c r="AG16" s="3">
        <v>164791435264</v>
      </c>
      <c r="AH16" s="3">
        <v>178635161600</v>
      </c>
      <c r="AI16" s="3">
        <v>218096025600</v>
      </c>
      <c r="AJ16" s="3">
        <v>251373010944</v>
      </c>
      <c r="AK16" s="3">
        <v>264467333120</v>
      </c>
      <c r="AL16" s="3">
        <v>282884931584</v>
      </c>
      <c r="AM16" s="3">
        <v>319423414272</v>
      </c>
      <c r="AN16" s="3">
        <v>353361035264</v>
      </c>
      <c r="AO16" s="3">
        <v>321241317376</v>
      </c>
      <c r="AP16" s="3">
        <v>321995276288</v>
      </c>
      <c r="AQ16" s="3">
        <v>344003149824</v>
      </c>
      <c r="AR16" s="3">
        <v>327148929024</v>
      </c>
      <c r="AS16" s="3">
        <v>343584407552</v>
      </c>
      <c r="AT16" s="3">
        <v>352993640448</v>
      </c>
      <c r="AU16" s="3">
        <v>302673068032</v>
      </c>
      <c r="AV16" s="3">
        <v>313115934720</v>
      </c>
      <c r="AW16" s="3">
        <v>329417064448</v>
      </c>
      <c r="AX16" s="3">
        <v>355675340800</v>
      </c>
      <c r="AY16" s="3">
        <v>348078014464</v>
      </c>
      <c r="AZ16" s="3">
        <v>8679127357440</v>
      </c>
    </row>
    <row r="17" spans="1:52" x14ac:dyDescent="0.45">
      <c r="A17" s="4" t="s">
        <v>83</v>
      </c>
      <c r="B17" s="3">
        <v>11357516800</v>
      </c>
      <c r="C17" s="3">
        <v>12527405056</v>
      </c>
      <c r="D17" s="3">
        <v>14743185408</v>
      </c>
      <c r="E17" s="3">
        <v>19472363520</v>
      </c>
      <c r="F17" s="3">
        <v>24848822272</v>
      </c>
      <c r="G17" s="3">
        <v>29472624640</v>
      </c>
      <c r="H17" s="3">
        <v>31849515008</v>
      </c>
      <c r="I17" s="3">
        <v>33499799552</v>
      </c>
      <c r="J17" s="3">
        <v>36256161792</v>
      </c>
      <c r="K17" s="3">
        <v>44465254400</v>
      </c>
      <c r="L17" s="3">
        <v>53645201408</v>
      </c>
      <c r="M17" s="3">
        <v>52448333824</v>
      </c>
      <c r="N17" s="3">
        <v>52797583360</v>
      </c>
      <c r="O17" s="3">
        <v>50973528064</v>
      </c>
      <c r="P17" s="3">
        <v>52888801280</v>
      </c>
      <c r="Q17" s="3">
        <v>55875862528</v>
      </c>
      <c r="R17" s="3">
        <v>73531547648</v>
      </c>
      <c r="S17" s="3">
        <v>91594752000</v>
      </c>
      <c r="T17" s="3">
        <v>109058990080</v>
      </c>
      <c r="U17" s="3">
        <v>119012057088</v>
      </c>
      <c r="V17" s="3">
        <v>141438353408</v>
      </c>
      <c r="W17" s="3">
        <v>127773859840</v>
      </c>
      <c r="X17" s="3">
        <v>112532520960</v>
      </c>
      <c r="Y17" s="3">
        <v>89214115840</v>
      </c>
      <c r="Z17" s="3">
        <v>103299940352</v>
      </c>
      <c r="AA17" s="3">
        <v>134189817856</v>
      </c>
      <c r="AB17" s="3">
        <v>132129177600</v>
      </c>
      <c r="AC17" s="3">
        <v>126912151552</v>
      </c>
      <c r="AD17" s="3">
        <v>134038716416</v>
      </c>
      <c r="AE17" s="3">
        <v>135218413568</v>
      </c>
      <c r="AF17" s="3">
        <v>125706649600</v>
      </c>
      <c r="AG17" s="3">
        <v>129421025280</v>
      </c>
      <c r="AH17" s="3">
        <v>139738382336</v>
      </c>
      <c r="AI17" s="3">
        <v>171274272768</v>
      </c>
      <c r="AJ17" s="3">
        <v>197116952576</v>
      </c>
      <c r="AK17" s="3">
        <v>204809109504</v>
      </c>
      <c r="AL17" s="3">
        <v>216907546624</v>
      </c>
      <c r="AM17" s="3">
        <v>256052559872</v>
      </c>
      <c r="AN17" s="3">
        <v>284553969664</v>
      </c>
      <c r="AO17" s="3">
        <v>252496527360</v>
      </c>
      <c r="AP17" s="3">
        <v>249181192192</v>
      </c>
      <c r="AQ17" s="3">
        <v>275243696128</v>
      </c>
      <c r="AR17" s="3">
        <v>258304835584</v>
      </c>
      <c r="AS17" s="3">
        <v>271285272576</v>
      </c>
      <c r="AT17" s="3">
        <v>274497224704</v>
      </c>
      <c r="AU17" s="3">
        <v>234440081408</v>
      </c>
      <c r="AV17" s="3">
        <v>240607903744</v>
      </c>
      <c r="AW17" s="3">
        <v>255122538496</v>
      </c>
      <c r="AX17" s="3">
        <v>275893682176</v>
      </c>
      <c r="AY17" s="3">
        <v>268761202688</v>
      </c>
      <c r="AZ17" s="3">
        <v>6788480998400</v>
      </c>
    </row>
    <row r="18" spans="1:52" x14ac:dyDescent="0.45">
      <c r="A18" s="4" t="s">
        <v>82</v>
      </c>
      <c r="B18" s="3">
        <v>148456357888</v>
      </c>
      <c r="C18" s="3">
        <v>165966610432</v>
      </c>
      <c r="D18" s="3">
        <v>203494146048</v>
      </c>
      <c r="E18" s="3">
        <v>264429879296</v>
      </c>
      <c r="F18" s="3">
        <v>285552377856</v>
      </c>
      <c r="G18" s="3">
        <v>360832172032</v>
      </c>
      <c r="H18" s="3">
        <v>372319027200</v>
      </c>
      <c r="I18" s="3">
        <v>410279477248</v>
      </c>
      <c r="J18" s="3">
        <v>506707836928</v>
      </c>
      <c r="K18" s="3">
        <v>613953110016</v>
      </c>
      <c r="L18" s="3">
        <v>701288415232</v>
      </c>
      <c r="M18" s="3">
        <v>615552188416</v>
      </c>
      <c r="N18" s="3">
        <v>584877735936</v>
      </c>
      <c r="O18" s="3">
        <v>559869198336</v>
      </c>
      <c r="P18" s="3">
        <v>530683789312</v>
      </c>
      <c r="Q18" s="3">
        <v>553138388992</v>
      </c>
      <c r="R18" s="3">
        <v>771470786560</v>
      </c>
      <c r="S18" s="3">
        <v>934173278208</v>
      </c>
      <c r="T18" s="3">
        <v>1018847035392</v>
      </c>
      <c r="U18" s="3">
        <v>1025211826176</v>
      </c>
      <c r="V18" s="3">
        <v>1269179613184</v>
      </c>
      <c r="W18" s="3">
        <v>1269276868608</v>
      </c>
      <c r="X18" s="3">
        <v>1401465864192</v>
      </c>
      <c r="Y18" s="3">
        <v>1322815586304</v>
      </c>
      <c r="Z18" s="3">
        <v>1393982701568</v>
      </c>
      <c r="AA18" s="3">
        <v>1601094811648</v>
      </c>
      <c r="AB18" s="3">
        <v>1605675122688</v>
      </c>
      <c r="AC18" s="3">
        <v>1452884885504</v>
      </c>
      <c r="AD18" s="3">
        <v>1503108792320</v>
      </c>
      <c r="AE18" s="3">
        <v>1492647542784</v>
      </c>
      <c r="AF18" s="3">
        <v>1362248990720</v>
      </c>
      <c r="AG18" s="3">
        <v>1376465321984</v>
      </c>
      <c r="AH18" s="3">
        <v>1494286598144</v>
      </c>
      <c r="AI18" s="3">
        <v>1840480780288</v>
      </c>
      <c r="AJ18" s="3">
        <v>2115742466048</v>
      </c>
      <c r="AK18" s="3">
        <v>2196126040064</v>
      </c>
      <c r="AL18" s="3">
        <v>2318593687552</v>
      </c>
      <c r="AM18" s="3">
        <v>2657213218816</v>
      </c>
      <c r="AN18" s="3">
        <v>2918382829568</v>
      </c>
      <c r="AO18" s="3">
        <v>2690222391296</v>
      </c>
      <c r="AP18" s="3">
        <v>2642609438720</v>
      </c>
      <c r="AQ18" s="3">
        <v>2861408190464</v>
      </c>
      <c r="AR18" s="3">
        <v>2683825291264</v>
      </c>
      <c r="AS18" s="3">
        <v>2811077853184</v>
      </c>
      <c r="AT18" s="3">
        <v>2852165779456</v>
      </c>
      <c r="AU18" s="3">
        <v>2438207897600</v>
      </c>
      <c r="AV18" s="3">
        <v>2471285489664</v>
      </c>
      <c r="AW18" s="3">
        <v>2595151151104</v>
      </c>
      <c r="AX18" s="3">
        <v>2787863953408</v>
      </c>
      <c r="AY18" s="3">
        <v>2715518238720</v>
      </c>
      <c r="AZ18" s="3">
        <v>72768111034368</v>
      </c>
    </row>
    <row r="19" spans="1:52" x14ac:dyDescent="0.45">
      <c r="A19" s="4" t="s">
        <v>88</v>
      </c>
      <c r="B19" s="3">
        <v>215838441472</v>
      </c>
      <c r="C19" s="3">
        <v>249985056768</v>
      </c>
      <c r="D19" s="3">
        <v>299801542656</v>
      </c>
      <c r="E19" s="3">
        <v>398374010880</v>
      </c>
      <c r="F19" s="3">
        <v>445303488512</v>
      </c>
      <c r="G19" s="3">
        <v>490636509184</v>
      </c>
      <c r="H19" s="3">
        <v>519754448896</v>
      </c>
      <c r="I19" s="3">
        <v>600498241536</v>
      </c>
      <c r="J19" s="3">
        <v>740469964800</v>
      </c>
      <c r="K19" s="3">
        <v>881345167360</v>
      </c>
      <c r="L19" s="3">
        <v>950290874368</v>
      </c>
      <c r="M19" s="3">
        <v>800472039424</v>
      </c>
      <c r="N19" s="3">
        <v>776576434176</v>
      </c>
      <c r="O19" s="3">
        <v>770684354560</v>
      </c>
      <c r="P19" s="3">
        <v>725111144448</v>
      </c>
      <c r="Q19" s="3">
        <v>732534865920</v>
      </c>
      <c r="R19" s="3">
        <v>1046259367936</v>
      </c>
      <c r="S19" s="3">
        <v>1298176147456</v>
      </c>
      <c r="T19" s="3">
        <v>1401233211392</v>
      </c>
      <c r="U19" s="3">
        <v>1398967500800</v>
      </c>
      <c r="V19" s="3">
        <v>1771671257088</v>
      </c>
      <c r="W19" s="3">
        <v>1868945162240</v>
      </c>
      <c r="X19" s="3">
        <v>2131571638272</v>
      </c>
      <c r="Y19" s="3">
        <v>2071323738112</v>
      </c>
      <c r="Z19" s="3">
        <v>2205074063360</v>
      </c>
      <c r="AA19" s="3">
        <v>2585792348160</v>
      </c>
      <c r="AB19" s="3">
        <v>2497244561408</v>
      </c>
      <c r="AC19" s="3">
        <v>2211989684224</v>
      </c>
      <c r="AD19" s="3">
        <v>2238990778368</v>
      </c>
      <c r="AE19" s="3">
        <v>2194204131328</v>
      </c>
      <c r="AF19" s="3">
        <v>1943145414656</v>
      </c>
      <c r="AG19" s="3">
        <v>1944107352064</v>
      </c>
      <c r="AH19" s="3">
        <v>2068624179200</v>
      </c>
      <c r="AI19" s="3">
        <v>2496128614400</v>
      </c>
      <c r="AJ19" s="3">
        <v>2809188057088</v>
      </c>
      <c r="AK19" s="3">
        <v>2845802758144</v>
      </c>
      <c r="AL19" s="3">
        <v>2992196812800</v>
      </c>
      <c r="AM19" s="3">
        <v>3421229023232</v>
      </c>
      <c r="AN19" s="3">
        <v>3730027839488</v>
      </c>
      <c r="AO19" s="3">
        <v>3397790990336</v>
      </c>
      <c r="AP19" s="3">
        <v>3396354179072</v>
      </c>
      <c r="AQ19" s="3">
        <v>3744408535040</v>
      </c>
      <c r="AR19" s="3">
        <v>3527344914432</v>
      </c>
      <c r="AS19" s="3">
        <v>3732743389184</v>
      </c>
      <c r="AT19" s="3">
        <v>3883920261120</v>
      </c>
      <c r="AU19" s="3">
        <v>3360550027264</v>
      </c>
      <c r="AV19" s="3">
        <v>3466790174720</v>
      </c>
      <c r="AW19" s="3">
        <v>3665804132352</v>
      </c>
      <c r="AX19" s="3">
        <v>3949548797952</v>
      </c>
      <c r="AY19" s="3">
        <v>3845629935616</v>
      </c>
      <c r="AZ19" s="3">
        <v>100740455563264</v>
      </c>
    </row>
    <row r="20" spans="1:52" x14ac:dyDescent="0.45">
      <c r="A20" s="4" t="s">
        <v>78</v>
      </c>
      <c r="B20" s="3">
        <v>13139862528</v>
      </c>
      <c r="C20" s="3">
        <v>14591755264</v>
      </c>
      <c r="D20" s="3">
        <v>16885507072</v>
      </c>
      <c r="E20" s="3">
        <v>22347845632</v>
      </c>
      <c r="F20" s="3">
        <v>25351305216</v>
      </c>
      <c r="G20" s="3">
        <v>28525873152</v>
      </c>
      <c r="H20" s="3">
        <v>31152840704</v>
      </c>
      <c r="I20" s="3">
        <v>36176232448</v>
      </c>
      <c r="J20" s="3">
        <v>44270202880</v>
      </c>
      <c r="K20" s="3">
        <v>54481874944</v>
      </c>
      <c r="L20" s="3">
        <v>56829665280</v>
      </c>
      <c r="M20" s="3">
        <v>52346507264</v>
      </c>
      <c r="N20" s="3">
        <v>54617993216</v>
      </c>
      <c r="O20" s="3">
        <v>49428873216</v>
      </c>
      <c r="P20" s="3">
        <v>48020025344</v>
      </c>
      <c r="Q20" s="3">
        <v>47820849152</v>
      </c>
      <c r="R20" s="3">
        <v>56379592704</v>
      </c>
      <c r="S20" s="3">
        <v>65652752384</v>
      </c>
      <c r="T20" s="3">
        <v>76261277696</v>
      </c>
      <c r="U20" s="3">
        <v>79169044480</v>
      </c>
      <c r="V20" s="3">
        <v>97891090432</v>
      </c>
      <c r="W20" s="3">
        <v>105143230464</v>
      </c>
      <c r="X20" s="3">
        <v>116224671744</v>
      </c>
      <c r="Y20" s="3">
        <v>108809060352</v>
      </c>
      <c r="Z20" s="3">
        <v>116601798656</v>
      </c>
      <c r="AA20" s="3">
        <v>136878366720</v>
      </c>
      <c r="AB20" s="3">
        <v>145861607424</v>
      </c>
      <c r="AC20" s="3">
        <v>143157592064</v>
      </c>
      <c r="AD20" s="3">
        <v>144428171264</v>
      </c>
      <c r="AE20" s="3">
        <v>142540734464</v>
      </c>
      <c r="AF20" s="3">
        <v>130133843968</v>
      </c>
      <c r="AG20" s="3">
        <v>136191352832</v>
      </c>
      <c r="AH20" s="3">
        <v>153830948864</v>
      </c>
      <c r="AI20" s="3">
        <v>201924263936</v>
      </c>
      <c r="AJ20" s="3">
        <v>240521265152</v>
      </c>
      <c r="AK20" s="3">
        <v>247782998016</v>
      </c>
      <c r="AL20" s="3">
        <v>273317740544</v>
      </c>
      <c r="AM20" s="3">
        <v>318497947648</v>
      </c>
      <c r="AN20" s="3">
        <v>354460794880</v>
      </c>
      <c r="AO20" s="3">
        <v>330000236544</v>
      </c>
      <c r="AP20" s="3">
        <v>299361566720</v>
      </c>
      <c r="AQ20" s="3">
        <v>287797837824</v>
      </c>
      <c r="AR20" s="3">
        <v>245670674432</v>
      </c>
      <c r="AS20" s="3">
        <v>239862005760</v>
      </c>
      <c r="AT20" s="3">
        <v>237029572608</v>
      </c>
      <c r="AU20" s="3">
        <v>196591353856</v>
      </c>
      <c r="AV20" s="3">
        <v>195222437888</v>
      </c>
      <c r="AW20" s="3">
        <v>203588419584</v>
      </c>
      <c r="AX20" s="3">
        <v>218138361856</v>
      </c>
      <c r="AY20" s="3">
        <v>209852760064</v>
      </c>
      <c r="AZ20" s="3">
        <v>6850762587136</v>
      </c>
    </row>
    <row r="21" spans="1:52" x14ac:dyDescent="0.45">
      <c r="A21" s="4" t="s">
        <v>89</v>
      </c>
      <c r="B21" s="3">
        <v>527496576</v>
      </c>
      <c r="C21" s="3">
        <v>671258752</v>
      </c>
      <c r="D21" s="3">
        <v>840914432</v>
      </c>
      <c r="E21" s="3">
        <v>1156175488</v>
      </c>
      <c r="F21" s="3">
        <v>1517467776</v>
      </c>
      <c r="G21" s="3">
        <v>1408989824</v>
      </c>
      <c r="H21" s="3">
        <v>1671997824</v>
      </c>
      <c r="I21" s="3">
        <v>2211828992</v>
      </c>
      <c r="J21" s="3">
        <v>2515601664</v>
      </c>
      <c r="K21" s="3">
        <v>2857724160</v>
      </c>
      <c r="L21" s="3">
        <v>3386501888</v>
      </c>
      <c r="M21" s="3">
        <v>3498247424</v>
      </c>
      <c r="N21" s="3">
        <v>3211446528</v>
      </c>
      <c r="O21" s="3">
        <v>2770107904</v>
      </c>
      <c r="P21" s="3">
        <v>2868747008</v>
      </c>
      <c r="Q21" s="3">
        <v>2988537856</v>
      </c>
      <c r="R21" s="3">
        <v>3995619584</v>
      </c>
      <c r="S21" s="3">
        <v>5528615936</v>
      </c>
      <c r="T21" s="3">
        <v>6115814912</v>
      </c>
      <c r="U21" s="3">
        <v>5681096192</v>
      </c>
      <c r="V21" s="3">
        <v>6478459904</v>
      </c>
      <c r="W21" s="3">
        <v>6920116736</v>
      </c>
      <c r="X21" s="3">
        <v>7091625472</v>
      </c>
      <c r="Y21" s="3">
        <v>6227929088</v>
      </c>
      <c r="Z21" s="3">
        <v>6399064576</v>
      </c>
      <c r="AA21" s="3">
        <v>7134341120</v>
      </c>
      <c r="AB21" s="3">
        <v>7438183424</v>
      </c>
      <c r="AC21" s="3">
        <v>7580988928</v>
      </c>
      <c r="AD21" s="3">
        <v>8494094848</v>
      </c>
      <c r="AE21" s="3">
        <v>8971609088</v>
      </c>
      <c r="AF21" s="3">
        <v>9003639808</v>
      </c>
      <c r="AG21" s="3">
        <v>8205357568</v>
      </c>
      <c r="AH21" s="3">
        <v>9294652416</v>
      </c>
      <c r="AI21" s="3">
        <v>11414054912</v>
      </c>
      <c r="AJ21" s="3">
        <v>13834749952</v>
      </c>
      <c r="AK21" s="3">
        <v>16812530688</v>
      </c>
      <c r="AL21" s="3">
        <v>17216419840</v>
      </c>
      <c r="AM21" s="3">
        <v>21514962944</v>
      </c>
      <c r="AN21" s="3">
        <v>17905252352</v>
      </c>
      <c r="AO21" s="3">
        <v>13164652544</v>
      </c>
      <c r="AP21" s="3">
        <v>13683689472</v>
      </c>
      <c r="AQ21" s="3">
        <v>15158548480</v>
      </c>
      <c r="AR21" s="3">
        <v>14724078592</v>
      </c>
      <c r="AS21" s="3">
        <v>16033517568</v>
      </c>
      <c r="AT21" s="3">
        <v>17758050304</v>
      </c>
      <c r="AU21" s="3">
        <v>17389101056</v>
      </c>
      <c r="AV21" s="3">
        <v>20618362880</v>
      </c>
      <c r="AW21" s="3">
        <v>24488175616</v>
      </c>
      <c r="AX21" s="3">
        <v>25737594880</v>
      </c>
      <c r="AY21" s="3">
        <v>24188035072</v>
      </c>
      <c r="AZ21" s="3">
        <v>456306030848</v>
      </c>
    </row>
    <row r="22" spans="1:52" x14ac:dyDescent="0.45">
      <c r="A22" s="4" t="s">
        <v>90</v>
      </c>
      <c r="B22" s="3">
        <v>4401259520</v>
      </c>
      <c r="C22" s="3">
        <v>5104355328</v>
      </c>
      <c r="D22" s="3">
        <v>6325627392</v>
      </c>
      <c r="E22" s="3">
        <v>7490132480</v>
      </c>
      <c r="F22" s="3">
        <v>7906317312</v>
      </c>
      <c r="G22" s="3">
        <v>9495165952</v>
      </c>
      <c r="H22" s="3">
        <v>9465077760</v>
      </c>
      <c r="I22" s="3">
        <v>11261810688</v>
      </c>
      <c r="J22" s="3">
        <v>14665538560</v>
      </c>
      <c r="K22" s="3">
        <v>18341273600</v>
      </c>
      <c r="L22" s="3">
        <v>21773901824</v>
      </c>
      <c r="M22" s="3">
        <v>20694943744</v>
      </c>
      <c r="N22" s="3">
        <v>21500471296</v>
      </c>
      <c r="O22" s="3">
        <v>20790917120</v>
      </c>
      <c r="P22" s="3">
        <v>20130727936</v>
      </c>
      <c r="Q22" s="3">
        <v>21295484928</v>
      </c>
      <c r="R22" s="3">
        <v>28748959744</v>
      </c>
      <c r="S22" s="3">
        <v>33961142272</v>
      </c>
      <c r="T22" s="3">
        <v>37818134528</v>
      </c>
      <c r="U22" s="3">
        <v>39285383168</v>
      </c>
      <c r="V22" s="3">
        <v>49364680704</v>
      </c>
      <c r="W22" s="3">
        <v>49847128064</v>
      </c>
      <c r="X22" s="3">
        <v>55985504256</v>
      </c>
      <c r="Y22" s="3">
        <v>52480249856</v>
      </c>
      <c r="Z22" s="3">
        <v>57166036992</v>
      </c>
      <c r="AA22" s="3">
        <v>69222621184</v>
      </c>
      <c r="AB22" s="3">
        <v>75880628224</v>
      </c>
      <c r="AC22" s="3">
        <v>82826141696</v>
      </c>
      <c r="AD22" s="3">
        <v>90082050048</v>
      </c>
      <c r="AE22" s="3">
        <v>98692079616</v>
      </c>
      <c r="AF22" s="3">
        <v>99852959744</v>
      </c>
      <c r="AG22" s="3">
        <v>109135257600</v>
      </c>
      <c r="AH22" s="3">
        <v>127949873152</v>
      </c>
      <c r="AI22" s="3">
        <v>164284694528</v>
      </c>
      <c r="AJ22" s="3">
        <v>193870692352</v>
      </c>
      <c r="AK22" s="3">
        <v>211649036288</v>
      </c>
      <c r="AL22" s="3">
        <v>232083472384</v>
      </c>
      <c r="AM22" s="3">
        <v>269917945856</v>
      </c>
      <c r="AN22" s="3">
        <v>275038896128</v>
      </c>
      <c r="AO22" s="3">
        <v>236316409856</v>
      </c>
      <c r="AP22" s="3">
        <v>222148755456</v>
      </c>
      <c r="AQ22" s="3">
        <v>237472366592</v>
      </c>
      <c r="AR22" s="3">
        <v>224999489536</v>
      </c>
      <c r="AS22" s="3">
        <v>238543536128</v>
      </c>
      <c r="AT22" s="3">
        <v>258471886848</v>
      </c>
      <c r="AU22" s="3">
        <v>291499802624</v>
      </c>
      <c r="AV22" s="3">
        <v>300523290624</v>
      </c>
      <c r="AW22" s="3">
        <v>335663104000</v>
      </c>
      <c r="AX22" s="3">
        <v>382674370560</v>
      </c>
      <c r="AY22" s="3">
        <v>388698701824</v>
      </c>
      <c r="AZ22" s="3">
        <v>5842798287872</v>
      </c>
    </row>
    <row r="23" spans="1:52" x14ac:dyDescent="0.45">
      <c r="A23" s="4" t="s">
        <v>73</v>
      </c>
      <c r="B23" s="3">
        <v>7048666624</v>
      </c>
      <c r="C23" s="3">
        <v>6711750144</v>
      </c>
      <c r="D23" s="3">
        <v>8775249920</v>
      </c>
      <c r="E23" s="3">
        <v>11326249984</v>
      </c>
      <c r="F23" s="3">
        <v>16341000192</v>
      </c>
      <c r="G23" s="3">
        <v>15360166912</v>
      </c>
      <c r="H23" s="3">
        <v>15183125504</v>
      </c>
      <c r="I23" s="3">
        <v>17372798976</v>
      </c>
      <c r="J23" s="3">
        <v>16843176960</v>
      </c>
      <c r="K23" s="3">
        <v>21514080256</v>
      </c>
      <c r="L23" s="3">
        <v>24164509696</v>
      </c>
      <c r="M23" s="3">
        <v>25579227136</v>
      </c>
      <c r="N23" s="3">
        <v>27837509632</v>
      </c>
      <c r="O23" s="3">
        <v>31092230144</v>
      </c>
      <c r="P23" s="3">
        <v>29160458240</v>
      </c>
      <c r="Q23" s="3">
        <v>27504906240</v>
      </c>
      <c r="R23" s="3">
        <v>34097559552</v>
      </c>
      <c r="S23" s="3">
        <v>40963276800</v>
      </c>
      <c r="T23" s="3">
        <v>50099380224</v>
      </c>
      <c r="U23" s="3">
        <v>49901961216</v>
      </c>
      <c r="V23" s="3">
        <v>59011272704</v>
      </c>
      <c r="W23" s="3">
        <v>67558014976</v>
      </c>
      <c r="X23" s="3">
        <v>75607007232</v>
      </c>
      <c r="Y23" s="3">
        <v>75985903616</v>
      </c>
      <c r="Z23" s="3">
        <v>86342656000</v>
      </c>
      <c r="AA23" s="3">
        <v>100384808960</v>
      </c>
      <c r="AB23" s="3">
        <v>109995843584</v>
      </c>
      <c r="AC23" s="3">
        <v>114692620288</v>
      </c>
      <c r="AD23" s="3">
        <v>115932848128</v>
      </c>
      <c r="AE23" s="3">
        <v>117111537664</v>
      </c>
      <c r="AF23" s="3">
        <v>132343046144</v>
      </c>
      <c r="AG23" s="3">
        <v>130756337664</v>
      </c>
      <c r="AH23" s="3">
        <v>121123831808</v>
      </c>
      <c r="AI23" s="3">
        <v>126965981184</v>
      </c>
      <c r="AJ23" s="3">
        <v>135477428224</v>
      </c>
      <c r="AK23" s="3">
        <v>142528905216</v>
      </c>
      <c r="AL23" s="3">
        <v>154034323456</v>
      </c>
      <c r="AM23" s="3">
        <v>178959187968</v>
      </c>
      <c r="AN23" s="3">
        <v>216105172992</v>
      </c>
      <c r="AO23" s="3">
        <v>207468167168</v>
      </c>
      <c r="AP23" s="3">
        <v>233995681792</v>
      </c>
      <c r="AQ23" s="3">
        <v>261468635136</v>
      </c>
      <c r="AR23" s="3">
        <v>257180139520</v>
      </c>
      <c r="AS23" s="3">
        <v>292636164096</v>
      </c>
      <c r="AT23" s="3">
        <v>309558444032</v>
      </c>
      <c r="AU23" s="3">
        <v>299813109760</v>
      </c>
      <c r="AV23" s="3">
        <v>318950604800</v>
      </c>
      <c r="AW23" s="3">
        <v>353253392384</v>
      </c>
      <c r="AX23" s="3">
        <v>370587992064</v>
      </c>
      <c r="AY23" s="3">
        <v>395098652672</v>
      </c>
      <c r="AZ23" s="3">
        <v>6037804995584</v>
      </c>
    </row>
    <row r="24" spans="1:52" x14ac:dyDescent="0.45">
      <c r="A24" s="4" t="s">
        <v>79</v>
      </c>
      <c r="B24" s="3">
        <v>113395318784</v>
      </c>
      <c r="C24" s="3">
        <v>124672368640</v>
      </c>
      <c r="D24" s="3">
        <v>145260036096</v>
      </c>
      <c r="E24" s="3">
        <v>175492055040</v>
      </c>
      <c r="F24" s="3">
        <v>199564492800</v>
      </c>
      <c r="G24" s="3">
        <v>227695853568</v>
      </c>
      <c r="H24" s="3">
        <v>224717275136</v>
      </c>
      <c r="I24" s="3">
        <v>257596309504</v>
      </c>
      <c r="J24" s="3">
        <v>315058323456</v>
      </c>
      <c r="K24" s="3">
        <v>393677176832</v>
      </c>
      <c r="L24" s="3">
        <v>477256777728</v>
      </c>
      <c r="M24" s="3">
        <v>430702854144</v>
      </c>
      <c r="N24" s="3">
        <v>427272634368</v>
      </c>
      <c r="O24" s="3">
        <v>443042365440</v>
      </c>
      <c r="P24" s="3">
        <v>437887696896</v>
      </c>
      <c r="Q24" s="3">
        <v>452217503744</v>
      </c>
      <c r="R24" s="3">
        <v>640386334720</v>
      </c>
      <c r="S24" s="3">
        <v>805713149952</v>
      </c>
      <c r="T24" s="3">
        <v>891608956928</v>
      </c>
      <c r="U24" s="3">
        <v>928661307392</v>
      </c>
      <c r="V24" s="3">
        <v>1181222699008</v>
      </c>
      <c r="W24" s="3">
        <v>1246220124160</v>
      </c>
      <c r="X24" s="3">
        <v>1320161640448</v>
      </c>
      <c r="Y24" s="3">
        <v>1064958099456</v>
      </c>
      <c r="Z24" s="3">
        <v>1099216715776</v>
      </c>
      <c r="AA24" s="3">
        <v>1174662021120</v>
      </c>
      <c r="AB24" s="3">
        <v>1312426557440</v>
      </c>
      <c r="AC24" s="3">
        <v>1241879543808</v>
      </c>
      <c r="AD24" s="3">
        <v>1270052552704</v>
      </c>
      <c r="AE24" s="3">
        <v>1252023730176</v>
      </c>
      <c r="AF24" s="3">
        <v>1143829823488</v>
      </c>
      <c r="AG24" s="3">
        <v>1167012790272</v>
      </c>
      <c r="AH24" s="3">
        <v>1270712369152</v>
      </c>
      <c r="AI24" s="3">
        <v>1574145884160</v>
      </c>
      <c r="AJ24" s="3">
        <v>1803226972160</v>
      </c>
      <c r="AK24" s="3">
        <v>1857524334592</v>
      </c>
      <c r="AL24" s="3">
        <v>1947919712256</v>
      </c>
      <c r="AM24" s="3">
        <v>2210292563968</v>
      </c>
      <c r="AN24" s="3">
        <v>2398856675328</v>
      </c>
      <c r="AO24" s="3">
        <v>2191241904128</v>
      </c>
      <c r="AP24" s="3">
        <v>2134017835008</v>
      </c>
      <c r="AQ24" s="3">
        <v>2291991052288</v>
      </c>
      <c r="AR24" s="3">
        <v>2087077019648</v>
      </c>
      <c r="AS24" s="3">
        <v>2141315268608</v>
      </c>
      <c r="AT24" s="3">
        <v>2159133982720</v>
      </c>
      <c r="AU24" s="3">
        <v>1835899289600</v>
      </c>
      <c r="AV24" s="3">
        <v>1875797475328</v>
      </c>
      <c r="AW24" s="3">
        <v>1961796173824</v>
      </c>
      <c r="AX24" s="3">
        <v>2085764333568</v>
      </c>
      <c r="AY24" s="3">
        <v>2001244389376</v>
      </c>
      <c r="AZ24" s="3">
        <v>58413502324736</v>
      </c>
    </row>
    <row r="25" spans="1:52" x14ac:dyDescent="0.45">
      <c r="A25" s="4" t="s">
        <v>77</v>
      </c>
      <c r="B25" s="3">
        <v>212609187840</v>
      </c>
      <c r="C25" s="3">
        <v>240151805952</v>
      </c>
      <c r="D25" s="3">
        <v>318031298560</v>
      </c>
      <c r="E25" s="3">
        <v>432082681856</v>
      </c>
      <c r="F25" s="3">
        <v>479626002432</v>
      </c>
      <c r="G25" s="3">
        <v>521541910528</v>
      </c>
      <c r="H25" s="3">
        <v>586161848320</v>
      </c>
      <c r="I25" s="3">
        <v>721411768320</v>
      </c>
      <c r="J25" s="3">
        <v>1013612150784</v>
      </c>
      <c r="K25" s="3">
        <v>1055012093952</v>
      </c>
      <c r="L25" s="3">
        <v>1105386012672</v>
      </c>
      <c r="M25" s="3">
        <v>1218988998656</v>
      </c>
      <c r="N25" s="3">
        <v>1134517944320</v>
      </c>
      <c r="O25" s="3">
        <v>1243323564032</v>
      </c>
      <c r="P25" s="3">
        <v>1318381682688</v>
      </c>
      <c r="Q25" s="3">
        <v>1398892789760</v>
      </c>
      <c r="R25" s="3">
        <v>2078953308160</v>
      </c>
      <c r="S25" s="3">
        <v>2532808589312</v>
      </c>
      <c r="T25" s="3">
        <v>3071683067904</v>
      </c>
      <c r="U25" s="3">
        <v>3054914240512</v>
      </c>
      <c r="V25" s="3">
        <v>3132817670144</v>
      </c>
      <c r="W25" s="3">
        <v>3584419954688</v>
      </c>
      <c r="X25" s="3">
        <v>3908809523200</v>
      </c>
      <c r="Y25" s="3">
        <v>4454143754240</v>
      </c>
      <c r="Z25" s="3">
        <v>4907039457280</v>
      </c>
      <c r="AA25" s="3">
        <v>5449116549120</v>
      </c>
      <c r="AB25" s="3">
        <v>4833712537600</v>
      </c>
      <c r="AC25" s="3">
        <v>4414733025280</v>
      </c>
      <c r="AD25" s="3">
        <v>4032509771776</v>
      </c>
      <c r="AE25" s="3">
        <v>4562078924800</v>
      </c>
      <c r="AF25" s="3">
        <v>4887519690752</v>
      </c>
      <c r="AG25" s="3">
        <v>4303544385536</v>
      </c>
      <c r="AH25" s="3">
        <v>4115116326912</v>
      </c>
      <c r="AI25" s="3">
        <v>4445658152960</v>
      </c>
      <c r="AJ25" s="3">
        <v>4815149072384</v>
      </c>
      <c r="AK25" s="3">
        <v>4755410649088</v>
      </c>
      <c r="AL25" s="3">
        <v>4530377326592</v>
      </c>
      <c r="AM25" s="3">
        <v>4515264724992</v>
      </c>
      <c r="AN25" s="3">
        <v>5037908557824</v>
      </c>
      <c r="AO25" s="3">
        <v>5231382888448</v>
      </c>
      <c r="AP25" s="3">
        <v>5700097933312</v>
      </c>
      <c r="AQ25" s="3">
        <v>6157459521536</v>
      </c>
      <c r="AR25" s="3">
        <v>6203213086720</v>
      </c>
      <c r="AS25" s="3">
        <v>5155717120000</v>
      </c>
      <c r="AT25" s="3">
        <v>4850413731840</v>
      </c>
      <c r="AU25" s="3">
        <v>4389475713024</v>
      </c>
      <c r="AV25" s="3">
        <v>4922537934848</v>
      </c>
      <c r="AW25" s="3">
        <v>4866864316416</v>
      </c>
      <c r="AX25" s="3">
        <v>4954806812672</v>
      </c>
      <c r="AY25" s="3">
        <v>5081769443328</v>
      </c>
      <c r="AZ25" s="3">
        <v>165937159503872</v>
      </c>
    </row>
    <row r="26" spans="1:52" x14ac:dyDescent="0.45">
      <c r="A26" s="4" t="s">
        <v>91</v>
      </c>
      <c r="B26" s="3">
        <v>1509155072</v>
      </c>
      <c r="C26" s="3">
        <v>1572310784</v>
      </c>
      <c r="D26" s="3">
        <v>1968733056</v>
      </c>
      <c r="E26" s="3">
        <v>2701874688</v>
      </c>
      <c r="F26" s="3">
        <v>3295860992</v>
      </c>
      <c r="G26" s="3">
        <v>3233431552</v>
      </c>
      <c r="H26" s="3">
        <v>3544268032</v>
      </c>
      <c r="I26" s="3">
        <v>3922895872</v>
      </c>
      <c r="J26" s="3">
        <v>4884869120</v>
      </c>
      <c r="K26" s="3">
        <v>5711457792</v>
      </c>
      <c r="L26" s="3">
        <v>6232005632</v>
      </c>
      <c r="M26" s="3">
        <v>5231808512</v>
      </c>
      <c r="N26" s="3">
        <v>4764549632</v>
      </c>
      <c r="O26" s="3">
        <v>4683697664</v>
      </c>
      <c r="P26" s="3">
        <v>4594891776</v>
      </c>
      <c r="Q26" s="3">
        <v>4738559488</v>
      </c>
      <c r="R26" s="3">
        <v>6921264128</v>
      </c>
      <c r="S26" s="3">
        <v>8614215680</v>
      </c>
      <c r="T26" s="3">
        <v>9750161408</v>
      </c>
      <c r="U26" s="3">
        <v>10391504896</v>
      </c>
      <c r="V26" s="3">
        <v>13229247488</v>
      </c>
      <c r="W26" s="3">
        <v>14321879040</v>
      </c>
      <c r="X26" s="3">
        <v>16065740800</v>
      </c>
      <c r="Y26" s="3">
        <v>16486899712</v>
      </c>
      <c r="Z26" s="3">
        <v>18325790720</v>
      </c>
      <c r="AA26" s="3">
        <v>21588170752</v>
      </c>
      <c r="AB26" s="3">
        <v>21776609280</v>
      </c>
      <c r="AC26" s="3">
        <v>19731912704</v>
      </c>
      <c r="AD26" s="3">
        <v>20209121280</v>
      </c>
      <c r="AE26" s="3">
        <v>22235928576</v>
      </c>
      <c r="AF26" s="3">
        <v>21263515648</v>
      </c>
      <c r="AG26" s="3">
        <v>21272418304</v>
      </c>
      <c r="AH26" s="3">
        <v>23616329728</v>
      </c>
      <c r="AI26" s="3">
        <v>29557325824</v>
      </c>
      <c r="AJ26" s="3">
        <v>34685280256</v>
      </c>
      <c r="AK26" s="3">
        <v>37347393536</v>
      </c>
      <c r="AL26" s="3">
        <v>42414309376</v>
      </c>
      <c r="AM26" s="3">
        <v>50888134656</v>
      </c>
      <c r="AN26" s="3">
        <v>55849684992</v>
      </c>
      <c r="AO26" s="3">
        <v>51370545152</v>
      </c>
      <c r="AP26" s="3">
        <v>53212475392</v>
      </c>
      <c r="AQ26" s="3">
        <v>60004630528</v>
      </c>
      <c r="AR26" s="3">
        <v>56677961728</v>
      </c>
      <c r="AS26" s="3">
        <v>61739352064</v>
      </c>
      <c r="AT26" s="3">
        <v>66103853056</v>
      </c>
      <c r="AU26" s="3">
        <v>57744457728</v>
      </c>
      <c r="AV26" s="3">
        <v>60691484672</v>
      </c>
      <c r="AW26" s="3">
        <v>64181944320</v>
      </c>
      <c r="AX26" s="3">
        <v>70919954432</v>
      </c>
      <c r="AY26" s="3">
        <v>71104921600</v>
      </c>
      <c r="AZ26" s="3">
        <v>1272884789120</v>
      </c>
    </row>
    <row r="27" spans="1:52" x14ac:dyDescent="0.45">
      <c r="A27" s="4" t="s">
        <v>92</v>
      </c>
      <c r="B27" s="3">
        <v>250721824</v>
      </c>
      <c r="C27" s="3">
        <v>264579872</v>
      </c>
      <c r="D27" s="3">
        <v>295118240</v>
      </c>
      <c r="E27" s="3">
        <v>345602016</v>
      </c>
      <c r="F27" s="3">
        <v>376094112</v>
      </c>
      <c r="G27" s="3">
        <v>474620448</v>
      </c>
      <c r="H27" s="3">
        <v>527936992</v>
      </c>
      <c r="I27" s="3">
        <v>625573376</v>
      </c>
      <c r="J27" s="3">
        <v>793675200</v>
      </c>
      <c r="K27" s="3">
        <v>1001300864</v>
      </c>
      <c r="L27" s="3">
        <v>1250242048</v>
      </c>
      <c r="M27" s="3">
        <v>1243469312</v>
      </c>
      <c r="N27" s="3">
        <v>1234518144</v>
      </c>
      <c r="O27" s="3">
        <v>1165771392</v>
      </c>
      <c r="P27" s="3">
        <v>1101828608</v>
      </c>
      <c r="Q27" s="3">
        <v>1117835264</v>
      </c>
      <c r="R27" s="3">
        <v>1435079168</v>
      </c>
      <c r="S27" s="3">
        <v>1751247744</v>
      </c>
      <c r="T27" s="3">
        <v>2019474304</v>
      </c>
      <c r="U27" s="3">
        <v>2118574720</v>
      </c>
      <c r="V27" s="3">
        <v>2547163648</v>
      </c>
      <c r="W27" s="3">
        <v>2750041344</v>
      </c>
      <c r="X27" s="3">
        <v>3021910272</v>
      </c>
      <c r="Y27" s="3">
        <v>2709178368</v>
      </c>
      <c r="Z27" s="3">
        <v>2998570240</v>
      </c>
      <c r="AA27" s="3">
        <v>3439931904</v>
      </c>
      <c r="AB27" s="3">
        <v>3570271488</v>
      </c>
      <c r="AC27" s="3">
        <v>3705372160</v>
      </c>
      <c r="AD27" s="3">
        <v>3923638016</v>
      </c>
      <c r="AE27" s="3">
        <v>4127313920</v>
      </c>
      <c r="AF27" s="3">
        <v>4053395712</v>
      </c>
      <c r="AG27" s="3">
        <v>4066485248</v>
      </c>
      <c r="AH27" s="3">
        <v>4466981888</v>
      </c>
      <c r="AI27" s="3">
        <v>5415856128</v>
      </c>
      <c r="AJ27" s="3">
        <v>6044382208</v>
      </c>
      <c r="AK27" s="3">
        <v>6403839488</v>
      </c>
      <c r="AL27" s="3">
        <v>6757119488</v>
      </c>
      <c r="AM27" s="3">
        <v>7880508928</v>
      </c>
      <c r="AN27" s="3">
        <v>8977149952</v>
      </c>
      <c r="AO27" s="3">
        <v>8528202240</v>
      </c>
      <c r="AP27" s="3">
        <v>8749171712</v>
      </c>
      <c r="AQ27" s="3">
        <v>9515297792</v>
      </c>
      <c r="AR27" s="3">
        <v>9205506048</v>
      </c>
      <c r="AS27" s="3">
        <v>10153894912</v>
      </c>
      <c r="AT27" s="3">
        <v>11302343680</v>
      </c>
      <c r="AU27" s="3">
        <v>10682394624</v>
      </c>
      <c r="AV27" s="3">
        <v>11444483072</v>
      </c>
      <c r="AW27" s="3">
        <v>12747857920</v>
      </c>
      <c r="AX27" s="3">
        <v>14603581440</v>
      </c>
      <c r="AY27" s="3">
        <v>14786156544</v>
      </c>
      <c r="AZ27" s="3">
        <v>227971264032</v>
      </c>
    </row>
    <row r="28" spans="1:52" x14ac:dyDescent="0.45">
      <c r="A28" s="4" t="s">
        <v>75</v>
      </c>
      <c r="B28" s="3">
        <v>38164717568</v>
      </c>
      <c r="C28" s="3">
        <v>44579123200</v>
      </c>
      <c r="D28" s="3">
        <v>54706556928</v>
      </c>
      <c r="E28" s="3">
        <v>71840907264</v>
      </c>
      <c r="F28" s="3">
        <v>87243415552</v>
      </c>
      <c r="G28" s="3">
        <v>100249526272</v>
      </c>
      <c r="H28" s="3">
        <v>109168721920</v>
      </c>
      <c r="I28" s="3">
        <v>127016992768</v>
      </c>
      <c r="J28" s="3">
        <v>155859697664</v>
      </c>
      <c r="K28" s="3">
        <v>179669401600</v>
      </c>
      <c r="L28" s="3">
        <v>195152084992</v>
      </c>
      <c r="M28" s="3">
        <v>164134223872</v>
      </c>
      <c r="N28" s="3">
        <v>158479532032</v>
      </c>
      <c r="O28" s="3">
        <v>153445466112</v>
      </c>
      <c r="P28" s="3">
        <v>143912665088</v>
      </c>
      <c r="Q28" s="3">
        <v>143845818368</v>
      </c>
      <c r="R28" s="3">
        <v>200862089216</v>
      </c>
      <c r="S28" s="3">
        <v>245046312960</v>
      </c>
      <c r="T28" s="3">
        <v>261910511616</v>
      </c>
      <c r="U28" s="3">
        <v>258336702464</v>
      </c>
      <c r="V28" s="3">
        <v>318330503168</v>
      </c>
      <c r="W28" s="3">
        <v>327500333056</v>
      </c>
      <c r="X28" s="3">
        <v>362962878464</v>
      </c>
      <c r="Y28" s="3">
        <v>353550172160</v>
      </c>
      <c r="Z28" s="3">
        <v>379130249216</v>
      </c>
      <c r="AA28" s="3">
        <v>452301684736</v>
      </c>
      <c r="AB28" s="3">
        <v>450490204160</v>
      </c>
      <c r="AC28" s="3">
        <v>416812728320</v>
      </c>
      <c r="AD28" s="3">
        <v>438008217600</v>
      </c>
      <c r="AE28" s="3">
        <v>446898569216</v>
      </c>
      <c r="AF28" s="3">
        <v>416442777600</v>
      </c>
      <c r="AG28" s="3">
        <v>431213412352</v>
      </c>
      <c r="AH28" s="3">
        <v>471613964288</v>
      </c>
      <c r="AI28" s="3">
        <v>578792325120</v>
      </c>
      <c r="AJ28" s="3">
        <v>657171611648</v>
      </c>
      <c r="AK28" s="3">
        <v>685092634624</v>
      </c>
      <c r="AL28" s="3">
        <v>733340893184</v>
      </c>
      <c r="AM28" s="3">
        <v>847481536512</v>
      </c>
      <c r="AN28" s="3">
        <v>947997638656</v>
      </c>
      <c r="AO28" s="3">
        <v>868077273088</v>
      </c>
      <c r="AP28" s="3">
        <v>846554923008</v>
      </c>
      <c r="AQ28" s="3">
        <v>904085962752</v>
      </c>
      <c r="AR28" s="3">
        <v>838971293696</v>
      </c>
      <c r="AS28" s="3">
        <v>876923518976</v>
      </c>
      <c r="AT28" s="3">
        <v>890981318656</v>
      </c>
      <c r="AU28" s="3">
        <v>765264920576</v>
      </c>
      <c r="AV28" s="3">
        <v>783528165376</v>
      </c>
      <c r="AW28" s="3">
        <v>833869643776</v>
      </c>
      <c r="AX28" s="3">
        <v>914104844288</v>
      </c>
      <c r="AY28" s="3">
        <v>909070368768</v>
      </c>
      <c r="AZ28" s="3">
        <v>22040189034496</v>
      </c>
    </row>
    <row r="29" spans="1:52" x14ac:dyDescent="0.45">
      <c r="A29" s="4" t="s">
        <v>93</v>
      </c>
      <c r="B29" s="3">
        <v>6495605248</v>
      </c>
      <c r="C29" s="3">
        <v>7911136768</v>
      </c>
      <c r="D29" s="3">
        <v>9567331328</v>
      </c>
      <c r="E29" s="3">
        <v>12802281472</v>
      </c>
      <c r="F29" s="3">
        <v>13940981760</v>
      </c>
      <c r="G29" s="3">
        <v>12861983744</v>
      </c>
      <c r="H29" s="3">
        <v>13604832256</v>
      </c>
      <c r="I29" s="3">
        <v>15446824960</v>
      </c>
      <c r="J29" s="3">
        <v>18530519040</v>
      </c>
      <c r="K29" s="3">
        <v>20731242496</v>
      </c>
      <c r="L29" s="3">
        <v>23244548096</v>
      </c>
      <c r="M29" s="3">
        <v>24417617920</v>
      </c>
      <c r="N29" s="3">
        <v>24164603904</v>
      </c>
      <c r="O29" s="3">
        <v>24309278720</v>
      </c>
      <c r="P29" s="3">
        <v>21665976320</v>
      </c>
      <c r="Q29" s="3">
        <v>24679794688</v>
      </c>
      <c r="R29" s="3">
        <v>30604668928</v>
      </c>
      <c r="S29" s="3">
        <v>40376352768</v>
      </c>
      <c r="T29" s="3">
        <v>45176811520</v>
      </c>
      <c r="U29" s="3">
        <v>43920224256</v>
      </c>
      <c r="V29" s="3">
        <v>45495128064</v>
      </c>
      <c r="W29" s="3">
        <v>42745331712</v>
      </c>
      <c r="X29" s="3">
        <v>41649827840</v>
      </c>
      <c r="Y29" s="3">
        <v>46775619584</v>
      </c>
      <c r="Z29" s="3">
        <v>55314731008</v>
      </c>
      <c r="AA29" s="3">
        <v>63918702592</v>
      </c>
      <c r="AB29" s="3">
        <v>70140837888</v>
      </c>
      <c r="AC29" s="3">
        <v>66075144192</v>
      </c>
      <c r="AD29" s="3">
        <v>56227168256</v>
      </c>
      <c r="AE29" s="3">
        <v>58762260480</v>
      </c>
      <c r="AF29" s="3">
        <v>52623282176</v>
      </c>
      <c r="AG29" s="3">
        <v>53872427008</v>
      </c>
      <c r="AH29" s="3">
        <v>66627727360</v>
      </c>
      <c r="AI29" s="3">
        <v>88250884096</v>
      </c>
      <c r="AJ29" s="3">
        <v>103905206272</v>
      </c>
      <c r="AK29" s="3">
        <v>114720129024</v>
      </c>
      <c r="AL29" s="3">
        <v>111608848384</v>
      </c>
      <c r="AM29" s="3">
        <v>137320497152</v>
      </c>
      <c r="AN29" s="3">
        <v>133290221568</v>
      </c>
      <c r="AO29" s="3">
        <v>121357983744</v>
      </c>
      <c r="AP29" s="3">
        <v>146619138048</v>
      </c>
      <c r="AQ29" s="3">
        <v>168510193664</v>
      </c>
      <c r="AR29" s="3">
        <v>176247980032</v>
      </c>
      <c r="AS29" s="3">
        <v>190845894656</v>
      </c>
      <c r="AT29" s="3">
        <v>200921939968</v>
      </c>
      <c r="AU29" s="3">
        <v>177467523072</v>
      </c>
      <c r="AV29" s="3">
        <v>188223668224</v>
      </c>
      <c r="AW29" s="3">
        <v>205415858176</v>
      </c>
      <c r="AX29" s="3">
        <v>207920611328</v>
      </c>
      <c r="AY29" s="3">
        <v>206928773120</v>
      </c>
      <c r="AZ29" s="3">
        <v>3834236154880</v>
      </c>
    </row>
    <row r="30" spans="1:52" x14ac:dyDescent="0.45">
      <c r="A30" s="4" t="s">
        <v>76</v>
      </c>
      <c r="B30" s="3">
        <v>12814123008</v>
      </c>
      <c r="C30" s="3">
        <v>14583114752</v>
      </c>
      <c r="D30" s="3">
        <v>17358610432</v>
      </c>
      <c r="E30" s="3">
        <v>22534254592</v>
      </c>
      <c r="F30" s="3">
        <v>27145693184</v>
      </c>
      <c r="G30" s="3">
        <v>32877805568</v>
      </c>
      <c r="H30" s="3">
        <v>35942268928</v>
      </c>
      <c r="I30" s="3">
        <v>41508028416</v>
      </c>
      <c r="J30" s="3">
        <v>46523092992</v>
      </c>
      <c r="K30" s="3">
        <v>53132242944</v>
      </c>
      <c r="L30" s="3">
        <v>64439382016</v>
      </c>
      <c r="M30" s="3">
        <v>63596654592</v>
      </c>
      <c r="N30" s="3">
        <v>62647193600</v>
      </c>
      <c r="O30" s="3">
        <v>61627240448</v>
      </c>
      <c r="P30" s="3">
        <v>62057955328</v>
      </c>
      <c r="Q30" s="3">
        <v>65416880128</v>
      </c>
      <c r="R30" s="3">
        <v>78693253120</v>
      </c>
      <c r="S30" s="3">
        <v>94230052864</v>
      </c>
      <c r="T30" s="3">
        <v>101900263424</v>
      </c>
      <c r="U30" s="3">
        <v>102633791488</v>
      </c>
      <c r="V30" s="3">
        <v>119791681536</v>
      </c>
      <c r="W30" s="3">
        <v>121872465920</v>
      </c>
      <c r="X30" s="3">
        <v>130838036480</v>
      </c>
      <c r="Y30" s="3">
        <v>120579072000</v>
      </c>
      <c r="Z30" s="3">
        <v>127131459584</v>
      </c>
      <c r="AA30" s="3">
        <v>152029609984</v>
      </c>
      <c r="AB30" s="3">
        <v>163520102400</v>
      </c>
      <c r="AC30" s="3">
        <v>161356627968</v>
      </c>
      <c r="AD30" s="3">
        <v>154163363840</v>
      </c>
      <c r="AE30" s="3">
        <v>162284470272</v>
      </c>
      <c r="AF30" s="3">
        <v>171247124480</v>
      </c>
      <c r="AG30" s="3">
        <v>173972226048</v>
      </c>
      <c r="AH30" s="3">
        <v>195524182016</v>
      </c>
      <c r="AI30" s="3">
        <v>228858511360</v>
      </c>
      <c r="AJ30" s="3">
        <v>264511635456</v>
      </c>
      <c r="AK30" s="3">
        <v>308884275200</v>
      </c>
      <c r="AL30" s="3">
        <v>345581355008</v>
      </c>
      <c r="AM30" s="3">
        <v>400937091072</v>
      </c>
      <c r="AN30" s="3">
        <v>462249984000</v>
      </c>
      <c r="AO30" s="3">
        <v>386190376960</v>
      </c>
      <c r="AP30" s="3">
        <v>428757024768</v>
      </c>
      <c r="AQ30" s="3">
        <v>498283446272</v>
      </c>
      <c r="AR30" s="3">
        <v>509506322432</v>
      </c>
      <c r="AS30" s="3">
        <v>522761535488</v>
      </c>
      <c r="AT30" s="3">
        <v>498410061824</v>
      </c>
      <c r="AU30" s="3">
        <v>385801551872</v>
      </c>
      <c r="AV30" s="3">
        <v>368819929088</v>
      </c>
      <c r="AW30" s="3">
        <v>398393966592</v>
      </c>
      <c r="AX30" s="3">
        <v>434166628352</v>
      </c>
      <c r="AY30" s="3">
        <v>403336364032</v>
      </c>
      <c r="AZ30" s="3">
        <v>9861422384128</v>
      </c>
    </row>
    <row r="31" spans="1:52" x14ac:dyDescent="0.45">
      <c r="A31" s="4" t="s">
        <v>72</v>
      </c>
      <c r="B31" s="3">
        <v>8108234752</v>
      </c>
      <c r="C31" s="3">
        <v>9201606656</v>
      </c>
      <c r="D31" s="3">
        <v>11239116800</v>
      </c>
      <c r="E31" s="3">
        <v>15090566144</v>
      </c>
      <c r="F31" s="3">
        <v>17512388608</v>
      </c>
      <c r="G31" s="3">
        <v>19347609600</v>
      </c>
      <c r="H31" s="3">
        <v>20332834816</v>
      </c>
      <c r="I31" s="3">
        <v>21439524864</v>
      </c>
      <c r="J31" s="3">
        <v>23487612928</v>
      </c>
      <c r="K31" s="3">
        <v>26622818304</v>
      </c>
      <c r="L31" s="3">
        <v>32896522240</v>
      </c>
      <c r="M31" s="3">
        <v>31977275392</v>
      </c>
      <c r="N31" s="3">
        <v>30527754240</v>
      </c>
      <c r="O31" s="3">
        <v>27239651328</v>
      </c>
      <c r="P31" s="3">
        <v>25217970176</v>
      </c>
      <c r="Q31" s="3">
        <v>27115806720</v>
      </c>
      <c r="R31" s="3">
        <v>38745903104</v>
      </c>
      <c r="S31" s="3">
        <v>48182923264</v>
      </c>
      <c r="T31" s="3">
        <v>56347250688</v>
      </c>
      <c r="U31" s="3">
        <v>60594094080</v>
      </c>
      <c r="V31" s="3">
        <v>78713856000</v>
      </c>
      <c r="W31" s="3">
        <v>89233596416</v>
      </c>
      <c r="X31" s="3">
        <v>107592097792</v>
      </c>
      <c r="Y31" s="3">
        <v>95009751040</v>
      </c>
      <c r="Z31" s="3">
        <v>99688644608</v>
      </c>
      <c r="AA31" s="3">
        <v>118122004480</v>
      </c>
      <c r="AB31" s="3">
        <v>122630086656</v>
      </c>
      <c r="AC31" s="3">
        <v>117016535040</v>
      </c>
      <c r="AD31" s="3">
        <v>123946328064</v>
      </c>
      <c r="AE31" s="3">
        <v>127427346432</v>
      </c>
      <c r="AF31" s="3">
        <v>118310707200</v>
      </c>
      <c r="AG31" s="3">
        <v>121498886144</v>
      </c>
      <c r="AH31" s="3">
        <v>134156091392</v>
      </c>
      <c r="AI31" s="3">
        <v>164862148608</v>
      </c>
      <c r="AJ31" s="3">
        <v>189034496000</v>
      </c>
      <c r="AK31" s="3">
        <v>197180325888</v>
      </c>
      <c r="AL31" s="3">
        <v>208581689344</v>
      </c>
      <c r="AM31" s="3">
        <v>240190799872</v>
      </c>
      <c r="AN31" s="3">
        <v>262344785920</v>
      </c>
      <c r="AO31" s="3">
        <v>243701628928</v>
      </c>
      <c r="AP31" s="3">
        <v>237880901632</v>
      </c>
      <c r="AQ31" s="3">
        <v>244797227008</v>
      </c>
      <c r="AR31" s="3">
        <v>216236605440</v>
      </c>
      <c r="AS31" s="3">
        <v>226369503232</v>
      </c>
      <c r="AT31" s="3">
        <v>229596168192</v>
      </c>
      <c r="AU31" s="3">
        <v>199313899520</v>
      </c>
      <c r="AV31" s="3">
        <v>206286028800</v>
      </c>
      <c r="AW31" s="3">
        <v>221357867008</v>
      </c>
      <c r="AX31" s="3">
        <v>241274634240</v>
      </c>
      <c r="AY31" s="3">
        <v>237686079488</v>
      </c>
      <c r="AZ31" s="3">
        <v>5771268185088</v>
      </c>
    </row>
    <row r="32" spans="1:52" x14ac:dyDescent="0.45">
      <c r="A32" s="4" t="s">
        <v>70</v>
      </c>
      <c r="B32" s="3">
        <v>1920586752</v>
      </c>
      <c r="C32" s="3">
        <v>2263785472</v>
      </c>
      <c r="D32" s="3">
        <v>2721441024</v>
      </c>
      <c r="E32" s="3">
        <v>3696213248</v>
      </c>
      <c r="F32" s="3">
        <v>5221534720</v>
      </c>
      <c r="G32" s="3">
        <v>5633673728</v>
      </c>
      <c r="H32" s="3">
        <v>6327077888</v>
      </c>
      <c r="I32" s="3">
        <v>6618585088</v>
      </c>
      <c r="J32" s="3">
        <v>7517176320</v>
      </c>
      <c r="K32" s="3">
        <v>9296921600</v>
      </c>
      <c r="L32" s="3">
        <v>11896256512</v>
      </c>
      <c r="M32" s="3">
        <v>14175228928</v>
      </c>
      <c r="N32" s="3">
        <v>16084252672</v>
      </c>
      <c r="O32" s="3">
        <v>17784113152</v>
      </c>
      <c r="P32" s="3">
        <v>19749361664</v>
      </c>
      <c r="Q32" s="3">
        <v>19156533248</v>
      </c>
      <c r="R32" s="3">
        <v>18586746880</v>
      </c>
      <c r="S32" s="3">
        <v>20919216128</v>
      </c>
      <c r="T32" s="3">
        <v>25371461632</v>
      </c>
      <c r="U32" s="3">
        <v>30465363968</v>
      </c>
      <c r="V32" s="3">
        <v>36144336896</v>
      </c>
      <c r="W32" s="3">
        <v>45466165248</v>
      </c>
      <c r="X32" s="3">
        <v>52130263040</v>
      </c>
      <c r="Y32" s="3">
        <v>60603478016</v>
      </c>
      <c r="Z32" s="3">
        <v>73690849280</v>
      </c>
      <c r="AA32" s="3">
        <v>87810990080</v>
      </c>
      <c r="AB32" s="3">
        <v>96295886848</v>
      </c>
      <c r="AC32" s="3">
        <v>100124188672</v>
      </c>
      <c r="AD32" s="3">
        <v>85728313344</v>
      </c>
      <c r="AE32" s="3">
        <v>86284664832</v>
      </c>
      <c r="AF32" s="3">
        <v>96074481664</v>
      </c>
      <c r="AG32" s="3">
        <v>89794945024</v>
      </c>
      <c r="AH32" s="3">
        <v>92537749504</v>
      </c>
      <c r="AI32" s="3">
        <v>97645445120</v>
      </c>
      <c r="AJ32" s="3">
        <v>115035496448</v>
      </c>
      <c r="AK32" s="3">
        <v>127807619072</v>
      </c>
      <c r="AL32" s="3">
        <v>148630372352</v>
      </c>
      <c r="AM32" s="3">
        <v>180941946880</v>
      </c>
      <c r="AN32" s="3">
        <v>193611988992</v>
      </c>
      <c r="AO32" s="3">
        <v>194152284160</v>
      </c>
      <c r="AP32" s="3">
        <v>239809380352</v>
      </c>
      <c r="AQ32" s="3">
        <v>279351164928</v>
      </c>
      <c r="AR32" s="3">
        <v>295087210496</v>
      </c>
      <c r="AS32" s="3">
        <v>307576373248</v>
      </c>
      <c r="AT32" s="3">
        <v>314851164160</v>
      </c>
      <c r="AU32" s="3">
        <v>308004159488</v>
      </c>
      <c r="AV32" s="3">
        <v>318652350464</v>
      </c>
      <c r="AW32" s="3">
        <v>341863333888</v>
      </c>
      <c r="AX32" s="3">
        <v>373217067008</v>
      </c>
      <c r="AY32" s="3">
        <v>372062519296</v>
      </c>
      <c r="AZ32" s="3">
        <v>5456391719424</v>
      </c>
    </row>
    <row r="33" spans="1:52" x14ac:dyDescent="0.45">
      <c r="A33" s="4" t="s">
        <v>74</v>
      </c>
      <c r="B33" s="3">
        <v>9005023232</v>
      </c>
      <c r="C33" s="3">
        <v>9903500288</v>
      </c>
      <c r="D33" s="3">
        <v>10862327808</v>
      </c>
      <c r="E33" s="3">
        <v>13876531200</v>
      </c>
      <c r="F33" s="3">
        <v>19544094720</v>
      </c>
      <c r="G33" s="3">
        <v>21784297472</v>
      </c>
      <c r="H33" s="3">
        <v>29902479360</v>
      </c>
      <c r="I33" s="3">
        <v>38446489600</v>
      </c>
      <c r="J33" s="3">
        <v>51972108288</v>
      </c>
      <c r="K33" s="3">
        <v>66946899968</v>
      </c>
      <c r="L33" s="3">
        <v>65398644736</v>
      </c>
      <c r="M33" s="3">
        <v>72933351424</v>
      </c>
      <c r="N33" s="3">
        <v>78358863872</v>
      </c>
      <c r="O33" s="3">
        <v>87760363520</v>
      </c>
      <c r="P33" s="3">
        <v>97510236160</v>
      </c>
      <c r="Q33" s="3">
        <v>101296177152</v>
      </c>
      <c r="R33" s="3">
        <v>116836802560</v>
      </c>
      <c r="S33" s="3">
        <v>147948257280</v>
      </c>
      <c r="T33" s="3">
        <v>199590821888</v>
      </c>
      <c r="U33" s="3">
        <v>246927294464</v>
      </c>
      <c r="V33" s="3">
        <v>283367538688</v>
      </c>
      <c r="W33" s="3">
        <v>330648518656</v>
      </c>
      <c r="X33" s="3">
        <v>355525263360</v>
      </c>
      <c r="Y33" s="3">
        <v>392666087424</v>
      </c>
      <c r="Z33" s="3">
        <v>463617392640</v>
      </c>
      <c r="AA33" s="3">
        <v>566583427072</v>
      </c>
      <c r="AB33" s="3">
        <v>610169585664</v>
      </c>
      <c r="AC33" s="3">
        <v>569754517504</v>
      </c>
      <c r="AD33" s="3">
        <v>383330942976</v>
      </c>
      <c r="AE33" s="3">
        <v>497512644608</v>
      </c>
      <c r="AF33" s="3">
        <v>576178094080</v>
      </c>
      <c r="AG33" s="3">
        <v>547658235904</v>
      </c>
      <c r="AH33" s="3">
        <v>627246104576</v>
      </c>
      <c r="AI33" s="3">
        <v>702717362176</v>
      </c>
      <c r="AJ33" s="3">
        <v>793174999040</v>
      </c>
      <c r="AK33" s="3">
        <v>934901055488</v>
      </c>
      <c r="AL33" s="3">
        <v>1053216931840</v>
      </c>
      <c r="AM33" s="3">
        <v>1172614021120</v>
      </c>
      <c r="AN33" s="3">
        <v>1047339008000</v>
      </c>
      <c r="AO33" s="3">
        <v>943941877760</v>
      </c>
      <c r="AP33" s="3">
        <v>1144066932736</v>
      </c>
      <c r="AQ33" s="3">
        <v>1253223038976</v>
      </c>
      <c r="AR33" s="3">
        <v>1278427660288</v>
      </c>
      <c r="AS33" s="3">
        <v>1370795147264</v>
      </c>
      <c r="AT33" s="3">
        <v>1484318179328</v>
      </c>
      <c r="AU33" s="3">
        <v>1465773195264</v>
      </c>
      <c r="AV33" s="3">
        <v>1500111568896</v>
      </c>
      <c r="AW33" s="3">
        <v>1623901470720</v>
      </c>
      <c r="AX33" s="3">
        <v>1720578867200</v>
      </c>
      <c r="AY33" s="3">
        <v>1642383278080</v>
      </c>
      <c r="AZ33" s="3">
        <v>28822547512320</v>
      </c>
    </row>
    <row r="34" spans="1:52" x14ac:dyDescent="0.45">
      <c r="A34" s="4" t="s">
        <v>68</v>
      </c>
      <c r="B34" s="3">
        <v>40992997376</v>
      </c>
      <c r="C34" s="3">
        <v>46619418624</v>
      </c>
      <c r="D34" s="3">
        <v>59132416000</v>
      </c>
      <c r="E34" s="3">
        <v>78639529984</v>
      </c>
      <c r="F34" s="3">
        <v>97274003456</v>
      </c>
      <c r="G34" s="3">
        <v>114777047040</v>
      </c>
      <c r="H34" s="3">
        <v>118507184128</v>
      </c>
      <c r="I34" s="3">
        <v>132449280000</v>
      </c>
      <c r="J34" s="3">
        <v>160599687168</v>
      </c>
      <c r="K34" s="3">
        <v>214601957376</v>
      </c>
      <c r="L34" s="3">
        <v>232766816256</v>
      </c>
      <c r="M34" s="3">
        <v>202807885824</v>
      </c>
      <c r="N34" s="3">
        <v>195996762112</v>
      </c>
      <c r="O34" s="3">
        <v>170951180288</v>
      </c>
      <c r="P34" s="3">
        <v>172102909952</v>
      </c>
      <c r="Q34" s="3">
        <v>180793458688</v>
      </c>
      <c r="R34" s="3">
        <v>251321073664</v>
      </c>
      <c r="S34" s="3">
        <v>318747934720</v>
      </c>
      <c r="T34" s="3">
        <v>376160419840</v>
      </c>
      <c r="U34" s="3">
        <v>414757060608</v>
      </c>
      <c r="V34" s="3">
        <v>536558600192</v>
      </c>
      <c r="W34" s="3">
        <v>577166180352</v>
      </c>
      <c r="X34" s="3">
        <v>630915989504</v>
      </c>
      <c r="Y34" s="3">
        <v>525075644416</v>
      </c>
      <c r="Z34" s="3">
        <v>530562646016</v>
      </c>
      <c r="AA34" s="3">
        <v>614608994304</v>
      </c>
      <c r="AB34" s="3">
        <v>642588999680</v>
      </c>
      <c r="AC34" s="3">
        <v>590077296640</v>
      </c>
      <c r="AD34" s="3">
        <v>619214864384</v>
      </c>
      <c r="AE34" s="3">
        <v>634693156864</v>
      </c>
      <c r="AF34" s="3">
        <v>596877639680</v>
      </c>
      <c r="AG34" s="3">
        <v>627286802432</v>
      </c>
      <c r="AH34" s="3">
        <v>705394311168</v>
      </c>
      <c r="AI34" s="3">
        <v>905492103168</v>
      </c>
      <c r="AJ34" s="3">
        <v>1067093393408</v>
      </c>
      <c r="AK34" s="3">
        <v>1153285619712</v>
      </c>
      <c r="AL34" s="3">
        <v>1259343839232</v>
      </c>
      <c r="AM34" s="3">
        <v>1472131104768</v>
      </c>
      <c r="AN34" s="3">
        <v>1625224904704</v>
      </c>
      <c r="AO34" s="3">
        <v>1485583548416</v>
      </c>
      <c r="AP34" s="3">
        <v>1420722044928</v>
      </c>
      <c r="AQ34" s="3">
        <v>1478772785152</v>
      </c>
      <c r="AR34" s="3">
        <v>1324820070400</v>
      </c>
      <c r="AS34" s="3">
        <v>1354757439488</v>
      </c>
      <c r="AT34" s="3">
        <v>1369398837248</v>
      </c>
      <c r="AU34" s="3">
        <v>1195119214592</v>
      </c>
      <c r="AV34" s="3">
        <v>1232076013568</v>
      </c>
      <c r="AW34" s="3">
        <v>1312551731200</v>
      </c>
      <c r="AX34" s="3">
        <v>1419735203840</v>
      </c>
      <c r="AY34" s="3">
        <v>1394116263936</v>
      </c>
      <c r="AZ34" s="3">
        <v>33881244266496</v>
      </c>
    </row>
    <row r="35" spans="1:52" x14ac:dyDescent="0.45">
      <c r="A35" s="4" t="s">
        <v>71</v>
      </c>
      <c r="B35" s="3">
        <v>38092451840</v>
      </c>
      <c r="C35" s="3">
        <v>41566412800</v>
      </c>
      <c r="D35" s="3">
        <v>48954146816</v>
      </c>
      <c r="E35" s="3">
        <v>59404967936</v>
      </c>
      <c r="F35" s="3">
        <v>66013339648</v>
      </c>
      <c r="G35" s="3">
        <v>82885394432</v>
      </c>
      <c r="H35" s="3">
        <v>89362071552</v>
      </c>
      <c r="I35" s="3">
        <v>94468743168</v>
      </c>
      <c r="J35" s="3">
        <v>104442347520</v>
      </c>
      <c r="K35" s="3">
        <v>123386413056</v>
      </c>
      <c r="L35" s="3">
        <v>142092075008</v>
      </c>
      <c r="M35" s="3">
        <v>129686937600</v>
      </c>
      <c r="N35" s="3">
        <v>114380554240</v>
      </c>
      <c r="O35" s="3">
        <v>105014353920</v>
      </c>
      <c r="P35" s="3">
        <v>109201358848</v>
      </c>
      <c r="Q35" s="3">
        <v>114123538432</v>
      </c>
      <c r="R35" s="3">
        <v>150498050048</v>
      </c>
      <c r="S35" s="3">
        <v>183009640448</v>
      </c>
      <c r="T35" s="3">
        <v>206986674176</v>
      </c>
      <c r="U35" s="3">
        <v>217948323840</v>
      </c>
      <c r="V35" s="3">
        <v>261846188032</v>
      </c>
      <c r="W35" s="3">
        <v>274229035008</v>
      </c>
      <c r="X35" s="3">
        <v>284321120256</v>
      </c>
      <c r="Y35" s="3">
        <v>212953333760</v>
      </c>
      <c r="Z35" s="3">
        <v>229033574400</v>
      </c>
      <c r="AA35" s="3">
        <v>267305877504</v>
      </c>
      <c r="AB35" s="3">
        <v>291743825920</v>
      </c>
      <c r="AC35" s="3">
        <v>268146147328</v>
      </c>
      <c r="AD35" s="3">
        <v>270809071616</v>
      </c>
      <c r="AE35" s="3">
        <v>274072174592</v>
      </c>
      <c r="AF35" s="3">
        <v>262835453952</v>
      </c>
      <c r="AG35" s="3">
        <v>242395856896</v>
      </c>
      <c r="AH35" s="3">
        <v>266849058816</v>
      </c>
      <c r="AI35" s="3">
        <v>334337212416</v>
      </c>
      <c r="AJ35" s="3">
        <v>385118044160</v>
      </c>
      <c r="AK35" s="3">
        <v>392218083328</v>
      </c>
      <c r="AL35" s="3">
        <v>423093436416</v>
      </c>
      <c r="AM35" s="3">
        <v>491252580352</v>
      </c>
      <c r="AN35" s="3">
        <v>517706153984</v>
      </c>
      <c r="AO35" s="3">
        <v>436536999936</v>
      </c>
      <c r="AP35" s="3">
        <v>495812542464</v>
      </c>
      <c r="AQ35" s="3">
        <v>574094114816</v>
      </c>
      <c r="AR35" s="3">
        <v>552483749888</v>
      </c>
      <c r="AS35" s="3">
        <v>586841849856</v>
      </c>
      <c r="AT35" s="3">
        <v>581964005376</v>
      </c>
      <c r="AU35" s="3">
        <v>505103777792</v>
      </c>
      <c r="AV35" s="3">
        <v>515654680576</v>
      </c>
      <c r="AW35" s="3">
        <v>541018750976</v>
      </c>
      <c r="AX35" s="3">
        <v>555455348736</v>
      </c>
      <c r="AY35" s="3">
        <v>530832916480</v>
      </c>
      <c r="AZ35" s="3">
        <v>14047582760960</v>
      </c>
    </row>
    <row r="36" spans="1:52" x14ac:dyDescent="0.45">
      <c r="A36" s="4" t="s">
        <v>94</v>
      </c>
      <c r="B36" s="3">
        <v>24274075648</v>
      </c>
      <c r="C36" s="3">
        <v>29170151424</v>
      </c>
      <c r="D36" s="3">
        <v>35777236992</v>
      </c>
      <c r="E36" s="3">
        <v>48114941952</v>
      </c>
      <c r="F36" s="3">
        <v>55449198592</v>
      </c>
      <c r="G36" s="3">
        <v>63570059264</v>
      </c>
      <c r="H36" s="3">
        <v>66493313024</v>
      </c>
      <c r="I36" s="3">
        <v>71017619456</v>
      </c>
      <c r="J36" s="3">
        <v>99318235136</v>
      </c>
      <c r="K36" s="3">
        <v>111640338432</v>
      </c>
      <c r="L36" s="3">
        <v>119008337920</v>
      </c>
      <c r="M36" s="3">
        <v>108993978368</v>
      </c>
      <c r="N36" s="3">
        <v>111711494144</v>
      </c>
      <c r="O36" s="3">
        <v>111314329600</v>
      </c>
      <c r="P36" s="3">
        <v>106285277184</v>
      </c>
      <c r="Q36" s="3">
        <v>107766112256</v>
      </c>
      <c r="R36" s="3">
        <v>154482376704</v>
      </c>
      <c r="S36" s="3">
        <v>193466105856</v>
      </c>
      <c r="T36" s="3">
        <v>209298161664</v>
      </c>
      <c r="U36" s="3">
        <v>202078699520</v>
      </c>
      <c r="V36" s="3">
        <v>258066546688</v>
      </c>
      <c r="W36" s="3">
        <v>261113790464</v>
      </c>
      <c r="X36" s="3">
        <v>271814361088</v>
      </c>
      <c r="Y36" s="3">
        <v>264353005568</v>
      </c>
      <c r="Z36" s="3">
        <v>292646649856</v>
      </c>
      <c r="AA36" s="3">
        <v>342616997888</v>
      </c>
      <c r="AB36" s="3">
        <v>330091692032</v>
      </c>
      <c r="AC36" s="3">
        <v>286519132160</v>
      </c>
      <c r="AD36" s="3">
        <v>295045136384</v>
      </c>
      <c r="AE36" s="3">
        <v>289912487936</v>
      </c>
      <c r="AF36" s="3">
        <v>272055500800</v>
      </c>
      <c r="AG36" s="3">
        <v>278631284736</v>
      </c>
      <c r="AH36" s="3">
        <v>301416808448</v>
      </c>
      <c r="AI36" s="3">
        <v>352914833408</v>
      </c>
      <c r="AJ36" s="3">
        <v>394163683328</v>
      </c>
      <c r="AK36" s="3">
        <v>408689344512</v>
      </c>
      <c r="AL36" s="3">
        <v>430921187328</v>
      </c>
      <c r="AM36" s="3">
        <v>479913050112</v>
      </c>
      <c r="AN36" s="3">
        <v>554363518976</v>
      </c>
      <c r="AO36" s="3">
        <v>541506502656</v>
      </c>
      <c r="AP36" s="3">
        <v>583782957056</v>
      </c>
      <c r="AQ36" s="3">
        <v>699579629568</v>
      </c>
      <c r="AR36" s="3">
        <v>668043640832</v>
      </c>
      <c r="AS36" s="3">
        <v>688504176640</v>
      </c>
      <c r="AT36" s="3">
        <v>709182554112</v>
      </c>
      <c r="AU36" s="3">
        <v>679832322048</v>
      </c>
      <c r="AV36" s="3">
        <v>671309168640</v>
      </c>
      <c r="AW36" s="3">
        <v>679950483456</v>
      </c>
      <c r="AX36" s="3">
        <v>705140621312</v>
      </c>
      <c r="AY36" s="3">
        <v>703082463232</v>
      </c>
      <c r="AZ36" s="3">
        <v>15724393574400</v>
      </c>
    </row>
    <row r="37" spans="1:52" x14ac:dyDescent="0.45">
      <c r="A37" s="4" t="s">
        <v>69</v>
      </c>
      <c r="B37" s="3">
        <v>130671943680</v>
      </c>
      <c r="C37" s="3">
        <v>148113899520</v>
      </c>
      <c r="D37" s="3">
        <v>169965027328</v>
      </c>
      <c r="E37" s="3">
        <v>192537968640</v>
      </c>
      <c r="F37" s="3">
        <v>206131363840</v>
      </c>
      <c r="G37" s="3">
        <v>241756635136</v>
      </c>
      <c r="H37" s="3">
        <v>232614559744</v>
      </c>
      <c r="I37" s="3">
        <v>263066451968</v>
      </c>
      <c r="J37" s="3">
        <v>335883042816</v>
      </c>
      <c r="K37" s="3">
        <v>438994075648</v>
      </c>
      <c r="L37" s="3">
        <v>564947714048</v>
      </c>
      <c r="M37" s="3">
        <v>540765683712</v>
      </c>
      <c r="N37" s="3">
        <v>515048931328</v>
      </c>
      <c r="O37" s="3">
        <v>489618014208</v>
      </c>
      <c r="P37" s="3">
        <v>461487112192</v>
      </c>
      <c r="Q37" s="3">
        <v>489285156864</v>
      </c>
      <c r="R37" s="3">
        <v>601452642304</v>
      </c>
      <c r="S37" s="3">
        <v>745162604544</v>
      </c>
      <c r="T37" s="3">
        <v>910122745856</v>
      </c>
      <c r="U37" s="3">
        <v>926884823040</v>
      </c>
      <c r="V37" s="3">
        <v>1093169381376</v>
      </c>
      <c r="W37" s="3">
        <v>1142797238272</v>
      </c>
      <c r="X37" s="3">
        <v>1179659534336</v>
      </c>
      <c r="Y37" s="3">
        <v>1061388746752</v>
      </c>
      <c r="Z37" s="3">
        <v>1140489715712</v>
      </c>
      <c r="AA37" s="3">
        <v>1341584310272</v>
      </c>
      <c r="AB37" s="3">
        <v>1415358840832</v>
      </c>
      <c r="AC37" s="3">
        <v>1559078240256</v>
      </c>
      <c r="AD37" s="3">
        <v>1650172231680</v>
      </c>
      <c r="AE37" s="3">
        <v>1682399297536</v>
      </c>
      <c r="AF37" s="3">
        <v>1657816612864</v>
      </c>
      <c r="AG37" s="3">
        <v>1640246149120</v>
      </c>
      <c r="AH37" s="3">
        <v>1784473976832</v>
      </c>
      <c r="AI37" s="3">
        <v>2053018746880</v>
      </c>
      <c r="AJ37" s="3">
        <v>2416931504128</v>
      </c>
      <c r="AK37" s="3">
        <v>2538680090624</v>
      </c>
      <c r="AL37" s="3">
        <v>2713749815296</v>
      </c>
      <c r="AM37" s="3">
        <v>3100882239488</v>
      </c>
      <c r="AN37" s="3">
        <v>2922667311104</v>
      </c>
      <c r="AO37" s="3">
        <v>2410909794304</v>
      </c>
      <c r="AP37" s="3">
        <v>2475244388352</v>
      </c>
      <c r="AQ37" s="3">
        <v>2659310108672</v>
      </c>
      <c r="AR37" s="3">
        <v>2704887775232</v>
      </c>
      <c r="AS37" s="3">
        <v>2786022916096</v>
      </c>
      <c r="AT37" s="3">
        <v>3063803281408</v>
      </c>
      <c r="AU37" s="3">
        <v>2928590979072</v>
      </c>
      <c r="AV37" s="3">
        <v>2694283264000</v>
      </c>
      <c r="AW37" s="3">
        <v>2666229137408</v>
      </c>
      <c r="AX37" s="3">
        <v>2860667633664</v>
      </c>
      <c r="AY37" s="3">
        <v>2827113201664</v>
      </c>
      <c r="AZ37" s="3">
        <v>72776136859648</v>
      </c>
    </row>
    <row r="38" spans="1:52" x14ac:dyDescent="0.45">
      <c r="A38" s="4" t="s">
        <v>67</v>
      </c>
      <c r="B38" s="3">
        <v>1073302994944</v>
      </c>
      <c r="C38" s="3">
        <v>1164849971200</v>
      </c>
      <c r="D38" s="3">
        <v>1279110021120</v>
      </c>
      <c r="E38" s="3">
        <v>1425376018432</v>
      </c>
      <c r="F38" s="3">
        <v>1545242935296</v>
      </c>
      <c r="G38" s="3">
        <v>1684903952384</v>
      </c>
      <c r="H38" s="3">
        <v>1873411964928</v>
      </c>
      <c r="I38" s="3">
        <v>2081826013184</v>
      </c>
      <c r="J38" s="3">
        <v>2351598927872</v>
      </c>
      <c r="K38" s="3">
        <v>2627334045696</v>
      </c>
      <c r="L38" s="3">
        <v>2857306947584</v>
      </c>
      <c r="M38" s="3">
        <v>3207041908736</v>
      </c>
      <c r="N38" s="3">
        <v>3343789064192</v>
      </c>
      <c r="O38" s="3">
        <v>3634038046720</v>
      </c>
      <c r="P38" s="3">
        <v>4037612929024</v>
      </c>
      <c r="Q38" s="3">
        <v>4338978914304</v>
      </c>
      <c r="R38" s="3">
        <v>4579631038464</v>
      </c>
      <c r="S38" s="3">
        <v>4855215161344</v>
      </c>
      <c r="T38" s="3">
        <v>5236438073344</v>
      </c>
      <c r="U38" s="3">
        <v>5641580052480</v>
      </c>
      <c r="V38" s="3">
        <v>5963144232960</v>
      </c>
      <c r="W38" s="3">
        <v>6158129037312</v>
      </c>
      <c r="X38" s="3">
        <v>6520327110656</v>
      </c>
      <c r="Y38" s="3">
        <v>6858558930944</v>
      </c>
      <c r="Z38" s="3">
        <v>7287236198400</v>
      </c>
      <c r="AA38" s="3">
        <v>7639749099520</v>
      </c>
      <c r="AB38" s="3">
        <v>8073121890304</v>
      </c>
      <c r="AC38" s="3">
        <v>8577554579456</v>
      </c>
      <c r="AD38" s="3">
        <v>9062818250752</v>
      </c>
      <c r="AE38" s="3">
        <v>9630664097792</v>
      </c>
      <c r="AF38" s="3">
        <v>10252345933824</v>
      </c>
      <c r="AG38" s="3">
        <v>10581821095936</v>
      </c>
      <c r="AH38" s="3">
        <v>10936419090432</v>
      </c>
      <c r="AI38" s="3">
        <v>11458243985408</v>
      </c>
      <c r="AJ38" s="3">
        <v>12213729361920</v>
      </c>
      <c r="AK38" s="3">
        <v>13036640272384</v>
      </c>
      <c r="AL38" s="3">
        <v>13814611312640</v>
      </c>
      <c r="AM38" s="3">
        <v>14451858210816</v>
      </c>
      <c r="AN38" s="3">
        <v>14712844582912</v>
      </c>
      <c r="AO38" s="3">
        <v>14448932683776</v>
      </c>
      <c r="AP38" s="3">
        <v>14992053108736</v>
      </c>
      <c r="AQ38" s="3">
        <v>15542580674560</v>
      </c>
      <c r="AR38" s="3">
        <v>16197007441920</v>
      </c>
      <c r="AS38" s="3">
        <v>16784849633280</v>
      </c>
      <c r="AT38" s="3">
        <v>17521746903040</v>
      </c>
      <c r="AU38" s="3">
        <v>18219297406976</v>
      </c>
      <c r="AV38" s="3">
        <v>18707187236864</v>
      </c>
      <c r="AW38" s="3">
        <v>19485394206720</v>
      </c>
      <c r="AX38" s="3">
        <v>20529048190976</v>
      </c>
      <c r="AY38" s="3">
        <v>21374418550784</v>
      </c>
      <c r="AZ38" s="3">
        <v>439870922293248</v>
      </c>
    </row>
    <row r="39" spans="1:52" x14ac:dyDescent="0.45">
      <c r="A39" s="2" t="s">
        <v>57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1:52" x14ac:dyDescent="0.45">
      <c r="A40" s="4" t="s">
        <v>95</v>
      </c>
      <c r="B40" s="3">
        <v>4863487488</v>
      </c>
      <c r="C40" s="3">
        <v>5077222400</v>
      </c>
      <c r="D40" s="3">
        <v>6761786368</v>
      </c>
      <c r="E40" s="3">
        <v>8715106304</v>
      </c>
      <c r="F40" s="3">
        <v>13209713664</v>
      </c>
      <c r="G40" s="3">
        <v>15557934080</v>
      </c>
      <c r="H40" s="3">
        <v>17728348160</v>
      </c>
      <c r="I40" s="3">
        <v>20971900928</v>
      </c>
      <c r="J40" s="3">
        <v>26364491776</v>
      </c>
      <c r="K40" s="3">
        <v>33243422720</v>
      </c>
      <c r="L40" s="3">
        <v>42345275392</v>
      </c>
      <c r="M40" s="3">
        <v>44348674048</v>
      </c>
      <c r="N40" s="3">
        <v>45207089152</v>
      </c>
      <c r="O40" s="3">
        <v>48801370112</v>
      </c>
      <c r="P40" s="3">
        <v>53698277376</v>
      </c>
      <c r="Q40" s="3">
        <v>57937866752</v>
      </c>
      <c r="R40" s="3">
        <v>63696302080</v>
      </c>
      <c r="S40" s="3">
        <v>66742267904</v>
      </c>
      <c r="T40" s="3">
        <v>59089068032</v>
      </c>
      <c r="U40" s="3">
        <v>55631491072</v>
      </c>
      <c r="V40" s="3">
        <v>62045097984</v>
      </c>
      <c r="W40" s="3">
        <v>45715365888</v>
      </c>
      <c r="X40" s="3">
        <v>48003297280</v>
      </c>
      <c r="Y40" s="3">
        <v>49946456064</v>
      </c>
      <c r="Z40" s="3">
        <v>42542571520</v>
      </c>
      <c r="AA40" s="3">
        <v>41764052992</v>
      </c>
      <c r="AB40" s="3">
        <v>46941495296</v>
      </c>
      <c r="AC40" s="3">
        <v>48177860608</v>
      </c>
      <c r="AD40" s="3">
        <v>48187748352</v>
      </c>
      <c r="AE40" s="3">
        <v>48640610304</v>
      </c>
      <c r="AF40" s="3">
        <v>54788730880</v>
      </c>
      <c r="AG40" s="3">
        <v>54745837568</v>
      </c>
      <c r="AH40" s="3">
        <v>56760623104</v>
      </c>
      <c r="AI40" s="3">
        <v>67864850432</v>
      </c>
      <c r="AJ40" s="3">
        <v>85324767232</v>
      </c>
      <c r="AK40" s="3">
        <v>103198441472</v>
      </c>
      <c r="AL40" s="3">
        <v>117025431552</v>
      </c>
      <c r="AM40" s="3">
        <v>134977282048</v>
      </c>
      <c r="AN40" s="3">
        <v>171000643584</v>
      </c>
      <c r="AO40" s="3">
        <v>137210691584</v>
      </c>
      <c r="AP40" s="3">
        <v>161207746560</v>
      </c>
      <c r="AQ40" s="3">
        <v>200019476480</v>
      </c>
      <c r="AR40" s="3">
        <v>209060315136</v>
      </c>
      <c r="AS40" s="3">
        <v>209754767360</v>
      </c>
      <c r="AT40" s="3">
        <v>213808807936</v>
      </c>
      <c r="AU40" s="3">
        <v>165979422720</v>
      </c>
      <c r="AV40" s="3">
        <v>160033849344</v>
      </c>
      <c r="AW40" s="3">
        <v>167389364224</v>
      </c>
      <c r="AX40" s="3">
        <v>173757956096</v>
      </c>
      <c r="AY40" s="3">
        <v>169988243456</v>
      </c>
      <c r="AZ40" s="3">
        <v>3985852900864</v>
      </c>
    </row>
    <row r="41" spans="1:52" x14ac:dyDescent="0.45">
      <c r="A41" s="4" t="s">
        <v>96</v>
      </c>
      <c r="B41" s="3">
        <v>31584210944</v>
      </c>
      <c r="C41" s="3">
        <v>33293199360</v>
      </c>
      <c r="D41" s="3">
        <v>34732998656</v>
      </c>
      <c r="E41" s="3">
        <v>52544000000</v>
      </c>
      <c r="F41" s="3">
        <v>72436776960</v>
      </c>
      <c r="G41" s="3">
        <v>52438646784</v>
      </c>
      <c r="H41" s="3">
        <v>51169501184</v>
      </c>
      <c r="I41" s="3">
        <v>56781000704</v>
      </c>
      <c r="J41" s="3">
        <v>58082869248</v>
      </c>
      <c r="K41" s="3">
        <v>69252325376</v>
      </c>
      <c r="L41" s="3">
        <v>76961923072</v>
      </c>
      <c r="M41" s="3">
        <v>78676844544</v>
      </c>
      <c r="N41" s="3">
        <v>84307484672</v>
      </c>
      <c r="O41" s="3">
        <v>103979106304</v>
      </c>
      <c r="P41" s="3">
        <v>79091998720</v>
      </c>
      <c r="Q41" s="3">
        <v>88416665600</v>
      </c>
      <c r="R41" s="3">
        <v>110934441984</v>
      </c>
      <c r="S41" s="3">
        <v>111106187264</v>
      </c>
      <c r="T41" s="3">
        <v>126206820352</v>
      </c>
      <c r="U41" s="3">
        <v>76636897280</v>
      </c>
      <c r="V41" s="3">
        <v>141352370176</v>
      </c>
      <c r="W41" s="3">
        <v>189719986176</v>
      </c>
      <c r="X41" s="3">
        <v>228788617216</v>
      </c>
      <c r="Y41" s="3">
        <v>236741722112</v>
      </c>
      <c r="Z41" s="3">
        <v>257440006144</v>
      </c>
      <c r="AA41" s="3">
        <v>258031747072</v>
      </c>
      <c r="AB41" s="3">
        <v>272149757952</v>
      </c>
      <c r="AC41" s="3">
        <v>292858986496</v>
      </c>
      <c r="AD41" s="3">
        <v>298948263936</v>
      </c>
      <c r="AE41" s="3">
        <v>283522990080</v>
      </c>
      <c r="AF41" s="3">
        <v>284203745280</v>
      </c>
      <c r="AG41" s="3">
        <v>268696748032</v>
      </c>
      <c r="AH41" s="3">
        <v>97724006400</v>
      </c>
      <c r="AI41" s="3">
        <v>127586975744</v>
      </c>
      <c r="AJ41" s="3">
        <v>164657938432</v>
      </c>
      <c r="AK41" s="3">
        <v>198737100800</v>
      </c>
      <c r="AL41" s="3">
        <v>232557264896</v>
      </c>
      <c r="AM41" s="3">
        <v>287530516480</v>
      </c>
      <c r="AN41" s="3">
        <v>361558048768</v>
      </c>
      <c r="AO41" s="3">
        <v>332976488448</v>
      </c>
      <c r="AP41" s="3">
        <v>423627423744</v>
      </c>
      <c r="AQ41" s="3">
        <v>530163269632</v>
      </c>
      <c r="AR41" s="3">
        <v>545982382080</v>
      </c>
      <c r="AS41" s="3">
        <v>552025128960</v>
      </c>
      <c r="AT41" s="3">
        <v>526319681536</v>
      </c>
      <c r="AU41" s="3">
        <v>594749292544</v>
      </c>
      <c r="AV41" s="3">
        <v>557531398144</v>
      </c>
      <c r="AW41" s="3">
        <v>642695888896</v>
      </c>
      <c r="AX41" s="3">
        <v>519871528960</v>
      </c>
      <c r="AY41" s="3">
        <v>449663434752</v>
      </c>
      <c r="AZ41" s="3">
        <v>11607046608896</v>
      </c>
    </row>
    <row r="42" spans="1:52" x14ac:dyDescent="0.45">
      <c r="A42" s="4" t="s">
        <v>97</v>
      </c>
      <c r="B42" s="3">
        <v>538423168</v>
      </c>
      <c r="C42" s="3">
        <v>573400000</v>
      </c>
      <c r="D42" s="3">
        <v>590899968</v>
      </c>
      <c r="E42" s="3">
        <v>670899968</v>
      </c>
      <c r="F42" s="3">
        <v>632400000</v>
      </c>
      <c r="G42" s="3">
        <v>596200000</v>
      </c>
      <c r="H42" s="3">
        <v>642099968</v>
      </c>
      <c r="I42" s="3">
        <v>713000000</v>
      </c>
      <c r="J42" s="3">
        <v>832400000</v>
      </c>
      <c r="K42" s="3">
        <v>1139800064</v>
      </c>
      <c r="L42" s="3">
        <v>1335299968</v>
      </c>
      <c r="M42" s="3">
        <v>1426499968</v>
      </c>
      <c r="N42" s="3">
        <v>1578300032</v>
      </c>
      <c r="O42" s="3">
        <v>1732800000</v>
      </c>
      <c r="P42" s="3">
        <v>2041100032</v>
      </c>
      <c r="Q42" s="3">
        <v>2320699904</v>
      </c>
      <c r="R42" s="3">
        <v>2472499968</v>
      </c>
      <c r="S42" s="3">
        <v>2713999872</v>
      </c>
      <c r="T42" s="3">
        <v>2817900032</v>
      </c>
      <c r="U42" s="3">
        <v>3062000128</v>
      </c>
      <c r="V42" s="3">
        <v>3166000128</v>
      </c>
      <c r="W42" s="3">
        <v>3111160064</v>
      </c>
      <c r="X42" s="3">
        <v>3108999936</v>
      </c>
      <c r="Y42" s="3">
        <v>3092000000</v>
      </c>
      <c r="Z42" s="3">
        <v>3259000064</v>
      </c>
      <c r="AA42" s="3">
        <v>3428999936</v>
      </c>
      <c r="AB42" s="3">
        <v>3608999936</v>
      </c>
      <c r="AC42" s="3">
        <v>6332360192</v>
      </c>
      <c r="AD42" s="3">
        <v>6833220096</v>
      </c>
      <c r="AE42" s="3">
        <v>7683870208</v>
      </c>
      <c r="AF42" s="3">
        <v>8076469760</v>
      </c>
      <c r="AG42" s="3">
        <v>8317830144</v>
      </c>
      <c r="AH42" s="3">
        <v>8881160192</v>
      </c>
      <c r="AI42" s="3">
        <v>8870089728</v>
      </c>
      <c r="AJ42" s="3">
        <v>9055290368</v>
      </c>
      <c r="AK42" s="3">
        <v>9836199936</v>
      </c>
      <c r="AL42" s="3">
        <v>10167249920</v>
      </c>
      <c r="AM42" s="3">
        <v>10618340352</v>
      </c>
      <c r="AN42" s="3">
        <v>10526000128</v>
      </c>
      <c r="AO42" s="3">
        <v>9981960192</v>
      </c>
      <c r="AP42" s="3">
        <v>10095760384</v>
      </c>
      <c r="AQ42" s="3">
        <v>10070450176</v>
      </c>
      <c r="AR42" s="3">
        <v>10720499712</v>
      </c>
      <c r="AS42" s="3">
        <v>10562700288</v>
      </c>
      <c r="AT42" s="3">
        <v>10913300480</v>
      </c>
      <c r="AU42" s="3">
        <v>11752299520</v>
      </c>
      <c r="AV42" s="3">
        <v>11938400256</v>
      </c>
      <c r="AW42" s="3">
        <v>12150400000</v>
      </c>
      <c r="AX42" s="3">
        <v>12424500224</v>
      </c>
      <c r="AY42" s="3">
        <v>12826999808</v>
      </c>
      <c r="AZ42" s="3">
        <v>279841135168</v>
      </c>
    </row>
    <row r="43" spans="1:52" x14ac:dyDescent="0.45">
      <c r="A43" s="4" t="s">
        <v>98</v>
      </c>
      <c r="B43" s="3">
        <v>8992721920</v>
      </c>
      <c r="C43" s="3">
        <v>8751843328</v>
      </c>
      <c r="D43" s="3">
        <v>6288245760</v>
      </c>
      <c r="E43" s="3">
        <v>8086725632</v>
      </c>
      <c r="F43" s="3">
        <v>12512460800</v>
      </c>
      <c r="G43" s="3">
        <v>19448348672</v>
      </c>
      <c r="H43" s="3">
        <v>10117112832</v>
      </c>
      <c r="I43" s="3">
        <v>9651148800</v>
      </c>
      <c r="J43" s="3">
        <v>13281767424</v>
      </c>
      <c r="K43" s="3">
        <v>15565479936</v>
      </c>
      <c r="L43" s="3">
        <v>18138048512</v>
      </c>
      <c r="M43" s="3">
        <v>20249694208</v>
      </c>
      <c r="N43" s="3">
        <v>18525399040</v>
      </c>
      <c r="O43" s="3">
        <v>17609048064</v>
      </c>
      <c r="P43" s="3">
        <v>18920839168</v>
      </c>
      <c r="Q43" s="3">
        <v>22278422528</v>
      </c>
      <c r="R43" s="3">
        <v>21774032896</v>
      </c>
      <c r="S43" s="3">
        <v>24298033152</v>
      </c>
      <c r="T43" s="3">
        <v>26579005440</v>
      </c>
      <c r="U43" s="3">
        <v>28781715456</v>
      </c>
      <c r="V43" s="3">
        <v>31598342144</v>
      </c>
      <c r="W43" s="3">
        <v>30957484032</v>
      </c>
      <c r="X43" s="3">
        <v>31708874752</v>
      </c>
      <c r="Y43" s="3">
        <v>33166520320</v>
      </c>
      <c r="Z43" s="3">
        <v>33768660992</v>
      </c>
      <c r="AA43" s="3">
        <v>37939748864</v>
      </c>
      <c r="AB43" s="3">
        <v>46438486016</v>
      </c>
      <c r="AC43" s="3">
        <v>48244310016</v>
      </c>
      <c r="AD43" s="3">
        <v>49984561152</v>
      </c>
      <c r="AE43" s="3">
        <v>51270569984</v>
      </c>
      <c r="AF43" s="3">
        <v>53369786368</v>
      </c>
      <c r="AG43" s="3">
        <v>53991288832</v>
      </c>
      <c r="AH43" s="3">
        <v>54724079616</v>
      </c>
      <c r="AI43" s="3">
        <v>60158930944</v>
      </c>
      <c r="AJ43" s="3">
        <v>65108545536</v>
      </c>
      <c r="AK43" s="3">
        <v>69442945024</v>
      </c>
      <c r="AL43" s="3">
        <v>71819083776</v>
      </c>
      <c r="AM43" s="3">
        <v>79611887616</v>
      </c>
      <c r="AN43" s="3">
        <v>91631280128</v>
      </c>
      <c r="AO43" s="3">
        <v>102477791232</v>
      </c>
      <c r="AP43" s="3">
        <v>115279077376</v>
      </c>
      <c r="AQ43" s="3">
        <v>128637935616</v>
      </c>
      <c r="AR43" s="3">
        <v>133355749376</v>
      </c>
      <c r="AS43" s="3">
        <v>149990457344</v>
      </c>
      <c r="AT43" s="3">
        <v>172885458944</v>
      </c>
      <c r="AU43" s="3">
        <v>195078684672</v>
      </c>
      <c r="AV43" s="3">
        <v>221415161856</v>
      </c>
      <c r="AW43" s="3">
        <v>249711050752</v>
      </c>
      <c r="AX43" s="3">
        <v>274039095296</v>
      </c>
      <c r="AY43" s="3">
        <v>302571257856</v>
      </c>
      <c r="AZ43" s="3">
        <v>3370227200000</v>
      </c>
    </row>
    <row r="44" spans="1:52" x14ac:dyDescent="0.45">
      <c r="A44" s="4" t="s">
        <v>99</v>
      </c>
      <c r="B44" s="3">
        <v>53233532</v>
      </c>
      <c r="C44" s="3">
        <v>59207316</v>
      </c>
      <c r="D44" s="3">
        <v>66062500</v>
      </c>
      <c r="E44" s="3">
        <v>78343560</v>
      </c>
      <c r="F44" s="3">
        <v>103216376</v>
      </c>
      <c r="G44" s="3">
        <v>118066296</v>
      </c>
      <c r="H44" s="3">
        <v>96905832</v>
      </c>
      <c r="I44" s="3">
        <v>117650000</v>
      </c>
      <c r="J44" s="3">
        <v>136300000</v>
      </c>
      <c r="K44" s="3">
        <v>151800000</v>
      </c>
      <c r="L44" s="3">
        <v>197938224</v>
      </c>
      <c r="M44" s="3">
        <v>196089856</v>
      </c>
      <c r="N44" s="3">
        <v>182206320</v>
      </c>
      <c r="O44" s="3">
        <v>192103184</v>
      </c>
      <c r="P44" s="3">
        <v>214381952</v>
      </c>
      <c r="Q44" s="3">
        <v>212643744</v>
      </c>
      <c r="R44" s="3">
        <v>231638320</v>
      </c>
      <c r="S44" s="3">
        <v>281082560</v>
      </c>
      <c r="T44" s="3">
        <v>320093376</v>
      </c>
      <c r="U44" s="3">
        <v>369133888</v>
      </c>
      <c r="V44" s="3">
        <v>412086432</v>
      </c>
      <c r="W44" s="3">
        <v>444720736</v>
      </c>
      <c r="X44" s="3">
        <v>518239104</v>
      </c>
      <c r="Y44" s="3">
        <v>559858240</v>
      </c>
      <c r="Z44" s="3">
        <v>580863680</v>
      </c>
      <c r="AA44" s="3">
        <v>620140416</v>
      </c>
      <c r="AB44" s="3">
        <v>641383808</v>
      </c>
      <c r="AC44" s="3">
        <v>654314368</v>
      </c>
      <c r="AD44" s="3">
        <v>688992448</v>
      </c>
      <c r="AE44" s="3">
        <v>732732352</v>
      </c>
      <c r="AF44" s="3">
        <v>832049984</v>
      </c>
      <c r="AG44" s="3">
        <v>868350016</v>
      </c>
      <c r="AH44" s="3">
        <v>925049984</v>
      </c>
      <c r="AI44" s="3">
        <v>983500032</v>
      </c>
      <c r="AJ44" s="3">
        <v>1051350016</v>
      </c>
      <c r="AK44" s="3">
        <v>1102050048</v>
      </c>
      <c r="AL44" s="3">
        <v>1210150016</v>
      </c>
      <c r="AM44" s="3">
        <v>1271600000</v>
      </c>
      <c r="AN44" s="3">
        <v>1351350016</v>
      </c>
      <c r="AO44" s="3">
        <v>1317299968</v>
      </c>
      <c r="AP44" s="3">
        <v>1377200000</v>
      </c>
      <c r="AQ44" s="3">
        <v>1460800000</v>
      </c>
      <c r="AR44" s="3">
        <v>1522899968</v>
      </c>
      <c r="AS44" s="3">
        <v>1579399936</v>
      </c>
      <c r="AT44" s="3">
        <v>1662800000</v>
      </c>
      <c r="AU44" s="3">
        <v>1723800064</v>
      </c>
      <c r="AV44" s="3">
        <v>1775100032</v>
      </c>
      <c r="AW44" s="3">
        <v>1836600064</v>
      </c>
      <c r="AX44" s="3">
        <v>1871200000</v>
      </c>
      <c r="AY44" s="3">
        <v>1879613568</v>
      </c>
      <c r="AZ44" s="3">
        <v>36833592132</v>
      </c>
    </row>
    <row r="45" spans="1:52" x14ac:dyDescent="0.45">
      <c r="A45" s="4" t="s">
        <v>100</v>
      </c>
      <c r="B45" s="3">
        <v>333627744</v>
      </c>
      <c r="C45" s="3">
        <v>335072960</v>
      </c>
      <c r="D45" s="3">
        <v>410331904</v>
      </c>
      <c r="E45" s="3">
        <v>504376032</v>
      </c>
      <c r="F45" s="3">
        <v>554654784</v>
      </c>
      <c r="G45" s="3">
        <v>676870144</v>
      </c>
      <c r="H45" s="3">
        <v>698408256</v>
      </c>
      <c r="I45" s="3">
        <v>750049728</v>
      </c>
      <c r="J45" s="3">
        <v>928843328</v>
      </c>
      <c r="K45" s="3">
        <v>1186231296</v>
      </c>
      <c r="L45" s="3">
        <v>1405251584</v>
      </c>
      <c r="M45" s="3">
        <v>1291120000</v>
      </c>
      <c r="N45" s="3">
        <v>1267778432</v>
      </c>
      <c r="O45" s="3">
        <v>1095348352</v>
      </c>
      <c r="P45" s="3">
        <v>1051133952</v>
      </c>
      <c r="Q45" s="3">
        <v>1045712704</v>
      </c>
      <c r="R45" s="3">
        <v>1336102016</v>
      </c>
      <c r="S45" s="3">
        <v>1562412032</v>
      </c>
      <c r="T45" s="3">
        <v>1620246144</v>
      </c>
      <c r="U45" s="3">
        <v>1502294400</v>
      </c>
      <c r="V45" s="3">
        <v>1959965184</v>
      </c>
      <c r="W45" s="3">
        <v>1986437888</v>
      </c>
      <c r="X45" s="3">
        <v>1695315328</v>
      </c>
      <c r="Y45" s="3">
        <v>2274557952</v>
      </c>
      <c r="Z45" s="3">
        <v>1598075904</v>
      </c>
      <c r="AA45" s="3">
        <v>2169627136</v>
      </c>
      <c r="AB45" s="3">
        <v>2361116672</v>
      </c>
      <c r="AC45" s="3">
        <v>2268301568</v>
      </c>
      <c r="AD45" s="3">
        <v>2455092480</v>
      </c>
      <c r="AE45" s="3">
        <v>3676045568</v>
      </c>
      <c r="AF45" s="3">
        <v>3511248896</v>
      </c>
      <c r="AG45" s="3">
        <v>3663017728</v>
      </c>
      <c r="AH45" s="3">
        <v>4174634496</v>
      </c>
      <c r="AI45" s="3">
        <v>5337266688</v>
      </c>
      <c r="AJ45" s="3">
        <v>6179176448</v>
      </c>
      <c r="AK45" s="3">
        <v>6565043712</v>
      </c>
      <c r="AL45" s="3">
        <v>7027863040</v>
      </c>
      <c r="AM45" s="3">
        <v>8158257664</v>
      </c>
      <c r="AN45" s="3">
        <v>9748277248</v>
      </c>
      <c r="AO45" s="3">
        <v>9699587072</v>
      </c>
      <c r="AP45" s="3">
        <v>9535344640</v>
      </c>
      <c r="AQ45" s="3">
        <v>10693321728</v>
      </c>
      <c r="AR45" s="3">
        <v>11141358592</v>
      </c>
      <c r="AS45" s="3">
        <v>12517846016</v>
      </c>
      <c r="AT45" s="3">
        <v>13284529152</v>
      </c>
      <c r="AU45" s="3">
        <v>11388161024</v>
      </c>
      <c r="AV45" s="3">
        <v>11821066240</v>
      </c>
      <c r="AW45" s="3">
        <v>12701657088</v>
      </c>
      <c r="AX45" s="3">
        <v>14250985472</v>
      </c>
      <c r="AY45" s="3">
        <v>14390709248</v>
      </c>
      <c r="AZ45" s="3">
        <v>227789753664</v>
      </c>
    </row>
    <row r="46" spans="1:52" x14ac:dyDescent="0.45">
      <c r="A46" s="4" t="s">
        <v>101</v>
      </c>
      <c r="B46" s="3">
        <v>1017003392</v>
      </c>
      <c r="C46" s="3">
        <v>1095622912</v>
      </c>
      <c r="D46" s="3">
        <v>1257615616</v>
      </c>
      <c r="E46" s="3">
        <v>1262968576</v>
      </c>
      <c r="F46" s="3">
        <v>2100249856</v>
      </c>
      <c r="G46" s="3">
        <v>2404697600</v>
      </c>
      <c r="H46" s="3">
        <v>2731984128</v>
      </c>
      <c r="I46" s="3">
        <v>3227436288</v>
      </c>
      <c r="J46" s="3">
        <v>3758220800</v>
      </c>
      <c r="K46" s="3">
        <v>4421343744</v>
      </c>
      <c r="L46" s="3">
        <v>4526916608</v>
      </c>
      <c r="M46" s="3">
        <v>5872756736</v>
      </c>
      <c r="N46" s="3">
        <v>5587490304</v>
      </c>
      <c r="O46" s="3">
        <v>5422440960</v>
      </c>
      <c r="P46" s="3">
        <v>6169501184</v>
      </c>
      <c r="Q46" s="3">
        <v>5377277440</v>
      </c>
      <c r="R46" s="3">
        <v>3958338816</v>
      </c>
      <c r="S46" s="3">
        <v>4323623424</v>
      </c>
      <c r="T46" s="3">
        <v>4597615616</v>
      </c>
      <c r="U46" s="3">
        <v>4715978752</v>
      </c>
      <c r="V46" s="3">
        <v>4867582464</v>
      </c>
      <c r="W46" s="3">
        <v>5343274496</v>
      </c>
      <c r="X46" s="3">
        <v>5643893248</v>
      </c>
      <c r="Y46" s="3">
        <v>5734676480</v>
      </c>
      <c r="Z46" s="3">
        <v>5981244928</v>
      </c>
      <c r="AA46" s="3">
        <v>6715220480</v>
      </c>
      <c r="AB46" s="3">
        <v>7396966912</v>
      </c>
      <c r="AC46" s="3">
        <v>7925673472</v>
      </c>
      <c r="AD46" s="3">
        <v>8497545728</v>
      </c>
      <c r="AE46" s="3">
        <v>8285075968</v>
      </c>
      <c r="AF46" s="3">
        <v>8397912576</v>
      </c>
      <c r="AG46" s="3">
        <v>8141537792</v>
      </c>
      <c r="AH46" s="3">
        <v>7905485312</v>
      </c>
      <c r="AI46" s="3">
        <v>8082364928</v>
      </c>
      <c r="AJ46" s="3">
        <v>8773451776</v>
      </c>
      <c r="AK46" s="3">
        <v>9549077504</v>
      </c>
      <c r="AL46" s="3">
        <v>11451869184</v>
      </c>
      <c r="AM46" s="3">
        <v>13120183296</v>
      </c>
      <c r="AN46" s="3">
        <v>16674324480</v>
      </c>
      <c r="AO46" s="3">
        <v>17339992064</v>
      </c>
      <c r="AP46" s="3">
        <v>19649632256</v>
      </c>
      <c r="AQ46" s="3">
        <v>23963033600</v>
      </c>
      <c r="AR46" s="3">
        <v>27084496896</v>
      </c>
      <c r="AS46" s="3">
        <v>30659338240</v>
      </c>
      <c r="AT46" s="3">
        <v>32996188160</v>
      </c>
      <c r="AU46" s="3">
        <v>33000198144</v>
      </c>
      <c r="AV46" s="3">
        <v>33941127168</v>
      </c>
      <c r="AW46" s="3">
        <v>37508640768</v>
      </c>
      <c r="AX46" s="3">
        <v>40287649792</v>
      </c>
      <c r="AY46" s="3">
        <v>40895324160</v>
      </c>
      <c r="AZ46" s="3">
        <v>569642065024</v>
      </c>
    </row>
    <row r="47" spans="1:52" x14ac:dyDescent="0.45">
      <c r="A47" s="4" t="s">
        <v>102</v>
      </c>
      <c r="B47" s="3">
        <v>96245112</v>
      </c>
      <c r="C47" s="3">
        <v>126957496</v>
      </c>
      <c r="D47" s="3">
        <v>165258096</v>
      </c>
      <c r="E47" s="3">
        <v>244129088</v>
      </c>
      <c r="F47" s="3">
        <v>306033856</v>
      </c>
      <c r="G47" s="3">
        <v>355172416</v>
      </c>
      <c r="H47" s="3">
        <v>372010112</v>
      </c>
      <c r="I47" s="3">
        <v>451603328</v>
      </c>
      <c r="J47" s="3">
        <v>590376704</v>
      </c>
      <c r="K47" s="3">
        <v>819877312</v>
      </c>
      <c r="L47" s="3">
        <v>1060923840</v>
      </c>
      <c r="M47" s="3">
        <v>1073861632</v>
      </c>
      <c r="N47" s="3">
        <v>1014907264</v>
      </c>
      <c r="O47" s="3">
        <v>1172258176</v>
      </c>
      <c r="P47" s="3">
        <v>1240796416</v>
      </c>
      <c r="Q47" s="3">
        <v>1114764032</v>
      </c>
      <c r="R47" s="3">
        <v>1392634752</v>
      </c>
      <c r="S47" s="3">
        <v>1965274880</v>
      </c>
      <c r="T47" s="3">
        <v>2644536832</v>
      </c>
      <c r="U47" s="3">
        <v>3083800576</v>
      </c>
      <c r="V47" s="3">
        <v>3790567168</v>
      </c>
      <c r="W47" s="3">
        <v>3942792960</v>
      </c>
      <c r="X47" s="3">
        <v>4146513664</v>
      </c>
      <c r="Y47" s="3">
        <v>4160086272</v>
      </c>
      <c r="Z47" s="3">
        <v>4259331072</v>
      </c>
      <c r="AA47" s="3">
        <v>4730611200</v>
      </c>
      <c r="AB47" s="3">
        <v>4847752704</v>
      </c>
      <c r="AC47" s="3">
        <v>5020214784</v>
      </c>
      <c r="AD47" s="3">
        <v>4790458880</v>
      </c>
      <c r="AE47" s="3">
        <v>5484257280</v>
      </c>
      <c r="AF47" s="3">
        <v>5788329472</v>
      </c>
      <c r="AG47" s="3">
        <v>5489608192</v>
      </c>
      <c r="AH47" s="3">
        <v>5438857216</v>
      </c>
      <c r="AI47" s="3">
        <v>7511582208</v>
      </c>
      <c r="AJ47" s="3">
        <v>8957467648</v>
      </c>
      <c r="AK47" s="3">
        <v>9931134976</v>
      </c>
      <c r="AL47" s="3">
        <v>10126940160</v>
      </c>
      <c r="AM47" s="3">
        <v>10939053056</v>
      </c>
      <c r="AN47" s="3">
        <v>10945070080</v>
      </c>
      <c r="AO47" s="3">
        <v>10267132928</v>
      </c>
      <c r="AP47" s="3">
        <v>12786654208</v>
      </c>
      <c r="AQ47" s="3">
        <v>15351971840</v>
      </c>
      <c r="AR47" s="3">
        <v>14420393984</v>
      </c>
      <c r="AS47" s="3">
        <v>14901750784</v>
      </c>
      <c r="AT47" s="3">
        <v>16250749952</v>
      </c>
      <c r="AU47" s="3">
        <v>14420603904</v>
      </c>
      <c r="AV47" s="3">
        <v>15646316544</v>
      </c>
      <c r="AW47" s="3">
        <v>17405538304</v>
      </c>
      <c r="AX47" s="3">
        <v>18663264256</v>
      </c>
      <c r="AY47" s="3">
        <v>18340511744</v>
      </c>
      <c r="AZ47" s="3">
        <v>308046939360</v>
      </c>
    </row>
    <row r="48" spans="1:52" x14ac:dyDescent="0.45">
      <c r="A48" s="4" t="s">
        <v>103</v>
      </c>
      <c r="B48" s="3">
        <v>42327601152</v>
      </c>
      <c r="C48" s="3">
        <v>49204457472</v>
      </c>
      <c r="D48" s="3">
        <v>58539008000</v>
      </c>
      <c r="E48" s="3">
        <v>79279054848</v>
      </c>
      <c r="F48" s="3">
        <v>105136005120</v>
      </c>
      <c r="G48" s="3">
        <v>123709374464</v>
      </c>
      <c r="H48" s="3">
        <v>152678023168</v>
      </c>
      <c r="I48" s="3">
        <v>176171286528</v>
      </c>
      <c r="J48" s="3">
        <v>200800894976</v>
      </c>
      <c r="K48" s="3">
        <v>224969490432</v>
      </c>
      <c r="L48" s="3">
        <v>235024596992</v>
      </c>
      <c r="M48" s="3">
        <v>263561084928</v>
      </c>
      <c r="N48" s="3">
        <v>281682313216</v>
      </c>
      <c r="O48" s="3">
        <v>203304517632</v>
      </c>
      <c r="P48" s="3">
        <v>209023909888</v>
      </c>
      <c r="Q48" s="3">
        <v>222942789632</v>
      </c>
      <c r="R48" s="3">
        <v>268137218048</v>
      </c>
      <c r="S48" s="3">
        <v>294084116480</v>
      </c>
      <c r="T48" s="3">
        <v>330397384704</v>
      </c>
      <c r="U48" s="3">
        <v>425595305984</v>
      </c>
      <c r="V48" s="3">
        <v>461951795200</v>
      </c>
      <c r="W48" s="3">
        <v>602860027904</v>
      </c>
      <c r="X48" s="3">
        <v>400599252992</v>
      </c>
      <c r="Y48" s="3">
        <v>437798567936</v>
      </c>
      <c r="Z48" s="3">
        <v>558111981568</v>
      </c>
      <c r="AA48" s="3">
        <v>769305411584</v>
      </c>
      <c r="AB48" s="3">
        <v>850426462208</v>
      </c>
      <c r="AC48" s="3">
        <v>883199639552</v>
      </c>
      <c r="AD48" s="3">
        <v>863723388928</v>
      </c>
      <c r="AE48" s="3">
        <v>599388585984</v>
      </c>
      <c r="AF48" s="3">
        <v>655420620800</v>
      </c>
      <c r="AG48" s="3">
        <v>559372304384</v>
      </c>
      <c r="AH48" s="3">
        <v>507962490880</v>
      </c>
      <c r="AI48" s="3">
        <v>558319927296</v>
      </c>
      <c r="AJ48" s="3">
        <v>669316677632</v>
      </c>
      <c r="AK48" s="3">
        <v>891630190592</v>
      </c>
      <c r="AL48" s="3">
        <v>1107640320000</v>
      </c>
      <c r="AM48" s="3">
        <v>1397084389376</v>
      </c>
      <c r="AN48" s="3">
        <v>1695824609280</v>
      </c>
      <c r="AO48" s="3">
        <v>1667019833344</v>
      </c>
      <c r="AP48" s="3">
        <v>2208871743488</v>
      </c>
      <c r="AQ48" s="3">
        <v>2616201052160</v>
      </c>
      <c r="AR48" s="3">
        <v>2465188544512</v>
      </c>
      <c r="AS48" s="3">
        <v>2472806973440</v>
      </c>
      <c r="AT48" s="3">
        <v>2455993581568</v>
      </c>
      <c r="AU48" s="3">
        <v>1802214309888</v>
      </c>
      <c r="AV48" s="3">
        <v>1795700162560</v>
      </c>
      <c r="AW48" s="3">
        <v>2062831058944</v>
      </c>
      <c r="AX48" s="3">
        <v>1885482516480</v>
      </c>
      <c r="AY48" s="3">
        <v>1839758049280</v>
      </c>
      <c r="AZ48" s="3">
        <v>41688572903424</v>
      </c>
    </row>
    <row r="49" spans="1:52" x14ac:dyDescent="0.45">
      <c r="A49" s="4" t="s">
        <v>104</v>
      </c>
      <c r="B49" s="3">
        <v>458404320</v>
      </c>
      <c r="C49" s="3">
        <v>482411264</v>
      </c>
      <c r="D49" s="3">
        <v>578595584</v>
      </c>
      <c r="E49" s="3">
        <v>674773824</v>
      </c>
      <c r="F49" s="3">
        <v>751133632</v>
      </c>
      <c r="G49" s="3">
        <v>939972672</v>
      </c>
      <c r="H49" s="3">
        <v>976547584</v>
      </c>
      <c r="I49" s="3">
        <v>1131225216</v>
      </c>
      <c r="J49" s="3">
        <v>1475584000</v>
      </c>
      <c r="K49" s="3">
        <v>1748481024</v>
      </c>
      <c r="L49" s="3">
        <v>1928720384</v>
      </c>
      <c r="M49" s="3">
        <v>1775842688</v>
      </c>
      <c r="N49" s="3">
        <v>1754450432</v>
      </c>
      <c r="O49" s="3">
        <v>1600278784</v>
      </c>
      <c r="P49" s="3">
        <v>1459880320</v>
      </c>
      <c r="Q49" s="3">
        <v>1552493440</v>
      </c>
      <c r="R49" s="3">
        <v>2036303360</v>
      </c>
      <c r="S49" s="3">
        <v>2369835520</v>
      </c>
      <c r="T49" s="3">
        <v>2616040704</v>
      </c>
      <c r="U49" s="3">
        <v>2615588608</v>
      </c>
      <c r="V49" s="3">
        <v>3101301760</v>
      </c>
      <c r="W49" s="3">
        <v>3135045632</v>
      </c>
      <c r="X49" s="3">
        <v>2240264704</v>
      </c>
      <c r="Y49" s="3">
        <v>2332017920</v>
      </c>
      <c r="Z49" s="3">
        <v>1895291008</v>
      </c>
      <c r="AA49" s="3">
        <v>2379518208</v>
      </c>
      <c r="AB49" s="3">
        <v>2586550784</v>
      </c>
      <c r="AC49" s="3">
        <v>2447669504</v>
      </c>
      <c r="AD49" s="3">
        <v>2804902656</v>
      </c>
      <c r="AE49" s="3">
        <v>3364819200</v>
      </c>
      <c r="AF49" s="3">
        <v>2956746240</v>
      </c>
      <c r="AG49" s="3">
        <v>3187582208</v>
      </c>
      <c r="AH49" s="3">
        <v>3605329664</v>
      </c>
      <c r="AI49" s="3">
        <v>4730140672</v>
      </c>
      <c r="AJ49" s="3">
        <v>5441918464</v>
      </c>
      <c r="AK49" s="3">
        <v>6143909376</v>
      </c>
      <c r="AL49" s="3">
        <v>6541603840</v>
      </c>
      <c r="AM49" s="3">
        <v>7615651328</v>
      </c>
      <c r="AN49" s="3">
        <v>9413336064</v>
      </c>
      <c r="AO49" s="3">
        <v>9412813824</v>
      </c>
      <c r="AP49" s="3">
        <v>10109619200</v>
      </c>
      <c r="AQ49" s="3">
        <v>12080296960</v>
      </c>
      <c r="AR49" s="3">
        <v>12561015808</v>
      </c>
      <c r="AS49" s="3">
        <v>13444300800</v>
      </c>
      <c r="AT49" s="3">
        <v>13943016448</v>
      </c>
      <c r="AU49" s="3">
        <v>11832159232</v>
      </c>
      <c r="AV49" s="3">
        <v>12822557696</v>
      </c>
      <c r="AW49" s="3">
        <v>14169905152</v>
      </c>
      <c r="AX49" s="3">
        <v>16199434240</v>
      </c>
      <c r="AY49" s="3">
        <v>15745810432</v>
      </c>
      <c r="AZ49" s="3">
        <v>247171092384</v>
      </c>
    </row>
    <row r="50" spans="1:52" x14ac:dyDescent="0.45">
      <c r="A50" s="4" t="s">
        <v>105</v>
      </c>
      <c r="B50" s="3">
        <v>242732576</v>
      </c>
      <c r="C50" s="3">
        <v>252842288</v>
      </c>
      <c r="D50" s="3">
        <v>246804576</v>
      </c>
      <c r="E50" s="3">
        <v>304339840</v>
      </c>
      <c r="F50" s="3">
        <v>345263488</v>
      </c>
      <c r="G50" s="3">
        <v>420986656</v>
      </c>
      <c r="H50" s="3">
        <v>448412768</v>
      </c>
      <c r="I50" s="3">
        <v>547535552</v>
      </c>
      <c r="J50" s="3">
        <v>610225536</v>
      </c>
      <c r="K50" s="3">
        <v>782496640</v>
      </c>
      <c r="L50" s="3">
        <v>919726656</v>
      </c>
      <c r="M50" s="3">
        <v>969046656</v>
      </c>
      <c r="N50" s="3">
        <v>1013222208</v>
      </c>
      <c r="O50" s="3">
        <v>1082926336</v>
      </c>
      <c r="P50" s="3">
        <v>987143936</v>
      </c>
      <c r="Q50" s="3">
        <v>1149979264</v>
      </c>
      <c r="R50" s="3">
        <v>1201725440</v>
      </c>
      <c r="S50" s="3">
        <v>1131466496</v>
      </c>
      <c r="T50" s="3">
        <v>1082403200</v>
      </c>
      <c r="U50" s="3">
        <v>1113924096</v>
      </c>
      <c r="V50" s="3">
        <v>1132101248</v>
      </c>
      <c r="W50" s="3">
        <v>1167398528</v>
      </c>
      <c r="X50" s="3">
        <v>1083037696</v>
      </c>
      <c r="Y50" s="3">
        <v>938632640</v>
      </c>
      <c r="Z50" s="3">
        <v>925030592</v>
      </c>
      <c r="AA50" s="3">
        <v>1000428416</v>
      </c>
      <c r="AB50" s="3">
        <v>869033856</v>
      </c>
      <c r="AC50" s="3">
        <v>972896256</v>
      </c>
      <c r="AD50" s="3">
        <v>893770816</v>
      </c>
      <c r="AE50" s="3">
        <v>808077248</v>
      </c>
      <c r="AF50" s="3">
        <v>870486080</v>
      </c>
      <c r="AG50" s="3">
        <v>876794752</v>
      </c>
      <c r="AH50" s="3">
        <v>825394496</v>
      </c>
      <c r="AI50" s="3">
        <v>784654400</v>
      </c>
      <c r="AJ50" s="3">
        <v>915257344</v>
      </c>
      <c r="AK50" s="3">
        <v>1117113088</v>
      </c>
      <c r="AL50" s="3">
        <v>1273374976</v>
      </c>
      <c r="AM50" s="3">
        <v>1356199424</v>
      </c>
      <c r="AN50" s="3">
        <v>1611835904</v>
      </c>
      <c r="AO50" s="3">
        <v>1781455104</v>
      </c>
      <c r="AP50" s="3">
        <v>2032135296</v>
      </c>
      <c r="AQ50" s="3">
        <v>2235820800</v>
      </c>
      <c r="AR50" s="3">
        <v>2333308160</v>
      </c>
      <c r="AS50" s="3">
        <v>2451625216</v>
      </c>
      <c r="AT50" s="3">
        <v>2705783296</v>
      </c>
      <c r="AU50" s="3">
        <v>3104394752</v>
      </c>
      <c r="AV50" s="3">
        <v>2959641088</v>
      </c>
      <c r="AW50" s="3">
        <v>3172292352</v>
      </c>
      <c r="AX50" s="3">
        <v>3036931840</v>
      </c>
      <c r="AY50" s="3">
        <v>3012334848</v>
      </c>
      <c r="AZ50" s="3">
        <v>63100444720</v>
      </c>
    </row>
    <row r="51" spans="1:52" x14ac:dyDescent="0.45">
      <c r="A51" s="4" t="s">
        <v>106</v>
      </c>
      <c r="B51" s="3">
        <v>1160002304</v>
      </c>
      <c r="C51" s="3">
        <v>1233991040</v>
      </c>
      <c r="D51" s="3">
        <v>1430951296</v>
      </c>
      <c r="E51" s="3">
        <v>1758727424</v>
      </c>
      <c r="F51" s="3">
        <v>2255496960</v>
      </c>
      <c r="G51" s="3">
        <v>2752771072</v>
      </c>
      <c r="H51" s="3">
        <v>3076592384</v>
      </c>
      <c r="I51" s="3">
        <v>3366368768</v>
      </c>
      <c r="J51" s="3">
        <v>4409920512</v>
      </c>
      <c r="K51" s="3">
        <v>5811444736</v>
      </c>
      <c r="L51" s="3">
        <v>6740756480</v>
      </c>
      <c r="M51" s="3">
        <v>7636345856</v>
      </c>
      <c r="N51" s="3">
        <v>7322914816</v>
      </c>
      <c r="O51" s="3">
        <v>7381854720</v>
      </c>
      <c r="P51" s="3">
        <v>7801859072</v>
      </c>
      <c r="Q51" s="3">
        <v>8148223488</v>
      </c>
      <c r="R51" s="3">
        <v>10621158400</v>
      </c>
      <c r="S51" s="3">
        <v>12302471168</v>
      </c>
      <c r="T51" s="3">
        <v>12493286400</v>
      </c>
      <c r="U51" s="3">
        <v>11140055040</v>
      </c>
      <c r="V51" s="3">
        <v>11151578112</v>
      </c>
      <c r="W51" s="3">
        <v>12434369536</v>
      </c>
      <c r="X51" s="3">
        <v>11396311040</v>
      </c>
      <c r="Y51" s="3">
        <v>15498179584</v>
      </c>
      <c r="Z51" s="3">
        <v>10600157184</v>
      </c>
      <c r="AA51" s="3">
        <v>9643953152</v>
      </c>
      <c r="AB51" s="3">
        <v>10513387520</v>
      </c>
      <c r="AC51" s="3">
        <v>10833497088</v>
      </c>
      <c r="AD51" s="3">
        <v>10612847616</v>
      </c>
      <c r="AE51" s="3">
        <v>11198379008</v>
      </c>
      <c r="AF51" s="3">
        <v>10083937280</v>
      </c>
      <c r="AG51" s="3">
        <v>10371328000</v>
      </c>
      <c r="AH51" s="3">
        <v>11579342848</v>
      </c>
      <c r="AI51" s="3">
        <v>14548845568</v>
      </c>
      <c r="AJ51" s="3">
        <v>17430933504</v>
      </c>
      <c r="AK51" s="3">
        <v>17944084480</v>
      </c>
      <c r="AL51" s="3">
        <v>19356045312</v>
      </c>
      <c r="AM51" s="3">
        <v>22365265920</v>
      </c>
      <c r="AN51" s="3">
        <v>26409781248</v>
      </c>
      <c r="AO51" s="3">
        <v>26017925120</v>
      </c>
      <c r="AP51" s="3">
        <v>26169323520</v>
      </c>
      <c r="AQ51" s="3">
        <v>29375449088</v>
      </c>
      <c r="AR51" s="3">
        <v>29102772224</v>
      </c>
      <c r="AS51" s="3">
        <v>32357345280</v>
      </c>
      <c r="AT51" s="3">
        <v>34989494272</v>
      </c>
      <c r="AU51" s="3">
        <v>30928654336</v>
      </c>
      <c r="AV51" s="3">
        <v>32643696640</v>
      </c>
      <c r="AW51" s="3">
        <v>35009261568</v>
      </c>
      <c r="AX51" s="3">
        <v>38694096896</v>
      </c>
      <c r="AY51" s="3">
        <v>38760468480</v>
      </c>
      <c r="AZ51" s="3">
        <v>736865903360</v>
      </c>
    </row>
    <row r="52" spans="1:52" x14ac:dyDescent="0.45">
      <c r="A52" s="4" t="s">
        <v>107</v>
      </c>
      <c r="B52" s="3">
        <v>189106560</v>
      </c>
      <c r="C52" s="3">
        <v>201450768</v>
      </c>
      <c r="D52" s="3">
        <v>230317904</v>
      </c>
      <c r="E52" s="3">
        <v>271183072</v>
      </c>
      <c r="F52" s="3">
        <v>281398656</v>
      </c>
      <c r="G52" s="3">
        <v>378660032</v>
      </c>
      <c r="H52" s="3">
        <v>451152448</v>
      </c>
      <c r="I52" s="3">
        <v>507298112</v>
      </c>
      <c r="J52" s="3">
        <v>610578496</v>
      </c>
      <c r="K52" s="3">
        <v>700764864</v>
      </c>
      <c r="L52" s="3">
        <v>797048000</v>
      </c>
      <c r="M52" s="3">
        <v>694803520</v>
      </c>
      <c r="N52" s="3">
        <v>748312256</v>
      </c>
      <c r="O52" s="3">
        <v>658679424</v>
      </c>
      <c r="P52" s="3">
        <v>637820608</v>
      </c>
      <c r="Q52" s="3">
        <v>864849792</v>
      </c>
      <c r="R52" s="3">
        <v>1122265088</v>
      </c>
      <c r="S52" s="3">
        <v>1200991872</v>
      </c>
      <c r="T52" s="3">
        <v>1264899328</v>
      </c>
      <c r="U52" s="3">
        <v>1233930240</v>
      </c>
      <c r="V52" s="3">
        <v>1440711424</v>
      </c>
      <c r="W52" s="3">
        <v>1377374976</v>
      </c>
      <c r="X52" s="3">
        <v>1411917568</v>
      </c>
      <c r="Y52" s="3">
        <v>1278781184</v>
      </c>
      <c r="Z52" s="3">
        <v>851174336</v>
      </c>
      <c r="AA52" s="3">
        <v>1115389696</v>
      </c>
      <c r="AB52" s="3">
        <v>1007791168</v>
      </c>
      <c r="AC52" s="3">
        <v>937741440</v>
      </c>
      <c r="AD52" s="3">
        <v>967338368</v>
      </c>
      <c r="AE52" s="3">
        <v>999477504</v>
      </c>
      <c r="AF52" s="3">
        <v>914500288</v>
      </c>
      <c r="AG52" s="3">
        <v>931833280</v>
      </c>
      <c r="AH52" s="3">
        <v>991387840</v>
      </c>
      <c r="AI52" s="3">
        <v>1139754752</v>
      </c>
      <c r="AJ52" s="3">
        <v>1270080256</v>
      </c>
      <c r="AK52" s="3">
        <v>1337362432</v>
      </c>
      <c r="AL52" s="3">
        <v>1460561152</v>
      </c>
      <c r="AM52" s="3">
        <v>1697565952</v>
      </c>
      <c r="AN52" s="3">
        <v>1985240960</v>
      </c>
      <c r="AO52" s="3">
        <v>2059094016</v>
      </c>
      <c r="AP52" s="3">
        <v>2142591360</v>
      </c>
      <c r="AQ52" s="3">
        <v>2437982720</v>
      </c>
      <c r="AR52" s="3">
        <v>2510126592</v>
      </c>
      <c r="AS52" s="3">
        <v>1691544192</v>
      </c>
      <c r="AT52" s="3">
        <v>1894813568</v>
      </c>
      <c r="AU52" s="3">
        <v>1695825664</v>
      </c>
      <c r="AV52" s="3">
        <v>1825018240</v>
      </c>
      <c r="AW52" s="3">
        <v>2072350208</v>
      </c>
      <c r="AX52" s="3">
        <v>2220978944</v>
      </c>
      <c r="AY52" s="3">
        <v>2220307456</v>
      </c>
      <c r="AZ52" s="3">
        <v>58932128576</v>
      </c>
    </row>
    <row r="53" spans="1:52" x14ac:dyDescent="0.45">
      <c r="A53" s="4" t="s">
        <v>108</v>
      </c>
      <c r="B53" s="3">
        <v>469266752</v>
      </c>
      <c r="C53" s="3">
        <v>501866720</v>
      </c>
      <c r="D53" s="3">
        <v>585427520</v>
      </c>
      <c r="E53" s="3">
        <v>647199488</v>
      </c>
      <c r="F53" s="3">
        <v>652532800</v>
      </c>
      <c r="G53" s="3">
        <v>864602112</v>
      </c>
      <c r="H53" s="3">
        <v>866044992</v>
      </c>
      <c r="I53" s="3">
        <v>935360448</v>
      </c>
      <c r="J53" s="3">
        <v>1113920128</v>
      </c>
      <c r="K53" s="3">
        <v>1004316480</v>
      </c>
      <c r="L53" s="3">
        <v>1033002432</v>
      </c>
      <c r="M53" s="3">
        <v>876937536</v>
      </c>
      <c r="N53" s="3">
        <v>834369856</v>
      </c>
      <c r="O53" s="3">
        <v>832415808</v>
      </c>
      <c r="P53" s="3">
        <v>919103744</v>
      </c>
      <c r="Q53" s="3">
        <v>1033069696</v>
      </c>
      <c r="R53" s="3">
        <v>1067828224</v>
      </c>
      <c r="S53" s="3">
        <v>1163426816</v>
      </c>
      <c r="T53" s="3">
        <v>1482597248</v>
      </c>
      <c r="U53" s="3">
        <v>1433686272</v>
      </c>
      <c r="V53" s="3">
        <v>1738605568</v>
      </c>
      <c r="W53" s="3">
        <v>1877138048</v>
      </c>
      <c r="X53" s="3">
        <v>1881847680</v>
      </c>
      <c r="Y53" s="3">
        <v>1463251072</v>
      </c>
      <c r="Z53" s="3">
        <v>1179837952</v>
      </c>
      <c r="AA53" s="3">
        <v>1445920000</v>
      </c>
      <c r="AB53" s="3">
        <v>1607345408</v>
      </c>
      <c r="AC53" s="3">
        <v>1544689536</v>
      </c>
      <c r="AD53" s="3">
        <v>1744794496</v>
      </c>
      <c r="AE53" s="3">
        <v>1534673536</v>
      </c>
      <c r="AF53" s="3">
        <v>1385058176</v>
      </c>
      <c r="AG53" s="3">
        <v>1709347840</v>
      </c>
      <c r="AH53" s="3">
        <v>1987622272</v>
      </c>
      <c r="AI53" s="3">
        <v>2736666624</v>
      </c>
      <c r="AJ53" s="3">
        <v>4414929408</v>
      </c>
      <c r="AK53" s="3">
        <v>6646663680</v>
      </c>
      <c r="AL53" s="3">
        <v>7422102528</v>
      </c>
      <c r="AM53" s="3">
        <v>8638711808</v>
      </c>
      <c r="AN53" s="3">
        <v>10351932416</v>
      </c>
      <c r="AO53" s="3">
        <v>9253484544</v>
      </c>
      <c r="AP53" s="3">
        <v>10668102656</v>
      </c>
      <c r="AQ53" s="3">
        <v>12172309504</v>
      </c>
      <c r="AR53" s="3">
        <v>12367364096</v>
      </c>
      <c r="AS53" s="3">
        <v>12953535488</v>
      </c>
      <c r="AT53" s="3">
        <v>13940767744</v>
      </c>
      <c r="AU53" s="3">
        <v>10950391808</v>
      </c>
      <c r="AV53" s="3">
        <v>10097778688</v>
      </c>
      <c r="AW53" s="3">
        <v>10000395264</v>
      </c>
      <c r="AX53" s="3">
        <v>11239166976</v>
      </c>
      <c r="AY53" s="3">
        <v>11314951168</v>
      </c>
      <c r="AZ53" s="3">
        <v>204586361056</v>
      </c>
    </row>
    <row r="54" spans="1:52" x14ac:dyDescent="0.45">
      <c r="A54" s="4" t="s">
        <v>109</v>
      </c>
      <c r="B54" s="3">
        <v>9126309888</v>
      </c>
      <c r="C54" s="3">
        <v>10884114432</v>
      </c>
      <c r="D54" s="3">
        <v>11853816832</v>
      </c>
      <c r="E54" s="3">
        <v>16836260864</v>
      </c>
      <c r="F54" s="3">
        <v>16210404352</v>
      </c>
      <c r="G54" s="3">
        <v>7622217216</v>
      </c>
      <c r="H54" s="3">
        <v>10341924864</v>
      </c>
      <c r="I54" s="3">
        <v>13962893312</v>
      </c>
      <c r="J54" s="3">
        <v>15989934080</v>
      </c>
      <c r="K54" s="3">
        <v>21803696128</v>
      </c>
      <c r="L54" s="3">
        <v>29036709888</v>
      </c>
      <c r="M54" s="3">
        <v>34509877248</v>
      </c>
      <c r="N54" s="3">
        <v>25325893632</v>
      </c>
      <c r="O54" s="3">
        <v>20355958784</v>
      </c>
      <c r="P54" s="3">
        <v>19622526976</v>
      </c>
      <c r="Q54" s="3">
        <v>17702885376</v>
      </c>
      <c r="R54" s="3">
        <v>18891048960</v>
      </c>
      <c r="S54" s="3">
        <v>22255407104</v>
      </c>
      <c r="T54" s="3">
        <v>26040229888</v>
      </c>
      <c r="U54" s="3">
        <v>29885685760</v>
      </c>
      <c r="V54" s="3">
        <v>33113888768</v>
      </c>
      <c r="W54" s="3">
        <v>37834792960</v>
      </c>
      <c r="X54" s="3">
        <v>45964328960</v>
      </c>
      <c r="Y54" s="3">
        <v>49297772544</v>
      </c>
      <c r="Z54" s="3">
        <v>57008427008</v>
      </c>
      <c r="AA54" s="3">
        <v>73447063552</v>
      </c>
      <c r="AB54" s="3">
        <v>78039572480</v>
      </c>
      <c r="AC54" s="3">
        <v>84952358912</v>
      </c>
      <c r="AD54" s="3">
        <v>81577426944</v>
      </c>
      <c r="AE54" s="3">
        <v>75173797888</v>
      </c>
      <c r="AF54" s="3">
        <v>77860929536</v>
      </c>
      <c r="AG54" s="3">
        <v>70979919872</v>
      </c>
      <c r="AH54" s="3">
        <v>69736808448</v>
      </c>
      <c r="AI54" s="3">
        <v>75643461632</v>
      </c>
      <c r="AJ54" s="3">
        <v>99210395648</v>
      </c>
      <c r="AK54" s="3">
        <v>122964811776</v>
      </c>
      <c r="AL54" s="3">
        <v>154788020224</v>
      </c>
      <c r="AM54" s="3">
        <v>173605961728</v>
      </c>
      <c r="AN54" s="3">
        <v>179638501376</v>
      </c>
      <c r="AO54" s="3">
        <v>172389498880</v>
      </c>
      <c r="AP54" s="3">
        <v>218537558016</v>
      </c>
      <c r="AQ54" s="3">
        <v>252251996160</v>
      </c>
      <c r="AR54" s="3">
        <v>267122327552</v>
      </c>
      <c r="AS54" s="3">
        <v>278384345088</v>
      </c>
      <c r="AT54" s="3">
        <v>260541628416</v>
      </c>
      <c r="AU54" s="3">
        <v>243919077376</v>
      </c>
      <c r="AV54" s="3">
        <v>250440138752</v>
      </c>
      <c r="AW54" s="3">
        <v>277044953088</v>
      </c>
      <c r="AX54" s="3">
        <v>298258006016</v>
      </c>
      <c r="AY54" s="3">
        <v>282318143488</v>
      </c>
      <c r="AZ54" s="3">
        <v>4820303708672</v>
      </c>
    </row>
    <row r="55" spans="1:52" x14ac:dyDescent="0.45">
      <c r="A55" s="4" t="s">
        <v>110</v>
      </c>
      <c r="B55" s="3">
        <v>7198360576</v>
      </c>
      <c r="C55" s="3">
        <v>7820381184</v>
      </c>
      <c r="D55" s="3">
        <v>8671358976</v>
      </c>
      <c r="E55" s="3">
        <v>10315759616</v>
      </c>
      <c r="F55" s="3">
        <v>12370029568</v>
      </c>
      <c r="G55" s="3">
        <v>13098634240</v>
      </c>
      <c r="H55" s="3">
        <v>15341404160</v>
      </c>
      <c r="I55" s="3">
        <v>19470960640</v>
      </c>
      <c r="J55" s="3">
        <v>23263512576</v>
      </c>
      <c r="K55" s="3">
        <v>27940411392</v>
      </c>
      <c r="L55" s="3">
        <v>33400735744</v>
      </c>
      <c r="M55" s="3">
        <v>36388368384</v>
      </c>
      <c r="N55" s="3">
        <v>38968041472</v>
      </c>
      <c r="O55" s="3">
        <v>38729822208</v>
      </c>
      <c r="P55" s="3">
        <v>38253121536</v>
      </c>
      <c r="Q55" s="3">
        <v>34894409728</v>
      </c>
      <c r="R55" s="3">
        <v>34942488576</v>
      </c>
      <c r="S55" s="3">
        <v>36373307392</v>
      </c>
      <c r="T55" s="3">
        <v>39212548096</v>
      </c>
      <c r="U55" s="3">
        <v>39540080640</v>
      </c>
      <c r="V55" s="3">
        <v>47844089856</v>
      </c>
      <c r="W55" s="3">
        <v>49175564288</v>
      </c>
      <c r="X55" s="3">
        <v>58418987008</v>
      </c>
      <c r="Y55" s="3">
        <v>66446802944</v>
      </c>
      <c r="Z55" s="3">
        <v>81703501824</v>
      </c>
      <c r="AA55" s="3">
        <v>92507283456</v>
      </c>
      <c r="AB55" s="3">
        <v>97160110080</v>
      </c>
      <c r="AC55" s="3">
        <v>106659512320</v>
      </c>
      <c r="AD55" s="3">
        <v>98443739136</v>
      </c>
      <c r="AE55" s="3">
        <v>86186156032</v>
      </c>
      <c r="AF55" s="3">
        <v>99886579712</v>
      </c>
      <c r="AG55" s="3">
        <v>98211749888</v>
      </c>
      <c r="AH55" s="3">
        <v>97962999808</v>
      </c>
      <c r="AI55" s="3">
        <v>94641381376</v>
      </c>
      <c r="AJ55" s="3">
        <v>117081522176</v>
      </c>
      <c r="AK55" s="3">
        <v>145619189760</v>
      </c>
      <c r="AL55" s="3">
        <v>161618575360</v>
      </c>
      <c r="AM55" s="3">
        <v>206181826560</v>
      </c>
      <c r="AN55" s="3">
        <v>242186944512</v>
      </c>
      <c r="AO55" s="3">
        <v>232397832192</v>
      </c>
      <c r="AP55" s="3">
        <v>286563106816</v>
      </c>
      <c r="AQ55" s="3">
        <v>334943879168</v>
      </c>
      <c r="AR55" s="3">
        <v>370921308160</v>
      </c>
      <c r="AS55" s="3">
        <v>382116134912</v>
      </c>
      <c r="AT55" s="3">
        <v>381112123392</v>
      </c>
      <c r="AU55" s="3">
        <v>293481742336</v>
      </c>
      <c r="AV55" s="3">
        <v>282824998912</v>
      </c>
      <c r="AW55" s="3">
        <v>311883726848</v>
      </c>
      <c r="AX55" s="3">
        <v>333568933888</v>
      </c>
      <c r="AY55" s="3">
        <v>323802791936</v>
      </c>
      <c r="AZ55" s="3">
        <v>6097746831360</v>
      </c>
    </row>
    <row r="56" spans="1:52" x14ac:dyDescent="0.45">
      <c r="A56" s="4" t="s">
        <v>111</v>
      </c>
      <c r="B56" s="3">
        <v>4877684736</v>
      </c>
      <c r="C56" s="3">
        <v>5594770432</v>
      </c>
      <c r="D56" s="3">
        <v>6173712896</v>
      </c>
      <c r="E56" s="3">
        <v>7870239232</v>
      </c>
      <c r="F56" s="3">
        <v>9596959744</v>
      </c>
      <c r="G56" s="3">
        <v>10237342720</v>
      </c>
      <c r="H56" s="3">
        <v>9648583680</v>
      </c>
      <c r="I56" s="3">
        <v>12344424448</v>
      </c>
      <c r="J56" s="3">
        <v>15372608512</v>
      </c>
      <c r="K56" s="3">
        <v>15068422144</v>
      </c>
      <c r="L56" s="3">
        <v>14394927104</v>
      </c>
      <c r="M56" s="3">
        <v>12537821184</v>
      </c>
      <c r="N56" s="3">
        <v>13651666944</v>
      </c>
      <c r="O56" s="3">
        <v>11006712832</v>
      </c>
      <c r="P56" s="3">
        <v>7857729024</v>
      </c>
      <c r="Q56" s="3">
        <v>7195042816</v>
      </c>
      <c r="R56" s="3">
        <v>8095367168</v>
      </c>
      <c r="S56" s="3">
        <v>7661625344</v>
      </c>
      <c r="T56" s="3">
        <v>8861299712</v>
      </c>
      <c r="U56" s="3">
        <v>9021862912</v>
      </c>
      <c r="V56" s="3">
        <v>9349764096</v>
      </c>
      <c r="W56" s="3">
        <v>9625437184</v>
      </c>
      <c r="X56" s="3">
        <v>8227343872</v>
      </c>
      <c r="Y56" s="3">
        <v>10706259968</v>
      </c>
      <c r="Z56" s="3">
        <v>5820382208</v>
      </c>
      <c r="AA56" s="3">
        <v>5643439616</v>
      </c>
      <c r="AB56" s="3">
        <v>5771454976</v>
      </c>
      <c r="AC56" s="3">
        <v>6090840576</v>
      </c>
      <c r="AD56" s="3">
        <v>6215591424</v>
      </c>
      <c r="AE56" s="3">
        <v>4711259648</v>
      </c>
      <c r="AF56" s="3">
        <v>19088046080</v>
      </c>
      <c r="AG56" s="3">
        <v>7438189056</v>
      </c>
      <c r="AH56" s="3">
        <v>8728038400</v>
      </c>
      <c r="AI56" s="3">
        <v>8937567232</v>
      </c>
      <c r="AJ56" s="3">
        <v>10297483264</v>
      </c>
      <c r="AK56" s="3">
        <v>11964484608</v>
      </c>
      <c r="AL56" s="3">
        <v>14451902464</v>
      </c>
      <c r="AM56" s="3">
        <v>16737072128</v>
      </c>
      <c r="AN56" s="3">
        <v>19788515328</v>
      </c>
      <c r="AO56" s="3">
        <v>18648373248</v>
      </c>
      <c r="AP56" s="3">
        <v>21565720576</v>
      </c>
      <c r="AQ56" s="3">
        <v>25839749120</v>
      </c>
      <c r="AR56" s="3">
        <v>29306234880</v>
      </c>
      <c r="AS56" s="3">
        <v>32679745536</v>
      </c>
      <c r="AT56" s="3">
        <v>35909042176</v>
      </c>
      <c r="AU56" s="3">
        <v>37917704192</v>
      </c>
      <c r="AV56" s="3">
        <v>37134798848</v>
      </c>
      <c r="AW56" s="3">
        <v>38019264512</v>
      </c>
      <c r="AX56" s="3">
        <v>46831341568</v>
      </c>
      <c r="AY56" s="3">
        <v>47319625728</v>
      </c>
      <c r="AZ56" s="3">
        <v>757833476096</v>
      </c>
    </row>
    <row r="57" spans="1:52" x14ac:dyDescent="0.45">
      <c r="A57" s="4" t="s">
        <v>112</v>
      </c>
      <c r="B57" s="3">
        <v>274960704</v>
      </c>
      <c r="C57" s="3">
        <v>322128032</v>
      </c>
      <c r="D57" s="3">
        <v>410669248</v>
      </c>
      <c r="E57" s="3">
        <v>541973376</v>
      </c>
      <c r="F57" s="3">
        <v>585364608</v>
      </c>
      <c r="G57" s="3">
        <v>767102656</v>
      </c>
      <c r="H57" s="3">
        <v>754549632</v>
      </c>
      <c r="I57" s="3">
        <v>765224000</v>
      </c>
      <c r="J57" s="3">
        <v>878771776</v>
      </c>
      <c r="K57" s="3">
        <v>1198749696</v>
      </c>
      <c r="L57" s="3">
        <v>1705796864</v>
      </c>
      <c r="M57" s="3">
        <v>1993512320</v>
      </c>
      <c r="N57" s="3">
        <v>2160640512</v>
      </c>
      <c r="O57" s="3">
        <v>2097274240</v>
      </c>
      <c r="P57" s="3">
        <v>2193581312</v>
      </c>
      <c r="Q57" s="3">
        <v>2160872448</v>
      </c>
      <c r="R57" s="3">
        <v>1849268224</v>
      </c>
      <c r="S57" s="3">
        <v>2297753600</v>
      </c>
      <c r="T57" s="3">
        <v>2212536320</v>
      </c>
      <c r="U57" s="3">
        <v>2389593088</v>
      </c>
      <c r="V57" s="3">
        <v>2798746112</v>
      </c>
      <c r="W57" s="3">
        <v>2724853504</v>
      </c>
      <c r="X57" s="3">
        <v>2933222656</v>
      </c>
      <c r="Y57" s="3">
        <v>1918969984</v>
      </c>
      <c r="Z57" s="3">
        <v>1769365376</v>
      </c>
      <c r="AA57" s="3">
        <v>2116003968</v>
      </c>
      <c r="AB57" s="3">
        <v>2540697600</v>
      </c>
      <c r="AC57" s="3">
        <v>2322718976</v>
      </c>
      <c r="AD57" s="3">
        <v>1949481344</v>
      </c>
      <c r="AE57" s="3">
        <v>2353909504</v>
      </c>
      <c r="AF57" s="3">
        <v>3219910656</v>
      </c>
      <c r="AG57" s="3">
        <v>2794259712</v>
      </c>
      <c r="AH57" s="3">
        <v>3019993856</v>
      </c>
      <c r="AI57" s="3">
        <v>3495868928</v>
      </c>
      <c r="AJ57" s="3">
        <v>4648628736</v>
      </c>
      <c r="AK57" s="3">
        <v>6087003136</v>
      </c>
      <c r="AL57" s="3">
        <v>7731261440</v>
      </c>
      <c r="AM57" s="3">
        <v>8394688512</v>
      </c>
      <c r="AN57" s="3">
        <v>11859013632</v>
      </c>
      <c r="AO57" s="3">
        <v>9593537536</v>
      </c>
      <c r="AP57" s="3">
        <v>12019595264</v>
      </c>
      <c r="AQ57" s="3">
        <v>14444510208</v>
      </c>
      <c r="AR57" s="3">
        <v>13677148160</v>
      </c>
      <c r="AS57" s="3">
        <v>14089856000</v>
      </c>
      <c r="AT57" s="3">
        <v>14196322304</v>
      </c>
      <c r="AU57" s="3">
        <v>8556594688</v>
      </c>
      <c r="AV57" s="3">
        <v>9041986560</v>
      </c>
      <c r="AW57" s="3">
        <v>9035182080</v>
      </c>
      <c r="AX57" s="3">
        <v>11662700544</v>
      </c>
      <c r="AY57" s="3">
        <v>10820591616</v>
      </c>
      <c r="AZ57" s="3">
        <v>229376945248</v>
      </c>
    </row>
    <row r="58" spans="1:52" x14ac:dyDescent="0.45">
      <c r="A58" s="4" t="s">
        <v>113</v>
      </c>
      <c r="B58" s="3">
        <v>984830144</v>
      </c>
      <c r="C58" s="3">
        <v>1077152896</v>
      </c>
      <c r="D58" s="3">
        <v>1238251648</v>
      </c>
      <c r="E58" s="3">
        <v>1528916224</v>
      </c>
      <c r="F58" s="3">
        <v>1666544768</v>
      </c>
      <c r="G58" s="3">
        <v>1960863488</v>
      </c>
      <c r="H58" s="3">
        <v>2412555520</v>
      </c>
      <c r="I58" s="3">
        <v>3072427008</v>
      </c>
      <c r="J58" s="3">
        <v>3523208704</v>
      </c>
      <c r="K58" s="3">
        <v>4035519232</v>
      </c>
      <c r="L58" s="3">
        <v>4831447040</v>
      </c>
      <c r="M58" s="3">
        <v>2623806976</v>
      </c>
      <c r="N58" s="3">
        <v>2606621184</v>
      </c>
      <c r="O58" s="3">
        <v>3146770176</v>
      </c>
      <c r="P58" s="3">
        <v>3660476416</v>
      </c>
      <c r="Q58" s="3">
        <v>3919203840</v>
      </c>
      <c r="R58" s="3">
        <v>4418983936</v>
      </c>
      <c r="S58" s="3">
        <v>4532952064</v>
      </c>
      <c r="T58" s="3">
        <v>4614629888</v>
      </c>
      <c r="U58" s="3">
        <v>5251025920</v>
      </c>
      <c r="V58" s="3">
        <v>5711687680</v>
      </c>
      <c r="W58" s="3">
        <v>7168999424</v>
      </c>
      <c r="X58" s="3">
        <v>8528593408</v>
      </c>
      <c r="Y58" s="3">
        <v>9537297408</v>
      </c>
      <c r="Z58" s="3">
        <v>10432619520</v>
      </c>
      <c r="AA58" s="3">
        <v>11513473024</v>
      </c>
      <c r="AB58" s="3">
        <v>11618286592</v>
      </c>
      <c r="AC58" s="3">
        <v>12552071168</v>
      </c>
      <c r="AD58" s="3">
        <v>13617404928</v>
      </c>
      <c r="AE58" s="3">
        <v>14195622912</v>
      </c>
      <c r="AF58" s="3">
        <v>14949514240</v>
      </c>
      <c r="AG58" s="3">
        <v>15913363456</v>
      </c>
      <c r="AH58" s="3">
        <v>16504795136</v>
      </c>
      <c r="AI58" s="3">
        <v>17196009472</v>
      </c>
      <c r="AJ58" s="3">
        <v>18528956416</v>
      </c>
      <c r="AK58" s="3">
        <v>19948261376</v>
      </c>
      <c r="AL58" s="3">
        <v>22602721280</v>
      </c>
      <c r="AM58" s="3">
        <v>26743971840</v>
      </c>
      <c r="AN58" s="3">
        <v>30612926464</v>
      </c>
      <c r="AO58" s="3">
        <v>30562361344</v>
      </c>
      <c r="AP58" s="3">
        <v>37268615168</v>
      </c>
      <c r="AQ58" s="3">
        <v>42262695936</v>
      </c>
      <c r="AR58" s="3">
        <v>46473129984</v>
      </c>
      <c r="AS58" s="3">
        <v>49745088512</v>
      </c>
      <c r="AT58" s="3">
        <v>50577768448</v>
      </c>
      <c r="AU58" s="3">
        <v>54775996416</v>
      </c>
      <c r="AV58" s="3">
        <v>57157992448</v>
      </c>
      <c r="AW58" s="3">
        <v>58481856512</v>
      </c>
      <c r="AX58" s="3">
        <v>60553900032</v>
      </c>
      <c r="AY58" s="3">
        <v>61773942784</v>
      </c>
      <c r="AZ58" s="3">
        <v>898616110400</v>
      </c>
    </row>
    <row r="59" spans="1:52" x14ac:dyDescent="0.45">
      <c r="A59" s="4" t="s">
        <v>114</v>
      </c>
      <c r="B59" s="3">
        <v>1455483008</v>
      </c>
      <c r="C59" s="3">
        <v>1584128256</v>
      </c>
      <c r="D59" s="3">
        <v>1849400576</v>
      </c>
      <c r="E59" s="3">
        <v>2508421120</v>
      </c>
      <c r="F59" s="3">
        <v>3070151936</v>
      </c>
      <c r="G59" s="3">
        <v>3893839104</v>
      </c>
      <c r="H59" s="3">
        <v>4662053888</v>
      </c>
      <c r="I59" s="3">
        <v>6265068032</v>
      </c>
      <c r="J59" s="3">
        <v>7900525056</v>
      </c>
      <c r="K59" s="3">
        <v>9142935552</v>
      </c>
      <c r="L59" s="3">
        <v>10175614976</v>
      </c>
      <c r="M59" s="3">
        <v>8432588288</v>
      </c>
      <c r="N59" s="3">
        <v>7567109632</v>
      </c>
      <c r="O59" s="3">
        <v>6838185472</v>
      </c>
      <c r="P59" s="3">
        <v>6841638912</v>
      </c>
      <c r="Q59" s="3">
        <v>6977650176</v>
      </c>
      <c r="R59" s="3">
        <v>9158301696</v>
      </c>
      <c r="S59" s="3">
        <v>10087653376</v>
      </c>
      <c r="T59" s="3">
        <v>10255170560</v>
      </c>
      <c r="U59" s="3">
        <v>9757410304</v>
      </c>
      <c r="V59" s="3">
        <v>10795849728</v>
      </c>
      <c r="W59" s="3">
        <v>10492628992</v>
      </c>
      <c r="X59" s="3">
        <v>11152971776</v>
      </c>
      <c r="Y59" s="3">
        <v>11045758976</v>
      </c>
      <c r="Z59" s="3">
        <v>8313557504</v>
      </c>
      <c r="AA59" s="3">
        <v>11000146944</v>
      </c>
      <c r="AB59" s="3">
        <v>12139235328</v>
      </c>
      <c r="AC59" s="3">
        <v>11722142720</v>
      </c>
      <c r="AD59" s="3">
        <v>12612033536</v>
      </c>
      <c r="AE59" s="3">
        <v>12376639488</v>
      </c>
      <c r="AF59" s="3">
        <v>10717022208</v>
      </c>
      <c r="AG59" s="3">
        <v>11192560640</v>
      </c>
      <c r="AH59" s="3">
        <v>12346918912</v>
      </c>
      <c r="AI59" s="3">
        <v>15306602496</v>
      </c>
      <c r="AJ59" s="3">
        <v>16554441728</v>
      </c>
      <c r="AK59" s="3">
        <v>17084929024</v>
      </c>
      <c r="AL59" s="3">
        <v>17800888320</v>
      </c>
      <c r="AM59" s="3">
        <v>20343635968</v>
      </c>
      <c r="AN59" s="3">
        <v>24224903168</v>
      </c>
      <c r="AO59" s="3">
        <v>24277493760</v>
      </c>
      <c r="AP59" s="3">
        <v>24908781568</v>
      </c>
      <c r="AQ59" s="3">
        <v>25414875136</v>
      </c>
      <c r="AR59" s="3">
        <v>26789048320</v>
      </c>
      <c r="AS59" s="3">
        <v>31273074688</v>
      </c>
      <c r="AT59" s="3">
        <v>35363532800</v>
      </c>
      <c r="AU59" s="3">
        <v>45814636544</v>
      </c>
      <c r="AV59" s="3">
        <v>47964233728</v>
      </c>
      <c r="AW59" s="3">
        <v>51588157440</v>
      </c>
      <c r="AX59" s="3">
        <v>57724731392</v>
      </c>
      <c r="AY59" s="3">
        <v>58792206336</v>
      </c>
      <c r="AZ59" s="3">
        <v>815556969088</v>
      </c>
    </row>
    <row r="60" spans="1:52" x14ac:dyDescent="0.45">
      <c r="A60" s="4" t="s">
        <v>115</v>
      </c>
      <c r="B60" s="3">
        <v>1485500032</v>
      </c>
      <c r="C60" s="3">
        <v>1666499968</v>
      </c>
      <c r="D60" s="3">
        <v>1987399936</v>
      </c>
      <c r="E60" s="3">
        <v>2344800000</v>
      </c>
      <c r="F60" s="3">
        <v>2925700096</v>
      </c>
      <c r="G60" s="3">
        <v>3599200000</v>
      </c>
      <c r="H60" s="3">
        <v>3951500032</v>
      </c>
      <c r="I60" s="3">
        <v>4587100160</v>
      </c>
      <c r="J60" s="3">
        <v>4734400000</v>
      </c>
      <c r="K60" s="3">
        <v>5498800128</v>
      </c>
      <c r="L60" s="3">
        <v>6761299968</v>
      </c>
      <c r="M60" s="3">
        <v>7561299968</v>
      </c>
      <c r="N60" s="3">
        <v>8267400192</v>
      </c>
      <c r="O60" s="3">
        <v>9220599808</v>
      </c>
      <c r="P60" s="3">
        <v>11594000384</v>
      </c>
      <c r="Q60" s="3">
        <v>5044593152</v>
      </c>
      <c r="R60" s="3">
        <v>6122198016</v>
      </c>
      <c r="S60" s="3">
        <v>5826987008</v>
      </c>
      <c r="T60" s="3">
        <v>5374315008</v>
      </c>
      <c r="U60" s="3">
        <v>6686593024</v>
      </c>
      <c r="V60" s="3">
        <v>7073675776</v>
      </c>
      <c r="W60" s="3">
        <v>9734322176</v>
      </c>
      <c r="X60" s="3">
        <v>11356271616</v>
      </c>
      <c r="Y60" s="3">
        <v>13081041920</v>
      </c>
      <c r="Z60" s="3">
        <v>14664238080</v>
      </c>
      <c r="AA60" s="3">
        <v>16598679552</v>
      </c>
      <c r="AB60" s="3">
        <v>18241691648</v>
      </c>
      <c r="AC60" s="3">
        <v>20017909760</v>
      </c>
      <c r="AD60" s="3">
        <v>21672525824</v>
      </c>
      <c r="AE60" s="3">
        <v>22137600000</v>
      </c>
      <c r="AF60" s="3">
        <v>24305117184</v>
      </c>
      <c r="AG60" s="3">
        <v>25599311872</v>
      </c>
      <c r="AH60" s="3">
        <v>27362875392</v>
      </c>
      <c r="AI60" s="3">
        <v>21642883072</v>
      </c>
      <c r="AJ60" s="3">
        <v>22692575232</v>
      </c>
      <c r="AK60" s="3">
        <v>36119048192</v>
      </c>
      <c r="AL60" s="3">
        <v>38116352000</v>
      </c>
      <c r="AM60" s="3">
        <v>43965419520</v>
      </c>
      <c r="AN60" s="3">
        <v>48122548224</v>
      </c>
      <c r="AO60" s="3">
        <v>48261033984</v>
      </c>
      <c r="AP60" s="3">
        <v>53860175872</v>
      </c>
      <c r="AQ60" s="3">
        <v>58029752320</v>
      </c>
      <c r="AR60" s="3">
        <v>60681535488</v>
      </c>
      <c r="AS60" s="3">
        <v>62682165248</v>
      </c>
      <c r="AT60" s="3">
        <v>67179913216</v>
      </c>
      <c r="AU60" s="3">
        <v>71164821504</v>
      </c>
      <c r="AV60" s="3">
        <v>75704721408</v>
      </c>
      <c r="AW60" s="3">
        <v>79997976576</v>
      </c>
      <c r="AX60" s="3">
        <v>85555380224</v>
      </c>
      <c r="AY60" s="3">
        <v>88941297664</v>
      </c>
      <c r="AZ60" s="3">
        <v>1299803047424</v>
      </c>
    </row>
    <row r="61" spans="1:52" x14ac:dyDescent="0.45">
      <c r="A61" s="4" t="s">
        <v>116</v>
      </c>
      <c r="B61" s="3">
        <v>2862504192</v>
      </c>
      <c r="C61" s="3">
        <v>2754220288</v>
      </c>
      <c r="D61" s="3">
        <v>3185987328</v>
      </c>
      <c r="E61" s="3">
        <v>3891755520</v>
      </c>
      <c r="F61" s="3">
        <v>6599259648</v>
      </c>
      <c r="G61" s="3">
        <v>7731677184</v>
      </c>
      <c r="H61" s="3">
        <v>9091923968</v>
      </c>
      <c r="I61" s="3">
        <v>11026347008</v>
      </c>
      <c r="J61" s="3">
        <v>11922502656</v>
      </c>
      <c r="K61" s="3">
        <v>14175166464</v>
      </c>
      <c r="L61" s="3">
        <v>17881513984</v>
      </c>
      <c r="M61" s="3">
        <v>21810767872</v>
      </c>
      <c r="N61" s="3">
        <v>19929853952</v>
      </c>
      <c r="O61" s="3">
        <v>17152483328</v>
      </c>
      <c r="P61" s="3">
        <v>16912515072</v>
      </c>
      <c r="Q61" s="3">
        <v>17149094912</v>
      </c>
      <c r="R61" s="3">
        <v>15314144256</v>
      </c>
      <c r="S61" s="3">
        <v>13945432064</v>
      </c>
      <c r="T61" s="3">
        <v>13051886592</v>
      </c>
      <c r="U61" s="3">
        <v>13890828288</v>
      </c>
      <c r="V61" s="3">
        <v>15239278592</v>
      </c>
      <c r="W61" s="3">
        <v>16988534784</v>
      </c>
      <c r="X61" s="3">
        <v>18094237696</v>
      </c>
      <c r="Y61" s="3">
        <v>18938718208</v>
      </c>
      <c r="Z61" s="3">
        <v>22708672512</v>
      </c>
      <c r="AA61" s="3">
        <v>24432883712</v>
      </c>
      <c r="AB61" s="3">
        <v>25226393600</v>
      </c>
      <c r="AC61" s="3">
        <v>28162052096</v>
      </c>
      <c r="AD61" s="3">
        <v>27981897728</v>
      </c>
      <c r="AE61" s="3">
        <v>19645272064</v>
      </c>
      <c r="AF61" s="3">
        <v>18327764992</v>
      </c>
      <c r="AG61" s="3">
        <v>24468324352</v>
      </c>
      <c r="AH61" s="3">
        <v>28548945920</v>
      </c>
      <c r="AI61" s="3">
        <v>32432857088</v>
      </c>
      <c r="AJ61" s="3">
        <v>36591661056</v>
      </c>
      <c r="AK61" s="3">
        <v>41507086336</v>
      </c>
      <c r="AL61" s="3">
        <v>46802042880</v>
      </c>
      <c r="AM61" s="3">
        <v>51007778816</v>
      </c>
      <c r="AN61" s="3">
        <v>61762633728</v>
      </c>
      <c r="AO61" s="3">
        <v>62519685120</v>
      </c>
      <c r="AP61" s="3">
        <v>69555363840</v>
      </c>
      <c r="AQ61" s="3">
        <v>79276662784</v>
      </c>
      <c r="AR61" s="3">
        <v>87924547584</v>
      </c>
      <c r="AS61" s="3">
        <v>95129657344</v>
      </c>
      <c r="AT61" s="3">
        <v>101726330880</v>
      </c>
      <c r="AU61" s="3">
        <v>99290382336</v>
      </c>
      <c r="AV61" s="3">
        <v>99937697792</v>
      </c>
      <c r="AW61" s="3">
        <v>104295858176</v>
      </c>
      <c r="AX61" s="3">
        <v>107562008576</v>
      </c>
      <c r="AY61" s="3">
        <v>107435663360</v>
      </c>
      <c r="AZ61" s="3">
        <v>1813800758528</v>
      </c>
    </row>
    <row r="62" spans="1:52" x14ac:dyDescent="0.45">
      <c r="A62" s="4" t="s">
        <v>117</v>
      </c>
      <c r="B62" s="3">
        <v>1132920064</v>
      </c>
      <c r="C62" s="3">
        <v>1186119936</v>
      </c>
      <c r="D62" s="3">
        <v>1263719936</v>
      </c>
      <c r="E62" s="3">
        <v>1442320000</v>
      </c>
      <c r="F62" s="3">
        <v>1665880064</v>
      </c>
      <c r="G62" s="3">
        <v>1884120064</v>
      </c>
      <c r="H62" s="3">
        <v>2328280064</v>
      </c>
      <c r="I62" s="3">
        <v>2941640192</v>
      </c>
      <c r="J62" s="3">
        <v>3127960064</v>
      </c>
      <c r="K62" s="3">
        <v>3463639808</v>
      </c>
      <c r="L62" s="3">
        <v>3573959936</v>
      </c>
      <c r="M62" s="3">
        <v>3437200128</v>
      </c>
      <c r="N62" s="3">
        <v>3399188992</v>
      </c>
      <c r="O62" s="3">
        <v>3506347776</v>
      </c>
      <c r="P62" s="3">
        <v>3661683456</v>
      </c>
      <c r="Q62" s="3">
        <v>3800368640</v>
      </c>
      <c r="R62" s="3">
        <v>3771663104</v>
      </c>
      <c r="S62" s="3">
        <v>3958045696</v>
      </c>
      <c r="T62" s="3">
        <v>4189880064</v>
      </c>
      <c r="U62" s="3">
        <v>4372215296</v>
      </c>
      <c r="V62" s="3">
        <v>4817542144</v>
      </c>
      <c r="W62" s="3">
        <v>5252342272</v>
      </c>
      <c r="X62" s="3">
        <v>5813399552</v>
      </c>
      <c r="Y62" s="3">
        <v>6680269312</v>
      </c>
      <c r="Z62" s="3">
        <v>7679384064</v>
      </c>
      <c r="AA62" s="3">
        <v>8921947136</v>
      </c>
      <c r="AB62" s="3">
        <v>9586327552</v>
      </c>
      <c r="AC62" s="3">
        <v>10221706240</v>
      </c>
      <c r="AD62" s="3">
        <v>10936670208</v>
      </c>
      <c r="AE62" s="3">
        <v>11284197376</v>
      </c>
      <c r="AF62" s="3">
        <v>11784927232</v>
      </c>
      <c r="AG62" s="3">
        <v>12282533888</v>
      </c>
      <c r="AH62" s="3">
        <v>12664189952</v>
      </c>
      <c r="AI62" s="3">
        <v>13243891712</v>
      </c>
      <c r="AJ62" s="3">
        <v>13724811264</v>
      </c>
      <c r="AK62" s="3">
        <v>14698001408</v>
      </c>
      <c r="AL62" s="3">
        <v>15999886336</v>
      </c>
      <c r="AM62" s="3">
        <v>17011750912</v>
      </c>
      <c r="AN62" s="3">
        <v>17986889728</v>
      </c>
      <c r="AO62" s="3">
        <v>17601619968</v>
      </c>
      <c r="AP62" s="3">
        <v>18447998976</v>
      </c>
      <c r="AQ62" s="3">
        <v>20284000256</v>
      </c>
      <c r="AR62" s="3">
        <v>21386000384</v>
      </c>
      <c r="AS62" s="3">
        <v>21990969344</v>
      </c>
      <c r="AT62" s="3">
        <v>22593480704</v>
      </c>
      <c r="AU62" s="3">
        <v>23438239744</v>
      </c>
      <c r="AV62" s="3">
        <v>24191440896</v>
      </c>
      <c r="AW62" s="3">
        <v>24979200000</v>
      </c>
      <c r="AX62" s="3">
        <v>26117400576</v>
      </c>
      <c r="AY62" s="3">
        <v>27022639104</v>
      </c>
      <c r="AZ62" s="3">
        <v>516750811520</v>
      </c>
    </row>
    <row r="63" spans="1:52" x14ac:dyDescent="0.45">
      <c r="A63" s="4" t="s">
        <v>118</v>
      </c>
      <c r="B63" s="3">
        <v>219878480</v>
      </c>
      <c r="C63" s="3">
        <v>247749328</v>
      </c>
      <c r="D63" s="3">
        <v>316650496</v>
      </c>
      <c r="E63" s="3">
        <v>425963360</v>
      </c>
      <c r="F63" s="3">
        <v>558589888</v>
      </c>
      <c r="G63" s="3">
        <v>684268288</v>
      </c>
      <c r="H63" s="3">
        <v>694552384</v>
      </c>
      <c r="I63" s="3">
        <v>719533120</v>
      </c>
      <c r="J63" s="3">
        <v>829239488</v>
      </c>
      <c r="K63" s="3">
        <v>1019743936</v>
      </c>
      <c r="L63" s="3">
        <v>1202567296</v>
      </c>
      <c r="M63" s="3">
        <v>1235899776</v>
      </c>
      <c r="N63" s="3">
        <v>1194015488</v>
      </c>
      <c r="O63" s="3">
        <v>1123107328</v>
      </c>
      <c r="P63" s="3">
        <v>1177997440</v>
      </c>
      <c r="Q63" s="3">
        <v>1141210112</v>
      </c>
      <c r="R63" s="3">
        <v>1290228608</v>
      </c>
      <c r="S63" s="3">
        <v>1177908224</v>
      </c>
      <c r="T63" s="3">
        <v>1109976960</v>
      </c>
      <c r="U63" s="3">
        <v>1182686592</v>
      </c>
      <c r="V63" s="3">
        <v>1337024768</v>
      </c>
      <c r="W63" s="3">
        <v>1383843840</v>
      </c>
      <c r="X63" s="3">
        <v>1531803008</v>
      </c>
      <c r="Y63" s="3">
        <v>1635426176</v>
      </c>
      <c r="Z63" s="3">
        <v>1825285120</v>
      </c>
      <c r="AA63" s="3">
        <v>1970347776</v>
      </c>
      <c r="AB63" s="3">
        <v>2129266688</v>
      </c>
      <c r="AC63" s="3">
        <v>2093994624</v>
      </c>
      <c r="AD63" s="3">
        <v>1656784768</v>
      </c>
      <c r="AE63" s="3">
        <v>1942171008</v>
      </c>
      <c r="AF63" s="3">
        <v>1684109696</v>
      </c>
      <c r="AG63" s="3">
        <v>1660102400</v>
      </c>
      <c r="AH63" s="3">
        <v>1842691456</v>
      </c>
      <c r="AI63" s="3">
        <v>2315935744</v>
      </c>
      <c r="AJ63" s="3">
        <v>2727507200</v>
      </c>
      <c r="AK63" s="3">
        <v>3006725120</v>
      </c>
      <c r="AL63" s="3">
        <v>3102741504</v>
      </c>
      <c r="AM63" s="3">
        <v>3405050624</v>
      </c>
      <c r="AN63" s="3">
        <v>3523185920</v>
      </c>
      <c r="AO63" s="3">
        <v>2870624512</v>
      </c>
      <c r="AP63" s="3">
        <v>3140508928</v>
      </c>
      <c r="AQ63" s="3">
        <v>3774530560</v>
      </c>
      <c r="AR63" s="3">
        <v>3972012544</v>
      </c>
      <c r="AS63" s="3">
        <v>4190143232</v>
      </c>
      <c r="AT63" s="3">
        <v>4856963072</v>
      </c>
      <c r="AU63" s="3">
        <v>4682546688</v>
      </c>
      <c r="AV63" s="3">
        <v>4930204160</v>
      </c>
      <c r="AW63" s="3">
        <v>5353404416</v>
      </c>
      <c r="AX63" s="3">
        <v>5536759808</v>
      </c>
      <c r="AY63" s="3">
        <v>5535548928</v>
      </c>
      <c r="AZ63" s="3">
        <v>107169010880</v>
      </c>
    </row>
    <row r="64" spans="1:52" x14ac:dyDescent="0.45">
      <c r="A64" s="4" t="s">
        <v>119</v>
      </c>
      <c r="B64" s="3">
        <v>323802464</v>
      </c>
      <c r="C64" s="3">
        <v>381687072</v>
      </c>
      <c r="D64" s="3">
        <v>430508352</v>
      </c>
      <c r="E64" s="3">
        <v>722780672</v>
      </c>
      <c r="F64" s="3">
        <v>1544216064</v>
      </c>
      <c r="G64" s="3">
        <v>2157592832</v>
      </c>
      <c r="H64" s="3">
        <v>3009410048</v>
      </c>
      <c r="I64" s="3">
        <v>2809349120</v>
      </c>
      <c r="J64" s="3">
        <v>2389479168</v>
      </c>
      <c r="K64" s="3">
        <v>3030251008</v>
      </c>
      <c r="L64" s="3">
        <v>4279638016</v>
      </c>
      <c r="M64" s="3">
        <v>3862269184</v>
      </c>
      <c r="N64" s="3">
        <v>3618007808</v>
      </c>
      <c r="O64" s="3">
        <v>3391275776</v>
      </c>
      <c r="P64" s="3">
        <v>3561451520</v>
      </c>
      <c r="Q64" s="3">
        <v>3339914752</v>
      </c>
      <c r="R64" s="3">
        <v>3403638272</v>
      </c>
      <c r="S64" s="3">
        <v>3281797120</v>
      </c>
      <c r="T64" s="3">
        <v>3834503424</v>
      </c>
      <c r="U64" s="3">
        <v>4186411520</v>
      </c>
      <c r="V64" s="3">
        <v>5952293888</v>
      </c>
      <c r="W64" s="3">
        <v>5402919936</v>
      </c>
      <c r="X64" s="3">
        <v>5592390656</v>
      </c>
      <c r="Y64" s="3">
        <v>4378644992</v>
      </c>
      <c r="Z64" s="3">
        <v>4190819328</v>
      </c>
      <c r="AA64" s="3">
        <v>4958845952</v>
      </c>
      <c r="AB64" s="3">
        <v>5694040576</v>
      </c>
      <c r="AC64" s="3">
        <v>5326816768</v>
      </c>
      <c r="AD64" s="3">
        <v>4483417088</v>
      </c>
      <c r="AE64" s="3">
        <v>4662991872</v>
      </c>
      <c r="AF64" s="3">
        <v>5067865088</v>
      </c>
      <c r="AG64" s="3">
        <v>5018874368</v>
      </c>
      <c r="AH64" s="3">
        <v>5310381056</v>
      </c>
      <c r="AI64" s="3">
        <v>6497305600</v>
      </c>
      <c r="AJ64" s="3">
        <v>7756293632</v>
      </c>
      <c r="AK64" s="3">
        <v>9578973184</v>
      </c>
      <c r="AL64" s="3">
        <v>10318424064</v>
      </c>
      <c r="AM64" s="3">
        <v>12438957056</v>
      </c>
      <c r="AN64" s="3">
        <v>15508575232</v>
      </c>
      <c r="AO64" s="3">
        <v>12065138688</v>
      </c>
      <c r="AP64" s="3">
        <v>14372591616</v>
      </c>
      <c r="AQ64" s="3">
        <v>18210308096</v>
      </c>
      <c r="AR64" s="3">
        <v>17170465792</v>
      </c>
      <c r="AS64" s="3">
        <v>17595746304</v>
      </c>
      <c r="AT64" s="3">
        <v>18203967488</v>
      </c>
      <c r="AU64" s="3">
        <v>14383108096</v>
      </c>
      <c r="AV64" s="3">
        <v>14023890944</v>
      </c>
      <c r="AW64" s="3">
        <v>14929488896</v>
      </c>
      <c r="AX64" s="3">
        <v>16862282752</v>
      </c>
      <c r="AY64" s="3">
        <v>16657959936</v>
      </c>
      <c r="AZ64" s="3">
        <v>356171763136</v>
      </c>
    </row>
    <row r="65" spans="1:52" x14ac:dyDescent="0.45">
      <c r="A65" s="4" t="s">
        <v>120</v>
      </c>
      <c r="B65" s="3">
        <v>52296836</v>
      </c>
      <c r="C65" s="3">
        <v>55728608</v>
      </c>
      <c r="D65" s="3">
        <v>59161544</v>
      </c>
      <c r="E65" s="3">
        <v>75187968</v>
      </c>
      <c r="F65" s="3">
        <v>95797536</v>
      </c>
      <c r="G65" s="3">
        <v>115182520</v>
      </c>
      <c r="H65" s="3">
        <v>112189472</v>
      </c>
      <c r="I65" s="3">
        <v>138094240</v>
      </c>
      <c r="J65" s="3">
        <v>171836800</v>
      </c>
      <c r="K65" s="3">
        <v>207114384</v>
      </c>
      <c r="L65" s="3">
        <v>241080704</v>
      </c>
      <c r="M65" s="3">
        <v>218764448</v>
      </c>
      <c r="N65" s="3">
        <v>216051488</v>
      </c>
      <c r="O65" s="3">
        <v>213446560</v>
      </c>
      <c r="P65" s="3">
        <v>177338800</v>
      </c>
      <c r="Q65" s="3">
        <v>225724848</v>
      </c>
      <c r="R65" s="3">
        <v>185646208</v>
      </c>
      <c r="S65" s="3">
        <v>220626480</v>
      </c>
      <c r="T65" s="3">
        <v>266673120</v>
      </c>
      <c r="U65" s="3">
        <v>284119680</v>
      </c>
      <c r="V65" s="3">
        <v>317083360</v>
      </c>
      <c r="W65" s="3">
        <v>690314304</v>
      </c>
      <c r="X65" s="3">
        <v>714255488</v>
      </c>
      <c r="Y65" s="3">
        <v>755042560</v>
      </c>
      <c r="Z65" s="3">
        <v>746491712</v>
      </c>
      <c r="AA65" s="3">
        <v>785996992</v>
      </c>
      <c r="AB65" s="3">
        <v>848237120</v>
      </c>
      <c r="AC65" s="3">
        <v>803630720</v>
      </c>
      <c r="AD65" s="3">
        <v>840285248</v>
      </c>
      <c r="AE65" s="3">
        <v>814723456</v>
      </c>
      <c r="AF65" s="3">
        <v>782915392</v>
      </c>
      <c r="AG65" s="3">
        <v>687408832</v>
      </c>
      <c r="AH65" s="3">
        <v>578236032</v>
      </c>
      <c r="AI65" s="3">
        <v>487038816</v>
      </c>
      <c r="AJ65" s="3">
        <v>961900096</v>
      </c>
      <c r="AK65" s="3">
        <v>1027702272</v>
      </c>
      <c r="AL65" s="3">
        <v>1054113408</v>
      </c>
      <c r="AM65" s="3">
        <v>1279704704</v>
      </c>
      <c r="AN65" s="3">
        <v>1561763456</v>
      </c>
      <c r="AO65" s="3">
        <v>1450140416</v>
      </c>
      <c r="AP65" s="3">
        <v>1543292416</v>
      </c>
      <c r="AQ65" s="3">
        <v>1409694592</v>
      </c>
      <c r="AR65" s="3">
        <v>1415006208</v>
      </c>
      <c r="AS65" s="3">
        <v>1375608960</v>
      </c>
      <c r="AT65" s="3">
        <v>1229460608</v>
      </c>
      <c r="AU65" s="3">
        <v>1354788608</v>
      </c>
      <c r="AV65" s="3">
        <v>1470006016</v>
      </c>
      <c r="AW65" s="3">
        <v>1498044544</v>
      </c>
      <c r="AX65" s="3">
        <v>1624600832</v>
      </c>
      <c r="AY65" s="3">
        <v>1763819008</v>
      </c>
      <c r="AZ65" s="3">
        <v>35203368420</v>
      </c>
    </row>
    <row r="66" spans="1:52" x14ac:dyDescent="0.45">
      <c r="A66" s="4" t="s">
        <v>121</v>
      </c>
      <c r="B66" s="3">
        <v>2215029504</v>
      </c>
      <c r="C66" s="3">
        <v>2417107712</v>
      </c>
      <c r="D66" s="3">
        <v>2112292992</v>
      </c>
      <c r="E66" s="3">
        <v>2465492992</v>
      </c>
      <c r="F66" s="3">
        <v>2894409984</v>
      </c>
      <c r="G66" s="3">
        <v>2810106368</v>
      </c>
      <c r="H66" s="3">
        <v>2765254144</v>
      </c>
      <c r="I66" s="3">
        <v>3189428480</v>
      </c>
      <c r="J66" s="3">
        <v>3662478080</v>
      </c>
      <c r="K66" s="3">
        <v>4020227840</v>
      </c>
      <c r="L66" s="3">
        <v>4445228032</v>
      </c>
      <c r="M66" s="3">
        <v>4222441728</v>
      </c>
      <c r="N66" s="3">
        <v>4035994368</v>
      </c>
      <c r="O66" s="3">
        <v>4057275136</v>
      </c>
      <c r="P66" s="3">
        <v>4412279808</v>
      </c>
      <c r="Q66" s="3">
        <v>4504342016</v>
      </c>
      <c r="R66" s="3">
        <v>5727602688</v>
      </c>
      <c r="S66" s="3">
        <v>5074829824</v>
      </c>
      <c r="T66" s="3">
        <v>5197840896</v>
      </c>
      <c r="U66" s="3">
        <v>5251764224</v>
      </c>
      <c r="V66" s="3">
        <v>5889175040</v>
      </c>
      <c r="W66" s="3">
        <v>6596546048</v>
      </c>
      <c r="X66" s="3">
        <v>6413901824</v>
      </c>
      <c r="Y66" s="3">
        <v>5966255616</v>
      </c>
      <c r="Z66" s="3">
        <v>5444560896</v>
      </c>
      <c r="AA66" s="3">
        <v>6465137664</v>
      </c>
      <c r="AB66" s="3">
        <v>6934984704</v>
      </c>
      <c r="AC66" s="3">
        <v>6891308544</v>
      </c>
      <c r="AD66" s="3">
        <v>7480968704</v>
      </c>
      <c r="AE66" s="3">
        <v>7719354880</v>
      </c>
      <c r="AF66" s="3">
        <v>4983024640</v>
      </c>
      <c r="AG66" s="3">
        <v>5314910208</v>
      </c>
      <c r="AH66" s="3">
        <v>6166330368</v>
      </c>
      <c r="AI66" s="3">
        <v>7632406528</v>
      </c>
      <c r="AJ66" s="3">
        <v>8881368064</v>
      </c>
      <c r="AK66" s="3">
        <v>10731633664</v>
      </c>
      <c r="AL66" s="3">
        <v>20409667584</v>
      </c>
      <c r="AM66" s="3">
        <v>24758818816</v>
      </c>
      <c r="AN66" s="3">
        <v>28526891008</v>
      </c>
      <c r="AO66" s="3">
        <v>25977847808</v>
      </c>
      <c r="AP66" s="3">
        <v>32197273600</v>
      </c>
      <c r="AQ66" s="3">
        <v>39337316352</v>
      </c>
      <c r="AR66" s="3">
        <v>41270956032</v>
      </c>
      <c r="AS66" s="3">
        <v>62405373952</v>
      </c>
      <c r="AT66" s="3">
        <v>53660340224</v>
      </c>
      <c r="AU66" s="3">
        <v>48564862976</v>
      </c>
      <c r="AV66" s="3">
        <v>55009730560</v>
      </c>
      <c r="AW66" s="3">
        <v>58998132736</v>
      </c>
      <c r="AX66" s="3">
        <v>65556463616</v>
      </c>
      <c r="AY66" s="3">
        <v>66983632896</v>
      </c>
      <c r="AZ66" s="3">
        <v>808650602368</v>
      </c>
    </row>
    <row r="67" spans="1:52" x14ac:dyDescent="0.45">
      <c r="A67" s="4" t="s">
        <v>122</v>
      </c>
      <c r="B67" s="3">
        <v>1904000000</v>
      </c>
      <c r="C67" s="3">
        <v>1984800000</v>
      </c>
      <c r="D67" s="3">
        <v>2101299968</v>
      </c>
      <c r="E67" s="3">
        <v>2569200128</v>
      </c>
      <c r="F67" s="3">
        <v>3161499904</v>
      </c>
      <c r="G67" s="3">
        <v>3645900032</v>
      </c>
      <c r="H67" s="3">
        <v>4365300224</v>
      </c>
      <c r="I67" s="3">
        <v>5480500224</v>
      </c>
      <c r="J67" s="3">
        <v>6070600192</v>
      </c>
      <c r="K67" s="3">
        <v>6902600192</v>
      </c>
      <c r="L67" s="3">
        <v>7878700032</v>
      </c>
      <c r="M67" s="3">
        <v>8607500288</v>
      </c>
      <c r="N67" s="3">
        <v>8716999680</v>
      </c>
      <c r="O67" s="3">
        <v>9050000384</v>
      </c>
      <c r="P67" s="3">
        <v>9470000128</v>
      </c>
      <c r="Q67" s="3">
        <v>9721652224</v>
      </c>
      <c r="R67" s="3">
        <v>7231963648</v>
      </c>
      <c r="S67" s="3">
        <v>7084399616</v>
      </c>
      <c r="T67" s="3">
        <v>7841603072</v>
      </c>
      <c r="U67" s="3">
        <v>8410724352</v>
      </c>
      <c r="V67" s="3">
        <v>7650125312</v>
      </c>
      <c r="W67" s="3">
        <v>9406097408</v>
      </c>
      <c r="X67" s="3">
        <v>10440842240</v>
      </c>
      <c r="Y67" s="3">
        <v>11399942144</v>
      </c>
      <c r="Z67" s="3">
        <v>12983235584</v>
      </c>
      <c r="AA67" s="3">
        <v>14655404032</v>
      </c>
      <c r="AB67" s="3">
        <v>15674835968</v>
      </c>
      <c r="AC67" s="3">
        <v>17790025728</v>
      </c>
      <c r="AD67" s="3">
        <v>19395491840</v>
      </c>
      <c r="AE67" s="3">
        <v>18318411776</v>
      </c>
      <c r="AF67" s="3">
        <v>19288827904</v>
      </c>
      <c r="AG67" s="3">
        <v>18702802944</v>
      </c>
      <c r="AH67" s="3">
        <v>20776402944</v>
      </c>
      <c r="AI67" s="3">
        <v>21917429760</v>
      </c>
      <c r="AJ67" s="3">
        <v>23965276160</v>
      </c>
      <c r="AK67" s="3">
        <v>27211376640</v>
      </c>
      <c r="AL67" s="3">
        <v>30231248896</v>
      </c>
      <c r="AM67" s="3">
        <v>34113107968</v>
      </c>
      <c r="AN67" s="3">
        <v>39136436224</v>
      </c>
      <c r="AO67" s="3">
        <v>37733609472</v>
      </c>
      <c r="AP67" s="3">
        <v>41338007552</v>
      </c>
      <c r="AQ67" s="3">
        <v>47654785024</v>
      </c>
      <c r="AR67" s="3">
        <v>50388459520</v>
      </c>
      <c r="AS67" s="3">
        <v>52996542464</v>
      </c>
      <c r="AT67" s="3">
        <v>57852399616</v>
      </c>
      <c r="AU67" s="3">
        <v>62186184704</v>
      </c>
      <c r="AV67" s="3">
        <v>66053726208</v>
      </c>
      <c r="AW67" s="3">
        <v>71612350464</v>
      </c>
      <c r="AX67" s="3">
        <v>73118146560</v>
      </c>
      <c r="AY67" s="3">
        <v>76710387712</v>
      </c>
      <c r="AZ67" s="3">
        <v>1132901165056</v>
      </c>
    </row>
    <row r="68" spans="1:52" x14ac:dyDescent="0.45">
      <c r="A68" s="4" t="s">
        <v>123</v>
      </c>
      <c r="B68" s="3">
        <v>78733592</v>
      </c>
      <c r="C68" s="3">
        <v>78540056</v>
      </c>
      <c r="D68" s="3">
        <v>87702832</v>
      </c>
      <c r="E68" s="3">
        <v>89374240</v>
      </c>
      <c r="F68" s="3">
        <v>98775328</v>
      </c>
      <c r="G68" s="3">
        <v>108985744</v>
      </c>
      <c r="H68" s="3">
        <v>112386488</v>
      </c>
      <c r="I68" s="3">
        <v>114971208</v>
      </c>
      <c r="J68" s="3">
        <v>122666856</v>
      </c>
      <c r="K68" s="3">
        <v>118537872</v>
      </c>
      <c r="L68" s="3">
        <v>110653832</v>
      </c>
      <c r="M68" s="3">
        <v>154731968</v>
      </c>
      <c r="N68" s="3">
        <v>165523632</v>
      </c>
      <c r="O68" s="3">
        <v>163577536</v>
      </c>
      <c r="P68" s="3">
        <v>138478896</v>
      </c>
      <c r="Q68" s="3">
        <v>143856256</v>
      </c>
      <c r="R68" s="3">
        <v>130225016</v>
      </c>
      <c r="S68" s="3">
        <v>173836368</v>
      </c>
      <c r="T68" s="3">
        <v>164458128</v>
      </c>
      <c r="U68" s="3">
        <v>213143024</v>
      </c>
      <c r="V68" s="3">
        <v>243962000</v>
      </c>
      <c r="W68" s="3">
        <v>257150368</v>
      </c>
      <c r="X68" s="3">
        <v>226313440</v>
      </c>
      <c r="Y68" s="3">
        <v>236880816</v>
      </c>
      <c r="Z68" s="3">
        <v>235620048</v>
      </c>
      <c r="AA68" s="3">
        <v>253966928</v>
      </c>
      <c r="AB68" s="3">
        <v>270419776</v>
      </c>
      <c r="AC68" s="3">
        <v>268551008</v>
      </c>
      <c r="AD68" s="3">
        <v>206457552</v>
      </c>
      <c r="AE68" s="3">
        <v>224446656</v>
      </c>
      <c r="AF68" s="3">
        <v>370173824</v>
      </c>
      <c r="AG68" s="3">
        <v>392278176</v>
      </c>
      <c r="AH68" s="3">
        <v>415843488</v>
      </c>
      <c r="AI68" s="3">
        <v>476388256</v>
      </c>
      <c r="AJ68" s="3">
        <v>531109344</v>
      </c>
      <c r="AK68" s="3">
        <v>586795648</v>
      </c>
      <c r="AL68" s="3">
        <v>591839488</v>
      </c>
      <c r="AM68" s="3">
        <v>695990208</v>
      </c>
      <c r="AN68" s="3">
        <v>864654784</v>
      </c>
      <c r="AO68" s="3">
        <v>826798656</v>
      </c>
      <c r="AP68" s="3">
        <v>849050112</v>
      </c>
      <c r="AQ68" s="3">
        <v>1098379392</v>
      </c>
      <c r="AR68" s="3">
        <v>989327808</v>
      </c>
      <c r="AS68" s="3">
        <v>1045790144</v>
      </c>
      <c r="AT68" s="3">
        <v>1053512320</v>
      </c>
      <c r="AU68" s="3">
        <v>1047808192</v>
      </c>
      <c r="AV68" s="3">
        <v>1178204544</v>
      </c>
      <c r="AW68" s="3">
        <v>1346841856</v>
      </c>
      <c r="AX68" s="3">
        <v>1458156032</v>
      </c>
      <c r="AY68" s="3">
        <v>1340389376</v>
      </c>
      <c r="AZ68" s="3">
        <v>22152259112</v>
      </c>
    </row>
    <row r="69" spans="1:52" x14ac:dyDescent="0.45">
      <c r="A69" s="4" t="s">
        <v>124</v>
      </c>
      <c r="B69" s="3">
        <v>267800000</v>
      </c>
      <c r="C69" s="3">
        <v>282049984</v>
      </c>
      <c r="D69" s="3">
        <v>285380960</v>
      </c>
      <c r="E69" s="3">
        <v>307047616</v>
      </c>
      <c r="F69" s="3">
        <v>433954560</v>
      </c>
      <c r="G69" s="3">
        <v>494791680</v>
      </c>
      <c r="H69" s="3">
        <v>454440000</v>
      </c>
      <c r="I69" s="3">
        <v>449880000</v>
      </c>
      <c r="J69" s="3">
        <v>507080000</v>
      </c>
      <c r="K69" s="3">
        <v>530440000</v>
      </c>
      <c r="L69" s="3">
        <v>603200000</v>
      </c>
      <c r="M69" s="3">
        <v>570357120</v>
      </c>
      <c r="N69" s="3">
        <v>482000000</v>
      </c>
      <c r="O69" s="3">
        <v>489333344</v>
      </c>
      <c r="P69" s="3">
        <v>437631616</v>
      </c>
      <c r="Q69" s="3">
        <v>453488384</v>
      </c>
      <c r="R69" s="3">
        <v>504651136</v>
      </c>
      <c r="S69" s="3">
        <v>354591840</v>
      </c>
      <c r="T69" s="3">
        <v>413800000</v>
      </c>
      <c r="U69" s="3">
        <v>379779392</v>
      </c>
      <c r="V69" s="3">
        <v>396582272</v>
      </c>
      <c r="W69" s="3">
        <v>348533088</v>
      </c>
      <c r="X69" s="3">
        <v>373573152</v>
      </c>
      <c r="Y69" s="3">
        <v>454101376</v>
      </c>
      <c r="Z69" s="3">
        <v>540874944</v>
      </c>
      <c r="AA69" s="3">
        <v>621626816</v>
      </c>
      <c r="AB69" s="3">
        <v>705406016</v>
      </c>
      <c r="AC69" s="3">
        <v>749137984</v>
      </c>
      <c r="AD69" s="3">
        <v>717530688</v>
      </c>
      <c r="AE69" s="3">
        <v>694755008</v>
      </c>
      <c r="AF69" s="3">
        <v>712667904</v>
      </c>
      <c r="AG69" s="3">
        <v>712167552</v>
      </c>
      <c r="AH69" s="3">
        <v>726131456</v>
      </c>
      <c r="AI69" s="3">
        <v>743064064</v>
      </c>
      <c r="AJ69" s="3">
        <v>787814400</v>
      </c>
      <c r="AK69" s="3">
        <v>824880576</v>
      </c>
      <c r="AL69" s="3">
        <v>1458453760</v>
      </c>
      <c r="AM69" s="3">
        <v>1740180480</v>
      </c>
      <c r="AN69" s="3">
        <v>1916994944</v>
      </c>
      <c r="AO69" s="3">
        <v>2061323904</v>
      </c>
      <c r="AP69" s="3">
        <v>2273224960</v>
      </c>
      <c r="AQ69" s="3">
        <v>2576024064</v>
      </c>
      <c r="AR69" s="3">
        <v>2861562368</v>
      </c>
      <c r="AS69" s="3">
        <v>2987684096</v>
      </c>
      <c r="AT69" s="3">
        <v>3077643264</v>
      </c>
      <c r="AU69" s="3">
        <v>3197220352</v>
      </c>
      <c r="AV69" s="3">
        <v>3504024320</v>
      </c>
      <c r="AW69" s="3">
        <v>3555205888</v>
      </c>
      <c r="AX69" s="3">
        <v>3878662656</v>
      </c>
      <c r="AY69" s="3">
        <v>4280443648</v>
      </c>
      <c r="AZ69" s="3">
        <v>58179193632</v>
      </c>
    </row>
    <row r="70" spans="1:52" x14ac:dyDescent="0.45">
      <c r="A70" s="4" t="s">
        <v>125</v>
      </c>
      <c r="B70" s="3">
        <v>331200000</v>
      </c>
      <c r="C70" s="3">
        <v>362800000</v>
      </c>
      <c r="D70" s="3">
        <v>372000000</v>
      </c>
      <c r="E70" s="3">
        <v>466800000</v>
      </c>
      <c r="F70" s="3">
        <v>565400000</v>
      </c>
      <c r="G70" s="3">
        <v>681400000</v>
      </c>
      <c r="H70" s="3">
        <v>879000000</v>
      </c>
      <c r="I70" s="3">
        <v>947000000</v>
      </c>
      <c r="J70" s="3">
        <v>974200000</v>
      </c>
      <c r="K70" s="3">
        <v>1080600064</v>
      </c>
      <c r="L70" s="3">
        <v>1383800064</v>
      </c>
      <c r="M70" s="3">
        <v>1479399936</v>
      </c>
      <c r="N70" s="3">
        <v>1474200064</v>
      </c>
      <c r="O70" s="3">
        <v>1623600000</v>
      </c>
      <c r="P70" s="3">
        <v>1816199936</v>
      </c>
      <c r="Q70" s="3">
        <v>2009400064</v>
      </c>
      <c r="R70" s="3">
        <v>2318000128</v>
      </c>
      <c r="S70" s="3">
        <v>2047200000</v>
      </c>
      <c r="T70" s="3">
        <v>2613926912</v>
      </c>
      <c r="U70" s="3">
        <v>2736243712</v>
      </c>
      <c r="V70" s="3">
        <v>3096289792</v>
      </c>
      <c r="W70" s="3">
        <v>3473540608</v>
      </c>
      <c r="X70" s="3">
        <v>2257121792</v>
      </c>
      <c r="Y70" s="3">
        <v>1878248704</v>
      </c>
      <c r="Z70" s="3">
        <v>2167564288</v>
      </c>
      <c r="AA70" s="3">
        <v>2813313280</v>
      </c>
      <c r="AB70" s="3">
        <v>2907514624</v>
      </c>
      <c r="AC70" s="3">
        <v>3338938880</v>
      </c>
      <c r="AD70" s="3">
        <v>3723909120</v>
      </c>
      <c r="AE70" s="3">
        <v>4153736448</v>
      </c>
      <c r="AF70" s="3">
        <v>3953846272</v>
      </c>
      <c r="AG70" s="3">
        <v>3596442880</v>
      </c>
      <c r="AH70" s="3">
        <v>3472192000</v>
      </c>
      <c r="AI70" s="3">
        <v>2960306176</v>
      </c>
      <c r="AJ70" s="3">
        <v>3537720320</v>
      </c>
      <c r="AK70" s="3">
        <v>4310358016</v>
      </c>
      <c r="AL70" s="3">
        <v>4756204032</v>
      </c>
      <c r="AM70" s="3">
        <v>5885325824</v>
      </c>
      <c r="AN70" s="3">
        <v>6548530688</v>
      </c>
      <c r="AO70" s="3">
        <v>6584649216</v>
      </c>
      <c r="AP70" s="3">
        <v>6622541312</v>
      </c>
      <c r="AQ70" s="3">
        <v>7516834304</v>
      </c>
      <c r="AR70" s="3">
        <v>7890647040</v>
      </c>
      <c r="AS70" s="3">
        <v>8485076992</v>
      </c>
      <c r="AT70" s="3">
        <v>8775444480</v>
      </c>
      <c r="AU70" s="3">
        <v>8724656128</v>
      </c>
      <c r="AV70" s="3">
        <v>7970649088</v>
      </c>
      <c r="AW70" s="3">
        <v>8409497600</v>
      </c>
      <c r="AX70" s="3">
        <v>9658721280</v>
      </c>
      <c r="AY70" s="3">
        <v>8498981888</v>
      </c>
      <c r="AZ70" s="3">
        <v>184131173952</v>
      </c>
    </row>
    <row r="71" spans="1:52" x14ac:dyDescent="0.45">
      <c r="A71" s="4" t="s">
        <v>126</v>
      </c>
      <c r="B71" s="3">
        <v>723000000</v>
      </c>
      <c r="C71" s="3">
        <v>731000000</v>
      </c>
      <c r="D71" s="3">
        <v>802999936</v>
      </c>
      <c r="E71" s="3">
        <v>912499968</v>
      </c>
      <c r="F71" s="3">
        <v>1034499968</v>
      </c>
      <c r="G71" s="3">
        <v>1124000000</v>
      </c>
      <c r="H71" s="3">
        <v>1348000000</v>
      </c>
      <c r="I71" s="3">
        <v>1669499904</v>
      </c>
      <c r="J71" s="3">
        <v>3097242112</v>
      </c>
      <c r="K71" s="3">
        <v>3544281856</v>
      </c>
      <c r="L71" s="3">
        <v>3968160000</v>
      </c>
      <c r="M71" s="3">
        <v>4043894784</v>
      </c>
      <c r="N71" s="3">
        <v>4266503424</v>
      </c>
      <c r="O71" s="3">
        <v>4476697088</v>
      </c>
      <c r="P71" s="3">
        <v>4915311616</v>
      </c>
      <c r="Q71" s="3">
        <v>5278120960</v>
      </c>
      <c r="R71" s="3">
        <v>5677829120</v>
      </c>
      <c r="S71" s="3">
        <v>6190521344</v>
      </c>
      <c r="T71" s="3">
        <v>5902716928</v>
      </c>
      <c r="U71" s="3">
        <v>5432345088</v>
      </c>
      <c r="V71" s="3">
        <v>4923009536</v>
      </c>
      <c r="W71" s="3">
        <v>4648668672</v>
      </c>
      <c r="X71" s="3">
        <v>4943700480</v>
      </c>
      <c r="Y71" s="3">
        <v>4926728704</v>
      </c>
      <c r="Z71" s="3">
        <v>4642280448</v>
      </c>
      <c r="AA71" s="3">
        <v>5347445248</v>
      </c>
      <c r="AB71" s="3">
        <v>5215028736</v>
      </c>
      <c r="AC71" s="3">
        <v>5737099776</v>
      </c>
      <c r="AD71" s="3">
        <v>6366340096</v>
      </c>
      <c r="AE71" s="3">
        <v>6414520320</v>
      </c>
      <c r="AF71" s="3">
        <v>7103507968</v>
      </c>
      <c r="AG71" s="3">
        <v>7565870080</v>
      </c>
      <c r="AH71" s="3">
        <v>7775078400</v>
      </c>
      <c r="AI71" s="3">
        <v>8140271104</v>
      </c>
      <c r="AJ71" s="3">
        <v>8772146176</v>
      </c>
      <c r="AK71" s="3">
        <v>9672035328</v>
      </c>
      <c r="AL71" s="3">
        <v>10841742336</v>
      </c>
      <c r="AM71" s="3">
        <v>12275502080</v>
      </c>
      <c r="AN71" s="3">
        <v>13789715456</v>
      </c>
      <c r="AO71" s="3">
        <v>14587496448</v>
      </c>
      <c r="AP71" s="3">
        <v>15839344640</v>
      </c>
      <c r="AQ71" s="3">
        <v>17710315520</v>
      </c>
      <c r="AR71" s="3">
        <v>18528602112</v>
      </c>
      <c r="AS71" s="3">
        <v>18499710976</v>
      </c>
      <c r="AT71" s="3">
        <v>19756494848</v>
      </c>
      <c r="AU71" s="3">
        <v>20979767296</v>
      </c>
      <c r="AV71" s="3">
        <v>21717622784</v>
      </c>
      <c r="AW71" s="3">
        <v>23136231424</v>
      </c>
      <c r="AX71" s="3">
        <v>24024188928</v>
      </c>
      <c r="AY71" s="3">
        <v>25095395328</v>
      </c>
      <c r="AZ71" s="3">
        <v>424114985344</v>
      </c>
    </row>
    <row r="72" spans="1:52" x14ac:dyDescent="0.45">
      <c r="A72" s="4" t="s">
        <v>127</v>
      </c>
      <c r="B72" s="3">
        <v>62422482944</v>
      </c>
      <c r="C72" s="3">
        <v>67350986752</v>
      </c>
      <c r="D72" s="3">
        <v>71463190528</v>
      </c>
      <c r="E72" s="3">
        <v>85515272192</v>
      </c>
      <c r="F72" s="3">
        <v>99525902336</v>
      </c>
      <c r="G72" s="3">
        <v>98472796160</v>
      </c>
      <c r="H72" s="3">
        <v>102717161472</v>
      </c>
      <c r="I72" s="3">
        <v>121487319040</v>
      </c>
      <c r="J72" s="3">
        <v>137300295680</v>
      </c>
      <c r="K72" s="3">
        <v>152991645696</v>
      </c>
      <c r="L72" s="3">
        <v>186325352448</v>
      </c>
      <c r="M72" s="3">
        <v>193490616320</v>
      </c>
      <c r="N72" s="3">
        <v>200715141120</v>
      </c>
      <c r="O72" s="3">
        <v>218262274048</v>
      </c>
      <c r="P72" s="3">
        <v>212158234624</v>
      </c>
      <c r="Q72" s="3">
        <v>232511881216</v>
      </c>
      <c r="R72" s="3">
        <v>248985993216</v>
      </c>
      <c r="S72" s="3">
        <v>279033577472</v>
      </c>
      <c r="T72" s="3">
        <v>296589000704</v>
      </c>
      <c r="U72" s="3">
        <v>296042364928</v>
      </c>
      <c r="V72" s="3">
        <v>320979042304</v>
      </c>
      <c r="W72" s="3">
        <v>270105346048</v>
      </c>
      <c r="X72" s="3">
        <v>288208420864</v>
      </c>
      <c r="Y72" s="3">
        <v>279296016384</v>
      </c>
      <c r="Z72" s="3">
        <v>327275577344</v>
      </c>
      <c r="AA72" s="3">
        <v>360281964544</v>
      </c>
      <c r="AB72" s="3">
        <v>392897069056</v>
      </c>
      <c r="AC72" s="3">
        <v>415867764736</v>
      </c>
      <c r="AD72" s="3">
        <v>421351489536</v>
      </c>
      <c r="AE72" s="3">
        <v>458820419584</v>
      </c>
      <c r="AF72" s="3">
        <v>468394934272</v>
      </c>
      <c r="AG72" s="3">
        <v>485441011712</v>
      </c>
      <c r="AH72" s="3">
        <v>514937946112</v>
      </c>
      <c r="AI72" s="3">
        <v>607699271680</v>
      </c>
      <c r="AJ72" s="3">
        <v>709148540928</v>
      </c>
      <c r="AK72" s="3">
        <v>820381614080</v>
      </c>
      <c r="AL72" s="3">
        <v>940259868672</v>
      </c>
      <c r="AM72" s="3">
        <v>1216735477760</v>
      </c>
      <c r="AN72" s="3">
        <v>1198895529984</v>
      </c>
      <c r="AO72" s="3">
        <v>1341886562304</v>
      </c>
      <c r="AP72" s="3">
        <v>1675615272960</v>
      </c>
      <c r="AQ72" s="3">
        <v>1823050432512</v>
      </c>
      <c r="AR72" s="3">
        <v>1827637821440</v>
      </c>
      <c r="AS72" s="3">
        <v>1856722173952</v>
      </c>
      <c r="AT72" s="3">
        <v>2039127474176</v>
      </c>
      <c r="AU72" s="3">
        <v>2103587766272</v>
      </c>
      <c r="AV72" s="3">
        <v>2294798090240</v>
      </c>
      <c r="AW72" s="3">
        <v>2652754673664</v>
      </c>
      <c r="AX72" s="3">
        <v>2713164972032</v>
      </c>
      <c r="AY72" s="3">
        <v>2875142438912</v>
      </c>
      <c r="AZ72" s="3">
        <v>37063826472960</v>
      </c>
    </row>
    <row r="73" spans="1:52" x14ac:dyDescent="0.45">
      <c r="A73" s="4" t="s">
        <v>128</v>
      </c>
      <c r="B73" s="3">
        <v>3281713920</v>
      </c>
      <c r="C73" s="3">
        <v>3865346560</v>
      </c>
      <c r="D73" s="3">
        <v>4113848064</v>
      </c>
      <c r="E73" s="3">
        <v>5134367744</v>
      </c>
      <c r="F73" s="3">
        <v>11516762112</v>
      </c>
      <c r="G73" s="3">
        <v>13458516992</v>
      </c>
      <c r="H73" s="3">
        <v>17754824704</v>
      </c>
      <c r="I73" s="3">
        <v>19838130176</v>
      </c>
      <c r="J73" s="3">
        <v>23762276352</v>
      </c>
      <c r="K73" s="3">
        <v>37816459264</v>
      </c>
      <c r="L73" s="3">
        <v>53405687808</v>
      </c>
      <c r="M73" s="3">
        <v>38424989696</v>
      </c>
      <c r="N73" s="3">
        <v>42595311616</v>
      </c>
      <c r="O73" s="3">
        <v>40595046400</v>
      </c>
      <c r="P73" s="3">
        <v>46802509824</v>
      </c>
      <c r="Q73" s="3">
        <v>48284979200</v>
      </c>
      <c r="R73" s="3">
        <v>47127695360</v>
      </c>
      <c r="S73" s="3">
        <v>56609841152</v>
      </c>
      <c r="T73" s="3">
        <v>62503055360</v>
      </c>
      <c r="U73" s="3">
        <v>65641365504</v>
      </c>
      <c r="V73" s="3">
        <v>179885817856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>
        <v>36627902464</v>
      </c>
      <c r="AK73" s="3">
        <v>49954889728</v>
      </c>
      <c r="AL73" s="3">
        <v>65140293632</v>
      </c>
      <c r="AM73" s="3">
        <v>88840052736</v>
      </c>
      <c r="AN73" s="3">
        <v>131613663232</v>
      </c>
      <c r="AO73" s="3">
        <v>111660851200</v>
      </c>
      <c r="AP73" s="3">
        <v>138516725760</v>
      </c>
      <c r="AQ73" s="3">
        <v>185749667840</v>
      </c>
      <c r="AR73" s="3">
        <v>218000982016</v>
      </c>
      <c r="AS73" s="3">
        <v>234637672448</v>
      </c>
      <c r="AT73" s="3">
        <v>234648371200</v>
      </c>
      <c r="AU73" s="3">
        <v>177498570752</v>
      </c>
      <c r="AV73" s="3">
        <v>174878982144</v>
      </c>
      <c r="AW73" s="3">
        <v>195473047552</v>
      </c>
      <c r="AX73" s="3">
        <v>224228016128</v>
      </c>
      <c r="AY73" s="3">
        <v>234094034944</v>
      </c>
      <c r="AZ73" s="3">
        <v>3323982269440</v>
      </c>
    </row>
    <row r="74" spans="1:52" x14ac:dyDescent="0.45">
      <c r="A74" s="4" t="s">
        <v>129</v>
      </c>
      <c r="B74" s="3">
        <v>1404776064</v>
      </c>
      <c r="C74" s="3">
        <v>1539865472</v>
      </c>
      <c r="D74" s="3">
        <v>1875048832</v>
      </c>
      <c r="E74" s="3">
        <v>1905917568</v>
      </c>
      <c r="F74" s="3">
        <v>2375096320</v>
      </c>
      <c r="G74" s="3">
        <v>2860411392</v>
      </c>
      <c r="H74" s="3">
        <v>2966010112</v>
      </c>
      <c r="I74" s="3">
        <v>3249697280</v>
      </c>
      <c r="J74" s="3">
        <v>2644449280</v>
      </c>
      <c r="K74" s="3">
        <v>2425033984</v>
      </c>
      <c r="L74" s="3">
        <v>2679409408</v>
      </c>
      <c r="M74" s="3">
        <v>2979061504</v>
      </c>
      <c r="N74" s="3">
        <v>3293533184</v>
      </c>
      <c r="O74" s="3">
        <v>3619294208</v>
      </c>
      <c r="P74" s="3">
        <v>2373566976</v>
      </c>
      <c r="Q74" s="3">
        <v>2100223104</v>
      </c>
      <c r="R74" s="3">
        <v>2754566144</v>
      </c>
      <c r="S74" s="3">
        <v>3286987520</v>
      </c>
      <c r="T74" s="3">
        <v>3828310784</v>
      </c>
      <c r="U74" s="3">
        <v>4404969984</v>
      </c>
      <c r="V74" s="3">
        <v>4592224256</v>
      </c>
      <c r="W74" s="3">
        <v>4071219200</v>
      </c>
      <c r="X74" s="3">
        <v>3530892800</v>
      </c>
      <c r="Y74" s="3">
        <v>5405097472</v>
      </c>
      <c r="Z74" s="3">
        <v>5419134976</v>
      </c>
      <c r="AA74" s="3">
        <v>6538840064</v>
      </c>
      <c r="AB74" s="3">
        <v>7368000000</v>
      </c>
      <c r="AC74" s="3">
        <v>8375077376</v>
      </c>
      <c r="AD74" s="3">
        <v>8763219968</v>
      </c>
      <c r="AE74" s="3">
        <v>8851581952</v>
      </c>
      <c r="AF74" s="3">
        <v>8985353216</v>
      </c>
      <c r="AG74" s="3">
        <v>9178016768</v>
      </c>
      <c r="AH74" s="3">
        <v>9694170112</v>
      </c>
      <c r="AI74" s="3">
        <v>9399447552</v>
      </c>
      <c r="AJ74" s="3">
        <v>10150978560</v>
      </c>
      <c r="AK74" s="3">
        <v>11204415488</v>
      </c>
      <c r="AL74" s="3">
        <v>11901912064</v>
      </c>
      <c r="AM74" s="3">
        <v>12827809792</v>
      </c>
      <c r="AN74" s="3">
        <v>13680482304</v>
      </c>
      <c r="AO74" s="3">
        <v>12067478528</v>
      </c>
      <c r="AP74" s="3">
        <v>13220556800</v>
      </c>
      <c r="AQ74" s="3">
        <v>14444655616</v>
      </c>
      <c r="AR74" s="3">
        <v>14807087104</v>
      </c>
      <c r="AS74" s="3">
        <v>14262589440</v>
      </c>
      <c r="AT74" s="3">
        <v>13897804800</v>
      </c>
      <c r="AU74" s="3">
        <v>14187696128</v>
      </c>
      <c r="AV74" s="3">
        <v>14075894784</v>
      </c>
      <c r="AW74" s="3">
        <v>14806340608</v>
      </c>
      <c r="AX74" s="3">
        <v>15713908736</v>
      </c>
      <c r="AY74" s="3">
        <v>16458071040</v>
      </c>
      <c r="AZ74" s="3">
        <v>372446186624</v>
      </c>
    </row>
    <row r="75" spans="1:52" x14ac:dyDescent="0.45">
      <c r="A75" s="4" t="s">
        <v>130</v>
      </c>
      <c r="B75" s="3">
        <v>1603447296</v>
      </c>
      <c r="C75" s="3">
        <v>1778391296</v>
      </c>
      <c r="D75" s="3">
        <v>2107279104</v>
      </c>
      <c r="E75" s="3">
        <v>2502142464</v>
      </c>
      <c r="F75" s="3">
        <v>2973309184</v>
      </c>
      <c r="G75" s="3">
        <v>3259344896</v>
      </c>
      <c r="H75" s="3">
        <v>3474542336</v>
      </c>
      <c r="I75" s="3">
        <v>4494379008</v>
      </c>
      <c r="J75" s="3">
        <v>5303734784</v>
      </c>
      <c r="K75" s="3">
        <v>6234391040</v>
      </c>
      <c r="L75" s="3">
        <v>7265315328</v>
      </c>
      <c r="M75" s="3">
        <v>6854491648</v>
      </c>
      <c r="N75" s="3">
        <v>6431579136</v>
      </c>
      <c r="O75" s="3">
        <v>5979198464</v>
      </c>
      <c r="P75" s="3">
        <v>6191437312</v>
      </c>
      <c r="Q75" s="3">
        <v>6135034368</v>
      </c>
      <c r="R75" s="3">
        <v>7239126528</v>
      </c>
      <c r="S75" s="3">
        <v>7970820608</v>
      </c>
      <c r="T75" s="3">
        <v>8355380736</v>
      </c>
      <c r="U75" s="3">
        <v>8283114496</v>
      </c>
      <c r="V75" s="3">
        <v>8572359168</v>
      </c>
      <c r="W75" s="3">
        <v>8151478784</v>
      </c>
      <c r="X75" s="3">
        <v>8209128960</v>
      </c>
      <c r="Y75" s="3">
        <v>5751790080</v>
      </c>
      <c r="Z75" s="3">
        <v>7148145152</v>
      </c>
      <c r="AA75" s="3">
        <v>9046326272</v>
      </c>
      <c r="AB75" s="3">
        <v>12045858816</v>
      </c>
      <c r="AC75" s="3">
        <v>13115773952</v>
      </c>
      <c r="AD75" s="3">
        <v>14093999104</v>
      </c>
      <c r="AE75" s="3">
        <v>12896013312</v>
      </c>
      <c r="AF75" s="3">
        <v>12705356800</v>
      </c>
      <c r="AG75" s="3">
        <v>12986007552</v>
      </c>
      <c r="AH75" s="3">
        <v>13147744256</v>
      </c>
      <c r="AI75" s="3">
        <v>14904517632</v>
      </c>
      <c r="AJ75" s="3">
        <v>16095337472</v>
      </c>
      <c r="AK75" s="3">
        <v>18737897472</v>
      </c>
      <c r="AL75" s="3">
        <v>25825525760</v>
      </c>
      <c r="AM75" s="3">
        <v>31958194176</v>
      </c>
      <c r="AN75" s="3">
        <v>35895152640</v>
      </c>
      <c r="AO75" s="3">
        <v>37021511680</v>
      </c>
      <c r="AP75" s="3">
        <v>40000090112</v>
      </c>
      <c r="AQ75" s="3">
        <v>41953431552</v>
      </c>
      <c r="AR75" s="3">
        <v>50412752896</v>
      </c>
      <c r="AS75" s="3">
        <v>55096729600</v>
      </c>
      <c r="AT75" s="3">
        <v>61448048640</v>
      </c>
      <c r="AU75" s="3">
        <v>64007749632</v>
      </c>
      <c r="AV75" s="3">
        <v>69188755456</v>
      </c>
      <c r="AW75" s="3">
        <v>78965006336</v>
      </c>
      <c r="AX75" s="3">
        <v>87778582528</v>
      </c>
      <c r="AY75" s="3">
        <v>95503089664</v>
      </c>
      <c r="AZ75" s="3">
        <v>1067098815488</v>
      </c>
    </row>
    <row r="76" spans="1:52" x14ac:dyDescent="0.45">
      <c r="A76" s="4" t="s">
        <v>131</v>
      </c>
      <c r="B76" s="3">
        <v>14295280</v>
      </c>
      <c r="C76" s="3">
        <v>15278632</v>
      </c>
      <c r="D76" s="3">
        <v>18936526</v>
      </c>
      <c r="E76" s="3">
        <v>31710658</v>
      </c>
      <c r="F76" s="3">
        <v>85637176</v>
      </c>
      <c r="G76" s="3">
        <v>55081816</v>
      </c>
      <c r="H76" s="3">
        <v>41109616</v>
      </c>
      <c r="I76" s="3">
        <v>38748060</v>
      </c>
      <c r="J76" s="3">
        <v>45210028</v>
      </c>
      <c r="K76" s="3">
        <v>42620164</v>
      </c>
      <c r="L76" s="3">
        <v>38715556</v>
      </c>
      <c r="M76" s="3">
        <v>41369800</v>
      </c>
      <c r="N76" s="3">
        <v>40572068</v>
      </c>
      <c r="O76" s="3">
        <v>37837836</v>
      </c>
      <c r="P76" s="3">
        <v>41246160</v>
      </c>
      <c r="Q76" s="3">
        <v>32125148</v>
      </c>
      <c r="R76" s="3">
        <v>32085562</v>
      </c>
      <c r="S76" s="3">
        <v>33608740</v>
      </c>
      <c r="T76" s="3">
        <v>42972108</v>
      </c>
      <c r="U76" s="3">
        <v>41119720</v>
      </c>
      <c r="V76" s="3">
        <v>39809540</v>
      </c>
      <c r="W76" s="3">
        <v>47515188</v>
      </c>
      <c r="X76" s="3">
        <v>47737956</v>
      </c>
      <c r="Y76" s="3">
        <v>46919624</v>
      </c>
      <c r="Z76" s="3">
        <v>54832576</v>
      </c>
      <c r="AA76" s="3">
        <v>56338028</v>
      </c>
      <c r="AB76" s="3">
        <v>66515376</v>
      </c>
      <c r="AC76" s="3">
        <v>67537480</v>
      </c>
      <c r="AD76" s="3">
        <v>65334840</v>
      </c>
      <c r="AE76" s="3">
        <v>69032256</v>
      </c>
      <c r="AF76" s="3">
        <v>67254176</v>
      </c>
      <c r="AG76" s="3">
        <v>63101272</v>
      </c>
      <c r="AH76" s="3">
        <v>72196456</v>
      </c>
      <c r="AI76" s="3">
        <v>90231856</v>
      </c>
      <c r="AJ76" s="3">
        <v>102367040</v>
      </c>
      <c r="AK76" s="3">
        <v>112133944</v>
      </c>
      <c r="AL76" s="3">
        <v>110234936</v>
      </c>
      <c r="AM76" s="3">
        <v>132671744</v>
      </c>
      <c r="AN76" s="3">
        <v>141042608</v>
      </c>
      <c r="AO76" s="3">
        <v>132420056</v>
      </c>
      <c r="AP76" s="3">
        <v>156120896</v>
      </c>
      <c r="AQ76" s="3">
        <v>181705008</v>
      </c>
      <c r="AR76" s="3">
        <v>190243328</v>
      </c>
      <c r="AS76" s="3">
        <v>185113920</v>
      </c>
      <c r="AT76" s="3">
        <v>179703440</v>
      </c>
      <c r="AU76" s="3">
        <v>171117872</v>
      </c>
      <c r="AV76" s="3">
        <v>178328880</v>
      </c>
      <c r="AW76" s="3">
        <v>187276208</v>
      </c>
      <c r="AX76" s="3">
        <v>196737888</v>
      </c>
      <c r="AY76" s="3">
        <v>194647200</v>
      </c>
      <c r="AZ76" s="3">
        <v>4176502246</v>
      </c>
    </row>
    <row r="77" spans="1:52" x14ac:dyDescent="0.45">
      <c r="A77" s="4" t="s">
        <v>132</v>
      </c>
      <c r="B77" s="3">
        <v>68738624</v>
      </c>
      <c r="C77" s="3">
        <v>76482104</v>
      </c>
      <c r="D77" s="3">
        <v>80915832</v>
      </c>
      <c r="E77" s="3">
        <v>121181560</v>
      </c>
      <c r="F77" s="3">
        <v>150846208</v>
      </c>
      <c r="G77" s="3">
        <v>149560512</v>
      </c>
      <c r="H77" s="3">
        <v>147654096</v>
      </c>
      <c r="I77" s="3">
        <v>193307264</v>
      </c>
      <c r="J77" s="3">
        <v>266559344</v>
      </c>
      <c r="K77" s="3">
        <v>290142528</v>
      </c>
      <c r="L77" s="3">
        <v>431561376</v>
      </c>
      <c r="M77" s="3">
        <v>434188032</v>
      </c>
      <c r="N77" s="3">
        <v>348746816</v>
      </c>
      <c r="O77" s="3">
        <v>386699296</v>
      </c>
      <c r="P77" s="3">
        <v>333158464</v>
      </c>
      <c r="Q77" s="3">
        <v>268626912</v>
      </c>
      <c r="R77" s="3">
        <v>318862880</v>
      </c>
      <c r="S77" s="3">
        <v>402774848</v>
      </c>
      <c r="T77" s="3">
        <v>470389184</v>
      </c>
      <c r="U77" s="3">
        <v>495404896</v>
      </c>
      <c r="V77" s="3">
        <v>596415104</v>
      </c>
      <c r="W77" s="3">
        <v>704329216</v>
      </c>
      <c r="X77" s="3">
        <v>831033920</v>
      </c>
      <c r="Y77" s="3">
        <v>835592832</v>
      </c>
      <c r="Z77" s="3">
        <v>878250432</v>
      </c>
      <c r="AA77" s="3">
        <v>1001889856</v>
      </c>
      <c r="AB77" s="3">
        <v>946123264</v>
      </c>
      <c r="AC77" s="3">
        <v>997996032</v>
      </c>
      <c r="AD77" s="3">
        <v>928458176</v>
      </c>
      <c r="AE77" s="3">
        <v>912771264</v>
      </c>
      <c r="AF77" s="3">
        <v>887295296</v>
      </c>
      <c r="AG77" s="3">
        <v>825706944</v>
      </c>
      <c r="AH77" s="3">
        <v>775780672</v>
      </c>
      <c r="AI77" s="3">
        <v>1157832960</v>
      </c>
      <c r="AJ77" s="3">
        <v>1511236608</v>
      </c>
      <c r="AK77" s="3">
        <v>1682350976</v>
      </c>
      <c r="AL77" s="3">
        <v>1800105600</v>
      </c>
      <c r="AM77" s="3">
        <v>1716262784</v>
      </c>
      <c r="AN77" s="3">
        <v>1758535040</v>
      </c>
      <c r="AO77" s="3">
        <v>1773199488</v>
      </c>
      <c r="AP77" s="3">
        <v>2269525760</v>
      </c>
      <c r="AQ77" s="3">
        <v>2622336256</v>
      </c>
      <c r="AR77" s="3">
        <v>2526185216</v>
      </c>
      <c r="AS77" s="3">
        <v>2421469952</v>
      </c>
      <c r="AT77" s="3">
        <v>2499803904</v>
      </c>
      <c r="AU77" s="3">
        <v>2372280064</v>
      </c>
      <c r="AV77" s="3">
        <v>2165408256</v>
      </c>
      <c r="AW77" s="3">
        <v>2405289472</v>
      </c>
      <c r="AX77" s="3">
        <v>2575892224</v>
      </c>
      <c r="AY77" s="3">
        <v>2460072448</v>
      </c>
      <c r="AZ77" s="3">
        <v>52275230792</v>
      </c>
    </row>
    <row r="78" spans="1:52" x14ac:dyDescent="0.45">
      <c r="A78" s="4" t="s">
        <v>133</v>
      </c>
      <c r="B78" s="3">
        <v>1111859584</v>
      </c>
      <c r="C78" s="3">
        <v>1199507584</v>
      </c>
      <c r="D78" s="3">
        <v>1341590656</v>
      </c>
      <c r="E78" s="3">
        <v>1653062400</v>
      </c>
      <c r="F78" s="3">
        <v>1917508224</v>
      </c>
      <c r="G78" s="3">
        <v>2283049216</v>
      </c>
      <c r="H78" s="3">
        <v>2181844224</v>
      </c>
      <c r="I78" s="3">
        <v>2358930432</v>
      </c>
      <c r="J78" s="3">
        <v>2669755136</v>
      </c>
      <c r="K78" s="3">
        <v>3463565824</v>
      </c>
      <c r="L78" s="3">
        <v>5201818112</v>
      </c>
      <c r="M78" s="3">
        <v>4759333888</v>
      </c>
      <c r="N78" s="3">
        <v>4784977408</v>
      </c>
      <c r="O78" s="3">
        <v>4686456832</v>
      </c>
      <c r="P78" s="3">
        <v>3905938432</v>
      </c>
      <c r="Q78" s="3">
        <v>3802557952</v>
      </c>
      <c r="R78" s="3">
        <v>4347990016</v>
      </c>
      <c r="S78" s="3">
        <v>3212900608</v>
      </c>
      <c r="T78" s="3">
        <v>3189456896</v>
      </c>
      <c r="U78" s="3">
        <v>3175638272</v>
      </c>
      <c r="V78" s="3">
        <v>3931334912</v>
      </c>
      <c r="W78" s="3">
        <v>3254713088</v>
      </c>
      <c r="X78" s="3">
        <v>3714967040</v>
      </c>
      <c r="Y78" s="3">
        <v>4063298816</v>
      </c>
      <c r="Z78" s="3">
        <v>3522226944</v>
      </c>
      <c r="AA78" s="3">
        <v>3838100992</v>
      </c>
      <c r="AB78" s="3">
        <v>4931860992</v>
      </c>
      <c r="AC78" s="3">
        <v>4262965248</v>
      </c>
      <c r="AD78" s="3">
        <v>4401967616</v>
      </c>
      <c r="AE78" s="3">
        <v>4277903872</v>
      </c>
      <c r="AF78" s="3">
        <v>4629246976</v>
      </c>
      <c r="AG78" s="3">
        <v>5438332928</v>
      </c>
      <c r="AH78" s="3">
        <v>5351701504</v>
      </c>
      <c r="AI78" s="3">
        <v>6372498944</v>
      </c>
      <c r="AJ78" s="3">
        <v>5064732672</v>
      </c>
      <c r="AK78" s="3">
        <v>5859269632</v>
      </c>
      <c r="AL78" s="3">
        <v>6395712512</v>
      </c>
      <c r="AM78" s="3">
        <v>8524620800</v>
      </c>
      <c r="AN78" s="3">
        <v>10725137408</v>
      </c>
      <c r="AO78" s="3">
        <v>9616879616</v>
      </c>
      <c r="AP78" s="3">
        <v>9982710784</v>
      </c>
      <c r="AQ78" s="3">
        <v>11551820800</v>
      </c>
      <c r="AR78" s="3">
        <v>11578978304</v>
      </c>
      <c r="AS78" s="3">
        <v>12423558144</v>
      </c>
      <c r="AT78" s="3">
        <v>12522958848</v>
      </c>
      <c r="AU78" s="3">
        <v>11323023360</v>
      </c>
      <c r="AV78" s="3">
        <v>11848614912</v>
      </c>
      <c r="AW78" s="3">
        <v>13176312832</v>
      </c>
      <c r="AX78" s="3">
        <v>13853433856</v>
      </c>
      <c r="AY78" s="3">
        <v>14083906560</v>
      </c>
      <c r="AZ78" s="3">
        <v>291770532608</v>
      </c>
    </row>
    <row r="79" spans="1:52" x14ac:dyDescent="0.45">
      <c r="A79" s="4" t="s">
        <v>134</v>
      </c>
      <c r="B79" s="3">
        <v>290531616</v>
      </c>
      <c r="C79" s="3">
        <v>365386944</v>
      </c>
      <c r="D79" s="3">
        <v>406062880</v>
      </c>
      <c r="E79" s="3">
        <v>444281696</v>
      </c>
      <c r="F79" s="3">
        <v>548620992</v>
      </c>
      <c r="G79" s="3">
        <v>613220672</v>
      </c>
      <c r="H79" s="3">
        <v>670317632</v>
      </c>
      <c r="I79" s="3">
        <v>806290816</v>
      </c>
      <c r="J79" s="3">
        <v>949034048</v>
      </c>
      <c r="K79" s="3">
        <v>1058269056</v>
      </c>
      <c r="L79" s="3">
        <v>1237655424</v>
      </c>
      <c r="M79" s="3">
        <v>1237685632</v>
      </c>
      <c r="N79" s="3">
        <v>1180104192</v>
      </c>
      <c r="O79" s="3">
        <v>1223186816</v>
      </c>
      <c r="P79" s="3">
        <v>1208008960</v>
      </c>
      <c r="Q79" s="3">
        <v>1131347840</v>
      </c>
      <c r="R79" s="3">
        <v>1183654784</v>
      </c>
      <c r="S79" s="3">
        <v>1183094144</v>
      </c>
      <c r="T79" s="3">
        <v>1379924224</v>
      </c>
      <c r="U79" s="3">
        <v>1590215552</v>
      </c>
      <c r="V79" s="3">
        <v>1880771584</v>
      </c>
      <c r="W79" s="3">
        <v>2203545856</v>
      </c>
      <c r="X79" s="3">
        <v>1799517056</v>
      </c>
      <c r="Y79" s="3">
        <v>2070636928</v>
      </c>
      <c r="Z79" s="3">
        <v>1181802624</v>
      </c>
      <c r="AA79" s="3">
        <v>1397457920</v>
      </c>
      <c r="AB79" s="3">
        <v>2281034240</v>
      </c>
      <c r="AC79" s="3">
        <v>2663234816</v>
      </c>
      <c r="AD79" s="3">
        <v>1750584320</v>
      </c>
      <c r="AE79" s="3">
        <v>1775921664</v>
      </c>
      <c r="AF79" s="3">
        <v>1743506560</v>
      </c>
      <c r="AG79" s="3">
        <v>1716502912</v>
      </c>
      <c r="AH79" s="3">
        <v>3495748352</v>
      </c>
      <c r="AI79" s="3">
        <v>3208837120</v>
      </c>
      <c r="AJ79" s="3">
        <v>3476094464</v>
      </c>
      <c r="AK79" s="3">
        <v>3655909632</v>
      </c>
      <c r="AL79" s="3">
        <v>3998020096</v>
      </c>
      <c r="AM79" s="3">
        <v>4432936960</v>
      </c>
      <c r="AN79" s="3">
        <v>5321012224</v>
      </c>
      <c r="AO79" s="3">
        <v>6191127552</v>
      </c>
      <c r="AP79" s="3">
        <v>6959655424</v>
      </c>
      <c r="AQ79" s="3">
        <v>8004000768</v>
      </c>
      <c r="AR79" s="3">
        <v>6028487680</v>
      </c>
      <c r="AS79" s="3">
        <v>5518880768</v>
      </c>
      <c r="AT79" s="3">
        <v>6047813632</v>
      </c>
      <c r="AU79" s="3">
        <v>6373212672</v>
      </c>
      <c r="AV79" s="3">
        <v>5433040384</v>
      </c>
      <c r="AW79" s="3">
        <v>6303292416</v>
      </c>
      <c r="AX79" s="3">
        <v>6917301760</v>
      </c>
      <c r="AY79" s="3">
        <v>7666704384</v>
      </c>
      <c r="AZ79" s="3">
        <v>140203486688</v>
      </c>
    </row>
    <row r="80" spans="1:52" x14ac:dyDescent="0.45">
      <c r="A80" s="4" t="s">
        <v>135</v>
      </c>
      <c r="B80" s="3">
        <v>3864171008</v>
      </c>
      <c r="C80" s="3">
        <v>4244340224</v>
      </c>
      <c r="D80" s="3">
        <v>5043268608</v>
      </c>
      <c r="E80" s="3">
        <v>7662996992</v>
      </c>
      <c r="F80" s="3">
        <v>9496074240</v>
      </c>
      <c r="G80" s="3">
        <v>9298800640</v>
      </c>
      <c r="H80" s="3">
        <v>11050126336</v>
      </c>
      <c r="I80" s="3">
        <v>13139397632</v>
      </c>
      <c r="J80" s="3">
        <v>16358376448</v>
      </c>
      <c r="K80" s="3">
        <v>21213671424</v>
      </c>
      <c r="L80" s="3">
        <v>24488034304</v>
      </c>
      <c r="M80" s="3">
        <v>25004556288</v>
      </c>
      <c r="N80" s="3">
        <v>26804402176</v>
      </c>
      <c r="O80" s="3">
        <v>30346788864</v>
      </c>
      <c r="P80" s="3">
        <v>33943504896</v>
      </c>
      <c r="Q80" s="3">
        <v>31200161792</v>
      </c>
      <c r="R80" s="3">
        <v>27734562816</v>
      </c>
      <c r="S80" s="3">
        <v>32181696512</v>
      </c>
      <c r="T80" s="3">
        <v>35271880704</v>
      </c>
      <c r="U80" s="3">
        <v>38848569344</v>
      </c>
      <c r="V80" s="3">
        <v>44024176640</v>
      </c>
      <c r="W80" s="3">
        <v>49143148544</v>
      </c>
      <c r="X80" s="3">
        <v>59167551488</v>
      </c>
      <c r="Y80" s="3">
        <v>66894835712</v>
      </c>
      <c r="Z80" s="3">
        <v>74478354432</v>
      </c>
      <c r="AA80" s="3">
        <v>88705343488</v>
      </c>
      <c r="AB80" s="3">
        <v>100855390208</v>
      </c>
      <c r="AC80" s="3">
        <v>100005322752</v>
      </c>
      <c r="AD80" s="3">
        <v>72167497728</v>
      </c>
      <c r="AE80" s="3">
        <v>79148417024</v>
      </c>
      <c r="AF80" s="3">
        <v>93789732864</v>
      </c>
      <c r="AG80" s="3">
        <v>92783943680</v>
      </c>
      <c r="AH80" s="3">
        <v>100845527040</v>
      </c>
      <c r="AI80" s="3">
        <v>110202372096</v>
      </c>
      <c r="AJ80" s="3">
        <v>124749471744</v>
      </c>
      <c r="AK80" s="3">
        <v>143534096384</v>
      </c>
      <c r="AL80" s="3">
        <v>162691235840</v>
      </c>
      <c r="AM80" s="3">
        <v>193547829248</v>
      </c>
      <c r="AN80" s="3">
        <v>230813892608</v>
      </c>
      <c r="AO80" s="3">
        <v>202257629184</v>
      </c>
      <c r="AP80" s="3">
        <v>255016615936</v>
      </c>
      <c r="AQ80" s="3">
        <v>297951952896</v>
      </c>
      <c r="AR80" s="3">
        <v>314443137024</v>
      </c>
      <c r="AS80" s="3">
        <v>323277160448</v>
      </c>
      <c r="AT80" s="3">
        <v>338061950976</v>
      </c>
      <c r="AU80" s="3">
        <v>301354745856</v>
      </c>
      <c r="AV80" s="3">
        <v>301255458816</v>
      </c>
      <c r="AW80" s="3">
        <v>318958239744</v>
      </c>
      <c r="AX80" s="3">
        <v>358581927936</v>
      </c>
      <c r="AY80" s="3">
        <v>364701515776</v>
      </c>
      <c r="AZ80" s="3">
        <v>5770603855360</v>
      </c>
    </row>
    <row r="81" spans="1:52" x14ac:dyDescent="0.45">
      <c r="A81" s="4" t="s">
        <v>136</v>
      </c>
      <c r="B81" s="3">
        <v>359772352</v>
      </c>
      <c r="C81" s="3">
        <v>430096736</v>
      </c>
      <c r="D81" s="3">
        <v>486617344</v>
      </c>
      <c r="E81" s="3">
        <v>563683648</v>
      </c>
      <c r="F81" s="3">
        <v>538747264</v>
      </c>
      <c r="G81" s="3">
        <v>830710592</v>
      </c>
      <c r="H81" s="3">
        <v>939227968</v>
      </c>
      <c r="I81" s="3">
        <v>1049838464</v>
      </c>
      <c r="J81" s="3">
        <v>1222702336</v>
      </c>
      <c r="K81" s="3">
        <v>1595423232</v>
      </c>
      <c r="L81" s="3">
        <v>1759690752</v>
      </c>
      <c r="M81" s="3">
        <v>1538972160</v>
      </c>
      <c r="N81" s="3">
        <v>1333753984</v>
      </c>
      <c r="O81" s="3">
        <v>1297765504</v>
      </c>
      <c r="P81" s="3">
        <v>1232931968</v>
      </c>
      <c r="Q81" s="3">
        <v>1392195968</v>
      </c>
      <c r="R81" s="3">
        <v>1852163456</v>
      </c>
      <c r="S81" s="3">
        <v>2090629760</v>
      </c>
      <c r="T81" s="3">
        <v>2169040640</v>
      </c>
      <c r="U81" s="3">
        <v>2181821952</v>
      </c>
      <c r="V81" s="3">
        <v>2681912064</v>
      </c>
      <c r="W81" s="3">
        <v>2724131584</v>
      </c>
      <c r="X81" s="3">
        <v>2830673408</v>
      </c>
      <c r="Y81" s="3">
        <v>2818280960</v>
      </c>
      <c r="Z81" s="3">
        <v>2081846528</v>
      </c>
      <c r="AA81" s="3">
        <v>2706425344</v>
      </c>
      <c r="AB81" s="3">
        <v>2780422144</v>
      </c>
      <c r="AC81" s="3">
        <v>2697105664</v>
      </c>
      <c r="AD81" s="3">
        <v>2920358656</v>
      </c>
      <c r="AE81" s="3">
        <v>3439463168</v>
      </c>
      <c r="AF81" s="3">
        <v>2954129664</v>
      </c>
      <c r="AG81" s="3">
        <v>3465306112</v>
      </c>
      <c r="AH81" s="3">
        <v>3889757952</v>
      </c>
      <c r="AI81" s="3">
        <v>4703504384</v>
      </c>
      <c r="AJ81" s="3">
        <v>5444474368</v>
      </c>
      <c r="AK81" s="3">
        <v>6247496704</v>
      </c>
      <c r="AL81" s="3">
        <v>6905876480</v>
      </c>
      <c r="AM81" s="3">
        <v>8145694720</v>
      </c>
      <c r="AN81" s="3">
        <v>9798740992</v>
      </c>
      <c r="AO81" s="3">
        <v>10190945280</v>
      </c>
      <c r="AP81" s="3">
        <v>10689167360</v>
      </c>
      <c r="AQ81" s="3">
        <v>12995075072</v>
      </c>
      <c r="AR81" s="3">
        <v>12441946112</v>
      </c>
      <c r="AS81" s="3">
        <v>13242680320</v>
      </c>
      <c r="AT81" s="3">
        <v>14365345792</v>
      </c>
      <c r="AU81" s="3">
        <v>13104869376</v>
      </c>
      <c r="AV81" s="3">
        <v>14020002816</v>
      </c>
      <c r="AW81" s="3">
        <v>15375605760</v>
      </c>
      <c r="AX81" s="3">
        <v>17172022272</v>
      </c>
      <c r="AY81" s="3">
        <v>17510141952</v>
      </c>
      <c r="AZ81" s="3">
        <v>255209189088</v>
      </c>
    </row>
    <row r="82" spans="1:52" x14ac:dyDescent="0.45">
      <c r="A82" s="4" t="s">
        <v>137</v>
      </c>
      <c r="B82" s="3">
        <v>309405312</v>
      </c>
      <c r="C82" s="3">
        <v>335569088</v>
      </c>
      <c r="D82" s="3">
        <v>391669440</v>
      </c>
      <c r="E82" s="3">
        <v>493237536</v>
      </c>
      <c r="F82" s="3">
        <v>613010944</v>
      </c>
      <c r="G82" s="3">
        <v>703378624</v>
      </c>
      <c r="H82" s="3">
        <v>775046400</v>
      </c>
      <c r="I82" s="3">
        <v>799029696</v>
      </c>
      <c r="J82" s="3">
        <v>804629888</v>
      </c>
      <c r="K82" s="3">
        <v>951900928</v>
      </c>
      <c r="L82" s="3">
        <v>1047924672</v>
      </c>
      <c r="M82" s="3">
        <v>1105495424</v>
      </c>
      <c r="N82" s="3">
        <v>1108776064</v>
      </c>
      <c r="O82" s="3">
        <v>1165170688</v>
      </c>
      <c r="P82" s="3">
        <v>1074373760</v>
      </c>
      <c r="Q82" s="3">
        <v>1009723328</v>
      </c>
      <c r="R82" s="3">
        <v>1186628736</v>
      </c>
      <c r="S82" s="3">
        <v>1344665216</v>
      </c>
      <c r="T82" s="3">
        <v>1414951808</v>
      </c>
      <c r="U82" s="3">
        <v>1450647040</v>
      </c>
      <c r="V82" s="3">
        <v>1506914432</v>
      </c>
      <c r="W82" s="3">
        <v>2133693440</v>
      </c>
      <c r="X82" s="3">
        <v>2164292096</v>
      </c>
      <c r="Y82" s="3">
        <v>1847350656</v>
      </c>
      <c r="Z82" s="3">
        <v>1944876800</v>
      </c>
      <c r="AA82" s="3">
        <v>2091731456</v>
      </c>
      <c r="AB82" s="3">
        <v>2132081920</v>
      </c>
      <c r="AC82" s="3">
        <v>2072001024</v>
      </c>
      <c r="AD82" s="3">
        <v>2032345856</v>
      </c>
      <c r="AE82" s="3">
        <v>1985924352</v>
      </c>
      <c r="AF82" s="3">
        <v>1779521152</v>
      </c>
      <c r="AG82" s="3">
        <v>1746064768</v>
      </c>
      <c r="AH82" s="3">
        <v>1777058560</v>
      </c>
      <c r="AI82" s="3">
        <v>2051147648</v>
      </c>
      <c r="AJ82" s="3">
        <v>2362501120</v>
      </c>
      <c r="AK82" s="3">
        <v>2936019456</v>
      </c>
      <c r="AL82" s="3">
        <v>4008583936</v>
      </c>
      <c r="AM82" s="3">
        <v>4328063488</v>
      </c>
      <c r="AN82" s="3">
        <v>5138471424</v>
      </c>
      <c r="AO82" s="3">
        <v>4725200384</v>
      </c>
      <c r="AP82" s="3">
        <v>5628882432</v>
      </c>
      <c r="AQ82" s="3">
        <v>6764635648</v>
      </c>
      <c r="AR82" s="3">
        <v>6728208896</v>
      </c>
      <c r="AS82" s="3">
        <v>7223063040</v>
      </c>
      <c r="AT82" s="3">
        <v>6592537600</v>
      </c>
      <c r="AU82" s="3">
        <v>6166857728</v>
      </c>
      <c r="AV82" s="3">
        <v>6398744576</v>
      </c>
      <c r="AW82" s="3">
        <v>6758390784</v>
      </c>
      <c r="AX82" s="3">
        <v>7049169920</v>
      </c>
      <c r="AY82" s="3">
        <v>7593752576</v>
      </c>
      <c r="AZ82" s="3">
        <v>135753321760</v>
      </c>
    </row>
    <row r="83" spans="1:52" x14ac:dyDescent="0.45">
      <c r="A83" s="4" t="s">
        <v>138</v>
      </c>
      <c r="B83" s="3">
        <v>35520000000</v>
      </c>
      <c r="C83" s="3">
        <v>39199997952</v>
      </c>
      <c r="D83" s="3">
        <v>45199998976</v>
      </c>
      <c r="E83" s="3">
        <v>55280001024</v>
      </c>
      <c r="F83" s="3">
        <v>71999995904</v>
      </c>
      <c r="G83" s="3">
        <v>88000004096</v>
      </c>
      <c r="H83" s="3">
        <v>89025970176</v>
      </c>
      <c r="I83" s="3">
        <v>81814159360</v>
      </c>
      <c r="J83" s="3">
        <v>102499999744</v>
      </c>
      <c r="K83" s="3">
        <v>134561406976</v>
      </c>
      <c r="L83" s="3">
        <v>205139083264</v>
      </c>
      <c r="M83" s="3">
        <v>263959330816</v>
      </c>
      <c r="N83" s="3">
        <v>184609161216</v>
      </c>
      <c r="O83" s="3">
        <v>156159197184</v>
      </c>
      <c r="P83" s="3">
        <v>184261492736</v>
      </c>
      <c r="Q83" s="3">
        <v>195219783680</v>
      </c>
      <c r="R83" s="3">
        <v>134550093824</v>
      </c>
      <c r="S83" s="3">
        <v>147540738048</v>
      </c>
      <c r="T83" s="3">
        <v>181611544576</v>
      </c>
      <c r="U83" s="3">
        <v>221400662016</v>
      </c>
      <c r="V83" s="3">
        <v>261253578752</v>
      </c>
      <c r="W83" s="3">
        <v>313142771712</v>
      </c>
      <c r="X83" s="3">
        <v>363157585920</v>
      </c>
      <c r="Y83" s="3">
        <v>500736065536</v>
      </c>
      <c r="Z83" s="3">
        <v>527813246976</v>
      </c>
      <c r="AA83" s="3">
        <v>360073920512</v>
      </c>
      <c r="AB83" s="3">
        <v>410975600640</v>
      </c>
      <c r="AC83" s="3">
        <v>500413497344</v>
      </c>
      <c r="AD83" s="3">
        <v>526502133760</v>
      </c>
      <c r="AE83" s="3">
        <v>600232886272</v>
      </c>
      <c r="AF83" s="3">
        <v>707906764800</v>
      </c>
      <c r="AG83" s="3">
        <v>756706312192</v>
      </c>
      <c r="AH83" s="3">
        <v>772106354688</v>
      </c>
      <c r="AI83" s="3">
        <v>729336315904</v>
      </c>
      <c r="AJ83" s="3">
        <v>782240579584</v>
      </c>
      <c r="AK83" s="3">
        <v>877476249600</v>
      </c>
      <c r="AL83" s="3">
        <v>975387099136</v>
      </c>
      <c r="AM83" s="3">
        <v>1052696313856</v>
      </c>
      <c r="AN83" s="3">
        <v>1109988999168</v>
      </c>
      <c r="AO83" s="3">
        <v>900045340672</v>
      </c>
      <c r="AP83" s="3">
        <v>1057801306112</v>
      </c>
      <c r="AQ83" s="3">
        <v>1180489613312</v>
      </c>
      <c r="AR83" s="3">
        <v>1201089937408</v>
      </c>
      <c r="AS83" s="3">
        <v>1274443071488</v>
      </c>
      <c r="AT83" s="3">
        <v>1314563948544</v>
      </c>
      <c r="AU83" s="3">
        <v>1170564579328</v>
      </c>
      <c r="AV83" s="3">
        <v>1077903622144</v>
      </c>
      <c r="AW83" s="3">
        <v>1157736169472</v>
      </c>
      <c r="AX83" s="3">
        <v>1220699488256</v>
      </c>
      <c r="AY83" s="3">
        <v>1258286743552</v>
      </c>
      <c r="AZ83" s="3">
        <v>27559322718208</v>
      </c>
    </row>
    <row r="84" spans="1:52" x14ac:dyDescent="0.45">
      <c r="A84" s="4" t="s">
        <v>139</v>
      </c>
      <c r="B84" s="3">
        <v>3956328448</v>
      </c>
      <c r="C84" s="3">
        <v>4356633600</v>
      </c>
      <c r="D84" s="3">
        <v>5074117632</v>
      </c>
      <c r="E84" s="3">
        <v>6242178048</v>
      </c>
      <c r="F84" s="3">
        <v>7675408384</v>
      </c>
      <c r="G84" s="3">
        <v>8984823808</v>
      </c>
      <c r="H84" s="3">
        <v>9584323584</v>
      </c>
      <c r="I84" s="3">
        <v>11049896960</v>
      </c>
      <c r="J84" s="3">
        <v>13236853760</v>
      </c>
      <c r="K84" s="3">
        <v>15912133632</v>
      </c>
      <c r="L84" s="3">
        <v>21728770048</v>
      </c>
      <c r="M84" s="3">
        <v>17788172288</v>
      </c>
      <c r="N84" s="3">
        <v>17692342272</v>
      </c>
      <c r="O84" s="3">
        <v>16251460608</v>
      </c>
      <c r="P84" s="3">
        <v>14824728576</v>
      </c>
      <c r="Q84" s="3">
        <v>14991283200</v>
      </c>
      <c r="R84" s="3">
        <v>19462174720</v>
      </c>
      <c r="S84" s="3">
        <v>21765261312</v>
      </c>
      <c r="T84" s="3">
        <v>25705295872</v>
      </c>
      <c r="U84" s="3">
        <v>26314219520</v>
      </c>
      <c r="V84" s="3">
        <v>30180108288</v>
      </c>
      <c r="W84" s="3">
        <v>32285388800</v>
      </c>
      <c r="X84" s="3">
        <v>33711069184</v>
      </c>
      <c r="Y84" s="3">
        <v>31655473152</v>
      </c>
      <c r="Z84" s="3">
        <v>35604135936</v>
      </c>
      <c r="AA84" s="3">
        <v>39030284288</v>
      </c>
      <c r="AB84" s="3">
        <v>43161452544</v>
      </c>
      <c r="AC84" s="3">
        <v>39147843584</v>
      </c>
      <c r="AD84" s="3">
        <v>41806221312</v>
      </c>
      <c r="AE84" s="3">
        <v>41632026624</v>
      </c>
      <c r="AF84" s="3">
        <v>38857252864</v>
      </c>
      <c r="AG84" s="3">
        <v>39459581952</v>
      </c>
      <c r="AH84" s="3">
        <v>42236837888</v>
      </c>
      <c r="AI84" s="3">
        <v>52064059392</v>
      </c>
      <c r="AJ84" s="3">
        <v>59626020864</v>
      </c>
      <c r="AK84" s="3">
        <v>62343024640</v>
      </c>
      <c r="AL84" s="3">
        <v>68640825344</v>
      </c>
      <c r="AM84" s="3">
        <v>79041298432</v>
      </c>
      <c r="AN84" s="3">
        <v>92507258880</v>
      </c>
      <c r="AO84" s="3">
        <v>92897320960</v>
      </c>
      <c r="AP84" s="3">
        <v>93216743424</v>
      </c>
      <c r="AQ84" s="3">
        <v>101370470400</v>
      </c>
      <c r="AR84" s="3">
        <v>98266308608</v>
      </c>
      <c r="AS84" s="3">
        <v>106825646080</v>
      </c>
      <c r="AT84" s="3">
        <v>110081245184</v>
      </c>
      <c r="AU84" s="3">
        <v>101179809792</v>
      </c>
      <c r="AV84" s="3">
        <v>103311646720</v>
      </c>
      <c r="AW84" s="3">
        <v>109714300928</v>
      </c>
      <c r="AX84" s="3">
        <v>117921390592</v>
      </c>
      <c r="AY84" s="3">
        <v>118725279744</v>
      </c>
      <c r="AZ84" s="3">
        <v>2339096732672</v>
      </c>
    </row>
    <row r="85" spans="1:52" x14ac:dyDescent="0.45">
      <c r="A85" s="4" t="s">
        <v>140</v>
      </c>
      <c r="B85" s="3">
        <v>865975296</v>
      </c>
      <c r="C85" s="3">
        <v>882765440</v>
      </c>
      <c r="D85" s="3">
        <v>1024098816</v>
      </c>
      <c r="E85" s="3">
        <v>972101696</v>
      </c>
      <c r="F85" s="3">
        <v>1217953536</v>
      </c>
      <c r="G85" s="3">
        <v>1575789312</v>
      </c>
      <c r="H85" s="3">
        <v>1452792960</v>
      </c>
      <c r="I85" s="3">
        <v>1382400000</v>
      </c>
      <c r="J85" s="3">
        <v>1604162560</v>
      </c>
      <c r="K85" s="3">
        <v>1851250048</v>
      </c>
      <c r="L85" s="3">
        <v>1945916544</v>
      </c>
      <c r="M85" s="3">
        <v>2275583232</v>
      </c>
      <c r="N85" s="3">
        <v>2395429888</v>
      </c>
      <c r="O85" s="3">
        <v>2447174912</v>
      </c>
      <c r="P85" s="3">
        <v>2581207296</v>
      </c>
      <c r="Q85" s="3">
        <v>2619913984</v>
      </c>
      <c r="R85" s="3">
        <v>2850784512</v>
      </c>
      <c r="S85" s="3">
        <v>2957255424</v>
      </c>
      <c r="T85" s="3">
        <v>3487009792</v>
      </c>
      <c r="U85" s="3">
        <v>3525228032</v>
      </c>
      <c r="V85" s="3">
        <v>3627562496</v>
      </c>
      <c r="W85" s="3">
        <v>3921476096</v>
      </c>
      <c r="X85" s="3">
        <v>3401211648</v>
      </c>
      <c r="Y85" s="3">
        <v>3660041728</v>
      </c>
      <c r="Z85" s="3">
        <v>4066775552</v>
      </c>
      <c r="AA85" s="3">
        <v>4401104384</v>
      </c>
      <c r="AB85" s="3">
        <v>4521580544</v>
      </c>
      <c r="AC85" s="3">
        <v>4918691840</v>
      </c>
      <c r="AD85" s="3">
        <v>4856254976</v>
      </c>
      <c r="AE85" s="3">
        <v>5033642496</v>
      </c>
      <c r="AF85" s="3">
        <v>5494252032</v>
      </c>
      <c r="AG85" s="3">
        <v>6007054848</v>
      </c>
      <c r="AH85" s="3">
        <v>6050875904</v>
      </c>
      <c r="AI85" s="3">
        <v>6330472960</v>
      </c>
      <c r="AJ85" s="3">
        <v>7273938432</v>
      </c>
      <c r="AK85" s="3">
        <v>8130257920</v>
      </c>
      <c r="AL85" s="3">
        <v>9043715072</v>
      </c>
      <c r="AM85" s="3">
        <v>10325617664</v>
      </c>
      <c r="AN85" s="3">
        <v>12545438720</v>
      </c>
      <c r="AO85" s="3">
        <v>12854985728</v>
      </c>
      <c r="AP85" s="3">
        <v>16002656256</v>
      </c>
      <c r="AQ85" s="3">
        <v>18913574912</v>
      </c>
      <c r="AR85" s="3">
        <v>18851514368</v>
      </c>
      <c r="AS85" s="3">
        <v>19271168000</v>
      </c>
      <c r="AT85" s="3">
        <v>20002969600</v>
      </c>
      <c r="AU85" s="3">
        <v>21410840576</v>
      </c>
      <c r="AV85" s="3">
        <v>21185923072</v>
      </c>
      <c r="AW85" s="3">
        <v>25180583936</v>
      </c>
      <c r="AX85" s="3">
        <v>29173514240</v>
      </c>
      <c r="AY85" s="3">
        <v>30641381376</v>
      </c>
      <c r="AZ85" s="3">
        <v>387013870656</v>
      </c>
    </row>
    <row r="86" spans="1:52" x14ac:dyDescent="0.45">
      <c r="A86" s="4" t="s">
        <v>141</v>
      </c>
      <c r="B86" s="3">
        <v>776585664</v>
      </c>
      <c r="C86" s="3">
        <v>826571392</v>
      </c>
      <c r="D86" s="3">
        <v>880842880</v>
      </c>
      <c r="E86" s="3">
        <v>1093571456</v>
      </c>
      <c r="F86" s="3">
        <v>1520900096</v>
      </c>
      <c r="G86" s="3">
        <v>1590428544</v>
      </c>
      <c r="H86" s="3">
        <v>1847871360</v>
      </c>
      <c r="I86" s="3">
        <v>2239857152</v>
      </c>
      <c r="J86" s="3">
        <v>2142128640</v>
      </c>
      <c r="K86" s="3">
        <v>1527852672</v>
      </c>
      <c r="L86" s="3">
        <v>2189347328</v>
      </c>
      <c r="M86" s="3">
        <v>2448290048</v>
      </c>
      <c r="N86" s="3">
        <v>2465165056</v>
      </c>
      <c r="O86" s="3">
        <v>2743341824</v>
      </c>
      <c r="P86" s="3">
        <v>3105517056</v>
      </c>
      <c r="Q86" s="3">
        <v>2683816192</v>
      </c>
      <c r="R86" s="3">
        <v>2885710592</v>
      </c>
      <c r="S86" s="3">
        <v>3851213824</v>
      </c>
      <c r="T86" s="3">
        <v>2630904320</v>
      </c>
      <c r="U86" s="3">
        <v>1013184768</v>
      </c>
      <c r="V86" s="3">
        <v>1009455488</v>
      </c>
      <c r="W86" s="3">
        <v>1488804096</v>
      </c>
      <c r="X86" s="3">
        <v>1792800000</v>
      </c>
      <c r="Y86" s="3">
        <v>1756454272</v>
      </c>
      <c r="Z86" s="3">
        <v>3863185152</v>
      </c>
      <c r="AA86" s="3">
        <v>4140470016</v>
      </c>
      <c r="AB86" s="3">
        <v>4308352000</v>
      </c>
      <c r="AC86" s="3">
        <v>4389965824</v>
      </c>
      <c r="AD86" s="3">
        <v>4635267072</v>
      </c>
      <c r="AE86" s="3">
        <v>4855717888</v>
      </c>
      <c r="AF86" s="3">
        <v>5107329024</v>
      </c>
      <c r="AG86" s="3">
        <v>5323146752</v>
      </c>
      <c r="AH86" s="3">
        <v>5224212992</v>
      </c>
      <c r="AI86" s="3">
        <v>5322455040</v>
      </c>
      <c r="AJ86" s="3">
        <v>5795568128</v>
      </c>
      <c r="AK86" s="3">
        <v>6321335808</v>
      </c>
      <c r="AL86" s="3">
        <v>6763418624</v>
      </c>
      <c r="AM86" s="3">
        <v>7423367680</v>
      </c>
      <c r="AN86" s="3">
        <v>8496946688</v>
      </c>
      <c r="AO86" s="3">
        <v>8298679808</v>
      </c>
      <c r="AP86" s="3">
        <v>8758638592</v>
      </c>
      <c r="AQ86" s="3">
        <v>9774262272</v>
      </c>
      <c r="AR86" s="3">
        <v>10531963904</v>
      </c>
      <c r="AS86" s="3">
        <v>10982979584</v>
      </c>
      <c r="AT86" s="3">
        <v>11880472576</v>
      </c>
      <c r="AU86" s="3">
        <v>12756706304</v>
      </c>
      <c r="AV86" s="3">
        <v>13286048768</v>
      </c>
      <c r="AW86" s="3">
        <v>13785943040</v>
      </c>
      <c r="AX86" s="3">
        <v>13063873536</v>
      </c>
      <c r="AY86" s="3">
        <v>12520914944</v>
      </c>
      <c r="AZ86" s="3">
        <v>254121836736</v>
      </c>
    </row>
    <row r="87" spans="1:52" x14ac:dyDescent="0.45">
      <c r="A87" s="4" t="s">
        <v>142</v>
      </c>
      <c r="B87" s="3">
        <v>649916736</v>
      </c>
      <c r="C87" s="3">
        <v>693573568</v>
      </c>
      <c r="D87" s="3">
        <v>742779712</v>
      </c>
      <c r="E87" s="3">
        <v>946385024</v>
      </c>
      <c r="F87" s="3">
        <v>1026136960</v>
      </c>
      <c r="G87" s="3">
        <v>1048690944</v>
      </c>
      <c r="H87" s="3">
        <v>1064517568</v>
      </c>
      <c r="I87" s="3">
        <v>1291457920</v>
      </c>
      <c r="J87" s="3">
        <v>1774365312</v>
      </c>
      <c r="K87" s="3">
        <v>2109278080</v>
      </c>
      <c r="L87" s="3">
        <v>2508524288</v>
      </c>
      <c r="M87" s="3">
        <v>2170893056</v>
      </c>
      <c r="N87" s="3">
        <v>2017611904</v>
      </c>
      <c r="O87" s="3">
        <v>1803099776</v>
      </c>
      <c r="P87" s="3">
        <v>1461243264</v>
      </c>
      <c r="Q87" s="3">
        <v>1440581504</v>
      </c>
      <c r="R87" s="3">
        <v>1904097024</v>
      </c>
      <c r="S87" s="3">
        <v>2233005824</v>
      </c>
      <c r="T87" s="3">
        <v>2280356352</v>
      </c>
      <c r="U87" s="3">
        <v>2179567104</v>
      </c>
      <c r="V87" s="3">
        <v>3536335104</v>
      </c>
      <c r="W87" s="3">
        <v>3309124352</v>
      </c>
      <c r="X87" s="3">
        <v>3411197184</v>
      </c>
      <c r="Y87" s="3">
        <v>2225270528</v>
      </c>
      <c r="Z87" s="3">
        <v>1947256704</v>
      </c>
      <c r="AA87" s="3">
        <v>2313555968</v>
      </c>
      <c r="AB87" s="3">
        <v>2417146624</v>
      </c>
      <c r="AC87" s="3">
        <v>2297228032</v>
      </c>
      <c r="AD87" s="3">
        <v>2625049600</v>
      </c>
      <c r="AE87" s="3">
        <v>2520868608</v>
      </c>
      <c r="AF87" s="3">
        <v>2238259712</v>
      </c>
      <c r="AG87" s="3">
        <v>2445079040</v>
      </c>
      <c r="AH87" s="3">
        <v>2768787456</v>
      </c>
      <c r="AI87" s="3">
        <v>3387804160</v>
      </c>
      <c r="AJ87" s="3">
        <v>3742134272</v>
      </c>
      <c r="AK87" s="3">
        <v>4374678016</v>
      </c>
      <c r="AL87" s="3">
        <v>4743059456</v>
      </c>
      <c r="AM87" s="3">
        <v>5694716928</v>
      </c>
      <c r="AN87" s="3">
        <v>7220003840</v>
      </c>
      <c r="AO87" s="3">
        <v>7278718464</v>
      </c>
      <c r="AP87" s="3">
        <v>7792420864</v>
      </c>
      <c r="AQ87" s="3">
        <v>8701085696</v>
      </c>
      <c r="AR87" s="3">
        <v>9366515712</v>
      </c>
      <c r="AS87" s="3">
        <v>10156855296</v>
      </c>
      <c r="AT87" s="3">
        <v>10815312896</v>
      </c>
      <c r="AU87" s="3">
        <v>9667589120</v>
      </c>
      <c r="AV87" s="3">
        <v>10284626944</v>
      </c>
      <c r="AW87" s="3">
        <v>11166063616</v>
      </c>
      <c r="AX87" s="3">
        <v>12826750976</v>
      </c>
      <c r="AY87" s="3">
        <v>12928145408</v>
      </c>
      <c r="AZ87" s="3">
        <v>205547722496</v>
      </c>
    </row>
    <row r="88" spans="1:52" x14ac:dyDescent="0.45">
      <c r="A88" s="4" t="s">
        <v>143</v>
      </c>
      <c r="B88" s="3">
        <v>12545849344</v>
      </c>
      <c r="C88" s="3">
        <v>9181769728</v>
      </c>
      <c r="D88" s="3">
        <v>12274415616</v>
      </c>
      <c r="E88" s="3">
        <v>15162870784</v>
      </c>
      <c r="F88" s="3">
        <v>24846641152</v>
      </c>
      <c r="G88" s="3">
        <v>27778934784</v>
      </c>
      <c r="H88" s="3">
        <v>36308881408</v>
      </c>
      <c r="I88" s="3">
        <v>36035407872</v>
      </c>
      <c r="J88" s="3">
        <v>36527861760</v>
      </c>
      <c r="K88" s="3">
        <v>47259910144</v>
      </c>
      <c r="L88" s="3">
        <v>64201789440</v>
      </c>
      <c r="M88" s="3">
        <v>164475207680</v>
      </c>
      <c r="N88" s="3">
        <v>142769356800</v>
      </c>
      <c r="O88" s="3">
        <v>97094909952</v>
      </c>
      <c r="P88" s="3">
        <v>73484361728</v>
      </c>
      <c r="Q88" s="3">
        <v>73745817600</v>
      </c>
      <c r="R88" s="3">
        <v>54805852160</v>
      </c>
      <c r="S88" s="3">
        <v>52676042752</v>
      </c>
      <c r="T88" s="3">
        <v>49648472064</v>
      </c>
      <c r="U88" s="3">
        <v>44003061760</v>
      </c>
      <c r="V88" s="3">
        <v>54035795968</v>
      </c>
      <c r="W88" s="3">
        <v>49118433280</v>
      </c>
      <c r="X88" s="3">
        <v>47794925568</v>
      </c>
      <c r="Y88" s="3">
        <v>27752204288</v>
      </c>
      <c r="Z88" s="3">
        <v>33833043968</v>
      </c>
      <c r="AA88" s="3">
        <v>44062466048</v>
      </c>
      <c r="AB88" s="3">
        <v>51075813376</v>
      </c>
      <c r="AC88" s="3">
        <v>54457835520</v>
      </c>
      <c r="AD88" s="3">
        <v>54604050432</v>
      </c>
      <c r="AE88" s="3">
        <v>59372613632</v>
      </c>
      <c r="AF88" s="3">
        <v>69448753152</v>
      </c>
      <c r="AG88" s="3">
        <v>74030366720</v>
      </c>
      <c r="AH88" s="3">
        <v>95385821184</v>
      </c>
      <c r="AI88" s="3">
        <v>104911945728</v>
      </c>
      <c r="AJ88" s="3">
        <v>136385978368</v>
      </c>
      <c r="AK88" s="3">
        <v>176134094848</v>
      </c>
      <c r="AL88" s="3">
        <v>236103974912</v>
      </c>
      <c r="AM88" s="3">
        <v>275625672704</v>
      </c>
      <c r="AN88" s="3">
        <v>337035526144</v>
      </c>
      <c r="AO88" s="3">
        <v>291880206336</v>
      </c>
      <c r="AP88" s="3">
        <v>363359895552</v>
      </c>
      <c r="AQ88" s="3">
        <v>410334593024</v>
      </c>
      <c r="AR88" s="3">
        <v>459376033792</v>
      </c>
      <c r="AS88" s="3">
        <v>514966290432</v>
      </c>
      <c r="AT88" s="3">
        <v>568498913280</v>
      </c>
      <c r="AU88" s="3">
        <v>494583185408</v>
      </c>
      <c r="AV88" s="3">
        <v>404649541632</v>
      </c>
      <c r="AW88" s="3">
        <v>375745478656</v>
      </c>
      <c r="AX88" s="3">
        <v>398160396288</v>
      </c>
      <c r="AY88" s="3">
        <v>448120422400</v>
      </c>
      <c r="AZ88" s="3">
        <v>7785671687168</v>
      </c>
    </row>
    <row r="89" spans="1:52" x14ac:dyDescent="0.45">
      <c r="A89" s="4" t="s">
        <v>144</v>
      </c>
      <c r="B89" s="3">
        <v>256299488</v>
      </c>
      <c r="C89" s="3">
        <v>301010592</v>
      </c>
      <c r="D89" s="3">
        <v>366857728</v>
      </c>
      <c r="E89" s="3">
        <v>483033920</v>
      </c>
      <c r="F89" s="3">
        <v>1645917824</v>
      </c>
      <c r="G89" s="3">
        <v>2096699136</v>
      </c>
      <c r="H89" s="3">
        <v>2560220160</v>
      </c>
      <c r="I89" s="3">
        <v>2741169920</v>
      </c>
      <c r="J89" s="3">
        <v>2740301312</v>
      </c>
      <c r="K89" s="3">
        <v>3733352704</v>
      </c>
      <c r="L89" s="3">
        <v>5981760512</v>
      </c>
      <c r="M89" s="3">
        <v>7259120128</v>
      </c>
      <c r="N89" s="3">
        <v>7554719232</v>
      </c>
      <c r="O89" s="3">
        <v>7932541440</v>
      </c>
      <c r="P89" s="3">
        <v>8821366784</v>
      </c>
      <c r="Q89" s="3">
        <v>10005500928</v>
      </c>
      <c r="R89" s="3">
        <v>7323822080</v>
      </c>
      <c r="S89" s="3">
        <v>7811183104</v>
      </c>
      <c r="T89" s="3">
        <v>8386215936</v>
      </c>
      <c r="U89" s="3">
        <v>9372171264</v>
      </c>
      <c r="V89" s="3">
        <v>11685045248</v>
      </c>
      <c r="W89" s="3">
        <v>11341481984</v>
      </c>
      <c r="X89" s="3">
        <v>12452275200</v>
      </c>
      <c r="Y89" s="3">
        <v>12493108224</v>
      </c>
      <c r="Z89" s="3">
        <v>12918855680</v>
      </c>
      <c r="AA89" s="3">
        <v>13802600448</v>
      </c>
      <c r="AB89" s="3">
        <v>15277763584</v>
      </c>
      <c r="AC89" s="3">
        <v>15837451264</v>
      </c>
      <c r="AD89" s="3">
        <v>14085372928</v>
      </c>
      <c r="AE89" s="3">
        <v>15710148608</v>
      </c>
      <c r="AF89" s="3">
        <v>19507412992</v>
      </c>
      <c r="AG89" s="3">
        <v>19452014592</v>
      </c>
      <c r="AH89" s="3">
        <v>20142782464</v>
      </c>
      <c r="AI89" s="3">
        <v>21633810432</v>
      </c>
      <c r="AJ89" s="3">
        <v>24763588608</v>
      </c>
      <c r="AK89" s="3">
        <v>31081924608</v>
      </c>
      <c r="AL89" s="3">
        <v>37215862784</v>
      </c>
      <c r="AM89" s="3">
        <v>42085306368</v>
      </c>
      <c r="AN89" s="3">
        <v>60905332736</v>
      </c>
      <c r="AO89" s="3">
        <v>48388296704</v>
      </c>
      <c r="AP89" s="3">
        <v>57048113152</v>
      </c>
      <c r="AQ89" s="3">
        <v>68016906240</v>
      </c>
      <c r="AR89" s="3">
        <v>76615868416</v>
      </c>
      <c r="AS89" s="3">
        <v>78784397312</v>
      </c>
      <c r="AT89" s="3">
        <v>81076461568</v>
      </c>
      <c r="AU89" s="3">
        <v>68400259072</v>
      </c>
      <c r="AV89" s="3">
        <v>65481146368</v>
      </c>
      <c r="AW89" s="3">
        <v>70599999488</v>
      </c>
      <c r="AX89" s="3">
        <v>79275425792</v>
      </c>
      <c r="AY89" s="3">
        <v>76983091200</v>
      </c>
      <c r="AZ89" s="3">
        <v>1280435368256</v>
      </c>
    </row>
    <row r="90" spans="1:52" x14ac:dyDescent="0.45">
      <c r="A90" s="4" t="s">
        <v>145</v>
      </c>
      <c r="B90" s="3">
        <v>10027509760</v>
      </c>
      <c r="C90" s="3">
        <v>10665896960</v>
      </c>
      <c r="D90" s="3">
        <v>9415016448</v>
      </c>
      <c r="E90" s="3">
        <v>6383429632</v>
      </c>
      <c r="F90" s="3">
        <v>8899191808</v>
      </c>
      <c r="G90" s="3">
        <v>11230606336</v>
      </c>
      <c r="H90" s="3">
        <v>13168080896</v>
      </c>
      <c r="I90" s="3">
        <v>15126061056</v>
      </c>
      <c r="J90" s="3">
        <v>17811515392</v>
      </c>
      <c r="K90" s="3">
        <v>19688384512</v>
      </c>
      <c r="L90" s="3">
        <v>23654445056</v>
      </c>
      <c r="M90" s="3">
        <v>28100605952</v>
      </c>
      <c r="N90" s="3">
        <v>30725971968</v>
      </c>
      <c r="O90" s="3">
        <v>28691890176</v>
      </c>
      <c r="P90" s="3">
        <v>31151824896</v>
      </c>
      <c r="Q90" s="3">
        <v>31144921088</v>
      </c>
      <c r="R90" s="3">
        <v>31899070464</v>
      </c>
      <c r="S90" s="3">
        <v>33351528448</v>
      </c>
      <c r="T90" s="3">
        <v>38472740864</v>
      </c>
      <c r="U90" s="3">
        <v>40171016192</v>
      </c>
      <c r="V90" s="3">
        <v>40010424320</v>
      </c>
      <c r="W90" s="3">
        <v>45625233408</v>
      </c>
      <c r="X90" s="3">
        <v>48884604928</v>
      </c>
      <c r="Y90" s="3">
        <v>51809947648</v>
      </c>
      <c r="Z90" s="3">
        <v>52293455872</v>
      </c>
      <c r="AA90" s="3">
        <v>60636020736</v>
      </c>
      <c r="AB90" s="3">
        <v>63320121344</v>
      </c>
      <c r="AC90" s="3">
        <v>62433300480</v>
      </c>
      <c r="AD90" s="3">
        <v>62191955968</v>
      </c>
      <c r="AE90" s="3">
        <v>62973853696</v>
      </c>
      <c r="AF90" s="3">
        <v>82017746944</v>
      </c>
      <c r="AG90" s="3">
        <v>79484403712</v>
      </c>
      <c r="AH90" s="3">
        <v>79904989184</v>
      </c>
      <c r="AI90" s="3">
        <v>91760541696</v>
      </c>
      <c r="AJ90" s="3">
        <v>107759681536</v>
      </c>
      <c r="AK90" s="3">
        <v>120055291904</v>
      </c>
      <c r="AL90" s="3">
        <v>137264062464</v>
      </c>
      <c r="AM90" s="3">
        <v>152385716224</v>
      </c>
      <c r="AN90" s="3">
        <v>170077814784</v>
      </c>
      <c r="AO90" s="3">
        <v>168152776704</v>
      </c>
      <c r="AP90" s="3">
        <v>177165631488</v>
      </c>
      <c r="AQ90" s="3">
        <v>213587410944</v>
      </c>
      <c r="AR90" s="3">
        <v>224383614976</v>
      </c>
      <c r="AS90" s="3">
        <v>231218561024</v>
      </c>
      <c r="AT90" s="3">
        <v>244360888320</v>
      </c>
      <c r="AU90" s="3">
        <v>270556135424</v>
      </c>
      <c r="AV90" s="3">
        <v>278654648320</v>
      </c>
      <c r="AW90" s="3">
        <v>304567255040</v>
      </c>
      <c r="AX90" s="3">
        <v>314567557120</v>
      </c>
      <c r="AY90" s="3">
        <v>278221914112</v>
      </c>
      <c r="AZ90" s="3">
        <v>4716105268224</v>
      </c>
    </row>
    <row r="91" spans="1:52" x14ac:dyDescent="0.45">
      <c r="A91" s="4" t="s">
        <v>146</v>
      </c>
      <c r="B91" s="3">
        <v>1351006464</v>
      </c>
      <c r="C91" s="3">
        <v>1523917184</v>
      </c>
      <c r="D91" s="3">
        <v>1673411712</v>
      </c>
      <c r="E91" s="3">
        <v>1913793408</v>
      </c>
      <c r="F91" s="3">
        <v>2188307712</v>
      </c>
      <c r="G91" s="3">
        <v>2435304192</v>
      </c>
      <c r="H91" s="3">
        <v>2588105984</v>
      </c>
      <c r="I91" s="3">
        <v>2738262016</v>
      </c>
      <c r="J91" s="3">
        <v>3244558592</v>
      </c>
      <c r="K91" s="3">
        <v>3704551680</v>
      </c>
      <c r="L91" s="3">
        <v>4614086656</v>
      </c>
      <c r="M91" s="3">
        <v>5222421504</v>
      </c>
      <c r="N91" s="3">
        <v>5769767936</v>
      </c>
      <c r="O91" s="3">
        <v>5923756032</v>
      </c>
      <c r="P91" s="3">
        <v>6183387136</v>
      </c>
      <c r="Q91" s="3">
        <v>6541517312</v>
      </c>
      <c r="R91" s="3">
        <v>6797834240</v>
      </c>
      <c r="S91" s="3">
        <v>6827665408</v>
      </c>
      <c r="T91" s="3">
        <v>5902783488</v>
      </c>
      <c r="U91" s="3">
        <v>5918469632</v>
      </c>
      <c r="V91" s="3">
        <v>6433967104</v>
      </c>
      <c r="W91" s="3">
        <v>7074675712</v>
      </c>
      <c r="X91" s="3">
        <v>8042337792</v>
      </c>
      <c r="Y91" s="3">
        <v>8782585856</v>
      </c>
      <c r="Z91" s="3">
        <v>9365289984</v>
      </c>
      <c r="AA91" s="3">
        <v>9573813248</v>
      </c>
      <c r="AB91" s="3">
        <v>9870493696</v>
      </c>
      <c r="AC91" s="3">
        <v>10677285888</v>
      </c>
      <c r="AD91" s="3">
        <v>11575486464</v>
      </c>
      <c r="AE91" s="3">
        <v>12130251776</v>
      </c>
      <c r="AF91" s="3">
        <v>12304114688</v>
      </c>
      <c r="AG91" s="3">
        <v>12502012928</v>
      </c>
      <c r="AH91" s="3">
        <v>12994310144</v>
      </c>
      <c r="AI91" s="3">
        <v>13693981696</v>
      </c>
      <c r="AJ91" s="3">
        <v>15013382144</v>
      </c>
      <c r="AK91" s="3">
        <v>16374393856</v>
      </c>
      <c r="AL91" s="3">
        <v>18141665280</v>
      </c>
      <c r="AM91" s="3">
        <v>21295984640</v>
      </c>
      <c r="AN91" s="3">
        <v>25155889152</v>
      </c>
      <c r="AO91" s="3">
        <v>27116636160</v>
      </c>
      <c r="AP91" s="3">
        <v>29440299008</v>
      </c>
      <c r="AQ91" s="3">
        <v>34686201856</v>
      </c>
      <c r="AR91" s="3">
        <v>40429699072</v>
      </c>
      <c r="AS91" s="3">
        <v>45599997952</v>
      </c>
      <c r="AT91" s="3">
        <v>49921499136</v>
      </c>
      <c r="AU91" s="3">
        <v>54091698176</v>
      </c>
      <c r="AV91" s="3">
        <v>57907699712</v>
      </c>
      <c r="AW91" s="3">
        <v>62219001856</v>
      </c>
      <c r="AX91" s="3">
        <v>65128198144</v>
      </c>
      <c r="AY91" s="3">
        <v>66800799744</v>
      </c>
      <c r="AZ91" s="3">
        <v>857406561152</v>
      </c>
    </row>
    <row r="92" spans="1:52" x14ac:dyDescent="0.45">
      <c r="A92" s="4" t="s">
        <v>147</v>
      </c>
      <c r="B92" s="3">
        <v>645537152</v>
      </c>
      <c r="C92" s="3">
        <v>717716160</v>
      </c>
      <c r="D92" s="3">
        <v>858802048</v>
      </c>
      <c r="E92" s="3">
        <v>1299105280</v>
      </c>
      <c r="F92" s="3">
        <v>1467346048</v>
      </c>
      <c r="G92" s="3">
        <v>1356591232</v>
      </c>
      <c r="H92" s="3">
        <v>1511856640</v>
      </c>
      <c r="I92" s="3">
        <v>1640763264</v>
      </c>
      <c r="J92" s="3">
        <v>1947947520</v>
      </c>
      <c r="K92" s="3">
        <v>2293622016</v>
      </c>
      <c r="L92" s="3">
        <v>2545982976</v>
      </c>
      <c r="M92" s="3">
        <v>2498068224</v>
      </c>
      <c r="N92" s="3">
        <v>2368584960</v>
      </c>
      <c r="O92" s="3">
        <v>2562492416</v>
      </c>
      <c r="P92" s="3">
        <v>2552526336</v>
      </c>
      <c r="Q92" s="3">
        <v>2423373056</v>
      </c>
      <c r="R92" s="3">
        <v>2648033792</v>
      </c>
      <c r="S92" s="3">
        <v>3143848448</v>
      </c>
      <c r="T92" s="3">
        <v>3655979776</v>
      </c>
      <c r="U92" s="3">
        <v>3546460160</v>
      </c>
      <c r="V92" s="3">
        <v>3219730432</v>
      </c>
      <c r="W92" s="3">
        <v>3787395072</v>
      </c>
      <c r="X92" s="3">
        <v>4377980416</v>
      </c>
      <c r="Y92" s="3">
        <v>4974550528</v>
      </c>
      <c r="Z92" s="3">
        <v>5502786048</v>
      </c>
      <c r="AA92" s="3">
        <v>4636057600</v>
      </c>
      <c r="AB92" s="3">
        <v>5155311104</v>
      </c>
      <c r="AC92" s="3">
        <v>4936615424</v>
      </c>
      <c r="AD92" s="3">
        <v>3789443072</v>
      </c>
      <c r="AE92" s="3">
        <v>3477038080</v>
      </c>
      <c r="AF92" s="3">
        <v>3521339648</v>
      </c>
      <c r="AG92" s="3">
        <v>3081024256</v>
      </c>
      <c r="AH92" s="3">
        <v>2999511040</v>
      </c>
      <c r="AI92" s="3">
        <v>3536411904</v>
      </c>
      <c r="AJ92" s="3">
        <v>3927157760</v>
      </c>
      <c r="AK92" s="3">
        <v>4865892864</v>
      </c>
      <c r="AL92" s="3">
        <v>8355006464</v>
      </c>
      <c r="AM92" s="3">
        <v>9545177088</v>
      </c>
      <c r="AN92" s="3">
        <v>11670841344</v>
      </c>
      <c r="AO92" s="3">
        <v>11619638272</v>
      </c>
      <c r="AP92" s="3">
        <v>14250755072</v>
      </c>
      <c r="AQ92" s="3">
        <v>17984911360</v>
      </c>
      <c r="AR92" s="3">
        <v>21295659008</v>
      </c>
      <c r="AS92" s="3">
        <v>21261432832</v>
      </c>
      <c r="AT92" s="3">
        <v>23210682368</v>
      </c>
      <c r="AU92" s="3">
        <v>21723531264</v>
      </c>
      <c r="AV92" s="3">
        <v>20759068672</v>
      </c>
      <c r="AW92" s="3">
        <v>22742614016</v>
      </c>
      <c r="AX92" s="3">
        <v>23412494336</v>
      </c>
      <c r="AY92" s="3">
        <v>24969611264</v>
      </c>
      <c r="AZ92" s="3">
        <v>360274306112</v>
      </c>
    </row>
    <row r="93" spans="1:52" x14ac:dyDescent="0.45">
      <c r="A93" s="4" t="s">
        <v>148</v>
      </c>
      <c r="B93" s="3">
        <v>594611136</v>
      </c>
      <c r="C93" s="3">
        <v>664571456</v>
      </c>
      <c r="D93" s="3">
        <v>769039680</v>
      </c>
      <c r="E93" s="3">
        <v>995531776</v>
      </c>
      <c r="F93" s="3">
        <v>1333475456</v>
      </c>
      <c r="G93" s="3">
        <v>1511420672</v>
      </c>
      <c r="H93" s="3">
        <v>1698960256</v>
      </c>
      <c r="I93" s="3">
        <v>2092158720</v>
      </c>
      <c r="J93" s="3">
        <v>2559857152</v>
      </c>
      <c r="K93" s="3">
        <v>3416777728</v>
      </c>
      <c r="L93" s="3">
        <v>4448087552</v>
      </c>
      <c r="M93" s="3">
        <v>5624516096</v>
      </c>
      <c r="N93" s="3">
        <v>5419411968</v>
      </c>
      <c r="O93" s="3">
        <v>5673248768</v>
      </c>
      <c r="P93" s="3">
        <v>4502462976</v>
      </c>
      <c r="Q93" s="3">
        <v>3282449152</v>
      </c>
      <c r="R93" s="3">
        <v>3723993856</v>
      </c>
      <c r="S93" s="3">
        <v>3971044608</v>
      </c>
      <c r="T93" s="3">
        <v>4255683584</v>
      </c>
      <c r="U93" s="3">
        <v>4757732352</v>
      </c>
      <c r="V93" s="3">
        <v>5812114432</v>
      </c>
      <c r="W93" s="3">
        <v>6984367616</v>
      </c>
      <c r="X93" s="3">
        <v>7157424128</v>
      </c>
      <c r="Y93" s="3">
        <v>7249533440</v>
      </c>
      <c r="Z93" s="3">
        <v>7870982144</v>
      </c>
      <c r="AA93" s="3">
        <v>9062131712</v>
      </c>
      <c r="AB93" s="3">
        <v>9788391424</v>
      </c>
      <c r="AC93" s="3">
        <v>9965225984</v>
      </c>
      <c r="AD93" s="3">
        <v>9260481536</v>
      </c>
      <c r="AE93" s="3">
        <v>8837069824</v>
      </c>
      <c r="AF93" s="3">
        <v>8855705600</v>
      </c>
      <c r="AG93" s="3">
        <v>8495806464</v>
      </c>
      <c r="AH93" s="3">
        <v>7196260864</v>
      </c>
      <c r="AI93" s="3">
        <v>7691367424</v>
      </c>
      <c r="AJ93" s="3">
        <v>9624440832</v>
      </c>
      <c r="AK93" s="3">
        <v>10737500160</v>
      </c>
      <c r="AL93" s="3">
        <v>13429430272</v>
      </c>
      <c r="AM93" s="3">
        <v>17856270336</v>
      </c>
      <c r="AN93" s="3">
        <v>24578068480</v>
      </c>
      <c r="AO93" s="3">
        <v>22341754880</v>
      </c>
      <c r="AP93" s="3">
        <v>27215968256</v>
      </c>
      <c r="AQ93" s="3">
        <v>33715525632</v>
      </c>
      <c r="AR93" s="3">
        <v>33283229696</v>
      </c>
      <c r="AS93" s="3">
        <v>38585319424</v>
      </c>
      <c r="AT93" s="3">
        <v>40276533248</v>
      </c>
      <c r="AU93" s="3">
        <v>36164067328</v>
      </c>
      <c r="AV93" s="3">
        <v>36054282240</v>
      </c>
      <c r="AW93" s="3">
        <v>39008899072</v>
      </c>
      <c r="AX93" s="3">
        <v>40384692224</v>
      </c>
      <c r="AY93" s="3">
        <v>38145290240</v>
      </c>
      <c r="AZ93" s="3">
        <v>636923169856</v>
      </c>
    </row>
    <row r="94" spans="1:52" x14ac:dyDescent="0.45">
      <c r="A94" s="4" t="s">
        <v>149</v>
      </c>
      <c r="B94" s="3">
        <v>7432223232</v>
      </c>
      <c r="C94" s="3">
        <v>8289583104</v>
      </c>
      <c r="D94" s="3">
        <v>9189413888</v>
      </c>
      <c r="E94" s="3">
        <v>10994381824</v>
      </c>
      <c r="F94" s="3">
        <v>13858441216</v>
      </c>
      <c r="G94" s="3">
        <v>16877163520</v>
      </c>
      <c r="H94" s="3">
        <v>15947709440</v>
      </c>
      <c r="I94" s="3">
        <v>14620386304</v>
      </c>
      <c r="J94" s="3">
        <v>12495779840</v>
      </c>
      <c r="K94" s="3">
        <v>15962459136</v>
      </c>
      <c r="L94" s="3">
        <v>18134028288</v>
      </c>
      <c r="M94" s="3">
        <v>21649137664</v>
      </c>
      <c r="N94" s="3">
        <v>21793497088</v>
      </c>
      <c r="O94" s="3">
        <v>17345624064</v>
      </c>
      <c r="P94" s="3">
        <v>17599660032</v>
      </c>
      <c r="Q94" s="3">
        <v>16548827136</v>
      </c>
      <c r="R94" s="3">
        <v>15244232704</v>
      </c>
      <c r="S94" s="3">
        <v>20702298112</v>
      </c>
      <c r="T94" s="3">
        <v>15439408128</v>
      </c>
      <c r="U94" s="3">
        <v>22499559424</v>
      </c>
      <c r="V94" s="3">
        <v>26410387456</v>
      </c>
      <c r="W94" s="3">
        <v>34341466112</v>
      </c>
      <c r="X94" s="3">
        <v>35966304256</v>
      </c>
      <c r="Y94" s="3">
        <v>34832076800</v>
      </c>
      <c r="Z94" s="3">
        <v>44882079744</v>
      </c>
      <c r="AA94" s="3">
        <v>53312794624</v>
      </c>
      <c r="AB94" s="3">
        <v>55252414464</v>
      </c>
      <c r="AC94" s="3">
        <v>58147520512</v>
      </c>
      <c r="AD94" s="3">
        <v>55501467648</v>
      </c>
      <c r="AE94" s="3">
        <v>50187325440</v>
      </c>
      <c r="AF94" s="3">
        <v>51744747520</v>
      </c>
      <c r="AG94" s="3">
        <v>52030156800</v>
      </c>
      <c r="AH94" s="3">
        <v>54777552896</v>
      </c>
      <c r="AI94" s="3">
        <v>58731028480</v>
      </c>
      <c r="AJ94" s="3">
        <v>66768703488</v>
      </c>
      <c r="AK94" s="3">
        <v>76060606464</v>
      </c>
      <c r="AL94" s="3">
        <v>88643190784</v>
      </c>
      <c r="AM94" s="3">
        <v>102170984448</v>
      </c>
      <c r="AN94" s="3">
        <v>120550596608</v>
      </c>
      <c r="AO94" s="3">
        <v>120822988800</v>
      </c>
      <c r="AP94" s="3">
        <v>147528941568</v>
      </c>
      <c r="AQ94" s="3">
        <v>171761729536</v>
      </c>
      <c r="AR94" s="3">
        <v>192649003008</v>
      </c>
      <c r="AS94" s="3">
        <v>201175465984</v>
      </c>
      <c r="AT94" s="3">
        <v>200789360640</v>
      </c>
      <c r="AU94" s="3">
        <v>189805297664</v>
      </c>
      <c r="AV94" s="3">
        <v>191895945216</v>
      </c>
      <c r="AW94" s="3">
        <v>211007209472</v>
      </c>
      <c r="AX94" s="3">
        <v>222044962816</v>
      </c>
      <c r="AY94" s="3">
        <v>226848047104</v>
      </c>
      <c r="AZ94" s="3">
        <v>3509264170496</v>
      </c>
    </row>
    <row r="95" spans="1:52" x14ac:dyDescent="0.45">
      <c r="A95" s="4" t="s">
        <v>150</v>
      </c>
      <c r="B95" s="3">
        <v>6687204864</v>
      </c>
      <c r="C95" s="3">
        <v>7408305664</v>
      </c>
      <c r="D95" s="3">
        <v>8017468928</v>
      </c>
      <c r="E95" s="3">
        <v>10082885632</v>
      </c>
      <c r="F95" s="3">
        <v>13781140480</v>
      </c>
      <c r="G95" s="3">
        <v>14893969408</v>
      </c>
      <c r="H95" s="3">
        <v>17097563136</v>
      </c>
      <c r="I95" s="3">
        <v>19648106496</v>
      </c>
      <c r="J95" s="3">
        <v>22706155520</v>
      </c>
      <c r="K95" s="3">
        <v>27502168064</v>
      </c>
      <c r="L95" s="3">
        <v>32450541568</v>
      </c>
      <c r="M95" s="3">
        <v>35646418944</v>
      </c>
      <c r="N95" s="3">
        <v>37140164608</v>
      </c>
      <c r="O95" s="3">
        <v>33212180480</v>
      </c>
      <c r="P95" s="3">
        <v>31408492544</v>
      </c>
      <c r="Q95" s="3">
        <v>30734336000</v>
      </c>
      <c r="R95" s="3">
        <v>29868339200</v>
      </c>
      <c r="S95" s="3">
        <v>33195933696</v>
      </c>
      <c r="T95" s="3">
        <v>37885440000</v>
      </c>
      <c r="U95" s="3">
        <v>42575183872</v>
      </c>
      <c r="V95" s="3">
        <v>44311592960</v>
      </c>
      <c r="W95" s="3">
        <v>45417562112</v>
      </c>
      <c r="X95" s="3">
        <v>52976345088</v>
      </c>
      <c r="Y95" s="3">
        <v>54368083968</v>
      </c>
      <c r="Z95" s="3">
        <v>64084459520</v>
      </c>
      <c r="AA95" s="3">
        <v>74119987200</v>
      </c>
      <c r="AB95" s="3">
        <v>82848137216</v>
      </c>
      <c r="AC95" s="3">
        <v>82344263680</v>
      </c>
      <c r="AD95" s="3">
        <v>72207032320</v>
      </c>
      <c r="AE95" s="3">
        <v>82995142656</v>
      </c>
      <c r="AF95" s="3">
        <v>83670261760</v>
      </c>
      <c r="AG95" s="3">
        <v>78921072640</v>
      </c>
      <c r="AH95" s="3">
        <v>84307369984</v>
      </c>
      <c r="AI95" s="3">
        <v>87039148032</v>
      </c>
      <c r="AJ95" s="3">
        <v>95001993216</v>
      </c>
      <c r="AK95" s="3">
        <v>107419983872</v>
      </c>
      <c r="AL95" s="3">
        <v>127652904960</v>
      </c>
      <c r="AM95" s="3">
        <v>155980414976</v>
      </c>
      <c r="AN95" s="3">
        <v>181006860288</v>
      </c>
      <c r="AO95" s="3">
        <v>176131653632</v>
      </c>
      <c r="AP95" s="3">
        <v>208368893952</v>
      </c>
      <c r="AQ95" s="3">
        <v>234216734720</v>
      </c>
      <c r="AR95" s="3">
        <v>261920538624</v>
      </c>
      <c r="AS95" s="3">
        <v>283902836736</v>
      </c>
      <c r="AT95" s="3">
        <v>297483567104</v>
      </c>
      <c r="AU95" s="3">
        <v>306445877248</v>
      </c>
      <c r="AV95" s="3">
        <v>318626988032</v>
      </c>
      <c r="AW95" s="3">
        <v>328480751616</v>
      </c>
      <c r="AX95" s="3">
        <v>346841907200</v>
      </c>
      <c r="AY95" s="3">
        <v>376795496448</v>
      </c>
      <c r="AZ95" s="3">
        <v>5287829860864</v>
      </c>
    </row>
    <row r="96" spans="1:52" x14ac:dyDescent="0.45">
      <c r="A96" s="4" t="s">
        <v>151</v>
      </c>
      <c r="B96" s="3">
        <v>5034699776</v>
      </c>
      <c r="C96" s="3">
        <v>5646799872</v>
      </c>
      <c r="D96" s="3">
        <v>6328900096</v>
      </c>
      <c r="E96" s="3">
        <v>7002399744</v>
      </c>
      <c r="F96" s="3">
        <v>7684800000</v>
      </c>
      <c r="G96" s="3">
        <v>8198300160</v>
      </c>
      <c r="H96" s="3">
        <v>8968599552</v>
      </c>
      <c r="I96" s="3">
        <v>9910899712</v>
      </c>
      <c r="J96" s="3">
        <v>11164999680</v>
      </c>
      <c r="K96" s="3">
        <v>12750000128</v>
      </c>
      <c r="L96" s="3">
        <v>14436100096</v>
      </c>
      <c r="M96" s="3">
        <v>15955699712</v>
      </c>
      <c r="N96" s="3">
        <v>16764199936</v>
      </c>
      <c r="O96" s="3">
        <v>17276600320</v>
      </c>
      <c r="P96" s="3">
        <v>19162599424</v>
      </c>
      <c r="Q96" s="3">
        <v>20289200128</v>
      </c>
      <c r="R96" s="3">
        <v>22009300992</v>
      </c>
      <c r="S96" s="3">
        <v>24025800704</v>
      </c>
      <c r="T96" s="3">
        <v>26385799168</v>
      </c>
      <c r="U96" s="3">
        <v>28161200128</v>
      </c>
      <c r="V96" s="3">
        <v>30603919360</v>
      </c>
      <c r="W96" s="3">
        <v>32287031296</v>
      </c>
      <c r="X96" s="3">
        <v>34630430720</v>
      </c>
      <c r="Y96" s="3">
        <v>36922454016</v>
      </c>
      <c r="Z96" s="3">
        <v>39690629120</v>
      </c>
      <c r="AA96" s="3">
        <v>42647330816</v>
      </c>
      <c r="AB96" s="3">
        <v>45340835840</v>
      </c>
      <c r="AC96" s="3">
        <v>48187039744</v>
      </c>
      <c r="AD96" s="3">
        <v>54086402048</v>
      </c>
      <c r="AE96" s="3">
        <v>57841000448</v>
      </c>
      <c r="AF96" s="3">
        <v>61701799936</v>
      </c>
      <c r="AG96" s="3">
        <v>69208399872</v>
      </c>
      <c r="AH96" s="3">
        <v>71623499776</v>
      </c>
      <c r="AI96" s="3">
        <v>74827399168</v>
      </c>
      <c r="AJ96" s="3">
        <v>80322314240</v>
      </c>
      <c r="AK96" s="3">
        <v>83914522624</v>
      </c>
      <c r="AL96" s="3">
        <v>87276167168</v>
      </c>
      <c r="AM96" s="3">
        <v>89524133888</v>
      </c>
      <c r="AN96" s="3">
        <v>93639303168</v>
      </c>
      <c r="AO96" s="3">
        <v>96385597440</v>
      </c>
      <c r="AP96" s="3">
        <v>98381299712</v>
      </c>
      <c r="AQ96" s="3">
        <v>100351696896</v>
      </c>
      <c r="AR96" s="3">
        <v>101564801024</v>
      </c>
      <c r="AS96" s="3">
        <v>102450003968</v>
      </c>
      <c r="AT96" s="3">
        <v>102445801472</v>
      </c>
      <c r="AU96" s="3">
        <v>103375503360</v>
      </c>
      <c r="AV96" s="3">
        <v>104336703488</v>
      </c>
      <c r="AW96" s="3">
        <v>103445504000</v>
      </c>
      <c r="AX96" s="3">
        <v>100979900416</v>
      </c>
      <c r="AY96" s="3">
        <v>104988598272</v>
      </c>
      <c r="AZ96" s="3">
        <v>2540136922624</v>
      </c>
    </row>
    <row r="97" spans="1:52" x14ac:dyDescent="0.45">
      <c r="A97" s="4" t="s">
        <v>152</v>
      </c>
      <c r="B97" s="3">
        <v>219900000</v>
      </c>
      <c r="C97" s="3">
        <v>222952576</v>
      </c>
      <c r="D97" s="3">
        <v>246457840</v>
      </c>
      <c r="E97" s="3">
        <v>290746144</v>
      </c>
      <c r="F97" s="3">
        <v>308458432</v>
      </c>
      <c r="G97" s="3">
        <v>571863296</v>
      </c>
      <c r="H97" s="3">
        <v>637754176</v>
      </c>
      <c r="I97" s="3">
        <v>746650560</v>
      </c>
      <c r="J97" s="3">
        <v>905709120</v>
      </c>
      <c r="K97" s="3">
        <v>1109346176</v>
      </c>
      <c r="L97" s="3">
        <v>1254765312</v>
      </c>
      <c r="M97" s="3">
        <v>1407062656</v>
      </c>
      <c r="N97" s="3">
        <v>1407242624</v>
      </c>
      <c r="O97" s="3">
        <v>1479688064</v>
      </c>
      <c r="P97" s="3">
        <v>1587412992</v>
      </c>
      <c r="Q97" s="3">
        <v>1715625856</v>
      </c>
      <c r="R97" s="3">
        <v>1944711040</v>
      </c>
      <c r="S97" s="3">
        <v>2157434112</v>
      </c>
      <c r="T97" s="3">
        <v>2395493888</v>
      </c>
      <c r="U97" s="3">
        <v>2405021952</v>
      </c>
      <c r="V97" s="3">
        <v>2550185728</v>
      </c>
      <c r="W97" s="3">
        <v>1911601024</v>
      </c>
      <c r="X97" s="3">
        <v>2029026688</v>
      </c>
      <c r="Y97" s="3">
        <v>1971526016</v>
      </c>
      <c r="Z97" s="3">
        <v>753636352</v>
      </c>
      <c r="AA97" s="3">
        <v>1293534976</v>
      </c>
      <c r="AB97" s="3">
        <v>1382334848</v>
      </c>
      <c r="AC97" s="3">
        <v>1851558272</v>
      </c>
      <c r="AD97" s="3">
        <v>1989343488</v>
      </c>
      <c r="AE97" s="3">
        <v>1817654528</v>
      </c>
      <c r="AF97" s="3">
        <v>1734938624</v>
      </c>
      <c r="AG97" s="3">
        <v>1674685312</v>
      </c>
      <c r="AH97" s="3">
        <v>1677552384</v>
      </c>
      <c r="AI97" s="3">
        <v>1846198784</v>
      </c>
      <c r="AJ97" s="3">
        <v>2088961920</v>
      </c>
      <c r="AK97" s="3">
        <v>2581313536</v>
      </c>
      <c r="AL97" s="3">
        <v>3330198784</v>
      </c>
      <c r="AM97" s="3">
        <v>4083515136</v>
      </c>
      <c r="AN97" s="3">
        <v>5198063104</v>
      </c>
      <c r="AO97" s="3">
        <v>5694132224</v>
      </c>
      <c r="AP97" s="3">
        <v>6147525120</v>
      </c>
      <c r="AQ97" s="3">
        <v>6912074240</v>
      </c>
      <c r="AR97" s="3">
        <v>7687521792</v>
      </c>
      <c r="AS97" s="3">
        <v>7851127808</v>
      </c>
      <c r="AT97" s="3">
        <v>8279480832</v>
      </c>
      <c r="AU97" s="3">
        <v>8582588928</v>
      </c>
      <c r="AV97" s="3">
        <v>8734161920</v>
      </c>
      <c r="AW97" s="3">
        <v>9253098496</v>
      </c>
      <c r="AX97" s="3">
        <v>9627720704</v>
      </c>
      <c r="AY97" s="3">
        <v>10122472448</v>
      </c>
      <c r="AZ97" s="3">
        <v>153672030832</v>
      </c>
    </row>
    <row r="98" spans="1:52" x14ac:dyDescent="0.45">
      <c r="A98" s="4" t="s">
        <v>153</v>
      </c>
      <c r="B98" s="3">
        <v>5377333248</v>
      </c>
      <c r="C98" s="3">
        <v>7184853504</v>
      </c>
      <c r="D98" s="3">
        <v>9664157696</v>
      </c>
      <c r="E98" s="3">
        <v>14947391488</v>
      </c>
      <c r="F98" s="3">
        <v>45412958208</v>
      </c>
      <c r="G98" s="3">
        <v>46773366784</v>
      </c>
      <c r="H98" s="3">
        <v>64005664768</v>
      </c>
      <c r="I98" s="3">
        <v>74188251136</v>
      </c>
      <c r="J98" s="3">
        <v>80265617408</v>
      </c>
      <c r="K98" s="3">
        <v>111859679232</v>
      </c>
      <c r="L98" s="3">
        <v>164541743104</v>
      </c>
      <c r="M98" s="3">
        <v>184291803136</v>
      </c>
      <c r="N98" s="3">
        <v>153239011328</v>
      </c>
      <c r="O98" s="3">
        <v>129171636224</v>
      </c>
      <c r="P98" s="3">
        <v>119624859648</v>
      </c>
      <c r="Q98" s="3">
        <v>103897849856</v>
      </c>
      <c r="R98" s="3">
        <v>86961922048</v>
      </c>
      <c r="S98" s="3">
        <v>85695864832</v>
      </c>
      <c r="T98" s="3">
        <v>88256077824</v>
      </c>
      <c r="U98" s="3">
        <v>95344459776</v>
      </c>
      <c r="V98" s="3">
        <v>117630271488</v>
      </c>
      <c r="W98" s="3">
        <v>132223270912</v>
      </c>
      <c r="X98" s="3">
        <v>137087877120</v>
      </c>
      <c r="Y98" s="3">
        <v>132967899136</v>
      </c>
      <c r="Z98" s="3">
        <v>135174889472</v>
      </c>
      <c r="AA98" s="3">
        <v>143343042560</v>
      </c>
      <c r="AB98" s="3">
        <v>158662393856</v>
      </c>
      <c r="AC98" s="3">
        <v>165963563008</v>
      </c>
      <c r="AD98" s="3">
        <v>146775490560</v>
      </c>
      <c r="AE98" s="3">
        <v>161716961280</v>
      </c>
      <c r="AF98" s="3">
        <v>189514924032</v>
      </c>
      <c r="AG98" s="3">
        <v>184137465856</v>
      </c>
      <c r="AH98" s="3">
        <v>189605920768</v>
      </c>
      <c r="AI98" s="3">
        <v>215807655936</v>
      </c>
      <c r="AJ98" s="3">
        <v>258742140928</v>
      </c>
      <c r="AK98" s="3">
        <v>328459616256</v>
      </c>
      <c r="AL98" s="3">
        <v>376900124672</v>
      </c>
      <c r="AM98" s="3">
        <v>415964495872</v>
      </c>
      <c r="AN98" s="3">
        <v>519796785152</v>
      </c>
      <c r="AO98" s="3">
        <v>429097877504</v>
      </c>
      <c r="AP98" s="3">
        <v>528207183872</v>
      </c>
      <c r="AQ98" s="3">
        <v>671238848512</v>
      </c>
      <c r="AR98" s="3">
        <v>735974850560</v>
      </c>
      <c r="AS98" s="3">
        <v>746647126016</v>
      </c>
      <c r="AT98" s="3">
        <v>756350320640</v>
      </c>
      <c r="AU98" s="3">
        <v>654269874176</v>
      </c>
      <c r="AV98" s="3">
        <v>644935516160</v>
      </c>
      <c r="AW98" s="3">
        <v>688586162176</v>
      </c>
      <c r="AX98" s="3">
        <v>786521849856</v>
      </c>
      <c r="AY98" s="3">
        <v>792966856704</v>
      </c>
      <c r="AZ98" s="3">
        <v>13215975756288</v>
      </c>
    </row>
    <row r="99" spans="1:52" x14ac:dyDescent="0.45">
      <c r="A99" s="4" t="s">
        <v>154</v>
      </c>
      <c r="B99" s="3">
        <v>1297407872</v>
      </c>
      <c r="C99" s="3">
        <v>1339548800</v>
      </c>
      <c r="D99" s="3">
        <v>1620857216</v>
      </c>
      <c r="E99" s="3">
        <v>1863398400</v>
      </c>
      <c r="F99" s="3">
        <v>2099324928</v>
      </c>
      <c r="G99" s="3">
        <v>2830388480</v>
      </c>
      <c r="H99" s="3">
        <v>2869777920</v>
      </c>
      <c r="I99" s="3">
        <v>2938046208</v>
      </c>
      <c r="J99" s="3">
        <v>3280354304</v>
      </c>
      <c r="K99" s="3">
        <v>4084878592</v>
      </c>
      <c r="L99" s="3">
        <v>4435050496</v>
      </c>
      <c r="M99" s="3">
        <v>4021697280</v>
      </c>
      <c r="N99" s="3">
        <v>3936758784</v>
      </c>
      <c r="O99" s="3">
        <v>3512053248</v>
      </c>
      <c r="P99" s="3">
        <v>3425127424</v>
      </c>
      <c r="Q99" s="3">
        <v>3750056448</v>
      </c>
      <c r="R99" s="3">
        <v>5304238080</v>
      </c>
      <c r="S99" s="3">
        <v>6381385728</v>
      </c>
      <c r="T99" s="3">
        <v>6311054848</v>
      </c>
      <c r="U99" s="3">
        <v>6219793408</v>
      </c>
      <c r="V99" s="3">
        <v>7237100544</v>
      </c>
      <c r="W99" s="3">
        <v>7111252992</v>
      </c>
      <c r="X99" s="3">
        <v>7602005504</v>
      </c>
      <c r="Y99" s="3">
        <v>7189226496</v>
      </c>
      <c r="Z99" s="3">
        <v>4908415488</v>
      </c>
      <c r="AA99" s="3">
        <v>6176312320</v>
      </c>
      <c r="AB99" s="3">
        <v>6413189632</v>
      </c>
      <c r="AC99" s="3">
        <v>5915250176</v>
      </c>
      <c r="AD99" s="3">
        <v>6368265216</v>
      </c>
      <c r="AE99" s="3">
        <v>6512207872</v>
      </c>
      <c r="AF99" s="3">
        <v>5924239872</v>
      </c>
      <c r="AG99" s="3">
        <v>6174898176</v>
      </c>
      <c r="AH99" s="3">
        <v>6752510464</v>
      </c>
      <c r="AI99" s="3">
        <v>8683229184</v>
      </c>
      <c r="AJ99" s="3">
        <v>10167441408</v>
      </c>
      <c r="AK99" s="3">
        <v>11022821376</v>
      </c>
      <c r="AL99" s="3">
        <v>11847847936</v>
      </c>
      <c r="AM99" s="3">
        <v>14285970432</v>
      </c>
      <c r="AN99" s="3">
        <v>16949789696</v>
      </c>
      <c r="AO99" s="3">
        <v>16248212480</v>
      </c>
      <c r="AP99" s="3">
        <v>16230888448</v>
      </c>
      <c r="AQ99" s="3">
        <v>17902206976</v>
      </c>
      <c r="AR99" s="3">
        <v>17824399360</v>
      </c>
      <c r="AS99" s="3">
        <v>18965571584</v>
      </c>
      <c r="AT99" s="3">
        <v>19797254144</v>
      </c>
      <c r="AU99" s="3">
        <v>17774766080</v>
      </c>
      <c r="AV99" s="3">
        <v>19040313344</v>
      </c>
      <c r="AW99" s="3">
        <v>20996564992</v>
      </c>
      <c r="AX99" s="3">
        <v>23236007936</v>
      </c>
      <c r="AY99" s="3">
        <v>23578083328</v>
      </c>
      <c r="AZ99" s="3">
        <v>440357441920</v>
      </c>
    </row>
    <row r="100" spans="1:52" x14ac:dyDescent="0.45">
      <c r="A100" s="4" t="s">
        <v>155</v>
      </c>
      <c r="B100" s="3">
        <v>18432032</v>
      </c>
      <c r="C100" s="3">
        <v>21965952</v>
      </c>
      <c r="D100" s="3">
        <v>30645120</v>
      </c>
      <c r="E100" s="3">
        <v>36896280</v>
      </c>
      <c r="F100" s="3">
        <v>43134500</v>
      </c>
      <c r="G100" s="3">
        <v>47803144</v>
      </c>
      <c r="H100" s="3">
        <v>49278980</v>
      </c>
      <c r="I100" s="3">
        <v>64526400</v>
      </c>
      <c r="J100" s="3">
        <v>85552368</v>
      </c>
      <c r="K100" s="3">
        <v>127261096</v>
      </c>
      <c r="L100" s="3">
        <v>147357216</v>
      </c>
      <c r="M100" s="3">
        <v>154902864</v>
      </c>
      <c r="N100" s="3">
        <v>147912064</v>
      </c>
      <c r="O100" s="3">
        <v>146712848</v>
      </c>
      <c r="P100" s="3">
        <v>151313248</v>
      </c>
      <c r="Q100" s="3">
        <v>168887536</v>
      </c>
      <c r="R100" s="3">
        <v>207850624</v>
      </c>
      <c r="S100" s="3">
        <v>249267040</v>
      </c>
      <c r="T100" s="3">
        <v>283828768</v>
      </c>
      <c r="U100" s="3">
        <v>304832864</v>
      </c>
      <c r="V100" s="3">
        <v>368584768</v>
      </c>
      <c r="W100" s="3">
        <v>374359552</v>
      </c>
      <c r="X100" s="3">
        <v>433667200</v>
      </c>
      <c r="Y100" s="3">
        <v>473916832</v>
      </c>
      <c r="Z100" s="3">
        <v>486451200</v>
      </c>
      <c r="AA100" s="3">
        <v>508221504</v>
      </c>
      <c r="AB100" s="3">
        <v>503068480</v>
      </c>
      <c r="AC100" s="3">
        <v>562958848</v>
      </c>
      <c r="AD100" s="3">
        <v>608369280</v>
      </c>
      <c r="AE100" s="3">
        <v>622985472</v>
      </c>
      <c r="AF100" s="3">
        <v>614879744</v>
      </c>
      <c r="AG100" s="3">
        <v>622262080</v>
      </c>
      <c r="AH100" s="3">
        <v>697518272</v>
      </c>
      <c r="AI100" s="3">
        <v>705704832</v>
      </c>
      <c r="AJ100" s="3">
        <v>839319936</v>
      </c>
      <c r="AK100" s="3">
        <v>919103232</v>
      </c>
      <c r="AL100" s="3">
        <v>1016418240</v>
      </c>
      <c r="AM100" s="3">
        <v>1033561664</v>
      </c>
      <c r="AN100" s="3">
        <v>967199616</v>
      </c>
      <c r="AO100" s="3">
        <v>847397824</v>
      </c>
      <c r="AP100" s="3">
        <v>969936512</v>
      </c>
      <c r="AQ100" s="3">
        <v>1065826688</v>
      </c>
      <c r="AR100" s="3">
        <v>1060226112</v>
      </c>
      <c r="AS100" s="3">
        <v>1328157568</v>
      </c>
      <c r="AT100" s="3">
        <v>1343007872</v>
      </c>
      <c r="AU100" s="3">
        <v>1377495040</v>
      </c>
      <c r="AV100" s="3">
        <v>1426651776</v>
      </c>
      <c r="AW100" s="3">
        <v>1524486784</v>
      </c>
      <c r="AX100" s="3">
        <v>1586008960</v>
      </c>
      <c r="AY100" s="3">
        <v>1698843008</v>
      </c>
      <c r="AZ100" s="3">
        <v>29074949840</v>
      </c>
    </row>
    <row r="101" spans="1:52" x14ac:dyDescent="0.45">
      <c r="A101" s="4" t="s">
        <v>156</v>
      </c>
      <c r="B101" s="3">
        <v>434410368</v>
      </c>
      <c r="C101" s="3">
        <v>419549440</v>
      </c>
      <c r="D101" s="3">
        <v>465381088</v>
      </c>
      <c r="E101" s="3">
        <v>575230208</v>
      </c>
      <c r="F101" s="3">
        <v>648590656</v>
      </c>
      <c r="G101" s="3">
        <v>679335872</v>
      </c>
      <c r="H101" s="3">
        <v>594895680</v>
      </c>
      <c r="I101" s="3">
        <v>691777728</v>
      </c>
      <c r="J101" s="3">
        <v>960728320</v>
      </c>
      <c r="K101" s="3">
        <v>1109374720</v>
      </c>
      <c r="L101" s="3">
        <v>1100685824</v>
      </c>
      <c r="M101" s="3">
        <v>1114830464</v>
      </c>
      <c r="N101" s="3">
        <v>1295361920</v>
      </c>
      <c r="O101" s="3">
        <v>995104320</v>
      </c>
      <c r="P101" s="3">
        <v>1087471872</v>
      </c>
      <c r="Q101" s="3">
        <v>856890496</v>
      </c>
      <c r="R101" s="3">
        <v>490181472</v>
      </c>
      <c r="S101" s="3">
        <v>701307584</v>
      </c>
      <c r="T101" s="3">
        <v>1055083968</v>
      </c>
      <c r="U101" s="3">
        <v>932974400</v>
      </c>
      <c r="V101" s="3">
        <v>649644800</v>
      </c>
      <c r="W101" s="3">
        <v>779981440</v>
      </c>
      <c r="X101" s="3">
        <v>679998016</v>
      </c>
      <c r="Y101" s="3">
        <v>768812352</v>
      </c>
      <c r="Z101" s="3">
        <v>911915968</v>
      </c>
      <c r="AA101" s="3">
        <v>870758720</v>
      </c>
      <c r="AB101" s="3">
        <v>941742144</v>
      </c>
      <c r="AC101" s="3">
        <v>850218048</v>
      </c>
      <c r="AD101" s="3">
        <v>672375936</v>
      </c>
      <c r="AE101" s="3">
        <v>669384768</v>
      </c>
      <c r="AF101" s="3">
        <v>635873984</v>
      </c>
      <c r="AG101" s="3">
        <v>1090467712</v>
      </c>
      <c r="AH101" s="3">
        <v>1253340544</v>
      </c>
      <c r="AI101" s="3">
        <v>1385810048</v>
      </c>
      <c r="AJ101" s="3">
        <v>1448536576</v>
      </c>
      <c r="AK101" s="3">
        <v>1650494336</v>
      </c>
      <c r="AL101" s="3">
        <v>1885112192</v>
      </c>
      <c r="AM101" s="3">
        <v>2158496768</v>
      </c>
      <c r="AN101" s="3">
        <v>2505458688</v>
      </c>
      <c r="AO101" s="3">
        <v>2453899776</v>
      </c>
      <c r="AP101" s="3">
        <v>2578026240</v>
      </c>
      <c r="AQ101" s="3">
        <v>2942546688</v>
      </c>
      <c r="AR101" s="3">
        <v>3801862656</v>
      </c>
      <c r="AS101" s="3">
        <v>4920343040</v>
      </c>
      <c r="AT101" s="3">
        <v>5015157760</v>
      </c>
      <c r="AU101" s="3">
        <v>4218723840</v>
      </c>
      <c r="AV101" s="3">
        <v>3674794496</v>
      </c>
      <c r="AW101" s="3">
        <v>3739577856</v>
      </c>
      <c r="AX101" s="3">
        <v>4085114880</v>
      </c>
      <c r="AY101" s="3">
        <v>3941474304</v>
      </c>
      <c r="AZ101" s="3">
        <v>79389110976</v>
      </c>
    </row>
    <row r="102" spans="1:52" x14ac:dyDescent="0.45">
      <c r="A102" s="4" t="s">
        <v>157</v>
      </c>
      <c r="B102" s="3">
        <v>18418393088</v>
      </c>
      <c r="C102" s="3">
        <v>20333690880</v>
      </c>
      <c r="D102" s="3">
        <v>21357436928</v>
      </c>
      <c r="E102" s="3">
        <v>29295675392</v>
      </c>
      <c r="F102" s="3">
        <v>36807720960</v>
      </c>
      <c r="G102" s="3">
        <v>38114541568</v>
      </c>
      <c r="H102" s="3">
        <v>36603351040</v>
      </c>
      <c r="I102" s="3">
        <v>40651350016</v>
      </c>
      <c r="J102" s="3">
        <v>46739451904</v>
      </c>
      <c r="K102" s="3">
        <v>57645719552</v>
      </c>
      <c r="L102" s="3">
        <v>82980487168</v>
      </c>
      <c r="M102" s="3">
        <v>85454422016</v>
      </c>
      <c r="N102" s="3">
        <v>78423056384</v>
      </c>
      <c r="O102" s="3">
        <v>87415848960</v>
      </c>
      <c r="P102" s="3">
        <v>77344096256</v>
      </c>
      <c r="Q102" s="3">
        <v>59082637312</v>
      </c>
      <c r="R102" s="3">
        <v>67521601536</v>
      </c>
      <c r="S102" s="3">
        <v>88573698048</v>
      </c>
      <c r="T102" s="3">
        <v>95176638464</v>
      </c>
      <c r="U102" s="3">
        <v>99030859776</v>
      </c>
      <c r="V102" s="3">
        <v>115552346112</v>
      </c>
      <c r="W102" s="3">
        <v>123942756352</v>
      </c>
      <c r="X102" s="3">
        <v>134544564224</v>
      </c>
      <c r="Y102" s="3">
        <v>134308052992</v>
      </c>
      <c r="Z102" s="3">
        <v>139752521728</v>
      </c>
      <c r="AA102" s="3">
        <v>155460927488</v>
      </c>
      <c r="AB102" s="3">
        <v>147606290432</v>
      </c>
      <c r="AC102" s="3">
        <v>152587419648</v>
      </c>
      <c r="AD102" s="3">
        <v>137774759936</v>
      </c>
      <c r="AE102" s="3">
        <v>136632320000</v>
      </c>
      <c r="AF102" s="3">
        <v>136361295872</v>
      </c>
      <c r="AG102" s="3">
        <v>121514655744</v>
      </c>
      <c r="AH102" s="3">
        <v>115482370048</v>
      </c>
      <c r="AI102" s="3">
        <v>175256911872</v>
      </c>
      <c r="AJ102" s="3">
        <v>228590026752</v>
      </c>
      <c r="AK102" s="3">
        <v>257772716032</v>
      </c>
      <c r="AL102" s="3">
        <v>271638478848</v>
      </c>
      <c r="AM102" s="3">
        <v>299415502848</v>
      </c>
      <c r="AN102" s="3">
        <v>286769840128</v>
      </c>
      <c r="AO102" s="3">
        <v>295936491520</v>
      </c>
      <c r="AP102" s="3">
        <v>375349444608</v>
      </c>
      <c r="AQ102" s="3">
        <v>416418889728</v>
      </c>
      <c r="AR102" s="3">
        <v>396332695552</v>
      </c>
      <c r="AS102" s="3">
        <v>366829404160</v>
      </c>
      <c r="AT102" s="3">
        <v>350904582144</v>
      </c>
      <c r="AU102" s="3">
        <v>317620518912</v>
      </c>
      <c r="AV102" s="3">
        <v>296357298176</v>
      </c>
      <c r="AW102" s="3">
        <v>349554114560</v>
      </c>
      <c r="AX102" s="3">
        <v>368288923648</v>
      </c>
      <c r="AY102" s="3">
        <v>351431655424</v>
      </c>
      <c r="AZ102" s="3">
        <v>8322958452736</v>
      </c>
    </row>
    <row r="103" spans="1:52" x14ac:dyDescent="0.45">
      <c r="A103" s="4" t="s">
        <v>158</v>
      </c>
      <c r="B103" s="3">
        <v>2296470528</v>
      </c>
      <c r="C103" s="3">
        <v>2369308672</v>
      </c>
      <c r="D103" s="3">
        <v>2553936384</v>
      </c>
      <c r="E103" s="3">
        <v>2875624960</v>
      </c>
      <c r="F103" s="3">
        <v>3574586368</v>
      </c>
      <c r="G103" s="3">
        <v>3791298048</v>
      </c>
      <c r="H103" s="3">
        <v>3591319808</v>
      </c>
      <c r="I103" s="3">
        <v>4104509696</v>
      </c>
      <c r="J103" s="3">
        <v>2733183744</v>
      </c>
      <c r="K103" s="3">
        <v>3364611328</v>
      </c>
      <c r="L103" s="3">
        <v>4024621824</v>
      </c>
      <c r="M103" s="3">
        <v>4415844352</v>
      </c>
      <c r="N103" s="3">
        <v>4768764928</v>
      </c>
      <c r="O103" s="3">
        <v>5167913472</v>
      </c>
      <c r="P103" s="3">
        <v>6043474944</v>
      </c>
      <c r="Q103" s="3">
        <v>5978461184</v>
      </c>
      <c r="R103" s="3">
        <v>6405210624</v>
      </c>
      <c r="S103" s="3">
        <v>6682167296</v>
      </c>
      <c r="T103" s="3">
        <v>6978371584</v>
      </c>
      <c r="U103" s="3">
        <v>6987267584</v>
      </c>
      <c r="V103" s="3">
        <v>8032551424</v>
      </c>
      <c r="W103" s="3">
        <v>9000363008</v>
      </c>
      <c r="X103" s="3">
        <v>9703011328</v>
      </c>
      <c r="Y103" s="3">
        <v>10338679808</v>
      </c>
      <c r="Z103" s="3">
        <v>11717604352</v>
      </c>
      <c r="AA103" s="3">
        <v>13029697536</v>
      </c>
      <c r="AB103" s="3">
        <v>13897738240</v>
      </c>
      <c r="AC103" s="3">
        <v>15091913728</v>
      </c>
      <c r="AD103" s="3">
        <v>15794972672</v>
      </c>
      <c r="AE103" s="3">
        <v>15656328192</v>
      </c>
      <c r="AF103" s="3">
        <v>16330814464</v>
      </c>
      <c r="AG103" s="3">
        <v>15749753856</v>
      </c>
      <c r="AH103" s="3">
        <v>16536536064</v>
      </c>
      <c r="AI103" s="3">
        <v>18881765376</v>
      </c>
      <c r="AJ103" s="3">
        <v>20662525952</v>
      </c>
      <c r="AK103" s="3">
        <v>24405790720</v>
      </c>
      <c r="AL103" s="3">
        <v>28279814144</v>
      </c>
      <c r="AM103" s="3">
        <v>32350248960</v>
      </c>
      <c r="AN103" s="3">
        <v>40713814016</v>
      </c>
      <c r="AO103" s="3">
        <v>42066219008</v>
      </c>
      <c r="AP103" s="3">
        <v>56725749760</v>
      </c>
      <c r="AQ103" s="3">
        <v>65292754944</v>
      </c>
      <c r="AR103" s="3">
        <v>68434407424</v>
      </c>
      <c r="AS103" s="3">
        <v>74317807616</v>
      </c>
      <c r="AT103" s="3">
        <v>79356452864</v>
      </c>
      <c r="AU103" s="3">
        <v>80604078080</v>
      </c>
      <c r="AV103" s="3">
        <v>82401042432</v>
      </c>
      <c r="AW103" s="3">
        <v>87428128768</v>
      </c>
      <c r="AX103" s="3">
        <v>88425889792</v>
      </c>
      <c r="AY103" s="3">
        <v>84008779776</v>
      </c>
      <c r="AZ103" s="3">
        <v>1233942181632</v>
      </c>
    </row>
    <row r="104" spans="1:52" x14ac:dyDescent="0.45">
      <c r="A104" s="4" t="s">
        <v>159</v>
      </c>
      <c r="B104" s="3">
        <v>2437666560</v>
      </c>
      <c r="C104" s="3">
        <v>2656000000</v>
      </c>
      <c r="D104" s="3">
        <v>2881999872</v>
      </c>
      <c r="E104" s="3">
        <v>3571666688</v>
      </c>
      <c r="F104" s="3">
        <v>4594999808</v>
      </c>
      <c r="G104" s="3">
        <v>5598000128</v>
      </c>
      <c r="H104" s="3">
        <v>6979333120</v>
      </c>
      <c r="I104" s="3">
        <v>8704000000</v>
      </c>
      <c r="J104" s="3">
        <v>7670499840</v>
      </c>
      <c r="K104" s="3">
        <v>9032250368</v>
      </c>
      <c r="L104" s="3">
        <v>7459833344</v>
      </c>
      <c r="M104" s="3">
        <v>10016499712</v>
      </c>
      <c r="N104" s="3">
        <v>9240000512</v>
      </c>
      <c r="O104" s="3">
        <v>8230153728</v>
      </c>
      <c r="P104" s="3">
        <v>9701357568</v>
      </c>
      <c r="Q104" s="3">
        <v>12403733504</v>
      </c>
      <c r="R104" s="3">
        <v>15769062400</v>
      </c>
      <c r="S104" s="3">
        <v>20155555840</v>
      </c>
      <c r="T104" s="3">
        <v>15399166976</v>
      </c>
      <c r="U104" s="3">
        <v>15291507712</v>
      </c>
      <c r="V104" s="3">
        <v>12408647680</v>
      </c>
      <c r="W104" s="3">
        <v>11379222528</v>
      </c>
      <c r="X104" s="3">
        <v>7034219520</v>
      </c>
      <c r="Y104" s="3">
        <v>8881785856</v>
      </c>
      <c r="Z104" s="3">
        <v>12794191872</v>
      </c>
      <c r="AA104" s="3">
        <v>13829744640</v>
      </c>
      <c r="AB104" s="3">
        <v>9018243072</v>
      </c>
      <c r="AC104" s="3">
        <v>11681495040</v>
      </c>
      <c r="AD104" s="3">
        <v>11250327552</v>
      </c>
      <c r="AE104" s="3">
        <v>10682045440</v>
      </c>
      <c r="AF104" s="3">
        <v>12257418240</v>
      </c>
      <c r="AG104" s="3">
        <v>13182980096</v>
      </c>
      <c r="AH104" s="3">
        <v>14803188736</v>
      </c>
      <c r="AI104" s="3">
        <v>17646503936</v>
      </c>
      <c r="AJ104" s="3">
        <v>21457469440</v>
      </c>
      <c r="AK104" s="3">
        <v>26524538880</v>
      </c>
      <c r="AL104" s="3">
        <v>35822407680</v>
      </c>
      <c r="AM104" s="3">
        <v>45898948608</v>
      </c>
      <c r="AN104" s="3">
        <v>54526578688</v>
      </c>
      <c r="AO104" s="3">
        <v>49957203968</v>
      </c>
      <c r="AP104" s="3">
        <v>61739814912</v>
      </c>
      <c r="AQ104" s="3">
        <v>57891983360</v>
      </c>
      <c r="AR104" s="3">
        <v>52766720000</v>
      </c>
      <c r="AS104" s="3">
        <v>57730424832</v>
      </c>
      <c r="AT104" s="3">
        <v>64941776896</v>
      </c>
      <c r="AU104" s="3">
        <v>74294468608</v>
      </c>
      <c r="AV104" s="3">
        <v>51772231680</v>
      </c>
      <c r="AW104" s="3">
        <v>45379129344</v>
      </c>
      <c r="AX104" s="3">
        <v>26078607360</v>
      </c>
      <c r="AY104" s="3">
        <v>18902284288</v>
      </c>
      <c r="AZ104" s="3">
        <v>1090327890432</v>
      </c>
    </row>
    <row r="105" spans="1:52" x14ac:dyDescent="0.45">
      <c r="A105" s="4" t="s">
        <v>160</v>
      </c>
      <c r="B105" s="3">
        <v>274900000</v>
      </c>
      <c r="C105" s="3">
        <v>301000000</v>
      </c>
      <c r="D105" s="3">
        <v>311950016</v>
      </c>
      <c r="E105" s="3">
        <v>339449984</v>
      </c>
      <c r="F105" s="3">
        <v>409849984</v>
      </c>
      <c r="G105" s="3">
        <v>465500000</v>
      </c>
      <c r="H105" s="3">
        <v>505500000</v>
      </c>
      <c r="I105" s="3">
        <v>641500032</v>
      </c>
      <c r="J105" s="3">
        <v>735500032</v>
      </c>
      <c r="K105" s="3">
        <v>782499968</v>
      </c>
      <c r="L105" s="3">
        <v>795000000</v>
      </c>
      <c r="M105" s="3">
        <v>889000000</v>
      </c>
      <c r="N105" s="3">
        <v>915000000</v>
      </c>
      <c r="O105" s="3">
        <v>883500032</v>
      </c>
      <c r="P105" s="3">
        <v>864000000</v>
      </c>
      <c r="Q105" s="3">
        <v>873000000</v>
      </c>
      <c r="R105" s="3">
        <v>891000000</v>
      </c>
      <c r="S105" s="3">
        <v>980000000</v>
      </c>
      <c r="T105" s="3">
        <v>1160999936</v>
      </c>
      <c r="U105" s="3">
        <v>542600000</v>
      </c>
      <c r="V105" s="3">
        <v>388400000</v>
      </c>
      <c r="W105" s="3">
        <v>448100000</v>
      </c>
      <c r="X105" s="3">
        <v>404600000</v>
      </c>
      <c r="Y105" s="3">
        <v>428764704</v>
      </c>
      <c r="Z105" s="3">
        <v>605492544</v>
      </c>
      <c r="AA105" s="3">
        <v>691590528</v>
      </c>
      <c r="AB105" s="3">
        <v>861411456</v>
      </c>
      <c r="AC105" s="3">
        <v>926422528</v>
      </c>
      <c r="AD105" s="3">
        <v>1110850048</v>
      </c>
      <c r="AE105" s="3">
        <v>886290688</v>
      </c>
      <c r="AF105" s="3">
        <v>947672000</v>
      </c>
      <c r="AG105" s="3">
        <v>834279360</v>
      </c>
      <c r="AH105" s="3">
        <v>1093574528</v>
      </c>
      <c r="AI105" s="3">
        <v>1274190336</v>
      </c>
      <c r="AJ105" s="3">
        <v>1484092544</v>
      </c>
      <c r="AK105" s="3">
        <v>1793388672</v>
      </c>
      <c r="AL105" s="3">
        <v>2626380544</v>
      </c>
      <c r="AM105" s="3">
        <v>2936612096</v>
      </c>
      <c r="AN105" s="3">
        <v>3532968960</v>
      </c>
      <c r="AO105" s="3">
        <v>3875409920</v>
      </c>
      <c r="AP105" s="3">
        <v>4368397824</v>
      </c>
      <c r="AQ105" s="3">
        <v>4422276608</v>
      </c>
      <c r="AR105" s="3">
        <v>4979999744</v>
      </c>
      <c r="AS105" s="3">
        <v>5145757696</v>
      </c>
      <c r="AT105" s="3">
        <v>5240606208</v>
      </c>
      <c r="AU105" s="3">
        <v>4787367936</v>
      </c>
      <c r="AV105" s="3">
        <v>3128953600</v>
      </c>
      <c r="AW105" s="3">
        <v>3210064384</v>
      </c>
      <c r="AX105" s="3">
        <v>3458090496</v>
      </c>
      <c r="AY105" s="3">
        <v>3985250816</v>
      </c>
      <c r="AZ105" s="3">
        <v>83439006752</v>
      </c>
    </row>
    <row r="106" spans="1:52" x14ac:dyDescent="0.45">
      <c r="A106" s="4" t="s">
        <v>161</v>
      </c>
      <c r="B106" s="3">
        <v>112137760</v>
      </c>
      <c r="C106" s="3">
        <v>136465328</v>
      </c>
      <c r="D106" s="3">
        <v>146741248</v>
      </c>
      <c r="E106" s="3">
        <v>221902016</v>
      </c>
      <c r="F106" s="3">
        <v>264312000</v>
      </c>
      <c r="G106" s="3">
        <v>288302912</v>
      </c>
      <c r="H106" s="3">
        <v>272539104</v>
      </c>
      <c r="I106" s="3">
        <v>304047840</v>
      </c>
      <c r="J106" s="3">
        <v>340616384</v>
      </c>
      <c r="K106" s="3">
        <v>412093120</v>
      </c>
      <c r="L106" s="3">
        <v>542000512</v>
      </c>
      <c r="M106" s="3">
        <v>571542656</v>
      </c>
      <c r="N106" s="3">
        <v>537576000</v>
      </c>
      <c r="O106" s="3">
        <v>555336128</v>
      </c>
      <c r="P106" s="3">
        <v>494475712</v>
      </c>
      <c r="Q106" s="3">
        <v>361014880</v>
      </c>
      <c r="R106" s="3">
        <v>449146624</v>
      </c>
      <c r="S106" s="3">
        <v>584135552</v>
      </c>
      <c r="T106" s="3">
        <v>692016704</v>
      </c>
      <c r="U106" s="3">
        <v>696915456</v>
      </c>
      <c r="V106" s="3">
        <v>1114703104</v>
      </c>
      <c r="W106" s="3">
        <v>1156141952</v>
      </c>
      <c r="X106" s="3">
        <v>1284766208</v>
      </c>
      <c r="Y106" s="3">
        <v>1357207040</v>
      </c>
      <c r="Z106" s="3">
        <v>1419293440</v>
      </c>
      <c r="AA106" s="3">
        <v>1698982400</v>
      </c>
      <c r="AB106" s="3">
        <v>1602760064</v>
      </c>
      <c r="AC106" s="3">
        <v>1716699904</v>
      </c>
      <c r="AD106" s="3">
        <v>1576904320</v>
      </c>
      <c r="AE106" s="3">
        <v>1547884416</v>
      </c>
      <c r="AF106" s="3">
        <v>1738100864</v>
      </c>
      <c r="AG106" s="3">
        <v>1542477312</v>
      </c>
      <c r="AH106" s="3">
        <v>1432228224</v>
      </c>
      <c r="AI106" s="3">
        <v>2197612800</v>
      </c>
      <c r="AJ106" s="3">
        <v>2770082816</v>
      </c>
      <c r="AK106" s="3">
        <v>3178126592</v>
      </c>
      <c r="AL106" s="3">
        <v>3291353856</v>
      </c>
      <c r="AM106" s="3">
        <v>3469363968</v>
      </c>
      <c r="AN106" s="3">
        <v>3294093312</v>
      </c>
      <c r="AO106" s="3">
        <v>3580417280</v>
      </c>
      <c r="AP106" s="3">
        <v>4438778368</v>
      </c>
      <c r="AQ106" s="3">
        <v>4820499456</v>
      </c>
      <c r="AR106" s="3">
        <v>4886658560</v>
      </c>
      <c r="AS106" s="3">
        <v>4597702656</v>
      </c>
      <c r="AT106" s="3">
        <v>4422304768</v>
      </c>
      <c r="AU106" s="3">
        <v>4073391104</v>
      </c>
      <c r="AV106" s="3">
        <v>3840677888</v>
      </c>
      <c r="AW106" s="3">
        <v>4446248448</v>
      </c>
      <c r="AX106" s="3">
        <v>4710618624</v>
      </c>
      <c r="AY106" s="3">
        <v>4405405696</v>
      </c>
      <c r="AZ106" s="3">
        <v>93594803376</v>
      </c>
    </row>
    <row r="107" spans="1:52" x14ac:dyDescent="0.45">
      <c r="A107" s="4" t="s">
        <v>162</v>
      </c>
      <c r="B107" s="3">
        <v>7086538240</v>
      </c>
      <c r="C107" s="3">
        <v>7375000064</v>
      </c>
      <c r="D107" s="3">
        <v>8177884672</v>
      </c>
      <c r="E107" s="3">
        <v>10838587392</v>
      </c>
      <c r="F107" s="3">
        <v>13703000064</v>
      </c>
      <c r="G107" s="3">
        <v>14882748416</v>
      </c>
      <c r="H107" s="3">
        <v>16985210880</v>
      </c>
      <c r="I107" s="3">
        <v>19779315712</v>
      </c>
      <c r="J107" s="3">
        <v>24006569984</v>
      </c>
      <c r="K107" s="3">
        <v>27371698176</v>
      </c>
      <c r="L107" s="3">
        <v>32353439744</v>
      </c>
      <c r="M107" s="3">
        <v>34846109696</v>
      </c>
      <c r="N107" s="3">
        <v>36589797376</v>
      </c>
      <c r="O107" s="3">
        <v>40042827776</v>
      </c>
      <c r="P107" s="3">
        <v>41797591040</v>
      </c>
      <c r="Q107" s="3">
        <v>38900690944</v>
      </c>
      <c r="R107" s="3">
        <v>43096748032</v>
      </c>
      <c r="S107" s="3">
        <v>50535440384</v>
      </c>
      <c r="T107" s="3">
        <v>61667201024</v>
      </c>
      <c r="U107" s="3">
        <v>72250875904</v>
      </c>
      <c r="V107" s="3">
        <v>85343059968</v>
      </c>
      <c r="W107" s="3">
        <v>98234695680</v>
      </c>
      <c r="X107" s="3">
        <v>111452872704</v>
      </c>
      <c r="Y107" s="3">
        <v>128889315328</v>
      </c>
      <c r="Z107" s="3">
        <v>146683494400</v>
      </c>
      <c r="AA107" s="3">
        <v>169278750720</v>
      </c>
      <c r="AB107" s="3">
        <v>183035117568</v>
      </c>
      <c r="AC107" s="3">
        <v>150180626432</v>
      </c>
      <c r="AD107" s="3">
        <v>113675558912</v>
      </c>
      <c r="AE107" s="3">
        <v>126669062144</v>
      </c>
      <c r="AF107" s="3">
        <v>126392229888</v>
      </c>
      <c r="AG107" s="3">
        <v>120296472576</v>
      </c>
      <c r="AH107" s="3">
        <v>134300852224</v>
      </c>
      <c r="AI107" s="3">
        <v>152280678400</v>
      </c>
      <c r="AJ107" s="3">
        <v>172895748096</v>
      </c>
      <c r="AK107" s="3">
        <v>189318545408</v>
      </c>
      <c r="AL107" s="3">
        <v>221758193664</v>
      </c>
      <c r="AM107" s="3">
        <v>262942474240</v>
      </c>
      <c r="AN107" s="3">
        <v>291382984704</v>
      </c>
      <c r="AO107" s="3">
        <v>281710428160</v>
      </c>
      <c r="AP107" s="3">
        <v>341104820224</v>
      </c>
      <c r="AQ107" s="3">
        <v>370819137536</v>
      </c>
      <c r="AR107" s="3">
        <v>397558218752</v>
      </c>
      <c r="AS107" s="3">
        <v>420333191168</v>
      </c>
      <c r="AT107" s="3">
        <v>407339368448</v>
      </c>
      <c r="AU107" s="3">
        <v>401295933440</v>
      </c>
      <c r="AV107" s="3">
        <v>413430120448</v>
      </c>
      <c r="AW107" s="3">
        <v>456294694912</v>
      </c>
      <c r="AX107" s="3">
        <v>506514112512</v>
      </c>
      <c r="AY107" s="3">
        <v>543649988608</v>
      </c>
      <c r="AZ107" s="3">
        <v>8127348022784</v>
      </c>
    </row>
    <row r="108" spans="1:52" x14ac:dyDescent="0.45">
      <c r="A108" s="4" t="s">
        <v>163</v>
      </c>
      <c r="B108" s="3">
        <v>253976624</v>
      </c>
      <c r="C108" s="3">
        <v>286537536</v>
      </c>
      <c r="D108" s="3">
        <v>335677632</v>
      </c>
      <c r="E108" s="3">
        <v>406479904</v>
      </c>
      <c r="F108" s="3">
        <v>560437760</v>
      </c>
      <c r="G108" s="3">
        <v>617321664</v>
      </c>
      <c r="H108" s="3">
        <v>619375104</v>
      </c>
      <c r="I108" s="3">
        <v>777435008</v>
      </c>
      <c r="J108" s="3">
        <v>824263872</v>
      </c>
      <c r="K108" s="3">
        <v>891775936</v>
      </c>
      <c r="L108" s="3">
        <v>1136408832</v>
      </c>
      <c r="M108" s="3">
        <v>962347008</v>
      </c>
      <c r="N108" s="3">
        <v>821651904</v>
      </c>
      <c r="O108" s="3">
        <v>765746560</v>
      </c>
      <c r="P108" s="3">
        <v>718148928</v>
      </c>
      <c r="Q108" s="3">
        <v>762359744</v>
      </c>
      <c r="R108" s="3">
        <v>1060911744</v>
      </c>
      <c r="S108" s="3">
        <v>1249099136</v>
      </c>
      <c r="T108" s="3">
        <v>1378847488</v>
      </c>
      <c r="U108" s="3">
        <v>1352949632</v>
      </c>
      <c r="V108" s="3">
        <v>1628427520</v>
      </c>
      <c r="W108" s="3">
        <v>1602299904</v>
      </c>
      <c r="X108" s="3">
        <v>1692959104</v>
      </c>
      <c r="Y108" s="3">
        <v>1233496832</v>
      </c>
      <c r="Z108" s="3">
        <v>982624320</v>
      </c>
      <c r="AA108" s="3">
        <v>1309382912</v>
      </c>
      <c r="AB108" s="3">
        <v>1465448320</v>
      </c>
      <c r="AC108" s="3">
        <v>1498950912</v>
      </c>
      <c r="AD108" s="3">
        <v>1587345920</v>
      </c>
      <c r="AE108" s="3">
        <v>1576094592</v>
      </c>
      <c r="AF108" s="3">
        <v>1488185728</v>
      </c>
      <c r="AG108" s="3">
        <v>1481141888</v>
      </c>
      <c r="AH108" s="3">
        <v>1698678656</v>
      </c>
      <c r="AI108" s="3">
        <v>2111093248</v>
      </c>
      <c r="AJ108" s="3">
        <v>2255942144</v>
      </c>
      <c r="AK108" s="3">
        <v>2280575744</v>
      </c>
      <c r="AL108" s="3">
        <v>2349495552</v>
      </c>
      <c r="AM108" s="3">
        <v>2659095040</v>
      </c>
      <c r="AN108" s="3">
        <v>3310277888</v>
      </c>
      <c r="AO108" s="3">
        <v>3365711872</v>
      </c>
      <c r="AP108" s="3">
        <v>3429461504</v>
      </c>
      <c r="AQ108" s="3">
        <v>3872459264</v>
      </c>
      <c r="AR108" s="3">
        <v>3873308416</v>
      </c>
      <c r="AS108" s="3">
        <v>4321655808</v>
      </c>
      <c r="AT108" s="3">
        <v>4574986752</v>
      </c>
      <c r="AU108" s="3">
        <v>4180866304</v>
      </c>
      <c r="AV108" s="3">
        <v>4486979072</v>
      </c>
      <c r="AW108" s="3">
        <v>4819950080</v>
      </c>
      <c r="AX108" s="3">
        <v>5356344832</v>
      </c>
      <c r="AY108" s="3">
        <v>5459979264</v>
      </c>
      <c r="AZ108" s="3">
        <v>97734971408</v>
      </c>
    </row>
    <row r="109" spans="1:52" x14ac:dyDescent="0.45">
      <c r="A109" s="4" t="s">
        <v>164</v>
      </c>
      <c r="B109" s="3">
        <v>821849984</v>
      </c>
      <c r="C109" s="3">
        <v>896754304</v>
      </c>
      <c r="D109" s="3">
        <v>1083380992</v>
      </c>
      <c r="E109" s="3">
        <v>1308799488</v>
      </c>
      <c r="F109" s="3">
        <v>2042031872</v>
      </c>
      <c r="G109" s="3">
        <v>2442667520</v>
      </c>
      <c r="H109" s="3">
        <v>2500410624</v>
      </c>
      <c r="I109" s="3">
        <v>3138666752</v>
      </c>
      <c r="J109" s="3">
        <v>3562333440</v>
      </c>
      <c r="K109" s="3">
        <v>4602416640</v>
      </c>
      <c r="L109" s="3">
        <v>6235833344</v>
      </c>
      <c r="M109" s="3">
        <v>6992083456</v>
      </c>
      <c r="N109" s="3">
        <v>8140416512</v>
      </c>
      <c r="O109" s="3">
        <v>7763749888</v>
      </c>
      <c r="P109" s="3">
        <v>7757083136</v>
      </c>
      <c r="Q109" s="3">
        <v>7375918592</v>
      </c>
      <c r="R109" s="3">
        <v>4794444288</v>
      </c>
      <c r="S109" s="3">
        <v>4797777920</v>
      </c>
      <c r="T109" s="3">
        <v>4496851968</v>
      </c>
      <c r="U109" s="3">
        <v>4323058688</v>
      </c>
      <c r="V109" s="3">
        <v>5068000256</v>
      </c>
      <c r="W109" s="3">
        <v>5307906048</v>
      </c>
      <c r="X109" s="3">
        <v>5439553024</v>
      </c>
      <c r="Y109" s="3">
        <v>4669488640</v>
      </c>
      <c r="Z109" s="3">
        <v>4947205632</v>
      </c>
      <c r="AA109" s="3">
        <v>5329213952</v>
      </c>
      <c r="AB109" s="3">
        <v>5759537664</v>
      </c>
      <c r="AC109" s="3">
        <v>5737751552</v>
      </c>
      <c r="AD109" s="3">
        <v>6043694080</v>
      </c>
      <c r="AE109" s="3">
        <v>6808982528</v>
      </c>
      <c r="AF109" s="3">
        <v>8154338304</v>
      </c>
      <c r="AG109" s="3">
        <v>8824872960</v>
      </c>
      <c r="AH109" s="3">
        <v>9008273408</v>
      </c>
      <c r="AI109" s="3">
        <v>11305459712</v>
      </c>
      <c r="AJ109" s="3">
        <v>13280275456</v>
      </c>
      <c r="AK109" s="3">
        <v>15982282752</v>
      </c>
      <c r="AL109" s="3">
        <v>18369361920</v>
      </c>
      <c r="AM109" s="3">
        <v>21641619456</v>
      </c>
      <c r="AN109" s="3">
        <v>27871588352</v>
      </c>
      <c r="AO109" s="3">
        <v>19172165632</v>
      </c>
      <c r="AP109" s="3">
        <v>22157948928</v>
      </c>
      <c r="AQ109" s="3">
        <v>25433012224</v>
      </c>
      <c r="AR109" s="3">
        <v>25763219456</v>
      </c>
      <c r="AS109" s="3">
        <v>27268478976</v>
      </c>
      <c r="AT109" s="3">
        <v>27615842304</v>
      </c>
      <c r="AU109" s="3">
        <v>25062893568</v>
      </c>
      <c r="AV109" s="3">
        <v>22284779520</v>
      </c>
      <c r="AW109" s="3">
        <v>22474827776</v>
      </c>
      <c r="AX109" s="3">
        <v>23808147456</v>
      </c>
      <c r="AY109" s="3">
        <v>24100202496</v>
      </c>
      <c r="AZ109" s="3">
        <v>539767453440</v>
      </c>
    </row>
    <row r="110" spans="1:52" x14ac:dyDescent="0.45">
      <c r="A110" s="4" t="s">
        <v>165</v>
      </c>
      <c r="B110" s="3">
        <v>1439238144</v>
      </c>
      <c r="C110" s="3">
        <v>1685217024</v>
      </c>
      <c r="D110" s="3">
        <v>2237476352</v>
      </c>
      <c r="E110" s="3">
        <v>2730787584</v>
      </c>
      <c r="F110" s="3">
        <v>3545933568</v>
      </c>
      <c r="G110" s="3">
        <v>4328610304</v>
      </c>
      <c r="H110" s="3">
        <v>4507929088</v>
      </c>
      <c r="I110" s="3">
        <v>5109323776</v>
      </c>
      <c r="J110" s="3">
        <v>5968044032</v>
      </c>
      <c r="K110" s="3">
        <v>7188191744</v>
      </c>
      <c r="L110" s="3">
        <v>8744134656</v>
      </c>
      <c r="M110" s="3">
        <v>8428513792</v>
      </c>
      <c r="N110" s="3">
        <v>8133401088</v>
      </c>
      <c r="O110" s="3">
        <v>8350176768</v>
      </c>
      <c r="P110" s="3">
        <v>8254892032</v>
      </c>
      <c r="Q110" s="3">
        <v>8410185728</v>
      </c>
      <c r="R110" s="3">
        <v>9018135552</v>
      </c>
      <c r="S110" s="3">
        <v>9696271360</v>
      </c>
      <c r="T110" s="3">
        <v>10096292864</v>
      </c>
      <c r="U110" s="3">
        <v>10102075392</v>
      </c>
      <c r="V110" s="3">
        <v>12290568192</v>
      </c>
      <c r="W110" s="3">
        <v>13074782208</v>
      </c>
      <c r="X110" s="3">
        <v>15497286656</v>
      </c>
      <c r="Y110" s="3">
        <v>14608947200</v>
      </c>
      <c r="Z110" s="3">
        <v>15632463872</v>
      </c>
      <c r="AA110" s="3">
        <v>18030876672</v>
      </c>
      <c r="AB110" s="3">
        <v>19587321856</v>
      </c>
      <c r="AC110" s="3">
        <v>20746360832</v>
      </c>
      <c r="AD110" s="3">
        <v>21803372544</v>
      </c>
      <c r="AE110" s="3">
        <v>22943686656</v>
      </c>
      <c r="AF110" s="3">
        <v>21473189888</v>
      </c>
      <c r="AG110" s="3">
        <v>22066102272</v>
      </c>
      <c r="AH110" s="3">
        <v>23142293504</v>
      </c>
      <c r="AI110" s="3">
        <v>27453085696</v>
      </c>
      <c r="AJ110" s="3">
        <v>31183138816</v>
      </c>
      <c r="AK110" s="3">
        <v>32273006592</v>
      </c>
      <c r="AL110" s="3">
        <v>34378436608</v>
      </c>
      <c r="AM110" s="3">
        <v>38908067840</v>
      </c>
      <c r="AN110" s="3">
        <v>44856586240</v>
      </c>
      <c r="AO110" s="3">
        <v>43454935040</v>
      </c>
      <c r="AP110" s="3">
        <v>44050927616</v>
      </c>
      <c r="AQ110" s="3">
        <v>45810626560</v>
      </c>
      <c r="AR110" s="3">
        <v>45044113408</v>
      </c>
      <c r="AS110" s="3">
        <v>46251061248</v>
      </c>
      <c r="AT110" s="3">
        <v>47632326656</v>
      </c>
      <c r="AU110" s="3">
        <v>43173482496</v>
      </c>
      <c r="AV110" s="3">
        <v>41801211904</v>
      </c>
      <c r="AW110" s="3">
        <v>39802429440</v>
      </c>
      <c r="AX110" s="3">
        <v>39770296320</v>
      </c>
      <c r="AY110" s="3">
        <v>38797709312</v>
      </c>
      <c r="AZ110" s="3">
        <v>1053513524992</v>
      </c>
    </row>
    <row r="111" spans="1:52" x14ac:dyDescent="0.45">
      <c r="A111" s="4" t="s">
        <v>166</v>
      </c>
      <c r="B111" s="3">
        <v>17086956544</v>
      </c>
      <c r="C111" s="3">
        <v>16256619520</v>
      </c>
      <c r="D111" s="3">
        <v>20431095808</v>
      </c>
      <c r="E111" s="3">
        <v>25724381184</v>
      </c>
      <c r="F111" s="3">
        <v>35599912960</v>
      </c>
      <c r="G111" s="3">
        <v>44633706496</v>
      </c>
      <c r="H111" s="3">
        <v>51280134144</v>
      </c>
      <c r="I111" s="3">
        <v>58676813824</v>
      </c>
      <c r="J111" s="3">
        <v>65147023360</v>
      </c>
      <c r="K111" s="3">
        <v>89394085888</v>
      </c>
      <c r="L111" s="3">
        <v>68789288960</v>
      </c>
      <c r="M111" s="3">
        <v>71040016384</v>
      </c>
      <c r="N111" s="3">
        <v>64546332672</v>
      </c>
      <c r="O111" s="3">
        <v>61678280704</v>
      </c>
      <c r="P111" s="3">
        <v>59989909504</v>
      </c>
      <c r="Q111" s="3">
        <v>67234947072</v>
      </c>
      <c r="R111" s="3">
        <v>75728011264</v>
      </c>
      <c r="S111" s="3">
        <v>87172792320</v>
      </c>
      <c r="T111" s="3">
        <v>90852810752</v>
      </c>
      <c r="U111" s="3">
        <v>107143348224</v>
      </c>
      <c r="V111" s="3">
        <v>150676291584</v>
      </c>
      <c r="W111" s="3">
        <v>150027829248</v>
      </c>
      <c r="X111" s="3">
        <v>158459133952</v>
      </c>
      <c r="Y111" s="3">
        <v>180169736192</v>
      </c>
      <c r="Z111" s="3">
        <v>130690170880</v>
      </c>
      <c r="AA111" s="3">
        <v>169485942784</v>
      </c>
      <c r="AB111" s="3">
        <v>181475557376</v>
      </c>
      <c r="AC111" s="3">
        <v>189834641408</v>
      </c>
      <c r="AD111" s="3">
        <v>275768705024</v>
      </c>
      <c r="AE111" s="3">
        <v>255884296192</v>
      </c>
      <c r="AF111" s="3">
        <v>272979394560</v>
      </c>
      <c r="AG111" s="3">
        <v>200251932672</v>
      </c>
      <c r="AH111" s="3">
        <v>238428127232</v>
      </c>
      <c r="AI111" s="3">
        <v>311823007744</v>
      </c>
      <c r="AJ111" s="3">
        <v>404786741248</v>
      </c>
      <c r="AK111" s="3">
        <v>501416296448</v>
      </c>
      <c r="AL111" s="3">
        <v>552486895616</v>
      </c>
      <c r="AM111" s="3">
        <v>675770138624</v>
      </c>
      <c r="AN111" s="3">
        <v>764335685632</v>
      </c>
      <c r="AO111" s="3">
        <v>644639883264</v>
      </c>
      <c r="AP111" s="3">
        <v>771901751296</v>
      </c>
      <c r="AQ111" s="3">
        <v>832523665408</v>
      </c>
      <c r="AR111" s="3">
        <v>873982263296</v>
      </c>
      <c r="AS111" s="3">
        <v>950579429376</v>
      </c>
      <c r="AT111" s="3">
        <v>934185926656</v>
      </c>
      <c r="AU111" s="3">
        <v>859796865024</v>
      </c>
      <c r="AV111" s="3">
        <v>863721619456</v>
      </c>
      <c r="AW111" s="3">
        <v>852676771840</v>
      </c>
      <c r="AX111" s="3">
        <v>771350331392</v>
      </c>
      <c r="AY111" s="3">
        <v>754411700224</v>
      </c>
      <c r="AZ111" s="3">
        <v>16052927199232</v>
      </c>
    </row>
    <row r="112" spans="1:52" x14ac:dyDescent="0.45">
      <c r="A112" s="4" t="s">
        <v>167</v>
      </c>
      <c r="B112" s="3">
        <v>2137096832</v>
      </c>
      <c r="C112" s="3">
        <v>2807258112</v>
      </c>
      <c r="D112" s="3">
        <v>2189417984</v>
      </c>
      <c r="E112" s="3">
        <v>3964295680</v>
      </c>
      <c r="F112" s="3">
        <v>4090209792</v>
      </c>
      <c r="G112" s="3">
        <v>3538283264</v>
      </c>
      <c r="H112" s="3">
        <v>3667161344</v>
      </c>
      <c r="I112" s="3">
        <v>4114667008</v>
      </c>
      <c r="J112" s="3">
        <v>4910257152</v>
      </c>
      <c r="K112" s="3">
        <v>7181185024</v>
      </c>
      <c r="L112" s="3">
        <v>10163019776</v>
      </c>
      <c r="M112" s="3">
        <v>11048335360</v>
      </c>
      <c r="N112" s="3">
        <v>9178802176</v>
      </c>
      <c r="O112" s="3">
        <v>5102281216</v>
      </c>
      <c r="P112" s="3">
        <v>4850241536</v>
      </c>
      <c r="Q112" s="3">
        <v>4732017664</v>
      </c>
      <c r="R112" s="3">
        <v>5880112640</v>
      </c>
      <c r="S112" s="3">
        <v>7367494144</v>
      </c>
      <c r="T112" s="3">
        <v>8213515264</v>
      </c>
      <c r="U112" s="3">
        <v>8438951424</v>
      </c>
      <c r="V112" s="3">
        <v>9298839552</v>
      </c>
      <c r="W112" s="3">
        <v>11205970944</v>
      </c>
      <c r="X112" s="3">
        <v>12878199808</v>
      </c>
      <c r="Y112" s="3">
        <v>15002106880</v>
      </c>
      <c r="Z112" s="3">
        <v>17474648064</v>
      </c>
      <c r="AA112" s="3">
        <v>19297662976</v>
      </c>
      <c r="AB112" s="3">
        <v>20515543040</v>
      </c>
      <c r="AC112" s="3">
        <v>23969822720</v>
      </c>
      <c r="AD112" s="3">
        <v>25385928704</v>
      </c>
      <c r="AE112" s="3">
        <v>23983945728</v>
      </c>
      <c r="AF112" s="3">
        <v>22823256064</v>
      </c>
      <c r="AG112" s="3">
        <v>20898789376</v>
      </c>
      <c r="AH112" s="3">
        <v>13606494208</v>
      </c>
      <c r="AI112" s="3">
        <v>12045631488</v>
      </c>
      <c r="AJ112" s="3">
        <v>13686330368</v>
      </c>
      <c r="AK112" s="3">
        <v>17362857984</v>
      </c>
      <c r="AL112" s="3">
        <v>19579457536</v>
      </c>
      <c r="AM112" s="3">
        <v>23410573312</v>
      </c>
      <c r="AN112" s="3">
        <v>30366212096</v>
      </c>
      <c r="AO112" s="3">
        <v>31660910592</v>
      </c>
      <c r="AP112" s="3">
        <v>40284483584</v>
      </c>
      <c r="AQ112" s="3">
        <v>47962439680</v>
      </c>
      <c r="AR112" s="3">
        <v>51264389120</v>
      </c>
      <c r="AS112" s="3">
        <v>57531232256</v>
      </c>
      <c r="AT112" s="3">
        <v>57236013056</v>
      </c>
      <c r="AU112" s="3">
        <v>53274304512</v>
      </c>
      <c r="AV112" s="3">
        <v>52687613952</v>
      </c>
      <c r="AW112" s="3">
        <v>59530088448</v>
      </c>
      <c r="AX112" s="3">
        <v>59596886016</v>
      </c>
      <c r="AY112" s="3">
        <v>56045912064</v>
      </c>
      <c r="AZ112" s="3">
        <v>1033441147520</v>
      </c>
    </row>
    <row r="113" spans="1:52" x14ac:dyDescent="0.45">
      <c r="A113" s="4" t="s">
        <v>168</v>
      </c>
      <c r="B113" s="3">
        <v>1825285760</v>
      </c>
      <c r="C113" s="3">
        <v>1687000064</v>
      </c>
      <c r="D113" s="3">
        <v>1910714240</v>
      </c>
      <c r="E113" s="3">
        <v>2268714240</v>
      </c>
      <c r="F113" s="3">
        <v>3121833216</v>
      </c>
      <c r="G113" s="3">
        <v>2618666752</v>
      </c>
      <c r="H113" s="3">
        <v>2746714368</v>
      </c>
      <c r="I113" s="3">
        <v>2483000064</v>
      </c>
      <c r="J113" s="3">
        <v>2813374976</v>
      </c>
      <c r="K113" s="3">
        <v>3325499904</v>
      </c>
      <c r="L113" s="3">
        <v>3829499904</v>
      </c>
      <c r="M113" s="3">
        <v>3872666624</v>
      </c>
      <c r="N113" s="3">
        <v>3994777856</v>
      </c>
      <c r="O113" s="3">
        <v>3216307712</v>
      </c>
      <c r="P113" s="3">
        <v>2739444480</v>
      </c>
      <c r="Q113" s="3">
        <v>2281257984</v>
      </c>
      <c r="R113" s="3">
        <v>1661948672</v>
      </c>
      <c r="S113" s="3">
        <v>2269894656</v>
      </c>
      <c r="T113" s="3">
        <v>3713614336</v>
      </c>
      <c r="U113" s="3">
        <v>3998637568</v>
      </c>
      <c r="V113" s="3">
        <v>3285217280</v>
      </c>
      <c r="W113" s="3">
        <v>3378882304</v>
      </c>
      <c r="X113" s="3">
        <v>3181921792</v>
      </c>
      <c r="Y113" s="3">
        <v>3273237760</v>
      </c>
      <c r="Z113" s="3">
        <v>3656647680</v>
      </c>
      <c r="AA113" s="3">
        <v>3807067136</v>
      </c>
      <c r="AB113" s="3">
        <v>3597220864</v>
      </c>
      <c r="AC113" s="3">
        <v>4303282176</v>
      </c>
      <c r="AD113" s="3">
        <v>3537682944</v>
      </c>
      <c r="AE113" s="3">
        <v>3404312064</v>
      </c>
      <c r="AF113" s="3">
        <v>3600683008</v>
      </c>
      <c r="AG113" s="3">
        <v>4094480896</v>
      </c>
      <c r="AH113" s="3">
        <v>4193845760</v>
      </c>
      <c r="AI113" s="3">
        <v>4901839872</v>
      </c>
      <c r="AJ113" s="3">
        <v>6221077504</v>
      </c>
      <c r="AK113" s="3">
        <v>8331870208</v>
      </c>
      <c r="AL113" s="3">
        <v>12756858880</v>
      </c>
      <c r="AM113" s="3">
        <v>14056957952</v>
      </c>
      <c r="AN113" s="3">
        <v>17910857728</v>
      </c>
      <c r="AO113" s="3">
        <v>15328342016</v>
      </c>
      <c r="AP113" s="3">
        <v>20265560064</v>
      </c>
      <c r="AQ113" s="3">
        <v>23459514368</v>
      </c>
      <c r="AR113" s="3">
        <v>25503059968</v>
      </c>
      <c r="AS113" s="3">
        <v>28045512704</v>
      </c>
      <c r="AT113" s="3">
        <v>27150647296</v>
      </c>
      <c r="AU113" s="3">
        <v>21243346944</v>
      </c>
      <c r="AV113" s="3">
        <v>20954761216</v>
      </c>
      <c r="AW113" s="3">
        <v>25868142592</v>
      </c>
      <c r="AX113" s="3">
        <v>27005239296</v>
      </c>
      <c r="AY113" s="3">
        <v>23064723456</v>
      </c>
      <c r="AZ113" s="3">
        <v>425761647104</v>
      </c>
    </row>
    <row r="114" spans="1:52" x14ac:dyDescent="0.45">
      <c r="A114" s="4" t="s">
        <v>169</v>
      </c>
      <c r="B114" s="3">
        <v>1884206336</v>
      </c>
      <c r="C114" s="3">
        <v>2178716416</v>
      </c>
      <c r="D114" s="3">
        <v>2677729280</v>
      </c>
      <c r="E114" s="3">
        <v>3309353472</v>
      </c>
      <c r="F114" s="3">
        <v>3982161408</v>
      </c>
      <c r="G114" s="3">
        <v>4371300864</v>
      </c>
      <c r="H114" s="3">
        <v>4318371840</v>
      </c>
      <c r="I114" s="3">
        <v>4364382208</v>
      </c>
      <c r="J114" s="3">
        <v>4351600640</v>
      </c>
      <c r="K114" s="3">
        <v>5177459200</v>
      </c>
      <c r="L114" s="3">
        <v>6678867968</v>
      </c>
      <c r="M114" s="3">
        <v>8011373568</v>
      </c>
      <c r="N114" s="3">
        <v>8539700736</v>
      </c>
      <c r="O114" s="3">
        <v>7764066816</v>
      </c>
      <c r="P114" s="3">
        <v>6352125952</v>
      </c>
      <c r="Q114" s="3">
        <v>5637259264</v>
      </c>
      <c r="R114" s="3">
        <v>6217523712</v>
      </c>
      <c r="S114" s="3">
        <v>6741215232</v>
      </c>
      <c r="T114" s="3">
        <v>7814784000</v>
      </c>
      <c r="U114" s="3">
        <v>8286322688</v>
      </c>
      <c r="V114" s="3">
        <v>8783816704</v>
      </c>
      <c r="W114" s="3">
        <v>8641481728</v>
      </c>
      <c r="X114" s="3">
        <v>6751472128</v>
      </c>
      <c r="Y114" s="3">
        <v>6563813376</v>
      </c>
      <c r="Z114" s="3">
        <v>6890675200</v>
      </c>
      <c r="AA114" s="3">
        <v>7111270912</v>
      </c>
      <c r="AB114" s="3">
        <v>8553146368</v>
      </c>
      <c r="AC114" s="3">
        <v>8529571840</v>
      </c>
      <c r="AD114" s="3">
        <v>6401968128</v>
      </c>
      <c r="AE114" s="3">
        <v>6858013184</v>
      </c>
      <c r="AF114" s="3">
        <v>6689957376</v>
      </c>
      <c r="AG114" s="3">
        <v>6777384448</v>
      </c>
      <c r="AH114" s="3">
        <v>6342116352</v>
      </c>
      <c r="AI114" s="3">
        <v>5727591936</v>
      </c>
      <c r="AJ114" s="3">
        <v>5805598208</v>
      </c>
      <c r="AK114" s="3">
        <v>5755215360</v>
      </c>
      <c r="AL114" s="3">
        <v>5443896320</v>
      </c>
      <c r="AM114" s="3">
        <v>5291950080</v>
      </c>
      <c r="AN114" s="3">
        <v>4415703040</v>
      </c>
      <c r="AO114" s="3">
        <v>9665793024</v>
      </c>
      <c r="AP114" s="3">
        <v>12041655296</v>
      </c>
      <c r="AQ114" s="3">
        <v>14101920768</v>
      </c>
      <c r="AR114" s="3">
        <v>17114850304</v>
      </c>
      <c r="AS114" s="3">
        <v>19091019776</v>
      </c>
      <c r="AT114" s="3">
        <v>19495520256</v>
      </c>
      <c r="AU114" s="3">
        <v>19963119616</v>
      </c>
      <c r="AV114" s="3">
        <v>20548677632</v>
      </c>
      <c r="AW114" s="3">
        <v>22040901632</v>
      </c>
      <c r="AX114" s="3">
        <v>24311560192</v>
      </c>
      <c r="AY114" s="3">
        <v>21440759808</v>
      </c>
      <c r="AZ114" s="3">
        <v>435808942592</v>
      </c>
    </row>
    <row r="115" spans="1:52" x14ac:dyDescent="0.45">
      <c r="A115" s="2" t="s">
        <v>53</v>
      </c>
      <c r="B115" s="3">
        <v>2745717732328</v>
      </c>
      <c r="C115" s="3">
        <v>3032398419716</v>
      </c>
      <c r="D115" s="3">
        <v>3499721257818</v>
      </c>
      <c r="E115" s="3">
        <v>4260682783610</v>
      </c>
      <c r="F115" s="3">
        <v>4875445044516</v>
      </c>
      <c r="G115" s="3">
        <v>5429630191888</v>
      </c>
      <c r="H115" s="3">
        <v>5878933438276</v>
      </c>
      <c r="I115" s="3">
        <v>6635878970804</v>
      </c>
      <c r="J115" s="3">
        <v>7858910718292</v>
      </c>
      <c r="K115" s="3">
        <v>9120406888172</v>
      </c>
      <c r="L115" s="3">
        <v>10237255701500</v>
      </c>
      <c r="M115" s="3">
        <v>10574867277624</v>
      </c>
      <c r="N115" s="3">
        <v>10435974093892</v>
      </c>
      <c r="O115" s="3">
        <v>10635935645452</v>
      </c>
      <c r="P115" s="3">
        <v>11030075490096</v>
      </c>
      <c r="Q115" s="3">
        <v>11587743619580</v>
      </c>
      <c r="R115" s="3">
        <v>13762897910146</v>
      </c>
      <c r="S115" s="3">
        <v>15779364657508</v>
      </c>
      <c r="T115" s="3">
        <v>17712353180188</v>
      </c>
      <c r="U115" s="3">
        <v>18569097937304</v>
      </c>
      <c r="V115" s="3">
        <v>21025501311764</v>
      </c>
      <c r="W115" s="3">
        <v>22155469687540</v>
      </c>
      <c r="X115" s="3">
        <v>23604069354532</v>
      </c>
      <c r="Y115" s="3">
        <v>23965032148280</v>
      </c>
      <c r="Z115" s="3">
        <v>25814337490704</v>
      </c>
      <c r="AA115" s="3">
        <v>28703554520060</v>
      </c>
      <c r="AB115" s="3">
        <v>29256363481776</v>
      </c>
      <c r="AC115" s="3">
        <v>29069167559208</v>
      </c>
      <c r="AD115" s="3">
        <v>29261320787144</v>
      </c>
      <c r="AE115" s="3">
        <v>30418451224512</v>
      </c>
      <c r="AF115" s="3">
        <v>31292025457632</v>
      </c>
      <c r="AG115" s="3">
        <v>31017838508664</v>
      </c>
      <c r="AH115" s="3">
        <v>32164282353288</v>
      </c>
      <c r="AI115" s="3">
        <v>36044833728496</v>
      </c>
      <c r="AJ115" s="3">
        <v>40435964116704</v>
      </c>
      <c r="AK115" s="3">
        <v>43434950330872</v>
      </c>
      <c r="AL115" s="3">
        <v>46637571964920</v>
      </c>
      <c r="AM115" s="3">
        <v>52038732761472</v>
      </c>
      <c r="AN115" s="3">
        <v>56362561385200</v>
      </c>
      <c r="AO115" s="3">
        <v>53975686789592</v>
      </c>
      <c r="AP115" s="3">
        <v>58660606800448</v>
      </c>
      <c r="AQ115" s="3">
        <v>64751677696688</v>
      </c>
      <c r="AR115" s="3">
        <v>65967351811584</v>
      </c>
      <c r="AS115" s="3">
        <v>67921403059328</v>
      </c>
      <c r="AT115" s="3">
        <v>70140105597456</v>
      </c>
      <c r="AU115" s="3">
        <v>67169434284528</v>
      </c>
      <c r="AV115" s="3">
        <v>68312324301104</v>
      </c>
      <c r="AW115" s="3">
        <v>72444561151152</v>
      </c>
      <c r="AX115" s="3">
        <v>76946956791520</v>
      </c>
      <c r="AY115" s="3">
        <v>78025703416224</v>
      </c>
      <c r="AZ115" s="3">
        <v>1560681130831102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A056E-A077-4F69-BBF4-301F643C16ED}">
  <sheetPr codeName="Sheet2"/>
  <dimension ref="A1:AZ115"/>
  <sheetViews>
    <sheetView tabSelected="1" topLeftCell="A4" workbookViewId="0">
      <selection activeCell="B9" sqref="B9"/>
    </sheetView>
  </sheetViews>
  <sheetFormatPr defaultRowHeight="14.25" x14ac:dyDescent="0.45"/>
  <cols>
    <col min="1" max="1" width="39.9296875" bestFit="1" customWidth="1"/>
    <col min="2" max="2" width="26.1328125" customWidth="1"/>
    <col min="3" max="62" width="11.73046875" bestFit="1" customWidth="1"/>
    <col min="63" max="75" width="11.59765625" bestFit="1" customWidth="1"/>
    <col min="76" max="77" width="11.73046875" bestFit="1" customWidth="1"/>
    <col min="78" max="81" width="11.59765625" bestFit="1" customWidth="1"/>
    <col min="82" max="91" width="11.73046875" bestFit="1" customWidth="1"/>
    <col min="92" max="131" width="11.59765625" bestFit="1" customWidth="1"/>
    <col min="132" max="132" width="11.73046875" bestFit="1" customWidth="1"/>
    <col min="133" max="133" width="11.59765625" bestFit="1" customWidth="1"/>
    <col min="134" max="146" width="11.73046875" bestFit="1" customWidth="1"/>
    <col min="147" max="151" width="11.59765625" bestFit="1" customWidth="1"/>
    <col min="152" max="153" width="11.73046875" bestFit="1" customWidth="1"/>
    <col min="154" max="155" width="11.59765625" bestFit="1" customWidth="1"/>
  </cols>
  <sheetData>
    <row r="1" spans="1:52" x14ac:dyDescent="0.45">
      <c r="A1" t="s">
        <v>0</v>
      </c>
      <c r="B1" t="s" vm="1">
        <v>62</v>
      </c>
    </row>
    <row r="2" spans="1:52" x14ac:dyDescent="0.45">
      <c r="A2" t="s">
        <v>1</v>
      </c>
      <c r="B2" t="s" vm="2">
        <v>63</v>
      </c>
    </row>
    <row r="3" spans="1:52" x14ac:dyDescent="0.45">
      <c r="A3" t="s">
        <v>58</v>
      </c>
      <c r="B3" t="s" vm="5">
        <v>64</v>
      </c>
    </row>
    <row r="4" spans="1:52" x14ac:dyDescent="0.45">
      <c r="A4" t="s">
        <v>59</v>
      </c>
      <c r="B4" t="s" vm="3">
        <v>65</v>
      </c>
    </row>
    <row r="5" spans="1:52" x14ac:dyDescent="0.45">
      <c r="A5" t="s">
        <v>60</v>
      </c>
      <c r="B5" t="s" vm="4">
        <v>66</v>
      </c>
    </row>
    <row r="7" spans="1:52" x14ac:dyDescent="0.45">
      <c r="A7" t="str" vm="104">
        <f>CUBEMEMBER("DESKTOP-KSAPEQM AS Model","[Measures].[Item]")</f>
        <v>Item</v>
      </c>
      <c r="B7" t="s">
        <v>2</v>
      </c>
    </row>
    <row r="8" spans="1:52" x14ac:dyDescent="0.45">
      <c r="A8" t="s">
        <v>54</v>
      </c>
      <c r="B8" t="str" vm="95">
        <f>CUBEMEMBER("DESKTOP-KSAPEQM AS Model","[Dates].[Year].&amp;[1970]")</f>
        <v>1970</v>
      </c>
      <c r="C8" t="str" vm="86">
        <f>CUBEMEMBER("DESKTOP-KSAPEQM AS Model","[Dates].[Year].&amp;[1971]")</f>
        <v>1971</v>
      </c>
      <c r="D8" t="str" vm="77">
        <f>CUBEMEMBER("DESKTOP-KSAPEQM AS Model","[Dates].[Year].&amp;[1972]")</f>
        <v>1972</v>
      </c>
      <c r="E8" t="str" vm="45">
        <f>CUBEMEMBER("DESKTOP-KSAPEQM AS Model","[Dates].[Year].&amp;[1973]")</f>
        <v>1973</v>
      </c>
      <c r="F8" t="str" vm="69">
        <f>CUBEMEMBER("DESKTOP-KSAPEQM AS Model","[Dates].[Year].&amp;[1974]")</f>
        <v>1974</v>
      </c>
      <c r="G8" t="str" vm="54">
        <f>CUBEMEMBER("DESKTOP-KSAPEQM AS Model","[Dates].[Year].&amp;[1975]")</f>
        <v>1975</v>
      </c>
      <c r="H8" t="str" vm="52">
        <f>CUBEMEMBER("DESKTOP-KSAPEQM AS Model","[Dates].[Year].&amp;[1976]")</f>
        <v>1976</v>
      </c>
      <c r="I8" t="str" vm="49">
        <f>CUBEMEMBER("DESKTOP-KSAPEQM AS Model","[Dates].[Year].&amp;[1977]")</f>
        <v>1977</v>
      </c>
      <c r="J8" t="str" vm="155">
        <f>CUBEMEMBER("DESKTOP-KSAPEQM AS Model","[Dates].[Year].&amp;[1978]")</f>
        <v>1978</v>
      </c>
      <c r="K8" t="str" vm="33">
        <f>CUBEMEMBER("DESKTOP-KSAPEQM AS Model","[Dates].[Year].&amp;[1979]")</f>
        <v>1979</v>
      </c>
      <c r="L8" t="str" vm="16">
        <f>CUBEMEMBER("DESKTOP-KSAPEQM AS Model","[Dates].[Year].&amp;[1980]")</f>
        <v>1980</v>
      </c>
      <c r="M8" t="str" vm="15">
        <f>CUBEMEMBER("DESKTOP-KSAPEQM AS Model","[Dates].[Year].&amp;[1981]")</f>
        <v>1981</v>
      </c>
      <c r="N8" t="str" vm="87">
        <f>CUBEMEMBER("DESKTOP-KSAPEQM AS Model","[Dates].[Year].&amp;[1982]")</f>
        <v>1982</v>
      </c>
      <c r="O8" t="str" vm="148">
        <f>CUBEMEMBER("DESKTOP-KSAPEQM AS Model","[Dates].[Year].&amp;[1983]")</f>
        <v>1983</v>
      </c>
      <c r="P8" t="str" vm="141">
        <f>CUBEMEMBER("DESKTOP-KSAPEQM AS Model","[Dates].[Year].&amp;[1984]")</f>
        <v>1984</v>
      </c>
      <c r="Q8" t="str" vm="127">
        <f>CUBEMEMBER("DESKTOP-KSAPEQM AS Model","[Dates].[Year].&amp;[1985]")</f>
        <v>1985</v>
      </c>
      <c r="R8" t="str" vm="122">
        <f>CUBEMEMBER("DESKTOP-KSAPEQM AS Model","[Dates].[Year].&amp;[1986]")</f>
        <v>1986</v>
      </c>
      <c r="S8" t="str" vm="119">
        <f>CUBEMEMBER("DESKTOP-KSAPEQM AS Model","[Dates].[Year].&amp;[1987]")</f>
        <v>1987</v>
      </c>
      <c r="T8" t="str" vm="116">
        <f>CUBEMEMBER("DESKTOP-KSAPEQM AS Model","[Dates].[Year].&amp;[1988]")</f>
        <v>1988</v>
      </c>
      <c r="U8" t="str" vm="44">
        <f>CUBEMEMBER("DESKTOP-KSAPEQM AS Model","[Dates].[Year].&amp;[1989]")</f>
        <v>1989</v>
      </c>
      <c r="V8" t="str" vm="103">
        <f>CUBEMEMBER("DESKTOP-KSAPEQM AS Model","[Dates].[Year].&amp;[1990]")</f>
        <v>1990</v>
      </c>
      <c r="W8" t="str" vm="94">
        <f>CUBEMEMBER("DESKTOP-KSAPEQM AS Model","[Dates].[Year].&amp;[1991]")</f>
        <v>1991</v>
      </c>
      <c r="X8" t="str" vm="85">
        <f>CUBEMEMBER("DESKTOP-KSAPEQM AS Model","[Dates].[Year].&amp;[1992]")</f>
        <v>1992</v>
      </c>
      <c r="Y8" t="str" vm="76">
        <f>CUBEMEMBER("DESKTOP-KSAPEQM AS Model","[Dates].[Year].&amp;[1993]")</f>
        <v>1993</v>
      </c>
      <c r="Z8" t="str" vm="58">
        <f>CUBEMEMBER("DESKTOP-KSAPEQM AS Model","[Dates].[Year].&amp;[1994]")</f>
        <v>1994</v>
      </c>
      <c r="AA8" t="str" vm="20">
        <f>CUBEMEMBER("DESKTOP-KSAPEQM AS Model","[Dates].[Year].&amp;[1995]")</f>
        <v>1995</v>
      </c>
      <c r="AB8" t="str" vm="29">
        <f>CUBEMEMBER("DESKTOP-KSAPEQM AS Model","[Dates].[Year].&amp;[1996]")</f>
        <v>1996</v>
      </c>
      <c r="AC8" t="str" vm="14">
        <f>CUBEMEMBER("DESKTOP-KSAPEQM AS Model","[Dates].[Year].&amp;[1997]")</f>
        <v>1997</v>
      </c>
      <c r="AD8" t="str" vm="162">
        <f>CUBEMEMBER("DESKTOP-KSAPEQM AS Model","[Dates].[Year].&amp;[1998]")</f>
        <v>1998</v>
      </c>
      <c r="AE8" t="str" vm="160">
        <f>CUBEMEMBER("DESKTOP-KSAPEQM AS Model","[Dates].[Year].&amp;[1999]")</f>
        <v>1999</v>
      </c>
      <c r="AF8" t="str" vm="48">
        <f>CUBEMEMBER("DESKTOP-KSAPEQM AS Model","[Dates].[Year].&amp;[2000]")</f>
        <v>2000</v>
      </c>
      <c r="AG8" t="str" vm="154">
        <f>CUBEMEMBER("DESKTOP-KSAPEQM AS Model","[Dates].[Year].&amp;[2001]")</f>
        <v>2001</v>
      </c>
      <c r="AH8" t="str" vm="59">
        <f>CUBEMEMBER("DESKTOP-KSAPEQM AS Model","[Dates].[Year].&amp;[2002]")</f>
        <v>2002</v>
      </c>
      <c r="AI8" t="str" vm="147">
        <f>CUBEMEMBER("DESKTOP-KSAPEQM AS Model","[Dates].[Year].&amp;[2003]")</f>
        <v>2003</v>
      </c>
      <c r="AJ8" t="str" vm="128">
        <f>CUBEMEMBER("DESKTOP-KSAPEQM AS Model","[Dates].[Year].&amp;[2004]")</f>
        <v>2004</v>
      </c>
      <c r="AK8" t="str" vm="43">
        <f>CUBEMEMBER("DESKTOP-KSAPEQM AS Model","[Dates].[Year].&amp;[2005]")</f>
        <v>2005</v>
      </c>
      <c r="AL8" t="str" vm="109">
        <f>CUBEMEMBER("DESKTOP-KSAPEQM AS Model","[Dates].[Year].&amp;[2006]")</f>
        <v>2006</v>
      </c>
      <c r="AM8" t="str" vm="108">
        <f>CUBEMEMBER("DESKTOP-KSAPEQM AS Model","[Dates].[Year].&amp;[2007]")</f>
        <v>2007</v>
      </c>
      <c r="AN8" t="str" vm="107">
        <f>CUBEMEMBER("DESKTOP-KSAPEQM AS Model","[Dates].[Year].&amp;[2008]")</f>
        <v>2008</v>
      </c>
      <c r="AO8" t="str" vm="115">
        <f>CUBEMEMBER("DESKTOP-KSAPEQM AS Model","[Dates].[Year].&amp;[2009]")</f>
        <v>2009</v>
      </c>
      <c r="AP8" t="str" vm="102">
        <f>CUBEMEMBER("DESKTOP-KSAPEQM AS Model","[Dates].[Year].&amp;[2010]")</f>
        <v>2010</v>
      </c>
      <c r="AQ8" t="str" vm="19">
        <f>CUBEMEMBER("DESKTOP-KSAPEQM AS Model","[Dates].[Year].&amp;[2011]")</f>
        <v>2011</v>
      </c>
      <c r="AR8" t="str" vm="28">
        <f>CUBEMEMBER("DESKTOP-KSAPEQM AS Model","[Dates].[Year].&amp;[2012]")</f>
        <v>2012</v>
      </c>
      <c r="AS8" t="str" vm="13">
        <f>CUBEMEMBER("DESKTOP-KSAPEQM AS Model","[Dates].[Year].&amp;[2013]")</f>
        <v>2013</v>
      </c>
      <c r="AT8" t="str" vm="93">
        <f>CUBEMEMBER("DESKTOP-KSAPEQM AS Model","[Dates].[Year].&amp;[2014]")</f>
        <v>2014</v>
      </c>
      <c r="AU8" t="str" vm="84">
        <f>CUBEMEMBER("DESKTOP-KSAPEQM AS Model","[Dates].[Year].&amp;[2015]")</f>
        <v>2015</v>
      </c>
      <c r="AV8" t="str" vm="75">
        <f>CUBEMEMBER("DESKTOP-KSAPEQM AS Model","[Dates].[Year].&amp;[2016]")</f>
        <v>2016</v>
      </c>
      <c r="AW8" t="str" vm="63">
        <f>CUBEMEMBER("DESKTOP-KSAPEQM AS Model","[Dates].[Year].&amp;[2017]")</f>
        <v>2017</v>
      </c>
      <c r="AX8" t="str" vm="62">
        <f>CUBEMEMBER("DESKTOP-KSAPEQM AS Model","[Dates].[Year].&amp;[2018]")</f>
        <v>2018</v>
      </c>
      <c r="AY8" t="str" vm="56">
        <f>CUBEMEMBER("DESKTOP-KSAPEQM AS Model","[Dates].[Year].&amp;[2019]")</f>
        <v>2019</v>
      </c>
      <c r="AZ8" t="str" vm="164">
        <f>CUBESET("DESKTOP-KSAPEQM AS Model",($AY$8,$AX$8,$AW$8,$AV$8,$AU$8,$AT$8,$AS$8,$AR$8,$AQ$8,$AP$8,$AO$8,$AN$8,$AM$8,$AL$8,$AK$8,$AJ$8,$AI$8,$AH$8,$AG$8,$AF$8,$AE$8,$AD$8,$AC$8,$AB$8,$AA$8,$Z$8,$Y$8,$X$8,$W$8,$V$8,$U$8,$T$8,$S$8,$R$8,$Q$8,$P$8,$O$8,$N$8,$M$8,$L$8,$K$8,$J$8,$I$8,$H$8,$G$8,$F$8,$E$8,$D$8,$C$8,$B$8),"Grand Total")</f>
        <v>Grand Total</v>
      </c>
    </row>
    <row r="9" spans="1:52" x14ac:dyDescent="0.45">
      <c r="A9" s="2" t="str" vm="42">
        <f>CUBEMEMBER("DESKTOP-KSAPEQM AS Model","[Geography].[Blocs].[Major_Blocs].&amp;[China Mainland]")</f>
        <v>China Mainland</v>
      </c>
      <c r="B9" vm="5519">
        <f t="shared" ref="B9:AG9" si="0">CUBEVALUE("DESKTOP-KSAPEQM AS Model",OutputMeasures,CurrentSource,WDIAvailability,USDUnits,CurrentUSDSector,CurrentUSDPivot,$A9,B$8)</f>
        <v>92602974208</v>
      </c>
      <c r="C9" vm="5518">
        <f t="shared" si="0"/>
        <v>99800956928</v>
      </c>
      <c r="D9" vm="5457">
        <f t="shared" si="0"/>
        <v>113687584768</v>
      </c>
      <c r="E9" vm="5479">
        <f t="shared" si="0"/>
        <v>138544283648</v>
      </c>
      <c r="F9" vm="5455">
        <f t="shared" si="0"/>
        <v>144182132736</v>
      </c>
      <c r="G9" vm="5151">
        <f t="shared" si="0"/>
        <v>163431546880</v>
      </c>
      <c r="H9" vm="5344">
        <f t="shared" si="0"/>
        <v>153940459520</v>
      </c>
      <c r="I9" vm="5393">
        <f t="shared" si="0"/>
        <v>174938095616</v>
      </c>
      <c r="J9" vm="5390">
        <f t="shared" si="0"/>
        <v>149540749312</v>
      </c>
      <c r="K9" vm="5368">
        <f t="shared" si="0"/>
        <v>178280595456</v>
      </c>
      <c r="L9" vm="5336">
        <f t="shared" si="0"/>
        <v>191149211648</v>
      </c>
      <c r="M9" vm="4479">
        <f t="shared" si="0"/>
        <v>195866378240</v>
      </c>
      <c r="N9" vm="4581">
        <f t="shared" si="0"/>
        <v>205089701888</v>
      </c>
      <c r="O9" vm="4469">
        <f t="shared" si="0"/>
        <v>230686752768</v>
      </c>
      <c r="P9" vm="5313">
        <f t="shared" si="0"/>
        <v>259946512384</v>
      </c>
      <c r="Q9" vm="5290">
        <f t="shared" si="0"/>
        <v>309488025600</v>
      </c>
      <c r="R9" vm="5267">
        <f t="shared" si="0"/>
        <v>300758106112</v>
      </c>
      <c r="S9" vm="5244">
        <f t="shared" si="0"/>
        <v>272972972032</v>
      </c>
      <c r="T9" vm="5221">
        <f t="shared" si="0"/>
        <v>312353619968</v>
      </c>
      <c r="U9" vm="5177">
        <f t="shared" si="0"/>
        <v>347768061952</v>
      </c>
      <c r="V9" vm="5515">
        <f t="shared" si="0"/>
        <v>360857927680</v>
      </c>
      <c r="W9" vm="5150">
        <f t="shared" si="0"/>
        <v>383373312000</v>
      </c>
      <c r="X9" vm="5502">
        <f t="shared" si="0"/>
        <v>426915725312</v>
      </c>
      <c r="Y9" vm="5517">
        <f t="shared" si="0"/>
        <v>444731293696</v>
      </c>
      <c r="Z9" vm="5478">
        <f t="shared" si="0"/>
        <v>564324663296</v>
      </c>
      <c r="AA9" vm="5454">
        <f t="shared" si="0"/>
        <v>734547869696</v>
      </c>
      <c r="AB9" vm="5432">
        <f t="shared" si="0"/>
        <v>863746719744</v>
      </c>
      <c r="AC9" vm="4478">
        <f t="shared" si="0"/>
        <v>961603960832</v>
      </c>
      <c r="AD9" vm="4580">
        <f t="shared" si="0"/>
        <v>1029043126272</v>
      </c>
      <c r="AE9" vm="4468">
        <f t="shared" si="0"/>
        <v>1093997297664</v>
      </c>
      <c r="AF9" vm="5411">
        <f t="shared" si="0"/>
        <v>1211346845696</v>
      </c>
      <c r="AG9" vm="5381">
        <f t="shared" si="0"/>
        <v>1339395670016</v>
      </c>
      <c r="AH9" vm="5367">
        <f t="shared" ref="AH9:AZ9" si="1">CUBEVALUE("DESKTOP-KSAPEQM AS Model",OutputMeasures,CurrentSource,WDIAvailability,USDUnits,CurrentUSDSector,CurrentUSDPivot,$A9,AH$8)</f>
        <v>1470549983232</v>
      </c>
      <c r="AI9" vm="5335">
        <f t="shared" si="1"/>
        <v>1660287975424</v>
      </c>
      <c r="AJ9" vm="5312">
        <f t="shared" si="1"/>
        <v>1955347038208</v>
      </c>
      <c r="AK9" vm="5289">
        <f t="shared" si="1"/>
        <v>2285965934592</v>
      </c>
      <c r="AL9" vm="5266">
        <f t="shared" si="1"/>
        <v>2752131891200</v>
      </c>
      <c r="AM9" vm="5149">
        <f t="shared" si="1"/>
        <v>3550342545408</v>
      </c>
      <c r="AN9" vm="5243">
        <f t="shared" si="1"/>
        <v>4594306908160</v>
      </c>
      <c r="AO9" vm="5220">
        <f t="shared" si="1"/>
        <v>5101702348800</v>
      </c>
      <c r="AP9" vm="5198">
        <f t="shared" si="1"/>
        <v>6087164559360</v>
      </c>
      <c r="AQ9" vm="5175">
        <f t="shared" si="1"/>
        <v>7551500419072</v>
      </c>
      <c r="AR9" vm="5501">
        <f t="shared" si="1"/>
        <v>8532230930432</v>
      </c>
      <c r="AS9" vm="4592">
        <f t="shared" si="1"/>
        <v>9570405580800</v>
      </c>
      <c r="AT9" vm="4579">
        <f t="shared" si="1"/>
        <v>10475683184640</v>
      </c>
      <c r="AU9" vm="4467">
        <f t="shared" si="1"/>
        <v>11061553004544</v>
      </c>
      <c r="AV9" vm="5346">
        <f t="shared" si="1"/>
        <v>11233277247488</v>
      </c>
      <c r="AW9" vm="5477">
        <f t="shared" si="1"/>
        <v>12310409117696</v>
      </c>
      <c r="AX9" vm="5453">
        <f t="shared" si="1"/>
        <v>13894816890880</v>
      </c>
      <c r="AY9" vm="5412">
        <f t="shared" si="1"/>
        <v>14342902775808</v>
      </c>
      <c r="AZ9" vm="5410">
        <f t="shared" si="1"/>
        <v>141879491469312</v>
      </c>
    </row>
    <row r="10" spans="1:52" x14ac:dyDescent="0.45">
      <c r="A10" s="2" t="str" vm="153">
        <f>CUBEMEMBER("DESKTOP-KSAPEQM AS Model","[Geography].[Blocs].[Major_Blocs].&amp;[North]")</f>
        <v>North</v>
      </c>
    </row>
    <row r="11" spans="1:52" x14ac:dyDescent="0.45">
      <c r="A11" s="4" t="str" vm="136">
        <f>CUBEMEMBER("DESKTOP-KSAPEQM AS Model","[Geography].[Blocs].[Country].&amp;[Andorra]")</f>
        <v>Andorra</v>
      </c>
      <c r="B11" vm="5341">
        <f t="shared" ref="B11:K20" si="2">CUBEVALUE("DESKTOP-KSAPEQM AS Model",OutputMeasures,CurrentSource,WDIAvailability,USDUnits,CurrentUSDSector,CurrentUSDPivot,$A11,B$8)</f>
        <v>78619208</v>
      </c>
      <c r="C11" vm="5366">
        <f t="shared" si="2"/>
        <v>89409824</v>
      </c>
      <c r="D11" vm="5148">
        <f t="shared" si="2"/>
        <v>113408232</v>
      </c>
      <c r="E11" vm="5334">
        <f t="shared" si="2"/>
        <v>150820096</v>
      </c>
      <c r="F11" vm="5311">
        <f t="shared" si="2"/>
        <v>186558704</v>
      </c>
      <c r="G11" vm="5288">
        <f t="shared" si="2"/>
        <v>220127248</v>
      </c>
      <c r="H11" vm="5265">
        <f t="shared" si="2"/>
        <v>227281024</v>
      </c>
      <c r="I11" vm="5242">
        <f t="shared" si="2"/>
        <v>254020160</v>
      </c>
      <c r="J11" vm="4674">
        <f t="shared" si="2"/>
        <v>308008896</v>
      </c>
      <c r="K11" vm="4578">
        <f t="shared" si="2"/>
        <v>411578336</v>
      </c>
      <c r="L11" vm="4466">
        <f t="shared" ref="L11:U20" si="3">CUBEVALUE("DESKTOP-KSAPEQM AS Model",OutputMeasures,CurrentSource,WDIAvailability,USDUnits,CurrentUSDSector,CurrentUSDPivot,$A11,L$8)</f>
        <v>446416096</v>
      </c>
      <c r="M11" vm="5219">
        <f t="shared" si="3"/>
        <v>388958720</v>
      </c>
      <c r="N11" vm="5176">
        <f t="shared" si="3"/>
        <v>375895968</v>
      </c>
      <c r="O11" vm="5514">
        <f t="shared" si="3"/>
        <v>327861824</v>
      </c>
      <c r="P11" vm="5500">
        <f t="shared" si="3"/>
        <v>330070688</v>
      </c>
      <c r="Q11" vm="5481">
        <f t="shared" si="3"/>
        <v>346737952</v>
      </c>
      <c r="R11" vm="5476">
        <f t="shared" si="3"/>
        <v>482000608</v>
      </c>
      <c r="S11" vm="5452">
        <f t="shared" si="3"/>
        <v>611316416</v>
      </c>
      <c r="T11" vm="5147">
        <f t="shared" si="3"/>
        <v>721425920</v>
      </c>
      <c r="U11" vm="5384">
        <f t="shared" si="3"/>
        <v>795449344</v>
      </c>
      <c r="V11" vm="5343">
        <f t="shared" ref="V11:AE20" si="4">CUBEVALUE("DESKTOP-KSAPEQM AS Model",OutputMeasures,CurrentSource,WDIAvailability,USDUnits,CurrentUSDSector,CurrentUSDPivot,$A11,V$8)</f>
        <v>1029048512</v>
      </c>
      <c r="W11" vm="5389">
        <f t="shared" si="4"/>
        <v>1106928640</v>
      </c>
      <c r="X11" vm="5365">
        <f t="shared" si="4"/>
        <v>1210013696</v>
      </c>
      <c r="Y11" vm="5333">
        <f t="shared" si="4"/>
        <v>1007025728</v>
      </c>
      <c r="Z11" vm="4477">
        <f t="shared" si="4"/>
        <v>1017549120</v>
      </c>
      <c r="AA11" vm="4577">
        <f t="shared" si="4"/>
        <v>1178738944</v>
      </c>
      <c r="AB11" vm="4465">
        <f t="shared" si="4"/>
        <v>1223945344</v>
      </c>
      <c r="AC11" vm="5310">
        <f t="shared" si="4"/>
        <v>1180597248</v>
      </c>
      <c r="AD11" vm="5287">
        <f t="shared" si="4"/>
        <v>1211932416</v>
      </c>
      <c r="AE11" vm="5264">
        <f t="shared" si="4"/>
        <v>1239876352</v>
      </c>
      <c r="AF11" vm="5241">
        <f t="shared" ref="AF11:AO20" si="5">CUBEVALUE("DESKTOP-KSAPEQM AS Model",OutputMeasures,CurrentSource,WDIAvailability,USDUnits,CurrentUSDSector,CurrentUSDPivot,$A11,AF$8)</f>
        <v>1429049216</v>
      </c>
      <c r="AG11" vm="5218">
        <f t="shared" si="5"/>
        <v>1546926208</v>
      </c>
      <c r="AH11" vm="3981">
        <f t="shared" si="5"/>
        <v>1755910016</v>
      </c>
      <c r="AI11" vm="5197">
        <f t="shared" si="5"/>
        <v>2361726976</v>
      </c>
      <c r="AJ11" vm="5146">
        <f t="shared" si="5"/>
        <v>2894921728</v>
      </c>
      <c r="AK11" vm="5174">
        <f t="shared" si="5"/>
        <v>3159905536</v>
      </c>
      <c r="AL11" vm="5499">
        <f t="shared" si="5"/>
        <v>3456442112</v>
      </c>
      <c r="AM11" vm="5396">
        <f t="shared" si="5"/>
        <v>3952600576</v>
      </c>
      <c r="AN11" vm="5475">
        <f t="shared" si="5"/>
        <v>4085630464</v>
      </c>
      <c r="AO11" vm="5451">
        <f t="shared" si="5"/>
        <v>3674409472</v>
      </c>
      <c r="AP11" vm="4591">
        <f t="shared" ref="AP11:AZ20" si="6">CUBEVALUE("DESKTOP-KSAPEQM AS Model",OutputMeasures,CurrentSource,WDIAvailability,USDUnits,CurrentUSDSector,CurrentUSDPivot,$A11,AP$8)</f>
        <v>3449966848</v>
      </c>
      <c r="AQ11" vm="4576">
        <f t="shared" si="6"/>
        <v>3629203712</v>
      </c>
      <c r="AR11" vm="4464">
        <f t="shared" si="6"/>
        <v>3188808960</v>
      </c>
      <c r="AS11" vm="5394">
        <f t="shared" si="6"/>
        <v>3193704448</v>
      </c>
      <c r="AT11" vm="5392">
        <f t="shared" si="6"/>
        <v>3271808256</v>
      </c>
      <c r="AU11" vm="5380">
        <f t="shared" si="6"/>
        <v>2789870080</v>
      </c>
      <c r="AV11" vm="5364">
        <f t="shared" si="6"/>
        <v>2896679168</v>
      </c>
      <c r="AW11" vm="5332">
        <f t="shared" si="6"/>
        <v>3000180736</v>
      </c>
      <c r="AX11" vm="3980">
        <f t="shared" si="6"/>
        <v>3218316032</v>
      </c>
      <c r="AY11" vm="5309">
        <f t="shared" si="6"/>
        <v>3154057984</v>
      </c>
      <c r="AZ11" vm="5145">
        <f t="shared" si="6"/>
        <v>78381739792</v>
      </c>
    </row>
    <row r="12" spans="1:52" x14ac:dyDescent="0.45">
      <c r="A12" s="4" t="str" vm="146">
        <f>CUBEMEMBER("DESKTOP-KSAPEQM AS Model","[Geography].[Blocs].[Country].&amp;[Australia]")</f>
        <v>Australia</v>
      </c>
      <c r="B12" vm="5286">
        <f t="shared" si="2"/>
        <v>41271140352</v>
      </c>
      <c r="C12" vm="5263">
        <f t="shared" si="2"/>
        <v>45149511680</v>
      </c>
      <c r="D12" vm="5240">
        <f t="shared" si="2"/>
        <v>51967291392</v>
      </c>
      <c r="E12" vm="5217">
        <f t="shared" si="2"/>
        <v>63737348096</v>
      </c>
      <c r="F12" vm="5196">
        <f t="shared" si="2"/>
        <v>88831246336</v>
      </c>
      <c r="G12" vm="4673">
        <f t="shared" si="2"/>
        <v>97170554880</v>
      </c>
      <c r="H12" vm="4575">
        <f t="shared" si="2"/>
        <v>104921219072</v>
      </c>
      <c r="I12" vm="4463">
        <f t="shared" si="2"/>
        <v>110201880576</v>
      </c>
      <c r="J12" vm="5513">
        <f t="shared" si="2"/>
        <v>118338600960</v>
      </c>
      <c r="K12" vm="5498">
        <f t="shared" si="2"/>
        <v>134712033280</v>
      </c>
      <c r="L12" vm="5386">
        <f t="shared" si="3"/>
        <v>149774925824</v>
      </c>
      <c r="M12" vm="5474">
        <f t="shared" si="3"/>
        <v>176642277376</v>
      </c>
      <c r="N12" vm="5450">
        <f t="shared" si="3"/>
        <v>193770274816</v>
      </c>
      <c r="O12" vm="3979">
        <f t="shared" si="3"/>
        <v>177030414336</v>
      </c>
      <c r="P12" vm="5431">
        <f t="shared" si="3"/>
        <v>193242169344</v>
      </c>
      <c r="Q12" vm="5144">
        <f t="shared" si="3"/>
        <v>180234715136</v>
      </c>
      <c r="R12" vm="5383">
        <f t="shared" si="3"/>
        <v>182036938752</v>
      </c>
      <c r="S12" vm="5340">
        <f t="shared" si="3"/>
        <v>189060349952</v>
      </c>
      <c r="T12" vm="5363">
        <f t="shared" si="3"/>
        <v>235659198464</v>
      </c>
      <c r="U12" vm="5331">
        <f t="shared" si="3"/>
        <v>299267981312</v>
      </c>
      <c r="V12" vm="5308">
        <f t="shared" si="4"/>
        <v>310777217024</v>
      </c>
      <c r="W12" vm="4476">
        <f t="shared" si="4"/>
        <v>325310414848</v>
      </c>
      <c r="X12" vm="4574">
        <f t="shared" si="4"/>
        <v>324878860288</v>
      </c>
      <c r="Y12" vm="4462">
        <f t="shared" si="4"/>
        <v>311544414208</v>
      </c>
      <c r="Z12" vm="5285">
        <f t="shared" si="4"/>
        <v>322211676160</v>
      </c>
      <c r="AA12" vm="5262">
        <f t="shared" si="4"/>
        <v>367216361472</v>
      </c>
      <c r="AB12" vm="5239">
        <f t="shared" si="4"/>
        <v>400302735360</v>
      </c>
      <c r="AC12" vm="5216">
        <f t="shared" si="4"/>
        <v>434568003584</v>
      </c>
      <c r="AD12" vm="5195">
        <f t="shared" si="4"/>
        <v>398899150848</v>
      </c>
      <c r="AE12" vm="3978">
        <f t="shared" si="4"/>
        <v>388608229376</v>
      </c>
      <c r="AF12" vm="5512">
        <f t="shared" si="5"/>
        <v>415222628352</v>
      </c>
      <c r="AG12" vm="5143">
        <f t="shared" si="5"/>
        <v>378376093696</v>
      </c>
      <c r="AH12" vm="5497">
        <f t="shared" si="5"/>
        <v>394648911872</v>
      </c>
      <c r="AI12" vm="5414">
        <f t="shared" si="5"/>
        <v>466488066048</v>
      </c>
      <c r="AJ12" vm="5473">
        <f t="shared" si="5"/>
        <v>612490412032</v>
      </c>
      <c r="AK12" vm="5449">
        <f t="shared" si="5"/>
        <v>693407776768</v>
      </c>
      <c r="AL12" vm="5430">
        <f t="shared" si="5"/>
        <v>746054221824</v>
      </c>
      <c r="AM12" vm="4590">
        <f t="shared" si="5"/>
        <v>853099610112</v>
      </c>
      <c r="AN12" vm="4573">
        <f t="shared" si="5"/>
        <v>1053995499520</v>
      </c>
      <c r="AO12" vm="4461">
        <f t="shared" si="5"/>
        <v>927805210624</v>
      </c>
      <c r="AP12" vm="5409">
        <f t="shared" si="6"/>
        <v>1146138525696</v>
      </c>
      <c r="AQ12" vm="5379">
        <f t="shared" si="6"/>
        <v>1396649885696</v>
      </c>
      <c r="AR12" vm="5362">
        <f t="shared" si="6"/>
        <v>1546151788544</v>
      </c>
      <c r="AS12" vm="5330">
        <f t="shared" si="6"/>
        <v>1576184446976</v>
      </c>
      <c r="AT12" vm="5307">
        <f t="shared" si="6"/>
        <v>1467483684864</v>
      </c>
      <c r="AU12" vm="3977">
        <f t="shared" si="6"/>
        <v>1351694024704</v>
      </c>
      <c r="AV12" vm="5284">
        <f t="shared" si="6"/>
        <v>1208847040512</v>
      </c>
      <c r="AW12" vm="5142">
        <f t="shared" si="6"/>
        <v>1330135695360</v>
      </c>
      <c r="AX12" vm="5261">
        <f t="shared" si="6"/>
        <v>1433904349184</v>
      </c>
      <c r="AY12" vm="5238">
        <f t="shared" si="6"/>
        <v>1392680632320</v>
      </c>
      <c r="AZ12" vm="5215">
        <f t="shared" si="6"/>
        <v>26808795639808</v>
      </c>
    </row>
    <row r="13" spans="1:52" x14ac:dyDescent="0.45">
      <c r="A13" s="4" t="str" vm="135">
        <f>CUBEMEMBER("DESKTOP-KSAPEQM AS Model","[Geography].[Blocs].[Country].&amp;[Austria]")</f>
        <v>Austria</v>
      </c>
      <c r="B13" vm="5194">
        <f t="shared" si="2"/>
        <v>15373005824</v>
      </c>
      <c r="C13" vm="5173">
        <f t="shared" si="2"/>
        <v>17858486272</v>
      </c>
      <c r="D13" vm="4672">
        <f t="shared" si="2"/>
        <v>22059612160</v>
      </c>
      <c r="E13" vm="4572">
        <f t="shared" si="2"/>
        <v>29515468800</v>
      </c>
      <c r="F13" vm="4460">
        <f t="shared" si="2"/>
        <v>35189301248</v>
      </c>
      <c r="G13" vm="5496">
        <f t="shared" si="2"/>
        <v>40059207680</v>
      </c>
      <c r="H13" vm="5178">
        <f t="shared" si="2"/>
        <v>42959974400</v>
      </c>
      <c r="I13" vm="5472">
        <f t="shared" si="2"/>
        <v>51545759744</v>
      </c>
      <c r="J13" vm="5448">
        <f t="shared" si="2"/>
        <v>62052257792</v>
      </c>
      <c r="K13" vm="5429">
        <f t="shared" si="2"/>
        <v>73937297408</v>
      </c>
      <c r="L13" vm="3976">
        <f t="shared" si="3"/>
        <v>82058911744</v>
      </c>
      <c r="M13" vm="5408">
        <f t="shared" si="3"/>
        <v>71034224640</v>
      </c>
      <c r="N13" vm="5141">
        <f t="shared" si="3"/>
        <v>71275290624</v>
      </c>
      <c r="O13" vm="5388">
        <f t="shared" si="3"/>
        <v>72121016320</v>
      </c>
      <c r="P13" vm="5361">
        <f t="shared" si="3"/>
        <v>67985346560</v>
      </c>
      <c r="Q13" vm="5329">
        <f t="shared" si="3"/>
        <v>69386772480</v>
      </c>
      <c r="R13" vm="5306">
        <f t="shared" si="3"/>
        <v>99036168192</v>
      </c>
      <c r="S13" vm="5283">
        <f t="shared" si="3"/>
        <v>124168445952</v>
      </c>
      <c r="T13" vm="4589">
        <f t="shared" si="3"/>
        <v>133339398144</v>
      </c>
      <c r="U13" vm="4571">
        <f t="shared" si="3"/>
        <v>133105803264</v>
      </c>
      <c r="V13" vm="4459">
        <f t="shared" si="4"/>
        <v>166463389696</v>
      </c>
      <c r="W13" vm="5260">
        <f t="shared" si="4"/>
        <v>173794181120</v>
      </c>
      <c r="X13" vm="5237">
        <f t="shared" si="4"/>
        <v>195078127616</v>
      </c>
      <c r="Y13" vm="5214">
        <f t="shared" si="4"/>
        <v>190379720704</v>
      </c>
      <c r="Z13" vm="5193">
        <f t="shared" si="4"/>
        <v>203535237120</v>
      </c>
      <c r="AA13" vm="5511">
        <f t="shared" si="4"/>
        <v>241038278656</v>
      </c>
      <c r="AB13" vm="3975">
        <f t="shared" si="4"/>
        <v>237250953216</v>
      </c>
      <c r="AC13" vm="5495">
        <f t="shared" si="4"/>
        <v>212790345728</v>
      </c>
      <c r="AD13" vm="5140">
        <f t="shared" si="4"/>
        <v>218259898368</v>
      </c>
      <c r="AE13" vm="5245">
        <f t="shared" si="4"/>
        <v>217185779712</v>
      </c>
      <c r="AF13" vm="5471">
        <f t="shared" si="5"/>
        <v>196799774720</v>
      </c>
      <c r="AG13" vm="5447">
        <f t="shared" si="5"/>
        <v>197337874432</v>
      </c>
      <c r="AH13" vm="5428">
        <f t="shared" si="5"/>
        <v>213377777664</v>
      </c>
      <c r="AI13" vm="5407">
        <f t="shared" si="5"/>
        <v>261695782912</v>
      </c>
      <c r="AJ13" vm="4475">
        <f t="shared" si="5"/>
        <v>300904218624</v>
      </c>
      <c r="AK13" vm="4570">
        <f t="shared" si="5"/>
        <v>315974418432</v>
      </c>
      <c r="AL13" vm="4458">
        <f t="shared" si="5"/>
        <v>335998550016</v>
      </c>
      <c r="AM13" vm="5378">
        <f t="shared" si="5"/>
        <v>388691460096</v>
      </c>
      <c r="AN13" vm="5360">
        <f t="shared" si="5"/>
        <v>430294302720</v>
      </c>
      <c r="AO13" vm="5328">
        <f t="shared" si="5"/>
        <v>400172285952</v>
      </c>
      <c r="AP13" vm="5305">
        <f t="shared" si="6"/>
        <v>391892762624</v>
      </c>
      <c r="AQ13" vm="5282">
        <f t="shared" si="6"/>
        <v>431120318464</v>
      </c>
      <c r="AR13" vm="3974">
        <f t="shared" si="6"/>
        <v>409425248256</v>
      </c>
      <c r="AS13" vm="5259">
        <f t="shared" si="6"/>
        <v>430068727808</v>
      </c>
      <c r="AT13" vm="5139">
        <f t="shared" si="6"/>
        <v>441996115968</v>
      </c>
      <c r="AU13" vm="5236">
        <f t="shared" si="6"/>
        <v>381817552896</v>
      </c>
      <c r="AV13" vm="5213">
        <f t="shared" si="6"/>
        <v>395227693056</v>
      </c>
      <c r="AW13" vm="5192">
        <f t="shared" si="6"/>
        <v>418316156928</v>
      </c>
      <c r="AX13" vm="5510">
        <f t="shared" si="6"/>
        <v>455508262912</v>
      </c>
      <c r="AY13" vm="5494">
        <f t="shared" si="6"/>
        <v>446314741760</v>
      </c>
      <c r="AZ13" vm="4671">
        <f t="shared" si="6"/>
        <v>10612771687424</v>
      </c>
    </row>
    <row r="14" spans="1:52" x14ac:dyDescent="0.45">
      <c r="A14" s="4" t="str" vm="132">
        <f>CUBEMEMBER("DESKTOP-KSAPEQM AS Model","[Geography].[Blocs].[Country].&amp;[Belgium]")</f>
        <v>Belgium</v>
      </c>
      <c r="B14" vm="4569">
        <f t="shared" si="2"/>
        <v>26706196480</v>
      </c>
      <c r="C14" vm="4457">
        <f t="shared" si="2"/>
        <v>29821661184</v>
      </c>
      <c r="D14" vm="5222">
        <f t="shared" si="2"/>
        <v>37209419776</v>
      </c>
      <c r="E14" vm="5470">
        <f t="shared" si="2"/>
        <v>47743803392</v>
      </c>
      <c r="F14" vm="5446">
        <f t="shared" si="2"/>
        <v>56033079296</v>
      </c>
      <c r="G14" vm="5427">
        <f t="shared" si="2"/>
        <v>65678188544</v>
      </c>
      <c r="H14" vm="5406">
        <f t="shared" si="2"/>
        <v>71113883648</v>
      </c>
      <c r="I14" vm="3973">
        <f t="shared" si="2"/>
        <v>82839904256</v>
      </c>
      <c r="J14" vm="5339">
        <f t="shared" si="2"/>
        <v>101246525440</v>
      </c>
      <c r="K14" vm="5138">
        <f t="shared" si="2"/>
        <v>116315455488</v>
      </c>
      <c r="L14" vm="5359">
        <f t="shared" si="3"/>
        <v>126829314048</v>
      </c>
      <c r="M14" vm="5327">
        <f t="shared" si="3"/>
        <v>104730017792</v>
      </c>
      <c r="N14" vm="5304">
        <f t="shared" si="3"/>
        <v>92095930368</v>
      </c>
      <c r="O14" vm="5281">
        <f t="shared" si="3"/>
        <v>87184236544</v>
      </c>
      <c r="P14" vm="5258">
        <f t="shared" si="3"/>
        <v>83349528576</v>
      </c>
      <c r="Q14" vm="4588">
        <f t="shared" si="3"/>
        <v>86268264448</v>
      </c>
      <c r="R14" vm="4568">
        <f t="shared" si="3"/>
        <v>120018788352</v>
      </c>
      <c r="S14" vm="4456">
        <f t="shared" si="3"/>
        <v>149394407424</v>
      </c>
      <c r="T14" vm="4367">
        <f t="shared" si="3"/>
        <v>162299101184</v>
      </c>
      <c r="U14" vm="5235">
        <f t="shared" si="3"/>
        <v>164221059072</v>
      </c>
      <c r="V14" vm="5212">
        <f t="shared" si="4"/>
        <v>205331742720</v>
      </c>
      <c r="W14" vm="5191">
        <f t="shared" si="4"/>
        <v>210511003648</v>
      </c>
      <c r="X14" vm="5172">
        <f t="shared" si="4"/>
        <v>234781655040</v>
      </c>
      <c r="Y14" vm="3972">
        <f t="shared" si="4"/>
        <v>224721797120</v>
      </c>
      <c r="Z14" vm="5493">
        <f t="shared" si="4"/>
        <v>244884127744</v>
      </c>
      <c r="AA14" vm="5137">
        <f t="shared" si="4"/>
        <v>288025575424</v>
      </c>
      <c r="AB14" vm="5049">
        <f t="shared" si="4"/>
        <v>279201447936</v>
      </c>
      <c r="AC14" vm="5199">
        <f t="shared" si="4"/>
        <v>252708044800</v>
      </c>
      <c r="AD14" vm="5469">
        <f t="shared" si="4"/>
        <v>258528346112</v>
      </c>
      <c r="AE14" vm="5445">
        <f t="shared" si="4"/>
        <v>258158526464</v>
      </c>
      <c r="AF14" vm="5426">
        <f t="shared" si="5"/>
        <v>236204539904</v>
      </c>
      <c r="AG14" vm="4670">
        <f t="shared" si="5"/>
        <v>236541296640</v>
      </c>
      <c r="AH14" vm="4567">
        <f t="shared" si="5"/>
        <v>257157824512</v>
      </c>
      <c r="AI14" vm="4455">
        <f t="shared" si="5"/>
        <v>317381705728</v>
      </c>
      <c r="AJ14" vm="4366">
        <f t="shared" si="5"/>
        <v>368537010176</v>
      </c>
      <c r="AK14" vm="5382">
        <f t="shared" si="5"/>
        <v>385570963456</v>
      </c>
      <c r="AL14" vm="5377">
        <f t="shared" si="5"/>
        <v>407918084096</v>
      </c>
      <c r="AM14" vm="5358">
        <f t="shared" si="5"/>
        <v>470324248576</v>
      </c>
      <c r="AN14" vm="5326">
        <f t="shared" si="5"/>
        <v>515223519232</v>
      </c>
      <c r="AO14" vm="3971">
        <f t="shared" si="5"/>
        <v>481345929216</v>
      </c>
      <c r="AP14" vm="5303">
        <f t="shared" si="6"/>
        <v>480951631872</v>
      </c>
      <c r="AQ14" vm="5136">
        <f t="shared" si="6"/>
        <v>522645504000</v>
      </c>
      <c r="AR14" vm="5048">
        <f t="shared" si="6"/>
        <v>496181248000</v>
      </c>
      <c r="AS14" vm="5280">
        <f t="shared" si="6"/>
        <v>521642704896</v>
      </c>
      <c r="AT14" vm="5257">
        <f t="shared" si="6"/>
        <v>534678077440</v>
      </c>
      <c r="AU14" vm="5234">
        <f t="shared" si="6"/>
        <v>462149681152</v>
      </c>
      <c r="AV14" vm="5211">
        <f t="shared" si="6"/>
        <v>475900870656</v>
      </c>
      <c r="AW14" vm="4474">
        <f t="shared" si="6"/>
        <v>503788765184</v>
      </c>
      <c r="AX14" vm="4566">
        <f t="shared" si="6"/>
        <v>542685921280</v>
      </c>
      <c r="AY14" vm="4454">
        <f t="shared" si="6"/>
        <v>529606705152</v>
      </c>
      <c r="AZ14" vm="4365">
        <f t="shared" si="6"/>
        <v>13014387263488</v>
      </c>
    </row>
    <row r="15" spans="1:52" x14ac:dyDescent="0.45">
      <c r="A15" s="4" t="str" vm="32">
        <f>CUBEMEMBER("DESKTOP-KSAPEQM AS Model","[Geography].[Blocs].[Country].&amp;[Canada]")</f>
        <v>Canada</v>
      </c>
      <c r="B15" vm="5190">
        <f t="shared" si="2"/>
        <v>87896096768</v>
      </c>
      <c r="C15" vm="5509">
        <f t="shared" si="2"/>
        <v>99271958528</v>
      </c>
      <c r="D15" vm="5492">
        <f t="shared" si="2"/>
        <v>113082818560</v>
      </c>
      <c r="E15" vm="5268">
        <f t="shared" si="2"/>
        <v>131321856000</v>
      </c>
      <c r="F15" vm="3970">
        <f t="shared" si="2"/>
        <v>160408698880</v>
      </c>
      <c r="G15" vm="5468">
        <f t="shared" si="2"/>
        <v>173834027008</v>
      </c>
      <c r="H15" vm="5135">
        <f t="shared" si="2"/>
        <v>206575566848</v>
      </c>
      <c r="I15" vm="5047">
        <f t="shared" si="2"/>
        <v>211612155904</v>
      </c>
      <c r="J15" vm="5444">
        <f t="shared" si="2"/>
        <v>218632863744</v>
      </c>
      <c r="K15" vm="5425">
        <f t="shared" si="2"/>
        <v>243072106496</v>
      </c>
      <c r="L15" vm="5391">
        <f t="shared" si="3"/>
        <v>273853825024</v>
      </c>
      <c r="M15" vm="5376">
        <f t="shared" si="3"/>
        <v>306214862848</v>
      </c>
      <c r="N15" vm="4587">
        <f t="shared" si="3"/>
        <v>313506529280</v>
      </c>
      <c r="O15" vm="4565">
        <f t="shared" si="3"/>
        <v>340547698688</v>
      </c>
      <c r="P15" vm="4453">
        <f t="shared" si="3"/>
        <v>355372564480</v>
      </c>
      <c r="Q15" vm="4364">
        <f t="shared" si="3"/>
        <v>364756500480</v>
      </c>
      <c r="R15" vm="5357">
        <f t="shared" si="3"/>
        <v>377437913088</v>
      </c>
      <c r="S15" vm="5325">
        <f t="shared" si="3"/>
        <v>431316729856</v>
      </c>
      <c r="T15" vm="5302">
        <f t="shared" si="3"/>
        <v>507354349568</v>
      </c>
      <c r="U15" vm="5279">
        <f t="shared" si="3"/>
        <v>565055717376</v>
      </c>
      <c r="V15" vm="3969">
        <f t="shared" si="4"/>
        <v>593929568256</v>
      </c>
      <c r="W15" vm="5256">
        <f t="shared" si="4"/>
        <v>610328182784</v>
      </c>
      <c r="X15" vm="5134">
        <f t="shared" si="4"/>
        <v>592387702784</v>
      </c>
      <c r="Y15" vm="5046">
        <f t="shared" si="4"/>
        <v>577170767872</v>
      </c>
      <c r="Z15" vm="5233">
        <f t="shared" si="4"/>
        <v>578139258880</v>
      </c>
      <c r="AA15" vm="5210">
        <f t="shared" si="4"/>
        <v>604031614976</v>
      </c>
      <c r="AB15" vm="5189">
        <f t="shared" si="4"/>
        <v>628546404352</v>
      </c>
      <c r="AC15" vm="5171">
        <f t="shared" si="4"/>
        <v>652823887872</v>
      </c>
      <c r="AD15" vm="4669">
        <f t="shared" si="4"/>
        <v>631813308416</v>
      </c>
      <c r="AE15" vm="4564">
        <f t="shared" si="4"/>
        <v>676083990528</v>
      </c>
      <c r="AF15" vm="4452">
        <f t="shared" si="5"/>
        <v>742295470080</v>
      </c>
      <c r="AG15" vm="4363">
        <f t="shared" si="5"/>
        <v>736379797504</v>
      </c>
      <c r="AH15" vm="5491">
        <f t="shared" si="5"/>
        <v>757950709760</v>
      </c>
      <c r="AI15" vm="5314">
        <f t="shared" si="5"/>
        <v>892382412800</v>
      </c>
      <c r="AJ15" vm="5467">
        <f t="shared" si="5"/>
        <v>1023196790784</v>
      </c>
      <c r="AK15" vm="5443">
        <f t="shared" si="5"/>
        <v>1169357930496</v>
      </c>
      <c r="AL15" vm="3968">
        <f t="shared" si="5"/>
        <v>1315415261184</v>
      </c>
      <c r="AM15" vm="5424">
        <f t="shared" si="5"/>
        <v>1464977195008</v>
      </c>
      <c r="AN15" vm="5133">
        <f t="shared" si="5"/>
        <v>1549131186176</v>
      </c>
      <c r="AO15" vm="5045">
        <f t="shared" si="5"/>
        <v>1371152973824</v>
      </c>
      <c r="AP15" vm="5342">
        <f t="shared" si="6"/>
        <v>1613464469504</v>
      </c>
      <c r="AQ15" vm="5338">
        <f t="shared" si="6"/>
        <v>1788647964672</v>
      </c>
      <c r="AR15" vm="5356">
        <f t="shared" si="6"/>
        <v>1828689281024</v>
      </c>
      <c r="AS15" vm="5324">
        <f t="shared" si="6"/>
        <v>1847208574976</v>
      </c>
      <c r="AT15" vm="4473">
        <f t="shared" si="6"/>
        <v>1803533156352</v>
      </c>
      <c r="AU15" vm="4563">
        <f t="shared" si="6"/>
        <v>1556129513472</v>
      </c>
      <c r="AV15" vm="4451">
        <f t="shared" si="6"/>
        <v>1528243159040</v>
      </c>
      <c r="AW15" vm="4362">
        <f t="shared" si="6"/>
        <v>1649878106112</v>
      </c>
      <c r="AX15" vm="5301">
        <f t="shared" si="6"/>
        <v>1716262666240</v>
      </c>
      <c r="AY15" vm="5278">
        <f t="shared" si="6"/>
        <v>1736425603072</v>
      </c>
      <c r="AZ15" vm="5255">
        <f t="shared" si="6"/>
        <v>39717101748224</v>
      </c>
    </row>
    <row r="16" spans="1:52" x14ac:dyDescent="0.45">
      <c r="A16" s="4" t="str" vm="27">
        <f>CUBEMEMBER("DESKTOP-KSAPEQM AS Model","[Geography].[Blocs].[Country].&amp;[Denmark]")</f>
        <v>Denmark</v>
      </c>
      <c r="B16" vm="5232">
        <f t="shared" si="2"/>
        <v>17075458048</v>
      </c>
      <c r="C16" vm="3967">
        <f t="shared" si="2"/>
        <v>19085731840</v>
      </c>
      <c r="D16" vm="5209">
        <f t="shared" si="2"/>
        <v>23232380928</v>
      </c>
      <c r="E16" vm="5132">
        <f t="shared" si="2"/>
        <v>30730627072</v>
      </c>
      <c r="F16" vm="5044">
        <f t="shared" si="2"/>
        <v>34160445440</v>
      </c>
      <c r="G16" vm="5188">
        <f t="shared" si="2"/>
        <v>40474406912</v>
      </c>
      <c r="H16" vm="5508">
        <f t="shared" si="2"/>
        <v>44575891456</v>
      </c>
      <c r="I16" vm="5490">
        <f t="shared" si="2"/>
        <v>49784340480</v>
      </c>
      <c r="J16" vm="5516">
        <f t="shared" si="2"/>
        <v>60362932224</v>
      </c>
      <c r="K16" vm="4586">
        <f t="shared" si="2"/>
        <v>70366240768</v>
      </c>
      <c r="L16" vm="4562">
        <f t="shared" si="3"/>
        <v>71127531520</v>
      </c>
      <c r="M16" vm="4450">
        <f t="shared" si="3"/>
        <v>61877813248</v>
      </c>
      <c r="N16" vm="4361">
        <f t="shared" si="3"/>
        <v>60412846080</v>
      </c>
      <c r="O16" vm="5466">
        <f t="shared" si="3"/>
        <v>60644782080</v>
      </c>
      <c r="P16" vm="5442">
        <f t="shared" si="3"/>
        <v>59105234944</v>
      </c>
      <c r="Q16" vm="5423">
        <f t="shared" si="3"/>
        <v>62658568192</v>
      </c>
      <c r="R16" vm="5405">
        <f t="shared" si="3"/>
        <v>88078761984</v>
      </c>
      <c r="S16" vm="3966">
        <f t="shared" si="3"/>
        <v>109414424576</v>
      </c>
      <c r="T16" vm="5375">
        <f t="shared" si="3"/>
        <v>115552845824</v>
      </c>
      <c r="U16" vm="5131">
        <f t="shared" si="3"/>
        <v>112409223168</v>
      </c>
      <c r="V16" vm="5043">
        <f t="shared" si="4"/>
        <v>138247290880</v>
      </c>
      <c r="W16" vm="5355">
        <f t="shared" si="4"/>
        <v>139224694784</v>
      </c>
      <c r="X16" vm="5323">
        <f t="shared" si="4"/>
        <v>152915656704</v>
      </c>
      <c r="Y16" vm="5300">
        <f t="shared" si="4"/>
        <v>143195619328</v>
      </c>
      <c r="Z16" vm="5277">
        <f t="shared" si="4"/>
        <v>156162392064</v>
      </c>
      <c r="AA16" vm="4668">
        <f t="shared" si="4"/>
        <v>185006882816</v>
      </c>
      <c r="AB16" vm="4561">
        <f t="shared" si="4"/>
        <v>187632353280</v>
      </c>
      <c r="AC16" vm="4449">
        <f t="shared" si="4"/>
        <v>173537640448</v>
      </c>
      <c r="AD16" vm="4360">
        <f t="shared" si="4"/>
        <v>176991928320</v>
      </c>
      <c r="AE16" vm="5254">
        <f t="shared" si="4"/>
        <v>177965187072</v>
      </c>
      <c r="AF16" vm="5231">
        <f t="shared" si="5"/>
        <v>164158734336</v>
      </c>
      <c r="AG16" vm="5208">
        <f t="shared" si="5"/>
        <v>164791435264</v>
      </c>
      <c r="AH16" vm="5187">
        <f t="shared" si="5"/>
        <v>178635161600</v>
      </c>
      <c r="AI16" vm="3965">
        <f t="shared" si="5"/>
        <v>218096025600</v>
      </c>
      <c r="AJ16" vm="5170">
        <f t="shared" si="5"/>
        <v>251373010944</v>
      </c>
      <c r="AK16" vm="5130">
        <f t="shared" si="5"/>
        <v>264467333120</v>
      </c>
      <c r="AL16" vm="5042">
        <f t="shared" si="5"/>
        <v>282884931584</v>
      </c>
      <c r="AM16" vm="5489">
        <f t="shared" si="5"/>
        <v>319423414272</v>
      </c>
      <c r="AN16" vm="5291">
        <f t="shared" si="5"/>
        <v>353361035264</v>
      </c>
      <c r="AO16" vm="5465">
        <f t="shared" si="5"/>
        <v>321241317376</v>
      </c>
      <c r="AP16" vm="5441">
        <f t="shared" si="6"/>
        <v>321995276288</v>
      </c>
      <c r="AQ16" vm="4585">
        <f t="shared" si="6"/>
        <v>344003149824</v>
      </c>
      <c r="AR16" vm="4560">
        <f t="shared" si="6"/>
        <v>327148929024</v>
      </c>
      <c r="AS16" vm="4448">
        <f t="shared" si="6"/>
        <v>343584407552</v>
      </c>
      <c r="AT16" vm="4359">
        <f t="shared" si="6"/>
        <v>352993640448</v>
      </c>
      <c r="AU16" vm="5422">
        <f t="shared" si="6"/>
        <v>302673068032</v>
      </c>
      <c r="AV16" vm="5404">
        <f t="shared" si="6"/>
        <v>313115934720</v>
      </c>
      <c r="AW16" vm="5374">
        <f t="shared" si="6"/>
        <v>329417064448</v>
      </c>
      <c r="AX16" vm="5354">
        <f t="shared" si="6"/>
        <v>355675340800</v>
      </c>
      <c r="AY16" vm="3964">
        <f t="shared" si="6"/>
        <v>348078014464</v>
      </c>
      <c r="AZ16" vm="5322">
        <f t="shared" si="6"/>
        <v>8679127357440</v>
      </c>
    </row>
    <row r="17" spans="1:52" x14ac:dyDescent="0.45">
      <c r="A17" s="4" t="str" vm="12">
        <f>CUBEMEMBER("DESKTOP-KSAPEQM AS Model","[Geography].[Blocs].[Country].&amp;[Finland]")</f>
        <v>Finland</v>
      </c>
      <c r="B17" vm="5129">
        <f t="shared" si="2"/>
        <v>11357516800</v>
      </c>
      <c r="C17" vm="5041">
        <f t="shared" si="2"/>
        <v>12527405056</v>
      </c>
      <c r="D17" vm="5299">
        <f t="shared" si="2"/>
        <v>14743185408</v>
      </c>
      <c r="E17" vm="5276">
        <f t="shared" si="2"/>
        <v>19472363520</v>
      </c>
      <c r="F17" vm="5253">
        <f t="shared" si="2"/>
        <v>24848822272</v>
      </c>
      <c r="G17" vm="4752">
        <f t="shared" si="2"/>
        <v>29472624640</v>
      </c>
      <c r="H17" vm="4472">
        <f t="shared" si="2"/>
        <v>31849515008</v>
      </c>
      <c r="I17" vm="4559">
        <f t="shared" si="2"/>
        <v>33499799552</v>
      </c>
      <c r="J17" vm="4447">
        <f t="shared" si="2"/>
        <v>36256161792</v>
      </c>
      <c r="K17" vm="4358">
        <f t="shared" si="2"/>
        <v>44465254400</v>
      </c>
      <c r="L17" vm="5230">
        <f t="shared" si="3"/>
        <v>53645201408</v>
      </c>
      <c r="M17" vm="5207">
        <f t="shared" si="3"/>
        <v>52448333824</v>
      </c>
      <c r="N17" vm="5186">
        <f t="shared" si="3"/>
        <v>52797583360</v>
      </c>
      <c r="O17" vm="4061">
        <f t="shared" si="3"/>
        <v>50973528064</v>
      </c>
      <c r="P17" vm="3963">
        <f t="shared" si="3"/>
        <v>52888801280</v>
      </c>
      <c r="Q17" vm="5507">
        <f t="shared" si="3"/>
        <v>55875862528</v>
      </c>
      <c r="R17" vm="5128">
        <f t="shared" si="3"/>
        <v>73531547648</v>
      </c>
      <c r="S17" vm="5040">
        <f t="shared" si="3"/>
        <v>91594752000</v>
      </c>
      <c r="T17" vm="5488">
        <f t="shared" si="3"/>
        <v>109058990080</v>
      </c>
      <c r="U17" vm="5433">
        <f t="shared" si="3"/>
        <v>119012057088</v>
      </c>
      <c r="V17" vm="5464">
        <f t="shared" si="4"/>
        <v>141438353408</v>
      </c>
      <c r="W17" vm="4751">
        <f t="shared" si="4"/>
        <v>127773859840</v>
      </c>
      <c r="X17" vm="4667">
        <f t="shared" si="4"/>
        <v>112532520960</v>
      </c>
      <c r="Y17" vm="4558">
        <f t="shared" si="4"/>
        <v>89214115840</v>
      </c>
      <c r="Z17" vm="4446">
        <f t="shared" si="4"/>
        <v>103299940352</v>
      </c>
      <c r="AA17" vm="4357">
        <f t="shared" si="4"/>
        <v>134189817856</v>
      </c>
      <c r="AB17" vm="5440">
        <f t="shared" si="4"/>
        <v>132129177600</v>
      </c>
      <c r="AC17" vm="5421">
        <f t="shared" si="4"/>
        <v>126912151552</v>
      </c>
      <c r="AD17" vm="5403">
        <f t="shared" si="4"/>
        <v>134038716416</v>
      </c>
      <c r="AE17" vm="4060">
        <f t="shared" si="4"/>
        <v>135218413568</v>
      </c>
      <c r="AF17" vm="3962">
        <f t="shared" si="5"/>
        <v>125706649600</v>
      </c>
      <c r="AG17" vm="5387">
        <f t="shared" si="5"/>
        <v>129421025280</v>
      </c>
      <c r="AH17" vm="5127">
        <f t="shared" si="5"/>
        <v>139738382336</v>
      </c>
      <c r="AI17" vm="5039">
        <f t="shared" si="5"/>
        <v>171274272768</v>
      </c>
      <c r="AJ17" vm="5353">
        <f t="shared" si="5"/>
        <v>197116952576</v>
      </c>
      <c r="AK17" vm="5321">
        <f t="shared" si="5"/>
        <v>204809109504</v>
      </c>
      <c r="AL17" vm="5298">
        <f t="shared" si="5"/>
        <v>216907546624</v>
      </c>
      <c r="AM17" vm="4750">
        <f t="shared" si="5"/>
        <v>256052559872</v>
      </c>
      <c r="AN17" vm="4666">
        <f t="shared" si="5"/>
        <v>284553969664</v>
      </c>
      <c r="AO17" vm="4557">
        <f t="shared" si="5"/>
        <v>252496527360</v>
      </c>
      <c r="AP17" vm="4445">
        <f t="shared" si="6"/>
        <v>249181192192</v>
      </c>
      <c r="AQ17" vm="4356">
        <f t="shared" si="6"/>
        <v>275243696128</v>
      </c>
      <c r="AR17" vm="5275">
        <f t="shared" si="6"/>
        <v>258304835584</v>
      </c>
      <c r="AS17" vm="5252">
        <f t="shared" si="6"/>
        <v>271285272576</v>
      </c>
      <c r="AT17" vm="5229">
        <f t="shared" si="6"/>
        <v>274497224704</v>
      </c>
      <c r="AU17" vm="4059">
        <f t="shared" si="6"/>
        <v>234440081408</v>
      </c>
      <c r="AV17" vm="3961">
        <f t="shared" si="6"/>
        <v>240607903744</v>
      </c>
      <c r="AW17" vm="5206">
        <f t="shared" si="6"/>
        <v>255122538496</v>
      </c>
      <c r="AX17" vm="5126">
        <f t="shared" si="6"/>
        <v>275893682176</v>
      </c>
      <c r="AY17" vm="5038">
        <f t="shared" si="6"/>
        <v>268761202688</v>
      </c>
      <c r="AZ17" vm="5185">
        <f t="shared" si="6"/>
        <v>6788480998400</v>
      </c>
    </row>
    <row r="18" spans="1:52" x14ac:dyDescent="0.45">
      <c r="A18" s="4" t="str" vm="121">
        <f>CUBEMEMBER("DESKTOP-KSAPEQM AS Model","[Geography].[Blocs].[Country].&amp;[France]")</f>
        <v>France</v>
      </c>
      <c r="B18" vm="5506">
        <f t="shared" si="2"/>
        <v>148456357888</v>
      </c>
      <c r="C18" vm="5487">
        <f t="shared" si="2"/>
        <v>165966610432</v>
      </c>
      <c r="D18" vm="4593">
        <f t="shared" si="2"/>
        <v>203494146048</v>
      </c>
      <c r="E18" vm="4584">
        <f t="shared" si="2"/>
        <v>264429879296</v>
      </c>
      <c r="F18" vm="4556">
        <f t="shared" si="2"/>
        <v>285552377856</v>
      </c>
      <c r="G18" vm="4444">
        <f t="shared" si="2"/>
        <v>360832172032</v>
      </c>
      <c r="H18" vm="4355">
        <f t="shared" si="2"/>
        <v>372319027200</v>
      </c>
      <c r="I18" vm="5456">
        <f t="shared" si="2"/>
        <v>410279477248</v>
      </c>
      <c r="J18" vm="5463">
        <f t="shared" si="2"/>
        <v>506707836928</v>
      </c>
      <c r="K18" vm="5439">
        <f t="shared" si="2"/>
        <v>613953110016</v>
      </c>
      <c r="L18" vm="4058">
        <f t="shared" si="3"/>
        <v>701288415232</v>
      </c>
      <c r="M18" vm="3960">
        <f t="shared" si="3"/>
        <v>615552188416</v>
      </c>
      <c r="N18" vm="5420">
        <f t="shared" si="3"/>
        <v>584877735936</v>
      </c>
      <c r="O18" vm="5125">
        <f t="shared" si="3"/>
        <v>559869198336</v>
      </c>
      <c r="P18" vm="5037">
        <f t="shared" si="3"/>
        <v>530683789312</v>
      </c>
      <c r="Q18" vm="5402">
        <f t="shared" si="3"/>
        <v>553138388992</v>
      </c>
      <c r="R18" vm="5373">
        <f t="shared" si="3"/>
        <v>771470786560</v>
      </c>
      <c r="S18" vm="5352">
        <f t="shared" si="3"/>
        <v>934173278208</v>
      </c>
      <c r="T18" vm="4675">
        <f t="shared" si="3"/>
        <v>1018847035392</v>
      </c>
      <c r="U18" vm="4665">
        <f t="shared" si="3"/>
        <v>1025211826176</v>
      </c>
      <c r="V18" vm="4555">
        <f t="shared" si="4"/>
        <v>1269179613184</v>
      </c>
      <c r="W18" vm="4443">
        <f t="shared" si="4"/>
        <v>1269276868608</v>
      </c>
      <c r="X18" vm="4354">
        <f t="shared" si="4"/>
        <v>1401465864192</v>
      </c>
      <c r="Y18" vm="5320">
        <f t="shared" si="4"/>
        <v>1322815586304</v>
      </c>
      <c r="Z18" vm="5297">
        <f t="shared" si="4"/>
        <v>1393982701568</v>
      </c>
      <c r="AA18" vm="5274">
        <f t="shared" si="4"/>
        <v>1601094811648</v>
      </c>
      <c r="AB18" vm="4057">
        <f t="shared" si="4"/>
        <v>1605675122688</v>
      </c>
      <c r="AC18" vm="3959">
        <f t="shared" si="4"/>
        <v>1452884885504</v>
      </c>
      <c r="AD18" vm="5251">
        <f t="shared" si="4"/>
        <v>1503108792320</v>
      </c>
      <c r="AE18" vm="5124">
        <f t="shared" si="4"/>
        <v>1492647542784</v>
      </c>
      <c r="AF18" vm="5036">
        <f t="shared" si="5"/>
        <v>1362248990720</v>
      </c>
      <c r="AG18" vm="5228">
        <f t="shared" si="5"/>
        <v>1376465321984</v>
      </c>
      <c r="AH18" vm="5205">
        <f t="shared" si="5"/>
        <v>1494286598144</v>
      </c>
      <c r="AI18" vm="5184">
        <f t="shared" si="5"/>
        <v>1840480780288</v>
      </c>
      <c r="AJ18" vm="4749">
        <f t="shared" si="5"/>
        <v>2115742466048</v>
      </c>
      <c r="AK18" vm="4471">
        <f t="shared" si="5"/>
        <v>2196126040064</v>
      </c>
      <c r="AL18" vm="4554">
        <f t="shared" si="5"/>
        <v>2318593687552</v>
      </c>
      <c r="AM18" vm="4442">
        <f t="shared" si="5"/>
        <v>2657213218816</v>
      </c>
      <c r="AN18" vm="4353">
        <f t="shared" si="5"/>
        <v>2918382829568</v>
      </c>
      <c r="AO18" vm="4278">
        <f t="shared" si="5"/>
        <v>2690222391296</v>
      </c>
      <c r="AP18" vm="5169">
        <f t="shared" si="6"/>
        <v>2642609438720</v>
      </c>
      <c r="AQ18" vm="5486">
        <f t="shared" si="6"/>
        <v>2861408190464</v>
      </c>
      <c r="AR18" vm="4056">
        <f t="shared" si="6"/>
        <v>2683825291264</v>
      </c>
      <c r="AS18" vm="3958">
        <f t="shared" si="6"/>
        <v>2811077853184</v>
      </c>
      <c r="AT18" vm="5395">
        <f t="shared" si="6"/>
        <v>2852165779456</v>
      </c>
      <c r="AU18" vm="5123">
        <f t="shared" si="6"/>
        <v>2438207897600</v>
      </c>
      <c r="AV18" vm="5035">
        <f t="shared" si="6"/>
        <v>2471285489664</v>
      </c>
      <c r="AW18" vm="5462">
        <f t="shared" si="6"/>
        <v>2595151151104</v>
      </c>
      <c r="AX18" vm="5438">
        <f t="shared" si="6"/>
        <v>2787863953408</v>
      </c>
      <c r="AY18" vm="5419">
        <f t="shared" si="6"/>
        <v>2715518238720</v>
      </c>
      <c r="AZ18" vm="5401">
        <f t="shared" si="6"/>
        <v>72768111034368</v>
      </c>
    </row>
    <row r="19" spans="1:52" x14ac:dyDescent="0.45">
      <c r="A19" s="4" t="str" vm="118">
        <f>CUBEMEMBER("DESKTOP-KSAPEQM AS Model","[Geography].[Blocs].[Country].&amp;[Germany]")</f>
        <v>Germany</v>
      </c>
      <c r="B19" vm="4664">
        <f t="shared" si="2"/>
        <v>215838441472</v>
      </c>
      <c r="C19" vm="4553">
        <f t="shared" si="2"/>
        <v>249985056768</v>
      </c>
      <c r="D19" vm="4441">
        <f t="shared" si="2"/>
        <v>299801542656</v>
      </c>
      <c r="E19" vm="4352">
        <f t="shared" si="2"/>
        <v>398374010880</v>
      </c>
      <c r="F19" vm="4277">
        <f t="shared" si="2"/>
        <v>445303488512</v>
      </c>
      <c r="G19" vm="5372">
        <f t="shared" si="2"/>
        <v>490636509184</v>
      </c>
      <c r="H19" vm="5351">
        <f t="shared" si="2"/>
        <v>519754448896</v>
      </c>
      <c r="I19" vm="4055">
        <f t="shared" si="2"/>
        <v>600498241536</v>
      </c>
      <c r="J19" vm="3957">
        <f t="shared" si="2"/>
        <v>740469964800</v>
      </c>
      <c r="K19" vm="5319">
        <f t="shared" si="2"/>
        <v>881345167360</v>
      </c>
      <c r="L19" vm="5122">
        <f t="shared" si="3"/>
        <v>950290874368</v>
      </c>
      <c r="M19" vm="5034">
        <f t="shared" si="3"/>
        <v>800472039424</v>
      </c>
      <c r="N19" vm="4961">
        <f t="shared" si="3"/>
        <v>776576434176</v>
      </c>
      <c r="O19" vm="5296">
        <f t="shared" si="3"/>
        <v>770684354560</v>
      </c>
      <c r="P19" vm="5273">
        <f t="shared" si="3"/>
        <v>725111144448</v>
      </c>
      <c r="Q19" vm="4748">
        <f t="shared" si="3"/>
        <v>732534865920</v>
      </c>
      <c r="R19" vm="4583">
        <f t="shared" si="3"/>
        <v>1046259367936</v>
      </c>
      <c r="S19" vm="4552">
        <f t="shared" si="3"/>
        <v>1298176147456</v>
      </c>
      <c r="T19" vm="4440">
        <f t="shared" si="3"/>
        <v>1401233211392</v>
      </c>
      <c r="U19" vm="4351">
        <f t="shared" si="3"/>
        <v>1398967500800</v>
      </c>
      <c r="V19" vm="4276">
        <f t="shared" si="4"/>
        <v>1771671257088</v>
      </c>
      <c r="W19" vm="5250">
        <f t="shared" si="4"/>
        <v>1868945162240</v>
      </c>
      <c r="X19" vm="5227">
        <f t="shared" si="4"/>
        <v>2131571638272</v>
      </c>
      <c r="Y19" vm="4054">
        <f t="shared" si="4"/>
        <v>2071323738112</v>
      </c>
      <c r="Z19" vm="3956">
        <f t="shared" si="4"/>
        <v>2205074063360</v>
      </c>
      <c r="AA19" vm="5204">
        <f t="shared" si="4"/>
        <v>2585792348160</v>
      </c>
      <c r="AB19" vm="5121">
        <f t="shared" si="4"/>
        <v>2497244561408</v>
      </c>
      <c r="AC19" vm="5033">
        <f t="shared" si="4"/>
        <v>2211989684224</v>
      </c>
      <c r="AD19" vm="4960">
        <f t="shared" si="4"/>
        <v>2238990778368</v>
      </c>
      <c r="AE19" vm="5183">
        <f t="shared" si="4"/>
        <v>2194204131328</v>
      </c>
      <c r="AF19" vm="5505">
        <f t="shared" si="5"/>
        <v>1943145414656</v>
      </c>
      <c r="AG19" vm="4747">
        <f t="shared" si="5"/>
        <v>1944107352064</v>
      </c>
      <c r="AH19" vm="4663">
        <f t="shared" si="5"/>
        <v>2068624179200</v>
      </c>
      <c r="AI19" vm="4551">
        <f t="shared" si="5"/>
        <v>2496128614400</v>
      </c>
      <c r="AJ19" vm="4439">
        <f t="shared" si="5"/>
        <v>2809188057088</v>
      </c>
      <c r="AK19" vm="4350">
        <f t="shared" si="5"/>
        <v>2845802758144</v>
      </c>
      <c r="AL19" vm="4275">
        <f t="shared" si="5"/>
        <v>2992196812800</v>
      </c>
      <c r="AM19" vm="5485">
        <f t="shared" si="5"/>
        <v>3421229023232</v>
      </c>
      <c r="AN19" vm="5345">
        <f t="shared" si="5"/>
        <v>3730027839488</v>
      </c>
      <c r="AO19" vm="4053">
        <f t="shared" si="5"/>
        <v>3397790990336</v>
      </c>
      <c r="AP19" vm="3955">
        <f t="shared" si="6"/>
        <v>3396354179072</v>
      </c>
      <c r="AQ19" vm="5461">
        <f t="shared" si="6"/>
        <v>3744408535040</v>
      </c>
      <c r="AR19" vm="5120">
        <f t="shared" si="6"/>
        <v>3527344914432</v>
      </c>
      <c r="AS19" vm="5032">
        <f t="shared" si="6"/>
        <v>3732743389184</v>
      </c>
      <c r="AT19" vm="4959">
        <f t="shared" si="6"/>
        <v>3883920261120</v>
      </c>
      <c r="AU19" vm="5437">
        <f t="shared" si="6"/>
        <v>3360550027264</v>
      </c>
      <c r="AV19" vm="5418">
        <f t="shared" si="6"/>
        <v>3466790174720</v>
      </c>
      <c r="AW19" vm="4746">
        <f t="shared" si="6"/>
        <v>3665804132352</v>
      </c>
      <c r="AX19" vm="4662">
        <f t="shared" si="6"/>
        <v>3949548797952</v>
      </c>
      <c r="AY19" vm="4550">
        <f t="shared" si="6"/>
        <v>3845629935616</v>
      </c>
      <c r="AZ19" vm="4438">
        <f t="shared" si="6"/>
        <v>100740455563264</v>
      </c>
    </row>
    <row r="20" spans="1:52" x14ac:dyDescent="0.45">
      <c r="A20" s="4" t="str" vm="114">
        <f>CUBEMEMBER("DESKTOP-KSAPEQM AS Model","[Geography].[Blocs].[Country].&amp;[Greece]")</f>
        <v>Greece</v>
      </c>
      <c r="B20" vm="4349">
        <f t="shared" si="2"/>
        <v>13139862528</v>
      </c>
      <c r="C20" vm="4274">
        <f t="shared" si="2"/>
        <v>14591755264</v>
      </c>
      <c r="D20" vm="4203">
        <f t="shared" si="2"/>
        <v>16885507072</v>
      </c>
      <c r="E20" vm="4132">
        <f t="shared" si="2"/>
        <v>22347845632</v>
      </c>
      <c r="F20" vm="4052">
        <f t="shared" si="2"/>
        <v>25351305216</v>
      </c>
      <c r="G20" vm="3954">
        <f t="shared" si="2"/>
        <v>28525873152</v>
      </c>
      <c r="H20" vm="5400">
        <f t="shared" si="2"/>
        <v>31152840704</v>
      </c>
      <c r="I20" vm="5119">
        <f t="shared" si="2"/>
        <v>36176232448</v>
      </c>
      <c r="J20" vm="5031">
        <f t="shared" si="2"/>
        <v>44270202880</v>
      </c>
      <c r="K20" vm="4958">
        <f t="shared" si="2"/>
        <v>54481874944</v>
      </c>
      <c r="L20" vm="5371">
        <f t="shared" si="3"/>
        <v>56829665280</v>
      </c>
      <c r="M20" vm="5350">
        <f t="shared" si="3"/>
        <v>52346507264</v>
      </c>
      <c r="N20" vm="4745">
        <f t="shared" si="3"/>
        <v>54617993216</v>
      </c>
      <c r="O20" vm="4661">
        <f t="shared" si="3"/>
        <v>49428873216</v>
      </c>
      <c r="P20" vm="4549">
        <f t="shared" si="3"/>
        <v>48020025344</v>
      </c>
      <c r="Q20" vm="4437">
        <f t="shared" si="3"/>
        <v>47820849152</v>
      </c>
      <c r="R20" vm="4348">
        <f t="shared" si="3"/>
        <v>56379592704</v>
      </c>
      <c r="S20" vm="4273">
        <f t="shared" si="3"/>
        <v>65652752384</v>
      </c>
      <c r="T20" vm="4202">
        <f t="shared" si="3"/>
        <v>76261277696</v>
      </c>
      <c r="U20" vm="4131">
        <f t="shared" si="3"/>
        <v>79169044480</v>
      </c>
      <c r="V20" vm="4051">
        <f t="shared" si="4"/>
        <v>97891090432</v>
      </c>
      <c r="W20" vm="3953">
        <f t="shared" si="4"/>
        <v>105143230464</v>
      </c>
      <c r="X20" vm="5318">
        <f t="shared" si="4"/>
        <v>116224671744</v>
      </c>
      <c r="Y20" vm="5118">
        <f t="shared" si="4"/>
        <v>108809060352</v>
      </c>
      <c r="Z20" vm="5030">
        <f t="shared" si="4"/>
        <v>116601798656</v>
      </c>
      <c r="AA20" vm="4957">
        <f t="shared" si="4"/>
        <v>136878366720</v>
      </c>
      <c r="AB20" vm="5295">
        <f t="shared" si="4"/>
        <v>145861607424</v>
      </c>
      <c r="AC20" vm="4821">
        <f t="shared" si="4"/>
        <v>143157592064</v>
      </c>
      <c r="AD20" vm="4744">
        <f t="shared" si="4"/>
        <v>144428171264</v>
      </c>
      <c r="AE20" vm="4660">
        <f t="shared" si="4"/>
        <v>142540734464</v>
      </c>
      <c r="AF20" vm="4548">
        <f t="shared" si="5"/>
        <v>130133843968</v>
      </c>
      <c r="AG20" vm="4436">
        <f t="shared" si="5"/>
        <v>136191352832</v>
      </c>
      <c r="AH20" vm="4347">
        <f t="shared" si="5"/>
        <v>153830948864</v>
      </c>
      <c r="AI20" vm="4272">
        <f t="shared" si="5"/>
        <v>201924263936</v>
      </c>
      <c r="AJ20" vm="4201">
        <f t="shared" si="5"/>
        <v>240521265152</v>
      </c>
      <c r="AK20" vm="4130">
        <f t="shared" si="5"/>
        <v>247782998016</v>
      </c>
      <c r="AL20" vm="4050">
        <f t="shared" si="5"/>
        <v>273317740544</v>
      </c>
      <c r="AM20" vm="3952">
        <f t="shared" si="5"/>
        <v>318497947648</v>
      </c>
      <c r="AN20" vm="5272">
        <f t="shared" si="5"/>
        <v>354460794880</v>
      </c>
      <c r="AO20" vm="5117">
        <f t="shared" si="5"/>
        <v>330000236544</v>
      </c>
      <c r="AP20" vm="5029">
        <f t="shared" si="6"/>
        <v>299361566720</v>
      </c>
      <c r="AQ20" vm="4956">
        <f t="shared" si="6"/>
        <v>287797837824</v>
      </c>
      <c r="AR20" vm="5249">
        <f t="shared" si="6"/>
        <v>245670674432</v>
      </c>
      <c r="AS20" vm="4820">
        <f t="shared" si="6"/>
        <v>239862005760</v>
      </c>
      <c r="AT20" vm="4743">
        <f t="shared" si="6"/>
        <v>237029572608</v>
      </c>
      <c r="AU20" vm="4659">
        <f t="shared" si="6"/>
        <v>196591353856</v>
      </c>
      <c r="AV20" vm="4547">
        <f t="shared" si="6"/>
        <v>195222437888</v>
      </c>
      <c r="AW20" vm="4435">
        <f t="shared" si="6"/>
        <v>203588419584</v>
      </c>
      <c r="AX20" vm="4346">
        <f t="shared" si="6"/>
        <v>218138361856</v>
      </c>
      <c r="AY20" vm="4271">
        <f t="shared" si="6"/>
        <v>209852760064</v>
      </c>
      <c r="AZ20" vm="4200">
        <f t="shared" si="6"/>
        <v>6850762587136</v>
      </c>
    </row>
    <row r="21" spans="1:52" x14ac:dyDescent="0.45">
      <c r="A21" s="4" t="str" vm="101">
        <f>CUBEMEMBER("DESKTOP-KSAPEQM AS Model","[Geography].[Blocs].[Country].&amp;[Iceland]")</f>
        <v>Iceland</v>
      </c>
      <c r="B21" vm="4129">
        <f t="shared" ref="B21:K30" si="7">CUBEVALUE("DESKTOP-KSAPEQM AS Model",OutputMeasures,CurrentSource,WDIAvailability,USDUnits,CurrentUSDSector,CurrentUSDPivot,$A21,B$8)</f>
        <v>527496576</v>
      </c>
      <c r="C21" vm="4049">
        <f t="shared" si="7"/>
        <v>671258752</v>
      </c>
      <c r="D21" vm="3951">
        <f t="shared" si="7"/>
        <v>840914432</v>
      </c>
      <c r="E21" vm="5226">
        <f t="shared" si="7"/>
        <v>1156175488</v>
      </c>
      <c r="F21" vm="5116">
        <f t="shared" si="7"/>
        <v>1517467776</v>
      </c>
      <c r="G21" vm="5028">
        <f t="shared" si="7"/>
        <v>1408989824</v>
      </c>
      <c r="H21" vm="4955">
        <f t="shared" si="7"/>
        <v>1671997824</v>
      </c>
      <c r="I21" vm="4888">
        <f t="shared" si="7"/>
        <v>2211828992</v>
      </c>
      <c r="J21" vm="4819">
        <f t="shared" si="7"/>
        <v>2515601664</v>
      </c>
      <c r="K21" vm="4742">
        <f t="shared" si="7"/>
        <v>2857724160</v>
      </c>
      <c r="L21" vm="4582">
        <f t="shared" ref="L21:U30" si="8">CUBEVALUE("DESKTOP-KSAPEQM AS Model",OutputMeasures,CurrentSource,WDIAvailability,USDUnits,CurrentUSDSector,CurrentUSDPivot,$A21,L$8)</f>
        <v>3386501888</v>
      </c>
      <c r="M21" vm="4546">
        <f t="shared" si="8"/>
        <v>3498247424</v>
      </c>
      <c r="N21" vm="4434">
        <f t="shared" si="8"/>
        <v>3211446528</v>
      </c>
      <c r="O21" vm="4345">
        <f t="shared" si="8"/>
        <v>2770107904</v>
      </c>
      <c r="P21" vm="4270">
        <f t="shared" si="8"/>
        <v>2868747008</v>
      </c>
      <c r="Q21" vm="4199">
        <f t="shared" si="8"/>
        <v>2988537856</v>
      </c>
      <c r="R21" vm="4128">
        <f t="shared" si="8"/>
        <v>3995619584</v>
      </c>
      <c r="S21" vm="4048">
        <f t="shared" si="8"/>
        <v>5528615936</v>
      </c>
      <c r="T21" vm="3950">
        <f t="shared" si="8"/>
        <v>6115814912</v>
      </c>
      <c r="U21" vm="5203">
        <f t="shared" si="8"/>
        <v>5681096192</v>
      </c>
      <c r="V21" vm="5115">
        <f t="shared" ref="V21:AE30" si="9">CUBEVALUE("DESKTOP-KSAPEQM AS Model",OutputMeasures,CurrentSource,WDIAvailability,USDUnits,CurrentUSDSector,CurrentUSDPivot,$A21,V$8)</f>
        <v>6478459904</v>
      </c>
      <c r="W21" vm="5027">
        <f t="shared" si="9"/>
        <v>6920116736</v>
      </c>
      <c r="X21" vm="4954">
        <f t="shared" si="9"/>
        <v>7091625472</v>
      </c>
      <c r="Y21" vm="4887">
        <f t="shared" si="9"/>
        <v>6227929088</v>
      </c>
      <c r="Z21" vm="4818">
        <f t="shared" si="9"/>
        <v>6399064576</v>
      </c>
      <c r="AA21" vm="4741">
        <f t="shared" si="9"/>
        <v>7134341120</v>
      </c>
      <c r="AB21" vm="4470">
        <f t="shared" si="9"/>
        <v>7438183424</v>
      </c>
      <c r="AC21" vm="4545">
        <f t="shared" si="9"/>
        <v>7580988928</v>
      </c>
      <c r="AD21" vm="4433">
        <f t="shared" si="9"/>
        <v>8494094848</v>
      </c>
      <c r="AE21" vm="4344">
        <f t="shared" si="9"/>
        <v>8971609088</v>
      </c>
      <c r="AF21" vm="4269">
        <f t="shared" ref="AF21:AO30" si="10">CUBEVALUE("DESKTOP-KSAPEQM AS Model",OutputMeasures,CurrentSource,WDIAvailability,USDUnits,CurrentUSDSector,CurrentUSDPivot,$A21,AF$8)</f>
        <v>9003639808</v>
      </c>
      <c r="AG21" vm="4198">
        <f t="shared" si="10"/>
        <v>8205357568</v>
      </c>
      <c r="AH21" vm="4127">
        <f t="shared" si="10"/>
        <v>9294652416</v>
      </c>
      <c r="AI21" vm="4047">
        <f t="shared" si="10"/>
        <v>11414054912</v>
      </c>
      <c r="AJ21" vm="3949">
        <f t="shared" si="10"/>
        <v>13834749952</v>
      </c>
      <c r="AK21" vm="5182">
        <f t="shared" si="10"/>
        <v>16812530688</v>
      </c>
      <c r="AL21" vm="5114">
        <f t="shared" si="10"/>
        <v>17216419840</v>
      </c>
      <c r="AM21" vm="5026">
        <f t="shared" si="10"/>
        <v>21514962944</v>
      </c>
      <c r="AN21" vm="4953">
        <f t="shared" si="10"/>
        <v>17905252352</v>
      </c>
      <c r="AO21" vm="4886">
        <f t="shared" si="10"/>
        <v>13164652544</v>
      </c>
      <c r="AP21" vm="4817">
        <f t="shared" ref="AP21:AZ30" si="11">CUBEVALUE("DESKTOP-KSAPEQM AS Model",OutputMeasures,CurrentSource,WDIAvailability,USDUnits,CurrentUSDSector,CurrentUSDPivot,$A21,AP$8)</f>
        <v>13683689472</v>
      </c>
      <c r="AQ21" vm="4740">
        <f t="shared" si="11"/>
        <v>15158548480</v>
      </c>
      <c r="AR21" vm="4658">
        <f t="shared" si="11"/>
        <v>14724078592</v>
      </c>
      <c r="AS21" vm="4544">
        <f t="shared" si="11"/>
        <v>16033517568</v>
      </c>
      <c r="AT21" vm="4432">
        <f t="shared" si="11"/>
        <v>17758050304</v>
      </c>
      <c r="AU21" vm="4343">
        <f t="shared" si="11"/>
        <v>17389101056</v>
      </c>
      <c r="AV21" vm="4268">
        <f t="shared" si="11"/>
        <v>20618362880</v>
      </c>
      <c r="AW21" vm="4197">
        <f t="shared" si="11"/>
        <v>24488175616</v>
      </c>
      <c r="AX21" vm="4126">
        <f t="shared" si="11"/>
        <v>25737594880</v>
      </c>
      <c r="AY21" vm="4046">
        <f t="shared" si="11"/>
        <v>24188035072</v>
      </c>
      <c r="AZ21" vm="3948">
        <f t="shared" si="11"/>
        <v>456306030848</v>
      </c>
    </row>
    <row r="22" spans="1:52" x14ac:dyDescent="0.45">
      <c r="A22" s="4" t="str" vm="92">
        <f>CUBEMEMBER("DESKTOP-KSAPEQM AS Model","[Geography].[Blocs].[Country].&amp;[Ireland]")</f>
        <v>Ireland</v>
      </c>
      <c r="B22" vm="5168">
        <f t="shared" si="7"/>
        <v>4401259520</v>
      </c>
      <c r="C22" vm="5113">
        <f t="shared" si="7"/>
        <v>5104355328</v>
      </c>
      <c r="D22" vm="5025">
        <f t="shared" si="7"/>
        <v>6325627392</v>
      </c>
      <c r="E22" vm="4952">
        <f t="shared" si="7"/>
        <v>7490132480</v>
      </c>
      <c r="F22" vm="4885">
        <f t="shared" si="7"/>
        <v>7906317312</v>
      </c>
      <c r="G22" vm="4816">
        <f t="shared" si="7"/>
        <v>9495165952</v>
      </c>
      <c r="H22" vm="4739">
        <f t="shared" si="7"/>
        <v>9465077760</v>
      </c>
      <c r="I22" vm="4657">
        <f t="shared" si="7"/>
        <v>11261810688</v>
      </c>
      <c r="J22" vm="4543">
        <f t="shared" si="7"/>
        <v>14665538560</v>
      </c>
      <c r="K22" vm="4431">
        <f t="shared" si="7"/>
        <v>18341273600</v>
      </c>
      <c r="L22" vm="4342">
        <f t="shared" si="8"/>
        <v>21773901824</v>
      </c>
      <c r="M22" vm="4267">
        <f t="shared" si="8"/>
        <v>20694943744</v>
      </c>
      <c r="N22" vm="4196">
        <f t="shared" si="8"/>
        <v>21500471296</v>
      </c>
      <c r="O22" vm="4125">
        <f t="shared" si="8"/>
        <v>20790917120</v>
      </c>
      <c r="P22" vm="4045">
        <f t="shared" si="8"/>
        <v>20130727936</v>
      </c>
      <c r="Q22" vm="3947">
        <f t="shared" si="8"/>
        <v>21295484928</v>
      </c>
      <c r="R22" vm="5484">
        <f t="shared" si="8"/>
        <v>28748959744</v>
      </c>
      <c r="S22" vm="5112">
        <f t="shared" si="8"/>
        <v>33961142272</v>
      </c>
      <c r="T22" vm="5024">
        <f t="shared" si="8"/>
        <v>37818134528</v>
      </c>
      <c r="U22" vm="4951">
        <f t="shared" si="8"/>
        <v>39285383168</v>
      </c>
      <c r="V22" vm="4884">
        <f t="shared" si="9"/>
        <v>49364680704</v>
      </c>
      <c r="W22" vm="4815">
        <f t="shared" si="9"/>
        <v>49847128064</v>
      </c>
      <c r="X22" vm="4738">
        <f t="shared" si="9"/>
        <v>55985504256</v>
      </c>
      <c r="Y22" vm="4656">
        <f t="shared" si="9"/>
        <v>52480249856</v>
      </c>
      <c r="Z22" vm="4542">
        <f t="shared" si="9"/>
        <v>57166036992</v>
      </c>
      <c r="AA22" vm="4430">
        <f t="shared" si="9"/>
        <v>69222621184</v>
      </c>
      <c r="AB22" vm="4341">
        <f t="shared" si="9"/>
        <v>75880628224</v>
      </c>
      <c r="AC22" vm="4266">
        <f t="shared" si="9"/>
        <v>82826141696</v>
      </c>
      <c r="AD22" vm="4195">
        <f t="shared" si="9"/>
        <v>90082050048</v>
      </c>
      <c r="AE22" vm="4124">
        <f t="shared" si="9"/>
        <v>98692079616</v>
      </c>
      <c r="AF22" vm="4044">
        <f t="shared" si="10"/>
        <v>99852959744</v>
      </c>
      <c r="AG22" vm="3946">
        <f t="shared" si="10"/>
        <v>109135257600</v>
      </c>
      <c r="AH22" vm="5413">
        <f t="shared" si="10"/>
        <v>127949873152</v>
      </c>
      <c r="AI22" vm="5111">
        <f t="shared" si="10"/>
        <v>164284694528</v>
      </c>
      <c r="AJ22" vm="5023">
        <f t="shared" si="10"/>
        <v>193870692352</v>
      </c>
      <c r="AK22" vm="4950">
        <f t="shared" si="10"/>
        <v>211649036288</v>
      </c>
      <c r="AL22" vm="4883">
        <f t="shared" si="10"/>
        <v>232083472384</v>
      </c>
      <c r="AM22" vm="4814">
        <f t="shared" si="10"/>
        <v>269917945856</v>
      </c>
      <c r="AN22" vm="4737">
        <f t="shared" si="10"/>
        <v>275038896128</v>
      </c>
      <c r="AO22" vm="4655">
        <f t="shared" si="10"/>
        <v>236316409856</v>
      </c>
      <c r="AP22" vm="4541">
        <f t="shared" si="11"/>
        <v>222148755456</v>
      </c>
      <c r="AQ22" vm="4429">
        <f t="shared" si="11"/>
        <v>237472366592</v>
      </c>
      <c r="AR22" vm="4340">
        <f t="shared" si="11"/>
        <v>224999489536</v>
      </c>
      <c r="AS22" vm="4265">
        <f t="shared" si="11"/>
        <v>238543536128</v>
      </c>
      <c r="AT22" vm="4194">
        <f t="shared" si="11"/>
        <v>258471886848</v>
      </c>
      <c r="AU22" vm="4123">
        <f t="shared" si="11"/>
        <v>291499802624</v>
      </c>
      <c r="AV22" vm="4043">
        <f t="shared" si="11"/>
        <v>300523290624</v>
      </c>
      <c r="AW22" vm="3945">
        <f t="shared" si="11"/>
        <v>335663104000</v>
      </c>
      <c r="AX22" vm="5460">
        <f t="shared" si="11"/>
        <v>382674370560</v>
      </c>
      <c r="AY22" vm="5110">
        <f t="shared" si="11"/>
        <v>388698701824</v>
      </c>
      <c r="AZ22" vm="5022">
        <f t="shared" si="11"/>
        <v>5842798287872</v>
      </c>
    </row>
    <row r="23" spans="1:52" x14ac:dyDescent="0.45">
      <c r="A23" s="4" t="str" vm="83">
        <f>CUBEMEMBER("DESKTOP-KSAPEQM AS Model","[Geography].[Blocs].[Country].&amp;[Israel]")</f>
        <v>Israel</v>
      </c>
      <c r="B23" vm="4949">
        <f t="shared" si="7"/>
        <v>7048666624</v>
      </c>
      <c r="C23" vm="4882">
        <f t="shared" si="7"/>
        <v>6711750144</v>
      </c>
      <c r="D23" vm="4813">
        <f t="shared" si="7"/>
        <v>8775249920</v>
      </c>
      <c r="E23" vm="4736">
        <f t="shared" si="7"/>
        <v>11326249984</v>
      </c>
      <c r="F23" vm="4654">
        <f t="shared" si="7"/>
        <v>16341000192</v>
      </c>
      <c r="G23" vm="4540">
        <f t="shared" si="7"/>
        <v>15360166912</v>
      </c>
      <c r="H23" vm="4428">
        <f t="shared" si="7"/>
        <v>15183125504</v>
      </c>
      <c r="I23" vm="4339">
        <f t="shared" si="7"/>
        <v>17372798976</v>
      </c>
      <c r="J23" vm="4264">
        <f t="shared" si="7"/>
        <v>16843176960</v>
      </c>
      <c r="K23" vm="4193">
        <f t="shared" si="7"/>
        <v>21514080256</v>
      </c>
      <c r="L23" vm="4122">
        <f t="shared" si="8"/>
        <v>24164509696</v>
      </c>
      <c r="M23" vm="4042">
        <f t="shared" si="8"/>
        <v>25579227136</v>
      </c>
      <c r="N23" vm="3944">
        <f t="shared" si="8"/>
        <v>27837509632</v>
      </c>
      <c r="O23" vm="5436">
        <f t="shared" si="8"/>
        <v>31092230144</v>
      </c>
      <c r="P23" vm="5109">
        <f t="shared" si="8"/>
        <v>29160458240</v>
      </c>
      <c r="Q23" vm="5021">
        <f t="shared" si="8"/>
        <v>27504906240</v>
      </c>
      <c r="R23" vm="4948">
        <f t="shared" si="8"/>
        <v>34097559552</v>
      </c>
      <c r="S23" vm="4881">
        <f t="shared" si="8"/>
        <v>40963276800</v>
      </c>
      <c r="T23" vm="4812">
        <f t="shared" si="8"/>
        <v>50099380224</v>
      </c>
      <c r="U23" vm="4735">
        <f t="shared" si="8"/>
        <v>49901961216</v>
      </c>
      <c r="V23" vm="4653">
        <f t="shared" si="9"/>
        <v>59011272704</v>
      </c>
      <c r="W23" vm="4539">
        <f t="shared" si="9"/>
        <v>67558014976</v>
      </c>
      <c r="X23" vm="4427">
        <f t="shared" si="9"/>
        <v>75607007232</v>
      </c>
      <c r="Y23" vm="4338">
        <f t="shared" si="9"/>
        <v>75985903616</v>
      </c>
      <c r="Z23" vm="4263">
        <f t="shared" si="9"/>
        <v>86342656000</v>
      </c>
      <c r="AA23" vm="4192">
        <f t="shared" si="9"/>
        <v>100384808960</v>
      </c>
      <c r="AB23" vm="4121">
        <f t="shared" si="9"/>
        <v>109995843584</v>
      </c>
      <c r="AC23" vm="4041">
        <f t="shared" si="9"/>
        <v>114692620288</v>
      </c>
      <c r="AD23" vm="3943">
        <f t="shared" si="9"/>
        <v>115932848128</v>
      </c>
      <c r="AE23" vm="5417">
        <f t="shared" si="9"/>
        <v>117111537664</v>
      </c>
      <c r="AF23" vm="5108">
        <f t="shared" si="10"/>
        <v>132343046144</v>
      </c>
      <c r="AG23" vm="5020">
        <f t="shared" si="10"/>
        <v>130756337664</v>
      </c>
      <c r="AH23" vm="4947">
        <f t="shared" si="10"/>
        <v>121123831808</v>
      </c>
      <c r="AI23" vm="4880">
        <f t="shared" si="10"/>
        <v>126965981184</v>
      </c>
      <c r="AJ23" vm="4811">
        <f t="shared" si="10"/>
        <v>135477428224</v>
      </c>
      <c r="AK23" vm="4734">
        <f t="shared" si="10"/>
        <v>142528905216</v>
      </c>
      <c r="AL23" vm="4652">
        <f t="shared" si="10"/>
        <v>154034323456</v>
      </c>
      <c r="AM23" vm="4538">
        <f t="shared" si="10"/>
        <v>178959187968</v>
      </c>
      <c r="AN23" vm="4426">
        <f t="shared" si="10"/>
        <v>216105172992</v>
      </c>
      <c r="AO23" vm="4337">
        <f t="shared" si="10"/>
        <v>207468167168</v>
      </c>
      <c r="AP23" vm="4262">
        <f t="shared" si="11"/>
        <v>233995681792</v>
      </c>
      <c r="AQ23" vm="4191">
        <f t="shared" si="11"/>
        <v>261468635136</v>
      </c>
      <c r="AR23" vm="4120">
        <f t="shared" si="11"/>
        <v>257180139520</v>
      </c>
      <c r="AS23" vm="4040">
        <f t="shared" si="11"/>
        <v>292636164096</v>
      </c>
      <c r="AT23" vm="3942">
        <f t="shared" si="11"/>
        <v>309558444032</v>
      </c>
      <c r="AU23" vm="5399">
        <f t="shared" si="11"/>
        <v>299813109760</v>
      </c>
      <c r="AV23" vm="5107">
        <f t="shared" si="11"/>
        <v>318950604800</v>
      </c>
      <c r="AW23" vm="5019">
        <f t="shared" si="11"/>
        <v>353253392384</v>
      </c>
      <c r="AX23" vm="4946">
        <f t="shared" si="11"/>
        <v>370587992064</v>
      </c>
      <c r="AY23" vm="4879">
        <f t="shared" si="11"/>
        <v>395098652672</v>
      </c>
      <c r="AZ23" vm="4810">
        <f t="shared" si="11"/>
        <v>6037804995584</v>
      </c>
    </row>
    <row r="24" spans="1:52" x14ac:dyDescent="0.45">
      <c r="A24" s="4" t="str" vm="74">
        <f>CUBEMEMBER("DESKTOP-KSAPEQM AS Model","[Geography].[Blocs].[Country].&amp;[Italy]")</f>
        <v>Italy</v>
      </c>
      <c r="B24" vm="4733">
        <f t="shared" si="7"/>
        <v>113395318784</v>
      </c>
      <c r="C24" vm="4651">
        <f t="shared" si="7"/>
        <v>124672368640</v>
      </c>
      <c r="D24" vm="4537">
        <f t="shared" si="7"/>
        <v>145260036096</v>
      </c>
      <c r="E24" vm="4425">
        <f t="shared" si="7"/>
        <v>175492055040</v>
      </c>
      <c r="F24" vm="4336">
        <f t="shared" si="7"/>
        <v>199564492800</v>
      </c>
      <c r="G24" vm="4261">
        <f t="shared" si="7"/>
        <v>227695853568</v>
      </c>
      <c r="H24" vm="4190">
        <f t="shared" si="7"/>
        <v>224717275136</v>
      </c>
      <c r="I24" vm="4119">
        <f t="shared" si="7"/>
        <v>257596309504</v>
      </c>
      <c r="J24" vm="4039">
        <f t="shared" si="7"/>
        <v>315058323456</v>
      </c>
      <c r="K24" vm="3941">
        <f t="shared" si="7"/>
        <v>393677176832</v>
      </c>
      <c r="L24" vm="5370">
        <f t="shared" si="8"/>
        <v>477256777728</v>
      </c>
      <c r="M24" vm="5106">
        <f t="shared" si="8"/>
        <v>430702854144</v>
      </c>
      <c r="N24" vm="5018">
        <f t="shared" si="8"/>
        <v>427272634368</v>
      </c>
      <c r="O24" vm="4945">
        <f t="shared" si="8"/>
        <v>443042365440</v>
      </c>
      <c r="P24" vm="4878">
        <f t="shared" si="8"/>
        <v>437887696896</v>
      </c>
      <c r="Q24" vm="4809">
        <f t="shared" si="8"/>
        <v>452217503744</v>
      </c>
      <c r="R24" vm="4732">
        <f t="shared" si="8"/>
        <v>640386334720</v>
      </c>
      <c r="S24" vm="4650">
        <f t="shared" si="8"/>
        <v>805713149952</v>
      </c>
      <c r="T24" vm="4536">
        <f t="shared" si="8"/>
        <v>891608956928</v>
      </c>
      <c r="U24" vm="4424">
        <f t="shared" si="8"/>
        <v>928661307392</v>
      </c>
      <c r="V24" vm="4335">
        <f t="shared" si="9"/>
        <v>1181222699008</v>
      </c>
      <c r="W24" vm="4260">
        <f t="shared" si="9"/>
        <v>1246220124160</v>
      </c>
      <c r="X24" vm="4189">
        <f t="shared" si="9"/>
        <v>1320161640448</v>
      </c>
      <c r="Y24" vm="4118">
        <f t="shared" si="9"/>
        <v>1064958099456</v>
      </c>
      <c r="Z24" vm="4038">
        <f t="shared" si="9"/>
        <v>1099216715776</v>
      </c>
      <c r="AA24" vm="3940">
        <f t="shared" si="9"/>
        <v>1174662021120</v>
      </c>
      <c r="AB24" vm="5349">
        <f t="shared" si="9"/>
        <v>1312426557440</v>
      </c>
      <c r="AC24" vm="5105">
        <f t="shared" si="9"/>
        <v>1241879543808</v>
      </c>
      <c r="AD24" vm="5017">
        <f t="shared" si="9"/>
        <v>1270052552704</v>
      </c>
      <c r="AE24" vm="4944">
        <f t="shared" si="9"/>
        <v>1252023730176</v>
      </c>
      <c r="AF24" vm="4877">
        <f t="shared" si="10"/>
        <v>1143829823488</v>
      </c>
      <c r="AG24" vm="4808">
        <f t="shared" si="10"/>
        <v>1167012790272</v>
      </c>
      <c r="AH24" vm="4731">
        <f t="shared" si="10"/>
        <v>1270712369152</v>
      </c>
      <c r="AI24" vm="4649">
        <f t="shared" si="10"/>
        <v>1574145884160</v>
      </c>
      <c r="AJ24" vm="4535">
        <f t="shared" si="10"/>
        <v>1803226972160</v>
      </c>
      <c r="AK24" vm="4423">
        <f t="shared" si="10"/>
        <v>1857524334592</v>
      </c>
      <c r="AL24" vm="4334">
        <f t="shared" si="10"/>
        <v>1947919712256</v>
      </c>
      <c r="AM24" vm="4259">
        <f t="shared" si="10"/>
        <v>2210292563968</v>
      </c>
      <c r="AN24" vm="4188">
        <f t="shared" si="10"/>
        <v>2398856675328</v>
      </c>
      <c r="AO24" vm="4117">
        <f t="shared" si="10"/>
        <v>2191241904128</v>
      </c>
      <c r="AP24" vm="4037">
        <f t="shared" si="11"/>
        <v>2134017835008</v>
      </c>
      <c r="AQ24" vm="3939">
        <f t="shared" si="11"/>
        <v>2291991052288</v>
      </c>
      <c r="AR24" vm="5317">
        <f t="shared" si="11"/>
        <v>2087077019648</v>
      </c>
      <c r="AS24" vm="5104">
        <f t="shared" si="11"/>
        <v>2141315268608</v>
      </c>
      <c r="AT24" vm="5016">
        <f t="shared" si="11"/>
        <v>2159133982720</v>
      </c>
      <c r="AU24" vm="4943">
        <f t="shared" si="11"/>
        <v>1835899289600</v>
      </c>
      <c r="AV24" vm="4876">
        <f t="shared" si="11"/>
        <v>1875797475328</v>
      </c>
      <c r="AW24" vm="4807">
        <f t="shared" si="11"/>
        <v>1961796173824</v>
      </c>
      <c r="AX24" vm="4730">
        <f t="shared" si="11"/>
        <v>2085764333568</v>
      </c>
      <c r="AY24" vm="4648">
        <f t="shared" si="11"/>
        <v>2001244389376</v>
      </c>
      <c r="AZ24" vm="4534">
        <f t="shared" si="11"/>
        <v>58413502324736</v>
      </c>
    </row>
    <row r="25" spans="1:52" x14ac:dyDescent="0.45">
      <c r="A25" s="4" t="str" vm="41">
        <f>CUBEMEMBER("DESKTOP-KSAPEQM AS Model","[Geography].[Blocs].[Country].&amp;[Japan]")</f>
        <v>Japan</v>
      </c>
      <c r="B25" vm="4422">
        <f t="shared" si="7"/>
        <v>212609187840</v>
      </c>
      <c r="C25" vm="4333">
        <f t="shared" si="7"/>
        <v>240151805952</v>
      </c>
      <c r="D25" vm="4258">
        <f t="shared" si="7"/>
        <v>318031298560</v>
      </c>
      <c r="E25" vm="4187">
        <f t="shared" si="7"/>
        <v>432082681856</v>
      </c>
      <c r="F25" vm="4116">
        <f t="shared" si="7"/>
        <v>479626002432</v>
      </c>
      <c r="G25" vm="4036">
        <f t="shared" si="7"/>
        <v>521541910528</v>
      </c>
      <c r="H25" vm="3938">
        <f t="shared" si="7"/>
        <v>586161848320</v>
      </c>
      <c r="I25" vm="5294">
        <f t="shared" si="7"/>
        <v>721411768320</v>
      </c>
      <c r="J25" vm="5103">
        <f t="shared" si="7"/>
        <v>1013612150784</v>
      </c>
      <c r="K25" vm="5015">
        <f t="shared" si="7"/>
        <v>1055012093952</v>
      </c>
      <c r="L25" vm="4942">
        <f t="shared" si="8"/>
        <v>1105386012672</v>
      </c>
      <c r="M25" vm="4875">
        <f t="shared" si="8"/>
        <v>1218988998656</v>
      </c>
      <c r="N25" vm="4806">
        <f t="shared" si="8"/>
        <v>1134517944320</v>
      </c>
      <c r="O25" vm="4729">
        <f t="shared" si="8"/>
        <v>1243323564032</v>
      </c>
      <c r="P25" vm="4647">
        <f t="shared" si="8"/>
        <v>1318381682688</v>
      </c>
      <c r="Q25" vm="4533">
        <f t="shared" si="8"/>
        <v>1398892789760</v>
      </c>
      <c r="R25" vm="4421">
        <f t="shared" si="8"/>
        <v>2078953308160</v>
      </c>
      <c r="S25" vm="4332">
        <f t="shared" si="8"/>
        <v>2532808589312</v>
      </c>
      <c r="T25" vm="4257">
        <f t="shared" si="8"/>
        <v>3071683067904</v>
      </c>
      <c r="U25" vm="4186">
        <f t="shared" si="8"/>
        <v>3054914240512</v>
      </c>
      <c r="V25" vm="4115">
        <f t="shared" si="9"/>
        <v>3132817670144</v>
      </c>
      <c r="W25" vm="4035">
        <f t="shared" si="9"/>
        <v>3584419954688</v>
      </c>
      <c r="X25" vm="3937">
        <f t="shared" si="9"/>
        <v>3908809523200</v>
      </c>
      <c r="Y25" vm="5271">
        <f t="shared" si="9"/>
        <v>4454143754240</v>
      </c>
      <c r="Z25" vm="5102">
        <f t="shared" si="9"/>
        <v>4907039457280</v>
      </c>
      <c r="AA25" vm="5014">
        <f t="shared" si="9"/>
        <v>5449116549120</v>
      </c>
      <c r="AB25" vm="4941">
        <f t="shared" si="9"/>
        <v>4833712537600</v>
      </c>
      <c r="AC25" vm="4874">
        <f t="shared" si="9"/>
        <v>4414733025280</v>
      </c>
      <c r="AD25" vm="4805">
        <f t="shared" si="9"/>
        <v>4032509771776</v>
      </c>
      <c r="AE25" vm="4728">
        <f t="shared" si="9"/>
        <v>4562078924800</v>
      </c>
      <c r="AF25" vm="4646">
        <f t="shared" si="10"/>
        <v>4887519690752</v>
      </c>
      <c r="AG25" vm="4532">
        <f t="shared" si="10"/>
        <v>4303544385536</v>
      </c>
      <c r="AH25" vm="4420">
        <f t="shared" si="10"/>
        <v>4115116326912</v>
      </c>
      <c r="AI25" vm="4331">
        <f t="shared" si="10"/>
        <v>4445658152960</v>
      </c>
      <c r="AJ25" vm="4256">
        <f t="shared" si="10"/>
        <v>4815149072384</v>
      </c>
      <c r="AK25" vm="4185">
        <f t="shared" si="10"/>
        <v>4755410649088</v>
      </c>
      <c r="AL25" vm="4114">
        <f t="shared" si="10"/>
        <v>4530377326592</v>
      </c>
      <c r="AM25" vm="4034">
        <f t="shared" si="10"/>
        <v>4515264724992</v>
      </c>
      <c r="AN25" vm="3936">
        <f t="shared" si="10"/>
        <v>5037908557824</v>
      </c>
      <c r="AO25" vm="5248">
        <f t="shared" si="10"/>
        <v>5231382888448</v>
      </c>
      <c r="AP25" vm="5101">
        <f t="shared" si="11"/>
        <v>5700097933312</v>
      </c>
      <c r="AQ25" vm="5013">
        <f t="shared" si="11"/>
        <v>6157459521536</v>
      </c>
      <c r="AR25" vm="4940">
        <f t="shared" si="11"/>
        <v>6203213086720</v>
      </c>
      <c r="AS25" vm="4873">
        <f t="shared" si="11"/>
        <v>5155717120000</v>
      </c>
      <c r="AT25" vm="4804">
        <f t="shared" si="11"/>
        <v>4850413731840</v>
      </c>
      <c r="AU25" vm="4727">
        <f t="shared" si="11"/>
        <v>4389475713024</v>
      </c>
      <c r="AV25" vm="4645">
        <f t="shared" si="11"/>
        <v>4922537934848</v>
      </c>
      <c r="AW25" vm="4531">
        <f t="shared" si="11"/>
        <v>4866864316416</v>
      </c>
      <c r="AX25" vm="4419">
        <f t="shared" si="11"/>
        <v>4954806812672</v>
      </c>
      <c r="AY25" vm="4330">
        <f t="shared" si="11"/>
        <v>5081769443328</v>
      </c>
      <c r="AZ25" vm="4255">
        <f t="shared" si="11"/>
        <v>165937159503872</v>
      </c>
    </row>
    <row r="26" spans="1:52" x14ac:dyDescent="0.45">
      <c r="A26" s="4" t="str" vm="55">
        <f>CUBEMEMBER("DESKTOP-KSAPEQM AS Model","[Geography].[Blocs].[Country].&amp;[Luxemburg]")</f>
        <v>Luxemburg</v>
      </c>
      <c r="B26" vm="4184">
        <f t="shared" si="7"/>
        <v>1509155072</v>
      </c>
      <c r="C26" vm="4113">
        <f t="shared" si="7"/>
        <v>1572310784</v>
      </c>
      <c r="D26" vm="4033">
        <f t="shared" si="7"/>
        <v>1968733056</v>
      </c>
      <c r="E26" vm="3935">
        <f t="shared" si="7"/>
        <v>2701874688</v>
      </c>
      <c r="F26" vm="5225">
        <f t="shared" si="7"/>
        <v>3295860992</v>
      </c>
      <c r="G26" vm="5100">
        <f t="shared" si="7"/>
        <v>3233431552</v>
      </c>
      <c r="H26" vm="5012">
        <f t="shared" si="7"/>
        <v>3544268032</v>
      </c>
      <c r="I26" vm="4939">
        <f t="shared" si="7"/>
        <v>3922895872</v>
      </c>
      <c r="J26" vm="4872">
        <f t="shared" si="7"/>
        <v>4884869120</v>
      </c>
      <c r="K26" vm="4803">
        <f t="shared" si="7"/>
        <v>5711457792</v>
      </c>
      <c r="L26" vm="4726">
        <f t="shared" si="8"/>
        <v>6232005632</v>
      </c>
      <c r="M26" vm="4644">
        <f t="shared" si="8"/>
        <v>5231808512</v>
      </c>
      <c r="N26" vm="4530">
        <f t="shared" si="8"/>
        <v>4764549632</v>
      </c>
      <c r="O26" vm="4418">
        <f t="shared" si="8"/>
        <v>4683697664</v>
      </c>
      <c r="P26" vm="4329">
        <f t="shared" si="8"/>
        <v>4594891776</v>
      </c>
      <c r="Q26" vm="4254">
        <f t="shared" si="8"/>
        <v>4738559488</v>
      </c>
      <c r="R26" vm="4183">
        <f t="shared" si="8"/>
        <v>6921264128</v>
      </c>
      <c r="S26" vm="4112">
        <f t="shared" si="8"/>
        <v>8614215680</v>
      </c>
      <c r="T26" vm="4032">
        <f t="shared" si="8"/>
        <v>9750161408</v>
      </c>
      <c r="U26" vm="3934">
        <f t="shared" si="8"/>
        <v>10391504896</v>
      </c>
      <c r="V26" vm="5202">
        <f t="shared" si="9"/>
        <v>13229247488</v>
      </c>
      <c r="W26" vm="5099">
        <f t="shared" si="9"/>
        <v>14321879040</v>
      </c>
      <c r="X26" vm="5011">
        <f t="shared" si="9"/>
        <v>16065740800</v>
      </c>
      <c r="Y26" vm="4938">
        <f t="shared" si="9"/>
        <v>16486899712</v>
      </c>
      <c r="Z26" vm="4871">
        <f t="shared" si="9"/>
        <v>18325790720</v>
      </c>
      <c r="AA26" vm="4802">
        <f t="shared" si="9"/>
        <v>21588170752</v>
      </c>
      <c r="AB26" vm="4725">
        <f t="shared" si="9"/>
        <v>21776609280</v>
      </c>
      <c r="AC26" vm="4643">
        <f t="shared" si="9"/>
        <v>19731912704</v>
      </c>
      <c r="AD26" vm="4529">
        <f t="shared" si="9"/>
        <v>20209121280</v>
      </c>
      <c r="AE26" vm="4417">
        <f t="shared" si="9"/>
        <v>22235928576</v>
      </c>
      <c r="AF26" vm="4328">
        <f t="shared" si="10"/>
        <v>21263515648</v>
      </c>
      <c r="AG26" vm="4253">
        <f t="shared" si="10"/>
        <v>21272418304</v>
      </c>
      <c r="AH26" vm="4182">
        <f t="shared" si="10"/>
        <v>23616329728</v>
      </c>
      <c r="AI26" vm="4111">
        <f t="shared" si="10"/>
        <v>29557325824</v>
      </c>
      <c r="AJ26" vm="4031">
        <f t="shared" si="10"/>
        <v>34685280256</v>
      </c>
      <c r="AK26" vm="3933">
        <f t="shared" si="10"/>
        <v>37347393536</v>
      </c>
      <c r="AL26" vm="5181">
        <f t="shared" si="10"/>
        <v>42414309376</v>
      </c>
      <c r="AM26" vm="5098">
        <f t="shared" si="10"/>
        <v>50888134656</v>
      </c>
      <c r="AN26" vm="5010">
        <f t="shared" si="10"/>
        <v>55849684992</v>
      </c>
      <c r="AO26" vm="4937">
        <f t="shared" si="10"/>
        <v>51370545152</v>
      </c>
      <c r="AP26" vm="4870">
        <f t="shared" si="11"/>
        <v>53212475392</v>
      </c>
      <c r="AQ26" vm="4801">
        <f t="shared" si="11"/>
        <v>60004630528</v>
      </c>
      <c r="AR26" vm="4724">
        <f t="shared" si="11"/>
        <v>56677961728</v>
      </c>
      <c r="AS26" vm="4642">
        <f t="shared" si="11"/>
        <v>61739352064</v>
      </c>
      <c r="AT26" vm="4528">
        <f t="shared" si="11"/>
        <v>66103853056</v>
      </c>
      <c r="AU26" vm="4416">
        <f t="shared" si="11"/>
        <v>57744457728</v>
      </c>
      <c r="AV26" vm="4327">
        <f t="shared" si="11"/>
        <v>60691484672</v>
      </c>
      <c r="AW26" vm="4252">
        <f t="shared" si="11"/>
        <v>64181944320</v>
      </c>
      <c r="AX26" vm="4181">
        <f t="shared" si="11"/>
        <v>70919954432</v>
      </c>
      <c r="AY26" vm="4110">
        <f t="shared" si="11"/>
        <v>71104921600</v>
      </c>
      <c r="AZ26" vm="4030">
        <f t="shared" si="11"/>
        <v>1272884789120</v>
      </c>
    </row>
    <row r="27" spans="1:52" x14ac:dyDescent="0.45">
      <c r="A27" s="4" t="str" vm="53">
        <f>CUBEMEMBER("DESKTOP-KSAPEQM AS Model","[Geography].[Blocs].[Country].&amp;[Malta]")</f>
        <v>Malta</v>
      </c>
      <c r="B27" vm="3932">
        <f t="shared" si="7"/>
        <v>250721824</v>
      </c>
      <c r="C27" vm="5504">
        <f t="shared" si="7"/>
        <v>264579872</v>
      </c>
      <c r="D27" vm="5097">
        <f t="shared" si="7"/>
        <v>295118240</v>
      </c>
      <c r="E27" vm="5009">
        <f t="shared" si="7"/>
        <v>345602016</v>
      </c>
      <c r="F27" vm="4936">
        <f t="shared" si="7"/>
        <v>376094112</v>
      </c>
      <c r="G27" vm="4869">
        <f t="shared" si="7"/>
        <v>474620448</v>
      </c>
      <c r="H27" vm="4800">
        <f t="shared" si="7"/>
        <v>527936992</v>
      </c>
      <c r="I27" vm="4723">
        <f t="shared" si="7"/>
        <v>625573376</v>
      </c>
      <c r="J27" vm="4641">
        <f t="shared" si="7"/>
        <v>793675200</v>
      </c>
      <c r="K27" vm="4527">
        <f t="shared" si="7"/>
        <v>1001300864</v>
      </c>
      <c r="L27" vm="4415">
        <f t="shared" si="8"/>
        <v>1250242048</v>
      </c>
      <c r="M27" vm="4326">
        <f t="shared" si="8"/>
        <v>1243469312</v>
      </c>
      <c r="N27" vm="4251">
        <f t="shared" si="8"/>
        <v>1234518144</v>
      </c>
      <c r="O27" vm="4180">
        <f t="shared" si="8"/>
        <v>1165771392</v>
      </c>
      <c r="P27" vm="4109">
        <f t="shared" si="8"/>
        <v>1101828608</v>
      </c>
      <c r="Q27" vm="4029">
        <f t="shared" si="8"/>
        <v>1117835264</v>
      </c>
      <c r="R27" vm="3931">
        <f t="shared" si="8"/>
        <v>1435079168</v>
      </c>
      <c r="S27" vm="5483">
        <f t="shared" si="8"/>
        <v>1751247744</v>
      </c>
      <c r="T27" vm="5096">
        <f t="shared" si="8"/>
        <v>2019474304</v>
      </c>
      <c r="U27" vm="5008">
        <f t="shared" si="8"/>
        <v>2118574720</v>
      </c>
      <c r="V27" vm="4935">
        <f t="shared" si="9"/>
        <v>2547163648</v>
      </c>
      <c r="W27" vm="4868">
        <f t="shared" si="9"/>
        <v>2750041344</v>
      </c>
      <c r="X27" vm="4799">
        <f t="shared" si="9"/>
        <v>3021910272</v>
      </c>
      <c r="Y27" vm="4722">
        <f t="shared" si="9"/>
        <v>2709178368</v>
      </c>
      <c r="Z27" vm="4640">
        <f t="shared" si="9"/>
        <v>2998570240</v>
      </c>
      <c r="AA27" vm="4526">
        <f t="shared" si="9"/>
        <v>3439931904</v>
      </c>
      <c r="AB27" vm="4414">
        <f t="shared" si="9"/>
        <v>3570271488</v>
      </c>
      <c r="AC27" vm="4325">
        <f t="shared" si="9"/>
        <v>3705372160</v>
      </c>
      <c r="AD27" vm="4250">
        <f t="shared" si="9"/>
        <v>3923638016</v>
      </c>
      <c r="AE27" vm="4179">
        <f t="shared" si="9"/>
        <v>4127313920</v>
      </c>
      <c r="AF27" vm="4108">
        <f t="shared" si="10"/>
        <v>4053395712</v>
      </c>
      <c r="AG27" vm="4028">
        <f t="shared" si="10"/>
        <v>4066485248</v>
      </c>
      <c r="AH27" vm="3930">
        <f t="shared" si="10"/>
        <v>4466981888</v>
      </c>
      <c r="AI27" vm="5385">
        <f t="shared" si="10"/>
        <v>5415856128</v>
      </c>
      <c r="AJ27" vm="5095">
        <f t="shared" si="10"/>
        <v>6044382208</v>
      </c>
      <c r="AK27" vm="5007">
        <f t="shared" si="10"/>
        <v>6403839488</v>
      </c>
      <c r="AL27" vm="4934">
        <f t="shared" si="10"/>
        <v>6757119488</v>
      </c>
      <c r="AM27" vm="4867">
        <f t="shared" si="10"/>
        <v>7880508928</v>
      </c>
      <c r="AN27" vm="4798">
        <f t="shared" si="10"/>
        <v>8977149952</v>
      </c>
      <c r="AO27" vm="4721">
        <f t="shared" si="10"/>
        <v>8528202240</v>
      </c>
      <c r="AP27" vm="4639">
        <f t="shared" si="11"/>
        <v>8749171712</v>
      </c>
      <c r="AQ27" vm="4525">
        <f t="shared" si="11"/>
        <v>9515297792</v>
      </c>
      <c r="AR27" vm="4413">
        <f t="shared" si="11"/>
        <v>9205506048</v>
      </c>
      <c r="AS27" vm="4324">
        <f t="shared" si="11"/>
        <v>10153894912</v>
      </c>
      <c r="AT27" vm="4249">
        <f t="shared" si="11"/>
        <v>11302343680</v>
      </c>
      <c r="AU27" vm="4178">
        <f t="shared" si="11"/>
        <v>10682394624</v>
      </c>
      <c r="AV27" vm="4107">
        <f t="shared" si="11"/>
        <v>11444483072</v>
      </c>
      <c r="AW27" vm="4027">
        <f t="shared" si="11"/>
        <v>12747857920</v>
      </c>
      <c r="AX27" vm="3929">
        <f t="shared" si="11"/>
        <v>14603581440</v>
      </c>
      <c r="AY27" vm="5459">
        <f t="shared" si="11"/>
        <v>14786156544</v>
      </c>
      <c r="AZ27" vm="5094">
        <f t="shared" si="11"/>
        <v>227971264032</v>
      </c>
    </row>
    <row r="28" spans="1:52" x14ac:dyDescent="0.45">
      <c r="A28" s="4" t="str" vm="51">
        <f>CUBEMEMBER("DESKTOP-KSAPEQM AS Model","[Geography].[Blocs].[Country].&amp;[Netherlands]")</f>
        <v>Netherlands</v>
      </c>
      <c r="B28" vm="5006">
        <f t="shared" si="7"/>
        <v>38164717568</v>
      </c>
      <c r="C28" vm="4933">
        <f t="shared" si="7"/>
        <v>44579123200</v>
      </c>
      <c r="D28" vm="4866">
        <f t="shared" si="7"/>
        <v>54706556928</v>
      </c>
      <c r="E28" vm="4797">
        <f t="shared" si="7"/>
        <v>71840907264</v>
      </c>
      <c r="F28" vm="4720">
        <f t="shared" si="7"/>
        <v>87243415552</v>
      </c>
      <c r="G28" vm="4638">
        <f t="shared" si="7"/>
        <v>100249526272</v>
      </c>
      <c r="H28" vm="4524">
        <f t="shared" si="7"/>
        <v>109168721920</v>
      </c>
      <c r="I28" vm="4412">
        <f t="shared" si="7"/>
        <v>127016992768</v>
      </c>
      <c r="J28" vm="4323">
        <f t="shared" si="7"/>
        <v>155859697664</v>
      </c>
      <c r="K28" vm="4248">
        <f t="shared" si="7"/>
        <v>179669401600</v>
      </c>
      <c r="L28" vm="4177">
        <f t="shared" si="8"/>
        <v>195152084992</v>
      </c>
      <c r="M28" vm="4106">
        <f t="shared" si="8"/>
        <v>164134223872</v>
      </c>
      <c r="N28" vm="4026">
        <f t="shared" si="8"/>
        <v>158479532032</v>
      </c>
      <c r="O28" vm="3928">
        <f t="shared" si="8"/>
        <v>153445466112</v>
      </c>
      <c r="P28" vm="5435">
        <f t="shared" si="8"/>
        <v>143912665088</v>
      </c>
      <c r="Q28" vm="5093">
        <f t="shared" si="8"/>
        <v>143845818368</v>
      </c>
      <c r="R28" vm="5005">
        <f t="shared" si="8"/>
        <v>200862089216</v>
      </c>
      <c r="S28" vm="4932">
        <f t="shared" si="8"/>
        <v>245046312960</v>
      </c>
      <c r="T28" vm="4865">
        <f t="shared" si="8"/>
        <v>261910511616</v>
      </c>
      <c r="U28" vm="4796">
        <f t="shared" si="8"/>
        <v>258336702464</v>
      </c>
      <c r="V28" vm="4719">
        <f t="shared" si="9"/>
        <v>318330503168</v>
      </c>
      <c r="W28" vm="4637">
        <f t="shared" si="9"/>
        <v>327500333056</v>
      </c>
      <c r="X28" vm="4523">
        <f t="shared" si="9"/>
        <v>362962878464</v>
      </c>
      <c r="Y28" vm="4411">
        <f t="shared" si="9"/>
        <v>353550172160</v>
      </c>
      <c r="Z28" vm="4322">
        <f t="shared" si="9"/>
        <v>379130249216</v>
      </c>
      <c r="AA28" vm="4247">
        <f t="shared" si="9"/>
        <v>452301684736</v>
      </c>
      <c r="AB28" vm="4176">
        <f t="shared" si="9"/>
        <v>450490204160</v>
      </c>
      <c r="AC28" vm="4105">
        <f t="shared" si="9"/>
        <v>416812728320</v>
      </c>
      <c r="AD28" vm="4025">
        <f t="shared" si="9"/>
        <v>438008217600</v>
      </c>
      <c r="AE28" vm="3927">
        <f t="shared" si="9"/>
        <v>446898569216</v>
      </c>
      <c r="AF28" vm="5416">
        <f t="shared" si="10"/>
        <v>416442777600</v>
      </c>
      <c r="AG28" vm="5092">
        <f t="shared" si="10"/>
        <v>431213412352</v>
      </c>
      <c r="AH28" vm="5004">
        <f t="shared" si="10"/>
        <v>471613964288</v>
      </c>
      <c r="AI28" vm="4931">
        <f t="shared" si="10"/>
        <v>578792325120</v>
      </c>
      <c r="AJ28" vm="4864">
        <f t="shared" si="10"/>
        <v>657171611648</v>
      </c>
      <c r="AK28" vm="4795">
        <f t="shared" si="10"/>
        <v>685092634624</v>
      </c>
      <c r="AL28" vm="4718">
        <f t="shared" si="10"/>
        <v>733340893184</v>
      </c>
      <c r="AM28" vm="4636">
        <f t="shared" si="10"/>
        <v>847481536512</v>
      </c>
      <c r="AN28" vm="4522">
        <f t="shared" si="10"/>
        <v>947997638656</v>
      </c>
      <c r="AO28" vm="4410">
        <f t="shared" si="10"/>
        <v>868077273088</v>
      </c>
      <c r="AP28" vm="4321">
        <f t="shared" si="11"/>
        <v>846554923008</v>
      </c>
      <c r="AQ28" vm="4246">
        <f t="shared" si="11"/>
        <v>904085962752</v>
      </c>
      <c r="AR28" vm="4175">
        <f t="shared" si="11"/>
        <v>838971293696</v>
      </c>
      <c r="AS28" vm="4104">
        <f t="shared" si="11"/>
        <v>876923518976</v>
      </c>
      <c r="AT28" vm="4024">
        <f t="shared" si="11"/>
        <v>890981318656</v>
      </c>
      <c r="AU28" vm="3926">
        <f t="shared" si="11"/>
        <v>765264920576</v>
      </c>
      <c r="AV28" vm="5398">
        <f t="shared" si="11"/>
        <v>783528165376</v>
      </c>
      <c r="AW28" vm="5091">
        <f t="shared" si="11"/>
        <v>833869643776</v>
      </c>
      <c r="AX28" vm="5003">
        <f t="shared" si="11"/>
        <v>914104844288</v>
      </c>
      <c r="AY28" vm="4930">
        <f t="shared" si="11"/>
        <v>909070368768</v>
      </c>
      <c r="AZ28" vm="4863">
        <f t="shared" si="11"/>
        <v>22040189034496</v>
      </c>
    </row>
    <row r="29" spans="1:52" x14ac:dyDescent="0.45">
      <c r="A29" s="4" t="str" vm="47">
        <f>CUBEMEMBER("DESKTOP-KSAPEQM AS Model","[Geography].[Blocs].[Country].&amp;[New Zealand]")</f>
        <v>New Zealand</v>
      </c>
      <c r="B29" vm="4794">
        <f t="shared" si="7"/>
        <v>6495605248</v>
      </c>
      <c r="C29" vm="4717">
        <f t="shared" si="7"/>
        <v>7911136768</v>
      </c>
      <c r="D29" vm="4635">
        <f t="shared" si="7"/>
        <v>9567331328</v>
      </c>
      <c r="E29" vm="4521">
        <f t="shared" si="7"/>
        <v>12802281472</v>
      </c>
      <c r="F29" vm="4409">
        <f t="shared" si="7"/>
        <v>13940981760</v>
      </c>
      <c r="G29" vm="4320">
        <f t="shared" si="7"/>
        <v>12861983744</v>
      </c>
      <c r="H29" vm="4245">
        <f t="shared" si="7"/>
        <v>13604832256</v>
      </c>
      <c r="I29" vm="4174">
        <f t="shared" si="7"/>
        <v>15446824960</v>
      </c>
      <c r="J29" vm="4103">
        <f t="shared" si="7"/>
        <v>18530519040</v>
      </c>
      <c r="K29" vm="4023">
        <f t="shared" si="7"/>
        <v>20731242496</v>
      </c>
      <c r="L29" vm="3925">
        <f t="shared" si="8"/>
        <v>23244548096</v>
      </c>
      <c r="M29" vm="5337">
        <f t="shared" si="8"/>
        <v>24417617920</v>
      </c>
      <c r="N29" vm="5090">
        <f t="shared" si="8"/>
        <v>24164603904</v>
      </c>
      <c r="O29" vm="5002">
        <f t="shared" si="8"/>
        <v>24309278720</v>
      </c>
      <c r="P29" vm="4929">
        <f t="shared" si="8"/>
        <v>21665976320</v>
      </c>
      <c r="Q29" vm="4862">
        <f t="shared" si="8"/>
        <v>24679794688</v>
      </c>
      <c r="R29" vm="4793">
        <f t="shared" si="8"/>
        <v>30604668928</v>
      </c>
      <c r="S29" vm="4716">
        <f t="shared" si="8"/>
        <v>40376352768</v>
      </c>
      <c r="T29" vm="4634">
        <f t="shared" si="8"/>
        <v>45176811520</v>
      </c>
      <c r="U29" vm="4520">
        <f t="shared" si="8"/>
        <v>43920224256</v>
      </c>
      <c r="V29" vm="4408">
        <f t="shared" si="9"/>
        <v>45495128064</v>
      </c>
      <c r="W29" vm="4319">
        <f t="shared" si="9"/>
        <v>42745331712</v>
      </c>
      <c r="X29" vm="4244">
        <f t="shared" si="9"/>
        <v>41649827840</v>
      </c>
      <c r="Y29" vm="4173">
        <f t="shared" si="9"/>
        <v>46775619584</v>
      </c>
      <c r="Z29" vm="4102">
        <f t="shared" si="9"/>
        <v>55314731008</v>
      </c>
      <c r="AA29" vm="4022">
        <f t="shared" si="9"/>
        <v>63918702592</v>
      </c>
      <c r="AB29" vm="3924">
        <f t="shared" si="9"/>
        <v>70140837888</v>
      </c>
      <c r="AC29" vm="5348">
        <f t="shared" si="9"/>
        <v>66075144192</v>
      </c>
      <c r="AD29" vm="5089">
        <f t="shared" si="9"/>
        <v>56227168256</v>
      </c>
      <c r="AE29" vm="5001">
        <f t="shared" si="9"/>
        <v>58762260480</v>
      </c>
      <c r="AF29" vm="4928">
        <f t="shared" si="10"/>
        <v>52623282176</v>
      </c>
      <c r="AG29" vm="4861">
        <f t="shared" si="10"/>
        <v>53872427008</v>
      </c>
      <c r="AH29" vm="4792">
        <f t="shared" si="10"/>
        <v>66627727360</v>
      </c>
      <c r="AI29" vm="4715">
        <f t="shared" si="10"/>
        <v>88250884096</v>
      </c>
      <c r="AJ29" vm="4633">
        <f t="shared" si="10"/>
        <v>103905206272</v>
      </c>
      <c r="AK29" vm="4519">
        <f t="shared" si="10"/>
        <v>114720129024</v>
      </c>
      <c r="AL29" vm="4407">
        <f t="shared" si="10"/>
        <v>111608848384</v>
      </c>
      <c r="AM29" vm="4318">
        <f t="shared" si="10"/>
        <v>137320497152</v>
      </c>
      <c r="AN29" vm="4243">
        <f t="shared" si="10"/>
        <v>133290221568</v>
      </c>
      <c r="AO29" vm="4172">
        <f t="shared" si="10"/>
        <v>121357983744</v>
      </c>
      <c r="AP29" vm="4101">
        <f t="shared" si="11"/>
        <v>146619138048</v>
      </c>
      <c r="AQ29" vm="4021">
        <f t="shared" si="11"/>
        <v>168510193664</v>
      </c>
      <c r="AR29" vm="3923">
        <f t="shared" si="11"/>
        <v>176247980032</v>
      </c>
      <c r="AS29" vm="5316">
        <f t="shared" si="11"/>
        <v>190845894656</v>
      </c>
      <c r="AT29" vm="5088">
        <f t="shared" si="11"/>
        <v>200921939968</v>
      </c>
      <c r="AU29" vm="5000">
        <f t="shared" si="11"/>
        <v>177467523072</v>
      </c>
      <c r="AV29" vm="4927">
        <f t="shared" si="11"/>
        <v>188223668224</v>
      </c>
      <c r="AW29" vm="4860">
        <f t="shared" si="11"/>
        <v>205415858176</v>
      </c>
      <c r="AX29" vm="4791">
        <f t="shared" si="11"/>
        <v>207920611328</v>
      </c>
      <c r="AY29" vm="4714">
        <f t="shared" si="11"/>
        <v>206928773120</v>
      </c>
      <c r="AZ29" vm="4632">
        <f t="shared" si="11"/>
        <v>3834236154880</v>
      </c>
    </row>
    <row r="30" spans="1:52" x14ac:dyDescent="0.45">
      <c r="A30" s="4" t="str" vm="152">
        <f>CUBEMEMBER("DESKTOP-KSAPEQM AS Model","[Geography].[Blocs].[Country].&amp;[Norway]")</f>
        <v>Norway</v>
      </c>
      <c r="B30" vm="4518">
        <f t="shared" si="7"/>
        <v>12814123008</v>
      </c>
      <c r="C30" vm="4406">
        <f t="shared" si="7"/>
        <v>14583114752</v>
      </c>
      <c r="D30" vm="4317">
        <f t="shared" si="7"/>
        <v>17358610432</v>
      </c>
      <c r="E30" vm="4242">
        <f t="shared" si="7"/>
        <v>22534254592</v>
      </c>
      <c r="F30" vm="4171">
        <f t="shared" si="7"/>
        <v>27145693184</v>
      </c>
      <c r="G30" vm="4100">
        <f t="shared" si="7"/>
        <v>32877805568</v>
      </c>
      <c r="H30" vm="4020">
        <f t="shared" si="7"/>
        <v>35942268928</v>
      </c>
      <c r="I30" vm="3922">
        <f t="shared" si="7"/>
        <v>41508028416</v>
      </c>
      <c r="J30" vm="5293">
        <f t="shared" si="7"/>
        <v>46523092992</v>
      </c>
      <c r="K30" vm="5087">
        <f t="shared" si="7"/>
        <v>53132242944</v>
      </c>
      <c r="L30" vm="4999">
        <f t="shared" si="8"/>
        <v>64439382016</v>
      </c>
      <c r="M30" vm="4926">
        <f t="shared" si="8"/>
        <v>63596654592</v>
      </c>
      <c r="N30" vm="4859">
        <f t="shared" si="8"/>
        <v>62647193600</v>
      </c>
      <c r="O30" vm="4790">
        <f t="shared" si="8"/>
        <v>61627240448</v>
      </c>
      <c r="P30" vm="4713">
        <f t="shared" si="8"/>
        <v>62057955328</v>
      </c>
      <c r="Q30" vm="3324">
        <f t="shared" si="8"/>
        <v>65416880128</v>
      </c>
      <c r="R30" vm="4631">
        <f t="shared" si="8"/>
        <v>78693253120</v>
      </c>
      <c r="S30" vm="4517">
        <f t="shared" si="8"/>
        <v>94230052864</v>
      </c>
      <c r="T30" vm="4405">
        <f t="shared" si="8"/>
        <v>101900263424</v>
      </c>
      <c r="U30" vm="4316">
        <f t="shared" si="8"/>
        <v>102633791488</v>
      </c>
      <c r="V30" vm="4241">
        <f t="shared" si="9"/>
        <v>119791681536</v>
      </c>
      <c r="W30" vm="4170">
        <f t="shared" si="9"/>
        <v>121872465920</v>
      </c>
      <c r="X30" vm="4099">
        <f t="shared" si="9"/>
        <v>130838036480</v>
      </c>
      <c r="Y30" vm="4019">
        <f t="shared" si="9"/>
        <v>120579072000</v>
      </c>
      <c r="Z30" vm="3921">
        <f t="shared" si="9"/>
        <v>127131459584</v>
      </c>
      <c r="AA30" vm="5270">
        <f t="shared" si="9"/>
        <v>152029609984</v>
      </c>
      <c r="AB30" vm="5086">
        <f t="shared" si="9"/>
        <v>163520102400</v>
      </c>
      <c r="AC30" vm="4998">
        <f t="shared" si="9"/>
        <v>161356627968</v>
      </c>
      <c r="AD30" vm="4925">
        <f t="shared" si="9"/>
        <v>154163363840</v>
      </c>
      <c r="AE30" vm="4858">
        <f t="shared" si="9"/>
        <v>162284470272</v>
      </c>
      <c r="AF30" vm="4789">
        <f t="shared" si="10"/>
        <v>171247124480</v>
      </c>
      <c r="AG30" vm="3323">
        <f t="shared" si="10"/>
        <v>173972226048</v>
      </c>
      <c r="AH30" vm="4712">
        <f t="shared" si="10"/>
        <v>195524182016</v>
      </c>
      <c r="AI30" vm="4630">
        <f t="shared" si="10"/>
        <v>228858511360</v>
      </c>
      <c r="AJ30" vm="4516">
        <f t="shared" si="10"/>
        <v>264511635456</v>
      </c>
      <c r="AK30" vm="4404">
        <f t="shared" si="10"/>
        <v>308884275200</v>
      </c>
      <c r="AL30" vm="4315">
        <f t="shared" si="10"/>
        <v>345581355008</v>
      </c>
      <c r="AM30" vm="4240">
        <f t="shared" si="10"/>
        <v>400937091072</v>
      </c>
      <c r="AN30" vm="4169">
        <f t="shared" si="10"/>
        <v>462249984000</v>
      </c>
      <c r="AO30" vm="4098">
        <f t="shared" si="10"/>
        <v>386190376960</v>
      </c>
      <c r="AP30" vm="4018">
        <f t="shared" si="11"/>
        <v>428757024768</v>
      </c>
      <c r="AQ30" vm="3920">
        <f t="shared" si="11"/>
        <v>498283446272</v>
      </c>
      <c r="AR30" vm="5247">
        <f t="shared" si="11"/>
        <v>509506322432</v>
      </c>
      <c r="AS30" vm="5085">
        <f t="shared" si="11"/>
        <v>522761535488</v>
      </c>
      <c r="AT30" vm="4997">
        <f t="shared" si="11"/>
        <v>498410061824</v>
      </c>
      <c r="AU30" vm="4924">
        <f t="shared" si="11"/>
        <v>385801551872</v>
      </c>
      <c r="AV30" vm="4857">
        <f t="shared" si="11"/>
        <v>368819929088</v>
      </c>
      <c r="AW30" vm="3322">
        <f t="shared" si="11"/>
        <v>398393966592</v>
      </c>
      <c r="AX30" vm="4788">
        <f t="shared" si="11"/>
        <v>434166628352</v>
      </c>
      <c r="AY30" vm="4711">
        <f t="shared" si="11"/>
        <v>403336364032</v>
      </c>
      <c r="AZ30" vm="4629">
        <f t="shared" si="11"/>
        <v>9861422384128</v>
      </c>
    </row>
    <row r="31" spans="1:52" x14ac:dyDescent="0.45">
      <c r="A31" s="4" t="str" vm="35">
        <f>CUBEMEMBER("DESKTOP-KSAPEQM AS Model","[Geography].[Blocs].[Country].&amp;[Portugal]")</f>
        <v>Portugal</v>
      </c>
      <c r="B31" vm="4515">
        <f t="shared" ref="B31:K38" si="12">CUBEVALUE("DESKTOP-KSAPEQM AS Model",OutputMeasures,CurrentSource,WDIAvailability,USDUnits,CurrentUSDSector,CurrentUSDPivot,$A31,B$8)</f>
        <v>8108234752</v>
      </c>
      <c r="C31" vm="4403">
        <f t="shared" si="12"/>
        <v>9201606656</v>
      </c>
      <c r="D31" vm="4314">
        <f t="shared" si="12"/>
        <v>11239116800</v>
      </c>
      <c r="E31" vm="4239">
        <f t="shared" si="12"/>
        <v>15090566144</v>
      </c>
      <c r="F31" vm="4168">
        <f t="shared" si="12"/>
        <v>17512388608</v>
      </c>
      <c r="G31" vm="4097">
        <f t="shared" si="12"/>
        <v>19347609600</v>
      </c>
      <c r="H31" vm="4017">
        <f t="shared" si="12"/>
        <v>20332834816</v>
      </c>
      <c r="I31" vm="3919">
        <f t="shared" si="12"/>
        <v>21439524864</v>
      </c>
      <c r="J31" vm="5224">
        <f t="shared" si="12"/>
        <v>23487612928</v>
      </c>
      <c r="K31" vm="5084">
        <f t="shared" si="12"/>
        <v>26622818304</v>
      </c>
      <c r="L31" vm="4996">
        <f t="shared" ref="L31:U38" si="13">CUBEVALUE("DESKTOP-KSAPEQM AS Model",OutputMeasures,CurrentSource,WDIAvailability,USDUnits,CurrentUSDSector,CurrentUSDPivot,$A31,L$8)</f>
        <v>32896522240</v>
      </c>
      <c r="M31" vm="4923">
        <f t="shared" si="13"/>
        <v>31977275392</v>
      </c>
      <c r="N31" vm="3321">
        <f t="shared" si="13"/>
        <v>30527754240</v>
      </c>
      <c r="O31" vm="3197">
        <f t="shared" si="13"/>
        <v>27239651328</v>
      </c>
      <c r="P31" vm="4856">
        <f t="shared" si="13"/>
        <v>25217970176</v>
      </c>
      <c r="Q31" vm="4787">
        <f t="shared" si="13"/>
        <v>27115806720</v>
      </c>
      <c r="R31" vm="4710">
        <f t="shared" si="13"/>
        <v>38745903104</v>
      </c>
      <c r="S31" vm="4628">
        <f t="shared" si="13"/>
        <v>48182923264</v>
      </c>
      <c r="T31" vm="4514">
        <f t="shared" si="13"/>
        <v>56347250688</v>
      </c>
      <c r="U31" vm="4402">
        <f t="shared" si="13"/>
        <v>60594094080</v>
      </c>
      <c r="V31" vm="4313">
        <f t="shared" ref="V31:AE38" si="14">CUBEVALUE("DESKTOP-KSAPEQM AS Model",OutputMeasures,CurrentSource,WDIAvailability,USDUnits,CurrentUSDSector,CurrentUSDPivot,$A31,V$8)</f>
        <v>78713856000</v>
      </c>
      <c r="W31" vm="4238">
        <f t="shared" si="14"/>
        <v>89233596416</v>
      </c>
      <c r="X31" vm="4167">
        <f t="shared" si="14"/>
        <v>107592097792</v>
      </c>
      <c r="Y31" vm="4096">
        <f t="shared" si="14"/>
        <v>95009751040</v>
      </c>
      <c r="Z31" vm="4016">
        <f t="shared" si="14"/>
        <v>99688644608</v>
      </c>
      <c r="AA31" vm="3918">
        <f t="shared" si="14"/>
        <v>118122004480</v>
      </c>
      <c r="AB31" vm="5201">
        <f t="shared" si="14"/>
        <v>122630086656</v>
      </c>
      <c r="AC31" vm="5083">
        <f t="shared" si="14"/>
        <v>117016535040</v>
      </c>
      <c r="AD31" vm="3320">
        <f t="shared" si="14"/>
        <v>123946328064</v>
      </c>
      <c r="AE31" vm="3196">
        <f t="shared" si="14"/>
        <v>127427346432</v>
      </c>
      <c r="AF31" vm="4995">
        <f t="shared" ref="AF31:AO38" si="15">CUBEVALUE("DESKTOP-KSAPEQM AS Model",OutputMeasures,CurrentSource,WDIAvailability,USDUnits,CurrentUSDSector,CurrentUSDPivot,$A31,AF$8)</f>
        <v>118310707200</v>
      </c>
      <c r="AG31" vm="4922">
        <f t="shared" si="15"/>
        <v>121498886144</v>
      </c>
      <c r="AH31" vm="4855">
        <f t="shared" si="15"/>
        <v>134156091392</v>
      </c>
      <c r="AI31" vm="4786">
        <f t="shared" si="15"/>
        <v>164862148608</v>
      </c>
      <c r="AJ31" vm="4709">
        <f t="shared" si="15"/>
        <v>189034496000</v>
      </c>
      <c r="AK31" vm="4627">
        <f t="shared" si="15"/>
        <v>197180325888</v>
      </c>
      <c r="AL31" vm="4513">
        <f t="shared" si="15"/>
        <v>208581689344</v>
      </c>
      <c r="AM31" vm="4401">
        <f t="shared" si="15"/>
        <v>240190799872</v>
      </c>
      <c r="AN31" vm="4312">
        <f t="shared" si="15"/>
        <v>262344785920</v>
      </c>
      <c r="AO31" vm="4237">
        <f t="shared" si="15"/>
        <v>243701628928</v>
      </c>
      <c r="AP31" vm="4166">
        <f t="shared" ref="AP31:AZ38" si="16">CUBEVALUE("DESKTOP-KSAPEQM AS Model",OutputMeasures,CurrentSource,WDIAvailability,USDUnits,CurrentUSDSector,CurrentUSDPivot,$A31,AP$8)</f>
        <v>237880901632</v>
      </c>
      <c r="AQ31" vm="4095">
        <f t="shared" si="16"/>
        <v>244797227008</v>
      </c>
      <c r="AR31" vm="4015">
        <f t="shared" si="16"/>
        <v>216236605440</v>
      </c>
      <c r="AS31" vm="3917">
        <f t="shared" si="16"/>
        <v>226369503232</v>
      </c>
      <c r="AT31" vm="3319">
        <f t="shared" si="16"/>
        <v>229596168192</v>
      </c>
      <c r="AU31" vm="3195">
        <f t="shared" si="16"/>
        <v>199313899520</v>
      </c>
      <c r="AV31" vm="5180">
        <f t="shared" si="16"/>
        <v>206286028800</v>
      </c>
      <c r="AW31" vm="5082">
        <f t="shared" si="16"/>
        <v>221357867008</v>
      </c>
      <c r="AX31" vm="4994">
        <f t="shared" si="16"/>
        <v>241274634240</v>
      </c>
      <c r="AY31" vm="4921">
        <f t="shared" si="16"/>
        <v>237686079488</v>
      </c>
      <c r="AZ31" vm="4854">
        <f t="shared" si="16"/>
        <v>5771268185088</v>
      </c>
    </row>
    <row r="32" spans="1:52" x14ac:dyDescent="0.45">
      <c r="A32" s="4" t="str" vm="26">
        <f>CUBEMEMBER("DESKTOP-KSAPEQM AS Model","[Geography].[Blocs].[Country].&amp;[Singapore]")</f>
        <v>Singapore</v>
      </c>
      <c r="B32" vm="4785">
        <f t="shared" si="12"/>
        <v>1920586752</v>
      </c>
      <c r="C32" vm="4708">
        <f t="shared" si="12"/>
        <v>2263785472</v>
      </c>
      <c r="D32" vm="4626">
        <f t="shared" si="12"/>
        <v>2721441024</v>
      </c>
      <c r="E32" vm="4512">
        <f t="shared" si="12"/>
        <v>3696213248</v>
      </c>
      <c r="F32" vm="4400">
        <f t="shared" si="12"/>
        <v>5221534720</v>
      </c>
      <c r="G32" vm="4311">
        <f t="shared" si="12"/>
        <v>5633673728</v>
      </c>
      <c r="H32" vm="4236">
        <f t="shared" si="12"/>
        <v>6327077888</v>
      </c>
      <c r="I32" vm="4165">
        <f t="shared" si="12"/>
        <v>6618585088</v>
      </c>
      <c r="J32" vm="4094">
        <f t="shared" si="12"/>
        <v>7517176320</v>
      </c>
      <c r="K32" vm="3318">
        <f t="shared" si="12"/>
        <v>9296921600</v>
      </c>
      <c r="L32" vm="3194">
        <f t="shared" si="13"/>
        <v>11896256512</v>
      </c>
      <c r="M32" vm="4014">
        <f t="shared" si="13"/>
        <v>14175228928</v>
      </c>
      <c r="N32" vm="3916">
        <f t="shared" si="13"/>
        <v>16084252672</v>
      </c>
      <c r="O32" vm="5167">
        <f t="shared" si="13"/>
        <v>17784113152</v>
      </c>
      <c r="P32" vm="5081">
        <f t="shared" si="13"/>
        <v>19749361664</v>
      </c>
      <c r="Q32" vm="4993">
        <f t="shared" si="13"/>
        <v>19156533248</v>
      </c>
      <c r="R32" vm="4920">
        <f t="shared" si="13"/>
        <v>18586746880</v>
      </c>
      <c r="S32" vm="4853">
        <f t="shared" si="13"/>
        <v>20919216128</v>
      </c>
      <c r="T32" vm="4784">
        <f t="shared" si="13"/>
        <v>25371461632</v>
      </c>
      <c r="U32" vm="4707">
        <f t="shared" si="13"/>
        <v>30465363968</v>
      </c>
      <c r="V32" vm="4625">
        <f t="shared" si="14"/>
        <v>36144336896</v>
      </c>
      <c r="W32" vm="4511">
        <f t="shared" si="14"/>
        <v>45466165248</v>
      </c>
      <c r="X32" vm="4399">
        <f t="shared" si="14"/>
        <v>52130263040</v>
      </c>
      <c r="Y32" vm="4310">
        <f t="shared" si="14"/>
        <v>60603478016</v>
      </c>
      <c r="Z32" vm="4235">
        <f t="shared" si="14"/>
        <v>73690849280</v>
      </c>
      <c r="AA32" vm="3317">
        <f t="shared" si="14"/>
        <v>87810990080</v>
      </c>
      <c r="AB32" vm="3193">
        <f t="shared" si="14"/>
        <v>96295886848</v>
      </c>
      <c r="AC32" vm="4164">
        <f t="shared" si="14"/>
        <v>100124188672</v>
      </c>
      <c r="AD32" vm="4093">
        <f t="shared" si="14"/>
        <v>85728313344</v>
      </c>
      <c r="AE32" vm="4013">
        <f t="shared" si="14"/>
        <v>86284664832</v>
      </c>
      <c r="AF32" vm="3915">
        <f t="shared" si="15"/>
        <v>96074481664</v>
      </c>
      <c r="AG32" vm="5482">
        <f t="shared" si="15"/>
        <v>89794945024</v>
      </c>
      <c r="AH32" vm="5080">
        <f t="shared" si="15"/>
        <v>92537749504</v>
      </c>
      <c r="AI32" vm="4992">
        <f t="shared" si="15"/>
        <v>97645445120</v>
      </c>
      <c r="AJ32" vm="4919">
        <f t="shared" si="15"/>
        <v>115035496448</v>
      </c>
      <c r="AK32" vm="4852">
        <f t="shared" si="15"/>
        <v>127807619072</v>
      </c>
      <c r="AL32" vm="4783">
        <f t="shared" si="15"/>
        <v>148630372352</v>
      </c>
      <c r="AM32" vm="4706">
        <f t="shared" si="15"/>
        <v>180941946880</v>
      </c>
      <c r="AN32" vm="4624">
        <f t="shared" si="15"/>
        <v>193611988992</v>
      </c>
      <c r="AO32" vm="4510">
        <f t="shared" si="15"/>
        <v>194152284160</v>
      </c>
      <c r="AP32" vm="4398">
        <f t="shared" si="16"/>
        <v>239809380352</v>
      </c>
      <c r="AQ32" vm="3316">
        <f t="shared" si="16"/>
        <v>279351164928</v>
      </c>
      <c r="AR32" vm="3192">
        <f t="shared" si="16"/>
        <v>295087210496</v>
      </c>
      <c r="AS32" vm="4309">
        <f t="shared" si="16"/>
        <v>307576373248</v>
      </c>
      <c r="AT32" vm="4234">
        <f t="shared" si="16"/>
        <v>314851164160</v>
      </c>
      <c r="AU32" vm="4163">
        <f t="shared" si="16"/>
        <v>308004159488</v>
      </c>
      <c r="AV32" vm="4092">
        <f t="shared" si="16"/>
        <v>318652350464</v>
      </c>
      <c r="AW32" vm="4012">
        <f t="shared" si="16"/>
        <v>341863333888</v>
      </c>
      <c r="AX32" vm="3914">
        <f t="shared" si="16"/>
        <v>373217067008</v>
      </c>
      <c r="AY32" vm="5480">
        <f t="shared" si="16"/>
        <v>372062519296</v>
      </c>
      <c r="AZ32" vm="5079">
        <f t="shared" si="16"/>
        <v>5456391719424</v>
      </c>
    </row>
    <row r="33" spans="1:52" x14ac:dyDescent="0.45">
      <c r="A33" s="4" t="str" vm="11">
        <f>CUBEMEMBER("DESKTOP-KSAPEQM AS Model","[Geography].[Blocs].[Country].&amp;[South Korea]")</f>
        <v>South Korea</v>
      </c>
      <c r="B33" vm="4991">
        <f t="shared" si="12"/>
        <v>9005023232</v>
      </c>
      <c r="C33" vm="4918">
        <f t="shared" si="12"/>
        <v>9903500288</v>
      </c>
      <c r="D33" vm="4851">
        <f t="shared" si="12"/>
        <v>10862327808</v>
      </c>
      <c r="E33" vm="4782">
        <f t="shared" si="12"/>
        <v>13876531200</v>
      </c>
      <c r="F33" vm="4705">
        <f t="shared" si="12"/>
        <v>19544094720</v>
      </c>
      <c r="G33" vm="4623">
        <f t="shared" si="12"/>
        <v>21784297472</v>
      </c>
      <c r="H33" vm="3315">
        <f t="shared" si="12"/>
        <v>29902479360</v>
      </c>
      <c r="I33" vm="3191">
        <f t="shared" si="12"/>
        <v>38446489600</v>
      </c>
      <c r="J33" vm="4509">
        <f t="shared" si="12"/>
        <v>51972108288</v>
      </c>
      <c r="K33" vm="4397">
        <f t="shared" si="12"/>
        <v>66946899968</v>
      </c>
      <c r="L33" vm="4308">
        <f t="shared" si="13"/>
        <v>65398644736</v>
      </c>
      <c r="M33" vm="4233">
        <f t="shared" si="13"/>
        <v>72933351424</v>
      </c>
      <c r="N33" vm="4162">
        <f t="shared" si="13"/>
        <v>78358863872</v>
      </c>
      <c r="O33" vm="4091">
        <f t="shared" si="13"/>
        <v>87760363520</v>
      </c>
      <c r="P33" vm="4011">
        <f t="shared" si="13"/>
        <v>97510236160</v>
      </c>
      <c r="Q33" vm="3883">
        <f t="shared" si="13"/>
        <v>101296177152</v>
      </c>
      <c r="R33" vm="3913">
        <f t="shared" si="13"/>
        <v>116836802560</v>
      </c>
      <c r="S33" vm="5458">
        <f t="shared" si="13"/>
        <v>147948257280</v>
      </c>
      <c r="T33" vm="5078">
        <f t="shared" si="13"/>
        <v>199590821888</v>
      </c>
      <c r="U33" vm="4990">
        <f t="shared" si="13"/>
        <v>246927294464</v>
      </c>
      <c r="V33" vm="4917">
        <f t="shared" si="14"/>
        <v>283367538688</v>
      </c>
      <c r="W33" vm="4850">
        <f t="shared" si="14"/>
        <v>330648518656</v>
      </c>
      <c r="X33" vm="3314">
        <f t="shared" si="14"/>
        <v>355525263360</v>
      </c>
      <c r="Y33" vm="3190">
        <f t="shared" si="14"/>
        <v>392666087424</v>
      </c>
      <c r="Z33" vm="4781">
        <f t="shared" si="14"/>
        <v>463617392640</v>
      </c>
      <c r="AA33" vm="4704">
        <f t="shared" si="14"/>
        <v>566583427072</v>
      </c>
      <c r="AB33" vm="4622">
        <f t="shared" si="14"/>
        <v>610169585664</v>
      </c>
      <c r="AC33" vm="4508">
        <f t="shared" si="14"/>
        <v>569754517504</v>
      </c>
      <c r="AD33" vm="4396">
        <f t="shared" si="14"/>
        <v>383330942976</v>
      </c>
      <c r="AE33" vm="4307">
        <f t="shared" si="14"/>
        <v>497512644608</v>
      </c>
      <c r="AF33" vm="4232">
        <f t="shared" si="15"/>
        <v>576178094080</v>
      </c>
      <c r="AG33" vm="3882">
        <f t="shared" si="15"/>
        <v>547658235904</v>
      </c>
      <c r="AH33" vm="4161">
        <f t="shared" si="15"/>
        <v>627246104576</v>
      </c>
      <c r="AI33" vm="4090">
        <f t="shared" si="15"/>
        <v>702717362176</v>
      </c>
      <c r="AJ33" vm="4010">
        <f t="shared" si="15"/>
        <v>793174999040</v>
      </c>
      <c r="AK33" vm="3912">
        <f t="shared" si="15"/>
        <v>934901055488</v>
      </c>
      <c r="AL33" vm="5434">
        <f t="shared" si="15"/>
        <v>1053216931840</v>
      </c>
      <c r="AM33" vm="5077">
        <f t="shared" si="15"/>
        <v>1172614021120</v>
      </c>
      <c r="AN33" vm="3313">
        <f t="shared" si="15"/>
        <v>1047339008000</v>
      </c>
      <c r="AO33" vm="3189">
        <f t="shared" si="15"/>
        <v>943941877760</v>
      </c>
      <c r="AP33" vm="4989">
        <f t="shared" si="16"/>
        <v>1144066932736</v>
      </c>
      <c r="AQ33" vm="4916">
        <f t="shared" si="16"/>
        <v>1253223038976</v>
      </c>
      <c r="AR33" vm="4849">
        <f t="shared" si="16"/>
        <v>1278427660288</v>
      </c>
      <c r="AS33" vm="4780">
        <f t="shared" si="16"/>
        <v>1370795147264</v>
      </c>
      <c r="AT33" vm="4703">
        <f t="shared" si="16"/>
        <v>1484318179328</v>
      </c>
      <c r="AU33" vm="4621">
        <f t="shared" si="16"/>
        <v>1465773195264</v>
      </c>
      <c r="AV33" vm="4507">
        <f t="shared" si="16"/>
        <v>1500111568896</v>
      </c>
      <c r="AW33" vm="3881">
        <f t="shared" si="16"/>
        <v>1623901470720</v>
      </c>
      <c r="AX33" vm="4395">
        <f t="shared" si="16"/>
        <v>1720578867200</v>
      </c>
      <c r="AY33" vm="4306">
        <f t="shared" si="16"/>
        <v>1642383278080</v>
      </c>
      <c r="AZ33" vm="4231">
        <f t="shared" si="16"/>
        <v>28822547512320</v>
      </c>
    </row>
    <row r="34" spans="1:52" x14ac:dyDescent="0.45">
      <c r="A34" s="4" t="str" vm="129">
        <f>CUBEMEMBER("DESKTOP-KSAPEQM AS Model","[Geography].[Blocs].[Country].&amp;[Spain]")</f>
        <v>Spain</v>
      </c>
      <c r="B34" vm="4160">
        <f t="shared" si="12"/>
        <v>40992997376</v>
      </c>
      <c r="C34" vm="4089">
        <f t="shared" si="12"/>
        <v>46619418624</v>
      </c>
      <c r="D34" vm="4009">
        <f t="shared" si="12"/>
        <v>59132416000</v>
      </c>
      <c r="E34" vm="3312">
        <f t="shared" si="12"/>
        <v>78639529984</v>
      </c>
      <c r="F34" vm="3188">
        <f t="shared" si="12"/>
        <v>97274003456</v>
      </c>
      <c r="G34" vm="3911">
        <f t="shared" si="12"/>
        <v>114777047040</v>
      </c>
      <c r="H34" vm="5415">
        <f t="shared" si="12"/>
        <v>118507184128</v>
      </c>
      <c r="I34" vm="5076">
        <f t="shared" si="12"/>
        <v>132449280000</v>
      </c>
      <c r="J34" vm="4988">
        <f t="shared" si="12"/>
        <v>160599687168</v>
      </c>
      <c r="K34" vm="4915">
        <f t="shared" si="12"/>
        <v>214601957376</v>
      </c>
      <c r="L34" vm="4848">
        <f t="shared" si="13"/>
        <v>232766816256</v>
      </c>
      <c r="M34" vm="4779">
        <f t="shared" si="13"/>
        <v>202807885824</v>
      </c>
      <c r="N34" vm="3880">
        <f t="shared" si="13"/>
        <v>195996762112</v>
      </c>
      <c r="O34" vm="4702">
        <f t="shared" si="13"/>
        <v>170951180288</v>
      </c>
      <c r="P34" vm="4620">
        <f t="shared" si="13"/>
        <v>172102909952</v>
      </c>
      <c r="Q34" vm="4506">
        <f t="shared" si="13"/>
        <v>180793458688</v>
      </c>
      <c r="R34" vm="4394">
        <f t="shared" si="13"/>
        <v>251321073664</v>
      </c>
      <c r="S34" vm="4305">
        <f t="shared" si="13"/>
        <v>318747934720</v>
      </c>
      <c r="T34" vm="4230">
        <f t="shared" si="13"/>
        <v>376160419840</v>
      </c>
      <c r="U34" vm="3311">
        <f t="shared" si="13"/>
        <v>414757060608</v>
      </c>
      <c r="V34" vm="3187">
        <f t="shared" si="14"/>
        <v>536558600192</v>
      </c>
      <c r="W34" vm="4159">
        <f t="shared" si="14"/>
        <v>577166180352</v>
      </c>
      <c r="X34" vm="4088">
        <f t="shared" si="14"/>
        <v>630915989504</v>
      </c>
      <c r="Y34" vm="4008">
        <f t="shared" si="14"/>
        <v>525075644416</v>
      </c>
      <c r="Z34" vm="3910">
        <f t="shared" si="14"/>
        <v>530562646016</v>
      </c>
      <c r="AA34" vm="5397">
        <f t="shared" si="14"/>
        <v>614608994304</v>
      </c>
      <c r="AB34" vm="5075">
        <f t="shared" si="14"/>
        <v>642588999680</v>
      </c>
      <c r="AC34" vm="4987">
        <f t="shared" si="14"/>
        <v>590077296640</v>
      </c>
      <c r="AD34" vm="3879">
        <f t="shared" si="14"/>
        <v>619214864384</v>
      </c>
      <c r="AE34" vm="4914">
        <f t="shared" si="14"/>
        <v>634693156864</v>
      </c>
      <c r="AF34" vm="4847">
        <f t="shared" si="15"/>
        <v>596877639680</v>
      </c>
      <c r="AG34" vm="4778">
        <f t="shared" si="15"/>
        <v>627286802432</v>
      </c>
      <c r="AH34" vm="4701">
        <f t="shared" si="15"/>
        <v>705394311168</v>
      </c>
      <c r="AI34" vm="4619">
        <f t="shared" si="15"/>
        <v>905492103168</v>
      </c>
      <c r="AJ34" vm="4505">
        <f t="shared" si="15"/>
        <v>1067093393408</v>
      </c>
      <c r="AK34" vm="3310">
        <f t="shared" si="15"/>
        <v>1153285619712</v>
      </c>
      <c r="AL34" vm="3186">
        <f t="shared" si="15"/>
        <v>1259343839232</v>
      </c>
      <c r="AM34" vm="4393">
        <f t="shared" si="15"/>
        <v>1472131104768</v>
      </c>
      <c r="AN34" vm="4304">
        <f t="shared" si="15"/>
        <v>1625224904704</v>
      </c>
      <c r="AO34" vm="4229">
        <f t="shared" si="15"/>
        <v>1485583548416</v>
      </c>
      <c r="AP34" vm="4158">
        <f t="shared" si="16"/>
        <v>1420722044928</v>
      </c>
      <c r="AQ34" vm="4087">
        <f t="shared" si="16"/>
        <v>1478772785152</v>
      </c>
      <c r="AR34" vm="4007">
        <f t="shared" si="16"/>
        <v>1324820070400</v>
      </c>
      <c r="AS34" vm="3909">
        <f t="shared" si="16"/>
        <v>1354757439488</v>
      </c>
      <c r="AT34" vm="3878">
        <f t="shared" si="16"/>
        <v>1369398837248</v>
      </c>
      <c r="AU34" vm="5369">
        <f t="shared" si="16"/>
        <v>1195119214592</v>
      </c>
      <c r="AV34" vm="5074">
        <f t="shared" si="16"/>
        <v>1232076013568</v>
      </c>
      <c r="AW34" vm="4986">
        <f t="shared" si="16"/>
        <v>1312551731200</v>
      </c>
      <c r="AX34" vm="4913">
        <f t="shared" si="16"/>
        <v>1419735203840</v>
      </c>
      <c r="AY34" vm="4846">
        <f t="shared" si="16"/>
        <v>1394116263936</v>
      </c>
      <c r="AZ34" vm="4777">
        <f t="shared" si="16"/>
        <v>33881244266496</v>
      </c>
    </row>
    <row r="35" spans="1:52" x14ac:dyDescent="0.45">
      <c r="A35" s="4" t="str" vm="145">
        <f>CUBEMEMBER("DESKTOP-KSAPEQM AS Model","[Geography].[Blocs].[Country].&amp;[Sweden]")</f>
        <v>Sweden</v>
      </c>
      <c r="B35" vm="3309">
        <f t="shared" si="12"/>
        <v>38092451840</v>
      </c>
      <c r="C35" vm="3185">
        <f t="shared" si="12"/>
        <v>41566412800</v>
      </c>
      <c r="D35" vm="4700">
        <f t="shared" si="12"/>
        <v>48954146816</v>
      </c>
      <c r="E35" vm="4618">
        <f t="shared" si="12"/>
        <v>59404967936</v>
      </c>
      <c r="F35" vm="4504">
        <f t="shared" si="12"/>
        <v>66013339648</v>
      </c>
      <c r="G35" vm="4392">
        <f t="shared" si="12"/>
        <v>82885394432</v>
      </c>
      <c r="H35" vm="4303">
        <f t="shared" si="12"/>
        <v>89362071552</v>
      </c>
      <c r="I35" vm="4228">
        <f t="shared" si="12"/>
        <v>94468743168</v>
      </c>
      <c r="J35" vm="4157">
        <f t="shared" si="12"/>
        <v>104442347520</v>
      </c>
      <c r="K35" vm="3877">
        <f t="shared" si="12"/>
        <v>123386413056</v>
      </c>
      <c r="L35" vm="4086">
        <f t="shared" si="13"/>
        <v>142092075008</v>
      </c>
      <c r="M35" vm="4006">
        <f t="shared" si="13"/>
        <v>129686937600</v>
      </c>
      <c r="N35" vm="3908">
        <f t="shared" si="13"/>
        <v>114380554240</v>
      </c>
      <c r="O35" vm="5347">
        <f t="shared" si="13"/>
        <v>105014353920</v>
      </c>
      <c r="P35" vm="5073">
        <f t="shared" si="13"/>
        <v>109201358848</v>
      </c>
      <c r="Q35" vm="4985">
        <f t="shared" si="13"/>
        <v>114123538432</v>
      </c>
      <c r="R35" vm="3308">
        <f t="shared" si="13"/>
        <v>150498050048</v>
      </c>
      <c r="S35" vm="3184">
        <f t="shared" si="13"/>
        <v>183009640448</v>
      </c>
      <c r="T35" vm="4912">
        <f t="shared" si="13"/>
        <v>206986674176</v>
      </c>
      <c r="U35" vm="4845">
        <f t="shared" si="13"/>
        <v>217948323840</v>
      </c>
      <c r="V35" vm="4776">
        <f t="shared" si="14"/>
        <v>261846188032</v>
      </c>
      <c r="W35" vm="4699">
        <f t="shared" si="14"/>
        <v>274229035008</v>
      </c>
      <c r="X35" vm="4617">
        <f t="shared" si="14"/>
        <v>284321120256</v>
      </c>
      <c r="Y35" vm="4503">
        <f t="shared" si="14"/>
        <v>212953333760</v>
      </c>
      <c r="Z35" vm="4391">
        <f t="shared" si="14"/>
        <v>229033574400</v>
      </c>
      <c r="AA35" vm="3876">
        <f t="shared" si="14"/>
        <v>267305877504</v>
      </c>
      <c r="AB35" vm="4302">
        <f t="shared" si="14"/>
        <v>291743825920</v>
      </c>
      <c r="AC35" vm="4227">
        <f t="shared" si="14"/>
        <v>268146147328</v>
      </c>
      <c r="AD35" vm="4156">
        <f t="shared" si="14"/>
        <v>270809071616</v>
      </c>
      <c r="AE35" vm="4085">
        <f t="shared" si="14"/>
        <v>274072174592</v>
      </c>
      <c r="AF35" vm="4005">
        <f t="shared" si="15"/>
        <v>262835453952</v>
      </c>
      <c r="AG35" vm="3907">
        <f t="shared" si="15"/>
        <v>242395856896</v>
      </c>
      <c r="AH35" vm="3307">
        <f t="shared" si="15"/>
        <v>266849058816</v>
      </c>
      <c r="AI35" vm="3183">
        <f t="shared" si="15"/>
        <v>334337212416</v>
      </c>
      <c r="AJ35" vm="5315">
        <f t="shared" si="15"/>
        <v>385118044160</v>
      </c>
      <c r="AK35" vm="5072">
        <f t="shared" si="15"/>
        <v>392218083328</v>
      </c>
      <c r="AL35" vm="4984">
        <f t="shared" si="15"/>
        <v>423093436416</v>
      </c>
      <c r="AM35" vm="4911">
        <f t="shared" si="15"/>
        <v>491252580352</v>
      </c>
      <c r="AN35" vm="4844">
        <f t="shared" si="15"/>
        <v>517706153984</v>
      </c>
      <c r="AO35" vm="4775">
        <f t="shared" si="15"/>
        <v>436536999936</v>
      </c>
      <c r="AP35" vm="4698">
        <f t="shared" si="16"/>
        <v>495812542464</v>
      </c>
      <c r="AQ35" vm="3875">
        <f t="shared" si="16"/>
        <v>574094114816</v>
      </c>
      <c r="AR35" vm="4616">
        <f t="shared" si="16"/>
        <v>552483749888</v>
      </c>
      <c r="AS35" vm="4502">
        <f t="shared" si="16"/>
        <v>586841849856</v>
      </c>
      <c r="AT35" vm="4390">
        <f t="shared" si="16"/>
        <v>581964005376</v>
      </c>
      <c r="AU35" vm="4301">
        <f t="shared" si="16"/>
        <v>505103777792</v>
      </c>
      <c r="AV35" vm="4226">
        <f t="shared" si="16"/>
        <v>515654680576</v>
      </c>
      <c r="AW35" vm="4155">
        <f t="shared" si="16"/>
        <v>541018750976</v>
      </c>
      <c r="AX35" vm="3306">
        <f t="shared" si="16"/>
        <v>555455348736</v>
      </c>
      <c r="AY35" vm="3182">
        <f t="shared" si="16"/>
        <v>530832916480</v>
      </c>
      <c r="AZ35" vm="4084">
        <f t="shared" si="16"/>
        <v>14047582760960</v>
      </c>
    </row>
    <row r="36" spans="1:52" x14ac:dyDescent="0.45">
      <c r="A36" s="4" t="str" vm="140">
        <f>CUBEMEMBER("DESKTOP-KSAPEQM AS Model","[Geography].[Blocs].[Country].&amp;[Switzerland]")</f>
        <v>Switzerland</v>
      </c>
      <c r="B36" vm="4004">
        <f t="shared" si="12"/>
        <v>24274075648</v>
      </c>
      <c r="C36" vm="3906">
        <f t="shared" si="12"/>
        <v>29170151424</v>
      </c>
      <c r="D36" vm="5292">
        <f t="shared" si="12"/>
        <v>35777236992</v>
      </c>
      <c r="E36" vm="5071">
        <f t="shared" si="12"/>
        <v>48114941952</v>
      </c>
      <c r="F36" vm="4983">
        <f t="shared" si="12"/>
        <v>55449198592</v>
      </c>
      <c r="G36" vm="4910">
        <f t="shared" si="12"/>
        <v>63570059264</v>
      </c>
      <c r="H36" vm="3874">
        <f t="shared" si="12"/>
        <v>66493313024</v>
      </c>
      <c r="I36" vm="4843">
        <f t="shared" si="12"/>
        <v>71017619456</v>
      </c>
      <c r="J36" vm="4774">
        <f t="shared" si="12"/>
        <v>99318235136</v>
      </c>
      <c r="K36" vm="4697">
        <f t="shared" si="12"/>
        <v>111640338432</v>
      </c>
      <c r="L36" vm="4615">
        <f t="shared" si="13"/>
        <v>119008337920</v>
      </c>
      <c r="M36" vm="4501">
        <f t="shared" si="13"/>
        <v>108993978368</v>
      </c>
      <c r="N36" vm="4389">
        <f t="shared" si="13"/>
        <v>111711494144</v>
      </c>
      <c r="O36" vm="3305">
        <f t="shared" si="13"/>
        <v>111314329600</v>
      </c>
      <c r="P36" vm="3181">
        <f t="shared" si="13"/>
        <v>106285277184</v>
      </c>
      <c r="Q36" vm="4300">
        <f t="shared" si="13"/>
        <v>107766112256</v>
      </c>
      <c r="R36" vm="4225">
        <f t="shared" si="13"/>
        <v>154482376704</v>
      </c>
      <c r="S36" vm="4154">
        <f t="shared" si="13"/>
        <v>193466105856</v>
      </c>
      <c r="T36" vm="4083">
        <f t="shared" si="13"/>
        <v>209298161664</v>
      </c>
      <c r="U36" vm="4003">
        <f t="shared" si="13"/>
        <v>202078699520</v>
      </c>
      <c r="V36" vm="3905">
        <f t="shared" si="14"/>
        <v>258066546688</v>
      </c>
      <c r="W36" vm="5269">
        <f t="shared" si="14"/>
        <v>261113790464</v>
      </c>
      <c r="X36" vm="3873">
        <f t="shared" si="14"/>
        <v>271814361088</v>
      </c>
      <c r="Y36" vm="5070">
        <f t="shared" si="14"/>
        <v>264353005568</v>
      </c>
      <c r="Z36" vm="4982">
        <f t="shared" si="14"/>
        <v>292646649856</v>
      </c>
      <c r="AA36" vm="4909">
        <f t="shared" si="14"/>
        <v>342616997888</v>
      </c>
      <c r="AB36" vm="4842">
        <f t="shared" si="14"/>
        <v>330091692032</v>
      </c>
      <c r="AC36" vm="4773">
        <f t="shared" si="14"/>
        <v>286519132160</v>
      </c>
      <c r="AD36" vm="4696">
        <f t="shared" si="14"/>
        <v>295045136384</v>
      </c>
      <c r="AE36" vm="3304">
        <f t="shared" si="14"/>
        <v>289912487936</v>
      </c>
      <c r="AF36" vm="3180">
        <f t="shared" si="15"/>
        <v>272055500800</v>
      </c>
      <c r="AG36" vm="4614">
        <f t="shared" si="15"/>
        <v>278631284736</v>
      </c>
      <c r="AH36" vm="4500">
        <f t="shared" si="15"/>
        <v>301416808448</v>
      </c>
      <c r="AI36" vm="4388">
        <f t="shared" si="15"/>
        <v>352914833408</v>
      </c>
      <c r="AJ36" vm="2816">
        <f t="shared" si="15"/>
        <v>394163683328</v>
      </c>
      <c r="AK36" vm="4299">
        <f t="shared" si="15"/>
        <v>408689344512</v>
      </c>
      <c r="AL36" vm="4224">
        <f t="shared" si="15"/>
        <v>430921187328</v>
      </c>
      <c r="AM36" vm="4153">
        <f t="shared" si="15"/>
        <v>479913050112</v>
      </c>
      <c r="AN36" vm="3872">
        <f t="shared" si="15"/>
        <v>554363518976</v>
      </c>
      <c r="AO36" vm="4082">
        <f t="shared" si="15"/>
        <v>541506502656</v>
      </c>
      <c r="AP36" vm="4002">
        <f t="shared" si="16"/>
        <v>583782957056</v>
      </c>
      <c r="AQ36" vm="3904">
        <f t="shared" si="16"/>
        <v>699579629568</v>
      </c>
      <c r="AR36" vm="5246">
        <f t="shared" si="16"/>
        <v>668043640832</v>
      </c>
      <c r="AS36" vm="5069">
        <f t="shared" si="16"/>
        <v>688504176640</v>
      </c>
      <c r="AT36" vm="4981">
        <f t="shared" si="16"/>
        <v>709182554112</v>
      </c>
      <c r="AU36" vm="3303">
        <f t="shared" si="16"/>
        <v>679832322048</v>
      </c>
      <c r="AV36" vm="3179">
        <f t="shared" si="16"/>
        <v>671309168640</v>
      </c>
      <c r="AW36" vm="4908">
        <f t="shared" si="16"/>
        <v>679950483456</v>
      </c>
      <c r="AX36" vm="4841">
        <f t="shared" si="16"/>
        <v>705140621312</v>
      </c>
      <c r="AY36" vm="4772">
        <f t="shared" si="16"/>
        <v>703082463232</v>
      </c>
      <c r="AZ36" vm="2815">
        <f t="shared" si="16"/>
        <v>15724393574400</v>
      </c>
    </row>
    <row r="37" spans="1:52" x14ac:dyDescent="0.45">
      <c r="A37" s="4" t="str" vm="134">
        <f>CUBEMEMBER("DESKTOP-KSAPEQM AS Model","[Geography].[Blocs].[Country].&amp;[United Kingdom]")</f>
        <v>United Kingdom</v>
      </c>
      <c r="B37" vm="4695">
        <f t="shared" si="12"/>
        <v>130671943680</v>
      </c>
      <c r="C37" vm="4613">
        <f t="shared" si="12"/>
        <v>148113899520</v>
      </c>
      <c r="D37" vm="4499">
        <f t="shared" si="12"/>
        <v>169965027328</v>
      </c>
      <c r="E37" vm="3871">
        <f t="shared" si="12"/>
        <v>192537968640</v>
      </c>
      <c r="F37" vm="4387">
        <f t="shared" si="12"/>
        <v>206131363840</v>
      </c>
      <c r="G37" vm="4298">
        <f t="shared" si="12"/>
        <v>241756635136</v>
      </c>
      <c r="H37" vm="3673">
        <f t="shared" si="12"/>
        <v>232614559744</v>
      </c>
      <c r="I37" vm="4223">
        <f t="shared" si="12"/>
        <v>263066451968</v>
      </c>
      <c r="J37" vm="4152">
        <f t="shared" si="12"/>
        <v>335883042816</v>
      </c>
      <c r="K37" vm="4081">
        <f t="shared" si="12"/>
        <v>438994075648</v>
      </c>
      <c r="L37" vm="3302">
        <f t="shared" si="13"/>
        <v>564947714048</v>
      </c>
      <c r="M37" vm="3178">
        <f t="shared" si="13"/>
        <v>540765683712</v>
      </c>
      <c r="N37" vm="4001">
        <f t="shared" si="13"/>
        <v>515048931328</v>
      </c>
      <c r="O37" vm="3903">
        <f t="shared" si="13"/>
        <v>489618014208</v>
      </c>
      <c r="P37" vm="5223">
        <f t="shared" si="13"/>
        <v>461487112192</v>
      </c>
      <c r="Q37" vm="2814">
        <f t="shared" si="13"/>
        <v>489285156864</v>
      </c>
      <c r="R37" vm="5068">
        <f t="shared" si="13"/>
        <v>601452642304</v>
      </c>
      <c r="S37" vm="4980">
        <f t="shared" si="13"/>
        <v>745162604544</v>
      </c>
      <c r="T37" vm="4907">
        <f t="shared" si="13"/>
        <v>910122745856</v>
      </c>
      <c r="U37" vm="3870">
        <f t="shared" si="13"/>
        <v>926884823040</v>
      </c>
      <c r="V37" vm="4840">
        <f t="shared" si="14"/>
        <v>1093169381376</v>
      </c>
      <c r="W37" vm="4771">
        <f t="shared" si="14"/>
        <v>1142797238272</v>
      </c>
      <c r="X37" vm="3672">
        <f t="shared" si="14"/>
        <v>1179659534336</v>
      </c>
      <c r="Y37" vm="4694">
        <f t="shared" si="14"/>
        <v>1061388746752</v>
      </c>
      <c r="Z37" vm="4612">
        <f t="shared" si="14"/>
        <v>1140489715712</v>
      </c>
      <c r="AA37" vm="4498">
        <f t="shared" si="14"/>
        <v>1341584310272</v>
      </c>
      <c r="AB37" vm="3301">
        <f t="shared" si="14"/>
        <v>1415358840832</v>
      </c>
      <c r="AC37" vm="3177">
        <f t="shared" si="14"/>
        <v>1559078240256</v>
      </c>
      <c r="AD37" vm="4386">
        <f t="shared" si="14"/>
        <v>1650172231680</v>
      </c>
      <c r="AE37" vm="4297">
        <f t="shared" si="14"/>
        <v>1682399297536</v>
      </c>
      <c r="AF37" vm="4222">
        <f t="shared" si="15"/>
        <v>1657816612864</v>
      </c>
      <c r="AG37" vm="2813">
        <f t="shared" si="15"/>
        <v>1640246149120</v>
      </c>
      <c r="AH37" vm="4151">
        <f t="shared" si="15"/>
        <v>1784473976832</v>
      </c>
      <c r="AI37" vm="4080">
        <f t="shared" si="15"/>
        <v>2053018746880</v>
      </c>
      <c r="AJ37" vm="4000">
        <f t="shared" si="15"/>
        <v>2416931504128</v>
      </c>
      <c r="AK37" vm="3869">
        <f t="shared" si="15"/>
        <v>2538680090624</v>
      </c>
      <c r="AL37" vm="3902">
        <f t="shared" si="15"/>
        <v>2713749815296</v>
      </c>
      <c r="AM37" vm="5200">
        <f t="shared" si="15"/>
        <v>3100882239488</v>
      </c>
      <c r="AN37" vm="3671">
        <f t="shared" si="15"/>
        <v>2922667311104</v>
      </c>
      <c r="AO37" vm="5067">
        <f t="shared" si="15"/>
        <v>2410909794304</v>
      </c>
      <c r="AP37" vm="4979">
        <f t="shared" si="16"/>
        <v>2475244388352</v>
      </c>
      <c r="AQ37" vm="4906">
        <f t="shared" si="16"/>
        <v>2659310108672</v>
      </c>
      <c r="AR37" vm="3300">
        <f t="shared" si="16"/>
        <v>2704887775232</v>
      </c>
      <c r="AS37" vm="3176">
        <f t="shared" si="16"/>
        <v>2786022916096</v>
      </c>
      <c r="AT37" vm="4839">
        <f t="shared" si="16"/>
        <v>3063803281408</v>
      </c>
      <c r="AU37" vm="4770">
        <f t="shared" si="16"/>
        <v>2928590979072</v>
      </c>
      <c r="AV37" vm="4693">
        <f t="shared" si="16"/>
        <v>2694283264000</v>
      </c>
      <c r="AW37" vm="2812">
        <f t="shared" si="16"/>
        <v>2666229137408</v>
      </c>
      <c r="AX37" vm="4611">
        <f t="shared" si="16"/>
        <v>2860667633664</v>
      </c>
      <c r="AY37" vm="4497">
        <f t="shared" si="16"/>
        <v>2827113201664</v>
      </c>
      <c r="AZ37" vm="4385">
        <f t="shared" si="16"/>
        <v>72776136859648</v>
      </c>
    </row>
    <row r="38" spans="1:52" x14ac:dyDescent="0.45">
      <c r="A38" s="4" t="str" vm="131">
        <f>CUBEMEMBER("DESKTOP-KSAPEQM AS Model","[Geography].[Blocs].[Country].&amp;[United States]")</f>
        <v>United States</v>
      </c>
      <c r="B38" vm="3868">
        <f t="shared" si="12"/>
        <v>1073302994944</v>
      </c>
      <c r="C38" vm="4296">
        <f t="shared" si="12"/>
        <v>1164849971200</v>
      </c>
      <c r="D38" vm="4221">
        <f t="shared" si="12"/>
        <v>1279110021120</v>
      </c>
      <c r="E38" vm="3670">
        <f t="shared" si="12"/>
        <v>1425376018432</v>
      </c>
      <c r="F38" vm="4150">
        <f t="shared" si="12"/>
        <v>1545242935296</v>
      </c>
      <c r="G38" vm="4079">
        <f t="shared" si="12"/>
        <v>1684903952384</v>
      </c>
      <c r="H38" vm="3999">
        <f t="shared" si="12"/>
        <v>1873411964928</v>
      </c>
      <c r="I38" vm="3299">
        <f t="shared" si="12"/>
        <v>2081826013184</v>
      </c>
      <c r="J38" vm="3175">
        <f t="shared" si="12"/>
        <v>2351598927872</v>
      </c>
      <c r="K38" vm="3901">
        <f t="shared" si="12"/>
        <v>2627334045696</v>
      </c>
      <c r="L38" vm="5179">
        <f t="shared" si="13"/>
        <v>2857306947584</v>
      </c>
      <c r="M38" vm="5066">
        <f t="shared" si="13"/>
        <v>3207041908736</v>
      </c>
      <c r="N38" vm="2811">
        <f t="shared" si="13"/>
        <v>3343789064192</v>
      </c>
      <c r="O38" vm="4978">
        <f t="shared" si="13"/>
        <v>3634038046720</v>
      </c>
      <c r="P38" vm="4905">
        <f t="shared" si="13"/>
        <v>4037612929024</v>
      </c>
      <c r="Q38" vm="4838">
        <f t="shared" si="13"/>
        <v>4338978914304</v>
      </c>
      <c r="R38" vm="3867">
        <f t="shared" si="13"/>
        <v>4579631038464</v>
      </c>
      <c r="S38" vm="4769">
        <f t="shared" si="13"/>
        <v>4855215161344</v>
      </c>
      <c r="T38" vm="4692">
        <f t="shared" si="13"/>
        <v>5236438073344</v>
      </c>
      <c r="U38" vm="3669">
        <f t="shared" si="13"/>
        <v>5641580052480</v>
      </c>
      <c r="V38" vm="4610">
        <f t="shared" si="14"/>
        <v>5963144232960</v>
      </c>
      <c r="W38" vm="4496">
        <f t="shared" si="14"/>
        <v>6158129037312</v>
      </c>
      <c r="X38" vm="4384">
        <f t="shared" si="14"/>
        <v>6520327110656</v>
      </c>
      <c r="Y38" vm="3298">
        <f t="shared" si="14"/>
        <v>6858558930944</v>
      </c>
      <c r="Z38" vm="3174">
        <f t="shared" si="14"/>
        <v>7287236198400</v>
      </c>
      <c r="AA38" vm="4295">
        <f t="shared" si="14"/>
        <v>7639749099520</v>
      </c>
      <c r="AB38" vm="4220">
        <f t="shared" si="14"/>
        <v>8073121890304</v>
      </c>
      <c r="AC38" vm="4149">
        <f t="shared" si="14"/>
        <v>8577554579456</v>
      </c>
      <c r="AD38" vm="2810">
        <f t="shared" si="14"/>
        <v>9062818250752</v>
      </c>
      <c r="AE38" vm="4078">
        <f t="shared" si="14"/>
        <v>9630664097792</v>
      </c>
      <c r="AF38" vm="3998">
        <f t="shared" si="15"/>
        <v>10252345933824</v>
      </c>
      <c r="AG38" vm="3900">
        <f t="shared" si="15"/>
        <v>10581821095936</v>
      </c>
      <c r="AH38" vm="3866">
        <f t="shared" si="15"/>
        <v>10936419090432</v>
      </c>
      <c r="AI38" vm="5503">
        <f t="shared" si="15"/>
        <v>11458243985408</v>
      </c>
      <c r="AJ38" vm="5065">
        <f t="shared" si="15"/>
        <v>12213729361920</v>
      </c>
      <c r="AK38" vm="3668">
        <f t="shared" si="15"/>
        <v>13036640272384</v>
      </c>
      <c r="AL38" vm="4977">
        <f t="shared" si="15"/>
        <v>13814611312640</v>
      </c>
      <c r="AM38" vm="4904">
        <f t="shared" si="15"/>
        <v>14451858210816</v>
      </c>
      <c r="AN38" vm="4837">
        <f t="shared" si="15"/>
        <v>14712844582912</v>
      </c>
      <c r="AO38" vm="3297">
        <f t="shared" si="15"/>
        <v>14448932683776</v>
      </c>
      <c r="AP38" vm="3173">
        <f t="shared" si="16"/>
        <v>14992053108736</v>
      </c>
      <c r="AQ38" vm="4768">
        <f t="shared" si="16"/>
        <v>15542580674560</v>
      </c>
      <c r="AR38" vm="4691">
        <f t="shared" si="16"/>
        <v>16197007441920</v>
      </c>
      <c r="AS38" vm="4609">
        <f t="shared" si="16"/>
        <v>16784849633280</v>
      </c>
      <c r="AT38" vm="2809">
        <f t="shared" si="16"/>
        <v>17521746903040</v>
      </c>
      <c r="AU38" vm="4495">
        <f t="shared" si="16"/>
        <v>18219297406976</v>
      </c>
      <c r="AV38" vm="4383">
        <f t="shared" si="16"/>
        <v>18707187236864</v>
      </c>
      <c r="AW38" vm="4294">
        <f t="shared" si="16"/>
        <v>19485394206720</v>
      </c>
      <c r="AX38" vm="3865">
        <f t="shared" si="16"/>
        <v>20529048190976</v>
      </c>
      <c r="AY38" vm="4219">
        <f t="shared" si="16"/>
        <v>21374418550784</v>
      </c>
      <c r="AZ38" vm="4148">
        <f t="shared" si="16"/>
        <v>439870922293248</v>
      </c>
    </row>
    <row r="39" spans="1:52" x14ac:dyDescent="0.45">
      <c r="A39" s="2" t="str" vm="124">
        <f>CUBEMEMBER("DESKTOP-KSAPEQM AS Model","[Geography].[Blocs].[Major_Blocs].&amp;[South]")</f>
        <v>South</v>
      </c>
    </row>
    <row r="40" spans="1:52" x14ac:dyDescent="0.45">
      <c r="A40" s="4" t="str" vm="113">
        <f>CUBEMEMBER("DESKTOP-KSAPEQM AS Model","[Geography].[Blocs].[Country].&amp;[Algeria]")</f>
        <v>Algeria</v>
      </c>
      <c r="B40" vm="3667">
        <f t="shared" ref="B40:K49" si="17">CUBEVALUE("DESKTOP-KSAPEQM AS Model",$B$1,$B$2,$B$3,$B$4,$B$5,$A$7,$A40,B$8)</f>
        <v>4863487488</v>
      </c>
      <c r="C40" vm="4077">
        <f t="shared" si="17"/>
        <v>5077222400</v>
      </c>
      <c r="D40" vm="3997">
        <f t="shared" si="17"/>
        <v>6761786368</v>
      </c>
      <c r="E40" vm="3899">
        <f t="shared" si="17"/>
        <v>8715106304</v>
      </c>
      <c r="F40" vm="3296">
        <f t="shared" si="17"/>
        <v>13209713664</v>
      </c>
      <c r="G40" vm="3172">
        <f t="shared" si="17"/>
        <v>15557934080</v>
      </c>
      <c r="H40" vm="5166">
        <f t="shared" si="17"/>
        <v>17728348160</v>
      </c>
      <c r="I40" vm="5064">
        <f t="shared" si="17"/>
        <v>20971900928</v>
      </c>
      <c r="J40" vm="4976">
        <f t="shared" si="17"/>
        <v>26364491776</v>
      </c>
      <c r="K40" vm="2808">
        <f t="shared" si="17"/>
        <v>33243422720</v>
      </c>
      <c r="L40" vm="4903">
        <f t="shared" ref="L40:U49" si="18">CUBEVALUE("DESKTOP-KSAPEQM AS Model",$B$1,$B$2,$B$3,$B$4,$B$5,$A$7,$A40,L$8)</f>
        <v>42345275392</v>
      </c>
      <c r="M40" vm="4836">
        <f t="shared" si="18"/>
        <v>44348674048</v>
      </c>
      <c r="N40" vm="4767">
        <f t="shared" si="18"/>
        <v>45207089152</v>
      </c>
      <c r="O40" vm="3864">
        <f t="shared" si="18"/>
        <v>48801370112</v>
      </c>
      <c r="P40" vm="4690">
        <f t="shared" si="18"/>
        <v>53698277376</v>
      </c>
      <c r="Q40" vm="4608">
        <f t="shared" si="18"/>
        <v>57937866752</v>
      </c>
      <c r="R40" vm="3666">
        <f t="shared" si="18"/>
        <v>63696302080</v>
      </c>
      <c r="S40" vm="4494">
        <f t="shared" si="18"/>
        <v>66742267904</v>
      </c>
      <c r="T40" vm="4382">
        <f t="shared" si="18"/>
        <v>59089068032</v>
      </c>
      <c r="U40" vm="4293">
        <f t="shared" si="18"/>
        <v>55631491072</v>
      </c>
      <c r="V40" vm="3295">
        <f t="shared" ref="V40:AE49" si="19">CUBEVALUE("DESKTOP-KSAPEQM AS Model",$B$1,$B$2,$B$3,$B$4,$B$5,$A$7,$A40,V$8)</f>
        <v>62045097984</v>
      </c>
      <c r="W40" vm="3171">
        <f t="shared" si="19"/>
        <v>45715365888</v>
      </c>
      <c r="X40" vm="4218">
        <f t="shared" si="19"/>
        <v>48003297280</v>
      </c>
      <c r="Y40" vm="4147">
        <f t="shared" si="19"/>
        <v>49946456064</v>
      </c>
      <c r="Z40" vm="4076">
        <f t="shared" si="19"/>
        <v>42542571520</v>
      </c>
      <c r="AA40" vm="2807">
        <f t="shared" si="19"/>
        <v>41764052992</v>
      </c>
      <c r="AB40" vm="3996">
        <f t="shared" si="19"/>
        <v>46941495296</v>
      </c>
      <c r="AC40" vm="3898">
        <f t="shared" si="19"/>
        <v>48177860608</v>
      </c>
      <c r="AD40" vm="5165">
        <f t="shared" si="19"/>
        <v>48187748352</v>
      </c>
      <c r="AE40" vm="3863">
        <f t="shared" si="19"/>
        <v>48640610304</v>
      </c>
      <c r="AF40" vm="5063">
        <f t="shared" ref="AF40:AO49" si="20">CUBEVALUE("DESKTOP-KSAPEQM AS Model",$B$1,$B$2,$B$3,$B$4,$B$5,$A$7,$A40,AF$8)</f>
        <v>54788730880</v>
      </c>
      <c r="AG40" vm="4975">
        <f t="shared" si="20"/>
        <v>54745837568</v>
      </c>
      <c r="AH40" vm="3665">
        <f t="shared" si="20"/>
        <v>56760623104</v>
      </c>
      <c r="AI40" vm="4902">
        <f t="shared" si="20"/>
        <v>67864850432</v>
      </c>
      <c r="AJ40" vm="4835">
        <f t="shared" si="20"/>
        <v>85324767232</v>
      </c>
      <c r="AK40" vm="4766">
        <f t="shared" si="20"/>
        <v>103198441472</v>
      </c>
      <c r="AL40" vm="3294">
        <f t="shared" si="20"/>
        <v>117025431552</v>
      </c>
      <c r="AM40" vm="3170">
        <f t="shared" si="20"/>
        <v>134977282048</v>
      </c>
      <c r="AN40" vm="4689">
        <f t="shared" si="20"/>
        <v>171000643584</v>
      </c>
      <c r="AO40" vm="4607">
        <f t="shared" si="20"/>
        <v>137210691584</v>
      </c>
      <c r="AP40" vm="4493">
        <f t="shared" ref="AP40:AZ49" si="21">CUBEVALUE("DESKTOP-KSAPEQM AS Model",$B$1,$B$2,$B$3,$B$4,$B$5,$A$7,$A40,AP$8)</f>
        <v>161207746560</v>
      </c>
      <c r="AQ40" vm="2806">
        <f t="shared" si="21"/>
        <v>200019476480</v>
      </c>
      <c r="AR40" vm="4381">
        <f t="shared" si="21"/>
        <v>209060315136</v>
      </c>
      <c r="AS40" vm="4292">
        <f t="shared" si="21"/>
        <v>209754767360</v>
      </c>
      <c r="AT40" vm="4217">
        <f t="shared" si="21"/>
        <v>213808807936</v>
      </c>
      <c r="AU40" vm="3862">
        <f t="shared" si="21"/>
        <v>165979422720</v>
      </c>
      <c r="AV40" vm="4146">
        <f t="shared" si="21"/>
        <v>160033849344</v>
      </c>
      <c r="AW40" vm="4075">
        <f t="shared" si="21"/>
        <v>167389364224</v>
      </c>
      <c r="AX40" vm="3664">
        <f t="shared" si="21"/>
        <v>173757956096</v>
      </c>
      <c r="AY40" vm="3995">
        <f t="shared" si="21"/>
        <v>169988243456</v>
      </c>
      <c r="AZ40" vm="3897">
        <f t="shared" si="21"/>
        <v>3985852900864</v>
      </c>
    </row>
    <row r="41" spans="1:52" x14ac:dyDescent="0.45">
      <c r="A41" s="4" t="str" vm="40">
        <f>CUBEMEMBER("DESKTOP-KSAPEQM AS Model","[Geography].[Blocs].[Country].&amp;[Argentina]")</f>
        <v>Argentina</v>
      </c>
      <c r="B41" vm="5164">
        <f t="shared" si="17"/>
        <v>31584210944</v>
      </c>
      <c r="C41" vm="3293">
        <f t="shared" si="17"/>
        <v>33293199360</v>
      </c>
      <c r="D41" vm="3169">
        <f t="shared" si="17"/>
        <v>34732998656</v>
      </c>
      <c r="E41" vm="5062">
        <f t="shared" si="17"/>
        <v>52544000000</v>
      </c>
      <c r="F41" vm="4974">
        <f t="shared" si="17"/>
        <v>72436776960</v>
      </c>
      <c r="G41" vm="4901">
        <f t="shared" si="17"/>
        <v>52438646784</v>
      </c>
      <c r="H41" vm="2805">
        <f t="shared" si="17"/>
        <v>51169501184</v>
      </c>
      <c r="I41" vm="4834">
        <f t="shared" si="17"/>
        <v>56781000704</v>
      </c>
      <c r="J41" vm="4765">
        <f t="shared" si="17"/>
        <v>58082869248</v>
      </c>
      <c r="K41" vm="4688">
        <f t="shared" si="17"/>
        <v>69252325376</v>
      </c>
      <c r="L41" vm="3861">
        <f t="shared" si="18"/>
        <v>76961923072</v>
      </c>
      <c r="M41" vm="4606">
        <f t="shared" si="18"/>
        <v>78676844544</v>
      </c>
      <c r="N41" vm="4492">
        <f t="shared" si="18"/>
        <v>84307484672</v>
      </c>
      <c r="O41" vm="3663">
        <f t="shared" si="18"/>
        <v>103979106304</v>
      </c>
      <c r="P41" vm="4380">
        <f t="shared" si="18"/>
        <v>79091998720</v>
      </c>
      <c r="Q41" vm="4291">
        <f t="shared" si="18"/>
        <v>88416665600</v>
      </c>
      <c r="R41" vm="4216">
        <f t="shared" si="18"/>
        <v>110934441984</v>
      </c>
      <c r="S41" vm="3292">
        <f t="shared" si="18"/>
        <v>111106187264</v>
      </c>
      <c r="T41" vm="3168">
        <f t="shared" si="18"/>
        <v>126206820352</v>
      </c>
      <c r="U41" vm="4145">
        <f t="shared" si="18"/>
        <v>76636897280</v>
      </c>
      <c r="V41" vm="4074">
        <f t="shared" si="19"/>
        <v>141352370176</v>
      </c>
      <c r="W41" vm="3994">
        <f t="shared" si="19"/>
        <v>189719986176</v>
      </c>
      <c r="X41" vm="2804">
        <f t="shared" si="19"/>
        <v>228788617216</v>
      </c>
      <c r="Y41" vm="3896">
        <f t="shared" si="19"/>
        <v>236741722112</v>
      </c>
      <c r="Z41" vm="5163">
        <f t="shared" si="19"/>
        <v>257440006144</v>
      </c>
      <c r="AA41" vm="5061">
        <f t="shared" si="19"/>
        <v>258031747072</v>
      </c>
      <c r="AB41" vm="3860">
        <f t="shared" si="19"/>
        <v>272149757952</v>
      </c>
      <c r="AC41" vm="4973">
        <f t="shared" si="19"/>
        <v>292858986496</v>
      </c>
      <c r="AD41" vm="4900">
        <f t="shared" si="19"/>
        <v>298948263936</v>
      </c>
      <c r="AE41" vm="3662">
        <f t="shared" si="19"/>
        <v>283522990080</v>
      </c>
      <c r="AF41" vm="4833">
        <f t="shared" si="20"/>
        <v>284203745280</v>
      </c>
      <c r="AG41" vm="4764">
        <f t="shared" si="20"/>
        <v>268696748032</v>
      </c>
      <c r="AH41" vm="4687">
        <f t="shared" si="20"/>
        <v>97724006400</v>
      </c>
      <c r="AI41" vm="3291">
        <f t="shared" si="20"/>
        <v>127586975744</v>
      </c>
      <c r="AJ41" vm="3167">
        <f t="shared" si="20"/>
        <v>164657938432</v>
      </c>
      <c r="AK41" vm="4605">
        <f t="shared" si="20"/>
        <v>198737100800</v>
      </c>
      <c r="AL41" vm="4491">
        <f t="shared" si="20"/>
        <v>232557264896</v>
      </c>
      <c r="AM41" vm="4379">
        <f t="shared" si="20"/>
        <v>287530516480</v>
      </c>
      <c r="AN41" vm="2803">
        <f t="shared" si="20"/>
        <v>361558048768</v>
      </c>
      <c r="AO41" vm="4290">
        <f t="shared" si="20"/>
        <v>332976488448</v>
      </c>
      <c r="AP41" vm="4215">
        <f t="shared" si="21"/>
        <v>423627423744</v>
      </c>
      <c r="AQ41" vm="4144">
        <f t="shared" si="21"/>
        <v>530163269632</v>
      </c>
      <c r="AR41" vm="3859">
        <f t="shared" si="21"/>
        <v>545982382080</v>
      </c>
      <c r="AS41" vm="4073">
        <f t="shared" si="21"/>
        <v>552025128960</v>
      </c>
      <c r="AT41" vm="3766">
        <f t="shared" si="21"/>
        <v>526319681536</v>
      </c>
      <c r="AU41" vm="3661">
        <f t="shared" si="21"/>
        <v>594749292544</v>
      </c>
      <c r="AV41" vm="3993">
        <f t="shared" si="21"/>
        <v>557531398144</v>
      </c>
      <c r="AW41" vm="3895">
        <f t="shared" si="21"/>
        <v>642695888896</v>
      </c>
      <c r="AX41" vm="5162">
        <f t="shared" si="21"/>
        <v>519871528960</v>
      </c>
      <c r="AY41" vm="3290">
        <f t="shared" si="21"/>
        <v>449663434752</v>
      </c>
      <c r="AZ41" vm="3166">
        <f t="shared" si="21"/>
        <v>11607046608896</v>
      </c>
    </row>
    <row r="42" spans="1:52" x14ac:dyDescent="0.45">
      <c r="A42" s="4" t="str" vm="100">
        <f>CUBEMEMBER("DESKTOP-KSAPEQM AS Model","[Geography].[Blocs].[Country].&amp;[Bahamas]")</f>
        <v>Bahamas</v>
      </c>
      <c r="B42" vm="5060">
        <f t="shared" si="17"/>
        <v>538423168</v>
      </c>
      <c r="C42" vm="4972">
        <f t="shared" si="17"/>
        <v>573400000</v>
      </c>
      <c r="D42" vm="2909">
        <f t="shared" si="17"/>
        <v>590899968</v>
      </c>
      <c r="E42" vm="2802">
        <f t="shared" si="17"/>
        <v>670899968</v>
      </c>
      <c r="F42" vm="4899">
        <f t="shared" si="17"/>
        <v>632400000</v>
      </c>
      <c r="G42" vm="4832">
        <f t="shared" si="17"/>
        <v>596200000</v>
      </c>
      <c r="H42" vm="4763">
        <f t="shared" si="17"/>
        <v>642099968</v>
      </c>
      <c r="I42" vm="3858">
        <f t="shared" si="17"/>
        <v>713000000</v>
      </c>
      <c r="J42" vm="4686">
        <f t="shared" si="17"/>
        <v>832400000</v>
      </c>
      <c r="K42" vm="3765">
        <f t="shared" si="17"/>
        <v>1139800064</v>
      </c>
      <c r="L42" vm="3660">
        <f t="shared" si="18"/>
        <v>1335299968</v>
      </c>
      <c r="M42" vm="4604">
        <f t="shared" si="18"/>
        <v>1426499968</v>
      </c>
      <c r="N42" vm="4490">
        <f t="shared" si="18"/>
        <v>1578300032</v>
      </c>
      <c r="O42" vm="4378">
        <f t="shared" si="18"/>
        <v>1732800000</v>
      </c>
      <c r="P42" vm="3289">
        <f t="shared" si="18"/>
        <v>2041100032</v>
      </c>
      <c r="Q42" vm="3165">
        <f t="shared" si="18"/>
        <v>2320699904</v>
      </c>
      <c r="R42" vm="4289">
        <f t="shared" si="18"/>
        <v>2472499968</v>
      </c>
      <c r="S42" vm="4214">
        <f t="shared" si="18"/>
        <v>2713999872</v>
      </c>
      <c r="T42" vm="2908">
        <f t="shared" si="18"/>
        <v>2817900032</v>
      </c>
      <c r="U42" vm="2801">
        <f t="shared" si="18"/>
        <v>3062000128</v>
      </c>
      <c r="V42" vm="4143">
        <f t="shared" si="19"/>
        <v>3166000128</v>
      </c>
      <c r="W42" vm="4072">
        <f t="shared" si="19"/>
        <v>3111160064</v>
      </c>
      <c r="X42" vm="3992">
        <f t="shared" si="19"/>
        <v>3108999936</v>
      </c>
      <c r="Y42" vm="3857">
        <f t="shared" si="19"/>
        <v>3092000000</v>
      </c>
      <c r="Z42" vm="3894">
        <f t="shared" si="19"/>
        <v>3259000064</v>
      </c>
      <c r="AA42" vm="3764">
        <f t="shared" si="19"/>
        <v>3428999936</v>
      </c>
      <c r="AB42" vm="3659">
        <f t="shared" si="19"/>
        <v>3608999936</v>
      </c>
      <c r="AC42" vm="5161">
        <f t="shared" si="19"/>
        <v>6332360192</v>
      </c>
      <c r="AD42" vm="5059">
        <f t="shared" si="19"/>
        <v>6833220096</v>
      </c>
      <c r="AE42" vm="4971">
        <f t="shared" si="19"/>
        <v>7683870208</v>
      </c>
      <c r="AF42" vm="3288">
        <f t="shared" si="20"/>
        <v>8076469760</v>
      </c>
      <c r="AG42" vm="3164">
        <f t="shared" si="20"/>
        <v>8317830144</v>
      </c>
      <c r="AH42" vm="4898">
        <f t="shared" si="20"/>
        <v>8881160192</v>
      </c>
      <c r="AI42" vm="4831">
        <f t="shared" si="20"/>
        <v>8870089728</v>
      </c>
      <c r="AJ42" vm="2907">
        <f t="shared" si="20"/>
        <v>9055290368</v>
      </c>
      <c r="AK42" vm="2800">
        <f t="shared" si="20"/>
        <v>9836199936</v>
      </c>
      <c r="AL42" vm="4762">
        <f t="shared" si="20"/>
        <v>10167249920</v>
      </c>
      <c r="AM42" vm="4685">
        <f t="shared" si="20"/>
        <v>10618340352</v>
      </c>
      <c r="AN42" vm="4603">
        <f t="shared" si="20"/>
        <v>10526000128</v>
      </c>
      <c r="AO42" vm="3856">
        <f t="shared" si="20"/>
        <v>9981960192</v>
      </c>
      <c r="AP42" vm="4489">
        <f t="shared" si="21"/>
        <v>10095760384</v>
      </c>
      <c r="AQ42" vm="3763">
        <f t="shared" si="21"/>
        <v>10070450176</v>
      </c>
      <c r="AR42" vm="3658">
        <f t="shared" si="21"/>
        <v>10720499712</v>
      </c>
      <c r="AS42" vm="4377">
        <f t="shared" si="21"/>
        <v>10562700288</v>
      </c>
      <c r="AT42" vm="4288">
        <f t="shared" si="21"/>
        <v>10913300480</v>
      </c>
      <c r="AU42" vm="4213">
        <f t="shared" si="21"/>
        <v>11752299520</v>
      </c>
      <c r="AV42" vm="3287">
        <f t="shared" si="21"/>
        <v>11938400256</v>
      </c>
      <c r="AW42" vm="3163">
        <f t="shared" si="21"/>
        <v>12150400000</v>
      </c>
      <c r="AX42" vm="4142">
        <f t="shared" si="21"/>
        <v>12424500224</v>
      </c>
      <c r="AY42" vm="4071">
        <f t="shared" si="21"/>
        <v>12826999808</v>
      </c>
      <c r="AZ42" vm="2906">
        <f t="shared" si="21"/>
        <v>279841135168</v>
      </c>
    </row>
    <row r="43" spans="1:52" x14ac:dyDescent="0.45">
      <c r="A43" s="4" t="str" vm="91">
        <f>CUBEMEMBER("DESKTOP-KSAPEQM AS Model","[Geography].[Blocs].[Country].&amp;[Bangladesh]")</f>
        <v>Bangladesh</v>
      </c>
      <c r="B43" vm="2799">
        <f t="shared" si="17"/>
        <v>8992721920</v>
      </c>
      <c r="C43" vm="3991">
        <f t="shared" si="17"/>
        <v>8751843328</v>
      </c>
      <c r="D43" vm="3893">
        <f t="shared" si="17"/>
        <v>6288245760</v>
      </c>
      <c r="E43" vm="2549">
        <f t="shared" si="17"/>
        <v>8086725632</v>
      </c>
      <c r="F43" vm="3855">
        <f t="shared" si="17"/>
        <v>12512460800</v>
      </c>
      <c r="G43" vm="5160">
        <f t="shared" si="17"/>
        <v>19448348672</v>
      </c>
      <c r="H43" vm="3762">
        <f t="shared" si="17"/>
        <v>10117112832</v>
      </c>
      <c r="I43" vm="3657">
        <f t="shared" si="17"/>
        <v>9651148800</v>
      </c>
      <c r="J43" vm="5058">
        <f t="shared" si="17"/>
        <v>13281767424</v>
      </c>
      <c r="K43" vm="4970">
        <f t="shared" si="17"/>
        <v>15565479936</v>
      </c>
      <c r="L43" vm="4897">
        <f t="shared" si="18"/>
        <v>18138048512</v>
      </c>
      <c r="M43" vm="3286">
        <f t="shared" si="18"/>
        <v>20249694208</v>
      </c>
      <c r="N43" vm="3162">
        <f t="shared" si="18"/>
        <v>18525399040</v>
      </c>
      <c r="O43" vm="4830">
        <f t="shared" si="18"/>
        <v>17609048064</v>
      </c>
      <c r="P43" vm="4761">
        <f t="shared" si="18"/>
        <v>18920839168</v>
      </c>
      <c r="Q43" vm="2905">
        <f t="shared" si="18"/>
        <v>22278422528</v>
      </c>
      <c r="R43" vm="2798">
        <f t="shared" si="18"/>
        <v>21774032896</v>
      </c>
      <c r="S43" vm="4684">
        <f t="shared" si="18"/>
        <v>24298033152</v>
      </c>
      <c r="T43" vm="4602">
        <f t="shared" si="18"/>
        <v>26579005440</v>
      </c>
      <c r="U43" vm="2548">
        <f t="shared" si="18"/>
        <v>28781715456</v>
      </c>
      <c r="V43" vm="3854">
        <f t="shared" si="19"/>
        <v>31598342144</v>
      </c>
      <c r="W43" vm="4488">
        <f t="shared" si="19"/>
        <v>30957484032</v>
      </c>
      <c r="X43" vm="3761">
        <f t="shared" si="19"/>
        <v>31708874752</v>
      </c>
      <c r="Y43" vm="3656">
        <f t="shared" si="19"/>
        <v>33166520320</v>
      </c>
      <c r="Z43" vm="4376">
        <f t="shared" si="19"/>
        <v>33768660992</v>
      </c>
      <c r="AA43" vm="4287">
        <f t="shared" si="19"/>
        <v>37939748864</v>
      </c>
      <c r="AB43" vm="3412">
        <f t="shared" si="19"/>
        <v>46438486016</v>
      </c>
      <c r="AC43" vm="3285">
        <f t="shared" si="19"/>
        <v>48244310016</v>
      </c>
      <c r="AD43" vm="3161">
        <f t="shared" si="19"/>
        <v>49984561152</v>
      </c>
      <c r="AE43" vm="4212">
        <f t="shared" si="19"/>
        <v>51270569984</v>
      </c>
      <c r="AF43" vm="4141">
        <f t="shared" si="20"/>
        <v>53369786368</v>
      </c>
      <c r="AG43" vm="2904">
        <f t="shared" si="20"/>
        <v>53991288832</v>
      </c>
      <c r="AH43" vm="2797">
        <f t="shared" si="20"/>
        <v>54724079616</v>
      </c>
      <c r="AI43" vm="4070">
        <f t="shared" si="20"/>
        <v>60158930944</v>
      </c>
      <c r="AJ43" vm="3990">
        <f t="shared" si="20"/>
        <v>65108545536</v>
      </c>
      <c r="AK43" vm="2547">
        <f t="shared" si="20"/>
        <v>69442945024</v>
      </c>
      <c r="AL43" vm="3853">
        <f t="shared" si="20"/>
        <v>71819083776</v>
      </c>
      <c r="AM43" vm="3892">
        <f t="shared" si="20"/>
        <v>79611887616</v>
      </c>
      <c r="AN43" vm="3760">
        <f t="shared" si="20"/>
        <v>91631280128</v>
      </c>
      <c r="AO43" vm="3655">
        <f t="shared" si="20"/>
        <v>102477791232</v>
      </c>
      <c r="AP43" vm="5159">
        <f t="shared" si="21"/>
        <v>115279077376</v>
      </c>
      <c r="AQ43" vm="5057">
        <f t="shared" si="21"/>
        <v>128637935616</v>
      </c>
      <c r="AR43" vm="3411">
        <f t="shared" si="21"/>
        <v>133355749376</v>
      </c>
      <c r="AS43" vm="3284">
        <f t="shared" si="21"/>
        <v>149990457344</v>
      </c>
      <c r="AT43" vm="3160">
        <f t="shared" si="21"/>
        <v>172885458944</v>
      </c>
      <c r="AU43" vm="4969">
        <f t="shared" si="21"/>
        <v>195078684672</v>
      </c>
      <c r="AV43" vm="4896">
        <f t="shared" si="21"/>
        <v>221415161856</v>
      </c>
      <c r="AW43" vm="2903">
        <f t="shared" si="21"/>
        <v>249711050752</v>
      </c>
      <c r="AX43" vm="2796">
        <f t="shared" si="21"/>
        <v>274039095296</v>
      </c>
      <c r="AY43" vm="4829">
        <f t="shared" si="21"/>
        <v>302571257856</v>
      </c>
      <c r="AZ43" vm="4760">
        <f t="shared" si="21"/>
        <v>3370227200000</v>
      </c>
    </row>
    <row r="44" spans="1:52" x14ac:dyDescent="0.45">
      <c r="A44" s="4" t="str" vm="82">
        <f>CUBEMEMBER("DESKTOP-KSAPEQM AS Model","[Geography].[Blocs].[Country].&amp;[Belize]")</f>
        <v>Belize</v>
      </c>
      <c r="B44" vm="2546">
        <f t="shared" si="17"/>
        <v>53233532</v>
      </c>
      <c r="C44" vm="3852">
        <f t="shared" si="17"/>
        <v>59207316</v>
      </c>
      <c r="D44" vm="4683">
        <f t="shared" si="17"/>
        <v>66062500</v>
      </c>
      <c r="E44" vm="3759">
        <f t="shared" si="17"/>
        <v>78343560</v>
      </c>
      <c r="F44" vm="3654">
        <f t="shared" si="17"/>
        <v>103216376</v>
      </c>
      <c r="G44" vm="4601">
        <f t="shared" si="17"/>
        <v>118066296</v>
      </c>
      <c r="H44" vm="4487">
        <f t="shared" si="17"/>
        <v>96905832</v>
      </c>
      <c r="I44" vm="3410">
        <f t="shared" si="17"/>
        <v>117650000</v>
      </c>
      <c r="J44" vm="3283">
        <f t="shared" si="17"/>
        <v>136300000</v>
      </c>
      <c r="K44" vm="3159">
        <f t="shared" si="17"/>
        <v>151800000</v>
      </c>
      <c r="L44" vm="4375">
        <f t="shared" si="18"/>
        <v>197938224</v>
      </c>
      <c r="M44" vm="4286">
        <f t="shared" si="18"/>
        <v>196089856</v>
      </c>
      <c r="N44" vm="2902">
        <f t="shared" si="18"/>
        <v>182206320</v>
      </c>
      <c r="O44" vm="2795">
        <f t="shared" si="18"/>
        <v>192103184</v>
      </c>
      <c r="P44" vm="4211">
        <f t="shared" si="18"/>
        <v>214381952</v>
      </c>
      <c r="Q44" vm="4140">
        <f t="shared" si="18"/>
        <v>212643744</v>
      </c>
      <c r="R44" vm="2545">
        <f t="shared" si="18"/>
        <v>231638320</v>
      </c>
      <c r="S44" vm="3851">
        <f t="shared" si="18"/>
        <v>281082560</v>
      </c>
      <c r="T44" vm="4069">
        <f t="shared" si="18"/>
        <v>320093376</v>
      </c>
      <c r="U44" vm="3758">
        <f t="shared" si="18"/>
        <v>369133888</v>
      </c>
      <c r="V44" vm="3653">
        <f t="shared" si="19"/>
        <v>412086432</v>
      </c>
      <c r="W44" vm="3989">
        <f t="shared" si="19"/>
        <v>444720736</v>
      </c>
      <c r="X44" vm="3891">
        <f t="shared" si="19"/>
        <v>518239104</v>
      </c>
      <c r="Y44" vm="3409">
        <f t="shared" si="19"/>
        <v>559858240</v>
      </c>
      <c r="Z44" vm="3282">
        <f t="shared" si="19"/>
        <v>580863680</v>
      </c>
      <c r="AA44" vm="3158">
        <f t="shared" si="19"/>
        <v>620140416</v>
      </c>
      <c r="AB44" vm="5158">
        <f t="shared" si="19"/>
        <v>641383808</v>
      </c>
      <c r="AC44" vm="5056">
        <f t="shared" si="19"/>
        <v>654314368</v>
      </c>
      <c r="AD44" vm="2901">
        <f t="shared" si="19"/>
        <v>688992448</v>
      </c>
      <c r="AE44" vm="2794">
        <f t="shared" si="19"/>
        <v>732732352</v>
      </c>
      <c r="AF44" vm="4968">
        <f t="shared" si="20"/>
        <v>832049984</v>
      </c>
      <c r="AG44" vm="4895">
        <f t="shared" si="20"/>
        <v>868350016</v>
      </c>
      <c r="AH44" vm="2544">
        <f t="shared" si="20"/>
        <v>925049984</v>
      </c>
      <c r="AI44" vm="3850">
        <f t="shared" si="20"/>
        <v>983500032</v>
      </c>
      <c r="AJ44" vm="4828">
        <f t="shared" si="20"/>
        <v>1051350016</v>
      </c>
      <c r="AK44" vm="3757">
        <f t="shared" si="20"/>
        <v>1102050048</v>
      </c>
      <c r="AL44" vm="3652">
        <f t="shared" si="20"/>
        <v>1210150016</v>
      </c>
      <c r="AM44" vm="4759">
        <f t="shared" si="20"/>
        <v>1271600000</v>
      </c>
      <c r="AN44" vm="4682">
        <f t="shared" si="20"/>
        <v>1351350016</v>
      </c>
      <c r="AO44" vm="3408">
        <f t="shared" si="20"/>
        <v>1317299968</v>
      </c>
      <c r="AP44" vm="3281">
        <f t="shared" si="21"/>
        <v>1377200000</v>
      </c>
      <c r="AQ44" vm="3157">
        <f t="shared" si="21"/>
        <v>1460800000</v>
      </c>
      <c r="AR44" vm="4600">
        <f t="shared" si="21"/>
        <v>1522899968</v>
      </c>
      <c r="AS44" vm="4486">
        <f t="shared" si="21"/>
        <v>1579399936</v>
      </c>
      <c r="AT44" vm="2900">
        <f t="shared" si="21"/>
        <v>1662800000</v>
      </c>
      <c r="AU44" vm="2793">
        <f t="shared" si="21"/>
        <v>1723800064</v>
      </c>
      <c r="AV44" vm="4374">
        <f t="shared" si="21"/>
        <v>1775100032</v>
      </c>
      <c r="AW44" vm="4285">
        <f t="shared" si="21"/>
        <v>1836600064</v>
      </c>
      <c r="AX44" vm="2543">
        <f t="shared" si="21"/>
        <v>1871200000</v>
      </c>
      <c r="AY44" vm="3849">
        <f t="shared" si="21"/>
        <v>1879613568</v>
      </c>
      <c r="AZ44" vm="4210">
        <f t="shared" si="21"/>
        <v>36833592132</v>
      </c>
    </row>
    <row r="45" spans="1:52" x14ac:dyDescent="0.45">
      <c r="A45" s="4" t="str" vm="73">
        <f>CUBEMEMBER("DESKTOP-KSAPEQM AS Model","[Geography].[Blocs].[Country].&amp;[Benin]")</f>
        <v>Benin</v>
      </c>
      <c r="B45" vm="3756">
        <f t="shared" si="17"/>
        <v>333627744</v>
      </c>
      <c r="C45" vm="3651">
        <f t="shared" si="17"/>
        <v>335072960</v>
      </c>
      <c r="D45" vm="4139">
        <f t="shared" si="17"/>
        <v>410331904</v>
      </c>
      <c r="E45" vm="4068">
        <f t="shared" si="17"/>
        <v>504376032</v>
      </c>
      <c r="F45" vm="3407">
        <f t="shared" si="17"/>
        <v>554654784</v>
      </c>
      <c r="G45" vm="3280">
        <f t="shared" si="17"/>
        <v>676870144</v>
      </c>
      <c r="H45" vm="3156">
        <f t="shared" si="17"/>
        <v>698408256</v>
      </c>
      <c r="I45" vm="3988">
        <f t="shared" si="17"/>
        <v>750049728</v>
      </c>
      <c r="J45" vm="3890">
        <f t="shared" si="17"/>
        <v>928843328</v>
      </c>
      <c r="K45" vm="2899">
        <f t="shared" si="17"/>
        <v>1186231296</v>
      </c>
      <c r="L45" vm="2792">
        <f t="shared" si="18"/>
        <v>1405251584</v>
      </c>
      <c r="M45" vm="5157">
        <f t="shared" si="18"/>
        <v>1291120000</v>
      </c>
      <c r="N45" vm="5055">
        <f t="shared" si="18"/>
        <v>1267778432</v>
      </c>
      <c r="O45" vm="2542">
        <f t="shared" si="18"/>
        <v>1095348352</v>
      </c>
      <c r="P45" vm="3848">
        <f t="shared" si="18"/>
        <v>1051133952</v>
      </c>
      <c r="Q45" vm="4967">
        <f t="shared" si="18"/>
        <v>1045712704</v>
      </c>
      <c r="R45" vm="3755">
        <f t="shared" si="18"/>
        <v>1336102016</v>
      </c>
      <c r="S45" vm="3650">
        <f t="shared" si="18"/>
        <v>1562412032</v>
      </c>
      <c r="T45" vm="4894">
        <f t="shared" si="18"/>
        <v>1620246144</v>
      </c>
      <c r="U45" vm="4827">
        <f t="shared" si="18"/>
        <v>1502294400</v>
      </c>
      <c r="V45" vm="3406">
        <f t="shared" si="19"/>
        <v>1959965184</v>
      </c>
      <c r="W45" vm="3279">
        <f t="shared" si="19"/>
        <v>1986437888</v>
      </c>
      <c r="X45" vm="3155">
        <f t="shared" si="19"/>
        <v>1695315328</v>
      </c>
      <c r="Y45" vm="3073">
        <f t="shared" si="19"/>
        <v>2274557952</v>
      </c>
      <c r="Z45" vm="2991">
        <f t="shared" si="19"/>
        <v>1598075904</v>
      </c>
      <c r="AA45" vm="2898">
        <f t="shared" si="19"/>
        <v>2169627136</v>
      </c>
      <c r="AB45" vm="2791">
        <f t="shared" si="19"/>
        <v>2361116672</v>
      </c>
      <c r="AC45" vm="4758">
        <f t="shared" si="19"/>
        <v>2268301568</v>
      </c>
      <c r="AD45" vm="4681">
        <f t="shared" si="19"/>
        <v>2455092480</v>
      </c>
      <c r="AE45" vm="2541">
        <f t="shared" si="19"/>
        <v>3676045568</v>
      </c>
      <c r="AF45" vm="3847">
        <f t="shared" si="20"/>
        <v>3511248896</v>
      </c>
      <c r="AG45" vm="4599">
        <f t="shared" si="20"/>
        <v>3663017728</v>
      </c>
      <c r="AH45" vm="3754">
        <f t="shared" si="20"/>
        <v>4174634496</v>
      </c>
      <c r="AI45" vm="3649">
        <f t="shared" si="20"/>
        <v>5337266688</v>
      </c>
      <c r="AJ45" vm="4485">
        <f t="shared" si="20"/>
        <v>6179176448</v>
      </c>
      <c r="AK45" vm="4373">
        <f t="shared" si="20"/>
        <v>6565043712</v>
      </c>
      <c r="AL45" vm="3405">
        <f t="shared" si="20"/>
        <v>7027863040</v>
      </c>
      <c r="AM45" vm="3278">
        <f t="shared" si="20"/>
        <v>8158257664</v>
      </c>
      <c r="AN45" vm="3154">
        <f t="shared" si="20"/>
        <v>9748277248</v>
      </c>
      <c r="AO45" vm="3072">
        <f t="shared" si="20"/>
        <v>9699587072</v>
      </c>
      <c r="AP45" vm="2990">
        <f t="shared" si="21"/>
        <v>9535344640</v>
      </c>
      <c r="AQ45" vm="2897">
        <f t="shared" si="21"/>
        <v>10693321728</v>
      </c>
      <c r="AR45" vm="2790">
        <f t="shared" si="21"/>
        <v>11141358592</v>
      </c>
      <c r="AS45" vm="4284">
        <f t="shared" si="21"/>
        <v>12517846016</v>
      </c>
      <c r="AT45" vm="4209">
        <f t="shared" si="21"/>
        <v>13284529152</v>
      </c>
      <c r="AU45" vm="2540">
        <f t="shared" si="21"/>
        <v>11388161024</v>
      </c>
      <c r="AV45" vm="3846">
        <f t="shared" si="21"/>
        <v>11821066240</v>
      </c>
      <c r="AW45" vm="4138">
        <f t="shared" si="21"/>
        <v>12701657088</v>
      </c>
      <c r="AX45" vm="3753">
        <f t="shared" si="21"/>
        <v>14250985472</v>
      </c>
      <c r="AY45" vm="3648">
        <f t="shared" si="21"/>
        <v>14390709248</v>
      </c>
      <c r="AZ45" vm="4067">
        <f t="shared" si="21"/>
        <v>227789753664</v>
      </c>
    </row>
    <row r="46" spans="1:52" x14ac:dyDescent="0.45">
      <c r="A46" s="4" t="str" vm="68">
        <f>CUBEMEMBER("DESKTOP-KSAPEQM AS Model","[Geography].[Blocs].[Country].&amp;[Bolivia]")</f>
        <v>Bolivia</v>
      </c>
      <c r="B46" vm="3987">
        <f t="shared" si="17"/>
        <v>1017003392</v>
      </c>
      <c r="C46" vm="3404">
        <f t="shared" si="17"/>
        <v>1095622912</v>
      </c>
      <c r="D46" vm="3277">
        <f t="shared" si="17"/>
        <v>1257615616</v>
      </c>
      <c r="E46" vm="3153">
        <f t="shared" si="17"/>
        <v>1262968576</v>
      </c>
      <c r="F46" vm="3071">
        <f t="shared" si="17"/>
        <v>2100249856</v>
      </c>
      <c r="G46" vm="2989">
        <f t="shared" si="17"/>
        <v>2404697600</v>
      </c>
      <c r="H46" vm="2896">
        <f t="shared" si="17"/>
        <v>2731984128</v>
      </c>
      <c r="I46" vm="2789">
        <f t="shared" si="17"/>
        <v>3227436288</v>
      </c>
      <c r="J46" vm="2709">
        <f t="shared" si="17"/>
        <v>3758220800</v>
      </c>
      <c r="K46" vm="2629">
        <f t="shared" si="17"/>
        <v>4421343744</v>
      </c>
      <c r="L46" vm="2539">
        <f t="shared" si="18"/>
        <v>4526916608</v>
      </c>
      <c r="M46" vm="3845">
        <f t="shared" si="18"/>
        <v>5872756736</v>
      </c>
      <c r="N46" vm="3889">
        <f t="shared" si="18"/>
        <v>5587490304</v>
      </c>
      <c r="O46" vm="3752">
        <f t="shared" si="18"/>
        <v>5422440960</v>
      </c>
      <c r="P46" vm="3647">
        <f t="shared" si="18"/>
        <v>6169501184</v>
      </c>
      <c r="Q46" vm="3568">
        <f t="shared" si="18"/>
        <v>5377277440</v>
      </c>
      <c r="R46" vm="5156">
        <f t="shared" si="18"/>
        <v>3958338816</v>
      </c>
      <c r="S46" vm="3403">
        <f t="shared" si="18"/>
        <v>4323623424</v>
      </c>
      <c r="T46" vm="3276">
        <f t="shared" si="18"/>
        <v>4597615616</v>
      </c>
      <c r="U46" vm="3152">
        <f t="shared" si="18"/>
        <v>4715978752</v>
      </c>
      <c r="V46" vm="3070">
        <f t="shared" si="19"/>
        <v>4867582464</v>
      </c>
      <c r="W46" vm="2988">
        <f t="shared" si="19"/>
        <v>5343274496</v>
      </c>
      <c r="X46" vm="2895">
        <f t="shared" si="19"/>
        <v>5643893248</v>
      </c>
      <c r="Y46" vm="2788">
        <f t="shared" si="19"/>
        <v>5734676480</v>
      </c>
      <c r="Z46" vm="2708">
        <f t="shared" si="19"/>
        <v>5981244928</v>
      </c>
      <c r="AA46" vm="2628">
        <f t="shared" si="19"/>
        <v>6715220480</v>
      </c>
      <c r="AB46" vm="2538">
        <f t="shared" si="19"/>
        <v>7396966912</v>
      </c>
      <c r="AC46" vm="3844">
        <f t="shared" si="19"/>
        <v>7925673472</v>
      </c>
      <c r="AD46" vm="5054">
        <f t="shared" si="19"/>
        <v>8497545728</v>
      </c>
      <c r="AE46" vm="3751">
        <f t="shared" si="19"/>
        <v>8285075968</v>
      </c>
      <c r="AF46" vm="3646">
        <f t="shared" si="20"/>
        <v>8397912576</v>
      </c>
      <c r="AG46" vm="3567">
        <f t="shared" si="20"/>
        <v>8141537792</v>
      </c>
      <c r="AH46" vm="4966">
        <f t="shared" si="20"/>
        <v>7905485312</v>
      </c>
      <c r="AI46" vm="3402">
        <f t="shared" si="20"/>
        <v>8082364928</v>
      </c>
      <c r="AJ46" vm="3275">
        <f t="shared" si="20"/>
        <v>8773451776</v>
      </c>
      <c r="AK46" vm="3151">
        <f t="shared" si="20"/>
        <v>9549077504</v>
      </c>
      <c r="AL46" vm="3069">
        <f t="shared" si="20"/>
        <v>11451869184</v>
      </c>
      <c r="AM46" vm="2987">
        <f t="shared" si="20"/>
        <v>13120183296</v>
      </c>
      <c r="AN46" vm="2894">
        <f t="shared" si="20"/>
        <v>16674324480</v>
      </c>
      <c r="AO46" vm="2787">
        <f t="shared" si="20"/>
        <v>17339992064</v>
      </c>
      <c r="AP46" vm="2707">
        <f t="shared" si="21"/>
        <v>19649632256</v>
      </c>
      <c r="AQ46" vm="2627">
        <f t="shared" si="21"/>
        <v>23963033600</v>
      </c>
      <c r="AR46" vm="2537">
        <f t="shared" si="21"/>
        <v>27084496896</v>
      </c>
      <c r="AS46" vm="3843">
        <f t="shared" si="21"/>
        <v>30659338240</v>
      </c>
      <c r="AT46" vm="4893">
        <f t="shared" si="21"/>
        <v>32996188160</v>
      </c>
      <c r="AU46" vm="3750">
        <f t="shared" si="21"/>
        <v>33000198144</v>
      </c>
      <c r="AV46" vm="3645">
        <f t="shared" si="21"/>
        <v>33941127168</v>
      </c>
      <c r="AW46" vm="3566">
        <f t="shared" si="21"/>
        <v>37508640768</v>
      </c>
      <c r="AX46" vm="3489">
        <f t="shared" si="21"/>
        <v>40287649792</v>
      </c>
      <c r="AY46" vm="3401">
        <f t="shared" si="21"/>
        <v>40895324160</v>
      </c>
      <c r="AZ46" vm="3274">
        <f t="shared" si="21"/>
        <v>569642065024</v>
      </c>
    </row>
    <row r="47" spans="1:52" x14ac:dyDescent="0.45">
      <c r="A47" s="4" t="str" vm="18">
        <f>CUBEMEMBER("DESKTOP-KSAPEQM AS Model","[Geography].[Blocs].[Country].&amp;[Botswana]")</f>
        <v>Botswana</v>
      </c>
      <c r="B47" vm="3150">
        <f t="shared" si="17"/>
        <v>96245112</v>
      </c>
      <c r="C47" vm="3068">
        <f t="shared" si="17"/>
        <v>126957496</v>
      </c>
      <c r="D47" vm="2986">
        <f t="shared" si="17"/>
        <v>165258096</v>
      </c>
      <c r="E47" vm="2893">
        <f t="shared" si="17"/>
        <v>244129088</v>
      </c>
      <c r="F47" vm="2786">
        <f t="shared" si="17"/>
        <v>306033856</v>
      </c>
      <c r="G47" vm="2706">
        <f t="shared" si="17"/>
        <v>355172416</v>
      </c>
      <c r="H47" vm="2626">
        <f t="shared" si="17"/>
        <v>372010112</v>
      </c>
      <c r="I47" vm="2536">
        <f t="shared" si="17"/>
        <v>451603328</v>
      </c>
      <c r="J47" vm="3842">
        <f t="shared" si="17"/>
        <v>590376704</v>
      </c>
      <c r="K47" vm="4826">
        <f t="shared" si="17"/>
        <v>819877312</v>
      </c>
      <c r="L47" vm="3749">
        <f t="shared" si="18"/>
        <v>1060923840</v>
      </c>
      <c r="M47" vm="3644">
        <f t="shared" si="18"/>
        <v>1073861632</v>
      </c>
      <c r="N47" vm="3565">
        <f t="shared" si="18"/>
        <v>1014907264</v>
      </c>
      <c r="O47" vm="3488">
        <f t="shared" si="18"/>
        <v>1172258176</v>
      </c>
      <c r="P47" vm="3400">
        <f t="shared" si="18"/>
        <v>1240796416</v>
      </c>
      <c r="Q47" vm="3273">
        <f t="shared" si="18"/>
        <v>1114764032</v>
      </c>
      <c r="R47" vm="3149">
        <f t="shared" si="18"/>
        <v>1392634752</v>
      </c>
      <c r="S47" vm="3067">
        <f t="shared" si="18"/>
        <v>1965274880</v>
      </c>
      <c r="T47" vm="2985">
        <f t="shared" si="18"/>
        <v>2644536832</v>
      </c>
      <c r="U47" vm="2892">
        <f t="shared" si="18"/>
        <v>3083800576</v>
      </c>
      <c r="V47" vm="2785">
        <f t="shared" si="19"/>
        <v>3790567168</v>
      </c>
      <c r="W47" vm="2705">
        <f t="shared" si="19"/>
        <v>3942792960</v>
      </c>
      <c r="X47" vm="2625">
        <f t="shared" si="19"/>
        <v>4146513664</v>
      </c>
      <c r="Y47" vm="2535">
        <f t="shared" si="19"/>
        <v>4160086272</v>
      </c>
      <c r="Z47" vm="3841">
        <f t="shared" si="19"/>
        <v>4259331072</v>
      </c>
      <c r="AA47" vm="4757">
        <f t="shared" si="19"/>
        <v>4730611200</v>
      </c>
      <c r="AB47" vm="3748">
        <f t="shared" si="19"/>
        <v>4847752704</v>
      </c>
      <c r="AC47" vm="3643">
        <f t="shared" si="19"/>
        <v>5020214784</v>
      </c>
      <c r="AD47" vm="3564">
        <f t="shared" si="19"/>
        <v>4790458880</v>
      </c>
      <c r="AE47" vm="3487">
        <f t="shared" si="19"/>
        <v>5484257280</v>
      </c>
      <c r="AF47" vm="3399">
        <f t="shared" si="20"/>
        <v>5788329472</v>
      </c>
      <c r="AG47" vm="3272">
        <f t="shared" si="20"/>
        <v>5489608192</v>
      </c>
      <c r="AH47" vm="3148">
        <f t="shared" si="20"/>
        <v>5438857216</v>
      </c>
      <c r="AI47" vm="3066">
        <f t="shared" si="20"/>
        <v>7511582208</v>
      </c>
      <c r="AJ47" vm="2984">
        <f t="shared" si="20"/>
        <v>8957467648</v>
      </c>
      <c r="AK47" vm="2891">
        <f t="shared" si="20"/>
        <v>9931134976</v>
      </c>
      <c r="AL47" vm="2784">
        <f t="shared" si="20"/>
        <v>10126940160</v>
      </c>
      <c r="AM47" vm="2704">
        <f t="shared" si="20"/>
        <v>10939053056</v>
      </c>
      <c r="AN47" vm="2624">
        <f t="shared" si="20"/>
        <v>10945070080</v>
      </c>
      <c r="AO47" vm="2534">
        <f t="shared" si="20"/>
        <v>10267132928</v>
      </c>
      <c r="AP47" vm="3840">
        <f t="shared" si="21"/>
        <v>12786654208</v>
      </c>
      <c r="AQ47" vm="4680">
        <f t="shared" si="21"/>
        <v>15351971840</v>
      </c>
      <c r="AR47" vm="3747">
        <f t="shared" si="21"/>
        <v>14420393984</v>
      </c>
      <c r="AS47" vm="3642">
        <f t="shared" si="21"/>
        <v>14901750784</v>
      </c>
      <c r="AT47" vm="3563">
        <f t="shared" si="21"/>
        <v>16250749952</v>
      </c>
      <c r="AU47" vm="3486">
        <f t="shared" si="21"/>
        <v>14420603904</v>
      </c>
      <c r="AV47" vm="3398">
        <f t="shared" si="21"/>
        <v>15646316544</v>
      </c>
      <c r="AW47" vm="3271">
        <f t="shared" si="21"/>
        <v>17405538304</v>
      </c>
      <c r="AX47" vm="3147">
        <f t="shared" si="21"/>
        <v>18663264256</v>
      </c>
      <c r="AY47" vm="3065">
        <f t="shared" si="21"/>
        <v>18340511744</v>
      </c>
      <c r="AZ47" vm="2983">
        <f t="shared" si="21"/>
        <v>308046939360</v>
      </c>
    </row>
    <row r="48" spans="1:52" x14ac:dyDescent="0.45">
      <c r="A48" s="4" t="str" vm="25">
        <f>CUBEMEMBER("DESKTOP-KSAPEQM AS Model","[Geography].[Blocs].[Country].&amp;[Brazil]")</f>
        <v>Brazil</v>
      </c>
      <c r="B48" vm="2890">
        <f t="shared" si="17"/>
        <v>42327601152</v>
      </c>
      <c r="C48" vm="2783">
        <f t="shared" si="17"/>
        <v>49204457472</v>
      </c>
      <c r="D48" vm="2703">
        <f t="shared" si="17"/>
        <v>58539008000</v>
      </c>
      <c r="E48" vm="2623">
        <f t="shared" si="17"/>
        <v>79279054848</v>
      </c>
      <c r="F48" vm="2533">
        <f t="shared" si="17"/>
        <v>105136005120</v>
      </c>
      <c r="G48" vm="3839">
        <f t="shared" si="17"/>
        <v>123709374464</v>
      </c>
      <c r="H48" vm="4598">
        <f t="shared" si="17"/>
        <v>152678023168</v>
      </c>
      <c r="I48" vm="3746">
        <f t="shared" si="17"/>
        <v>176171286528</v>
      </c>
      <c r="J48" vm="3641">
        <f t="shared" si="17"/>
        <v>200800894976</v>
      </c>
      <c r="K48" vm="3562">
        <f t="shared" si="17"/>
        <v>224969490432</v>
      </c>
      <c r="L48" vm="3485">
        <f t="shared" si="18"/>
        <v>235024596992</v>
      </c>
      <c r="M48" vm="3397">
        <f t="shared" si="18"/>
        <v>263561084928</v>
      </c>
      <c r="N48" vm="3270">
        <f t="shared" si="18"/>
        <v>281682313216</v>
      </c>
      <c r="O48" vm="3146">
        <f t="shared" si="18"/>
        <v>203304517632</v>
      </c>
      <c r="P48" vm="3064">
        <f t="shared" si="18"/>
        <v>209023909888</v>
      </c>
      <c r="Q48" vm="2982">
        <f t="shared" si="18"/>
        <v>222942789632</v>
      </c>
      <c r="R48" vm="2889">
        <f t="shared" si="18"/>
        <v>268137218048</v>
      </c>
      <c r="S48" vm="2782">
        <f t="shared" si="18"/>
        <v>294084116480</v>
      </c>
      <c r="T48" vm="2702">
        <f t="shared" si="18"/>
        <v>330397384704</v>
      </c>
      <c r="U48" vm="2622">
        <f t="shared" si="18"/>
        <v>425595305984</v>
      </c>
      <c r="V48" vm="2532">
        <f t="shared" si="19"/>
        <v>461951795200</v>
      </c>
      <c r="W48" vm="3838">
        <f t="shared" si="19"/>
        <v>602860027904</v>
      </c>
      <c r="X48" vm="4484">
        <f t="shared" si="19"/>
        <v>400599252992</v>
      </c>
      <c r="Y48" vm="3745">
        <f t="shared" si="19"/>
        <v>437798567936</v>
      </c>
      <c r="Z48" vm="3640">
        <f t="shared" si="19"/>
        <v>558111981568</v>
      </c>
      <c r="AA48" vm="3561">
        <f t="shared" si="19"/>
        <v>769305411584</v>
      </c>
      <c r="AB48" vm="3484">
        <f t="shared" si="19"/>
        <v>850426462208</v>
      </c>
      <c r="AC48" vm="3396">
        <f t="shared" si="19"/>
        <v>883199639552</v>
      </c>
      <c r="AD48" vm="3269">
        <f t="shared" si="19"/>
        <v>863723388928</v>
      </c>
      <c r="AE48" vm="3145">
        <f t="shared" si="19"/>
        <v>599388585984</v>
      </c>
      <c r="AF48" vm="3063">
        <f t="shared" si="20"/>
        <v>655420620800</v>
      </c>
      <c r="AG48" vm="2981">
        <f t="shared" si="20"/>
        <v>559372304384</v>
      </c>
      <c r="AH48" vm="2888">
        <f t="shared" si="20"/>
        <v>507962490880</v>
      </c>
      <c r="AI48" vm="2781">
        <f t="shared" si="20"/>
        <v>558319927296</v>
      </c>
      <c r="AJ48" vm="2701">
        <f t="shared" si="20"/>
        <v>669316677632</v>
      </c>
      <c r="AK48" vm="2621">
        <f t="shared" si="20"/>
        <v>891630190592</v>
      </c>
      <c r="AL48" vm="2531">
        <f t="shared" si="20"/>
        <v>1107640320000</v>
      </c>
      <c r="AM48" vm="3837">
        <f t="shared" si="20"/>
        <v>1397084389376</v>
      </c>
      <c r="AN48" vm="4372">
        <f t="shared" si="20"/>
        <v>1695824609280</v>
      </c>
      <c r="AO48" vm="3744">
        <f t="shared" si="20"/>
        <v>1667019833344</v>
      </c>
      <c r="AP48" vm="3639">
        <f t="shared" si="21"/>
        <v>2208871743488</v>
      </c>
      <c r="AQ48" vm="3560">
        <f t="shared" si="21"/>
        <v>2616201052160</v>
      </c>
      <c r="AR48" vm="3483">
        <f t="shared" si="21"/>
        <v>2465188544512</v>
      </c>
      <c r="AS48" vm="3395">
        <f t="shared" si="21"/>
        <v>2472806973440</v>
      </c>
      <c r="AT48" vm="3268">
        <f t="shared" si="21"/>
        <v>2455993581568</v>
      </c>
      <c r="AU48" vm="3144">
        <f t="shared" si="21"/>
        <v>1802214309888</v>
      </c>
      <c r="AV48" vm="3062">
        <f t="shared" si="21"/>
        <v>1795700162560</v>
      </c>
      <c r="AW48" vm="2980">
        <f t="shared" si="21"/>
        <v>2062831058944</v>
      </c>
      <c r="AX48" vm="2887">
        <f t="shared" si="21"/>
        <v>1885482516480</v>
      </c>
      <c r="AY48" vm="2780">
        <f t="shared" si="21"/>
        <v>1839758049280</v>
      </c>
      <c r="AZ48" vm="2700">
        <f t="shared" si="21"/>
        <v>41688572903424</v>
      </c>
    </row>
    <row r="49" spans="1:52" x14ac:dyDescent="0.45">
      <c r="A49" s="4" t="str" vm="10">
        <f>CUBEMEMBER("DESKTOP-KSAPEQM AS Model","[Geography].[Blocs].[Country].&amp;[Burkina Faso]")</f>
        <v>Burkina Faso</v>
      </c>
      <c r="B49" vm="2620">
        <f t="shared" si="17"/>
        <v>458404320</v>
      </c>
      <c r="C49" vm="2530">
        <f t="shared" si="17"/>
        <v>482411264</v>
      </c>
      <c r="D49" vm="3836">
        <f t="shared" si="17"/>
        <v>578595584</v>
      </c>
      <c r="E49" vm="4283">
        <f t="shared" si="17"/>
        <v>674773824</v>
      </c>
      <c r="F49" vm="3743">
        <f t="shared" si="17"/>
        <v>751133632</v>
      </c>
      <c r="G49" vm="3638">
        <f t="shared" si="17"/>
        <v>939972672</v>
      </c>
      <c r="H49" vm="3559">
        <f t="shared" si="17"/>
        <v>976547584</v>
      </c>
      <c r="I49" vm="3482">
        <f t="shared" si="17"/>
        <v>1131225216</v>
      </c>
      <c r="J49" vm="3394">
        <f t="shared" si="17"/>
        <v>1475584000</v>
      </c>
      <c r="K49" vm="3267">
        <f t="shared" si="17"/>
        <v>1748481024</v>
      </c>
      <c r="L49" vm="3143">
        <f t="shared" si="18"/>
        <v>1928720384</v>
      </c>
      <c r="M49" vm="3061">
        <f t="shared" si="18"/>
        <v>1775842688</v>
      </c>
      <c r="N49" vm="2979">
        <f t="shared" si="18"/>
        <v>1754450432</v>
      </c>
      <c r="O49" vm="2886">
        <f t="shared" si="18"/>
        <v>1600278784</v>
      </c>
      <c r="P49" vm="2779">
        <f t="shared" si="18"/>
        <v>1459880320</v>
      </c>
      <c r="Q49" vm="2699">
        <f t="shared" si="18"/>
        <v>1552493440</v>
      </c>
      <c r="R49" vm="2619">
        <f t="shared" si="18"/>
        <v>2036303360</v>
      </c>
      <c r="S49" vm="2529">
        <f t="shared" si="18"/>
        <v>2369835520</v>
      </c>
      <c r="T49" vm="3835">
        <f t="shared" si="18"/>
        <v>2616040704</v>
      </c>
      <c r="U49" vm="4208">
        <f t="shared" si="18"/>
        <v>2615588608</v>
      </c>
      <c r="V49" vm="3742">
        <f t="shared" si="19"/>
        <v>3101301760</v>
      </c>
      <c r="W49" vm="3637">
        <f t="shared" si="19"/>
        <v>3135045632</v>
      </c>
      <c r="X49" vm="3558">
        <f t="shared" si="19"/>
        <v>2240264704</v>
      </c>
      <c r="Y49" vm="3481">
        <f t="shared" si="19"/>
        <v>2332017920</v>
      </c>
      <c r="Z49" vm="3393">
        <f t="shared" si="19"/>
        <v>1895291008</v>
      </c>
      <c r="AA49" vm="3266">
        <f t="shared" si="19"/>
        <v>2379518208</v>
      </c>
      <c r="AB49" vm="3142">
        <f t="shared" si="19"/>
        <v>2586550784</v>
      </c>
      <c r="AC49" vm="3060">
        <f t="shared" si="19"/>
        <v>2447669504</v>
      </c>
      <c r="AD49" vm="2978">
        <f t="shared" si="19"/>
        <v>2804902656</v>
      </c>
      <c r="AE49" vm="2885">
        <f t="shared" si="19"/>
        <v>3364819200</v>
      </c>
      <c r="AF49" vm="2778">
        <f t="shared" si="20"/>
        <v>2956746240</v>
      </c>
      <c r="AG49" vm="2698">
        <f t="shared" si="20"/>
        <v>3187582208</v>
      </c>
      <c r="AH49" vm="2618">
        <f t="shared" si="20"/>
        <v>3605329664</v>
      </c>
      <c r="AI49" vm="2528">
        <f t="shared" si="20"/>
        <v>4730140672</v>
      </c>
      <c r="AJ49" vm="3834">
        <f t="shared" si="20"/>
        <v>5441918464</v>
      </c>
      <c r="AK49" vm="4137">
        <f t="shared" si="20"/>
        <v>6143909376</v>
      </c>
      <c r="AL49" vm="3741">
        <f t="shared" si="20"/>
        <v>6541603840</v>
      </c>
      <c r="AM49" vm="3636">
        <f t="shared" si="20"/>
        <v>7615651328</v>
      </c>
      <c r="AN49" vm="3557">
        <f t="shared" si="20"/>
        <v>9413336064</v>
      </c>
      <c r="AO49" vm="3480">
        <f t="shared" si="20"/>
        <v>9412813824</v>
      </c>
      <c r="AP49" vm="3392">
        <f t="shared" si="21"/>
        <v>10109619200</v>
      </c>
      <c r="AQ49" vm="3265">
        <f t="shared" si="21"/>
        <v>12080296960</v>
      </c>
      <c r="AR49" vm="3141">
        <f t="shared" si="21"/>
        <v>12561015808</v>
      </c>
      <c r="AS49" vm="3059">
        <f t="shared" si="21"/>
        <v>13444300800</v>
      </c>
      <c r="AT49" vm="2977">
        <f t="shared" si="21"/>
        <v>13943016448</v>
      </c>
      <c r="AU49" vm="2884">
        <f t="shared" si="21"/>
        <v>11832159232</v>
      </c>
      <c r="AV49" vm="2777">
        <f t="shared" si="21"/>
        <v>12822557696</v>
      </c>
      <c r="AW49" vm="2697">
        <f t="shared" si="21"/>
        <v>14169905152</v>
      </c>
      <c r="AX49" vm="2617">
        <f t="shared" si="21"/>
        <v>16199434240</v>
      </c>
      <c r="AY49" vm="2527">
        <f t="shared" si="21"/>
        <v>15745810432</v>
      </c>
      <c r="AZ49" vm="3833">
        <f t="shared" si="21"/>
        <v>247171092384</v>
      </c>
    </row>
    <row r="50" spans="1:52" x14ac:dyDescent="0.45">
      <c r="A50" s="4" t="str" vm="57">
        <f>CUBEMEMBER("DESKTOP-KSAPEQM AS Model","[Geography].[Blocs].[Country].&amp;[Burundi]")</f>
        <v>Burundi</v>
      </c>
      <c r="B50" vm="4066">
        <f t="shared" ref="B50:K59" si="22">CUBEVALUE("DESKTOP-KSAPEQM AS Model",$B$1,$B$2,$B$3,$B$4,$B$5,$A$7,$A50,B$8)</f>
        <v>242732576</v>
      </c>
      <c r="C50" vm="3740">
        <f t="shared" si="22"/>
        <v>252842288</v>
      </c>
      <c r="D50" vm="3635">
        <f t="shared" si="22"/>
        <v>246804576</v>
      </c>
      <c r="E50" vm="3556">
        <f t="shared" si="22"/>
        <v>304339840</v>
      </c>
      <c r="F50" vm="3479">
        <f t="shared" si="22"/>
        <v>345263488</v>
      </c>
      <c r="G50" vm="3391">
        <f t="shared" si="22"/>
        <v>420986656</v>
      </c>
      <c r="H50" vm="3264">
        <f t="shared" si="22"/>
        <v>448412768</v>
      </c>
      <c r="I50" vm="3140">
        <f t="shared" si="22"/>
        <v>547535552</v>
      </c>
      <c r="J50" vm="3058">
        <f t="shared" si="22"/>
        <v>610225536</v>
      </c>
      <c r="K50" vm="2976">
        <f t="shared" si="22"/>
        <v>782496640</v>
      </c>
      <c r="L50" vm="2883">
        <f t="shared" ref="L50:U59" si="23">CUBEVALUE("DESKTOP-KSAPEQM AS Model",$B$1,$B$2,$B$3,$B$4,$B$5,$A$7,$A50,L$8)</f>
        <v>919726656</v>
      </c>
      <c r="M50" vm="2776">
        <f t="shared" si="23"/>
        <v>969046656</v>
      </c>
      <c r="N50" vm="2696">
        <f t="shared" si="23"/>
        <v>1013222208</v>
      </c>
      <c r="O50" vm="2616">
        <f t="shared" si="23"/>
        <v>1082926336</v>
      </c>
      <c r="P50" vm="2526">
        <f t="shared" si="23"/>
        <v>987143936</v>
      </c>
      <c r="Q50" vm="3832">
        <f t="shared" si="23"/>
        <v>1149979264</v>
      </c>
      <c r="R50" vm="3986">
        <f t="shared" si="23"/>
        <v>1201725440</v>
      </c>
      <c r="S50" vm="3739">
        <f t="shared" si="23"/>
        <v>1131466496</v>
      </c>
      <c r="T50" vm="3634">
        <f t="shared" si="23"/>
        <v>1082403200</v>
      </c>
      <c r="U50" vm="3555">
        <f t="shared" si="23"/>
        <v>1113924096</v>
      </c>
      <c r="V50" vm="3478">
        <f t="shared" ref="V50:AE59" si="24">CUBEVALUE("DESKTOP-KSAPEQM AS Model",$B$1,$B$2,$B$3,$B$4,$B$5,$A$7,$A50,V$8)</f>
        <v>1132101248</v>
      </c>
      <c r="W50" vm="3390">
        <f t="shared" si="24"/>
        <v>1167398528</v>
      </c>
      <c r="X50" vm="3263">
        <f t="shared" si="24"/>
        <v>1083037696</v>
      </c>
      <c r="Y50" vm="3139">
        <f t="shared" si="24"/>
        <v>938632640</v>
      </c>
      <c r="Z50" vm="3057">
        <f t="shared" si="24"/>
        <v>925030592</v>
      </c>
      <c r="AA50" vm="2975">
        <f t="shared" si="24"/>
        <v>1000428416</v>
      </c>
      <c r="AB50" vm="2882">
        <f t="shared" si="24"/>
        <v>869033856</v>
      </c>
      <c r="AC50" vm="2775">
        <f t="shared" si="24"/>
        <v>972896256</v>
      </c>
      <c r="AD50" vm="2695">
        <f t="shared" si="24"/>
        <v>893770816</v>
      </c>
      <c r="AE50" vm="2615">
        <f t="shared" si="24"/>
        <v>808077248</v>
      </c>
      <c r="AF50" vm="2525">
        <f t="shared" ref="AF50:AO59" si="25">CUBEVALUE("DESKTOP-KSAPEQM AS Model",$B$1,$B$2,$B$3,$B$4,$B$5,$A$7,$A50,AF$8)</f>
        <v>870486080</v>
      </c>
      <c r="AG50" vm="3831">
        <f t="shared" si="25"/>
        <v>876794752</v>
      </c>
      <c r="AH50" vm="3888">
        <f t="shared" si="25"/>
        <v>825394496</v>
      </c>
      <c r="AI50" vm="3738">
        <f t="shared" si="25"/>
        <v>784654400</v>
      </c>
      <c r="AJ50" vm="3633">
        <f t="shared" si="25"/>
        <v>915257344</v>
      </c>
      <c r="AK50" vm="3554">
        <f t="shared" si="25"/>
        <v>1117113088</v>
      </c>
      <c r="AL50" vm="3477">
        <f t="shared" si="25"/>
        <v>1273374976</v>
      </c>
      <c r="AM50" vm="3389">
        <f t="shared" si="25"/>
        <v>1356199424</v>
      </c>
      <c r="AN50" vm="3262">
        <f t="shared" si="25"/>
        <v>1611835904</v>
      </c>
      <c r="AO50" vm="3138">
        <f t="shared" si="25"/>
        <v>1781455104</v>
      </c>
      <c r="AP50" vm="3056">
        <f t="shared" ref="AP50:AZ59" si="26">CUBEVALUE("DESKTOP-KSAPEQM AS Model",$B$1,$B$2,$B$3,$B$4,$B$5,$A$7,$A50,AP$8)</f>
        <v>2032135296</v>
      </c>
      <c r="AQ50" vm="2974">
        <f t="shared" si="26"/>
        <v>2235820800</v>
      </c>
      <c r="AR50" vm="2881">
        <f t="shared" si="26"/>
        <v>2333308160</v>
      </c>
      <c r="AS50" vm="2774">
        <f t="shared" si="26"/>
        <v>2451625216</v>
      </c>
      <c r="AT50" vm="2694">
        <f t="shared" si="26"/>
        <v>2705783296</v>
      </c>
      <c r="AU50" vm="2614">
        <f t="shared" si="26"/>
        <v>3104394752</v>
      </c>
      <c r="AV50" vm="2524">
        <f t="shared" si="26"/>
        <v>2959641088</v>
      </c>
      <c r="AW50" vm="3830">
        <f t="shared" si="26"/>
        <v>3172292352</v>
      </c>
      <c r="AX50" vm="5155">
        <f t="shared" si="26"/>
        <v>3036931840</v>
      </c>
      <c r="AY50" vm="3737">
        <f t="shared" si="26"/>
        <v>3012334848</v>
      </c>
      <c r="AZ50" vm="3632">
        <f t="shared" si="26"/>
        <v>63100444720</v>
      </c>
    </row>
    <row r="51" spans="1:52" x14ac:dyDescent="0.45">
      <c r="A51" s="4" t="str" vm="159">
        <f>CUBEMEMBER("DESKTOP-KSAPEQM AS Model","[Geography].[Blocs].[Country].&amp;[Cameroon]")</f>
        <v>Cameroon</v>
      </c>
      <c r="B51" vm="3553">
        <f t="shared" si="22"/>
        <v>1160002304</v>
      </c>
      <c r="C51" vm="3476">
        <f t="shared" si="22"/>
        <v>1233991040</v>
      </c>
      <c r="D51" vm="3388">
        <f t="shared" si="22"/>
        <v>1430951296</v>
      </c>
      <c r="E51" vm="3261">
        <f t="shared" si="22"/>
        <v>1758727424</v>
      </c>
      <c r="F51" vm="3137">
        <f t="shared" si="22"/>
        <v>2255496960</v>
      </c>
      <c r="G51" vm="3055">
        <f t="shared" si="22"/>
        <v>2752771072</v>
      </c>
      <c r="H51" vm="2973">
        <f t="shared" si="22"/>
        <v>3076592384</v>
      </c>
      <c r="I51" vm="2880">
        <f t="shared" si="22"/>
        <v>3366368768</v>
      </c>
      <c r="J51" vm="2773">
        <f t="shared" si="22"/>
        <v>4409920512</v>
      </c>
      <c r="K51" vm="2693">
        <f t="shared" si="22"/>
        <v>5811444736</v>
      </c>
      <c r="L51" vm="2613">
        <f t="shared" si="23"/>
        <v>6740756480</v>
      </c>
      <c r="M51" vm="2523">
        <f t="shared" si="23"/>
        <v>7636345856</v>
      </c>
      <c r="N51" vm="3829">
        <f t="shared" si="23"/>
        <v>7322914816</v>
      </c>
      <c r="O51" vm="5053">
        <f t="shared" si="23"/>
        <v>7381854720</v>
      </c>
      <c r="P51" vm="3736">
        <f t="shared" si="23"/>
        <v>7801859072</v>
      </c>
      <c r="Q51" vm="3631">
        <f t="shared" si="23"/>
        <v>8148223488</v>
      </c>
      <c r="R51" vm="3552">
        <f t="shared" si="23"/>
        <v>10621158400</v>
      </c>
      <c r="S51" vm="3475">
        <f t="shared" si="23"/>
        <v>12302471168</v>
      </c>
      <c r="T51" vm="3387">
        <f t="shared" si="23"/>
        <v>12493286400</v>
      </c>
      <c r="U51" vm="3260">
        <f t="shared" si="23"/>
        <v>11140055040</v>
      </c>
      <c r="V51" vm="3136">
        <f t="shared" si="24"/>
        <v>11151578112</v>
      </c>
      <c r="W51" vm="3054">
        <f t="shared" si="24"/>
        <v>12434369536</v>
      </c>
      <c r="X51" vm="2972">
        <f t="shared" si="24"/>
        <v>11396311040</v>
      </c>
      <c r="Y51" vm="2879">
        <f t="shared" si="24"/>
        <v>15498179584</v>
      </c>
      <c r="Z51" vm="2772">
        <f t="shared" si="24"/>
        <v>10600157184</v>
      </c>
      <c r="AA51" vm="2692">
        <f t="shared" si="24"/>
        <v>9643953152</v>
      </c>
      <c r="AB51" vm="2612">
        <f t="shared" si="24"/>
        <v>10513387520</v>
      </c>
      <c r="AC51" vm="2522">
        <f t="shared" si="24"/>
        <v>10833497088</v>
      </c>
      <c r="AD51" vm="3828">
        <f t="shared" si="24"/>
        <v>10612847616</v>
      </c>
      <c r="AE51" vm="4965">
        <f t="shared" si="24"/>
        <v>11198379008</v>
      </c>
      <c r="AF51" vm="3735">
        <f t="shared" si="25"/>
        <v>10083937280</v>
      </c>
      <c r="AG51" vm="3630">
        <f t="shared" si="25"/>
        <v>10371328000</v>
      </c>
      <c r="AH51" vm="3551">
        <f t="shared" si="25"/>
        <v>11579342848</v>
      </c>
      <c r="AI51" vm="3474">
        <f t="shared" si="25"/>
        <v>14548845568</v>
      </c>
      <c r="AJ51" vm="3386">
        <f t="shared" si="25"/>
        <v>17430933504</v>
      </c>
      <c r="AK51" vm="3259">
        <f t="shared" si="25"/>
        <v>17944084480</v>
      </c>
      <c r="AL51" vm="3135">
        <f t="shared" si="25"/>
        <v>19356045312</v>
      </c>
      <c r="AM51" vm="3053">
        <f t="shared" si="25"/>
        <v>22365265920</v>
      </c>
      <c r="AN51" vm="2971">
        <f t="shared" si="25"/>
        <v>26409781248</v>
      </c>
      <c r="AO51" vm="2878">
        <f t="shared" si="25"/>
        <v>26017925120</v>
      </c>
      <c r="AP51" vm="2771">
        <f t="shared" si="26"/>
        <v>26169323520</v>
      </c>
      <c r="AQ51" vm="2691">
        <f t="shared" si="26"/>
        <v>29375449088</v>
      </c>
      <c r="AR51" vm="2611">
        <f t="shared" si="26"/>
        <v>29102772224</v>
      </c>
      <c r="AS51" vm="2521">
        <f t="shared" si="26"/>
        <v>32357345280</v>
      </c>
      <c r="AT51" vm="3827">
        <f t="shared" si="26"/>
        <v>34989494272</v>
      </c>
      <c r="AU51" vm="4892">
        <f t="shared" si="26"/>
        <v>30928654336</v>
      </c>
      <c r="AV51" vm="3734">
        <f t="shared" si="26"/>
        <v>32643696640</v>
      </c>
      <c r="AW51" vm="3629">
        <f t="shared" si="26"/>
        <v>35009261568</v>
      </c>
      <c r="AX51" vm="3550">
        <f t="shared" si="26"/>
        <v>38694096896</v>
      </c>
      <c r="AY51" vm="3473">
        <f t="shared" si="26"/>
        <v>38760468480</v>
      </c>
      <c r="AZ51" vm="3385">
        <f t="shared" si="26"/>
        <v>736865903360</v>
      </c>
    </row>
    <row r="52" spans="1:52" x14ac:dyDescent="0.45">
      <c r="A52" s="4" t="str" vm="157">
        <f>CUBEMEMBER("DESKTOP-KSAPEQM AS Model","[Geography].[Blocs].[Country].&amp;[Central African Republic]")</f>
        <v>Central African Republic</v>
      </c>
      <c r="B52" vm="3258">
        <f t="shared" si="22"/>
        <v>189106560</v>
      </c>
      <c r="C52" vm="3134">
        <f t="shared" si="22"/>
        <v>201450768</v>
      </c>
      <c r="D52" vm="3052">
        <f t="shared" si="22"/>
        <v>230317904</v>
      </c>
      <c r="E52" vm="2970">
        <f t="shared" si="22"/>
        <v>271183072</v>
      </c>
      <c r="F52" vm="2877">
        <f t="shared" si="22"/>
        <v>281398656</v>
      </c>
      <c r="G52" vm="2770">
        <f t="shared" si="22"/>
        <v>378660032</v>
      </c>
      <c r="H52" vm="2690">
        <f t="shared" si="22"/>
        <v>451152448</v>
      </c>
      <c r="I52" vm="2610">
        <f t="shared" si="22"/>
        <v>507298112</v>
      </c>
      <c r="J52" vm="2520">
        <f t="shared" si="22"/>
        <v>610578496</v>
      </c>
      <c r="K52" vm="3826">
        <f t="shared" si="22"/>
        <v>700764864</v>
      </c>
      <c r="L52" vm="4825">
        <f t="shared" si="23"/>
        <v>797048000</v>
      </c>
      <c r="M52" vm="3733">
        <f t="shared" si="23"/>
        <v>694803520</v>
      </c>
      <c r="N52" vm="3628">
        <f t="shared" si="23"/>
        <v>748312256</v>
      </c>
      <c r="O52" vm="3549">
        <f t="shared" si="23"/>
        <v>658679424</v>
      </c>
      <c r="P52" vm="3472">
        <f t="shared" si="23"/>
        <v>637820608</v>
      </c>
      <c r="Q52" vm="3384">
        <f t="shared" si="23"/>
        <v>864849792</v>
      </c>
      <c r="R52" vm="3257">
        <f t="shared" si="23"/>
        <v>1122265088</v>
      </c>
      <c r="S52" vm="3133">
        <f t="shared" si="23"/>
        <v>1200991872</v>
      </c>
      <c r="T52" vm="3051">
        <f t="shared" si="23"/>
        <v>1264899328</v>
      </c>
      <c r="U52" vm="2969">
        <f t="shared" si="23"/>
        <v>1233930240</v>
      </c>
      <c r="V52" vm="2876">
        <f t="shared" si="24"/>
        <v>1440711424</v>
      </c>
      <c r="W52" vm="2769">
        <f t="shared" si="24"/>
        <v>1377374976</v>
      </c>
      <c r="X52" vm="2689">
        <f t="shared" si="24"/>
        <v>1411917568</v>
      </c>
      <c r="Y52" vm="2609">
        <f t="shared" si="24"/>
        <v>1278781184</v>
      </c>
      <c r="Z52" vm="2519">
        <f t="shared" si="24"/>
        <v>851174336</v>
      </c>
      <c r="AA52" vm="3825">
        <f t="shared" si="24"/>
        <v>1115389696</v>
      </c>
      <c r="AB52" vm="4756">
        <f t="shared" si="24"/>
        <v>1007791168</v>
      </c>
      <c r="AC52" vm="3732">
        <f t="shared" si="24"/>
        <v>937741440</v>
      </c>
      <c r="AD52" vm="3627">
        <f t="shared" si="24"/>
        <v>967338368</v>
      </c>
      <c r="AE52" vm="3548">
        <f t="shared" si="24"/>
        <v>999477504</v>
      </c>
      <c r="AF52" vm="3471">
        <f t="shared" si="25"/>
        <v>914500288</v>
      </c>
      <c r="AG52" vm="3383">
        <f t="shared" si="25"/>
        <v>931833280</v>
      </c>
      <c r="AH52" vm="1864">
        <f t="shared" si="25"/>
        <v>991387840</v>
      </c>
      <c r="AI52" vm="3256">
        <f t="shared" si="25"/>
        <v>1139754752</v>
      </c>
      <c r="AJ52" vm="3132">
        <f t="shared" si="25"/>
        <v>1270080256</v>
      </c>
      <c r="AK52" vm="3050">
        <f t="shared" si="25"/>
        <v>1337362432</v>
      </c>
      <c r="AL52" vm="2968">
        <f t="shared" si="25"/>
        <v>1460561152</v>
      </c>
      <c r="AM52" vm="2875">
        <f t="shared" si="25"/>
        <v>1697565952</v>
      </c>
      <c r="AN52" vm="2768">
        <f t="shared" si="25"/>
        <v>1985240960</v>
      </c>
      <c r="AO52" vm="2688">
        <f t="shared" si="25"/>
        <v>2059094016</v>
      </c>
      <c r="AP52" vm="2608">
        <f t="shared" si="26"/>
        <v>2142591360</v>
      </c>
      <c r="AQ52" vm="2518">
        <f t="shared" si="26"/>
        <v>2437982720</v>
      </c>
      <c r="AR52" vm="3824">
        <f t="shared" si="26"/>
        <v>2510126592</v>
      </c>
      <c r="AS52" vm="4679">
        <f t="shared" si="26"/>
        <v>1691544192</v>
      </c>
      <c r="AT52" vm="3731">
        <f t="shared" si="26"/>
        <v>1894813568</v>
      </c>
      <c r="AU52" vm="3626">
        <f t="shared" si="26"/>
        <v>1695825664</v>
      </c>
      <c r="AV52" vm="3547">
        <f t="shared" si="26"/>
        <v>1825018240</v>
      </c>
      <c r="AW52" vm="3470">
        <f t="shared" si="26"/>
        <v>2072350208</v>
      </c>
      <c r="AX52" vm="1863">
        <f t="shared" si="26"/>
        <v>2220978944</v>
      </c>
      <c r="AY52" vm="3382">
        <f t="shared" si="26"/>
        <v>2220307456</v>
      </c>
      <c r="AZ52" vm="3255">
        <f t="shared" si="26"/>
        <v>58932128576</v>
      </c>
    </row>
    <row r="53" spans="1:52" x14ac:dyDescent="0.45">
      <c r="A53" s="4" t="str" vm="151">
        <f>CUBEMEMBER("DESKTOP-KSAPEQM AS Model","[Geography].[Blocs].[Country].&amp;[Chad]")</f>
        <v>Chad</v>
      </c>
      <c r="B53" vm="3131">
        <f t="shared" si="22"/>
        <v>469266752</v>
      </c>
      <c r="C53" vm="3049">
        <f t="shared" si="22"/>
        <v>501866720</v>
      </c>
      <c r="D53" vm="2967">
        <f t="shared" si="22"/>
        <v>585427520</v>
      </c>
      <c r="E53" vm="2874">
        <f t="shared" si="22"/>
        <v>647199488</v>
      </c>
      <c r="F53" vm="2767">
        <f t="shared" si="22"/>
        <v>652532800</v>
      </c>
      <c r="G53" vm="2687">
        <f t="shared" si="22"/>
        <v>864602112</v>
      </c>
      <c r="H53" vm="2607">
        <f t="shared" si="22"/>
        <v>866044992</v>
      </c>
      <c r="I53" vm="2517">
        <f t="shared" si="22"/>
        <v>935360448</v>
      </c>
      <c r="J53" vm="3823">
        <f t="shared" si="22"/>
        <v>1113920128</v>
      </c>
      <c r="K53" vm="4597">
        <f t="shared" si="22"/>
        <v>1004316480</v>
      </c>
      <c r="L53" vm="3730">
        <f t="shared" si="23"/>
        <v>1033002432</v>
      </c>
      <c r="M53" vm="3625">
        <f t="shared" si="23"/>
        <v>876937536</v>
      </c>
      <c r="N53" vm="3546">
        <f t="shared" si="23"/>
        <v>834369856</v>
      </c>
      <c r="O53" vm="1862">
        <f t="shared" si="23"/>
        <v>832415808</v>
      </c>
      <c r="P53" vm="3469">
        <f t="shared" si="23"/>
        <v>919103744</v>
      </c>
      <c r="Q53" vm="3381">
        <f t="shared" si="23"/>
        <v>1033069696</v>
      </c>
      <c r="R53" vm="3254">
        <f t="shared" si="23"/>
        <v>1067828224</v>
      </c>
      <c r="S53" vm="3130">
        <f t="shared" si="23"/>
        <v>1163426816</v>
      </c>
      <c r="T53" vm="3048">
        <f t="shared" si="23"/>
        <v>1482597248</v>
      </c>
      <c r="U53" vm="2966">
        <f t="shared" si="23"/>
        <v>1433686272</v>
      </c>
      <c r="V53" vm="2873">
        <f t="shared" si="24"/>
        <v>1738605568</v>
      </c>
      <c r="W53" vm="2766">
        <f t="shared" si="24"/>
        <v>1877138048</v>
      </c>
      <c r="X53" vm="2686">
        <f t="shared" si="24"/>
        <v>1881847680</v>
      </c>
      <c r="Y53" vm="2606">
        <f t="shared" si="24"/>
        <v>1463251072</v>
      </c>
      <c r="Z53" vm="2516">
        <f t="shared" si="24"/>
        <v>1179837952</v>
      </c>
      <c r="AA53" vm="3822">
        <f t="shared" si="24"/>
        <v>1445920000</v>
      </c>
      <c r="AB53" vm="4483">
        <f t="shared" si="24"/>
        <v>1607345408</v>
      </c>
      <c r="AC53" vm="3729">
        <f t="shared" si="24"/>
        <v>1544689536</v>
      </c>
      <c r="AD53" vm="3624">
        <f t="shared" si="24"/>
        <v>1744794496</v>
      </c>
      <c r="AE53" vm="1861">
        <f t="shared" si="24"/>
        <v>1534673536</v>
      </c>
      <c r="AF53" vm="3545">
        <f t="shared" si="25"/>
        <v>1385058176</v>
      </c>
      <c r="AG53" vm="3468">
        <f t="shared" si="25"/>
        <v>1709347840</v>
      </c>
      <c r="AH53" vm="3380">
        <f t="shared" si="25"/>
        <v>1987622272</v>
      </c>
      <c r="AI53" vm="3253">
        <f t="shared" si="25"/>
        <v>2736666624</v>
      </c>
      <c r="AJ53" vm="3129">
        <f t="shared" si="25"/>
        <v>4414929408</v>
      </c>
      <c r="AK53" vm="3047">
        <f t="shared" si="25"/>
        <v>6646663680</v>
      </c>
      <c r="AL53" vm="2965">
        <f t="shared" si="25"/>
        <v>7422102528</v>
      </c>
      <c r="AM53" vm="2872">
        <f t="shared" si="25"/>
        <v>8638711808</v>
      </c>
      <c r="AN53" vm="2765">
        <f t="shared" si="25"/>
        <v>10351932416</v>
      </c>
      <c r="AO53" vm="2685">
        <f t="shared" si="25"/>
        <v>9253484544</v>
      </c>
      <c r="AP53" vm="2605">
        <f t="shared" si="26"/>
        <v>10668102656</v>
      </c>
      <c r="AQ53" vm="2515">
        <f t="shared" si="26"/>
        <v>12172309504</v>
      </c>
      <c r="AR53" vm="3821">
        <f t="shared" si="26"/>
        <v>12367364096</v>
      </c>
      <c r="AS53" vm="4371">
        <f t="shared" si="26"/>
        <v>12953535488</v>
      </c>
      <c r="AT53" vm="3728">
        <f t="shared" si="26"/>
        <v>13940767744</v>
      </c>
      <c r="AU53" vm="1860">
        <f t="shared" si="26"/>
        <v>10950391808</v>
      </c>
      <c r="AV53" vm="3623">
        <f t="shared" si="26"/>
        <v>10097778688</v>
      </c>
      <c r="AW53" vm="3544">
        <f t="shared" si="26"/>
        <v>10000395264</v>
      </c>
      <c r="AX53" vm="3467">
        <f t="shared" si="26"/>
        <v>11239166976</v>
      </c>
      <c r="AY53" vm="3379">
        <f t="shared" si="26"/>
        <v>11314951168</v>
      </c>
      <c r="AZ53" vm="3252">
        <f t="shared" si="26"/>
        <v>204586361056</v>
      </c>
    </row>
    <row r="54" spans="1:52" x14ac:dyDescent="0.45">
      <c r="A54" s="4" t="str" vm="96">
        <f>CUBEMEMBER("DESKTOP-KSAPEQM AS Model","[Geography].[Blocs].[Country].&amp;[Chile]")</f>
        <v>Chile</v>
      </c>
      <c r="B54" vm="3128">
        <f t="shared" si="22"/>
        <v>9126309888</v>
      </c>
      <c r="C54" vm="3046">
        <f t="shared" si="22"/>
        <v>10884114432</v>
      </c>
      <c r="D54" vm="2964">
        <f t="shared" si="22"/>
        <v>11853816832</v>
      </c>
      <c r="E54" vm="2871">
        <f t="shared" si="22"/>
        <v>16836260864</v>
      </c>
      <c r="F54" vm="2764">
        <f t="shared" si="22"/>
        <v>16210404352</v>
      </c>
      <c r="G54" vm="2684">
        <f t="shared" si="22"/>
        <v>7622217216</v>
      </c>
      <c r="H54" vm="2604">
        <f t="shared" si="22"/>
        <v>10341924864</v>
      </c>
      <c r="I54" vm="2514">
        <f t="shared" si="22"/>
        <v>13962893312</v>
      </c>
      <c r="J54" vm="3820">
        <f t="shared" si="22"/>
        <v>15989934080</v>
      </c>
      <c r="K54" vm="4282">
        <f t="shared" si="22"/>
        <v>21803696128</v>
      </c>
      <c r="L54" vm="1859">
        <f t="shared" si="23"/>
        <v>29036709888</v>
      </c>
      <c r="M54" vm="3727">
        <f t="shared" si="23"/>
        <v>34509877248</v>
      </c>
      <c r="N54" vm="3622">
        <f t="shared" si="23"/>
        <v>25325893632</v>
      </c>
      <c r="O54" vm="3543">
        <f t="shared" si="23"/>
        <v>20355958784</v>
      </c>
      <c r="P54" vm="3466">
        <f t="shared" si="23"/>
        <v>19622526976</v>
      </c>
      <c r="Q54" vm="3378">
        <f t="shared" si="23"/>
        <v>17702885376</v>
      </c>
      <c r="R54" vm="3251">
        <f t="shared" si="23"/>
        <v>18891048960</v>
      </c>
      <c r="S54" vm="3127">
        <f t="shared" si="23"/>
        <v>22255407104</v>
      </c>
      <c r="T54" vm="3045">
        <f t="shared" si="23"/>
        <v>26040229888</v>
      </c>
      <c r="U54" vm="2963">
        <f t="shared" si="23"/>
        <v>29885685760</v>
      </c>
      <c r="V54" vm="2870">
        <f t="shared" si="24"/>
        <v>33113888768</v>
      </c>
      <c r="W54" vm="2763">
        <f t="shared" si="24"/>
        <v>37834792960</v>
      </c>
      <c r="X54" vm="2683">
        <f t="shared" si="24"/>
        <v>45964328960</v>
      </c>
      <c r="Y54" vm="2603">
        <f t="shared" si="24"/>
        <v>49297772544</v>
      </c>
      <c r="Z54" vm="2513">
        <f t="shared" si="24"/>
        <v>57008427008</v>
      </c>
      <c r="AA54" vm="1985">
        <f t="shared" si="24"/>
        <v>73447063552</v>
      </c>
      <c r="AB54" vm="1858">
        <f t="shared" si="24"/>
        <v>78039572480</v>
      </c>
      <c r="AC54" vm="3819">
        <f t="shared" si="24"/>
        <v>84952358912</v>
      </c>
      <c r="AD54" vm="4207">
        <f t="shared" si="24"/>
        <v>81577426944</v>
      </c>
      <c r="AE54" vm="3726">
        <f t="shared" si="24"/>
        <v>75173797888</v>
      </c>
      <c r="AF54" vm="3621">
        <f t="shared" si="25"/>
        <v>77860929536</v>
      </c>
      <c r="AG54" vm="3542">
        <f t="shared" si="25"/>
        <v>70979919872</v>
      </c>
      <c r="AH54" vm="3465">
        <f t="shared" si="25"/>
        <v>69736808448</v>
      </c>
      <c r="AI54" vm="3377">
        <f t="shared" si="25"/>
        <v>75643461632</v>
      </c>
      <c r="AJ54" vm="3250">
        <f t="shared" si="25"/>
        <v>99210395648</v>
      </c>
      <c r="AK54" vm="3126">
        <f t="shared" si="25"/>
        <v>122964811776</v>
      </c>
      <c r="AL54" vm="3044">
        <f t="shared" si="25"/>
        <v>154788020224</v>
      </c>
      <c r="AM54" vm="2962">
        <f t="shared" si="25"/>
        <v>173605961728</v>
      </c>
      <c r="AN54" vm="2869">
        <f t="shared" si="25"/>
        <v>179638501376</v>
      </c>
      <c r="AO54" vm="2762">
        <f t="shared" si="25"/>
        <v>172389498880</v>
      </c>
      <c r="AP54" vm="2682">
        <f t="shared" si="26"/>
        <v>218537558016</v>
      </c>
      <c r="AQ54" vm="1984">
        <f t="shared" si="26"/>
        <v>252251996160</v>
      </c>
      <c r="AR54" vm="1857">
        <f t="shared" si="26"/>
        <v>267122327552</v>
      </c>
      <c r="AS54" vm="2602">
        <f t="shared" si="26"/>
        <v>278384345088</v>
      </c>
      <c r="AT54" vm="2512">
        <f t="shared" si="26"/>
        <v>260541628416</v>
      </c>
      <c r="AU54" vm="3818">
        <f t="shared" si="26"/>
        <v>243919077376</v>
      </c>
      <c r="AV54" vm="4136">
        <f t="shared" si="26"/>
        <v>250440138752</v>
      </c>
      <c r="AW54" vm="3725">
        <f t="shared" si="26"/>
        <v>277044953088</v>
      </c>
      <c r="AX54" vm="3620">
        <f t="shared" si="26"/>
        <v>298258006016</v>
      </c>
      <c r="AY54" vm="3541">
        <f t="shared" si="26"/>
        <v>282318143488</v>
      </c>
      <c r="AZ54" vm="3464">
        <f t="shared" si="26"/>
        <v>4820303708672</v>
      </c>
    </row>
    <row r="55" spans="1:52" x14ac:dyDescent="0.45">
      <c r="A55" s="4" t="str" vm="144">
        <f>CUBEMEMBER("DESKTOP-KSAPEQM AS Model","[Geography].[Blocs].[Country].&amp;[Colombia]")</f>
        <v>Colombia</v>
      </c>
      <c r="B55" vm="3376">
        <f t="shared" si="22"/>
        <v>7198360576</v>
      </c>
      <c r="C55" vm="3249">
        <f t="shared" si="22"/>
        <v>7820381184</v>
      </c>
      <c r="D55" vm="3125">
        <f t="shared" si="22"/>
        <v>8671358976</v>
      </c>
      <c r="E55" vm="3043">
        <f t="shared" si="22"/>
        <v>10315759616</v>
      </c>
      <c r="F55" vm="2961">
        <f t="shared" si="22"/>
        <v>12370029568</v>
      </c>
      <c r="G55" vm="2868">
        <f t="shared" si="22"/>
        <v>13098634240</v>
      </c>
      <c r="H55" vm="1983">
        <f t="shared" si="22"/>
        <v>15341404160</v>
      </c>
      <c r="I55" vm="1856">
        <f t="shared" si="22"/>
        <v>19470960640</v>
      </c>
      <c r="J55" vm="2761">
        <f t="shared" si="22"/>
        <v>23263512576</v>
      </c>
      <c r="K55" vm="2681">
        <f t="shared" si="22"/>
        <v>27940411392</v>
      </c>
      <c r="L55" vm="2601">
        <f t="shared" si="23"/>
        <v>33400735744</v>
      </c>
      <c r="M55" vm="2511">
        <f t="shared" si="23"/>
        <v>36388368384</v>
      </c>
      <c r="N55" vm="3817">
        <f t="shared" si="23"/>
        <v>38968041472</v>
      </c>
      <c r="O55" vm="4065">
        <f t="shared" si="23"/>
        <v>38729822208</v>
      </c>
      <c r="P55" vm="3724">
        <f t="shared" si="23"/>
        <v>38253121536</v>
      </c>
      <c r="Q55" vm="2459">
        <f t="shared" si="23"/>
        <v>34894409728</v>
      </c>
      <c r="R55" vm="3619">
        <f t="shared" si="23"/>
        <v>34942488576</v>
      </c>
      <c r="S55" vm="3540">
        <f t="shared" si="23"/>
        <v>36373307392</v>
      </c>
      <c r="T55" vm="3463">
        <f t="shared" si="23"/>
        <v>39212548096</v>
      </c>
      <c r="U55" vm="3375">
        <f t="shared" si="23"/>
        <v>39540080640</v>
      </c>
      <c r="V55" vm="3248">
        <f t="shared" si="24"/>
        <v>47844089856</v>
      </c>
      <c r="W55" vm="3124">
        <f t="shared" si="24"/>
        <v>49175564288</v>
      </c>
      <c r="X55" vm="1982">
        <f t="shared" si="24"/>
        <v>58418987008</v>
      </c>
      <c r="Y55" vm="1855">
        <f t="shared" si="24"/>
        <v>66446802944</v>
      </c>
      <c r="Z55" vm="3042">
        <f t="shared" si="24"/>
        <v>81703501824</v>
      </c>
      <c r="AA55" vm="2960">
        <f t="shared" si="24"/>
        <v>92507283456</v>
      </c>
      <c r="AB55" vm="2867">
        <f t="shared" si="24"/>
        <v>97160110080</v>
      </c>
      <c r="AC55" vm="2760">
        <f t="shared" si="24"/>
        <v>106659512320</v>
      </c>
      <c r="AD55" vm="2680">
        <f t="shared" si="24"/>
        <v>98443739136</v>
      </c>
      <c r="AE55" vm="2600">
        <f t="shared" si="24"/>
        <v>86186156032</v>
      </c>
      <c r="AF55" vm="2510">
        <f t="shared" si="25"/>
        <v>99886579712</v>
      </c>
      <c r="AG55" vm="2458">
        <f t="shared" si="25"/>
        <v>98211749888</v>
      </c>
      <c r="AH55" vm="3816">
        <f t="shared" si="25"/>
        <v>97962999808</v>
      </c>
      <c r="AI55" vm="3985">
        <f t="shared" si="25"/>
        <v>94641381376</v>
      </c>
      <c r="AJ55" vm="3723">
        <f t="shared" si="25"/>
        <v>117081522176</v>
      </c>
      <c r="AK55" vm="3618">
        <f t="shared" si="25"/>
        <v>145619189760</v>
      </c>
      <c r="AL55" vm="3539">
        <f t="shared" si="25"/>
        <v>161618575360</v>
      </c>
      <c r="AM55" vm="3462">
        <f t="shared" si="25"/>
        <v>206181826560</v>
      </c>
      <c r="AN55" vm="1981">
        <f t="shared" si="25"/>
        <v>242186944512</v>
      </c>
      <c r="AO55" vm="1854">
        <f t="shared" si="25"/>
        <v>232397832192</v>
      </c>
      <c r="AP55" vm="3374">
        <f t="shared" si="26"/>
        <v>286563106816</v>
      </c>
      <c r="AQ55" vm="3247">
        <f t="shared" si="26"/>
        <v>334943879168</v>
      </c>
      <c r="AR55" vm="3123">
        <f t="shared" si="26"/>
        <v>370921308160</v>
      </c>
      <c r="AS55" vm="3041">
        <f t="shared" si="26"/>
        <v>382116134912</v>
      </c>
      <c r="AT55" vm="2959">
        <f t="shared" si="26"/>
        <v>381112123392</v>
      </c>
      <c r="AU55" vm="2866">
        <f t="shared" si="26"/>
        <v>293481742336</v>
      </c>
      <c r="AV55" vm="2759">
        <f t="shared" si="26"/>
        <v>282824998912</v>
      </c>
      <c r="AW55" vm="2457">
        <f t="shared" si="26"/>
        <v>311883726848</v>
      </c>
      <c r="AX55" vm="2679">
        <f t="shared" si="26"/>
        <v>333568933888</v>
      </c>
      <c r="AY55" vm="2599">
        <f t="shared" si="26"/>
        <v>323802791936</v>
      </c>
      <c r="AZ55" vm="2509">
        <f t="shared" si="26"/>
        <v>6097746831360</v>
      </c>
    </row>
    <row r="56" spans="1:52" x14ac:dyDescent="0.45">
      <c r="A56" s="4" t="str" vm="139">
        <f>CUBEMEMBER("DESKTOP-KSAPEQM AS Model","[Geography].[Blocs].[Country].&amp;[Congo DR]")</f>
        <v>Congo DR</v>
      </c>
      <c r="B56" vm="3815">
        <f t="shared" si="22"/>
        <v>4877684736</v>
      </c>
      <c r="C56" vm="3887">
        <f t="shared" si="22"/>
        <v>5594770432</v>
      </c>
      <c r="D56" vm="3722">
        <f t="shared" si="22"/>
        <v>6173712896</v>
      </c>
      <c r="E56" vm="1980">
        <f t="shared" si="22"/>
        <v>7870239232</v>
      </c>
      <c r="F56" vm="1853">
        <f t="shared" si="22"/>
        <v>9596959744</v>
      </c>
      <c r="G56" vm="3617">
        <f t="shared" si="22"/>
        <v>10237342720</v>
      </c>
      <c r="H56" vm="3538">
        <f t="shared" si="22"/>
        <v>9648583680</v>
      </c>
      <c r="I56" vm="3461">
        <f t="shared" si="22"/>
        <v>12344424448</v>
      </c>
      <c r="J56" vm="3373">
        <f t="shared" si="22"/>
        <v>15372608512</v>
      </c>
      <c r="K56" vm="3246">
        <f t="shared" si="22"/>
        <v>15068422144</v>
      </c>
      <c r="L56" vm="3122">
        <f t="shared" si="23"/>
        <v>14394927104</v>
      </c>
      <c r="M56" vm="3040">
        <f t="shared" si="23"/>
        <v>12537821184</v>
      </c>
      <c r="N56" vm="2456">
        <f t="shared" si="23"/>
        <v>13651666944</v>
      </c>
      <c r="O56" vm="2958">
        <f t="shared" si="23"/>
        <v>11006712832</v>
      </c>
      <c r="P56" vm="2865">
        <f t="shared" si="23"/>
        <v>7857729024</v>
      </c>
      <c r="Q56" vm="2758">
        <f t="shared" si="23"/>
        <v>7195042816</v>
      </c>
      <c r="R56" vm="2678">
        <f t="shared" si="23"/>
        <v>8095367168</v>
      </c>
      <c r="S56" vm="2598">
        <f t="shared" si="23"/>
        <v>7661625344</v>
      </c>
      <c r="T56" vm="2508">
        <f t="shared" si="23"/>
        <v>8861299712</v>
      </c>
      <c r="U56" vm="1979">
        <f t="shared" si="23"/>
        <v>9021862912</v>
      </c>
      <c r="V56" vm="1852">
        <f t="shared" si="24"/>
        <v>9349764096</v>
      </c>
      <c r="W56" vm="3814">
        <f t="shared" si="24"/>
        <v>9625437184</v>
      </c>
      <c r="X56" vm="5154">
        <f t="shared" si="24"/>
        <v>8227343872</v>
      </c>
      <c r="Y56" vm="3721">
        <f t="shared" si="24"/>
        <v>10706259968</v>
      </c>
      <c r="Z56" vm="3616">
        <f t="shared" si="24"/>
        <v>5820382208</v>
      </c>
      <c r="AA56" vm="3537">
        <f t="shared" si="24"/>
        <v>5643439616</v>
      </c>
      <c r="AB56" vm="3460">
        <f t="shared" si="24"/>
        <v>5771454976</v>
      </c>
      <c r="AC56" vm="3372">
        <f t="shared" si="24"/>
        <v>6090840576</v>
      </c>
      <c r="AD56" vm="2455">
        <f t="shared" si="24"/>
        <v>6215591424</v>
      </c>
      <c r="AE56" vm="3245">
        <f t="shared" si="24"/>
        <v>4711259648</v>
      </c>
      <c r="AF56" vm="3121">
        <f t="shared" si="25"/>
        <v>19088046080</v>
      </c>
      <c r="AG56" vm="3039">
        <f t="shared" si="25"/>
        <v>7438189056</v>
      </c>
      <c r="AH56" vm="2957">
        <f t="shared" si="25"/>
        <v>8728038400</v>
      </c>
      <c r="AI56" vm="2864">
        <f t="shared" si="25"/>
        <v>8937567232</v>
      </c>
      <c r="AJ56" vm="2757">
        <f t="shared" si="25"/>
        <v>10297483264</v>
      </c>
      <c r="AK56" vm="1978">
        <f t="shared" si="25"/>
        <v>11964484608</v>
      </c>
      <c r="AL56" vm="1851">
        <f t="shared" si="25"/>
        <v>14451902464</v>
      </c>
      <c r="AM56" vm="2677">
        <f t="shared" si="25"/>
        <v>16737072128</v>
      </c>
      <c r="AN56" vm="2597">
        <f t="shared" si="25"/>
        <v>19788515328</v>
      </c>
      <c r="AO56" vm="2507">
        <f t="shared" si="25"/>
        <v>18648373248</v>
      </c>
      <c r="AP56" vm="3813">
        <f t="shared" si="26"/>
        <v>21565720576</v>
      </c>
      <c r="AQ56" vm="5052">
        <f t="shared" si="26"/>
        <v>25839749120</v>
      </c>
      <c r="AR56" vm="3720">
        <f t="shared" si="26"/>
        <v>29306234880</v>
      </c>
      <c r="AS56" vm="3615">
        <f t="shared" si="26"/>
        <v>32679745536</v>
      </c>
      <c r="AT56" vm="2454">
        <f t="shared" si="26"/>
        <v>35909042176</v>
      </c>
      <c r="AU56" vm="3536">
        <f t="shared" si="26"/>
        <v>37917704192</v>
      </c>
      <c r="AV56" vm="3459">
        <f t="shared" si="26"/>
        <v>37134798848</v>
      </c>
      <c r="AW56" vm="3371">
        <f t="shared" si="26"/>
        <v>38019264512</v>
      </c>
      <c r="AX56" vm="3244">
        <f t="shared" si="26"/>
        <v>46831341568</v>
      </c>
      <c r="AY56" vm="3120">
        <f t="shared" si="26"/>
        <v>47319625728</v>
      </c>
      <c r="AZ56" vm="3038">
        <f t="shared" si="26"/>
        <v>757833476096</v>
      </c>
    </row>
    <row r="57" spans="1:52" x14ac:dyDescent="0.45">
      <c r="A57" s="4" t="str" vm="39">
        <f>CUBEMEMBER("DESKTOP-KSAPEQM AS Model","[Geography].[Blocs].[Country].&amp;[Congo R]")</f>
        <v>Congo R</v>
      </c>
      <c r="B57" vm="1977">
        <f t="shared" si="22"/>
        <v>274960704</v>
      </c>
      <c r="C57" vm="1850">
        <f t="shared" si="22"/>
        <v>322128032</v>
      </c>
      <c r="D57" vm="2956">
        <f t="shared" si="22"/>
        <v>410669248</v>
      </c>
      <c r="E57" vm="2863">
        <f t="shared" si="22"/>
        <v>541973376</v>
      </c>
      <c r="F57" vm="2756">
        <f t="shared" si="22"/>
        <v>585364608</v>
      </c>
      <c r="G57" vm="2676">
        <f t="shared" si="22"/>
        <v>767102656</v>
      </c>
      <c r="H57" vm="2596">
        <f t="shared" si="22"/>
        <v>754549632</v>
      </c>
      <c r="I57" vm="2506">
        <f t="shared" si="22"/>
        <v>765224000</v>
      </c>
      <c r="J57" vm="3812">
        <f t="shared" si="22"/>
        <v>878771776</v>
      </c>
      <c r="K57" vm="2453">
        <f t="shared" si="22"/>
        <v>1198749696</v>
      </c>
      <c r="L57" vm="4964">
        <f t="shared" si="23"/>
        <v>1705796864</v>
      </c>
      <c r="M57" vm="3719">
        <f t="shared" si="23"/>
        <v>1993512320</v>
      </c>
      <c r="N57" vm="3614">
        <f t="shared" si="23"/>
        <v>2160640512</v>
      </c>
      <c r="O57" vm="3535">
        <f t="shared" si="23"/>
        <v>2097274240</v>
      </c>
      <c r="P57" vm="3458">
        <f t="shared" si="23"/>
        <v>2193581312</v>
      </c>
      <c r="Q57" vm="3370">
        <f t="shared" si="23"/>
        <v>2160872448</v>
      </c>
      <c r="R57" vm="1976">
        <f t="shared" si="23"/>
        <v>1849268224</v>
      </c>
      <c r="S57" vm="1849">
        <f t="shared" si="23"/>
        <v>2297753600</v>
      </c>
      <c r="T57" vm="3243">
        <f t="shared" si="23"/>
        <v>2212536320</v>
      </c>
      <c r="U57" vm="3119">
        <f t="shared" si="23"/>
        <v>2389593088</v>
      </c>
      <c r="V57" vm="3037">
        <f t="shared" si="24"/>
        <v>2798746112</v>
      </c>
      <c r="W57" vm="2955">
        <f t="shared" si="24"/>
        <v>2724853504</v>
      </c>
      <c r="X57" vm="2862">
        <f t="shared" si="24"/>
        <v>2933222656</v>
      </c>
      <c r="Y57" vm="2755">
        <f t="shared" si="24"/>
        <v>1918969984</v>
      </c>
      <c r="Z57" vm="2675">
        <f t="shared" si="24"/>
        <v>1769365376</v>
      </c>
      <c r="AA57" vm="2452">
        <f t="shared" si="24"/>
        <v>2116003968</v>
      </c>
      <c r="AB57" vm="2595">
        <f t="shared" si="24"/>
        <v>2540697600</v>
      </c>
      <c r="AC57" vm="2505">
        <f t="shared" si="24"/>
        <v>2322718976</v>
      </c>
      <c r="AD57" vm="3811">
        <f t="shared" si="24"/>
        <v>1949481344</v>
      </c>
      <c r="AE57" vm="4891">
        <f t="shared" si="24"/>
        <v>2353909504</v>
      </c>
      <c r="AF57" vm="3718">
        <f t="shared" si="25"/>
        <v>3219910656</v>
      </c>
      <c r="AG57" vm="3613">
        <f t="shared" si="25"/>
        <v>2794259712</v>
      </c>
      <c r="AH57" vm="1975">
        <f t="shared" si="25"/>
        <v>3019993856</v>
      </c>
      <c r="AI57" vm="1848">
        <f t="shared" si="25"/>
        <v>3495868928</v>
      </c>
      <c r="AJ57" vm="3534">
        <f t="shared" si="25"/>
        <v>4648628736</v>
      </c>
      <c r="AK57" vm="3457">
        <f t="shared" si="25"/>
        <v>6087003136</v>
      </c>
      <c r="AL57" vm="3369">
        <f t="shared" si="25"/>
        <v>7731261440</v>
      </c>
      <c r="AM57" vm="3242">
        <f t="shared" si="25"/>
        <v>8394688512</v>
      </c>
      <c r="AN57" vm="3118">
        <f t="shared" si="25"/>
        <v>11859013632</v>
      </c>
      <c r="AO57" vm="3036">
        <f t="shared" si="25"/>
        <v>9593537536</v>
      </c>
      <c r="AP57" vm="2954">
        <f t="shared" si="26"/>
        <v>12019595264</v>
      </c>
      <c r="AQ57" vm="2451">
        <f t="shared" si="26"/>
        <v>14444510208</v>
      </c>
      <c r="AR57" vm="2861">
        <f t="shared" si="26"/>
        <v>13677148160</v>
      </c>
      <c r="AS57" vm="2754">
        <f t="shared" si="26"/>
        <v>14089856000</v>
      </c>
      <c r="AT57" vm="2674">
        <f t="shared" si="26"/>
        <v>14196322304</v>
      </c>
      <c r="AU57" vm="2594">
        <f t="shared" si="26"/>
        <v>8556594688</v>
      </c>
      <c r="AV57" vm="2504">
        <f t="shared" si="26"/>
        <v>9041986560</v>
      </c>
      <c r="AW57" vm="3810">
        <f t="shared" si="26"/>
        <v>9035182080</v>
      </c>
      <c r="AX57" vm="1974">
        <f t="shared" si="26"/>
        <v>11662700544</v>
      </c>
      <c r="AY57" vm="1847">
        <f t="shared" si="26"/>
        <v>10820591616</v>
      </c>
      <c r="AZ57" vm="4824">
        <f t="shared" si="26"/>
        <v>229376945248</v>
      </c>
    </row>
    <row r="58" spans="1:52" x14ac:dyDescent="0.45">
      <c r="A58" s="4" t="str" vm="123">
        <f>CUBEMEMBER("DESKTOP-KSAPEQM AS Model","[Geography].[Blocs].[Country].&amp;[Costa Rica]")</f>
        <v>Costa Rica</v>
      </c>
      <c r="B58" vm="3717">
        <f t="shared" si="22"/>
        <v>984830144</v>
      </c>
      <c r="C58" vm="3612">
        <f t="shared" si="22"/>
        <v>1077152896</v>
      </c>
      <c r="D58" vm="3533">
        <f t="shared" si="22"/>
        <v>1238251648</v>
      </c>
      <c r="E58" vm="3456">
        <f t="shared" si="22"/>
        <v>1528916224</v>
      </c>
      <c r="F58" vm="3368">
        <f t="shared" si="22"/>
        <v>1666544768</v>
      </c>
      <c r="G58" vm="3241">
        <f t="shared" si="22"/>
        <v>1960863488</v>
      </c>
      <c r="H58" vm="2450">
        <f t="shared" si="22"/>
        <v>2412555520</v>
      </c>
      <c r="I58" vm="3117">
        <f t="shared" si="22"/>
        <v>3072427008</v>
      </c>
      <c r="J58" vm="3035">
        <f t="shared" si="22"/>
        <v>3523208704</v>
      </c>
      <c r="K58" vm="2953">
        <f t="shared" si="22"/>
        <v>4035519232</v>
      </c>
      <c r="L58" vm="2860">
        <f t="shared" si="23"/>
        <v>4831447040</v>
      </c>
      <c r="M58" vm="2753">
        <f t="shared" si="23"/>
        <v>2623806976</v>
      </c>
      <c r="N58" vm="2673">
        <f t="shared" si="23"/>
        <v>2606621184</v>
      </c>
      <c r="O58" vm="1973">
        <f t="shared" si="23"/>
        <v>3146770176</v>
      </c>
      <c r="P58" vm="1846">
        <f t="shared" si="23"/>
        <v>3660476416</v>
      </c>
      <c r="Q58" vm="2593">
        <f t="shared" si="23"/>
        <v>3919203840</v>
      </c>
      <c r="R58" vm="2503">
        <f t="shared" si="23"/>
        <v>4418983936</v>
      </c>
      <c r="S58" vm="3809">
        <f t="shared" si="23"/>
        <v>4532952064</v>
      </c>
      <c r="T58" vm="4755">
        <f t="shared" si="23"/>
        <v>4614629888</v>
      </c>
      <c r="U58" vm="3716">
        <f t="shared" si="23"/>
        <v>5251025920</v>
      </c>
      <c r="V58" vm="3611">
        <f t="shared" si="24"/>
        <v>5711687680</v>
      </c>
      <c r="W58" vm="3532">
        <f t="shared" si="24"/>
        <v>7168999424</v>
      </c>
      <c r="X58" vm="2449">
        <f t="shared" si="24"/>
        <v>8528593408</v>
      </c>
      <c r="Y58" vm="3455">
        <f t="shared" si="24"/>
        <v>9537297408</v>
      </c>
      <c r="Z58" vm="3367">
        <f t="shared" si="24"/>
        <v>10432619520</v>
      </c>
      <c r="AA58" vm="3240">
        <f t="shared" si="24"/>
        <v>11513473024</v>
      </c>
      <c r="AB58" vm="3116">
        <f t="shared" si="24"/>
        <v>11618286592</v>
      </c>
      <c r="AC58" vm="3034">
        <f t="shared" si="24"/>
        <v>12552071168</v>
      </c>
      <c r="AD58" vm="2952">
        <f t="shared" si="24"/>
        <v>13617404928</v>
      </c>
      <c r="AE58" vm="1972">
        <f t="shared" si="24"/>
        <v>14195622912</v>
      </c>
      <c r="AF58" vm="1845">
        <f t="shared" si="25"/>
        <v>14949514240</v>
      </c>
      <c r="AG58" vm="2859">
        <f t="shared" si="25"/>
        <v>15913363456</v>
      </c>
      <c r="AH58" vm="2752">
        <f t="shared" si="25"/>
        <v>16504795136</v>
      </c>
      <c r="AI58" vm="2672">
        <f t="shared" si="25"/>
        <v>17196009472</v>
      </c>
      <c r="AJ58" vm="2592">
        <f t="shared" si="25"/>
        <v>18528956416</v>
      </c>
      <c r="AK58" vm="2502">
        <f t="shared" si="25"/>
        <v>19948261376</v>
      </c>
      <c r="AL58" vm="3808">
        <f t="shared" si="25"/>
        <v>22602721280</v>
      </c>
      <c r="AM58" vm="4678">
        <f t="shared" si="25"/>
        <v>26743971840</v>
      </c>
      <c r="AN58" vm="2448">
        <f t="shared" si="25"/>
        <v>30612926464</v>
      </c>
      <c r="AO58" vm="3715">
        <f t="shared" si="25"/>
        <v>30562361344</v>
      </c>
      <c r="AP58" vm="3610">
        <f t="shared" si="26"/>
        <v>37268615168</v>
      </c>
      <c r="AQ58" vm="3531">
        <f t="shared" si="26"/>
        <v>42262695936</v>
      </c>
      <c r="AR58" vm="3454">
        <f t="shared" si="26"/>
        <v>46473129984</v>
      </c>
      <c r="AS58" vm="3366">
        <f t="shared" si="26"/>
        <v>49745088512</v>
      </c>
      <c r="AT58" vm="3239">
        <f t="shared" si="26"/>
        <v>50577768448</v>
      </c>
      <c r="AU58" vm="1971">
        <f t="shared" si="26"/>
        <v>54775996416</v>
      </c>
      <c r="AV58" vm="1844">
        <f t="shared" si="26"/>
        <v>57157992448</v>
      </c>
      <c r="AW58" vm="3115">
        <f t="shared" si="26"/>
        <v>58481856512</v>
      </c>
      <c r="AX58" vm="3033">
        <f t="shared" si="26"/>
        <v>60553900032</v>
      </c>
      <c r="AY58" vm="2951">
        <f t="shared" si="26"/>
        <v>61773942784</v>
      </c>
      <c r="AZ58" vm="2858">
        <f t="shared" si="26"/>
        <v>898616110400</v>
      </c>
    </row>
    <row r="59" spans="1:52" x14ac:dyDescent="0.45">
      <c r="A59" s="4" t="str" vm="125">
        <f>CUBEMEMBER("DESKTOP-KSAPEQM AS Model","[Geography].[Blocs].[Country].&amp;[Cote d'Ivoire]")</f>
        <v>Cote d'Ivoire</v>
      </c>
      <c r="B59" vm="2751">
        <f t="shared" si="22"/>
        <v>1455483008</v>
      </c>
      <c r="C59" vm="2671">
        <f t="shared" si="22"/>
        <v>1584128256</v>
      </c>
      <c r="D59" vm="2591">
        <f t="shared" si="22"/>
        <v>1849400576</v>
      </c>
      <c r="E59" vm="2447">
        <f t="shared" si="22"/>
        <v>2508421120</v>
      </c>
      <c r="F59" vm="2501">
        <f t="shared" si="22"/>
        <v>3070151936</v>
      </c>
      <c r="G59" vm="3807">
        <f t="shared" si="22"/>
        <v>3893839104</v>
      </c>
      <c r="H59" vm="4596">
        <f t="shared" si="22"/>
        <v>4662053888</v>
      </c>
      <c r="I59" vm="3714">
        <f t="shared" si="22"/>
        <v>6265068032</v>
      </c>
      <c r="J59" vm="3609">
        <f t="shared" si="22"/>
        <v>7900525056</v>
      </c>
      <c r="K59" vm="3530">
        <f t="shared" si="22"/>
        <v>9142935552</v>
      </c>
      <c r="L59" vm="1970">
        <f t="shared" si="23"/>
        <v>10175614976</v>
      </c>
      <c r="M59" vm="1843">
        <f t="shared" si="23"/>
        <v>8432588288</v>
      </c>
      <c r="N59" vm="3453">
        <f t="shared" si="23"/>
        <v>7567109632</v>
      </c>
      <c r="O59" vm="3365">
        <f t="shared" si="23"/>
        <v>6838185472</v>
      </c>
      <c r="P59" vm="3238">
        <f t="shared" si="23"/>
        <v>6841638912</v>
      </c>
      <c r="Q59" vm="3114">
        <f t="shared" si="23"/>
        <v>6977650176</v>
      </c>
      <c r="R59" vm="3032">
        <f t="shared" si="23"/>
        <v>9158301696</v>
      </c>
      <c r="S59" vm="2950">
        <f t="shared" si="23"/>
        <v>10087653376</v>
      </c>
      <c r="T59" vm="2857">
        <f t="shared" si="23"/>
        <v>10255170560</v>
      </c>
      <c r="U59" vm="2446">
        <f t="shared" si="23"/>
        <v>9757410304</v>
      </c>
      <c r="V59" vm="2750">
        <f t="shared" si="24"/>
        <v>10795849728</v>
      </c>
      <c r="W59" vm="2670">
        <f t="shared" si="24"/>
        <v>10492628992</v>
      </c>
      <c r="X59" vm="2590">
        <f t="shared" si="24"/>
        <v>11152971776</v>
      </c>
      <c r="Y59" vm="2500">
        <f t="shared" si="24"/>
        <v>11045758976</v>
      </c>
      <c r="Z59" vm="3806">
        <f t="shared" si="24"/>
        <v>8313557504</v>
      </c>
      <c r="AA59" vm="4482">
        <f t="shared" si="24"/>
        <v>11000146944</v>
      </c>
      <c r="AB59" vm="1969">
        <f t="shared" si="24"/>
        <v>12139235328</v>
      </c>
      <c r="AC59" vm="1842">
        <f t="shared" si="24"/>
        <v>11722142720</v>
      </c>
      <c r="AD59" vm="3713">
        <f t="shared" si="24"/>
        <v>12612033536</v>
      </c>
      <c r="AE59" vm="3608">
        <f t="shared" si="24"/>
        <v>12376639488</v>
      </c>
      <c r="AF59" vm="3529">
        <f t="shared" si="25"/>
        <v>10717022208</v>
      </c>
      <c r="AG59" vm="3452">
        <f t="shared" si="25"/>
        <v>11192560640</v>
      </c>
      <c r="AH59" vm="3364">
        <f t="shared" si="25"/>
        <v>12346918912</v>
      </c>
      <c r="AI59" vm="3237">
        <f t="shared" si="25"/>
        <v>15306602496</v>
      </c>
      <c r="AJ59" vm="3113">
        <f t="shared" si="25"/>
        <v>16554441728</v>
      </c>
      <c r="AK59" vm="2445">
        <f t="shared" si="25"/>
        <v>17084929024</v>
      </c>
      <c r="AL59" vm="3031">
        <f t="shared" si="25"/>
        <v>17800888320</v>
      </c>
      <c r="AM59" vm="2949">
        <f t="shared" si="25"/>
        <v>20343635968</v>
      </c>
      <c r="AN59" vm="2856">
        <f t="shared" si="25"/>
        <v>24224903168</v>
      </c>
      <c r="AO59" vm="2749">
        <f t="shared" si="25"/>
        <v>24277493760</v>
      </c>
      <c r="AP59" vm="2669">
        <f t="shared" si="26"/>
        <v>24908781568</v>
      </c>
      <c r="AQ59" vm="2589">
        <f t="shared" si="26"/>
        <v>25414875136</v>
      </c>
      <c r="AR59" vm="1968">
        <f t="shared" si="26"/>
        <v>26789048320</v>
      </c>
      <c r="AS59" vm="1841">
        <f t="shared" si="26"/>
        <v>31273074688</v>
      </c>
      <c r="AT59" vm="2499">
        <f t="shared" si="26"/>
        <v>35363532800</v>
      </c>
      <c r="AU59" vm="3805">
        <f t="shared" si="26"/>
        <v>45814636544</v>
      </c>
      <c r="AV59" vm="4370">
        <f t="shared" si="26"/>
        <v>47964233728</v>
      </c>
      <c r="AW59" vm="3712">
        <f t="shared" si="26"/>
        <v>51588157440</v>
      </c>
      <c r="AX59" vm="3607">
        <f t="shared" si="26"/>
        <v>57724731392</v>
      </c>
      <c r="AY59" vm="3528">
        <f t="shared" si="26"/>
        <v>58792206336</v>
      </c>
      <c r="AZ59" vm="3451">
        <f t="shared" si="26"/>
        <v>815556969088</v>
      </c>
    </row>
    <row r="60" spans="1:52" x14ac:dyDescent="0.45">
      <c r="A60" s="4" t="str" vm="106">
        <f>CUBEMEMBER("DESKTOP-KSAPEQM AS Model","[Geography].[Blocs].[Country].&amp;[Dominican Republic]")</f>
        <v>Dominican Republic</v>
      </c>
      <c r="B60" vm="2444">
        <f t="shared" ref="B60:K69" si="27">CUBEVALUE("DESKTOP-KSAPEQM AS Model",$B$1,$B$2,$B$3,$B$4,$B$5,$A$7,$A60,B$8)</f>
        <v>1485500032</v>
      </c>
      <c r="C60" vm="3363">
        <f t="shared" si="27"/>
        <v>1666499968</v>
      </c>
      <c r="D60" vm="3236">
        <f t="shared" si="27"/>
        <v>1987399936</v>
      </c>
      <c r="E60" vm="3112">
        <f t="shared" si="27"/>
        <v>2344800000</v>
      </c>
      <c r="F60" vm="3030">
        <f t="shared" si="27"/>
        <v>2925700096</v>
      </c>
      <c r="G60" vm="2948">
        <f t="shared" si="27"/>
        <v>3599200000</v>
      </c>
      <c r="H60" vm="2855">
        <f t="shared" si="27"/>
        <v>3951500032</v>
      </c>
      <c r="I60" vm="1967">
        <f t="shared" si="27"/>
        <v>4587100160</v>
      </c>
      <c r="J60" vm="1840">
        <f t="shared" si="27"/>
        <v>4734400000</v>
      </c>
      <c r="K60" vm="2748">
        <f t="shared" si="27"/>
        <v>5498800128</v>
      </c>
      <c r="L60" vm="2668">
        <f t="shared" ref="L60:U69" si="28">CUBEVALUE("DESKTOP-KSAPEQM AS Model",$B$1,$B$2,$B$3,$B$4,$B$5,$A$7,$A60,L$8)</f>
        <v>6761299968</v>
      </c>
      <c r="M60" vm="2588">
        <f t="shared" si="28"/>
        <v>7561299968</v>
      </c>
      <c r="N60" vm="2498">
        <f t="shared" si="28"/>
        <v>8267400192</v>
      </c>
      <c r="O60" vm="3804">
        <f t="shared" si="28"/>
        <v>9220599808</v>
      </c>
      <c r="P60" vm="4281">
        <f t="shared" si="28"/>
        <v>11594000384</v>
      </c>
      <c r="Q60" vm="3711">
        <f t="shared" si="28"/>
        <v>5044593152</v>
      </c>
      <c r="R60" vm="2443">
        <f t="shared" si="28"/>
        <v>6122198016</v>
      </c>
      <c r="S60" vm="3606">
        <f t="shared" si="28"/>
        <v>5826987008</v>
      </c>
      <c r="T60" vm="3527">
        <f t="shared" si="28"/>
        <v>5374315008</v>
      </c>
      <c r="U60" vm="3450">
        <f t="shared" si="28"/>
        <v>6686593024</v>
      </c>
      <c r="V60" vm="3362">
        <f t="shared" ref="V60:AE69" si="29">CUBEVALUE("DESKTOP-KSAPEQM AS Model",$B$1,$B$2,$B$3,$B$4,$B$5,$A$7,$A60,V$8)</f>
        <v>7073675776</v>
      </c>
      <c r="W60" vm="3235">
        <f t="shared" si="29"/>
        <v>9734322176</v>
      </c>
      <c r="X60" vm="3111">
        <f t="shared" si="29"/>
        <v>11356271616</v>
      </c>
      <c r="Y60" vm="1966">
        <f t="shared" si="29"/>
        <v>13081041920</v>
      </c>
      <c r="Z60" vm="1839">
        <f t="shared" si="29"/>
        <v>14664238080</v>
      </c>
      <c r="AA60" vm="3029">
        <f t="shared" si="29"/>
        <v>16598679552</v>
      </c>
      <c r="AB60" vm="2947">
        <f t="shared" si="29"/>
        <v>18241691648</v>
      </c>
      <c r="AC60" vm="2854">
        <f t="shared" si="29"/>
        <v>20017909760</v>
      </c>
      <c r="AD60" vm="2747">
        <f t="shared" si="29"/>
        <v>21672525824</v>
      </c>
      <c r="AE60" vm="2667">
        <f t="shared" si="29"/>
        <v>22137600000</v>
      </c>
      <c r="AF60" vm="2587">
        <f t="shared" ref="AF60:AO69" si="30">CUBEVALUE("DESKTOP-KSAPEQM AS Model",$B$1,$B$2,$B$3,$B$4,$B$5,$A$7,$A60,AF$8)</f>
        <v>24305117184</v>
      </c>
      <c r="AG60" vm="2497">
        <f t="shared" si="30"/>
        <v>25599311872</v>
      </c>
      <c r="AH60" vm="2442">
        <f t="shared" si="30"/>
        <v>27362875392</v>
      </c>
      <c r="AI60" vm="3803">
        <f t="shared" si="30"/>
        <v>21642883072</v>
      </c>
      <c r="AJ60" vm="4206">
        <f t="shared" si="30"/>
        <v>22692575232</v>
      </c>
      <c r="AK60" vm="3710">
        <f t="shared" si="30"/>
        <v>36119048192</v>
      </c>
      <c r="AL60" vm="3605">
        <f t="shared" si="30"/>
        <v>38116352000</v>
      </c>
      <c r="AM60" vm="3526">
        <f t="shared" si="30"/>
        <v>43965419520</v>
      </c>
      <c r="AN60" vm="3449">
        <f t="shared" si="30"/>
        <v>48122548224</v>
      </c>
      <c r="AO60" vm="1965">
        <f t="shared" si="30"/>
        <v>48261033984</v>
      </c>
      <c r="AP60" vm="1838">
        <f t="shared" ref="AP60:AZ69" si="31">CUBEVALUE("DESKTOP-KSAPEQM AS Model",$B$1,$B$2,$B$3,$B$4,$B$5,$A$7,$A60,AP$8)</f>
        <v>53860175872</v>
      </c>
      <c r="AQ60" vm="3361">
        <f t="shared" si="31"/>
        <v>58029752320</v>
      </c>
      <c r="AR60" vm="3234">
        <f t="shared" si="31"/>
        <v>60681535488</v>
      </c>
      <c r="AS60" vm="3110">
        <f t="shared" si="31"/>
        <v>62682165248</v>
      </c>
      <c r="AT60" vm="3028">
        <f t="shared" si="31"/>
        <v>67179913216</v>
      </c>
      <c r="AU60" vm="2946">
        <f t="shared" si="31"/>
        <v>71164821504</v>
      </c>
      <c r="AV60" vm="2853">
        <f t="shared" si="31"/>
        <v>75704721408</v>
      </c>
      <c r="AW60" vm="2746">
        <f t="shared" si="31"/>
        <v>79997976576</v>
      </c>
      <c r="AX60" vm="2441">
        <f t="shared" si="31"/>
        <v>85555380224</v>
      </c>
      <c r="AY60" vm="2666">
        <f t="shared" si="31"/>
        <v>88941297664</v>
      </c>
      <c r="AZ60" vm="2586">
        <f t="shared" si="31"/>
        <v>1299803047424</v>
      </c>
    </row>
    <row r="61" spans="1:52" x14ac:dyDescent="0.45">
      <c r="A61" s="4" t="str" vm="112">
        <f>CUBEMEMBER("DESKTOP-KSAPEQM AS Model","[Geography].[Blocs].[Country].&amp;[Ecuador]")</f>
        <v>Ecuador</v>
      </c>
      <c r="B61" vm="2496">
        <f t="shared" si="27"/>
        <v>2862504192</v>
      </c>
      <c r="C61" vm="3802">
        <f t="shared" si="27"/>
        <v>2754220288</v>
      </c>
      <c r="D61" vm="4135">
        <f t="shared" si="27"/>
        <v>3185987328</v>
      </c>
      <c r="E61" vm="3709">
        <f t="shared" si="27"/>
        <v>3891755520</v>
      </c>
      <c r="F61" vm="1964">
        <f t="shared" si="27"/>
        <v>6599259648</v>
      </c>
      <c r="G61" vm="1837">
        <f t="shared" si="27"/>
        <v>7731677184</v>
      </c>
      <c r="H61" vm="3604">
        <f t="shared" si="27"/>
        <v>9091923968</v>
      </c>
      <c r="I61" vm="3525">
        <f t="shared" si="27"/>
        <v>11026347008</v>
      </c>
      <c r="J61" vm="3448">
        <f t="shared" si="27"/>
        <v>11922502656</v>
      </c>
      <c r="K61" vm="3360">
        <f t="shared" si="27"/>
        <v>14175166464</v>
      </c>
      <c r="L61" vm="3233">
        <f t="shared" si="28"/>
        <v>17881513984</v>
      </c>
      <c r="M61" vm="3109">
        <f t="shared" si="28"/>
        <v>21810767872</v>
      </c>
      <c r="N61" vm="3027">
        <f t="shared" si="28"/>
        <v>19929853952</v>
      </c>
      <c r="O61" vm="2440">
        <f t="shared" si="28"/>
        <v>17152483328</v>
      </c>
      <c r="P61" vm="2945">
        <f t="shared" si="28"/>
        <v>16912515072</v>
      </c>
      <c r="Q61" vm="2852">
        <f t="shared" si="28"/>
        <v>17149094912</v>
      </c>
      <c r="R61" vm="2745">
        <f t="shared" si="28"/>
        <v>15314144256</v>
      </c>
      <c r="S61" vm="2665">
        <f t="shared" si="28"/>
        <v>13945432064</v>
      </c>
      <c r="T61" vm="2585">
        <f t="shared" si="28"/>
        <v>13051886592</v>
      </c>
      <c r="U61" vm="2495">
        <f t="shared" si="28"/>
        <v>13890828288</v>
      </c>
      <c r="V61" vm="1963">
        <f t="shared" si="29"/>
        <v>15239278592</v>
      </c>
      <c r="W61" vm="1836">
        <f t="shared" si="29"/>
        <v>16988534784</v>
      </c>
      <c r="X61" vm="3801">
        <f t="shared" si="29"/>
        <v>18094237696</v>
      </c>
      <c r="Y61" vm="4064">
        <f t="shared" si="29"/>
        <v>18938718208</v>
      </c>
      <c r="Z61" vm="3708">
        <f t="shared" si="29"/>
        <v>22708672512</v>
      </c>
      <c r="AA61" vm="3603">
        <f t="shared" si="29"/>
        <v>24432883712</v>
      </c>
      <c r="AB61" vm="3524">
        <f t="shared" si="29"/>
        <v>25226393600</v>
      </c>
      <c r="AC61" vm="3447">
        <f t="shared" si="29"/>
        <v>28162052096</v>
      </c>
      <c r="AD61" vm="3359">
        <f t="shared" si="29"/>
        <v>27981897728</v>
      </c>
      <c r="AE61" vm="2439">
        <f t="shared" si="29"/>
        <v>19645272064</v>
      </c>
      <c r="AF61" vm="3232">
        <f t="shared" si="30"/>
        <v>18327764992</v>
      </c>
      <c r="AG61" vm="3108">
        <f t="shared" si="30"/>
        <v>24468324352</v>
      </c>
      <c r="AH61" vm="3026">
        <f t="shared" si="30"/>
        <v>28548945920</v>
      </c>
      <c r="AI61" vm="2944">
        <f t="shared" si="30"/>
        <v>32432857088</v>
      </c>
      <c r="AJ61" vm="2851">
        <f t="shared" si="30"/>
        <v>36591661056</v>
      </c>
      <c r="AK61" vm="2744">
        <f t="shared" si="30"/>
        <v>41507086336</v>
      </c>
      <c r="AL61" vm="1962">
        <f t="shared" si="30"/>
        <v>46802042880</v>
      </c>
      <c r="AM61" vm="1835">
        <f t="shared" si="30"/>
        <v>51007778816</v>
      </c>
      <c r="AN61" vm="2664">
        <f t="shared" si="30"/>
        <v>61762633728</v>
      </c>
      <c r="AO61" vm="2584">
        <f t="shared" si="30"/>
        <v>62519685120</v>
      </c>
      <c r="AP61" vm="2494">
        <f t="shared" si="31"/>
        <v>69555363840</v>
      </c>
      <c r="AQ61" vm="3800">
        <f t="shared" si="31"/>
        <v>79276662784</v>
      </c>
      <c r="AR61" vm="3984">
        <f t="shared" si="31"/>
        <v>87924547584</v>
      </c>
      <c r="AS61" vm="3707">
        <f t="shared" si="31"/>
        <v>95129657344</v>
      </c>
      <c r="AT61" vm="3602">
        <f t="shared" si="31"/>
        <v>101726330880</v>
      </c>
      <c r="AU61" vm="2438">
        <f t="shared" si="31"/>
        <v>99290382336</v>
      </c>
      <c r="AV61" vm="3523">
        <f t="shared" si="31"/>
        <v>99937697792</v>
      </c>
      <c r="AW61" vm="3446">
        <f t="shared" si="31"/>
        <v>104295858176</v>
      </c>
      <c r="AX61" vm="3358">
        <f t="shared" si="31"/>
        <v>107562008576</v>
      </c>
      <c r="AY61" vm="3231">
        <f t="shared" si="31"/>
        <v>107435663360</v>
      </c>
      <c r="AZ61" vm="3107">
        <f t="shared" si="31"/>
        <v>1813800758528</v>
      </c>
    </row>
    <row r="62" spans="1:52" x14ac:dyDescent="0.45">
      <c r="A62" s="4" t="str" vm="99">
        <f>CUBEMEMBER("DESKTOP-KSAPEQM AS Model","[Geography].[Blocs].[Country].&amp;[El Salvador]")</f>
        <v>El Salvador</v>
      </c>
      <c r="B62" vm="3025">
        <f t="shared" si="27"/>
        <v>1132920064</v>
      </c>
      <c r="C62" vm="1961">
        <f t="shared" si="27"/>
        <v>1186119936</v>
      </c>
      <c r="D62" vm="1834">
        <f t="shared" si="27"/>
        <v>1263719936</v>
      </c>
      <c r="E62" vm="2943">
        <f t="shared" si="27"/>
        <v>1442320000</v>
      </c>
      <c r="F62" vm="2850">
        <f t="shared" si="27"/>
        <v>1665880064</v>
      </c>
      <c r="G62" vm="2743">
        <f t="shared" si="27"/>
        <v>1884120064</v>
      </c>
      <c r="H62" vm="2663">
        <f t="shared" si="27"/>
        <v>2328280064</v>
      </c>
      <c r="I62" vm="2583">
        <f t="shared" si="27"/>
        <v>2941640192</v>
      </c>
      <c r="J62" vm="2493">
        <f t="shared" si="27"/>
        <v>3127960064</v>
      </c>
      <c r="K62" vm="3799">
        <f t="shared" si="27"/>
        <v>3463639808</v>
      </c>
      <c r="L62" vm="2437">
        <f t="shared" si="28"/>
        <v>3573959936</v>
      </c>
      <c r="M62" vm="3886">
        <f t="shared" si="28"/>
        <v>3437200128</v>
      </c>
      <c r="N62" vm="3706">
        <f t="shared" si="28"/>
        <v>3399188992</v>
      </c>
      <c r="O62" vm="3601">
        <f t="shared" si="28"/>
        <v>3506347776</v>
      </c>
      <c r="P62" vm="3522">
        <f t="shared" si="28"/>
        <v>3661683456</v>
      </c>
      <c r="Q62" vm="3445">
        <f t="shared" si="28"/>
        <v>3800368640</v>
      </c>
      <c r="R62" vm="3357">
        <f t="shared" si="28"/>
        <v>3771663104</v>
      </c>
      <c r="S62" vm="1960">
        <f t="shared" si="28"/>
        <v>3958045696</v>
      </c>
      <c r="T62" vm="1833">
        <f t="shared" si="28"/>
        <v>4189880064</v>
      </c>
      <c r="U62" vm="3230">
        <f t="shared" si="28"/>
        <v>4372215296</v>
      </c>
      <c r="V62" vm="3106">
        <f t="shared" si="29"/>
        <v>4817542144</v>
      </c>
      <c r="W62" vm="3024">
        <f t="shared" si="29"/>
        <v>5252342272</v>
      </c>
      <c r="X62" vm="2942">
        <f t="shared" si="29"/>
        <v>5813399552</v>
      </c>
      <c r="Y62" vm="2849">
        <f t="shared" si="29"/>
        <v>6680269312</v>
      </c>
      <c r="Z62" vm="2742">
        <f t="shared" si="29"/>
        <v>7679384064</v>
      </c>
      <c r="AA62" vm="2662">
        <f t="shared" si="29"/>
        <v>8921947136</v>
      </c>
      <c r="AB62" vm="2436">
        <f t="shared" si="29"/>
        <v>9586327552</v>
      </c>
      <c r="AC62" vm="2582">
        <f t="shared" si="29"/>
        <v>10221706240</v>
      </c>
      <c r="AD62" vm="2492">
        <f t="shared" si="29"/>
        <v>10936670208</v>
      </c>
      <c r="AE62" vm="3798">
        <f t="shared" si="29"/>
        <v>11284197376</v>
      </c>
      <c r="AF62" vm="5153">
        <f t="shared" si="30"/>
        <v>11784927232</v>
      </c>
      <c r="AG62" vm="3705">
        <f t="shared" si="30"/>
        <v>12282533888</v>
      </c>
      <c r="AH62" vm="3600">
        <f t="shared" si="30"/>
        <v>12664189952</v>
      </c>
      <c r="AI62" vm="1959">
        <f t="shared" si="30"/>
        <v>13243891712</v>
      </c>
      <c r="AJ62" vm="1832">
        <f t="shared" si="30"/>
        <v>13724811264</v>
      </c>
      <c r="AK62" vm="3521">
        <f t="shared" si="30"/>
        <v>14698001408</v>
      </c>
      <c r="AL62" vm="3444">
        <f t="shared" si="30"/>
        <v>15999886336</v>
      </c>
      <c r="AM62" vm="3356">
        <f t="shared" si="30"/>
        <v>17011750912</v>
      </c>
      <c r="AN62" vm="3229">
        <f t="shared" si="30"/>
        <v>17986889728</v>
      </c>
      <c r="AO62" vm="3105">
        <f t="shared" si="30"/>
        <v>17601619968</v>
      </c>
      <c r="AP62" vm="3023">
        <f t="shared" si="31"/>
        <v>18447998976</v>
      </c>
      <c r="AQ62" vm="2941">
        <f t="shared" si="31"/>
        <v>20284000256</v>
      </c>
      <c r="AR62" vm="2435">
        <f t="shared" si="31"/>
        <v>21386000384</v>
      </c>
      <c r="AS62" vm="2848">
        <f t="shared" si="31"/>
        <v>21990969344</v>
      </c>
      <c r="AT62" vm="2741">
        <f t="shared" si="31"/>
        <v>22593480704</v>
      </c>
      <c r="AU62" vm="2661">
        <f t="shared" si="31"/>
        <v>23438239744</v>
      </c>
      <c r="AV62" vm="2581">
        <f t="shared" si="31"/>
        <v>24191440896</v>
      </c>
      <c r="AW62" vm="2491">
        <f t="shared" si="31"/>
        <v>24979200000</v>
      </c>
      <c r="AX62" vm="3797">
        <f t="shared" si="31"/>
        <v>26117400576</v>
      </c>
      <c r="AY62" vm="1958">
        <f t="shared" si="31"/>
        <v>27022639104</v>
      </c>
      <c r="AZ62" vm="1831">
        <f t="shared" si="31"/>
        <v>516750811520</v>
      </c>
    </row>
    <row r="63" spans="1:52" x14ac:dyDescent="0.45">
      <c r="A63" s="4" t="str" vm="31">
        <f>CUBEMEMBER("DESKTOP-KSAPEQM AS Model","[Geography].[Blocs].[Country].&amp;[Fiji]")</f>
        <v>Fiji</v>
      </c>
      <c r="B63" vm="5051">
        <f t="shared" si="27"/>
        <v>219878480</v>
      </c>
      <c r="C63" vm="3704">
        <f t="shared" si="27"/>
        <v>247749328</v>
      </c>
      <c r="D63" vm="3599">
        <f t="shared" si="27"/>
        <v>316650496</v>
      </c>
      <c r="E63" vm="3520">
        <f t="shared" si="27"/>
        <v>425963360</v>
      </c>
      <c r="F63" vm="3443">
        <f t="shared" si="27"/>
        <v>558589888</v>
      </c>
      <c r="G63" vm="3355">
        <f t="shared" si="27"/>
        <v>684268288</v>
      </c>
      <c r="H63" vm="3228">
        <f t="shared" si="27"/>
        <v>694552384</v>
      </c>
      <c r="I63" vm="2434">
        <f t="shared" si="27"/>
        <v>719533120</v>
      </c>
      <c r="J63" vm="3104">
        <f t="shared" si="27"/>
        <v>829239488</v>
      </c>
      <c r="K63" vm="3022">
        <f t="shared" si="27"/>
        <v>1019743936</v>
      </c>
      <c r="L63" vm="2940">
        <f t="shared" si="28"/>
        <v>1202567296</v>
      </c>
      <c r="M63" vm="2847">
        <f t="shared" si="28"/>
        <v>1235899776</v>
      </c>
      <c r="N63" vm="2740">
        <f t="shared" si="28"/>
        <v>1194015488</v>
      </c>
      <c r="O63" vm="2660">
        <f t="shared" si="28"/>
        <v>1123107328</v>
      </c>
      <c r="P63" vm="1957">
        <f t="shared" si="28"/>
        <v>1177997440</v>
      </c>
      <c r="Q63" vm="1830">
        <f t="shared" si="28"/>
        <v>1141210112</v>
      </c>
      <c r="R63" vm="2580">
        <f t="shared" si="28"/>
        <v>1290228608</v>
      </c>
      <c r="S63" vm="2490">
        <f t="shared" si="28"/>
        <v>1177908224</v>
      </c>
      <c r="T63" vm="3796">
        <f t="shared" si="28"/>
        <v>1109976960</v>
      </c>
      <c r="U63" vm="4963">
        <f t="shared" si="28"/>
        <v>1182686592</v>
      </c>
      <c r="V63" vm="3703">
        <f t="shared" si="29"/>
        <v>1337024768</v>
      </c>
      <c r="W63" vm="3598">
        <f t="shared" si="29"/>
        <v>1383843840</v>
      </c>
      <c r="X63" vm="3519">
        <f t="shared" si="29"/>
        <v>1531803008</v>
      </c>
      <c r="Y63" vm="2433">
        <f t="shared" si="29"/>
        <v>1635426176</v>
      </c>
      <c r="Z63" vm="3442">
        <f t="shared" si="29"/>
        <v>1825285120</v>
      </c>
      <c r="AA63" vm="3354">
        <f t="shared" si="29"/>
        <v>1970347776</v>
      </c>
      <c r="AB63" vm="3227">
        <f t="shared" si="29"/>
        <v>2129266688</v>
      </c>
      <c r="AC63" vm="3103">
        <f t="shared" si="29"/>
        <v>2093994624</v>
      </c>
      <c r="AD63" vm="3021">
        <f t="shared" si="29"/>
        <v>1656784768</v>
      </c>
      <c r="AE63" vm="2939">
        <f t="shared" si="29"/>
        <v>1942171008</v>
      </c>
      <c r="AF63" vm="1956">
        <f t="shared" si="30"/>
        <v>1684109696</v>
      </c>
      <c r="AG63" vm="1829">
        <f t="shared" si="30"/>
        <v>1660102400</v>
      </c>
      <c r="AH63" vm="2846">
        <f t="shared" si="30"/>
        <v>1842691456</v>
      </c>
      <c r="AI63" vm="2739">
        <f t="shared" si="30"/>
        <v>2315935744</v>
      </c>
      <c r="AJ63" vm="2659">
        <f t="shared" si="30"/>
        <v>2727507200</v>
      </c>
      <c r="AK63" vm="2579">
        <f t="shared" si="30"/>
        <v>3006725120</v>
      </c>
      <c r="AL63" vm="2489">
        <f t="shared" si="30"/>
        <v>3102741504</v>
      </c>
      <c r="AM63" vm="3795">
        <f t="shared" si="30"/>
        <v>3405050624</v>
      </c>
      <c r="AN63" vm="4890">
        <f t="shared" si="30"/>
        <v>3523185920</v>
      </c>
      <c r="AO63" vm="2432">
        <f t="shared" si="30"/>
        <v>2870624512</v>
      </c>
      <c r="AP63" vm="3702">
        <f t="shared" si="31"/>
        <v>3140508928</v>
      </c>
      <c r="AQ63" vm="3597">
        <f t="shared" si="31"/>
        <v>3774530560</v>
      </c>
      <c r="AR63" vm="3518">
        <f t="shared" si="31"/>
        <v>3972012544</v>
      </c>
      <c r="AS63" vm="3441">
        <f t="shared" si="31"/>
        <v>4190143232</v>
      </c>
      <c r="AT63" vm="3353">
        <f t="shared" si="31"/>
        <v>4856963072</v>
      </c>
      <c r="AU63" vm="3226">
        <f t="shared" si="31"/>
        <v>4682546688</v>
      </c>
      <c r="AV63" vm="1955">
        <f t="shared" si="31"/>
        <v>4930204160</v>
      </c>
      <c r="AW63" vm="1828">
        <f t="shared" si="31"/>
        <v>5353404416</v>
      </c>
      <c r="AX63" vm="3102">
        <f t="shared" si="31"/>
        <v>5536759808</v>
      </c>
      <c r="AY63" vm="3020">
        <f t="shared" si="31"/>
        <v>5535548928</v>
      </c>
      <c r="AZ63" vm="2938">
        <f t="shared" si="31"/>
        <v>107169010880</v>
      </c>
    </row>
    <row r="64" spans="1:52" x14ac:dyDescent="0.45">
      <c r="A64" s="4" t="str" vm="24">
        <f>CUBEMEMBER("DESKTOP-KSAPEQM AS Model","[Geography].[Blocs].[Country].&amp;[Gabon]")</f>
        <v>Gabon</v>
      </c>
      <c r="B64" vm="2845">
        <f t="shared" si="27"/>
        <v>323802464</v>
      </c>
      <c r="C64" vm="2738">
        <f t="shared" si="27"/>
        <v>381687072</v>
      </c>
      <c r="D64" vm="2658">
        <f t="shared" si="27"/>
        <v>430508352</v>
      </c>
      <c r="E64" vm="2578">
        <f t="shared" si="27"/>
        <v>722780672</v>
      </c>
      <c r="F64" vm="2431">
        <f t="shared" si="27"/>
        <v>1544216064</v>
      </c>
      <c r="G64" vm="2488">
        <f t="shared" si="27"/>
        <v>2157592832</v>
      </c>
      <c r="H64" vm="3794">
        <f t="shared" si="27"/>
        <v>3009410048</v>
      </c>
      <c r="I64" vm="4823">
        <f t="shared" si="27"/>
        <v>2809349120</v>
      </c>
      <c r="J64" vm="3701">
        <f t="shared" si="27"/>
        <v>2389479168</v>
      </c>
      <c r="K64" vm="3596">
        <f t="shared" si="27"/>
        <v>3030251008</v>
      </c>
      <c r="L64" vm="3517">
        <f t="shared" si="28"/>
        <v>4279638016</v>
      </c>
      <c r="M64" vm="1954">
        <f t="shared" si="28"/>
        <v>3862269184</v>
      </c>
      <c r="N64" vm="1827">
        <f t="shared" si="28"/>
        <v>3618007808</v>
      </c>
      <c r="O64" vm="3440">
        <f t="shared" si="28"/>
        <v>3391275776</v>
      </c>
      <c r="P64" vm="3352">
        <f t="shared" si="28"/>
        <v>3561451520</v>
      </c>
      <c r="Q64" vm="3225">
        <f t="shared" si="28"/>
        <v>3339914752</v>
      </c>
      <c r="R64" vm="3101">
        <f t="shared" si="28"/>
        <v>3403638272</v>
      </c>
      <c r="S64" vm="3019">
        <f t="shared" si="28"/>
        <v>3281797120</v>
      </c>
      <c r="T64" vm="2937">
        <f t="shared" si="28"/>
        <v>3834503424</v>
      </c>
      <c r="U64" vm="2844">
        <f t="shared" si="28"/>
        <v>4186411520</v>
      </c>
      <c r="V64" vm="2430">
        <f t="shared" si="29"/>
        <v>5952293888</v>
      </c>
      <c r="W64" vm="2737">
        <f t="shared" si="29"/>
        <v>5402919936</v>
      </c>
      <c r="X64" vm="2657">
        <f t="shared" si="29"/>
        <v>5592390656</v>
      </c>
      <c r="Y64" vm="2577">
        <f t="shared" si="29"/>
        <v>4378644992</v>
      </c>
      <c r="Z64" vm="2487">
        <f t="shared" si="29"/>
        <v>4190819328</v>
      </c>
      <c r="AA64" vm="3793">
        <f t="shared" si="29"/>
        <v>4958845952</v>
      </c>
      <c r="AB64" vm="4754">
        <f t="shared" si="29"/>
        <v>5694040576</v>
      </c>
      <c r="AC64" vm="1953">
        <f t="shared" si="29"/>
        <v>5326816768</v>
      </c>
      <c r="AD64" vm="1826">
        <f t="shared" si="29"/>
        <v>4483417088</v>
      </c>
      <c r="AE64" vm="3700">
        <f t="shared" si="29"/>
        <v>4662991872</v>
      </c>
      <c r="AF64" vm="3595">
        <f t="shared" si="30"/>
        <v>5067865088</v>
      </c>
      <c r="AG64" vm="3516">
        <f t="shared" si="30"/>
        <v>5018874368</v>
      </c>
      <c r="AH64" vm="3439">
        <f t="shared" si="30"/>
        <v>5310381056</v>
      </c>
      <c r="AI64" vm="3351">
        <f t="shared" si="30"/>
        <v>6497305600</v>
      </c>
      <c r="AJ64" vm="3224">
        <f t="shared" si="30"/>
        <v>7756293632</v>
      </c>
      <c r="AK64" vm="3100">
        <f t="shared" si="30"/>
        <v>9578973184</v>
      </c>
      <c r="AL64" vm="2429">
        <f t="shared" si="30"/>
        <v>10318424064</v>
      </c>
      <c r="AM64" vm="3018">
        <f t="shared" si="30"/>
        <v>12438957056</v>
      </c>
      <c r="AN64" vm="2936">
        <f t="shared" si="30"/>
        <v>15508575232</v>
      </c>
      <c r="AO64" vm="2843">
        <f t="shared" si="30"/>
        <v>12065138688</v>
      </c>
      <c r="AP64" vm="2736">
        <f t="shared" si="31"/>
        <v>14372591616</v>
      </c>
      <c r="AQ64" vm="2656">
        <f t="shared" si="31"/>
        <v>18210308096</v>
      </c>
      <c r="AR64" vm="2576">
        <f t="shared" si="31"/>
        <v>17170465792</v>
      </c>
      <c r="AS64" vm="1952">
        <f t="shared" si="31"/>
        <v>17595746304</v>
      </c>
      <c r="AT64" vm="1825">
        <f t="shared" si="31"/>
        <v>18203967488</v>
      </c>
      <c r="AU64" vm="2486">
        <f t="shared" si="31"/>
        <v>14383108096</v>
      </c>
      <c r="AV64" vm="3792">
        <f t="shared" si="31"/>
        <v>14023890944</v>
      </c>
      <c r="AW64" vm="4677">
        <f t="shared" si="31"/>
        <v>14929488896</v>
      </c>
      <c r="AX64" vm="3699">
        <f t="shared" si="31"/>
        <v>16862282752</v>
      </c>
      <c r="AY64" vm="3594">
        <f t="shared" si="31"/>
        <v>16657959936</v>
      </c>
      <c r="AZ64" vm="3515">
        <f t="shared" si="31"/>
        <v>356171763136</v>
      </c>
    </row>
    <row r="65" spans="1:52" x14ac:dyDescent="0.45">
      <c r="A65" s="4" t="str" vm="9">
        <f>CUBEMEMBER("DESKTOP-KSAPEQM AS Model","[Geography].[Blocs].[Country].&amp;[Gambia]")</f>
        <v>Gambia</v>
      </c>
      <c r="B65" vm="3438">
        <f t="shared" si="27"/>
        <v>52296836</v>
      </c>
      <c r="C65" vm="2428">
        <f t="shared" si="27"/>
        <v>55728608</v>
      </c>
      <c r="D65" vm="3350">
        <f t="shared" si="27"/>
        <v>59161544</v>
      </c>
      <c r="E65" vm="3223">
        <f t="shared" si="27"/>
        <v>75187968</v>
      </c>
      <c r="F65" vm="3099">
        <f t="shared" si="27"/>
        <v>95797536</v>
      </c>
      <c r="G65" vm="3017">
        <f t="shared" si="27"/>
        <v>115182520</v>
      </c>
      <c r="H65" vm="2935">
        <f t="shared" si="27"/>
        <v>112189472</v>
      </c>
      <c r="I65" vm="2842">
        <f t="shared" si="27"/>
        <v>138094240</v>
      </c>
      <c r="J65" vm="1951">
        <f t="shared" si="27"/>
        <v>171836800</v>
      </c>
      <c r="K65" vm="1824">
        <f t="shared" si="27"/>
        <v>207114384</v>
      </c>
      <c r="L65" vm="2735">
        <f t="shared" si="28"/>
        <v>241080704</v>
      </c>
      <c r="M65" vm="2655">
        <f t="shared" si="28"/>
        <v>218764448</v>
      </c>
      <c r="N65" vm="2575">
        <f t="shared" si="28"/>
        <v>216051488</v>
      </c>
      <c r="O65" vm="2485">
        <f t="shared" si="28"/>
        <v>213446560</v>
      </c>
      <c r="P65" vm="3791">
        <f t="shared" si="28"/>
        <v>177338800</v>
      </c>
      <c r="Q65" vm="4595">
        <f t="shared" si="28"/>
        <v>225724848</v>
      </c>
      <c r="R65" vm="3698">
        <f t="shared" si="28"/>
        <v>185646208</v>
      </c>
      <c r="S65" vm="2427">
        <f t="shared" si="28"/>
        <v>220626480</v>
      </c>
      <c r="T65" vm="3593">
        <f t="shared" si="28"/>
        <v>266673120</v>
      </c>
      <c r="U65" vm="3514">
        <f t="shared" si="28"/>
        <v>284119680</v>
      </c>
      <c r="V65" vm="3437">
        <f t="shared" si="29"/>
        <v>317083360</v>
      </c>
      <c r="W65" vm="3349">
        <f t="shared" si="29"/>
        <v>690314304</v>
      </c>
      <c r="X65" vm="3222">
        <f t="shared" si="29"/>
        <v>714255488</v>
      </c>
      <c r="Y65" vm="3098">
        <f t="shared" si="29"/>
        <v>755042560</v>
      </c>
      <c r="Z65" vm="1950">
        <f t="shared" si="29"/>
        <v>746491712</v>
      </c>
      <c r="AA65" vm="1823">
        <f t="shared" si="29"/>
        <v>785996992</v>
      </c>
      <c r="AB65" vm="3016">
        <f t="shared" si="29"/>
        <v>848237120</v>
      </c>
      <c r="AC65" vm="2934">
        <f t="shared" si="29"/>
        <v>803630720</v>
      </c>
      <c r="AD65" vm="2841">
        <f t="shared" si="29"/>
        <v>840285248</v>
      </c>
      <c r="AE65" vm="2734">
        <f t="shared" si="29"/>
        <v>814723456</v>
      </c>
      <c r="AF65" vm="2654">
        <f t="shared" si="30"/>
        <v>782915392</v>
      </c>
      <c r="AG65" vm="1459">
        <f t="shared" si="30"/>
        <v>687408832</v>
      </c>
      <c r="AH65" vm="2574">
        <f t="shared" si="30"/>
        <v>578236032</v>
      </c>
      <c r="AI65" vm="2426">
        <f t="shared" si="30"/>
        <v>487038816</v>
      </c>
      <c r="AJ65" vm="2484">
        <f t="shared" si="30"/>
        <v>961900096</v>
      </c>
      <c r="AK65" vm="3790">
        <f t="shared" si="30"/>
        <v>1027702272</v>
      </c>
      <c r="AL65" vm="4481">
        <f t="shared" si="30"/>
        <v>1054113408</v>
      </c>
      <c r="AM65" vm="3697">
        <f t="shared" si="30"/>
        <v>1279704704</v>
      </c>
      <c r="AN65" vm="3592">
        <f t="shared" si="30"/>
        <v>1561763456</v>
      </c>
      <c r="AO65" vm="2070">
        <f t="shared" si="30"/>
        <v>1450140416</v>
      </c>
      <c r="AP65" vm="1949">
        <f t="shared" si="31"/>
        <v>1543292416</v>
      </c>
      <c r="AQ65" vm="1822">
        <f t="shared" si="31"/>
        <v>1409694592</v>
      </c>
      <c r="AR65" vm="3513">
        <f t="shared" si="31"/>
        <v>1415006208</v>
      </c>
      <c r="AS65" vm="3436">
        <f t="shared" si="31"/>
        <v>1375608960</v>
      </c>
      <c r="AT65" vm="3348">
        <f t="shared" si="31"/>
        <v>1229460608</v>
      </c>
      <c r="AU65" vm="3221">
        <f t="shared" si="31"/>
        <v>1354788608</v>
      </c>
      <c r="AV65" vm="3097">
        <f t="shared" si="31"/>
        <v>1470006016</v>
      </c>
      <c r="AW65" vm="1458">
        <f t="shared" si="31"/>
        <v>1498044544</v>
      </c>
      <c r="AX65" vm="3015">
        <f t="shared" si="31"/>
        <v>1624600832</v>
      </c>
      <c r="AY65" vm="2425">
        <f t="shared" si="31"/>
        <v>1763819008</v>
      </c>
      <c r="AZ65" vm="2933">
        <f t="shared" si="31"/>
        <v>35203368420</v>
      </c>
    </row>
    <row r="66" spans="1:52" x14ac:dyDescent="0.45">
      <c r="A66" s="4" t="str" vm="90">
        <f>CUBEMEMBER("DESKTOP-KSAPEQM AS Model","[Geography].[Blocs].[Country].&amp;[Ghana]")</f>
        <v>Ghana</v>
      </c>
      <c r="B66" vm="2840">
        <f t="shared" si="27"/>
        <v>2215029504</v>
      </c>
      <c r="C66" vm="2733">
        <f t="shared" si="27"/>
        <v>2417107712</v>
      </c>
      <c r="D66" vm="2653">
        <f t="shared" si="27"/>
        <v>2112292992</v>
      </c>
      <c r="E66" vm="2573">
        <f t="shared" si="27"/>
        <v>2465492992</v>
      </c>
      <c r="F66" vm="2069">
        <f t="shared" si="27"/>
        <v>2894409984</v>
      </c>
      <c r="G66" vm="1948">
        <f t="shared" si="27"/>
        <v>2810106368</v>
      </c>
      <c r="H66" vm="1821">
        <f t="shared" si="27"/>
        <v>2765254144</v>
      </c>
      <c r="I66" vm="2483">
        <f t="shared" si="27"/>
        <v>3189428480</v>
      </c>
      <c r="J66" vm="3789">
        <f t="shared" si="27"/>
        <v>3662478080</v>
      </c>
      <c r="K66" vm="4369">
        <f t="shared" si="27"/>
        <v>4020227840</v>
      </c>
      <c r="L66" vm="3696">
        <f t="shared" si="28"/>
        <v>4445228032</v>
      </c>
      <c r="M66" vm="3591">
        <f t="shared" si="28"/>
        <v>4222441728</v>
      </c>
      <c r="N66" vm="1457">
        <f t="shared" si="28"/>
        <v>4035994368</v>
      </c>
      <c r="O66" vm="3512">
        <f t="shared" si="28"/>
        <v>4057275136</v>
      </c>
      <c r="P66" vm="2424">
        <f t="shared" si="28"/>
        <v>4412279808</v>
      </c>
      <c r="Q66" vm="3435">
        <f t="shared" si="28"/>
        <v>4504342016</v>
      </c>
      <c r="R66" vm="3347">
        <f t="shared" si="28"/>
        <v>5727602688</v>
      </c>
      <c r="S66" vm="3220">
        <f t="shared" si="28"/>
        <v>5074829824</v>
      </c>
      <c r="T66" vm="3096">
        <f t="shared" si="28"/>
        <v>5197840896</v>
      </c>
      <c r="U66" vm="3014">
        <f t="shared" si="28"/>
        <v>5251764224</v>
      </c>
      <c r="V66" vm="2068">
        <f t="shared" si="29"/>
        <v>5889175040</v>
      </c>
      <c r="W66" vm="1947">
        <f t="shared" si="29"/>
        <v>6596546048</v>
      </c>
      <c r="X66" vm="1820">
        <f t="shared" si="29"/>
        <v>6413901824</v>
      </c>
      <c r="Y66" vm="2932">
        <f t="shared" si="29"/>
        <v>5966255616</v>
      </c>
      <c r="Z66" vm="2839">
        <f t="shared" si="29"/>
        <v>5444560896</v>
      </c>
      <c r="AA66" vm="2732">
        <f t="shared" si="29"/>
        <v>6465137664</v>
      </c>
      <c r="AB66" vm="2652">
        <f t="shared" si="29"/>
        <v>6934984704</v>
      </c>
      <c r="AC66" vm="2572">
        <f t="shared" si="29"/>
        <v>6891308544</v>
      </c>
      <c r="AD66" vm="1456">
        <f t="shared" si="29"/>
        <v>7480968704</v>
      </c>
      <c r="AE66" vm="2482">
        <f t="shared" si="29"/>
        <v>7719354880</v>
      </c>
      <c r="AF66" vm="2423">
        <f t="shared" si="30"/>
        <v>4983024640</v>
      </c>
      <c r="AG66" vm="3788">
        <f t="shared" si="30"/>
        <v>5314910208</v>
      </c>
      <c r="AH66" vm="4280">
        <f t="shared" si="30"/>
        <v>6166330368</v>
      </c>
      <c r="AI66" vm="3695">
        <f t="shared" si="30"/>
        <v>7632406528</v>
      </c>
      <c r="AJ66" vm="3590">
        <f t="shared" si="30"/>
        <v>8881368064</v>
      </c>
      <c r="AK66" vm="3511">
        <f t="shared" si="30"/>
        <v>10731633664</v>
      </c>
      <c r="AL66" vm="2067">
        <f t="shared" si="30"/>
        <v>20409667584</v>
      </c>
      <c r="AM66" vm="1946">
        <f t="shared" si="30"/>
        <v>24758818816</v>
      </c>
      <c r="AN66" vm="1819">
        <f t="shared" si="30"/>
        <v>28526891008</v>
      </c>
      <c r="AO66" vm="3434">
        <f t="shared" si="30"/>
        <v>25977847808</v>
      </c>
      <c r="AP66" vm="3346">
        <f t="shared" si="31"/>
        <v>32197273600</v>
      </c>
      <c r="AQ66" vm="3219">
        <f t="shared" si="31"/>
        <v>39337316352</v>
      </c>
      <c r="AR66" vm="3095">
        <f t="shared" si="31"/>
        <v>41270956032</v>
      </c>
      <c r="AS66" vm="3013">
        <f t="shared" si="31"/>
        <v>62405373952</v>
      </c>
      <c r="AT66" vm="1455">
        <f t="shared" si="31"/>
        <v>53660340224</v>
      </c>
      <c r="AU66" vm="2931">
        <f t="shared" si="31"/>
        <v>48564862976</v>
      </c>
      <c r="AV66" vm="2422">
        <f t="shared" si="31"/>
        <v>55009730560</v>
      </c>
      <c r="AW66" vm="2838">
        <f t="shared" si="31"/>
        <v>58998132736</v>
      </c>
      <c r="AX66" vm="2731">
        <f t="shared" si="31"/>
        <v>65556463616</v>
      </c>
      <c r="AY66" vm="2651">
        <f t="shared" si="31"/>
        <v>66983632896</v>
      </c>
      <c r="AZ66" vm="2571">
        <f t="shared" si="31"/>
        <v>808650602368</v>
      </c>
    </row>
    <row r="67" spans="1:52" x14ac:dyDescent="0.45">
      <c r="A67" s="4" t="str" vm="81">
        <f>CUBEMEMBER("DESKTOP-KSAPEQM AS Model","[Geography].[Blocs].[Country].&amp;[Guatemala]")</f>
        <v>Guatemala</v>
      </c>
      <c r="B67" vm="2481">
        <f t="shared" si="27"/>
        <v>1904000000</v>
      </c>
      <c r="C67" vm="2066">
        <f t="shared" si="27"/>
        <v>1984800000</v>
      </c>
      <c r="D67" vm="1945">
        <f t="shared" si="27"/>
        <v>2101299968</v>
      </c>
      <c r="E67" vm="1818">
        <f t="shared" si="27"/>
        <v>2569200128</v>
      </c>
      <c r="F67" vm="3787">
        <f t="shared" si="27"/>
        <v>3161499904</v>
      </c>
      <c r="G67" vm="4205">
        <f t="shared" si="27"/>
        <v>3645900032</v>
      </c>
      <c r="H67" vm="3694">
        <f t="shared" si="27"/>
        <v>4365300224</v>
      </c>
      <c r="I67" vm="3589">
        <f t="shared" si="27"/>
        <v>5480500224</v>
      </c>
      <c r="J67" vm="3510">
        <f t="shared" si="27"/>
        <v>6070600192</v>
      </c>
      <c r="K67" vm="1454">
        <f t="shared" si="27"/>
        <v>6902600192</v>
      </c>
      <c r="L67" vm="3433">
        <f t="shared" si="28"/>
        <v>7878700032</v>
      </c>
      <c r="M67" vm="2421">
        <f t="shared" si="28"/>
        <v>8607500288</v>
      </c>
      <c r="N67" vm="3345">
        <f t="shared" si="28"/>
        <v>8716999680</v>
      </c>
      <c r="O67" vm="3218">
        <f t="shared" si="28"/>
        <v>9050000384</v>
      </c>
      <c r="P67" vm="3094">
        <f t="shared" si="28"/>
        <v>9470000128</v>
      </c>
      <c r="Q67" vm="3012">
        <f t="shared" si="28"/>
        <v>9721652224</v>
      </c>
      <c r="R67" vm="2930">
        <f t="shared" si="28"/>
        <v>7231963648</v>
      </c>
      <c r="S67" vm="2065">
        <f t="shared" si="28"/>
        <v>7084399616</v>
      </c>
      <c r="T67" vm="1944">
        <f t="shared" si="28"/>
        <v>7841603072</v>
      </c>
      <c r="U67" vm="1817">
        <f t="shared" si="28"/>
        <v>8410724352</v>
      </c>
      <c r="V67" vm="2837">
        <f t="shared" si="29"/>
        <v>7650125312</v>
      </c>
      <c r="W67" vm="2730">
        <f t="shared" si="29"/>
        <v>9406097408</v>
      </c>
      <c r="X67" vm="2650">
        <f t="shared" si="29"/>
        <v>10440842240</v>
      </c>
      <c r="Y67" vm="2570">
        <f t="shared" si="29"/>
        <v>11399942144</v>
      </c>
      <c r="Z67" vm="2480">
        <f t="shared" si="29"/>
        <v>12983235584</v>
      </c>
      <c r="AA67" vm="1453">
        <f t="shared" si="29"/>
        <v>14655404032</v>
      </c>
      <c r="AB67" vm="3786">
        <f t="shared" si="29"/>
        <v>15674835968</v>
      </c>
      <c r="AC67" vm="2420">
        <f t="shared" si="29"/>
        <v>17790025728</v>
      </c>
      <c r="AD67" vm="4134">
        <f t="shared" si="29"/>
        <v>19395491840</v>
      </c>
      <c r="AE67" vm="3693">
        <f t="shared" si="29"/>
        <v>18318411776</v>
      </c>
      <c r="AF67" vm="3588">
        <f t="shared" si="30"/>
        <v>19288827904</v>
      </c>
      <c r="AG67" vm="3509">
        <f t="shared" si="30"/>
        <v>18702802944</v>
      </c>
      <c r="AH67" vm="3432">
        <f t="shared" si="30"/>
        <v>20776402944</v>
      </c>
      <c r="AI67" vm="2064">
        <f t="shared" si="30"/>
        <v>21917429760</v>
      </c>
      <c r="AJ67" vm="1943">
        <f t="shared" si="30"/>
        <v>23965276160</v>
      </c>
      <c r="AK67" vm="1816">
        <f t="shared" si="30"/>
        <v>27211376640</v>
      </c>
      <c r="AL67" vm="3344">
        <f t="shared" si="30"/>
        <v>30231248896</v>
      </c>
      <c r="AM67" vm="3217">
        <f t="shared" si="30"/>
        <v>34113107968</v>
      </c>
      <c r="AN67" vm="3093">
        <f t="shared" si="30"/>
        <v>39136436224</v>
      </c>
      <c r="AO67" vm="3011">
        <f t="shared" si="30"/>
        <v>37733609472</v>
      </c>
      <c r="AP67" vm="2929">
        <f t="shared" si="31"/>
        <v>41338007552</v>
      </c>
      <c r="AQ67" vm="1452">
        <f t="shared" si="31"/>
        <v>47654785024</v>
      </c>
      <c r="AR67" vm="2836">
        <f t="shared" si="31"/>
        <v>50388459520</v>
      </c>
      <c r="AS67" vm="2419">
        <f t="shared" si="31"/>
        <v>52996542464</v>
      </c>
      <c r="AT67" vm="2729">
        <f t="shared" si="31"/>
        <v>57852399616</v>
      </c>
      <c r="AU67" vm="2649">
        <f t="shared" si="31"/>
        <v>62186184704</v>
      </c>
      <c r="AV67" vm="2569">
        <f t="shared" si="31"/>
        <v>66053726208</v>
      </c>
      <c r="AW67" vm="2479">
        <f t="shared" si="31"/>
        <v>71612350464</v>
      </c>
      <c r="AX67" vm="3785">
        <f t="shared" si="31"/>
        <v>73118146560</v>
      </c>
      <c r="AY67" vm="2063">
        <f t="shared" si="31"/>
        <v>76710387712</v>
      </c>
      <c r="AZ67" vm="1942">
        <f t="shared" si="31"/>
        <v>1132901165056</v>
      </c>
    </row>
    <row r="68" spans="1:52" x14ac:dyDescent="0.45">
      <c r="A68" s="4" t="str" vm="72">
        <f>CUBEMEMBER("DESKTOP-KSAPEQM AS Model","[Geography].[Blocs].[Country].&amp;[Guinea-Bissau]")</f>
        <v>Guinea-Bissau</v>
      </c>
      <c r="B68" vm="1815">
        <f t="shared" si="27"/>
        <v>78733592</v>
      </c>
      <c r="C68" vm="4063">
        <f t="shared" si="27"/>
        <v>78540056</v>
      </c>
      <c r="D68" vm="3692">
        <f t="shared" si="27"/>
        <v>87702832</v>
      </c>
      <c r="E68" vm="3587">
        <f t="shared" si="27"/>
        <v>89374240</v>
      </c>
      <c r="F68" vm="3508">
        <f t="shared" si="27"/>
        <v>98775328</v>
      </c>
      <c r="G68" vm="3431">
        <f t="shared" si="27"/>
        <v>108985744</v>
      </c>
      <c r="H68" vm="1451">
        <f t="shared" si="27"/>
        <v>112386488</v>
      </c>
      <c r="I68" vm="3343">
        <f t="shared" si="27"/>
        <v>114971208</v>
      </c>
      <c r="J68" vm="2418">
        <f t="shared" si="27"/>
        <v>122666856</v>
      </c>
      <c r="K68" vm="3216">
        <f t="shared" si="27"/>
        <v>118537872</v>
      </c>
      <c r="L68" vm="3092">
        <f t="shared" si="28"/>
        <v>110653832</v>
      </c>
      <c r="M68" vm="3010">
        <f t="shared" si="28"/>
        <v>154731968</v>
      </c>
      <c r="N68" vm="2928">
        <f t="shared" si="28"/>
        <v>165523632</v>
      </c>
      <c r="O68" vm="2835">
        <f t="shared" si="28"/>
        <v>163577536</v>
      </c>
      <c r="P68" vm="2062">
        <f t="shared" si="28"/>
        <v>138478896</v>
      </c>
      <c r="Q68" vm="1941">
        <f t="shared" si="28"/>
        <v>143856256</v>
      </c>
      <c r="R68" vm="1814">
        <f t="shared" si="28"/>
        <v>130225016</v>
      </c>
      <c r="S68" vm="2728">
        <f t="shared" si="28"/>
        <v>173836368</v>
      </c>
      <c r="T68" vm="2648">
        <f t="shared" si="28"/>
        <v>164458128</v>
      </c>
      <c r="U68" vm="2568">
        <f t="shared" si="28"/>
        <v>213143024</v>
      </c>
      <c r="V68" vm="2478">
        <f t="shared" si="29"/>
        <v>243962000</v>
      </c>
      <c r="W68" vm="3784">
        <f t="shared" si="29"/>
        <v>257150368</v>
      </c>
      <c r="X68" vm="1450">
        <f t="shared" si="29"/>
        <v>226313440</v>
      </c>
      <c r="Y68" vm="3983">
        <f t="shared" si="29"/>
        <v>236880816</v>
      </c>
      <c r="Z68" vm="2417">
        <f t="shared" si="29"/>
        <v>235620048</v>
      </c>
      <c r="AA68" vm="3691">
        <f t="shared" si="29"/>
        <v>253966928</v>
      </c>
      <c r="AB68" vm="3586">
        <f t="shared" si="29"/>
        <v>270419776</v>
      </c>
      <c r="AC68" vm="3507">
        <f t="shared" si="29"/>
        <v>268551008</v>
      </c>
      <c r="AD68" vm="3430">
        <f t="shared" si="29"/>
        <v>206457552</v>
      </c>
      <c r="AE68" vm="3342">
        <f t="shared" si="29"/>
        <v>224446656</v>
      </c>
      <c r="AF68" vm="2061">
        <f t="shared" si="30"/>
        <v>370173824</v>
      </c>
      <c r="AG68" vm="1940">
        <f t="shared" si="30"/>
        <v>392278176</v>
      </c>
      <c r="AH68" vm="1813">
        <f t="shared" si="30"/>
        <v>415843488</v>
      </c>
      <c r="AI68" vm="3215">
        <f t="shared" si="30"/>
        <v>476388256</v>
      </c>
      <c r="AJ68" vm="3091">
        <f t="shared" si="30"/>
        <v>531109344</v>
      </c>
      <c r="AK68" vm="3009">
        <f t="shared" si="30"/>
        <v>586795648</v>
      </c>
      <c r="AL68" vm="2927">
        <f t="shared" si="30"/>
        <v>591839488</v>
      </c>
      <c r="AM68" vm="2834">
        <f t="shared" si="30"/>
        <v>695990208</v>
      </c>
      <c r="AN68" vm="1449">
        <f t="shared" si="30"/>
        <v>864654784</v>
      </c>
      <c r="AO68" vm="2727">
        <f t="shared" si="30"/>
        <v>826798656</v>
      </c>
      <c r="AP68" vm="2416">
        <f t="shared" si="31"/>
        <v>849050112</v>
      </c>
      <c r="AQ68" vm="2647">
        <f t="shared" si="31"/>
        <v>1098379392</v>
      </c>
      <c r="AR68" vm="2567">
        <f t="shared" si="31"/>
        <v>989327808</v>
      </c>
      <c r="AS68" vm="2477">
        <f t="shared" si="31"/>
        <v>1045790144</v>
      </c>
      <c r="AT68" vm="3783">
        <f t="shared" si="31"/>
        <v>1053512320</v>
      </c>
      <c r="AU68" vm="3885">
        <f t="shared" si="31"/>
        <v>1047808192</v>
      </c>
      <c r="AV68" vm="2060">
        <f t="shared" si="31"/>
        <v>1178204544</v>
      </c>
      <c r="AW68" vm="1939">
        <f t="shared" si="31"/>
        <v>1346841856</v>
      </c>
      <c r="AX68" vm="1812">
        <f t="shared" si="31"/>
        <v>1458156032</v>
      </c>
      <c r="AY68" vm="3690">
        <f t="shared" si="31"/>
        <v>1340389376</v>
      </c>
      <c r="AZ68" vm="3585">
        <f t="shared" si="31"/>
        <v>22152259112</v>
      </c>
    </row>
    <row r="69" spans="1:52" x14ac:dyDescent="0.45">
      <c r="A69" s="4" t="str" vm="67">
        <f>CUBEMEMBER("DESKTOP-KSAPEQM AS Model","[Geography].[Blocs].[Country].&amp;[Guyana]")</f>
        <v>Guyana</v>
      </c>
      <c r="B69" vm="3506">
        <f t="shared" si="27"/>
        <v>267800000</v>
      </c>
      <c r="C69" vm="3429">
        <f t="shared" si="27"/>
        <v>282049984</v>
      </c>
      <c r="D69" vm="3341">
        <f t="shared" si="27"/>
        <v>285380960</v>
      </c>
      <c r="E69" vm="1448">
        <f t="shared" si="27"/>
        <v>307047616</v>
      </c>
      <c r="F69" vm="3214">
        <f t="shared" si="27"/>
        <v>433954560</v>
      </c>
      <c r="G69" vm="2415">
        <f t="shared" si="27"/>
        <v>494791680</v>
      </c>
      <c r="H69" vm="3090">
        <f t="shared" si="27"/>
        <v>454440000</v>
      </c>
      <c r="I69" vm="3008">
        <f t="shared" si="27"/>
        <v>449880000</v>
      </c>
      <c r="J69" vm="2926">
        <f t="shared" si="27"/>
        <v>507080000</v>
      </c>
      <c r="K69" vm="2833">
        <f t="shared" si="27"/>
        <v>530440000</v>
      </c>
      <c r="L69" vm="2726">
        <f t="shared" si="28"/>
        <v>603200000</v>
      </c>
      <c r="M69" vm="2059">
        <f t="shared" si="28"/>
        <v>570357120</v>
      </c>
      <c r="N69" vm="1938">
        <f t="shared" si="28"/>
        <v>482000000</v>
      </c>
      <c r="O69" vm="1811">
        <f t="shared" si="28"/>
        <v>489333344</v>
      </c>
      <c r="P69" vm="2646">
        <f t="shared" si="28"/>
        <v>437631616</v>
      </c>
      <c r="Q69" vm="2566">
        <f t="shared" si="28"/>
        <v>453488384</v>
      </c>
      <c r="R69" vm="2476">
        <f t="shared" si="28"/>
        <v>504651136</v>
      </c>
      <c r="S69" vm="3782">
        <f t="shared" si="28"/>
        <v>354591840</v>
      </c>
      <c r="T69" vm="5152">
        <f t="shared" si="28"/>
        <v>413800000</v>
      </c>
      <c r="U69" vm="1447">
        <f t="shared" si="28"/>
        <v>379779392</v>
      </c>
      <c r="V69" vm="3689">
        <f t="shared" si="29"/>
        <v>396582272</v>
      </c>
      <c r="W69" vm="2414">
        <f t="shared" si="29"/>
        <v>348533088</v>
      </c>
      <c r="X69" vm="3584">
        <f t="shared" si="29"/>
        <v>373573152</v>
      </c>
      <c r="Y69" vm="3505">
        <f t="shared" si="29"/>
        <v>454101376</v>
      </c>
      <c r="Z69" vm="3428">
        <f t="shared" si="29"/>
        <v>540874944</v>
      </c>
      <c r="AA69" vm="3340">
        <f t="shared" si="29"/>
        <v>621626816</v>
      </c>
      <c r="AB69" vm="3213">
        <f t="shared" si="29"/>
        <v>705406016</v>
      </c>
      <c r="AC69" vm="2058">
        <f t="shared" si="29"/>
        <v>749137984</v>
      </c>
      <c r="AD69" vm="1937">
        <f t="shared" si="29"/>
        <v>717530688</v>
      </c>
      <c r="AE69" vm="1810">
        <f t="shared" si="29"/>
        <v>694755008</v>
      </c>
      <c r="AF69" vm="3089">
        <f t="shared" si="30"/>
        <v>712667904</v>
      </c>
      <c r="AG69" vm="3007">
        <f t="shared" si="30"/>
        <v>712167552</v>
      </c>
      <c r="AH69" vm="2925">
        <f t="shared" si="30"/>
        <v>726131456</v>
      </c>
      <c r="AI69" vm="2832">
        <f t="shared" si="30"/>
        <v>743064064</v>
      </c>
      <c r="AJ69" vm="2725">
        <f t="shared" si="30"/>
        <v>787814400</v>
      </c>
      <c r="AK69" vm="1446">
        <f t="shared" si="30"/>
        <v>824880576</v>
      </c>
      <c r="AL69" vm="2645">
        <f t="shared" si="30"/>
        <v>1458453760</v>
      </c>
      <c r="AM69" vm="2413">
        <f t="shared" si="30"/>
        <v>1740180480</v>
      </c>
      <c r="AN69" vm="2565">
        <f t="shared" si="30"/>
        <v>1916994944</v>
      </c>
      <c r="AO69" vm="2475">
        <f t="shared" si="30"/>
        <v>2061323904</v>
      </c>
      <c r="AP69" vm="3781">
        <f t="shared" si="31"/>
        <v>2273224960</v>
      </c>
      <c r="AQ69" vm="5050">
        <f t="shared" si="31"/>
        <v>2576024064</v>
      </c>
      <c r="AR69" vm="3688">
        <f t="shared" si="31"/>
        <v>2861562368</v>
      </c>
      <c r="AS69" vm="2057">
        <f t="shared" si="31"/>
        <v>2987684096</v>
      </c>
      <c r="AT69" vm="1936">
        <f t="shared" si="31"/>
        <v>3077643264</v>
      </c>
      <c r="AU69" vm="1809">
        <f t="shared" si="31"/>
        <v>3197220352</v>
      </c>
      <c r="AV69" vm="3583">
        <f t="shared" si="31"/>
        <v>3504024320</v>
      </c>
      <c r="AW69" vm="3504">
        <f t="shared" si="31"/>
        <v>3555205888</v>
      </c>
      <c r="AX69" vm="3427">
        <f t="shared" si="31"/>
        <v>3878662656</v>
      </c>
      <c r="AY69" vm="3339">
        <f t="shared" si="31"/>
        <v>4280443648</v>
      </c>
      <c r="AZ69" vm="3212">
        <f t="shared" si="31"/>
        <v>58179193632</v>
      </c>
    </row>
    <row r="70" spans="1:52" x14ac:dyDescent="0.45">
      <c r="A70" s="4" t="str" vm="61">
        <f>CUBEMEMBER("DESKTOP-KSAPEQM AS Model","[Geography].[Blocs].[Country].&amp;[Haiti]")</f>
        <v>Haiti</v>
      </c>
      <c r="B70" vm="1445">
        <f t="shared" ref="B70:K79" si="32">CUBEVALUE("DESKTOP-KSAPEQM AS Model",$B$1,$B$2,$B$3,$B$4,$B$5,$A$7,$A70,B$8)</f>
        <v>331200000</v>
      </c>
      <c r="C70" vm="3088">
        <f t="shared" si="32"/>
        <v>362800000</v>
      </c>
      <c r="D70" vm="2412">
        <f t="shared" si="32"/>
        <v>372000000</v>
      </c>
      <c r="E70" vm="3006">
        <f t="shared" si="32"/>
        <v>466800000</v>
      </c>
      <c r="F70" vm="2924">
        <f t="shared" si="32"/>
        <v>565400000</v>
      </c>
      <c r="G70" vm="2831">
        <f t="shared" si="32"/>
        <v>681400000</v>
      </c>
      <c r="H70" vm="2724">
        <f t="shared" si="32"/>
        <v>879000000</v>
      </c>
      <c r="I70" vm="2644">
        <f t="shared" si="32"/>
        <v>947000000</v>
      </c>
      <c r="J70" vm="2056">
        <f t="shared" si="32"/>
        <v>974200000</v>
      </c>
      <c r="K70" vm="1935">
        <f t="shared" si="32"/>
        <v>1080600064</v>
      </c>
      <c r="L70" vm="1808">
        <f t="shared" ref="L70:U79" si="33">CUBEVALUE("DESKTOP-KSAPEQM AS Model",$B$1,$B$2,$B$3,$B$4,$B$5,$A$7,$A70,L$8)</f>
        <v>1383800064</v>
      </c>
      <c r="M70" vm="2564">
        <f t="shared" si="33"/>
        <v>1479399936</v>
      </c>
      <c r="N70" vm="2474">
        <f t="shared" si="33"/>
        <v>1474200064</v>
      </c>
      <c r="O70" vm="3780">
        <f t="shared" si="33"/>
        <v>1623600000</v>
      </c>
      <c r="P70" vm="4962">
        <f t="shared" si="33"/>
        <v>1816199936</v>
      </c>
      <c r="Q70" vm="3687">
        <f t="shared" si="33"/>
        <v>2009400064</v>
      </c>
      <c r="R70" vm="1444">
        <f t="shared" si="33"/>
        <v>2318000128</v>
      </c>
      <c r="S70" vm="3582">
        <f t="shared" si="33"/>
        <v>2047200000</v>
      </c>
      <c r="T70" vm="2411">
        <f t="shared" si="33"/>
        <v>2613926912</v>
      </c>
      <c r="U70" vm="3503">
        <f t="shared" si="33"/>
        <v>2736243712</v>
      </c>
      <c r="V70" vm="3426">
        <f t="shared" ref="V70:AE79" si="34">CUBEVALUE("DESKTOP-KSAPEQM AS Model",$B$1,$B$2,$B$3,$B$4,$B$5,$A$7,$A70,V$8)</f>
        <v>3096289792</v>
      </c>
      <c r="W70" vm="3338">
        <f t="shared" si="34"/>
        <v>3473540608</v>
      </c>
      <c r="X70" vm="3211">
        <f t="shared" si="34"/>
        <v>2257121792</v>
      </c>
      <c r="Y70" vm="3087">
        <f t="shared" si="34"/>
        <v>1878248704</v>
      </c>
      <c r="Z70" vm="2055">
        <f t="shared" si="34"/>
        <v>2167564288</v>
      </c>
      <c r="AA70" vm="1934">
        <f t="shared" si="34"/>
        <v>2813313280</v>
      </c>
      <c r="AB70" vm="1807">
        <f t="shared" si="34"/>
        <v>2907514624</v>
      </c>
      <c r="AC70" vm="3005">
        <f t="shared" si="34"/>
        <v>3338938880</v>
      </c>
      <c r="AD70" vm="2923">
        <f t="shared" si="34"/>
        <v>3723909120</v>
      </c>
      <c r="AE70" vm="2830">
        <f t="shared" si="34"/>
        <v>4153736448</v>
      </c>
      <c r="AF70" vm="2723">
        <f t="shared" ref="AF70:AO79" si="35">CUBEVALUE("DESKTOP-KSAPEQM AS Model",$B$1,$B$2,$B$3,$B$4,$B$5,$A$7,$A70,AF$8)</f>
        <v>3953846272</v>
      </c>
      <c r="AG70" vm="2643">
        <f t="shared" si="35"/>
        <v>3596442880</v>
      </c>
      <c r="AH70" vm="1443">
        <f t="shared" si="35"/>
        <v>3472192000</v>
      </c>
      <c r="AI70" vm="2563">
        <f t="shared" si="35"/>
        <v>2960306176</v>
      </c>
      <c r="AJ70" vm="2410">
        <f t="shared" si="35"/>
        <v>3537720320</v>
      </c>
      <c r="AK70" vm="2473">
        <f t="shared" si="35"/>
        <v>4310358016</v>
      </c>
      <c r="AL70" vm="3779">
        <f t="shared" si="35"/>
        <v>4756204032</v>
      </c>
      <c r="AM70" vm="4889">
        <f t="shared" si="35"/>
        <v>5885325824</v>
      </c>
      <c r="AN70" vm="3686">
        <f t="shared" si="35"/>
        <v>6548530688</v>
      </c>
      <c r="AO70" vm="3581">
        <f t="shared" si="35"/>
        <v>6584649216</v>
      </c>
      <c r="AP70" vm="2054">
        <f t="shared" ref="AP70:AZ79" si="36">CUBEVALUE("DESKTOP-KSAPEQM AS Model",$B$1,$B$2,$B$3,$B$4,$B$5,$A$7,$A70,AP$8)</f>
        <v>6622541312</v>
      </c>
      <c r="AQ70" vm="1933">
        <f t="shared" si="36"/>
        <v>7516834304</v>
      </c>
      <c r="AR70" vm="1806">
        <f t="shared" si="36"/>
        <v>7890647040</v>
      </c>
      <c r="AS70" vm="3502">
        <f t="shared" si="36"/>
        <v>8485076992</v>
      </c>
      <c r="AT70" vm="3425">
        <f t="shared" si="36"/>
        <v>8775444480</v>
      </c>
      <c r="AU70" vm="3337">
        <f t="shared" si="36"/>
        <v>8724656128</v>
      </c>
      <c r="AV70" vm="3210">
        <f t="shared" si="36"/>
        <v>7970649088</v>
      </c>
      <c r="AW70" vm="3086">
        <f t="shared" si="36"/>
        <v>8409497600</v>
      </c>
      <c r="AX70" vm="1442">
        <f t="shared" si="36"/>
        <v>9658721280</v>
      </c>
      <c r="AY70" vm="3004">
        <f t="shared" si="36"/>
        <v>8498981888</v>
      </c>
      <c r="AZ70" vm="2409">
        <f t="shared" si="36"/>
        <v>184131173952</v>
      </c>
    </row>
    <row r="71" spans="1:52" x14ac:dyDescent="0.45">
      <c r="A71" s="4" t="str" vm="50">
        <f>CUBEMEMBER("DESKTOP-KSAPEQM AS Model","[Geography].[Blocs].[Country].&amp;[Honduras]")</f>
        <v>Honduras</v>
      </c>
      <c r="B71" vm="2922">
        <f t="shared" si="32"/>
        <v>723000000</v>
      </c>
      <c r="C71" vm="2829">
        <f t="shared" si="32"/>
        <v>731000000</v>
      </c>
      <c r="D71" vm="2722">
        <f t="shared" si="32"/>
        <v>802999936</v>
      </c>
      <c r="E71" vm="2642">
        <f t="shared" si="32"/>
        <v>912499968</v>
      </c>
      <c r="F71" vm="2562">
        <f t="shared" si="32"/>
        <v>1034499968</v>
      </c>
      <c r="G71" vm="2053">
        <f t="shared" si="32"/>
        <v>1124000000</v>
      </c>
      <c r="H71" vm="1932">
        <f t="shared" si="32"/>
        <v>1348000000</v>
      </c>
      <c r="I71" vm="1805">
        <f t="shared" si="32"/>
        <v>1669499904</v>
      </c>
      <c r="J71" vm="2472">
        <f t="shared" si="32"/>
        <v>3097242112</v>
      </c>
      <c r="K71" vm="3778">
        <f t="shared" si="32"/>
        <v>3544281856</v>
      </c>
      <c r="L71" vm="4822">
        <f t="shared" si="33"/>
        <v>3968160000</v>
      </c>
      <c r="M71" vm="3685">
        <f t="shared" si="33"/>
        <v>4043894784</v>
      </c>
      <c r="N71" vm="3580">
        <f t="shared" si="33"/>
        <v>4266503424</v>
      </c>
      <c r="O71" vm="1441">
        <f t="shared" si="33"/>
        <v>4476697088</v>
      </c>
      <c r="P71" vm="3501">
        <f t="shared" si="33"/>
        <v>4915311616</v>
      </c>
      <c r="Q71" vm="2408">
        <f t="shared" si="33"/>
        <v>5278120960</v>
      </c>
      <c r="R71" vm="3424">
        <f t="shared" si="33"/>
        <v>5677829120</v>
      </c>
      <c r="S71" vm="3336">
        <f t="shared" si="33"/>
        <v>6190521344</v>
      </c>
      <c r="T71" vm="3209">
        <f t="shared" si="33"/>
        <v>5902716928</v>
      </c>
      <c r="U71" vm="3085">
        <f t="shared" si="33"/>
        <v>5432345088</v>
      </c>
      <c r="V71" vm="3003">
        <f t="shared" si="34"/>
        <v>4923009536</v>
      </c>
      <c r="W71" vm="2052">
        <f t="shared" si="34"/>
        <v>4648668672</v>
      </c>
      <c r="X71" vm="1931">
        <f t="shared" si="34"/>
        <v>4943700480</v>
      </c>
      <c r="Y71" vm="1804">
        <f t="shared" si="34"/>
        <v>4926728704</v>
      </c>
      <c r="Z71" vm="2921">
        <f t="shared" si="34"/>
        <v>4642280448</v>
      </c>
      <c r="AA71" vm="2828">
        <f t="shared" si="34"/>
        <v>5347445248</v>
      </c>
      <c r="AB71" vm="2721">
        <f t="shared" si="34"/>
        <v>5215028736</v>
      </c>
      <c r="AC71" vm="2641">
        <f t="shared" si="34"/>
        <v>5737099776</v>
      </c>
      <c r="AD71" vm="2561">
        <f t="shared" si="34"/>
        <v>6366340096</v>
      </c>
      <c r="AE71" vm="1440">
        <f t="shared" si="34"/>
        <v>6414520320</v>
      </c>
      <c r="AF71" vm="2471">
        <f t="shared" si="35"/>
        <v>7103507968</v>
      </c>
      <c r="AG71" vm="2407">
        <f t="shared" si="35"/>
        <v>7565870080</v>
      </c>
      <c r="AH71" vm="3777">
        <f t="shared" si="35"/>
        <v>7775078400</v>
      </c>
      <c r="AI71" vm="4753">
        <f t="shared" si="35"/>
        <v>8140271104</v>
      </c>
      <c r="AJ71" vm="3684">
        <f t="shared" si="35"/>
        <v>8772146176</v>
      </c>
      <c r="AK71" vm="3579">
        <f t="shared" si="35"/>
        <v>9672035328</v>
      </c>
      <c r="AL71" vm="3500">
        <f t="shared" si="35"/>
        <v>10841742336</v>
      </c>
      <c r="AM71" vm="2051">
        <f t="shared" si="35"/>
        <v>12275502080</v>
      </c>
      <c r="AN71" vm="1930">
        <f t="shared" si="35"/>
        <v>13789715456</v>
      </c>
      <c r="AO71" vm="1803">
        <f t="shared" si="35"/>
        <v>14587496448</v>
      </c>
      <c r="AP71" vm="3423">
        <f t="shared" si="36"/>
        <v>15839344640</v>
      </c>
      <c r="AQ71" vm="3335">
        <f t="shared" si="36"/>
        <v>17710315520</v>
      </c>
      <c r="AR71" vm="3208">
        <f t="shared" si="36"/>
        <v>18528602112</v>
      </c>
      <c r="AS71" vm="3084">
        <f t="shared" si="36"/>
        <v>18499710976</v>
      </c>
      <c r="AT71" vm="3002">
        <f t="shared" si="36"/>
        <v>19756494848</v>
      </c>
      <c r="AU71" vm="1439">
        <f t="shared" si="36"/>
        <v>20979767296</v>
      </c>
      <c r="AV71" vm="2920">
        <f t="shared" si="36"/>
        <v>21717622784</v>
      </c>
      <c r="AW71" vm="2406">
        <f t="shared" si="36"/>
        <v>23136231424</v>
      </c>
      <c r="AX71" vm="2827">
        <f t="shared" si="36"/>
        <v>24024188928</v>
      </c>
      <c r="AY71" vm="2720">
        <f t="shared" si="36"/>
        <v>25095395328</v>
      </c>
      <c r="AZ71" vm="2640">
        <f t="shared" si="36"/>
        <v>424114985344</v>
      </c>
    </row>
    <row r="72" spans="1:52" x14ac:dyDescent="0.45">
      <c r="A72" s="4" t="str" vm="46">
        <f>CUBEMEMBER("DESKTOP-KSAPEQM AS Model","[Geography].[Blocs].[Country].&amp;[India]")</f>
        <v>India</v>
      </c>
      <c r="B72" vm="2560">
        <f t="shared" si="32"/>
        <v>62422482944</v>
      </c>
      <c r="C72" vm="2470">
        <f t="shared" si="32"/>
        <v>67350986752</v>
      </c>
      <c r="D72" vm="2050">
        <f t="shared" si="32"/>
        <v>71463190528</v>
      </c>
      <c r="E72" vm="1929">
        <f t="shared" si="32"/>
        <v>85515272192</v>
      </c>
      <c r="F72" vm="1802">
        <f t="shared" si="32"/>
        <v>99525902336</v>
      </c>
      <c r="G72" vm="3776">
        <f t="shared" si="32"/>
        <v>98472796160</v>
      </c>
      <c r="H72" vm="4676">
        <f t="shared" si="32"/>
        <v>102717161472</v>
      </c>
      <c r="I72" vm="3683">
        <f t="shared" si="32"/>
        <v>121487319040</v>
      </c>
      <c r="J72" vm="3578">
        <f t="shared" si="32"/>
        <v>137300295680</v>
      </c>
      <c r="K72" vm="3499">
        <f t="shared" si="32"/>
        <v>152991645696</v>
      </c>
      <c r="L72" vm="1438">
        <f t="shared" si="33"/>
        <v>186325352448</v>
      </c>
      <c r="M72" vm="3422">
        <f t="shared" si="33"/>
        <v>193490616320</v>
      </c>
      <c r="N72" vm="2405">
        <f t="shared" si="33"/>
        <v>200715141120</v>
      </c>
      <c r="O72" vm="2341">
        <f t="shared" si="33"/>
        <v>218262274048</v>
      </c>
      <c r="P72" vm="3334">
        <f t="shared" si="33"/>
        <v>212158234624</v>
      </c>
      <c r="Q72" vm="3207">
        <f t="shared" si="33"/>
        <v>232511881216</v>
      </c>
      <c r="R72" vm="3083">
        <f t="shared" si="33"/>
        <v>248985993216</v>
      </c>
      <c r="S72" vm="3001">
        <f t="shared" si="33"/>
        <v>279033577472</v>
      </c>
      <c r="T72" vm="2049">
        <f t="shared" si="33"/>
        <v>296589000704</v>
      </c>
      <c r="U72" vm="1928">
        <f t="shared" si="33"/>
        <v>296042364928</v>
      </c>
      <c r="V72" vm="1801">
        <f t="shared" si="34"/>
        <v>320979042304</v>
      </c>
      <c r="W72" vm="1737">
        <f t="shared" si="34"/>
        <v>270105346048</v>
      </c>
      <c r="X72" vm="2919">
        <f t="shared" si="34"/>
        <v>288208420864</v>
      </c>
      <c r="Y72" vm="2826">
        <f t="shared" si="34"/>
        <v>279296016384</v>
      </c>
      <c r="Z72" vm="2719">
        <f t="shared" si="34"/>
        <v>327275577344</v>
      </c>
      <c r="AA72" vm="2639">
        <f t="shared" si="34"/>
        <v>360281964544</v>
      </c>
      <c r="AB72" vm="1437">
        <f t="shared" si="34"/>
        <v>392897069056</v>
      </c>
      <c r="AC72" vm="2559">
        <f t="shared" si="34"/>
        <v>415867764736</v>
      </c>
      <c r="AD72" vm="2404">
        <f t="shared" si="34"/>
        <v>421351489536</v>
      </c>
      <c r="AE72" vm="2340">
        <f t="shared" si="34"/>
        <v>458820419584</v>
      </c>
      <c r="AF72" vm="2469">
        <f t="shared" si="35"/>
        <v>468394934272</v>
      </c>
      <c r="AG72" vm="3775">
        <f t="shared" si="35"/>
        <v>485441011712</v>
      </c>
      <c r="AH72" vm="4594">
        <f t="shared" si="35"/>
        <v>514937946112</v>
      </c>
      <c r="AI72" vm="3682">
        <f t="shared" si="35"/>
        <v>607699271680</v>
      </c>
      <c r="AJ72" vm="2048">
        <f t="shared" si="35"/>
        <v>709148540928</v>
      </c>
      <c r="AK72" vm="1927">
        <f t="shared" si="35"/>
        <v>820381614080</v>
      </c>
      <c r="AL72" vm="1800">
        <f t="shared" si="35"/>
        <v>940259868672</v>
      </c>
      <c r="AM72" vm="1736">
        <f t="shared" si="35"/>
        <v>1216735477760</v>
      </c>
      <c r="AN72" vm="3577">
        <f t="shared" si="35"/>
        <v>1198895529984</v>
      </c>
      <c r="AO72" vm="3498">
        <f t="shared" si="35"/>
        <v>1341886562304</v>
      </c>
      <c r="AP72" vm="3421">
        <f t="shared" si="36"/>
        <v>1675615272960</v>
      </c>
      <c r="AQ72" vm="3333">
        <f t="shared" si="36"/>
        <v>1823050432512</v>
      </c>
      <c r="AR72" vm="1436">
        <f t="shared" si="36"/>
        <v>1827637821440</v>
      </c>
      <c r="AS72" vm="3206">
        <f t="shared" si="36"/>
        <v>1856722173952</v>
      </c>
      <c r="AT72" vm="2403">
        <f t="shared" si="36"/>
        <v>2039127474176</v>
      </c>
      <c r="AU72" vm="2339">
        <f t="shared" si="36"/>
        <v>2103587766272</v>
      </c>
      <c r="AV72" vm="3082">
        <f t="shared" si="36"/>
        <v>2294798090240</v>
      </c>
      <c r="AW72" vm="3000">
        <f t="shared" si="36"/>
        <v>2652754673664</v>
      </c>
      <c r="AX72" vm="2918">
        <f t="shared" si="36"/>
        <v>2713164972032</v>
      </c>
      <c r="AY72" vm="2825">
        <f t="shared" si="36"/>
        <v>2875142438912</v>
      </c>
      <c r="AZ72" vm="2047">
        <f t="shared" si="36"/>
        <v>37063826472960</v>
      </c>
    </row>
    <row r="73" spans="1:52" x14ac:dyDescent="0.45">
      <c r="A73" s="4" t="str" vm="38">
        <f>CUBEMEMBER("DESKTOP-KSAPEQM AS Model","[Geography].[Blocs].[Country].&amp;[Iraq]")</f>
        <v>Iraq</v>
      </c>
      <c r="B73" vm="1926">
        <f t="shared" si="32"/>
        <v>3281713920</v>
      </c>
      <c r="C73" vm="1799">
        <f t="shared" si="32"/>
        <v>3865346560</v>
      </c>
      <c r="D73" vm="1735">
        <f t="shared" si="32"/>
        <v>4113848064</v>
      </c>
      <c r="E73" vm="2718">
        <f t="shared" si="32"/>
        <v>5134367744</v>
      </c>
      <c r="F73" vm="2638">
        <f t="shared" si="32"/>
        <v>11516762112</v>
      </c>
      <c r="G73" vm="2558">
        <f t="shared" si="32"/>
        <v>13458516992</v>
      </c>
      <c r="H73" vm="2468">
        <f t="shared" si="32"/>
        <v>17754824704</v>
      </c>
      <c r="I73" vm="1435">
        <f t="shared" si="32"/>
        <v>19838130176</v>
      </c>
      <c r="J73" vm="3774">
        <f t="shared" si="32"/>
        <v>23762276352</v>
      </c>
      <c r="K73" vm="2402">
        <f t="shared" si="32"/>
        <v>37816459264</v>
      </c>
      <c r="L73" vm="2338">
        <f t="shared" si="33"/>
        <v>53405687808</v>
      </c>
      <c r="M73" vm="4480">
        <f t="shared" si="33"/>
        <v>38424989696</v>
      </c>
      <c r="N73" vm="3681">
        <f t="shared" si="33"/>
        <v>42595311616</v>
      </c>
      <c r="O73" vm="3576">
        <f t="shared" si="33"/>
        <v>40595046400</v>
      </c>
      <c r="P73" vm="3497">
        <f t="shared" si="33"/>
        <v>46802509824</v>
      </c>
      <c r="Q73" vm="2046">
        <f t="shared" si="33"/>
        <v>48284979200</v>
      </c>
      <c r="R73" vm="1925">
        <f t="shared" si="33"/>
        <v>47127695360</v>
      </c>
      <c r="S73" vm="1798">
        <f t="shared" si="33"/>
        <v>56609841152</v>
      </c>
      <c r="T73" vm="1734">
        <f t="shared" si="33"/>
        <v>62503055360</v>
      </c>
      <c r="U73" vm="3420">
        <f t="shared" si="33"/>
        <v>65641365504</v>
      </c>
      <c r="V73" vm="3332">
        <f t="shared" si="34"/>
        <v>179885817856</v>
      </c>
      <c r="W73" t="str" vm="3205">
        <f t="shared" si="34"/>
        <v/>
      </c>
      <c r="X73" t="str" vm="3081">
        <f t="shared" si="34"/>
        <v/>
      </c>
      <c r="Y73" t="str" vm="1434">
        <f t="shared" si="34"/>
        <v/>
      </c>
      <c r="Z73" t="str" vm="2999">
        <f t="shared" si="34"/>
        <v/>
      </c>
      <c r="AA73" t="str" vm="2401">
        <f t="shared" si="34"/>
        <v/>
      </c>
      <c r="AB73" t="str" vm="2337">
        <f t="shared" si="34"/>
        <v/>
      </c>
      <c r="AC73" t="str" vm="2917">
        <f t="shared" si="34"/>
        <v/>
      </c>
      <c r="AD73" t="str" vm="2824">
        <f t="shared" si="34"/>
        <v/>
      </c>
      <c r="AE73" t="str" vm="2717">
        <f t="shared" si="34"/>
        <v/>
      </c>
      <c r="AF73" t="str" vm="2637">
        <f t="shared" si="35"/>
        <v/>
      </c>
      <c r="AG73" t="str" vm="2045">
        <f t="shared" si="35"/>
        <v/>
      </c>
      <c r="AH73" t="str" vm="1924">
        <f t="shared" si="35"/>
        <v/>
      </c>
      <c r="AI73" t="str" vm="1797">
        <f t="shared" si="35"/>
        <v/>
      </c>
      <c r="AJ73" vm="1733">
        <f t="shared" si="35"/>
        <v>36627902464</v>
      </c>
      <c r="AK73" vm="2557">
        <f t="shared" si="35"/>
        <v>49954889728</v>
      </c>
      <c r="AL73" vm="2467">
        <f t="shared" si="35"/>
        <v>65140293632</v>
      </c>
      <c r="AM73" vm="3773">
        <f t="shared" si="35"/>
        <v>88840052736</v>
      </c>
      <c r="AN73" vm="4368">
        <f t="shared" si="35"/>
        <v>131613663232</v>
      </c>
      <c r="AO73" vm="1433">
        <f t="shared" si="35"/>
        <v>111660851200</v>
      </c>
      <c r="AP73" vm="3680">
        <f t="shared" si="36"/>
        <v>138516725760</v>
      </c>
      <c r="AQ73" vm="2400">
        <f t="shared" si="36"/>
        <v>185749667840</v>
      </c>
      <c r="AR73" vm="2336">
        <f t="shared" si="36"/>
        <v>218000982016</v>
      </c>
      <c r="AS73" vm="3575">
        <f t="shared" si="36"/>
        <v>234637672448</v>
      </c>
      <c r="AT73" vm="3496">
        <f t="shared" si="36"/>
        <v>234648371200</v>
      </c>
      <c r="AU73" vm="3419">
        <f t="shared" si="36"/>
        <v>177498570752</v>
      </c>
      <c r="AV73" vm="3331">
        <f t="shared" si="36"/>
        <v>174878982144</v>
      </c>
      <c r="AW73" vm="2044">
        <f t="shared" si="36"/>
        <v>195473047552</v>
      </c>
      <c r="AX73" vm="1923">
        <f t="shared" si="36"/>
        <v>224228016128</v>
      </c>
      <c r="AY73" vm="1796">
        <f t="shared" si="36"/>
        <v>234094034944</v>
      </c>
      <c r="AZ73" vm="1732">
        <f t="shared" si="36"/>
        <v>3323982269440</v>
      </c>
    </row>
    <row r="74" spans="1:52" x14ac:dyDescent="0.45">
      <c r="A74" s="4" t="str" vm="150">
        <f>CUBEMEMBER("DESKTOP-KSAPEQM AS Model","[Geography].[Blocs].[Country].&amp;[Jamaica]")</f>
        <v>Jamaica</v>
      </c>
      <c r="B74" vm="3204">
        <f t="shared" si="32"/>
        <v>1404776064</v>
      </c>
      <c r="C74" vm="3080">
        <f t="shared" si="32"/>
        <v>1539865472</v>
      </c>
      <c r="D74" vm="2998">
        <f t="shared" si="32"/>
        <v>1875048832</v>
      </c>
      <c r="E74" vm="2916">
        <f t="shared" si="32"/>
        <v>1905917568</v>
      </c>
      <c r="F74" vm="1432">
        <f t="shared" si="32"/>
        <v>2375096320</v>
      </c>
      <c r="G74" vm="2823">
        <f t="shared" si="32"/>
        <v>2860411392</v>
      </c>
      <c r="H74" vm="2399">
        <f t="shared" si="32"/>
        <v>2966010112</v>
      </c>
      <c r="I74" vm="2335">
        <f t="shared" si="32"/>
        <v>3249697280</v>
      </c>
      <c r="J74" vm="2716">
        <f t="shared" si="32"/>
        <v>2644449280</v>
      </c>
      <c r="K74" vm="2636">
        <f t="shared" si="32"/>
        <v>2425033984</v>
      </c>
      <c r="L74" vm="2556">
        <f t="shared" si="33"/>
        <v>2679409408</v>
      </c>
      <c r="M74" vm="2466">
        <f t="shared" si="33"/>
        <v>2979061504</v>
      </c>
      <c r="N74" vm="2043">
        <f t="shared" si="33"/>
        <v>3293533184</v>
      </c>
      <c r="O74" vm="1922">
        <f t="shared" si="33"/>
        <v>3619294208</v>
      </c>
      <c r="P74" vm="1795">
        <f t="shared" si="33"/>
        <v>2373566976</v>
      </c>
      <c r="Q74" vm="1731">
        <f t="shared" si="33"/>
        <v>2100223104</v>
      </c>
      <c r="R74" vm="3772">
        <f t="shared" si="33"/>
        <v>2754566144</v>
      </c>
      <c r="S74" vm="4279">
        <f t="shared" si="33"/>
        <v>3286987520</v>
      </c>
      <c r="T74" vm="3679">
        <f t="shared" si="33"/>
        <v>3828310784</v>
      </c>
      <c r="U74" vm="3574">
        <f t="shared" si="33"/>
        <v>4404969984</v>
      </c>
      <c r="V74" vm="1431">
        <f t="shared" si="34"/>
        <v>4592224256</v>
      </c>
      <c r="W74" vm="3495">
        <f t="shared" si="34"/>
        <v>4071219200</v>
      </c>
      <c r="X74" vm="2398">
        <f t="shared" si="34"/>
        <v>3530892800</v>
      </c>
      <c r="Y74" vm="2334">
        <f t="shared" si="34"/>
        <v>5405097472</v>
      </c>
      <c r="Z74" vm="3418">
        <f t="shared" si="34"/>
        <v>5419134976</v>
      </c>
      <c r="AA74" vm="3330">
        <f t="shared" si="34"/>
        <v>6538840064</v>
      </c>
      <c r="AB74" vm="3203">
        <f t="shared" si="34"/>
        <v>7368000000</v>
      </c>
      <c r="AC74" vm="3079">
        <f t="shared" si="34"/>
        <v>8375077376</v>
      </c>
      <c r="AD74" vm="2042">
        <f t="shared" si="34"/>
        <v>8763219968</v>
      </c>
      <c r="AE74" vm="1921">
        <f t="shared" si="34"/>
        <v>8851581952</v>
      </c>
      <c r="AF74" vm="1794">
        <f t="shared" si="35"/>
        <v>8985353216</v>
      </c>
      <c r="AG74" vm="1730">
        <f t="shared" si="35"/>
        <v>9178016768</v>
      </c>
      <c r="AH74" vm="2997">
        <f t="shared" si="35"/>
        <v>9694170112</v>
      </c>
      <c r="AI74" vm="2915">
        <f t="shared" si="35"/>
        <v>9399447552</v>
      </c>
      <c r="AJ74" vm="2822">
        <f t="shared" si="35"/>
        <v>10150978560</v>
      </c>
      <c r="AK74" vm="2715">
        <f t="shared" si="35"/>
        <v>11204415488</v>
      </c>
      <c r="AL74" vm="1430">
        <f t="shared" si="35"/>
        <v>11901912064</v>
      </c>
      <c r="AM74" vm="2635">
        <f t="shared" si="35"/>
        <v>12827809792</v>
      </c>
      <c r="AN74" vm="2397">
        <f t="shared" si="35"/>
        <v>13680482304</v>
      </c>
      <c r="AO74" vm="2333">
        <f t="shared" si="35"/>
        <v>12067478528</v>
      </c>
      <c r="AP74" vm="2555">
        <f t="shared" si="36"/>
        <v>13220556800</v>
      </c>
      <c r="AQ74" vm="2465">
        <f t="shared" si="36"/>
        <v>14444655616</v>
      </c>
      <c r="AR74" vm="3771">
        <f t="shared" si="36"/>
        <v>14807087104</v>
      </c>
      <c r="AS74" vm="4204">
        <f t="shared" si="36"/>
        <v>14262589440</v>
      </c>
      <c r="AT74" vm="2041">
        <f t="shared" si="36"/>
        <v>13897804800</v>
      </c>
      <c r="AU74" vm="1920">
        <f t="shared" si="36"/>
        <v>14187696128</v>
      </c>
      <c r="AV74" vm="1793">
        <f t="shared" si="36"/>
        <v>14075894784</v>
      </c>
      <c r="AW74" vm="1729">
        <f t="shared" si="36"/>
        <v>14806340608</v>
      </c>
      <c r="AX74" vm="3678">
        <f t="shared" si="36"/>
        <v>15713908736</v>
      </c>
      <c r="AY74" vm="3573">
        <f t="shared" si="36"/>
        <v>16458071040</v>
      </c>
      <c r="AZ74" vm="3494">
        <f t="shared" si="36"/>
        <v>372446186624</v>
      </c>
    </row>
    <row r="75" spans="1:52" x14ac:dyDescent="0.45">
      <c r="A75" s="4" t="str" vm="64">
        <f>CUBEMEMBER("DESKTOP-KSAPEQM AS Model","[Geography].[Blocs].[Country].&amp;[Kenya]")</f>
        <v>Kenya</v>
      </c>
      <c r="B75" vm="3417">
        <f t="shared" si="32"/>
        <v>1603447296</v>
      </c>
      <c r="C75" vm="1429">
        <f t="shared" si="32"/>
        <v>1778391296</v>
      </c>
      <c r="D75" vm="3329">
        <f t="shared" si="32"/>
        <v>2107279104</v>
      </c>
      <c r="E75" vm="2396">
        <f t="shared" si="32"/>
        <v>2502142464</v>
      </c>
      <c r="F75" vm="2332">
        <f t="shared" si="32"/>
        <v>2973309184</v>
      </c>
      <c r="G75" vm="3202">
        <f t="shared" si="32"/>
        <v>3259344896</v>
      </c>
      <c r="H75" vm="3078">
        <f t="shared" si="32"/>
        <v>3474542336</v>
      </c>
      <c r="I75" vm="2996">
        <f t="shared" si="32"/>
        <v>4494379008</v>
      </c>
      <c r="J75" vm="2914">
        <f t="shared" si="32"/>
        <v>5303734784</v>
      </c>
      <c r="K75" vm="2040">
        <f t="shared" si="32"/>
        <v>6234391040</v>
      </c>
      <c r="L75" vm="1919">
        <f t="shared" si="33"/>
        <v>7265315328</v>
      </c>
      <c r="M75" vm="1792">
        <f t="shared" si="33"/>
        <v>6854491648</v>
      </c>
      <c r="N75" vm="1728">
        <f t="shared" si="33"/>
        <v>6431579136</v>
      </c>
      <c r="O75" vm="1673">
        <f t="shared" si="33"/>
        <v>5979198464</v>
      </c>
      <c r="P75" vm="2821">
        <f t="shared" si="33"/>
        <v>6191437312</v>
      </c>
      <c r="Q75" vm="2714">
        <f t="shared" si="33"/>
        <v>6135034368</v>
      </c>
      <c r="R75" vm="2634">
        <f t="shared" si="33"/>
        <v>7239126528</v>
      </c>
      <c r="S75" vm="1428">
        <f t="shared" si="33"/>
        <v>7970820608</v>
      </c>
      <c r="T75" vm="2554">
        <f t="shared" si="33"/>
        <v>8355380736</v>
      </c>
      <c r="U75" vm="2395">
        <f t="shared" si="33"/>
        <v>8283114496</v>
      </c>
      <c r="V75" vm="2331">
        <f t="shared" si="34"/>
        <v>8572359168</v>
      </c>
      <c r="W75" vm="2464">
        <f t="shared" si="34"/>
        <v>8151478784</v>
      </c>
      <c r="X75" vm="3770">
        <f t="shared" si="34"/>
        <v>8209128960</v>
      </c>
      <c r="Y75" vm="4133">
        <f t="shared" si="34"/>
        <v>5751790080</v>
      </c>
      <c r="Z75" vm="3677">
        <f t="shared" si="34"/>
        <v>7148145152</v>
      </c>
      <c r="AA75" vm="2039">
        <f t="shared" si="34"/>
        <v>9046326272</v>
      </c>
      <c r="AB75" vm="1918">
        <f t="shared" si="34"/>
        <v>12045858816</v>
      </c>
      <c r="AC75" vm="1791">
        <f t="shared" si="34"/>
        <v>13115773952</v>
      </c>
      <c r="AD75" vm="1727">
        <f t="shared" si="34"/>
        <v>14093999104</v>
      </c>
      <c r="AE75" vm="1672">
        <f t="shared" si="34"/>
        <v>12896013312</v>
      </c>
      <c r="AF75" vm="3572">
        <f t="shared" si="35"/>
        <v>12705356800</v>
      </c>
      <c r="AG75" vm="3493">
        <f t="shared" si="35"/>
        <v>12986007552</v>
      </c>
      <c r="AH75" vm="3416">
        <f t="shared" si="35"/>
        <v>13147744256</v>
      </c>
      <c r="AI75" vm="1427">
        <f t="shared" si="35"/>
        <v>14904517632</v>
      </c>
      <c r="AJ75" vm="3328">
        <f t="shared" si="35"/>
        <v>16095337472</v>
      </c>
      <c r="AK75" vm="2394">
        <f t="shared" si="35"/>
        <v>18737897472</v>
      </c>
      <c r="AL75" vm="2330">
        <f t="shared" si="35"/>
        <v>25825525760</v>
      </c>
      <c r="AM75" vm="3201">
        <f t="shared" si="35"/>
        <v>31958194176</v>
      </c>
      <c r="AN75" vm="3077">
        <f t="shared" si="35"/>
        <v>35895152640</v>
      </c>
      <c r="AO75" vm="2995">
        <f t="shared" si="35"/>
        <v>37021511680</v>
      </c>
      <c r="AP75" vm="2913">
        <f t="shared" si="36"/>
        <v>40000090112</v>
      </c>
      <c r="AQ75" vm="2038">
        <f t="shared" si="36"/>
        <v>41953431552</v>
      </c>
      <c r="AR75" vm="1917">
        <f t="shared" si="36"/>
        <v>50412752896</v>
      </c>
      <c r="AS75" vm="1790">
        <f t="shared" si="36"/>
        <v>55096729600</v>
      </c>
      <c r="AT75" vm="1726">
        <f t="shared" si="36"/>
        <v>61448048640</v>
      </c>
      <c r="AU75" vm="1671">
        <f t="shared" si="36"/>
        <v>64007749632</v>
      </c>
      <c r="AV75" vm="1618">
        <f t="shared" si="36"/>
        <v>69188755456</v>
      </c>
      <c r="AW75" vm="1565">
        <f t="shared" si="36"/>
        <v>78965006336</v>
      </c>
      <c r="AX75" vm="1512">
        <f t="shared" si="36"/>
        <v>87778582528</v>
      </c>
      <c r="AY75" vm="1426">
        <f t="shared" si="36"/>
        <v>95503089664</v>
      </c>
      <c r="AZ75" vm="2820">
        <f t="shared" si="36"/>
        <v>1067098815488</v>
      </c>
    </row>
    <row r="76" spans="1:52" x14ac:dyDescent="0.45">
      <c r="A76" s="4" t="str" vm="143">
        <f>CUBEMEMBER("DESKTOP-KSAPEQM AS Model","[Geography].[Blocs].[Country].&amp;[Kiribati]")</f>
        <v>Kiribati</v>
      </c>
      <c r="B76" vm="2393">
        <f t="shared" si="32"/>
        <v>14295280</v>
      </c>
      <c r="C76" vm="2329">
        <f t="shared" si="32"/>
        <v>15278632</v>
      </c>
      <c r="D76" vm="2277">
        <f t="shared" si="32"/>
        <v>18936526</v>
      </c>
      <c r="E76" vm="2225">
        <f t="shared" si="32"/>
        <v>31710658</v>
      </c>
      <c r="F76" vm="2713">
        <f t="shared" si="32"/>
        <v>85637176</v>
      </c>
      <c r="G76" vm="2122">
        <f t="shared" si="32"/>
        <v>55081816</v>
      </c>
      <c r="H76" vm="2037">
        <f t="shared" si="32"/>
        <v>41109616</v>
      </c>
      <c r="I76" vm="1916">
        <f t="shared" si="32"/>
        <v>38748060</v>
      </c>
      <c r="J76" vm="1373">
        <f t="shared" si="32"/>
        <v>45210028</v>
      </c>
      <c r="K76" vm="1789">
        <f t="shared" si="32"/>
        <v>42620164</v>
      </c>
      <c r="L76" vm="1120">
        <f t="shared" si="33"/>
        <v>38715556</v>
      </c>
      <c r="M76" vm="993">
        <f t="shared" si="33"/>
        <v>41369800</v>
      </c>
      <c r="N76" vm="866">
        <f t="shared" si="33"/>
        <v>40572068</v>
      </c>
      <c r="O76" vm="739">
        <f t="shared" si="33"/>
        <v>37837836</v>
      </c>
      <c r="P76" vm="612">
        <f t="shared" si="33"/>
        <v>41246160</v>
      </c>
      <c r="Q76" vm="485">
        <f t="shared" si="33"/>
        <v>32125148</v>
      </c>
      <c r="R76" vm="1725">
        <f t="shared" si="33"/>
        <v>32085562</v>
      </c>
      <c r="S76" vm="1670">
        <f t="shared" si="33"/>
        <v>33608740</v>
      </c>
      <c r="T76" vm="1617">
        <f t="shared" si="33"/>
        <v>42972108</v>
      </c>
      <c r="U76" vm="1564">
        <f t="shared" si="33"/>
        <v>41119720</v>
      </c>
      <c r="V76" vm="1511">
        <f t="shared" si="34"/>
        <v>39809540</v>
      </c>
      <c r="W76" vm="1425">
        <f t="shared" si="34"/>
        <v>47515188</v>
      </c>
      <c r="X76" vm="2633">
        <f t="shared" si="34"/>
        <v>47737956</v>
      </c>
      <c r="Y76" vm="2392">
        <f t="shared" si="34"/>
        <v>46919624</v>
      </c>
      <c r="Z76" vm="1372">
        <f t="shared" si="34"/>
        <v>54832576</v>
      </c>
      <c r="AA76" vm="1246">
        <f t="shared" si="34"/>
        <v>56338028</v>
      </c>
      <c r="AB76" vm="1119">
        <f t="shared" si="34"/>
        <v>66515376</v>
      </c>
      <c r="AC76" vm="992">
        <f t="shared" si="34"/>
        <v>67537480</v>
      </c>
      <c r="AD76" vm="865">
        <f t="shared" si="34"/>
        <v>65334840</v>
      </c>
      <c r="AE76" vm="738">
        <f t="shared" si="34"/>
        <v>69032256</v>
      </c>
      <c r="AF76" vm="611">
        <f t="shared" si="35"/>
        <v>67254176</v>
      </c>
      <c r="AG76" vm="484">
        <f t="shared" si="35"/>
        <v>63101272</v>
      </c>
      <c r="AH76" vm="2328">
        <f t="shared" si="35"/>
        <v>72196456</v>
      </c>
      <c r="AI76" vm="2276">
        <f t="shared" si="35"/>
        <v>90231856</v>
      </c>
      <c r="AJ76" vm="2224">
        <f t="shared" si="35"/>
        <v>102367040</v>
      </c>
      <c r="AK76" vm="2173">
        <f t="shared" si="35"/>
        <v>112133944</v>
      </c>
      <c r="AL76" vm="2121">
        <f t="shared" si="35"/>
        <v>110234936</v>
      </c>
      <c r="AM76" vm="2036">
        <f t="shared" si="35"/>
        <v>132671744</v>
      </c>
      <c r="AN76" vm="1915">
        <f t="shared" si="35"/>
        <v>141042608</v>
      </c>
      <c r="AO76" vm="1788">
        <f t="shared" si="35"/>
        <v>132420056</v>
      </c>
      <c r="AP76" vm="1371">
        <f t="shared" si="36"/>
        <v>156120896</v>
      </c>
      <c r="AQ76" vm="1245">
        <f t="shared" si="36"/>
        <v>181705008</v>
      </c>
      <c r="AR76" vm="1118">
        <f t="shared" si="36"/>
        <v>190243328</v>
      </c>
      <c r="AS76" vm="991">
        <f t="shared" si="36"/>
        <v>185113920</v>
      </c>
      <c r="AT76" vm="864">
        <f t="shared" si="36"/>
        <v>179703440</v>
      </c>
      <c r="AU76" vm="737">
        <f t="shared" si="36"/>
        <v>171117872</v>
      </c>
      <c r="AV76" vm="610">
        <f t="shared" si="36"/>
        <v>178328880</v>
      </c>
      <c r="AW76" vm="483">
        <f t="shared" si="36"/>
        <v>187276208</v>
      </c>
      <c r="AX76" vm="358">
        <f t="shared" si="36"/>
        <v>196737888</v>
      </c>
      <c r="AY76" vm="1724">
        <f t="shared" si="36"/>
        <v>194647200</v>
      </c>
      <c r="AZ76" vm="1669">
        <f t="shared" si="36"/>
        <v>4176502246</v>
      </c>
    </row>
    <row r="77" spans="1:52" x14ac:dyDescent="0.45">
      <c r="A77" s="4" t="str" vm="138">
        <f>CUBEMEMBER("DESKTOP-KSAPEQM AS Model","[Geography].[Blocs].[Country].&amp;[Lesotho]")</f>
        <v>Lesotho</v>
      </c>
      <c r="B77" vm="1616">
        <f t="shared" si="32"/>
        <v>68738624</v>
      </c>
      <c r="C77" vm="1563">
        <f t="shared" si="32"/>
        <v>76482104</v>
      </c>
      <c r="D77" vm="1510">
        <f t="shared" si="32"/>
        <v>80915832</v>
      </c>
      <c r="E77" vm="1424">
        <f t="shared" si="32"/>
        <v>121181560</v>
      </c>
      <c r="F77" vm="2553">
        <f t="shared" si="32"/>
        <v>150846208</v>
      </c>
      <c r="G77" vm="1370">
        <f t="shared" si="32"/>
        <v>149560512</v>
      </c>
      <c r="H77" vm="1244">
        <f t="shared" si="32"/>
        <v>147654096</v>
      </c>
      <c r="I77" vm="1117">
        <f t="shared" si="32"/>
        <v>193307264</v>
      </c>
      <c r="J77" vm="990">
        <f t="shared" si="32"/>
        <v>266559344</v>
      </c>
      <c r="K77" vm="863">
        <f t="shared" si="32"/>
        <v>290142528</v>
      </c>
      <c r="L77" vm="736">
        <f t="shared" si="33"/>
        <v>431561376</v>
      </c>
      <c r="M77" vm="609">
        <f t="shared" si="33"/>
        <v>434188032</v>
      </c>
      <c r="N77" vm="482">
        <f t="shared" si="33"/>
        <v>348746816</v>
      </c>
      <c r="O77" vm="357">
        <f t="shared" si="33"/>
        <v>386699296</v>
      </c>
      <c r="P77" vm="2391">
        <f t="shared" si="33"/>
        <v>333158464</v>
      </c>
      <c r="Q77" vm="2327">
        <f t="shared" si="33"/>
        <v>268626912</v>
      </c>
      <c r="R77" vm="2275">
        <f t="shared" si="33"/>
        <v>318862880</v>
      </c>
      <c r="S77" vm="2223">
        <f t="shared" si="33"/>
        <v>402774848</v>
      </c>
      <c r="T77" vm="2172">
        <f t="shared" si="33"/>
        <v>470389184</v>
      </c>
      <c r="U77" vm="2120">
        <f t="shared" si="33"/>
        <v>495404896</v>
      </c>
      <c r="V77" vm="2035">
        <f t="shared" si="34"/>
        <v>596415104</v>
      </c>
      <c r="W77" vm="1369">
        <f t="shared" si="34"/>
        <v>704329216</v>
      </c>
      <c r="X77" vm="1243">
        <f t="shared" si="34"/>
        <v>831033920</v>
      </c>
      <c r="Y77" vm="1116">
        <f t="shared" si="34"/>
        <v>835592832</v>
      </c>
      <c r="Z77" vm="989">
        <f t="shared" si="34"/>
        <v>878250432</v>
      </c>
      <c r="AA77" vm="862">
        <f t="shared" si="34"/>
        <v>1001889856</v>
      </c>
      <c r="AB77" vm="735">
        <f t="shared" si="34"/>
        <v>946123264</v>
      </c>
      <c r="AC77" vm="608">
        <f t="shared" si="34"/>
        <v>997996032</v>
      </c>
      <c r="AD77" vm="481">
        <f t="shared" si="34"/>
        <v>928458176</v>
      </c>
      <c r="AE77" vm="356">
        <f t="shared" si="34"/>
        <v>912771264</v>
      </c>
      <c r="AF77" vm="1914">
        <f t="shared" si="35"/>
        <v>887295296</v>
      </c>
      <c r="AG77" vm="1787">
        <f t="shared" si="35"/>
        <v>825706944</v>
      </c>
      <c r="AH77" vm="1723">
        <f t="shared" si="35"/>
        <v>775780672</v>
      </c>
      <c r="AI77" vm="1668">
        <f t="shared" si="35"/>
        <v>1157832960</v>
      </c>
      <c r="AJ77" vm="1615">
        <f t="shared" si="35"/>
        <v>1511236608</v>
      </c>
      <c r="AK77" vm="1562">
        <f t="shared" si="35"/>
        <v>1682350976</v>
      </c>
      <c r="AL77" vm="1509">
        <f t="shared" si="35"/>
        <v>1800105600</v>
      </c>
      <c r="AM77" vm="1368">
        <f t="shared" si="35"/>
        <v>1716262784</v>
      </c>
      <c r="AN77" vm="1242">
        <f t="shared" si="35"/>
        <v>1758535040</v>
      </c>
      <c r="AO77" vm="1115">
        <f t="shared" si="35"/>
        <v>1773199488</v>
      </c>
      <c r="AP77" vm="988">
        <f t="shared" si="36"/>
        <v>2269525760</v>
      </c>
      <c r="AQ77" vm="861">
        <f t="shared" si="36"/>
        <v>2622336256</v>
      </c>
      <c r="AR77" vm="734">
        <f t="shared" si="36"/>
        <v>2526185216</v>
      </c>
      <c r="AS77" vm="607">
        <f t="shared" si="36"/>
        <v>2421469952</v>
      </c>
      <c r="AT77" vm="480">
        <f t="shared" si="36"/>
        <v>2499803904</v>
      </c>
      <c r="AU77" vm="355">
        <f t="shared" si="36"/>
        <v>2372280064</v>
      </c>
      <c r="AV77" vm="1423">
        <f t="shared" si="36"/>
        <v>2165408256</v>
      </c>
      <c r="AW77" vm="2463">
        <f t="shared" si="36"/>
        <v>2405289472</v>
      </c>
      <c r="AX77" vm="2390">
        <f t="shared" si="36"/>
        <v>2575892224</v>
      </c>
      <c r="AY77" vm="2326">
        <f t="shared" si="36"/>
        <v>2460072448</v>
      </c>
      <c r="AZ77" vm="2274">
        <f t="shared" si="36"/>
        <v>52275230792</v>
      </c>
    </row>
    <row r="78" spans="1:52" x14ac:dyDescent="0.45">
      <c r="A78" s="4" t="str" vm="126">
        <f>CUBEMEMBER("DESKTOP-KSAPEQM AS Model","[Geography].[Blocs].[Country].&amp;[Madagascar]")</f>
        <v>Madagascar</v>
      </c>
      <c r="B78" vm="2222">
        <f t="shared" si="32"/>
        <v>1111859584</v>
      </c>
      <c r="C78" vm="2171">
        <f t="shared" si="32"/>
        <v>1199507584</v>
      </c>
      <c r="D78" vm="1367">
        <f t="shared" si="32"/>
        <v>1341590656</v>
      </c>
      <c r="E78" vm="1241">
        <f t="shared" si="32"/>
        <v>1653062400</v>
      </c>
      <c r="F78" vm="1114">
        <f t="shared" si="32"/>
        <v>1917508224</v>
      </c>
      <c r="G78" vm="987">
        <f t="shared" si="32"/>
        <v>2283049216</v>
      </c>
      <c r="H78" vm="860">
        <f t="shared" si="32"/>
        <v>2181844224</v>
      </c>
      <c r="I78" vm="733">
        <f t="shared" si="32"/>
        <v>2358930432</v>
      </c>
      <c r="J78" vm="606">
        <f t="shared" si="32"/>
        <v>2669755136</v>
      </c>
      <c r="K78" vm="479">
        <f t="shared" si="32"/>
        <v>3463565824</v>
      </c>
      <c r="L78" vm="354">
        <f t="shared" si="33"/>
        <v>5201818112</v>
      </c>
      <c r="M78" vm="2119">
        <f t="shared" si="33"/>
        <v>4759333888</v>
      </c>
      <c r="N78" vm="2034">
        <f t="shared" si="33"/>
        <v>4784977408</v>
      </c>
      <c r="O78" vm="1913">
        <f t="shared" si="33"/>
        <v>4686456832</v>
      </c>
      <c r="P78" vm="1786">
        <f t="shared" si="33"/>
        <v>3905938432</v>
      </c>
      <c r="Q78" vm="1722">
        <f t="shared" si="33"/>
        <v>3802557952</v>
      </c>
      <c r="R78" vm="1667">
        <f t="shared" si="33"/>
        <v>4347990016</v>
      </c>
      <c r="S78" vm="1614">
        <f t="shared" si="33"/>
        <v>3212900608</v>
      </c>
      <c r="T78" vm="1366">
        <f t="shared" si="33"/>
        <v>3189456896</v>
      </c>
      <c r="U78" vm="1240">
        <f t="shared" si="33"/>
        <v>3175638272</v>
      </c>
      <c r="V78" vm="1113">
        <f t="shared" si="34"/>
        <v>3931334912</v>
      </c>
      <c r="W78" vm="986">
        <f t="shared" si="34"/>
        <v>3254713088</v>
      </c>
      <c r="X78" vm="859">
        <f t="shared" si="34"/>
        <v>3714967040</v>
      </c>
      <c r="Y78" vm="732">
        <f t="shared" si="34"/>
        <v>4063298816</v>
      </c>
      <c r="Z78" vm="605">
        <f t="shared" si="34"/>
        <v>3522226944</v>
      </c>
      <c r="AA78" vm="478">
        <f t="shared" si="34"/>
        <v>3838100992</v>
      </c>
      <c r="AB78" vm="353">
        <f t="shared" si="34"/>
        <v>4931860992</v>
      </c>
      <c r="AC78" vm="1561">
        <f t="shared" si="34"/>
        <v>4262965248</v>
      </c>
      <c r="AD78" vm="1508">
        <f t="shared" si="34"/>
        <v>4401967616</v>
      </c>
      <c r="AE78" vm="1422">
        <f t="shared" si="34"/>
        <v>4277903872</v>
      </c>
      <c r="AF78" vm="3769">
        <f t="shared" si="35"/>
        <v>4629246976</v>
      </c>
      <c r="AG78" vm="2389">
        <f t="shared" si="35"/>
        <v>5438332928</v>
      </c>
      <c r="AH78" vm="2325">
        <f t="shared" si="35"/>
        <v>5351701504</v>
      </c>
      <c r="AI78" vm="2273">
        <f t="shared" si="35"/>
        <v>6372498944</v>
      </c>
      <c r="AJ78" vm="1365">
        <f t="shared" si="35"/>
        <v>5064732672</v>
      </c>
      <c r="AK78" vm="1239">
        <f t="shared" si="35"/>
        <v>5859269632</v>
      </c>
      <c r="AL78" vm="1112">
        <f t="shared" si="35"/>
        <v>6395712512</v>
      </c>
      <c r="AM78" vm="985">
        <f t="shared" si="35"/>
        <v>8524620800</v>
      </c>
      <c r="AN78" vm="858">
        <f t="shared" si="35"/>
        <v>10725137408</v>
      </c>
      <c r="AO78" vm="731">
        <f t="shared" si="35"/>
        <v>9616879616</v>
      </c>
      <c r="AP78" vm="604">
        <f t="shared" si="36"/>
        <v>9982710784</v>
      </c>
      <c r="AQ78" vm="477">
        <f t="shared" si="36"/>
        <v>11551820800</v>
      </c>
      <c r="AR78" vm="352">
        <f t="shared" si="36"/>
        <v>11578978304</v>
      </c>
      <c r="AS78" vm="2221">
        <f t="shared" si="36"/>
        <v>12423558144</v>
      </c>
      <c r="AT78" vm="2170">
        <f t="shared" si="36"/>
        <v>12522958848</v>
      </c>
      <c r="AU78" vm="2118">
        <f t="shared" si="36"/>
        <v>11323023360</v>
      </c>
      <c r="AV78" vm="2033">
        <f t="shared" si="36"/>
        <v>11848614912</v>
      </c>
      <c r="AW78" vm="1912">
        <f t="shared" si="36"/>
        <v>13176312832</v>
      </c>
      <c r="AX78" vm="1785">
        <f t="shared" si="36"/>
        <v>13853433856</v>
      </c>
      <c r="AY78" vm="1721">
        <f t="shared" si="36"/>
        <v>14083906560</v>
      </c>
      <c r="AZ78" vm="1364">
        <f t="shared" si="36"/>
        <v>291770532608</v>
      </c>
    </row>
    <row r="79" spans="1:52" x14ac:dyDescent="0.45">
      <c r="A79" s="4" t="str" vm="17">
        <f>CUBEMEMBER("DESKTOP-KSAPEQM AS Model","[Geography].[Blocs].[Country].&amp;[Malawi]")</f>
        <v>Malawi</v>
      </c>
      <c r="B79" vm="1238">
        <f t="shared" si="32"/>
        <v>290531616</v>
      </c>
      <c r="C79" vm="1111">
        <f t="shared" si="32"/>
        <v>365386944</v>
      </c>
      <c r="D79" vm="984">
        <f t="shared" si="32"/>
        <v>406062880</v>
      </c>
      <c r="E79" vm="857">
        <f t="shared" si="32"/>
        <v>444281696</v>
      </c>
      <c r="F79" vm="730">
        <f t="shared" si="32"/>
        <v>548620992</v>
      </c>
      <c r="G79" vm="603">
        <f t="shared" si="32"/>
        <v>613220672</v>
      </c>
      <c r="H79" vm="476">
        <f t="shared" si="32"/>
        <v>670317632</v>
      </c>
      <c r="I79" vm="351">
        <f t="shared" si="32"/>
        <v>806290816</v>
      </c>
      <c r="J79" vm="1666">
        <f t="shared" si="32"/>
        <v>949034048</v>
      </c>
      <c r="K79" vm="1613">
        <f t="shared" si="32"/>
        <v>1058269056</v>
      </c>
      <c r="L79" vm="1560">
        <f t="shared" si="33"/>
        <v>1237655424</v>
      </c>
      <c r="M79" vm="1507">
        <f t="shared" si="33"/>
        <v>1237685632</v>
      </c>
      <c r="N79" vm="1421">
        <f t="shared" si="33"/>
        <v>1180104192</v>
      </c>
      <c r="O79" vm="4062">
        <f t="shared" si="33"/>
        <v>1223186816</v>
      </c>
      <c r="P79" vm="2388">
        <f t="shared" si="33"/>
        <v>1208008960</v>
      </c>
      <c r="Q79" vm="1363">
        <f t="shared" si="33"/>
        <v>1131347840</v>
      </c>
      <c r="R79" vm="1237">
        <f t="shared" si="33"/>
        <v>1183654784</v>
      </c>
      <c r="S79" vm="1110">
        <f t="shared" si="33"/>
        <v>1183094144</v>
      </c>
      <c r="T79" vm="983">
        <f t="shared" si="33"/>
        <v>1379924224</v>
      </c>
      <c r="U79" vm="856">
        <f t="shared" si="33"/>
        <v>1590215552</v>
      </c>
      <c r="V79" vm="729">
        <f t="shared" si="34"/>
        <v>1880771584</v>
      </c>
      <c r="W79" vm="602">
        <f t="shared" si="34"/>
        <v>2203545856</v>
      </c>
      <c r="X79" vm="475">
        <f t="shared" si="34"/>
        <v>1799517056</v>
      </c>
      <c r="Y79" vm="350">
        <f t="shared" si="34"/>
        <v>2070636928</v>
      </c>
      <c r="Z79" vm="2324">
        <f t="shared" si="34"/>
        <v>1181802624</v>
      </c>
      <c r="AA79" vm="2272">
        <f t="shared" si="34"/>
        <v>1397457920</v>
      </c>
      <c r="AB79" vm="2220">
        <f t="shared" si="34"/>
        <v>2281034240</v>
      </c>
      <c r="AC79" vm="2169">
        <f t="shared" si="34"/>
        <v>2663234816</v>
      </c>
      <c r="AD79" vm="2117">
        <f t="shared" si="34"/>
        <v>1750584320</v>
      </c>
      <c r="AE79" vm="2032">
        <f t="shared" si="34"/>
        <v>1775921664</v>
      </c>
      <c r="AF79" vm="1911">
        <f t="shared" si="35"/>
        <v>1743506560</v>
      </c>
      <c r="AG79" vm="1362">
        <f t="shared" si="35"/>
        <v>1716502912</v>
      </c>
      <c r="AH79" vm="1236">
        <f t="shared" si="35"/>
        <v>3495748352</v>
      </c>
      <c r="AI79" vm="1109">
        <f t="shared" si="35"/>
        <v>3208837120</v>
      </c>
      <c r="AJ79" vm="982">
        <f t="shared" si="35"/>
        <v>3476094464</v>
      </c>
      <c r="AK79" vm="855">
        <f t="shared" si="35"/>
        <v>3655909632</v>
      </c>
      <c r="AL79" vm="728">
        <f t="shared" si="35"/>
        <v>3998020096</v>
      </c>
      <c r="AM79" vm="601">
        <f t="shared" si="35"/>
        <v>4432936960</v>
      </c>
      <c r="AN79" vm="474">
        <f t="shared" si="35"/>
        <v>5321012224</v>
      </c>
      <c r="AO79" vm="349">
        <f t="shared" si="35"/>
        <v>6191127552</v>
      </c>
      <c r="AP79" vm="1784">
        <f t="shared" si="36"/>
        <v>6959655424</v>
      </c>
      <c r="AQ79" vm="1720">
        <f t="shared" si="36"/>
        <v>8004000768</v>
      </c>
      <c r="AR79" vm="1665">
        <f t="shared" si="36"/>
        <v>6028487680</v>
      </c>
      <c r="AS79" vm="1612">
        <f t="shared" si="36"/>
        <v>5518880768</v>
      </c>
      <c r="AT79" vm="1559">
        <f t="shared" si="36"/>
        <v>6047813632</v>
      </c>
      <c r="AU79" vm="1506">
        <f t="shared" si="36"/>
        <v>6373212672</v>
      </c>
      <c r="AV79" vm="1420">
        <f t="shared" si="36"/>
        <v>5433040384</v>
      </c>
      <c r="AW79" vm="1361">
        <f t="shared" si="36"/>
        <v>6303292416</v>
      </c>
      <c r="AX79" vm="1235">
        <f t="shared" si="36"/>
        <v>6917301760</v>
      </c>
      <c r="AY79" vm="1108">
        <f t="shared" si="36"/>
        <v>7666704384</v>
      </c>
      <c r="AZ79" vm="981">
        <f t="shared" si="36"/>
        <v>140203486688</v>
      </c>
    </row>
    <row r="80" spans="1:52" x14ac:dyDescent="0.45">
      <c r="A80" s="4" t="str" vm="23">
        <f>CUBEMEMBER("DESKTOP-KSAPEQM AS Model","[Geography].[Blocs].[Country].&amp;[Malaysia]")</f>
        <v>Malaysia</v>
      </c>
      <c r="B80" vm="854">
        <f t="shared" ref="B80:K89" si="37">CUBEVALUE("DESKTOP-KSAPEQM AS Model",$B$1,$B$2,$B$3,$B$4,$B$5,$A$7,$A80,B$8)</f>
        <v>3864171008</v>
      </c>
      <c r="C80" vm="727">
        <f t="shared" si="37"/>
        <v>4244340224</v>
      </c>
      <c r="D80" vm="600">
        <f t="shared" si="37"/>
        <v>5043268608</v>
      </c>
      <c r="E80" vm="473">
        <f t="shared" si="37"/>
        <v>7662996992</v>
      </c>
      <c r="F80" vm="348">
        <f t="shared" si="37"/>
        <v>9496074240</v>
      </c>
      <c r="G80" vm="3676">
        <f t="shared" si="37"/>
        <v>9298800640</v>
      </c>
      <c r="H80" vm="2387">
        <f t="shared" si="37"/>
        <v>11050126336</v>
      </c>
      <c r="I80" vm="2323">
        <f t="shared" si="37"/>
        <v>13139397632</v>
      </c>
      <c r="J80" vm="2271">
        <f t="shared" si="37"/>
        <v>16358376448</v>
      </c>
      <c r="K80" vm="2219">
        <f t="shared" si="37"/>
        <v>21213671424</v>
      </c>
      <c r="L80" vm="2168">
        <f t="shared" ref="L80:U89" si="38">CUBEVALUE("DESKTOP-KSAPEQM AS Model",$B$1,$B$2,$B$3,$B$4,$B$5,$A$7,$A80,L$8)</f>
        <v>24488034304</v>
      </c>
      <c r="M80" vm="2116">
        <f t="shared" si="38"/>
        <v>25004556288</v>
      </c>
      <c r="N80" vm="1360">
        <f t="shared" si="38"/>
        <v>26804402176</v>
      </c>
      <c r="O80" vm="1234">
        <f t="shared" si="38"/>
        <v>30346788864</v>
      </c>
      <c r="P80" vm="1107">
        <f t="shared" si="38"/>
        <v>33943504896</v>
      </c>
      <c r="Q80" vm="980">
        <f t="shared" si="38"/>
        <v>31200161792</v>
      </c>
      <c r="R80" vm="853">
        <f t="shared" si="38"/>
        <v>27734562816</v>
      </c>
      <c r="S80" vm="726">
        <f t="shared" si="38"/>
        <v>32181696512</v>
      </c>
      <c r="T80" vm="599">
        <f t="shared" si="38"/>
        <v>35271880704</v>
      </c>
      <c r="U80" vm="472">
        <f t="shared" si="38"/>
        <v>38848569344</v>
      </c>
      <c r="V80" vm="347">
        <f t="shared" ref="V80:AE89" si="39">CUBEVALUE("DESKTOP-KSAPEQM AS Model",$B$1,$B$2,$B$3,$B$4,$B$5,$A$7,$A80,V$8)</f>
        <v>44024176640</v>
      </c>
      <c r="W80" vm="2031">
        <f t="shared" si="39"/>
        <v>49143148544</v>
      </c>
      <c r="X80" vm="1910">
        <f t="shared" si="39"/>
        <v>59167551488</v>
      </c>
      <c r="Y80" vm="1783">
        <f t="shared" si="39"/>
        <v>66894835712</v>
      </c>
      <c r="Z80" vm="1719">
        <f t="shared" si="39"/>
        <v>74478354432</v>
      </c>
      <c r="AA80" vm="1664">
        <f t="shared" si="39"/>
        <v>88705343488</v>
      </c>
      <c r="AB80" vm="1611">
        <f t="shared" si="39"/>
        <v>100855390208</v>
      </c>
      <c r="AC80" vm="1558">
        <f t="shared" si="39"/>
        <v>100005322752</v>
      </c>
      <c r="AD80" vm="1359">
        <f t="shared" si="39"/>
        <v>72167497728</v>
      </c>
      <c r="AE80" vm="1233">
        <f t="shared" si="39"/>
        <v>79148417024</v>
      </c>
      <c r="AF80" vm="1106">
        <f t="shared" ref="AF80:AO89" si="40">CUBEVALUE("DESKTOP-KSAPEQM AS Model",$B$1,$B$2,$B$3,$B$4,$B$5,$A$7,$A80,AF$8)</f>
        <v>93789732864</v>
      </c>
      <c r="AG80" vm="979">
        <f t="shared" si="40"/>
        <v>92783943680</v>
      </c>
      <c r="AH80" vm="852">
        <f t="shared" si="40"/>
        <v>100845527040</v>
      </c>
      <c r="AI80" vm="725">
        <f t="shared" si="40"/>
        <v>110202372096</v>
      </c>
      <c r="AJ80" vm="598">
        <f t="shared" si="40"/>
        <v>124749471744</v>
      </c>
      <c r="AK80" vm="471">
        <f t="shared" si="40"/>
        <v>143534096384</v>
      </c>
      <c r="AL80" vm="346">
        <f t="shared" si="40"/>
        <v>162691235840</v>
      </c>
      <c r="AM80" vm="1505">
        <f t="shared" si="40"/>
        <v>193547829248</v>
      </c>
      <c r="AN80" vm="1419">
        <f t="shared" si="40"/>
        <v>230813892608</v>
      </c>
      <c r="AO80" vm="3571">
        <f t="shared" si="40"/>
        <v>202257629184</v>
      </c>
      <c r="AP80" vm="2386">
        <f t="shared" ref="AP80:AZ89" si="41">CUBEVALUE("DESKTOP-KSAPEQM AS Model",$B$1,$B$2,$B$3,$B$4,$B$5,$A$7,$A80,AP$8)</f>
        <v>255016615936</v>
      </c>
      <c r="AQ80" vm="2322">
        <f t="shared" si="41"/>
        <v>297951952896</v>
      </c>
      <c r="AR80" vm="2270">
        <f t="shared" si="41"/>
        <v>314443137024</v>
      </c>
      <c r="AS80" vm="2218">
        <f t="shared" si="41"/>
        <v>323277160448</v>
      </c>
      <c r="AT80" vm="1358">
        <f t="shared" si="41"/>
        <v>338061950976</v>
      </c>
      <c r="AU80" vm="1232">
        <f t="shared" si="41"/>
        <v>301354745856</v>
      </c>
      <c r="AV80" vm="1105">
        <f t="shared" si="41"/>
        <v>301255458816</v>
      </c>
      <c r="AW80" vm="978">
        <f t="shared" si="41"/>
        <v>318958239744</v>
      </c>
      <c r="AX80" vm="851">
        <f t="shared" si="41"/>
        <v>358581927936</v>
      </c>
      <c r="AY80" vm="724">
        <f t="shared" si="41"/>
        <v>364701515776</v>
      </c>
      <c r="AZ80" vm="597">
        <f t="shared" si="41"/>
        <v>5770603855360</v>
      </c>
    </row>
    <row r="81" spans="1:52" x14ac:dyDescent="0.45">
      <c r="A81" s="4" t="str" vm="8">
        <f>CUBEMEMBER("DESKTOP-KSAPEQM AS Model","[Geography].[Blocs].[Country].&amp;[Mali]")</f>
        <v>Mali</v>
      </c>
      <c r="B81" vm="470">
        <f t="shared" si="37"/>
        <v>359772352</v>
      </c>
      <c r="C81" vm="345">
        <f t="shared" si="37"/>
        <v>430096736</v>
      </c>
      <c r="D81" vm="2167">
        <f t="shared" si="37"/>
        <v>486617344</v>
      </c>
      <c r="E81" vm="2115">
        <f t="shared" si="37"/>
        <v>563683648</v>
      </c>
      <c r="F81" vm="2030">
        <f t="shared" si="37"/>
        <v>538747264</v>
      </c>
      <c r="G81" vm="1909">
        <f t="shared" si="37"/>
        <v>830710592</v>
      </c>
      <c r="H81" vm="1782">
        <f t="shared" si="37"/>
        <v>939227968</v>
      </c>
      <c r="I81" vm="1718">
        <f t="shared" si="37"/>
        <v>1049838464</v>
      </c>
      <c r="J81" vm="1663">
        <f t="shared" si="37"/>
        <v>1222702336</v>
      </c>
      <c r="K81" vm="1357">
        <f t="shared" si="37"/>
        <v>1595423232</v>
      </c>
      <c r="L81" vm="1231">
        <f t="shared" si="38"/>
        <v>1759690752</v>
      </c>
      <c r="M81" vm="1104">
        <f t="shared" si="38"/>
        <v>1538972160</v>
      </c>
      <c r="N81" vm="977">
        <f t="shared" si="38"/>
        <v>1333753984</v>
      </c>
      <c r="O81" vm="850">
        <f t="shared" si="38"/>
        <v>1297765504</v>
      </c>
      <c r="P81" vm="723">
        <f t="shared" si="38"/>
        <v>1232931968</v>
      </c>
      <c r="Q81" vm="596">
        <f t="shared" si="38"/>
        <v>1392195968</v>
      </c>
      <c r="R81" vm="469">
        <f t="shared" si="38"/>
        <v>1852163456</v>
      </c>
      <c r="S81" vm="344">
        <f t="shared" si="38"/>
        <v>2090629760</v>
      </c>
      <c r="T81" vm="1610">
        <f t="shared" si="38"/>
        <v>2169040640</v>
      </c>
      <c r="U81" vm="1557">
        <f t="shared" si="38"/>
        <v>2181821952</v>
      </c>
      <c r="V81" vm="1504">
        <f t="shared" si="39"/>
        <v>2681912064</v>
      </c>
      <c r="W81" vm="1418">
        <f t="shared" si="39"/>
        <v>2724131584</v>
      </c>
      <c r="X81" vm="3492">
        <f t="shared" si="39"/>
        <v>2830673408</v>
      </c>
      <c r="Y81" vm="2385">
        <f t="shared" si="39"/>
        <v>2818280960</v>
      </c>
      <c r="Z81" vm="2321">
        <f t="shared" si="39"/>
        <v>2081846528</v>
      </c>
      <c r="AA81" vm="1356">
        <f t="shared" si="39"/>
        <v>2706425344</v>
      </c>
      <c r="AB81" vm="1230">
        <f t="shared" si="39"/>
        <v>2780422144</v>
      </c>
      <c r="AC81" vm="1103">
        <f t="shared" si="39"/>
        <v>2697105664</v>
      </c>
      <c r="AD81" vm="976">
        <f t="shared" si="39"/>
        <v>2920358656</v>
      </c>
      <c r="AE81" vm="849">
        <f t="shared" si="39"/>
        <v>3439463168</v>
      </c>
      <c r="AF81" vm="722">
        <f t="shared" si="40"/>
        <v>2954129664</v>
      </c>
      <c r="AG81" vm="595">
        <f t="shared" si="40"/>
        <v>3465306112</v>
      </c>
      <c r="AH81" vm="468">
        <f t="shared" si="40"/>
        <v>3889757952</v>
      </c>
      <c r="AI81" vm="343">
        <f t="shared" si="40"/>
        <v>4703504384</v>
      </c>
      <c r="AJ81" vm="2269">
        <f t="shared" si="40"/>
        <v>5444474368</v>
      </c>
      <c r="AK81" vm="2217">
        <f t="shared" si="40"/>
        <v>6247496704</v>
      </c>
      <c r="AL81" vm="2166">
        <f t="shared" si="40"/>
        <v>6905876480</v>
      </c>
      <c r="AM81" vm="2114">
        <f t="shared" si="40"/>
        <v>8145694720</v>
      </c>
      <c r="AN81" vm="2029">
        <f t="shared" si="40"/>
        <v>9798740992</v>
      </c>
      <c r="AO81" vm="1908">
        <f t="shared" si="40"/>
        <v>10190945280</v>
      </c>
      <c r="AP81" vm="1781">
        <f t="shared" si="41"/>
        <v>10689167360</v>
      </c>
      <c r="AQ81" vm="1355">
        <f t="shared" si="41"/>
        <v>12995075072</v>
      </c>
      <c r="AR81" vm="1229">
        <f t="shared" si="41"/>
        <v>12441946112</v>
      </c>
      <c r="AS81" vm="1102">
        <f t="shared" si="41"/>
        <v>13242680320</v>
      </c>
      <c r="AT81" vm="975">
        <f t="shared" si="41"/>
        <v>14365345792</v>
      </c>
      <c r="AU81" vm="848">
        <f t="shared" si="41"/>
        <v>13104869376</v>
      </c>
      <c r="AV81" vm="721">
        <f t="shared" si="41"/>
        <v>14020002816</v>
      </c>
      <c r="AW81" vm="594">
        <f t="shared" si="41"/>
        <v>15375605760</v>
      </c>
      <c r="AX81" vm="467">
        <f t="shared" si="41"/>
        <v>17172022272</v>
      </c>
      <c r="AY81" vm="342">
        <f t="shared" si="41"/>
        <v>17510141952</v>
      </c>
      <c r="AZ81" vm="1717">
        <f t="shared" si="41"/>
        <v>255209189088</v>
      </c>
    </row>
    <row r="82" spans="1:52" x14ac:dyDescent="0.45">
      <c r="A82" s="4" t="str" vm="130">
        <f>CUBEMEMBER("DESKTOP-KSAPEQM AS Model","[Geography].[Blocs].[Country].&amp;[Mauritania]")</f>
        <v>Mauritania</v>
      </c>
      <c r="B82" vm="1662">
        <f t="shared" si="37"/>
        <v>309405312</v>
      </c>
      <c r="C82" vm="1609">
        <f t="shared" si="37"/>
        <v>335569088</v>
      </c>
      <c r="D82" vm="1556">
        <f t="shared" si="37"/>
        <v>391669440</v>
      </c>
      <c r="E82" vm="1503">
        <f t="shared" si="37"/>
        <v>493237536</v>
      </c>
      <c r="F82" vm="1417">
        <f t="shared" si="37"/>
        <v>613010944</v>
      </c>
      <c r="G82" vm="3415">
        <f t="shared" si="37"/>
        <v>703378624</v>
      </c>
      <c r="H82" vm="1354">
        <f t="shared" si="37"/>
        <v>775046400</v>
      </c>
      <c r="I82" vm="1228">
        <f t="shared" si="37"/>
        <v>799029696</v>
      </c>
      <c r="J82" vm="1101">
        <f t="shared" si="37"/>
        <v>804629888</v>
      </c>
      <c r="K82" vm="974">
        <f t="shared" si="37"/>
        <v>951900928</v>
      </c>
      <c r="L82" vm="847">
        <f t="shared" si="38"/>
        <v>1047924672</v>
      </c>
      <c r="M82" vm="720">
        <f t="shared" si="38"/>
        <v>1105495424</v>
      </c>
      <c r="N82" vm="593">
        <f t="shared" si="38"/>
        <v>1108776064</v>
      </c>
      <c r="O82" vm="466">
        <f t="shared" si="38"/>
        <v>1165170688</v>
      </c>
      <c r="P82" vm="341">
        <f t="shared" si="38"/>
        <v>1074373760</v>
      </c>
      <c r="Q82" vm="2384">
        <f t="shared" si="38"/>
        <v>1009723328</v>
      </c>
      <c r="R82" vm="2320">
        <f t="shared" si="38"/>
        <v>1186628736</v>
      </c>
      <c r="S82" vm="2268">
        <f t="shared" si="38"/>
        <v>1344665216</v>
      </c>
      <c r="T82" vm="2216">
        <f t="shared" si="38"/>
        <v>1414951808</v>
      </c>
      <c r="U82" vm="2165">
        <f t="shared" si="38"/>
        <v>1450647040</v>
      </c>
      <c r="V82" vm="2113">
        <f t="shared" si="39"/>
        <v>1506914432</v>
      </c>
      <c r="W82" vm="2028">
        <f t="shared" si="39"/>
        <v>2133693440</v>
      </c>
      <c r="X82" vm="1353">
        <f t="shared" si="39"/>
        <v>2164292096</v>
      </c>
      <c r="Y82" vm="1227">
        <f t="shared" si="39"/>
        <v>1847350656</v>
      </c>
      <c r="Z82" vm="1100">
        <f t="shared" si="39"/>
        <v>1944876800</v>
      </c>
      <c r="AA82" vm="973">
        <f t="shared" si="39"/>
        <v>2091731456</v>
      </c>
      <c r="AB82" vm="846">
        <f t="shared" si="39"/>
        <v>2132081920</v>
      </c>
      <c r="AC82" vm="719">
        <f t="shared" si="39"/>
        <v>2072001024</v>
      </c>
      <c r="AD82" vm="592">
        <f t="shared" si="39"/>
        <v>2032345856</v>
      </c>
      <c r="AE82" vm="465">
        <f t="shared" si="39"/>
        <v>1985924352</v>
      </c>
      <c r="AF82" vm="340">
        <f t="shared" si="40"/>
        <v>1779521152</v>
      </c>
      <c r="AG82" vm="1907">
        <f t="shared" si="40"/>
        <v>1746064768</v>
      </c>
      <c r="AH82" vm="1780">
        <f t="shared" si="40"/>
        <v>1777058560</v>
      </c>
      <c r="AI82" vm="1716">
        <f t="shared" si="40"/>
        <v>2051147648</v>
      </c>
      <c r="AJ82" vm="1661">
        <f t="shared" si="40"/>
        <v>2362501120</v>
      </c>
      <c r="AK82" vm="1608">
        <f t="shared" si="40"/>
        <v>2936019456</v>
      </c>
      <c r="AL82" vm="1555">
        <f t="shared" si="40"/>
        <v>4008583936</v>
      </c>
      <c r="AM82" vm="1502">
        <f t="shared" si="40"/>
        <v>4328063488</v>
      </c>
      <c r="AN82" vm="1352">
        <f t="shared" si="40"/>
        <v>5138471424</v>
      </c>
      <c r="AO82" vm="1226">
        <f t="shared" si="40"/>
        <v>4725200384</v>
      </c>
      <c r="AP82" vm="1099">
        <f t="shared" si="41"/>
        <v>5628882432</v>
      </c>
      <c r="AQ82" vm="972">
        <f t="shared" si="41"/>
        <v>6764635648</v>
      </c>
      <c r="AR82" vm="845">
        <f t="shared" si="41"/>
        <v>6728208896</v>
      </c>
      <c r="AS82" vm="718">
        <f t="shared" si="41"/>
        <v>7223063040</v>
      </c>
      <c r="AT82" vm="591">
        <f t="shared" si="41"/>
        <v>6592537600</v>
      </c>
      <c r="AU82" vm="464">
        <f t="shared" si="41"/>
        <v>6166857728</v>
      </c>
      <c r="AV82" vm="339">
        <f t="shared" si="41"/>
        <v>6398744576</v>
      </c>
      <c r="AW82" vm="1416">
        <f t="shared" si="41"/>
        <v>6758390784</v>
      </c>
      <c r="AX82" vm="3327">
        <f t="shared" si="41"/>
        <v>7049169920</v>
      </c>
      <c r="AY82" vm="2383">
        <f t="shared" si="41"/>
        <v>7593752576</v>
      </c>
      <c r="AZ82" vm="2319">
        <f t="shared" si="41"/>
        <v>135753321760</v>
      </c>
    </row>
    <row r="83" spans="1:52" x14ac:dyDescent="0.45">
      <c r="A83" s="4" t="str" vm="117">
        <f>CUBEMEMBER("DESKTOP-KSAPEQM AS Model","[Geography].[Blocs].[Country].&amp;[Mexico]")</f>
        <v>Mexico</v>
      </c>
      <c r="B83" vm="2267">
        <f t="shared" si="37"/>
        <v>35520000000</v>
      </c>
      <c r="C83" vm="2215">
        <f t="shared" si="37"/>
        <v>39199997952</v>
      </c>
      <c r="D83" vm="2164">
        <f t="shared" si="37"/>
        <v>45199998976</v>
      </c>
      <c r="E83" vm="1351">
        <f t="shared" si="37"/>
        <v>55280001024</v>
      </c>
      <c r="F83" vm="1225">
        <f t="shared" si="37"/>
        <v>71999995904</v>
      </c>
      <c r="G83" vm="1098">
        <f t="shared" si="37"/>
        <v>88000004096</v>
      </c>
      <c r="H83" vm="971">
        <f t="shared" si="37"/>
        <v>89025970176</v>
      </c>
      <c r="I83" vm="844">
        <f t="shared" si="37"/>
        <v>81814159360</v>
      </c>
      <c r="J83" vm="717">
        <f t="shared" si="37"/>
        <v>102499999744</v>
      </c>
      <c r="K83" vm="590">
        <f t="shared" si="37"/>
        <v>134561406976</v>
      </c>
      <c r="L83" vm="463">
        <f t="shared" si="38"/>
        <v>205139083264</v>
      </c>
      <c r="M83" vm="338">
        <f t="shared" si="38"/>
        <v>263959330816</v>
      </c>
      <c r="N83" vm="2112">
        <f t="shared" si="38"/>
        <v>184609161216</v>
      </c>
      <c r="O83" vm="2027">
        <f t="shared" si="38"/>
        <v>156159197184</v>
      </c>
      <c r="P83" vm="1906">
        <f t="shared" si="38"/>
        <v>184261492736</v>
      </c>
      <c r="Q83" vm="1779">
        <f t="shared" si="38"/>
        <v>195219783680</v>
      </c>
      <c r="R83" vm="1715">
        <f t="shared" si="38"/>
        <v>134550093824</v>
      </c>
      <c r="S83" vm="1660">
        <f t="shared" si="38"/>
        <v>147540738048</v>
      </c>
      <c r="T83" vm="1607">
        <f t="shared" si="38"/>
        <v>181611544576</v>
      </c>
      <c r="U83" vm="1350">
        <f t="shared" si="38"/>
        <v>221400662016</v>
      </c>
      <c r="V83" vm="1224">
        <f t="shared" si="39"/>
        <v>261253578752</v>
      </c>
      <c r="W83" vm="1097">
        <f t="shared" si="39"/>
        <v>313142771712</v>
      </c>
      <c r="X83" vm="970">
        <f t="shared" si="39"/>
        <v>363157585920</v>
      </c>
      <c r="Y83" vm="843">
        <f t="shared" si="39"/>
        <v>500736065536</v>
      </c>
      <c r="Z83" vm="716">
        <f t="shared" si="39"/>
        <v>527813246976</v>
      </c>
      <c r="AA83" vm="589">
        <f t="shared" si="39"/>
        <v>360073920512</v>
      </c>
      <c r="AB83" vm="462">
        <f t="shared" si="39"/>
        <v>410975600640</v>
      </c>
      <c r="AC83" vm="337">
        <f t="shared" si="39"/>
        <v>500413497344</v>
      </c>
      <c r="AD83" vm="1554">
        <f t="shared" si="39"/>
        <v>526502133760</v>
      </c>
      <c r="AE83" vm="1501">
        <f t="shared" si="39"/>
        <v>600232886272</v>
      </c>
      <c r="AF83" vm="1415">
        <f t="shared" si="40"/>
        <v>707906764800</v>
      </c>
      <c r="AG83" vm="3200">
        <f t="shared" si="40"/>
        <v>756706312192</v>
      </c>
      <c r="AH83" vm="2382">
        <f t="shared" si="40"/>
        <v>772106354688</v>
      </c>
      <c r="AI83" vm="2318">
        <f t="shared" si="40"/>
        <v>729336315904</v>
      </c>
      <c r="AJ83" vm="2266">
        <f t="shared" si="40"/>
        <v>782240579584</v>
      </c>
      <c r="AK83" vm="1349">
        <f t="shared" si="40"/>
        <v>877476249600</v>
      </c>
      <c r="AL83" vm="1223">
        <f t="shared" si="40"/>
        <v>975387099136</v>
      </c>
      <c r="AM83" vm="1096">
        <f t="shared" si="40"/>
        <v>1052696313856</v>
      </c>
      <c r="AN83" vm="969">
        <f t="shared" si="40"/>
        <v>1109988999168</v>
      </c>
      <c r="AO83" vm="842">
        <f t="shared" si="40"/>
        <v>900045340672</v>
      </c>
      <c r="AP83" vm="715">
        <f t="shared" si="41"/>
        <v>1057801306112</v>
      </c>
      <c r="AQ83" vm="588">
        <f t="shared" si="41"/>
        <v>1180489613312</v>
      </c>
      <c r="AR83" vm="461">
        <f t="shared" si="41"/>
        <v>1201089937408</v>
      </c>
      <c r="AS83" vm="336">
        <f t="shared" si="41"/>
        <v>1274443071488</v>
      </c>
      <c r="AT83" vm="2214">
        <f t="shared" si="41"/>
        <v>1314563948544</v>
      </c>
      <c r="AU83" vm="2163">
        <f t="shared" si="41"/>
        <v>1170564579328</v>
      </c>
      <c r="AV83" vm="2111">
        <f t="shared" si="41"/>
        <v>1077903622144</v>
      </c>
      <c r="AW83" vm="2026">
        <f t="shared" si="41"/>
        <v>1157736169472</v>
      </c>
      <c r="AX83" vm="1905">
        <f t="shared" si="41"/>
        <v>1220699488256</v>
      </c>
      <c r="AY83" vm="1778">
        <f t="shared" si="41"/>
        <v>1258286743552</v>
      </c>
      <c r="AZ83" vm="1714">
        <f t="shared" si="41"/>
        <v>27559322718208</v>
      </c>
    </row>
    <row r="84" spans="1:52" x14ac:dyDescent="0.45">
      <c r="A84" s="4" t="str" vm="111">
        <f>CUBEMEMBER("DESKTOP-KSAPEQM AS Model","[Geography].[Blocs].[Country].&amp;[Morocco]")</f>
        <v>Morocco</v>
      </c>
      <c r="B84" vm="1348">
        <f t="shared" si="37"/>
        <v>3956328448</v>
      </c>
      <c r="C84" vm="1222">
        <f t="shared" si="37"/>
        <v>4356633600</v>
      </c>
      <c r="D84" vm="1095">
        <f t="shared" si="37"/>
        <v>5074117632</v>
      </c>
      <c r="E84" vm="968">
        <f t="shared" si="37"/>
        <v>6242178048</v>
      </c>
      <c r="F84" vm="841">
        <f t="shared" si="37"/>
        <v>7675408384</v>
      </c>
      <c r="G84" vm="714">
        <f t="shared" si="37"/>
        <v>8984823808</v>
      </c>
      <c r="H84" vm="587">
        <f t="shared" si="37"/>
        <v>9584323584</v>
      </c>
      <c r="I84" vm="460">
        <f t="shared" si="37"/>
        <v>11049896960</v>
      </c>
      <c r="J84" vm="335">
        <f t="shared" si="37"/>
        <v>13236853760</v>
      </c>
      <c r="K84" vm="1659">
        <f t="shared" si="37"/>
        <v>15912133632</v>
      </c>
      <c r="L84" vm="1606">
        <f t="shared" si="38"/>
        <v>21728770048</v>
      </c>
      <c r="M84" vm="1553">
        <f t="shared" si="38"/>
        <v>17788172288</v>
      </c>
      <c r="N84" vm="1500">
        <f t="shared" si="38"/>
        <v>17692342272</v>
      </c>
      <c r="O84" vm="1414">
        <f t="shared" si="38"/>
        <v>16251460608</v>
      </c>
      <c r="P84" vm="3076">
        <f t="shared" si="38"/>
        <v>14824728576</v>
      </c>
      <c r="Q84" vm="2381">
        <f t="shared" si="38"/>
        <v>14991283200</v>
      </c>
      <c r="R84" vm="1347">
        <f t="shared" si="38"/>
        <v>19462174720</v>
      </c>
      <c r="S84" vm="1221">
        <f t="shared" si="38"/>
        <v>21765261312</v>
      </c>
      <c r="T84" vm="1094">
        <f t="shared" si="38"/>
        <v>25705295872</v>
      </c>
      <c r="U84" vm="967">
        <f t="shared" si="38"/>
        <v>26314219520</v>
      </c>
      <c r="V84" vm="840">
        <f t="shared" si="39"/>
        <v>30180108288</v>
      </c>
      <c r="W84" vm="713">
        <f t="shared" si="39"/>
        <v>32285388800</v>
      </c>
      <c r="X84" vm="586">
        <f t="shared" si="39"/>
        <v>33711069184</v>
      </c>
      <c r="Y84" vm="459">
        <f t="shared" si="39"/>
        <v>31655473152</v>
      </c>
      <c r="Z84" vm="334">
        <f t="shared" si="39"/>
        <v>35604135936</v>
      </c>
      <c r="AA84" vm="2317">
        <f t="shared" si="39"/>
        <v>39030284288</v>
      </c>
      <c r="AB84" vm="2265">
        <f t="shared" si="39"/>
        <v>43161452544</v>
      </c>
      <c r="AC84" vm="2213">
        <f t="shared" si="39"/>
        <v>39147843584</v>
      </c>
      <c r="AD84" vm="2162">
        <f t="shared" si="39"/>
        <v>41806221312</v>
      </c>
      <c r="AE84" vm="2110">
        <f t="shared" si="39"/>
        <v>41632026624</v>
      </c>
      <c r="AF84" vm="2025">
        <f t="shared" si="40"/>
        <v>38857252864</v>
      </c>
      <c r="AG84" vm="1904">
        <f t="shared" si="40"/>
        <v>39459581952</v>
      </c>
      <c r="AH84" vm="1346">
        <f t="shared" si="40"/>
        <v>42236837888</v>
      </c>
      <c r="AI84" vm="1220">
        <f t="shared" si="40"/>
        <v>52064059392</v>
      </c>
      <c r="AJ84" vm="1093">
        <f t="shared" si="40"/>
        <v>59626020864</v>
      </c>
      <c r="AK84" vm="966">
        <f t="shared" si="40"/>
        <v>62343024640</v>
      </c>
      <c r="AL84" vm="839">
        <f t="shared" si="40"/>
        <v>68640825344</v>
      </c>
      <c r="AM84" vm="712">
        <f t="shared" si="40"/>
        <v>79041298432</v>
      </c>
      <c r="AN84" vm="585">
        <f t="shared" si="40"/>
        <v>92507258880</v>
      </c>
      <c r="AO84" vm="458">
        <f t="shared" si="40"/>
        <v>92897320960</v>
      </c>
      <c r="AP84" vm="333">
        <f t="shared" si="41"/>
        <v>93216743424</v>
      </c>
      <c r="AQ84" vm="1777">
        <f t="shared" si="41"/>
        <v>101370470400</v>
      </c>
      <c r="AR84" vm="1713">
        <f t="shared" si="41"/>
        <v>98266308608</v>
      </c>
      <c r="AS84" vm="1658">
        <f t="shared" si="41"/>
        <v>106825646080</v>
      </c>
      <c r="AT84" vm="1605">
        <f t="shared" si="41"/>
        <v>110081245184</v>
      </c>
      <c r="AU84" vm="1552">
        <f t="shared" si="41"/>
        <v>101179809792</v>
      </c>
      <c r="AV84" vm="1499">
        <f t="shared" si="41"/>
        <v>103311646720</v>
      </c>
      <c r="AW84" vm="1413">
        <f t="shared" si="41"/>
        <v>109714300928</v>
      </c>
      <c r="AX84" vm="1345">
        <f t="shared" si="41"/>
        <v>117921390592</v>
      </c>
      <c r="AY84" vm="1219">
        <f t="shared" si="41"/>
        <v>118725279744</v>
      </c>
      <c r="AZ84" vm="1092">
        <f t="shared" si="41"/>
        <v>2339096732672</v>
      </c>
    </row>
    <row r="85" spans="1:52" x14ac:dyDescent="0.45">
      <c r="A85" s="4" t="str" vm="98">
        <f>CUBEMEMBER("DESKTOP-KSAPEQM AS Model","[Geography].[Blocs].[Country].&amp;[Nepal]")</f>
        <v>Nepal</v>
      </c>
      <c r="B85" vm="965">
        <f t="shared" si="37"/>
        <v>865975296</v>
      </c>
      <c r="C85" vm="838">
        <f t="shared" si="37"/>
        <v>882765440</v>
      </c>
      <c r="D85" vm="711">
        <f t="shared" si="37"/>
        <v>1024098816</v>
      </c>
      <c r="E85" vm="584">
        <f t="shared" si="37"/>
        <v>972101696</v>
      </c>
      <c r="F85" vm="457">
        <f t="shared" si="37"/>
        <v>1217953536</v>
      </c>
      <c r="G85" vm="332">
        <f t="shared" si="37"/>
        <v>1575789312</v>
      </c>
      <c r="H85" vm="2994">
        <f t="shared" si="37"/>
        <v>1452792960</v>
      </c>
      <c r="I85" vm="2380">
        <f t="shared" si="37"/>
        <v>1382400000</v>
      </c>
      <c r="J85" vm="2316">
        <f t="shared" si="37"/>
        <v>1604162560</v>
      </c>
      <c r="K85" vm="2264">
        <f t="shared" si="37"/>
        <v>1851250048</v>
      </c>
      <c r="L85" vm="2212">
        <f t="shared" si="38"/>
        <v>1945916544</v>
      </c>
      <c r="M85" vm="2161">
        <f t="shared" si="38"/>
        <v>2275583232</v>
      </c>
      <c r="N85" vm="2109">
        <f t="shared" si="38"/>
        <v>2395429888</v>
      </c>
      <c r="O85" vm="1344">
        <f t="shared" si="38"/>
        <v>2447174912</v>
      </c>
      <c r="P85" vm="1218">
        <f t="shared" si="38"/>
        <v>2581207296</v>
      </c>
      <c r="Q85" vm="1091">
        <f t="shared" si="38"/>
        <v>2619913984</v>
      </c>
      <c r="R85" vm="964">
        <f t="shared" si="38"/>
        <v>2850784512</v>
      </c>
      <c r="S85" vm="837">
        <f t="shared" si="38"/>
        <v>2957255424</v>
      </c>
      <c r="T85" vm="710">
        <f t="shared" si="38"/>
        <v>3487009792</v>
      </c>
      <c r="U85" vm="583">
        <f t="shared" si="38"/>
        <v>3525228032</v>
      </c>
      <c r="V85" vm="456">
        <f t="shared" si="39"/>
        <v>3627562496</v>
      </c>
      <c r="W85" vm="331">
        <f t="shared" si="39"/>
        <v>3921476096</v>
      </c>
      <c r="X85" vm="2024">
        <f t="shared" si="39"/>
        <v>3401211648</v>
      </c>
      <c r="Y85" vm="1903">
        <f t="shared" si="39"/>
        <v>3660041728</v>
      </c>
      <c r="Z85" vm="1776">
        <f t="shared" si="39"/>
        <v>4066775552</v>
      </c>
      <c r="AA85" vm="1712">
        <f t="shared" si="39"/>
        <v>4401104384</v>
      </c>
      <c r="AB85" vm="1657">
        <f t="shared" si="39"/>
        <v>4521580544</v>
      </c>
      <c r="AC85" vm="1604">
        <f t="shared" si="39"/>
        <v>4918691840</v>
      </c>
      <c r="AD85" vm="1551">
        <f t="shared" si="39"/>
        <v>4856254976</v>
      </c>
      <c r="AE85" vm="1343">
        <f t="shared" si="39"/>
        <v>5033642496</v>
      </c>
      <c r="AF85" vm="1217">
        <f t="shared" si="40"/>
        <v>5494252032</v>
      </c>
      <c r="AG85" vm="1090">
        <f t="shared" si="40"/>
        <v>6007054848</v>
      </c>
      <c r="AH85" vm="963">
        <f t="shared" si="40"/>
        <v>6050875904</v>
      </c>
      <c r="AI85" vm="836">
        <f t="shared" si="40"/>
        <v>6330472960</v>
      </c>
      <c r="AJ85" vm="709">
        <f t="shared" si="40"/>
        <v>7273938432</v>
      </c>
      <c r="AK85" vm="582">
        <f t="shared" si="40"/>
        <v>8130257920</v>
      </c>
      <c r="AL85" vm="455">
        <f t="shared" si="40"/>
        <v>9043715072</v>
      </c>
      <c r="AM85" vm="330">
        <f t="shared" si="40"/>
        <v>10325617664</v>
      </c>
      <c r="AN85" vm="1498">
        <f t="shared" si="40"/>
        <v>12545438720</v>
      </c>
      <c r="AO85" vm="1412">
        <f t="shared" si="40"/>
        <v>12854985728</v>
      </c>
      <c r="AP85" vm="2912">
        <f t="shared" si="41"/>
        <v>16002656256</v>
      </c>
      <c r="AQ85" vm="2379">
        <f t="shared" si="41"/>
        <v>18913574912</v>
      </c>
      <c r="AR85" vm="2315">
        <f t="shared" si="41"/>
        <v>18851514368</v>
      </c>
      <c r="AS85" vm="2263">
        <f t="shared" si="41"/>
        <v>19271168000</v>
      </c>
      <c r="AT85" vm="2211">
        <f t="shared" si="41"/>
        <v>20002969600</v>
      </c>
      <c r="AU85" vm="1342">
        <f t="shared" si="41"/>
        <v>21410840576</v>
      </c>
      <c r="AV85" vm="1216">
        <f t="shared" si="41"/>
        <v>21185923072</v>
      </c>
      <c r="AW85" vm="1089">
        <f t="shared" si="41"/>
        <v>25180583936</v>
      </c>
      <c r="AX85" vm="962">
        <f t="shared" si="41"/>
        <v>29173514240</v>
      </c>
      <c r="AY85" vm="835">
        <f t="shared" si="41"/>
        <v>30641381376</v>
      </c>
      <c r="AZ85" vm="708">
        <f t="shared" si="41"/>
        <v>387013870656</v>
      </c>
    </row>
    <row r="86" spans="1:52" x14ac:dyDescent="0.45">
      <c r="A86" s="4" t="str" vm="89">
        <f>CUBEMEMBER("DESKTOP-KSAPEQM AS Model","[Geography].[Blocs].[Country].&amp;[Nicaragua]")</f>
        <v>Nicaragua</v>
      </c>
      <c r="B86" vm="581">
        <f t="shared" si="37"/>
        <v>776585664</v>
      </c>
      <c r="C86" vm="454">
        <f t="shared" si="37"/>
        <v>826571392</v>
      </c>
      <c r="D86" vm="329">
        <f t="shared" si="37"/>
        <v>880842880</v>
      </c>
      <c r="E86" vm="2160">
        <f t="shared" si="37"/>
        <v>1093571456</v>
      </c>
      <c r="F86" vm="2108">
        <f t="shared" si="37"/>
        <v>1520900096</v>
      </c>
      <c r="G86" vm="2023">
        <f t="shared" si="37"/>
        <v>1590428544</v>
      </c>
      <c r="H86" vm="1902">
        <f t="shared" si="37"/>
        <v>1847871360</v>
      </c>
      <c r="I86" vm="1775">
        <f t="shared" si="37"/>
        <v>2239857152</v>
      </c>
      <c r="J86" vm="1711">
        <f t="shared" si="37"/>
        <v>2142128640</v>
      </c>
      <c r="K86" vm="1656">
        <f t="shared" si="37"/>
        <v>1527852672</v>
      </c>
      <c r="L86" vm="1341">
        <f t="shared" si="38"/>
        <v>2189347328</v>
      </c>
      <c r="M86" vm="1215">
        <f t="shared" si="38"/>
        <v>2448290048</v>
      </c>
      <c r="N86" vm="1088">
        <f t="shared" si="38"/>
        <v>2465165056</v>
      </c>
      <c r="O86" vm="961">
        <f t="shared" si="38"/>
        <v>2743341824</v>
      </c>
      <c r="P86" vm="834">
        <f t="shared" si="38"/>
        <v>3105517056</v>
      </c>
      <c r="Q86" vm="707">
        <f t="shared" si="38"/>
        <v>2683816192</v>
      </c>
      <c r="R86" vm="580">
        <f t="shared" si="38"/>
        <v>2885710592</v>
      </c>
      <c r="S86" vm="453">
        <f t="shared" si="38"/>
        <v>3851213824</v>
      </c>
      <c r="T86" vm="328">
        <f t="shared" si="38"/>
        <v>2630904320</v>
      </c>
      <c r="U86" vm="1603">
        <f t="shared" si="38"/>
        <v>1013184768</v>
      </c>
      <c r="V86" vm="1550">
        <f t="shared" si="39"/>
        <v>1009455488</v>
      </c>
      <c r="W86" vm="1497">
        <f t="shared" si="39"/>
        <v>1488804096</v>
      </c>
      <c r="X86" vm="1411">
        <f t="shared" si="39"/>
        <v>1792800000</v>
      </c>
      <c r="Y86" vm="2819">
        <f t="shared" si="39"/>
        <v>1756454272</v>
      </c>
      <c r="Z86" vm="2378">
        <f t="shared" si="39"/>
        <v>3863185152</v>
      </c>
      <c r="AA86" vm="2314">
        <f t="shared" si="39"/>
        <v>4140470016</v>
      </c>
      <c r="AB86" vm="1340">
        <f t="shared" si="39"/>
        <v>4308352000</v>
      </c>
      <c r="AC86" vm="1214">
        <f t="shared" si="39"/>
        <v>4389965824</v>
      </c>
      <c r="AD86" vm="1087">
        <f t="shared" si="39"/>
        <v>4635267072</v>
      </c>
      <c r="AE86" vm="960">
        <f t="shared" si="39"/>
        <v>4855717888</v>
      </c>
      <c r="AF86" vm="833">
        <f t="shared" si="40"/>
        <v>5107329024</v>
      </c>
      <c r="AG86" vm="706">
        <f t="shared" si="40"/>
        <v>5323146752</v>
      </c>
      <c r="AH86" vm="579">
        <f t="shared" si="40"/>
        <v>5224212992</v>
      </c>
      <c r="AI86" vm="452">
        <f t="shared" si="40"/>
        <v>5322455040</v>
      </c>
      <c r="AJ86" vm="327">
        <f t="shared" si="40"/>
        <v>5795568128</v>
      </c>
      <c r="AK86" vm="2262">
        <f t="shared" si="40"/>
        <v>6321335808</v>
      </c>
      <c r="AL86" vm="2210">
        <f t="shared" si="40"/>
        <v>6763418624</v>
      </c>
      <c r="AM86" vm="2159">
        <f t="shared" si="40"/>
        <v>7423367680</v>
      </c>
      <c r="AN86" vm="2107">
        <f t="shared" si="40"/>
        <v>8496946688</v>
      </c>
      <c r="AO86" vm="2022">
        <f t="shared" si="40"/>
        <v>8298679808</v>
      </c>
      <c r="AP86" vm="1901">
        <f t="shared" si="41"/>
        <v>8758638592</v>
      </c>
      <c r="AQ86" vm="1774">
        <f t="shared" si="41"/>
        <v>9774262272</v>
      </c>
      <c r="AR86" vm="1339">
        <f t="shared" si="41"/>
        <v>10531963904</v>
      </c>
      <c r="AS86" vm="1213">
        <f t="shared" si="41"/>
        <v>10982979584</v>
      </c>
      <c r="AT86" vm="1086">
        <f t="shared" si="41"/>
        <v>11880472576</v>
      </c>
      <c r="AU86" vm="959">
        <f t="shared" si="41"/>
        <v>12756706304</v>
      </c>
      <c r="AV86" vm="832">
        <f t="shared" si="41"/>
        <v>13286048768</v>
      </c>
      <c r="AW86" vm="705">
        <f t="shared" si="41"/>
        <v>13785943040</v>
      </c>
      <c r="AX86" vm="578">
        <f t="shared" si="41"/>
        <v>13063873536</v>
      </c>
      <c r="AY86" vm="451">
        <f t="shared" si="41"/>
        <v>12520914944</v>
      </c>
      <c r="AZ86" vm="326">
        <f t="shared" si="41"/>
        <v>254121836736</v>
      </c>
    </row>
    <row r="87" spans="1:52" x14ac:dyDescent="0.45">
      <c r="A87" s="4" t="str" vm="80">
        <f>CUBEMEMBER("DESKTOP-KSAPEQM AS Model","[Geography].[Blocs].[Country].&amp;[Niger]")</f>
        <v>Niger</v>
      </c>
      <c r="B87" vm="1710">
        <f t="shared" si="37"/>
        <v>649916736</v>
      </c>
      <c r="C87" vm="1655">
        <f t="shared" si="37"/>
        <v>693573568</v>
      </c>
      <c r="D87" vm="1602">
        <f t="shared" si="37"/>
        <v>742779712</v>
      </c>
      <c r="E87" vm="1549">
        <f t="shared" si="37"/>
        <v>946385024</v>
      </c>
      <c r="F87" vm="1496">
        <f t="shared" si="37"/>
        <v>1026136960</v>
      </c>
      <c r="G87" vm="1410">
        <f t="shared" si="37"/>
        <v>1048690944</v>
      </c>
      <c r="H87" vm="2712">
        <f t="shared" si="37"/>
        <v>1064517568</v>
      </c>
      <c r="I87" vm="1338">
        <f t="shared" si="37"/>
        <v>1291457920</v>
      </c>
      <c r="J87" vm="1212">
        <f t="shared" si="37"/>
        <v>1774365312</v>
      </c>
      <c r="K87" vm="1085">
        <f t="shared" si="37"/>
        <v>2109278080</v>
      </c>
      <c r="L87" vm="958">
        <f t="shared" si="38"/>
        <v>2508524288</v>
      </c>
      <c r="M87" vm="831">
        <f t="shared" si="38"/>
        <v>2170893056</v>
      </c>
      <c r="N87" vm="704">
        <f t="shared" si="38"/>
        <v>2017611904</v>
      </c>
      <c r="O87" vm="577">
        <f t="shared" si="38"/>
        <v>1803099776</v>
      </c>
      <c r="P87" vm="450">
        <f t="shared" si="38"/>
        <v>1461243264</v>
      </c>
      <c r="Q87" vm="325">
        <f t="shared" si="38"/>
        <v>1440581504</v>
      </c>
      <c r="R87" vm="2377">
        <f t="shared" si="38"/>
        <v>1904097024</v>
      </c>
      <c r="S87" vm="2313">
        <f t="shared" si="38"/>
        <v>2233005824</v>
      </c>
      <c r="T87" vm="2261">
        <f t="shared" si="38"/>
        <v>2280356352</v>
      </c>
      <c r="U87" vm="2209">
        <f t="shared" si="38"/>
        <v>2179567104</v>
      </c>
      <c r="V87" vm="2158">
        <f t="shared" si="39"/>
        <v>3536335104</v>
      </c>
      <c r="W87" vm="2106">
        <f t="shared" si="39"/>
        <v>3309124352</v>
      </c>
      <c r="X87" vm="2021">
        <f t="shared" si="39"/>
        <v>3411197184</v>
      </c>
      <c r="Y87" vm="1337">
        <f t="shared" si="39"/>
        <v>2225270528</v>
      </c>
      <c r="Z87" vm="1211">
        <f t="shared" si="39"/>
        <v>1947256704</v>
      </c>
      <c r="AA87" vm="1084">
        <f t="shared" si="39"/>
        <v>2313555968</v>
      </c>
      <c r="AB87" vm="957">
        <f t="shared" si="39"/>
        <v>2417146624</v>
      </c>
      <c r="AC87" vm="830">
        <f t="shared" si="39"/>
        <v>2297228032</v>
      </c>
      <c r="AD87" vm="703">
        <f t="shared" si="39"/>
        <v>2625049600</v>
      </c>
      <c r="AE87" vm="576">
        <f t="shared" si="39"/>
        <v>2520868608</v>
      </c>
      <c r="AF87" vm="449">
        <f t="shared" si="40"/>
        <v>2238259712</v>
      </c>
      <c r="AG87" vm="324">
        <f t="shared" si="40"/>
        <v>2445079040</v>
      </c>
      <c r="AH87" vm="1900">
        <f t="shared" si="40"/>
        <v>2768787456</v>
      </c>
      <c r="AI87" vm="1773">
        <f t="shared" si="40"/>
        <v>3387804160</v>
      </c>
      <c r="AJ87" vm="1709">
        <f t="shared" si="40"/>
        <v>3742134272</v>
      </c>
      <c r="AK87" vm="1654">
        <f t="shared" si="40"/>
        <v>4374678016</v>
      </c>
      <c r="AL87" vm="1601">
        <f t="shared" si="40"/>
        <v>4743059456</v>
      </c>
      <c r="AM87" vm="1548">
        <f t="shared" si="40"/>
        <v>5694716928</v>
      </c>
      <c r="AN87" vm="1495">
        <f t="shared" si="40"/>
        <v>7220003840</v>
      </c>
      <c r="AO87" vm="1336">
        <f t="shared" si="40"/>
        <v>7278718464</v>
      </c>
      <c r="AP87" vm="1210">
        <f t="shared" si="41"/>
        <v>7792420864</v>
      </c>
      <c r="AQ87" vm="1083">
        <f t="shared" si="41"/>
        <v>8701085696</v>
      </c>
      <c r="AR87" vm="956">
        <f t="shared" si="41"/>
        <v>9366515712</v>
      </c>
      <c r="AS87" vm="829">
        <f t="shared" si="41"/>
        <v>10156855296</v>
      </c>
      <c r="AT87" vm="702">
        <f t="shared" si="41"/>
        <v>10815312896</v>
      </c>
      <c r="AU87" vm="575">
        <f t="shared" si="41"/>
        <v>9667589120</v>
      </c>
      <c r="AV87" vm="448">
        <f t="shared" si="41"/>
        <v>10284626944</v>
      </c>
      <c r="AW87" vm="323">
        <f t="shared" si="41"/>
        <v>11166063616</v>
      </c>
      <c r="AX87" vm="1409">
        <f t="shared" si="41"/>
        <v>12826750976</v>
      </c>
      <c r="AY87" vm="2632">
        <f t="shared" si="41"/>
        <v>12928145408</v>
      </c>
      <c r="AZ87" vm="2376">
        <f t="shared" si="41"/>
        <v>205547722496</v>
      </c>
    </row>
    <row r="88" spans="1:52" x14ac:dyDescent="0.45">
      <c r="A88" s="4" t="str" vm="71">
        <f>CUBEMEMBER("DESKTOP-KSAPEQM AS Model","[Geography].[Blocs].[Country].&amp;[Nigeria]")</f>
        <v>Nigeria</v>
      </c>
      <c r="B88" vm="2312">
        <f t="shared" si="37"/>
        <v>12545849344</v>
      </c>
      <c r="C88" vm="2260">
        <f t="shared" si="37"/>
        <v>9181769728</v>
      </c>
      <c r="D88" vm="2208">
        <f t="shared" si="37"/>
        <v>12274415616</v>
      </c>
      <c r="E88" vm="2157">
        <f t="shared" si="37"/>
        <v>15162870784</v>
      </c>
      <c r="F88" vm="1335">
        <f t="shared" si="37"/>
        <v>24846641152</v>
      </c>
      <c r="G88" vm="1209">
        <f t="shared" si="37"/>
        <v>27778934784</v>
      </c>
      <c r="H88" vm="1082">
        <f t="shared" si="37"/>
        <v>36308881408</v>
      </c>
      <c r="I88" vm="955">
        <f t="shared" si="37"/>
        <v>36035407872</v>
      </c>
      <c r="J88" vm="828">
        <f t="shared" si="37"/>
        <v>36527861760</v>
      </c>
      <c r="K88" vm="701">
        <f t="shared" si="37"/>
        <v>47259910144</v>
      </c>
      <c r="L88" vm="574">
        <f t="shared" si="38"/>
        <v>64201789440</v>
      </c>
      <c r="M88" vm="447">
        <f t="shared" si="38"/>
        <v>164475207680</v>
      </c>
      <c r="N88" vm="322">
        <f t="shared" si="38"/>
        <v>142769356800</v>
      </c>
      <c r="O88" vm="2105">
        <f t="shared" si="38"/>
        <v>97094909952</v>
      </c>
      <c r="P88" vm="2020">
        <f t="shared" si="38"/>
        <v>73484361728</v>
      </c>
      <c r="Q88" vm="1899">
        <f t="shared" si="38"/>
        <v>73745817600</v>
      </c>
      <c r="R88" vm="1772">
        <f t="shared" si="38"/>
        <v>54805852160</v>
      </c>
      <c r="S88" vm="1708">
        <f t="shared" si="38"/>
        <v>52676042752</v>
      </c>
      <c r="T88" vm="1653">
        <f t="shared" si="38"/>
        <v>49648472064</v>
      </c>
      <c r="U88" vm="1600">
        <f t="shared" si="38"/>
        <v>44003061760</v>
      </c>
      <c r="V88" vm="1334">
        <f t="shared" si="39"/>
        <v>54035795968</v>
      </c>
      <c r="W88" vm="1208">
        <f t="shared" si="39"/>
        <v>49118433280</v>
      </c>
      <c r="X88" vm="1081">
        <f t="shared" si="39"/>
        <v>47794925568</v>
      </c>
      <c r="Y88" vm="954">
        <f t="shared" si="39"/>
        <v>27752204288</v>
      </c>
      <c r="Z88" vm="827">
        <f t="shared" si="39"/>
        <v>33833043968</v>
      </c>
      <c r="AA88" vm="700">
        <f t="shared" si="39"/>
        <v>44062466048</v>
      </c>
      <c r="AB88" vm="573">
        <f t="shared" si="39"/>
        <v>51075813376</v>
      </c>
      <c r="AC88" vm="446">
        <f t="shared" si="39"/>
        <v>54457835520</v>
      </c>
      <c r="AD88" vm="321">
        <f t="shared" si="39"/>
        <v>54604050432</v>
      </c>
      <c r="AE88" vm="1547">
        <f t="shared" si="39"/>
        <v>59372613632</v>
      </c>
      <c r="AF88" vm="1494">
        <f t="shared" si="40"/>
        <v>69448753152</v>
      </c>
      <c r="AG88" vm="1408">
        <f t="shared" si="40"/>
        <v>74030366720</v>
      </c>
      <c r="AH88" vm="2552">
        <f t="shared" si="40"/>
        <v>95385821184</v>
      </c>
      <c r="AI88" vm="2375">
        <f t="shared" si="40"/>
        <v>104911945728</v>
      </c>
      <c r="AJ88" vm="2311">
        <f t="shared" si="40"/>
        <v>136385978368</v>
      </c>
      <c r="AK88" vm="2259">
        <f t="shared" si="40"/>
        <v>176134094848</v>
      </c>
      <c r="AL88" vm="1333">
        <f t="shared" si="40"/>
        <v>236103974912</v>
      </c>
      <c r="AM88" vm="1207">
        <f t="shared" si="40"/>
        <v>275625672704</v>
      </c>
      <c r="AN88" vm="1080">
        <f t="shared" si="40"/>
        <v>337035526144</v>
      </c>
      <c r="AO88" vm="953">
        <f t="shared" si="40"/>
        <v>291880206336</v>
      </c>
      <c r="AP88" vm="826">
        <f t="shared" si="41"/>
        <v>363359895552</v>
      </c>
      <c r="AQ88" vm="699">
        <f t="shared" si="41"/>
        <v>410334593024</v>
      </c>
      <c r="AR88" vm="572">
        <f t="shared" si="41"/>
        <v>459376033792</v>
      </c>
      <c r="AS88" vm="445">
        <f t="shared" si="41"/>
        <v>514966290432</v>
      </c>
      <c r="AT88" vm="320">
        <f t="shared" si="41"/>
        <v>568498913280</v>
      </c>
      <c r="AU88" vm="2207">
        <f t="shared" si="41"/>
        <v>494583185408</v>
      </c>
      <c r="AV88" vm="2156">
        <f t="shared" si="41"/>
        <v>404649541632</v>
      </c>
      <c r="AW88" vm="2104">
        <f t="shared" si="41"/>
        <v>375745478656</v>
      </c>
      <c r="AX88" vm="2019">
        <f t="shared" si="41"/>
        <v>398160396288</v>
      </c>
      <c r="AY88" vm="1898">
        <f t="shared" si="41"/>
        <v>448120422400</v>
      </c>
      <c r="AZ88" vm="1771">
        <f t="shared" si="41"/>
        <v>7785671687168</v>
      </c>
    </row>
    <row r="89" spans="1:52" x14ac:dyDescent="0.45">
      <c r="A89" s="4" t="str" vm="37">
        <f>CUBEMEMBER("DESKTOP-KSAPEQM AS Model","[Geography].[Blocs].[Country].&amp;[Oman]")</f>
        <v>Oman</v>
      </c>
      <c r="B89" vm="1707">
        <f t="shared" si="37"/>
        <v>256299488</v>
      </c>
      <c r="C89" vm="1332">
        <f t="shared" si="37"/>
        <v>301010592</v>
      </c>
      <c r="D89" vm="1206">
        <f t="shared" si="37"/>
        <v>366857728</v>
      </c>
      <c r="E89" vm="1079">
        <f t="shared" si="37"/>
        <v>483033920</v>
      </c>
      <c r="F89" vm="952">
        <f t="shared" si="37"/>
        <v>1645917824</v>
      </c>
      <c r="G89" vm="825">
        <f t="shared" si="37"/>
        <v>2096699136</v>
      </c>
      <c r="H89" vm="698">
        <f t="shared" si="37"/>
        <v>2560220160</v>
      </c>
      <c r="I89" vm="571">
        <f t="shared" si="37"/>
        <v>2741169920</v>
      </c>
      <c r="J89" vm="444">
        <f t="shared" si="37"/>
        <v>2740301312</v>
      </c>
      <c r="K89" vm="319">
        <f t="shared" si="37"/>
        <v>3733352704</v>
      </c>
      <c r="L89" vm="1652">
        <f t="shared" si="38"/>
        <v>5981760512</v>
      </c>
      <c r="M89" vm="1599">
        <f t="shared" si="38"/>
        <v>7259120128</v>
      </c>
      <c r="N89" vm="1546">
        <f t="shared" si="38"/>
        <v>7554719232</v>
      </c>
      <c r="O89" vm="1493">
        <f t="shared" si="38"/>
        <v>7932541440</v>
      </c>
      <c r="P89" vm="1407">
        <f t="shared" si="38"/>
        <v>8821366784</v>
      </c>
      <c r="Q89" vm="2462">
        <f t="shared" si="38"/>
        <v>10005500928</v>
      </c>
      <c r="R89" vm="2374">
        <f t="shared" si="38"/>
        <v>7323822080</v>
      </c>
      <c r="S89" vm="1331">
        <f t="shared" si="38"/>
        <v>7811183104</v>
      </c>
      <c r="T89" vm="1205">
        <f t="shared" si="38"/>
        <v>8386215936</v>
      </c>
      <c r="U89" vm="1078">
        <f t="shared" si="38"/>
        <v>9372171264</v>
      </c>
      <c r="V89" vm="951">
        <f t="shared" si="39"/>
        <v>11685045248</v>
      </c>
      <c r="W89" vm="824">
        <f t="shared" si="39"/>
        <v>11341481984</v>
      </c>
      <c r="X89" vm="697">
        <f t="shared" si="39"/>
        <v>12452275200</v>
      </c>
      <c r="Y89" vm="570">
        <f t="shared" si="39"/>
        <v>12493108224</v>
      </c>
      <c r="Z89" vm="443">
        <f t="shared" si="39"/>
        <v>12918855680</v>
      </c>
      <c r="AA89" vm="318">
        <f t="shared" si="39"/>
        <v>13802600448</v>
      </c>
      <c r="AB89" vm="2310">
        <f t="shared" si="39"/>
        <v>15277763584</v>
      </c>
      <c r="AC89" vm="2258">
        <f t="shared" si="39"/>
        <v>15837451264</v>
      </c>
      <c r="AD89" vm="2206">
        <f t="shared" si="39"/>
        <v>14085372928</v>
      </c>
      <c r="AE89" vm="2155">
        <f t="shared" si="39"/>
        <v>15710148608</v>
      </c>
      <c r="AF89" vm="2103">
        <f t="shared" si="40"/>
        <v>19507412992</v>
      </c>
      <c r="AG89" vm="2018">
        <f t="shared" si="40"/>
        <v>19452014592</v>
      </c>
      <c r="AH89" vm="1897">
        <f t="shared" si="40"/>
        <v>20142782464</v>
      </c>
      <c r="AI89" vm="1330">
        <f t="shared" si="40"/>
        <v>21633810432</v>
      </c>
      <c r="AJ89" vm="1204">
        <f t="shared" si="40"/>
        <v>24763588608</v>
      </c>
      <c r="AK89" vm="1077">
        <f t="shared" si="40"/>
        <v>31081924608</v>
      </c>
      <c r="AL89" vm="950">
        <f t="shared" si="40"/>
        <v>37215862784</v>
      </c>
      <c r="AM89" vm="823">
        <f t="shared" si="40"/>
        <v>42085306368</v>
      </c>
      <c r="AN89" vm="696">
        <f t="shared" si="40"/>
        <v>60905332736</v>
      </c>
      <c r="AO89" vm="569">
        <f t="shared" si="40"/>
        <v>48388296704</v>
      </c>
      <c r="AP89" vm="442">
        <f t="shared" si="41"/>
        <v>57048113152</v>
      </c>
      <c r="AQ89" vm="317">
        <f t="shared" si="41"/>
        <v>68016906240</v>
      </c>
      <c r="AR89" vm="1770">
        <f t="shared" si="41"/>
        <v>76615868416</v>
      </c>
      <c r="AS89" vm="1706">
        <f t="shared" si="41"/>
        <v>78784397312</v>
      </c>
      <c r="AT89" vm="1651">
        <f t="shared" si="41"/>
        <v>81076461568</v>
      </c>
      <c r="AU89" vm="1598">
        <f t="shared" si="41"/>
        <v>68400259072</v>
      </c>
      <c r="AV89" vm="1545">
        <f t="shared" si="41"/>
        <v>65481146368</v>
      </c>
      <c r="AW89" vm="1492">
        <f t="shared" si="41"/>
        <v>70599999488</v>
      </c>
      <c r="AX89" vm="1406">
        <f t="shared" si="41"/>
        <v>79275425792</v>
      </c>
      <c r="AY89" vm="1329">
        <f t="shared" si="41"/>
        <v>76983091200</v>
      </c>
      <c r="AZ89" vm="1203">
        <f t="shared" si="41"/>
        <v>1280435368256</v>
      </c>
    </row>
    <row r="90" spans="1:52" x14ac:dyDescent="0.45">
      <c r="A90" s="4" t="str" vm="66">
        <f>CUBEMEMBER("DESKTOP-KSAPEQM AS Model","[Geography].[Blocs].[Country].&amp;[Pakistan]")</f>
        <v>Pakistan</v>
      </c>
      <c r="B90" vm="1076">
        <f t="shared" ref="B90:K99" si="42">CUBEVALUE("DESKTOP-KSAPEQM AS Model",$B$1,$B$2,$B$3,$B$4,$B$5,$A$7,$A90,B$8)</f>
        <v>10027509760</v>
      </c>
      <c r="C90" vm="949">
        <f t="shared" si="42"/>
        <v>10665896960</v>
      </c>
      <c r="D90" vm="822">
        <f t="shared" si="42"/>
        <v>9415016448</v>
      </c>
      <c r="E90" vm="695">
        <f t="shared" si="42"/>
        <v>6383429632</v>
      </c>
      <c r="F90" vm="568">
        <f t="shared" si="42"/>
        <v>8899191808</v>
      </c>
      <c r="G90" vm="441">
        <f t="shared" si="42"/>
        <v>11230606336</v>
      </c>
      <c r="H90" vm="316">
        <f t="shared" si="42"/>
        <v>13168080896</v>
      </c>
      <c r="I90" vm="3768">
        <f t="shared" si="42"/>
        <v>15126061056</v>
      </c>
      <c r="J90" vm="2373">
        <f t="shared" si="42"/>
        <v>17811515392</v>
      </c>
      <c r="K90" vm="2309">
        <f t="shared" si="42"/>
        <v>19688384512</v>
      </c>
      <c r="L90" vm="2257">
        <f t="shared" ref="L90:U99" si="43">CUBEVALUE("DESKTOP-KSAPEQM AS Model",$B$1,$B$2,$B$3,$B$4,$B$5,$A$7,$A90,L$8)</f>
        <v>23654445056</v>
      </c>
      <c r="M90" vm="2205">
        <f t="shared" si="43"/>
        <v>28100605952</v>
      </c>
      <c r="N90" vm="2154">
        <f t="shared" si="43"/>
        <v>30725971968</v>
      </c>
      <c r="O90" vm="2102">
        <f t="shared" si="43"/>
        <v>28691890176</v>
      </c>
      <c r="P90" vm="1328">
        <f t="shared" si="43"/>
        <v>31151824896</v>
      </c>
      <c r="Q90" vm="1202">
        <f t="shared" si="43"/>
        <v>31144921088</v>
      </c>
      <c r="R90" vm="1075">
        <f t="shared" si="43"/>
        <v>31899070464</v>
      </c>
      <c r="S90" vm="948">
        <f t="shared" si="43"/>
        <v>33351528448</v>
      </c>
      <c r="T90" vm="821">
        <f t="shared" si="43"/>
        <v>38472740864</v>
      </c>
      <c r="U90" vm="694">
        <f t="shared" si="43"/>
        <v>40171016192</v>
      </c>
      <c r="V90" vm="567">
        <f t="shared" ref="V90:AE99" si="44">CUBEVALUE("DESKTOP-KSAPEQM AS Model",$B$1,$B$2,$B$3,$B$4,$B$5,$A$7,$A90,V$8)</f>
        <v>40010424320</v>
      </c>
      <c r="W90" vm="440">
        <f t="shared" si="44"/>
        <v>45625233408</v>
      </c>
      <c r="X90" vm="315">
        <f t="shared" si="44"/>
        <v>48884604928</v>
      </c>
      <c r="Y90" vm="2017">
        <f t="shared" si="44"/>
        <v>51809947648</v>
      </c>
      <c r="Z90" vm="1896">
        <f t="shared" si="44"/>
        <v>52293455872</v>
      </c>
      <c r="AA90" vm="1769">
        <f t="shared" si="44"/>
        <v>60636020736</v>
      </c>
      <c r="AB90" vm="1705">
        <f t="shared" si="44"/>
        <v>63320121344</v>
      </c>
      <c r="AC90" vm="1650">
        <f t="shared" si="44"/>
        <v>62433300480</v>
      </c>
      <c r="AD90" vm="1597">
        <f t="shared" si="44"/>
        <v>62191955968</v>
      </c>
      <c r="AE90" vm="1544">
        <f t="shared" si="44"/>
        <v>62973853696</v>
      </c>
      <c r="AF90" vm="1327">
        <f t="shared" ref="AF90:AO99" si="45">CUBEVALUE("DESKTOP-KSAPEQM AS Model",$B$1,$B$2,$B$3,$B$4,$B$5,$A$7,$A90,AF$8)</f>
        <v>82017746944</v>
      </c>
      <c r="AG90" vm="1201">
        <f t="shared" si="45"/>
        <v>79484403712</v>
      </c>
      <c r="AH90" vm="1074">
        <f t="shared" si="45"/>
        <v>79904989184</v>
      </c>
      <c r="AI90" vm="947">
        <f t="shared" si="45"/>
        <v>91760541696</v>
      </c>
      <c r="AJ90" vm="820">
        <f t="shared" si="45"/>
        <v>107759681536</v>
      </c>
      <c r="AK90" vm="693">
        <f t="shared" si="45"/>
        <v>120055291904</v>
      </c>
      <c r="AL90" vm="566">
        <f t="shared" si="45"/>
        <v>137264062464</v>
      </c>
      <c r="AM90" vm="439">
        <f t="shared" si="45"/>
        <v>152385716224</v>
      </c>
      <c r="AN90" vm="314">
        <f t="shared" si="45"/>
        <v>170077814784</v>
      </c>
      <c r="AO90" vm="1491">
        <f t="shared" si="45"/>
        <v>168152776704</v>
      </c>
      <c r="AP90" vm="1405">
        <f t="shared" ref="AP90:AZ99" si="46">CUBEVALUE("DESKTOP-KSAPEQM AS Model",$B$1,$B$2,$B$3,$B$4,$B$5,$A$7,$A90,AP$8)</f>
        <v>177165631488</v>
      </c>
      <c r="AQ90" vm="3982">
        <f t="shared" si="46"/>
        <v>213587410944</v>
      </c>
      <c r="AR90" vm="2372">
        <f t="shared" si="46"/>
        <v>224383614976</v>
      </c>
      <c r="AS90" vm="2308">
        <f t="shared" si="46"/>
        <v>231218561024</v>
      </c>
      <c r="AT90" vm="2256">
        <f t="shared" si="46"/>
        <v>244360888320</v>
      </c>
      <c r="AU90" vm="2204">
        <f t="shared" si="46"/>
        <v>270556135424</v>
      </c>
      <c r="AV90" vm="1326">
        <f t="shared" si="46"/>
        <v>278654648320</v>
      </c>
      <c r="AW90" vm="1200">
        <f t="shared" si="46"/>
        <v>304567255040</v>
      </c>
      <c r="AX90" vm="1073">
        <f t="shared" si="46"/>
        <v>314567557120</v>
      </c>
      <c r="AY90" vm="946">
        <f t="shared" si="46"/>
        <v>278221914112</v>
      </c>
      <c r="AZ90" vm="819">
        <f t="shared" si="46"/>
        <v>4716105268224</v>
      </c>
    </row>
    <row r="91" spans="1:52" x14ac:dyDescent="0.45">
      <c r="A91" s="4" t="str" vm="161">
        <f>CUBEMEMBER("DESKTOP-KSAPEQM AS Model","[Geography].[Blocs].[Country].&amp;[Panama]")</f>
        <v>Panama</v>
      </c>
      <c r="B91" vm="692">
        <f t="shared" si="42"/>
        <v>1351006464</v>
      </c>
      <c r="C91" vm="565">
        <f t="shared" si="42"/>
        <v>1523917184</v>
      </c>
      <c r="D91" vm="438">
        <f t="shared" si="42"/>
        <v>1673411712</v>
      </c>
      <c r="E91" vm="313">
        <f t="shared" si="42"/>
        <v>1913793408</v>
      </c>
      <c r="F91" vm="2153">
        <f t="shared" si="42"/>
        <v>2188307712</v>
      </c>
      <c r="G91" vm="2101">
        <f t="shared" si="42"/>
        <v>2435304192</v>
      </c>
      <c r="H91" vm="2016">
        <f t="shared" si="42"/>
        <v>2588105984</v>
      </c>
      <c r="I91" vm="1895">
        <f t="shared" si="42"/>
        <v>2738262016</v>
      </c>
      <c r="J91" vm="1768">
        <f t="shared" si="42"/>
        <v>3244558592</v>
      </c>
      <c r="K91" vm="1704">
        <f t="shared" si="42"/>
        <v>3704551680</v>
      </c>
      <c r="L91" vm="1649">
        <f t="shared" si="43"/>
        <v>4614086656</v>
      </c>
      <c r="M91" vm="1325">
        <f t="shared" si="43"/>
        <v>5222421504</v>
      </c>
      <c r="N91" vm="1199">
        <f t="shared" si="43"/>
        <v>5769767936</v>
      </c>
      <c r="O91" vm="1072">
        <f t="shared" si="43"/>
        <v>5923756032</v>
      </c>
      <c r="P91" vm="945">
        <f t="shared" si="43"/>
        <v>6183387136</v>
      </c>
      <c r="Q91" vm="818">
        <f t="shared" si="43"/>
        <v>6541517312</v>
      </c>
      <c r="R91" vm="691">
        <f t="shared" si="43"/>
        <v>6797834240</v>
      </c>
      <c r="S91" vm="564">
        <f t="shared" si="43"/>
        <v>6827665408</v>
      </c>
      <c r="T91" vm="437">
        <f t="shared" si="43"/>
        <v>5902783488</v>
      </c>
      <c r="U91" vm="312">
        <f t="shared" si="43"/>
        <v>5918469632</v>
      </c>
      <c r="V91" vm="1596">
        <f t="shared" si="44"/>
        <v>6433967104</v>
      </c>
      <c r="W91" vm="1543">
        <f t="shared" si="44"/>
        <v>7074675712</v>
      </c>
      <c r="X91" vm="1490">
        <f t="shared" si="44"/>
        <v>8042337792</v>
      </c>
      <c r="Y91" vm="1404">
        <f t="shared" si="44"/>
        <v>8782585856</v>
      </c>
      <c r="Z91" vm="3675">
        <f t="shared" si="44"/>
        <v>9365289984</v>
      </c>
      <c r="AA91" vm="2371">
        <f t="shared" si="44"/>
        <v>9573813248</v>
      </c>
      <c r="AB91" vm="2307">
        <f t="shared" si="44"/>
        <v>9870493696</v>
      </c>
      <c r="AC91" vm="1324">
        <f t="shared" si="44"/>
        <v>10677285888</v>
      </c>
      <c r="AD91" vm="1198">
        <f t="shared" si="44"/>
        <v>11575486464</v>
      </c>
      <c r="AE91" vm="1071">
        <f t="shared" si="44"/>
        <v>12130251776</v>
      </c>
      <c r="AF91" vm="944">
        <f t="shared" si="45"/>
        <v>12304114688</v>
      </c>
      <c r="AG91" vm="817">
        <f t="shared" si="45"/>
        <v>12502012928</v>
      </c>
      <c r="AH91" vm="690">
        <f t="shared" si="45"/>
        <v>12994310144</v>
      </c>
      <c r="AI91" vm="563">
        <f t="shared" si="45"/>
        <v>13693981696</v>
      </c>
      <c r="AJ91" vm="436">
        <f t="shared" si="45"/>
        <v>15013382144</v>
      </c>
      <c r="AK91" vm="311">
        <f t="shared" si="45"/>
        <v>16374393856</v>
      </c>
      <c r="AL91" vm="2255">
        <f t="shared" si="45"/>
        <v>18141665280</v>
      </c>
      <c r="AM91" vm="2203">
        <f t="shared" si="45"/>
        <v>21295984640</v>
      </c>
      <c r="AN91" vm="2152">
        <f t="shared" si="45"/>
        <v>25155889152</v>
      </c>
      <c r="AO91" vm="2100">
        <f t="shared" si="45"/>
        <v>27116636160</v>
      </c>
      <c r="AP91" vm="2015">
        <f t="shared" si="46"/>
        <v>29440299008</v>
      </c>
      <c r="AQ91" vm="1894">
        <f t="shared" si="46"/>
        <v>34686201856</v>
      </c>
      <c r="AR91" vm="1767">
        <f t="shared" si="46"/>
        <v>40429699072</v>
      </c>
      <c r="AS91" vm="1323">
        <f t="shared" si="46"/>
        <v>45599997952</v>
      </c>
      <c r="AT91" vm="1197">
        <f t="shared" si="46"/>
        <v>49921499136</v>
      </c>
      <c r="AU91" vm="1070">
        <f t="shared" si="46"/>
        <v>54091698176</v>
      </c>
      <c r="AV91" vm="943">
        <f t="shared" si="46"/>
        <v>57907699712</v>
      </c>
      <c r="AW91" vm="816">
        <f t="shared" si="46"/>
        <v>62219001856</v>
      </c>
      <c r="AX91" vm="689">
        <f t="shared" si="46"/>
        <v>65128198144</v>
      </c>
      <c r="AY91" vm="562">
        <f t="shared" si="46"/>
        <v>66800799744</v>
      </c>
      <c r="AZ91" vm="435">
        <f t="shared" si="46"/>
        <v>857406561152</v>
      </c>
    </row>
    <row r="92" spans="1:52" x14ac:dyDescent="0.45">
      <c r="A92" s="4" t="str" vm="158">
        <f>CUBEMEMBER("DESKTOP-KSAPEQM AS Model","[Geography].[Blocs].[Country].&amp;[Papua New Guinea]")</f>
        <v>Papua New Guinea</v>
      </c>
      <c r="B92" vm="310">
        <f t="shared" si="42"/>
        <v>645537152</v>
      </c>
      <c r="C92" vm="1703">
        <f t="shared" si="42"/>
        <v>717716160</v>
      </c>
      <c r="D92" vm="1648">
        <f t="shared" si="42"/>
        <v>858802048</v>
      </c>
      <c r="E92" vm="1595">
        <f t="shared" si="42"/>
        <v>1299105280</v>
      </c>
      <c r="F92" vm="1542">
        <f t="shared" si="42"/>
        <v>1467346048</v>
      </c>
      <c r="G92" vm="1489">
        <f t="shared" si="42"/>
        <v>1356591232</v>
      </c>
      <c r="H92" vm="1403">
        <f t="shared" si="42"/>
        <v>1511856640</v>
      </c>
      <c r="I92" vm="3570">
        <f t="shared" si="42"/>
        <v>1640763264</v>
      </c>
      <c r="J92" vm="1322">
        <f t="shared" si="42"/>
        <v>1947947520</v>
      </c>
      <c r="K92" vm="1196">
        <f t="shared" si="42"/>
        <v>2293622016</v>
      </c>
      <c r="L92" vm="1069">
        <f t="shared" si="43"/>
        <v>2545982976</v>
      </c>
      <c r="M92" vm="942">
        <f t="shared" si="43"/>
        <v>2498068224</v>
      </c>
      <c r="N92" vm="815">
        <f t="shared" si="43"/>
        <v>2368584960</v>
      </c>
      <c r="O92" vm="688">
        <f t="shared" si="43"/>
        <v>2562492416</v>
      </c>
      <c r="P92" vm="561">
        <f t="shared" si="43"/>
        <v>2552526336</v>
      </c>
      <c r="Q92" vm="434">
        <f t="shared" si="43"/>
        <v>2423373056</v>
      </c>
      <c r="R92" vm="309">
        <f t="shared" si="43"/>
        <v>2648033792</v>
      </c>
      <c r="S92" vm="2370">
        <f t="shared" si="43"/>
        <v>3143848448</v>
      </c>
      <c r="T92" vm="2306">
        <f t="shared" si="43"/>
        <v>3655979776</v>
      </c>
      <c r="U92" vm="2254">
        <f t="shared" si="43"/>
        <v>3546460160</v>
      </c>
      <c r="V92" vm="2202">
        <f t="shared" si="44"/>
        <v>3219730432</v>
      </c>
      <c r="W92" vm="2151">
        <f t="shared" si="44"/>
        <v>3787395072</v>
      </c>
      <c r="X92" vm="2099">
        <f t="shared" si="44"/>
        <v>4377980416</v>
      </c>
      <c r="Y92" vm="2014">
        <f t="shared" si="44"/>
        <v>4974550528</v>
      </c>
      <c r="Z92" vm="1321">
        <f t="shared" si="44"/>
        <v>5502786048</v>
      </c>
      <c r="AA92" vm="1195">
        <f t="shared" si="44"/>
        <v>4636057600</v>
      </c>
      <c r="AB92" vm="1068">
        <f t="shared" si="44"/>
        <v>5155311104</v>
      </c>
      <c r="AC92" vm="941">
        <f t="shared" si="44"/>
        <v>4936615424</v>
      </c>
      <c r="AD92" vm="814">
        <f t="shared" si="44"/>
        <v>3789443072</v>
      </c>
      <c r="AE92" vm="687">
        <f t="shared" si="44"/>
        <v>3477038080</v>
      </c>
      <c r="AF92" vm="560">
        <f t="shared" si="45"/>
        <v>3521339648</v>
      </c>
      <c r="AG92" vm="433">
        <f t="shared" si="45"/>
        <v>3081024256</v>
      </c>
      <c r="AH92" vm="308">
        <f t="shared" si="45"/>
        <v>2999511040</v>
      </c>
      <c r="AI92" vm="1893">
        <f t="shared" si="45"/>
        <v>3536411904</v>
      </c>
      <c r="AJ92" vm="1766">
        <f t="shared" si="45"/>
        <v>3927157760</v>
      </c>
      <c r="AK92" vm="1702">
        <f t="shared" si="45"/>
        <v>4865892864</v>
      </c>
      <c r="AL92" vm="1647">
        <f t="shared" si="45"/>
        <v>8355006464</v>
      </c>
      <c r="AM92" vm="1594">
        <f t="shared" si="45"/>
        <v>9545177088</v>
      </c>
      <c r="AN92" vm="1541">
        <f t="shared" si="45"/>
        <v>11670841344</v>
      </c>
      <c r="AO92" vm="1488">
        <f t="shared" si="45"/>
        <v>11619638272</v>
      </c>
      <c r="AP92" vm="1320">
        <f t="shared" si="46"/>
        <v>14250755072</v>
      </c>
      <c r="AQ92" vm="1194">
        <f t="shared" si="46"/>
        <v>17984911360</v>
      </c>
      <c r="AR92" vm="1067">
        <f t="shared" si="46"/>
        <v>21295659008</v>
      </c>
      <c r="AS92" vm="940">
        <f t="shared" si="46"/>
        <v>21261432832</v>
      </c>
      <c r="AT92" vm="813">
        <f t="shared" si="46"/>
        <v>23210682368</v>
      </c>
      <c r="AU92" vm="686">
        <f t="shared" si="46"/>
        <v>21723531264</v>
      </c>
      <c r="AV92" vm="559">
        <f t="shared" si="46"/>
        <v>20759068672</v>
      </c>
      <c r="AW92" vm="432">
        <f t="shared" si="46"/>
        <v>22742614016</v>
      </c>
      <c r="AX92" vm="307">
        <f t="shared" si="46"/>
        <v>23412494336</v>
      </c>
      <c r="AY92" vm="1402">
        <f t="shared" si="46"/>
        <v>24969611264</v>
      </c>
      <c r="AZ92" vm="3491">
        <f t="shared" si="46"/>
        <v>360274306112</v>
      </c>
    </row>
    <row r="93" spans="1:52" x14ac:dyDescent="0.45">
      <c r="A93" s="4" t="str" vm="156">
        <f>CUBEMEMBER("DESKTOP-KSAPEQM AS Model","[Geography].[Blocs].[Country].&amp;[Paraguay]")</f>
        <v>Paraguay</v>
      </c>
      <c r="B93" vm="2369">
        <f t="shared" si="42"/>
        <v>594611136</v>
      </c>
      <c r="C93" vm="2305">
        <f t="shared" si="42"/>
        <v>664571456</v>
      </c>
      <c r="D93" vm="2253">
        <f t="shared" si="42"/>
        <v>769039680</v>
      </c>
      <c r="E93" vm="2201">
        <f t="shared" si="42"/>
        <v>995531776</v>
      </c>
      <c r="F93" vm="2150">
        <f t="shared" si="42"/>
        <v>1333475456</v>
      </c>
      <c r="G93" vm="1319">
        <f t="shared" si="42"/>
        <v>1511420672</v>
      </c>
      <c r="H93" vm="1193">
        <f t="shared" si="42"/>
        <v>1698960256</v>
      </c>
      <c r="I93" vm="1066">
        <f t="shared" si="42"/>
        <v>2092158720</v>
      </c>
      <c r="J93" vm="939">
        <f t="shared" si="42"/>
        <v>2559857152</v>
      </c>
      <c r="K93" vm="812">
        <f t="shared" si="42"/>
        <v>3416777728</v>
      </c>
      <c r="L93" vm="685">
        <f t="shared" si="43"/>
        <v>4448087552</v>
      </c>
      <c r="M93" vm="558">
        <f t="shared" si="43"/>
        <v>5624516096</v>
      </c>
      <c r="N93" vm="431">
        <f t="shared" si="43"/>
        <v>5419411968</v>
      </c>
      <c r="O93" vm="306">
        <f t="shared" si="43"/>
        <v>5673248768</v>
      </c>
      <c r="P93" vm="2098">
        <f t="shared" si="43"/>
        <v>4502462976</v>
      </c>
      <c r="Q93" vm="2013">
        <f t="shared" si="43"/>
        <v>3282449152</v>
      </c>
      <c r="R93" vm="1892">
        <f t="shared" si="43"/>
        <v>3723993856</v>
      </c>
      <c r="S93" vm="1765">
        <f t="shared" si="43"/>
        <v>3971044608</v>
      </c>
      <c r="T93" vm="1701">
        <f t="shared" si="43"/>
        <v>4255683584</v>
      </c>
      <c r="U93" vm="1646">
        <f t="shared" si="43"/>
        <v>4757732352</v>
      </c>
      <c r="V93" vm="1593">
        <f t="shared" si="44"/>
        <v>5812114432</v>
      </c>
      <c r="W93" vm="1318">
        <f t="shared" si="44"/>
        <v>6984367616</v>
      </c>
      <c r="X93" vm="1192">
        <f t="shared" si="44"/>
        <v>7157424128</v>
      </c>
      <c r="Y93" vm="1065">
        <f t="shared" si="44"/>
        <v>7249533440</v>
      </c>
      <c r="Z93" vm="938">
        <f t="shared" si="44"/>
        <v>7870982144</v>
      </c>
      <c r="AA93" vm="811">
        <f t="shared" si="44"/>
        <v>9062131712</v>
      </c>
      <c r="AB93" vm="684">
        <f t="shared" si="44"/>
        <v>9788391424</v>
      </c>
      <c r="AC93" vm="557">
        <f t="shared" si="44"/>
        <v>9965225984</v>
      </c>
      <c r="AD93" vm="430">
        <f t="shared" si="44"/>
        <v>9260481536</v>
      </c>
      <c r="AE93" vm="305">
        <f t="shared" si="44"/>
        <v>8837069824</v>
      </c>
      <c r="AF93" vm="1540">
        <f t="shared" si="45"/>
        <v>8855705600</v>
      </c>
      <c r="AG93" vm="1487">
        <f t="shared" si="45"/>
        <v>8495806464</v>
      </c>
      <c r="AH93" vm="1401">
        <f t="shared" si="45"/>
        <v>7196260864</v>
      </c>
      <c r="AI93" vm="3414">
        <f t="shared" si="45"/>
        <v>7691367424</v>
      </c>
      <c r="AJ93" vm="2368">
        <f t="shared" si="45"/>
        <v>9624440832</v>
      </c>
      <c r="AK93" vm="2304">
        <f t="shared" si="45"/>
        <v>10737500160</v>
      </c>
      <c r="AL93" vm="2252">
        <f t="shared" si="45"/>
        <v>13429430272</v>
      </c>
      <c r="AM93" vm="1317">
        <f t="shared" si="45"/>
        <v>17856270336</v>
      </c>
      <c r="AN93" vm="1191">
        <f t="shared" si="45"/>
        <v>24578068480</v>
      </c>
      <c r="AO93" vm="1064">
        <f t="shared" si="45"/>
        <v>22341754880</v>
      </c>
      <c r="AP93" vm="937">
        <f t="shared" si="46"/>
        <v>27215968256</v>
      </c>
      <c r="AQ93" vm="810">
        <f t="shared" si="46"/>
        <v>33715525632</v>
      </c>
      <c r="AR93" vm="683">
        <f t="shared" si="46"/>
        <v>33283229696</v>
      </c>
      <c r="AS93" vm="556">
        <f t="shared" si="46"/>
        <v>38585319424</v>
      </c>
      <c r="AT93" vm="429">
        <f t="shared" si="46"/>
        <v>40276533248</v>
      </c>
      <c r="AU93" vm="304">
        <f t="shared" si="46"/>
        <v>36164067328</v>
      </c>
      <c r="AV93" vm="2200">
        <f t="shared" si="46"/>
        <v>36054282240</v>
      </c>
      <c r="AW93" vm="2149">
        <f t="shared" si="46"/>
        <v>39008899072</v>
      </c>
      <c r="AX93" vm="2097">
        <f t="shared" si="46"/>
        <v>40384692224</v>
      </c>
      <c r="AY93" vm="2012">
        <f t="shared" si="46"/>
        <v>38145290240</v>
      </c>
      <c r="AZ93" vm="1891">
        <f t="shared" si="46"/>
        <v>636923169856</v>
      </c>
    </row>
    <row r="94" spans="1:52" x14ac:dyDescent="0.45">
      <c r="A94" s="4" t="str" vm="149">
        <f>CUBEMEMBER("DESKTOP-KSAPEQM AS Model","[Geography].[Blocs].[Country].&amp;[Peru]")</f>
        <v>Peru</v>
      </c>
      <c r="B94" vm="1764">
        <f t="shared" si="42"/>
        <v>7432223232</v>
      </c>
      <c r="C94" vm="1700">
        <f t="shared" si="42"/>
        <v>8289583104</v>
      </c>
      <c r="D94" vm="1316">
        <f t="shared" si="42"/>
        <v>9189413888</v>
      </c>
      <c r="E94" vm="1190">
        <f t="shared" si="42"/>
        <v>10994381824</v>
      </c>
      <c r="F94" vm="1063">
        <f t="shared" si="42"/>
        <v>13858441216</v>
      </c>
      <c r="G94" vm="936">
        <f t="shared" si="42"/>
        <v>16877163520</v>
      </c>
      <c r="H94" vm="809">
        <f t="shared" si="42"/>
        <v>15947709440</v>
      </c>
      <c r="I94" vm="682">
        <f t="shared" si="42"/>
        <v>14620386304</v>
      </c>
      <c r="J94" vm="555">
        <f t="shared" si="42"/>
        <v>12495779840</v>
      </c>
      <c r="K94" vm="428">
        <f t="shared" si="42"/>
        <v>15962459136</v>
      </c>
      <c r="L94" vm="303">
        <f t="shared" si="43"/>
        <v>18134028288</v>
      </c>
      <c r="M94" vm="1645">
        <f t="shared" si="43"/>
        <v>21649137664</v>
      </c>
      <c r="N94" vm="1592">
        <f t="shared" si="43"/>
        <v>21793497088</v>
      </c>
      <c r="O94" vm="1539">
        <f t="shared" si="43"/>
        <v>17345624064</v>
      </c>
      <c r="P94" vm="1486">
        <f t="shared" si="43"/>
        <v>17599660032</v>
      </c>
      <c r="Q94" vm="1400">
        <f t="shared" si="43"/>
        <v>16548827136</v>
      </c>
      <c r="R94" vm="3326">
        <f t="shared" si="43"/>
        <v>15244232704</v>
      </c>
      <c r="S94" vm="2367">
        <f t="shared" si="43"/>
        <v>20702298112</v>
      </c>
      <c r="T94" vm="1315">
        <f t="shared" si="43"/>
        <v>15439408128</v>
      </c>
      <c r="U94" vm="1189">
        <f t="shared" si="43"/>
        <v>22499559424</v>
      </c>
      <c r="V94" vm="1062">
        <f t="shared" si="44"/>
        <v>26410387456</v>
      </c>
      <c r="W94" vm="935">
        <f t="shared" si="44"/>
        <v>34341466112</v>
      </c>
      <c r="X94" vm="808">
        <f t="shared" si="44"/>
        <v>35966304256</v>
      </c>
      <c r="Y94" vm="681">
        <f t="shared" si="44"/>
        <v>34832076800</v>
      </c>
      <c r="Z94" vm="554">
        <f t="shared" si="44"/>
        <v>44882079744</v>
      </c>
      <c r="AA94" vm="427">
        <f t="shared" si="44"/>
        <v>53312794624</v>
      </c>
      <c r="AB94" vm="302">
        <f t="shared" si="44"/>
        <v>55252414464</v>
      </c>
      <c r="AC94" vm="2303">
        <f t="shared" si="44"/>
        <v>58147520512</v>
      </c>
      <c r="AD94" vm="2251">
        <f t="shared" si="44"/>
        <v>55501467648</v>
      </c>
      <c r="AE94" vm="2199">
        <f t="shared" si="44"/>
        <v>50187325440</v>
      </c>
      <c r="AF94" vm="2148">
        <f t="shared" si="45"/>
        <v>51744747520</v>
      </c>
      <c r="AG94" vm="2096">
        <f t="shared" si="45"/>
        <v>52030156800</v>
      </c>
      <c r="AH94" vm="2011">
        <f t="shared" si="45"/>
        <v>54777552896</v>
      </c>
      <c r="AI94" vm="1890">
        <f t="shared" si="45"/>
        <v>58731028480</v>
      </c>
      <c r="AJ94" vm="1314">
        <f t="shared" si="45"/>
        <v>66768703488</v>
      </c>
      <c r="AK94" vm="1188">
        <f t="shared" si="45"/>
        <v>76060606464</v>
      </c>
      <c r="AL94" vm="1061">
        <f t="shared" si="45"/>
        <v>88643190784</v>
      </c>
      <c r="AM94" vm="934">
        <f t="shared" si="45"/>
        <v>102170984448</v>
      </c>
      <c r="AN94" vm="807">
        <f t="shared" si="45"/>
        <v>120550596608</v>
      </c>
      <c r="AO94" vm="680">
        <f t="shared" si="45"/>
        <v>120822988800</v>
      </c>
      <c r="AP94" vm="553">
        <f t="shared" si="46"/>
        <v>147528941568</v>
      </c>
      <c r="AQ94" vm="426">
        <f t="shared" si="46"/>
        <v>171761729536</v>
      </c>
      <c r="AR94" vm="301">
        <f t="shared" si="46"/>
        <v>192649003008</v>
      </c>
      <c r="AS94" vm="1763">
        <f t="shared" si="46"/>
        <v>201175465984</v>
      </c>
      <c r="AT94" vm="1699">
        <f t="shared" si="46"/>
        <v>200789360640</v>
      </c>
      <c r="AU94" vm="1644">
        <f t="shared" si="46"/>
        <v>189805297664</v>
      </c>
      <c r="AV94" vm="1591">
        <f t="shared" si="46"/>
        <v>191895945216</v>
      </c>
      <c r="AW94" vm="1538">
        <f t="shared" si="46"/>
        <v>211007209472</v>
      </c>
      <c r="AX94" vm="1485">
        <f t="shared" si="46"/>
        <v>222044962816</v>
      </c>
      <c r="AY94" vm="1399">
        <f t="shared" si="46"/>
        <v>226848047104</v>
      </c>
      <c r="AZ94" vm="1313">
        <f t="shared" si="46"/>
        <v>3509264170496</v>
      </c>
    </row>
    <row r="95" spans="1:52" x14ac:dyDescent="0.45">
      <c r="A95" s="4" t="str" vm="30">
        <f>CUBEMEMBER("DESKTOP-KSAPEQM AS Model","[Geography].[Blocs].[Country].&amp;[Philippines]")</f>
        <v>Philippines</v>
      </c>
      <c r="B95" vm="1187">
        <f t="shared" si="42"/>
        <v>6687204864</v>
      </c>
      <c r="C95" vm="1060">
        <f t="shared" si="42"/>
        <v>7408305664</v>
      </c>
      <c r="D95" vm="933">
        <f t="shared" si="42"/>
        <v>8017468928</v>
      </c>
      <c r="E95" vm="806">
        <f t="shared" si="42"/>
        <v>10082885632</v>
      </c>
      <c r="F95" vm="679">
        <f t="shared" si="42"/>
        <v>13781140480</v>
      </c>
      <c r="G95" vm="552">
        <f t="shared" si="42"/>
        <v>14893969408</v>
      </c>
      <c r="H95" vm="425">
        <f t="shared" si="42"/>
        <v>17097563136</v>
      </c>
      <c r="I95" vm="300">
        <f t="shared" si="42"/>
        <v>19648106496</v>
      </c>
      <c r="J95" vm="3199">
        <f t="shared" si="42"/>
        <v>22706155520</v>
      </c>
      <c r="K95" vm="2366">
        <f t="shared" si="42"/>
        <v>27502168064</v>
      </c>
      <c r="L95" vm="2302">
        <f t="shared" si="43"/>
        <v>32450541568</v>
      </c>
      <c r="M95" vm="2250">
        <f t="shared" si="43"/>
        <v>35646418944</v>
      </c>
      <c r="N95" vm="2198">
        <f t="shared" si="43"/>
        <v>37140164608</v>
      </c>
      <c r="O95" vm="2147">
        <f t="shared" si="43"/>
        <v>33212180480</v>
      </c>
      <c r="P95" vm="2095">
        <f t="shared" si="43"/>
        <v>31408492544</v>
      </c>
      <c r="Q95" vm="1312">
        <f t="shared" si="43"/>
        <v>30734336000</v>
      </c>
      <c r="R95" vm="1186">
        <f t="shared" si="43"/>
        <v>29868339200</v>
      </c>
      <c r="S95" vm="1059">
        <f t="shared" si="43"/>
        <v>33195933696</v>
      </c>
      <c r="T95" vm="932">
        <f t="shared" si="43"/>
        <v>37885440000</v>
      </c>
      <c r="U95" vm="805">
        <f t="shared" si="43"/>
        <v>42575183872</v>
      </c>
      <c r="V95" vm="678">
        <f t="shared" si="44"/>
        <v>44311592960</v>
      </c>
      <c r="W95" vm="551">
        <f t="shared" si="44"/>
        <v>45417562112</v>
      </c>
      <c r="X95" vm="424">
        <f t="shared" si="44"/>
        <v>52976345088</v>
      </c>
      <c r="Y95" vm="299">
        <f t="shared" si="44"/>
        <v>54368083968</v>
      </c>
      <c r="Z95" vm="2010">
        <f t="shared" si="44"/>
        <v>64084459520</v>
      </c>
      <c r="AA95" vm="1889">
        <f t="shared" si="44"/>
        <v>74119987200</v>
      </c>
      <c r="AB95" vm="1762">
        <f t="shared" si="44"/>
        <v>82848137216</v>
      </c>
      <c r="AC95" vm="1698">
        <f t="shared" si="44"/>
        <v>82344263680</v>
      </c>
      <c r="AD95" vm="1643">
        <f t="shared" si="44"/>
        <v>72207032320</v>
      </c>
      <c r="AE95" vm="1590">
        <f t="shared" si="44"/>
        <v>82995142656</v>
      </c>
      <c r="AF95" vm="1537">
        <f t="shared" si="45"/>
        <v>83670261760</v>
      </c>
      <c r="AG95" vm="1311">
        <f t="shared" si="45"/>
        <v>78921072640</v>
      </c>
      <c r="AH95" vm="1185">
        <f t="shared" si="45"/>
        <v>84307369984</v>
      </c>
      <c r="AI95" vm="1058">
        <f t="shared" si="45"/>
        <v>87039148032</v>
      </c>
      <c r="AJ95" vm="931">
        <f t="shared" si="45"/>
        <v>95001993216</v>
      </c>
      <c r="AK95" vm="804">
        <f t="shared" si="45"/>
        <v>107419983872</v>
      </c>
      <c r="AL95" vm="677">
        <f t="shared" si="45"/>
        <v>127652904960</v>
      </c>
      <c r="AM95" vm="550">
        <f t="shared" si="45"/>
        <v>155980414976</v>
      </c>
      <c r="AN95" vm="423">
        <f t="shared" si="45"/>
        <v>181006860288</v>
      </c>
      <c r="AO95" vm="298">
        <f t="shared" si="45"/>
        <v>176131653632</v>
      </c>
      <c r="AP95" vm="1484">
        <f t="shared" si="46"/>
        <v>208368893952</v>
      </c>
      <c r="AQ95" vm="1398">
        <f t="shared" si="46"/>
        <v>234216734720</v>
      </c>
      <c r="AR95" vm="3075">
        <f t="shared" si="46"/>
        <v>261920538624</v>
      </c>
      <c r="AS95" vm="2365">
        <f t="shared" si="46"/>
        <v>283902836736</v>
      </c>
      <c r="AT95" vm="2301">
        <f t="shared" si="46"/>
        <v>297483567104</v>
      </c>
      <c r="AU95" vm="2249">
        <f t="shared" si="46"/>
        <v>306445877248</v>
      </c>
      <c r="AV95" vm="2197">
        <f t="shared" si="46"/>
        <v>318626988032</v>
      </c>
      <c r="AW95" vm="1310">
        <f t="shared" si="46"/>
        <v>328480751616</v>
      </c>
      <c r="AX95" vm="1184">
        <f t="shared" si="46"/>
        <v>346841907200</v>
      </c>
      <c r="AY95" vm="1057">
        <f t="shared" si="46"/>
        <v>376795496448</v>
      </c>
      <c r="AZ95" vm="930">
        <f t="shared" si="46"/>
        <v>5287829860864</v>
      </c>
    </row>
    <row r="96" spans="1:52" x14ac:dyDescent="0.45">
      <c r="A96" s="4" t="str" vm="22">
        <f>CUBEMEMBER("DESKTOP-KSAPEQM AS Model","[Geography].[Blocs].[Country].&amp;[Puerto Rico]")</f>
        <v>Puerto Rico</v>
      </c>
      <c r="B96" vm="803">
        <f t="shared" si="42"/>
        <v>5034699776</v>
      </c>
      <c r="C96" vm="676">
        <f t="shared" si="42"/>
        <v>5646799872</v>
      </c>
      <c r="D96" vm="549">
        <f t="shared" si="42"/>
        <v>6328900096</v>
      </c>
      <c r="E96" vm="422">
        <f t="shared" si="42"/>
        <v>7002399744</v>
      </c>
      <c r="F96" vm="297">
        <f t="shared" si="42"/>
        <v>7684800000</v>
      </c>
      <c r="G96" vm="233">
        <f t="shared" si="42"/>
        <v>8198300160</v>
      </c>
      <c r="H96" vm="2146">
        <f t="shared" si="42"/>
        <v>8968599552</v>
      </c>
      <c r="I96" vm="2094">
        <f t="shared" si="42"/>
        <v>9910899712</v>
      </c>
      <c r="J96" vm="2009">
        <f t="shared" si="42"/>
        <v>11164999680</v>
      </c>
      <c r="K96" vm="1888">
        <f t="shared" si="42"/>
        <v>12750000128</v>
      </c>
      <c r="L96" vm="1761">
        <f t="shared" si="43"/>
        <v>14436100096</v>
      </c>
      <c r="M96" vm="1697">
        <f t="shared" si="43"/>
        <v>15955699712</v>
      </c>
      <c r="N96" vm="1309">
        <f t="shared" si="43"/>
        <v>16764199936</v>
      </c>
      <c r="O96" vm="1183">
        <f t="shared" si="43"/>
        <v>17276600320</v>
      </c>
      <c r="P96" vm="1056">
        <f t="shared" si="43"/>
        <v>19162599424</v>
      </c>
      <c r="Q96" vm="929">
        <f t="shared" si="43"/>
        <v>20289200128</v>
      </c>
      <c r="R96" vm="802">
        <f t="shared" si="43"/>
        <v>22009300992</v>
      </c>
      <c r="S96" vm="675">
        <f t="shared" si="43"/>
        <v>24025800704</v>
      </c>
      <c r="T96" vm="548">
        <f t="shared" si="43"/>
        <v>26385799168</v>
      </c>
      <c r="U96" vm="421">
        <f t="shared" si="43"/>
        <v>28161200128</v>
      </c>
      <c r="V96" vm="296">
        <f t="shared" si="44"/>
        <v>30603919360</v>
      </c>
      <c r="W96" vm="232">
        <f t="shared" si="44"/>
        <v>32287031296</v>
      </c>
      <c r="X96" vm="1642">
        <f t="shared" si="44"/>
        <v>34630430720</v>
      </c>
      <c r="Y96" vm="1589">
        <f t="shared" si="44"/>
        <v>36922454016</v>
      </c>
      <c r="Z96" vm="1536">
        <f t="shared" si="44"/>
        <v>39690629120</v>
      </c>
      <c r="AA96" vm="1483">
        <f t="shared" si="44"/>
        <v>42647330816</v>
      </c>
      <c r="AB96" vm="1397">
        <f t="shared" si="44"/>
        <v>45340835840</v>
      </c>
      <c r="AC96" vm="2993">
        <f t="shared" si="44"/>
        <v>48187039744</v>
      </c>
      <c r="AD96" vm="1308">
        <f t="shared" si="44"/>
        <v>54086402048</v>
      </c>
      <c r="AE96" vm="1182">
        <f t="shared" si="44"/>
        <v>57841000448</v>
      </c>
      <c r="AF96" vm="1055">
        <f t="shared" si="45"/>
        <v>61701799936</v>
      </c>
      <c r="AG96" vm="928">
        <f t="shared" si="45"/>
        <v>69208399872</v>
      </c>
      <c r="AH96" vm="801">
        <f t="shared" si="45"/>
        <v>71623499776</v>
      </c>
      <c r="AI96" vm="674">
        <f t="shared" si="45"/>
        <v>74827399168</v>
      </c>
      <c r="AJ96" vm="547">
        <f t="shared" si="45"/>
        <v>80322314240</v>
      </c>
      <c r="AK96" vm="420">
        <f t="shared" si="45"/>
        <v>83914522624</v>
      </c>
      <c r="AL96" vm="295">
        <f t="shared" si="45"/>
        <v>87276167168</v>
      </c>
      <c r="AM96" vm="231">
        <f t="shared" si="45"/>
        <v>89524133888</v>
      </c>
      <c r="AN96" vm="2364">
        <f t="shared" si="45"/>
        <v>93639303168</v>
      </c>
      <c r="AO96" vm="2300">
        <f t="shared" si="45"/>
        <v>96385597440</v>
      </c>
      <c r="AP96" vm="2248">
        <f t="shared" si="46"/>
        <v>98381299712</v>
      </c>
      <c r="AQ96" vm="2196">
        <f t="shared" si="46"/>
        <v>100351696896</v>
      </c>
      <c r="AR96" vm="2145">
        <f t="shared" si="46"/>
        <v>101564801024</v>
      </c>
      <c r="AS96" vm="2093">
        <f t="shared" si="46"/>
        <v>102450003968</v>
      </c>
      <c r="AT96" vm="1307">
        <f t="shared" si="46"/>
        <v>102445801472</v>
      </c>
      <c r="AU96" vm="1181">
        <f t="shared" si="46"/>
        <v>103375503360</v>
      </c>
      <c r="AV96" vm="1054">
        <f t="shared" si="46"/>
        <v>104336703488</v>
      </c>
      <c r="AW96" vm="927">
        <f t="shared" si="46"/>
        <v>103445504000</v>
      </c>
      <c r="AX96" vm="800">
        <f t="shared" si="46"/>
        <v>100979900416</v>
      </c>
      <c r="AY96" vm="673">
        <f t="shared" si="46"/>
        <v>104988598272</v>
      </c>
      <c r="AZ96" vm="546">
        <f t="shared" si="46"/>
        <v>2540136922624</v>
      </c>
    </row>
    <row r="97" spans="1:52" x14ac:dyDescent="0.45">
      <c r="A97" s="4" t="str" vm="7">
        <f>CUBEMEMBER("DESKTOP-KSAPEQM AS Model","[Geography].[Blocs].[Country].&amp;[Rwanda]")</f>
        <v>Rwanda</v>
      </c>
      <c r="B97" vm="419">
        <f t="shared" si="42"/>
        <v>219900000</v>
      </c>
      <c r="C97" vm="294">
        <f t="shared" si="42"/>
        <v>222952576</v>
      </c>
      <c r="D97" vm="230">
        <f t="shared" si="42"/>
        <v>246457840</v>
      </c>
      <c r="E97" vm="2008">
        <f t="shared" si="42"/>
        <v>290746144</v>
      </c>
      <c r="F97" vm="1887">
        <f t="shared" si="42"/>
        <v>308458432</v>
      </c>
      <c r="G97" vm="1760">
        <f t="shared" si="42"/>
        <v>571863296</v>
      </c>
      <c r="H97" vm="1696">
        <f t="shared" si="42"/>
        <v>637754176</v>
      </c>
      <c r="I97" vm="1641">
        <f t="shared" si="42"/>
        <v>746650560</v>
      </c>
      <c r="J97" vm="1588">
        <f t="shared" si="42"/>
        <v>905709120</v>
      </c>
      <c r="K97" vm="1306">
        <f t="shared" si="42"/>
        <v>1109346176</v>
      </c>
      <c r="L97" vm="1180">
        <f t="shared" si="43"/>
        <v>1254765312</v>
      </c>
      <c r="M97" vm="1053">
        <f t="shared" si="43"/>
        <v>1407062656</v>
      </c>
      <c r="N97" vm="926">
        <f t="shared" si="43"/>
        <v>1407242624</v>
      </c>
      <c r="O97" vm="799">
        <f t="shared" si="43"/>
        <v>1479688064</v>
      </c>
      <c r="P97" vm="672">
        <f t="shared" si="43"/>
        <v>1587412992</v>
      </c>
      <c r="Q97" vm="545">
        <f t="shared" si="43"/>
        <v>1715625856</v>
      </c>
      <c r="R97" vm="418">
        <f t="shared" si="43"/>
        <v>1944711040</v>
      </c>
      <c r="S97" vm="293">
        <f t="shared" si="43"/>
        <v>2157434112</v>
      </c>
      <c r="T97" vm="229">
        <f t="shared" si="43"/>
        <v>2395493888</v>
      </c>
      <c r="U97" vm="1535">
        <f t="shared" si="43"/>
        <v>2405021952</v>
      </c>
      <c r="V97" vm="1482">
        <f t="shared" si="44"/>
        <v>2550185728</v>
      </c>
      <c r="W97" vm="1396">
        <f t="shared" si="44"/>
        <v>1911601024</v>
      </c>
      <c r="X97" vm="2911">
        <f t="shared" si="44"/>
        <v>2029026688</v>
      </c>
      <c r="Y97" vm="2363">
        <f t="shared" si="44"/>
        <v>1971526016</v>
      </c>
      <c r="Z97" vm="2299">
        <f t="shared" si="44"/>
        <v>753636352</v>
      </c>
      <c r="AA97" vm="1305">
        <f t="shared" si="44"/>
        <v>1293534976</v>
      </c>
      <c r="AB97" vm="1179">
        <f t="shared" si="44"/>
        <v>1382334848</v>
      </c>
      <c r="AC97" vm="1052">
        <f t="shared" si="44"/>
        <v>1851558272</v>
      </c>
      <c r="AD97" vm="925">
        <f t="shared" si="44"/>
        <v>1989343488</v>
      </c>
      <c r="AE97" vm="798">
        <f t="shared" si="44"/>
        <v>1817654528</v>
      </c>
      <c r="AF97" vm="671">
        <f t="shared" si="45"/>
        <v>1734938624</v>
      </c>
      <c r="AG97" vm="544">
        <f t="shared" si="45"/>
        <v>1674685312</v>
      </c>
      <c r="AH97" vm="417">
        <f t="shared" si="45"/>
        <v>1677552384</v>
      </c>
      <c r="AI97" vm="292">
        <f t="shared" si="45"/>
        <v>1846198784</v>
      </c>
      <c r="AJ97" vm="228">
        <f t="shared" si="45"/>
        <v>2088961920</v>
      </c>
      <c r="AK97" vm="2247">
        <f t="shared" si="45"/>
        <v>2581313536</v>
      </c>
      <c r="AL97" vm="2195">
        <f t="shared" si="45"/>
        <v>3330198784</v>
      </c>
      <c r="AM97" vm="2144">
        <f t="shared" si="45"/>
        <v>4083515136</v>
      </c>
      <c r="AN97" vm="2092">
        <f t="shared" si="45"/>
        <v>5198063104</v>
      </c>
      <c r="AO97" vm="2007">
        <f t="shared" si="45"/>
        <v>5694132224</v>
      </c>
      <c r="AP97" vm="1886">
        <f t="shared" si="46"/>
        <v>6147525120</v>
      </c>
      <c r="AQ97" vm="1304">
        <f t="shared" si="46"/>
        <v>6912074240</v>
      </c>
      <c r="AR97" vm="1178">
        <f t="shared" si="46"/>
        <v>7687521792</v>
      </c>
      <c r="AS97" vm="1051">
        <f t="shared" si="46"/>
        <v>7851127808</v>
      </c>
      <c r="AT97" vm="924">
        <f t="shared" si="46"/>
        <v>8279480832</v>
      </c>
      <c r="AU97" vm="797">
        <f t="shared" si="46"/>
        <v>8582588928</v>
      </c>
      <c r="AV97" vm="670">
        <f t="shared" si="46"/>
        <v>8734161920</v>
      </c>
      <c r="AW97" vm="543">
        <f t="shared" si="46"/>
        <v>9253098496</v>
      </c>
      <c r="AX97" vm="416">
        <f t="shared" si="46"/>
        <v>9627720704</v>
      </c>
      <c r="AY97" vm="291">
        <f t="shared" si="46"/>
        <v>10122472448</v>
      </c>
      <c r="AZ97" vm="227">
        <f t="shared" si="46"/>
        <v>153672030832</v>
      </c>
    </row>
    <row r="98" spans="1:52" x14ac:dyDescent="0.45">
      <c r="A98" s="4" t="str" vm="78">
        <f>CUBEMEMBER("DESKTOP-KSAPEQM AS Model","[Geography].[Blocs].[Country].&amp;[Saudi Arabia]")</f>
        <v>Saudi Arabia</v>
      </c>
      <c r="B98" vm="1759">
        <f t="shared" si="42"/>
        <v>5377333248</v>
      </c>
      <c r="C98" vm="1695">
        <f t="shared" si="42"/>
        <v>7184853504</v>
      </c>
      <c r="D98" vm="1640">
        <f t="shared" si="42"/>
        <v>9664157696</v>
      </c>
      <c r="E98" vm="1587">
        <f t="shared" si="42"/>
        <v>14947391488</v>
      </c>
      <c r="F98" vm="1534">
        <f t="shared" si="42"/>
        <v>45412958208</v>
      </c>
      <c r="G98" vm="1481">
        <f t="shared" si="42"/>
        <v>46773366784</v>
      </c>
      <c r="H98" vm="1303">
        <f t="shared" si="42"/>
        <v>64005664768</v>
      </c>
      <c r="I98" vm="1177">
        <f t="shared" si="42"/>
        <v>74188251136</v>
      </c>
      <c r="J98" vm="1050">
        <f t="shared" si="42"/>
        <v>80265617408</v>
      </c>
      <c r="K98" vm="923">
        <f t="shared" si="42"/>
        <v>111859679232</v>
      </c>
      <c r="L98" vm="796">
        <f t="shared" si="43"/>
        <v>164541743104</v>
      </c>
      <c r="M98" vm="669">
        <f t="shared" si="43"/>
        <v>184291803136</v>
      </c>
      <c r="N98" vm="542">
        <f t="shared" si="43"/>
        <v>153239011328</v>
      </c>
      <c r="O98" vm="415">
        <f t="shared" si="43"/>
        <v>129171636224</v>
      </c>
      <c r="P98" vm="290">
        <f t="shared" si="43"/>
        <v>119624859648</v>
      </c>
      <c r="Q98" vm="226">
        <f t="shared" si="43"/>
        <v>103897849856</v>
      </c>
      <c r="R98" vm="1395">
        <f t="shared" si="43"/>
        <v>86961922048</v>
      </c>
      <c r="S98" vm="2818">
        <f t="shared" si="43"/>
        <v>85695864832</v>
      </c>
      <c r="T98" vm="2362">
        <f t="shared" si="43"/>
        <v>88256077824</v>
      </c>
      <c r="U98" vm="2298">
        <f t="shared" si="43"/>
        <v>95344459776</v>
      </c>
      <c r="V98" vm="2246">
        <f t="shared" si="44"/>
        <v>117630271488</v>
      </c>
      <c r="W98" vm="2194">
        <f t="shared" si="44"/>
        <v>132223270912</v>
      </c>
      <c r="X98" vm="1302">
        <f t="shared" si="44"/>
        <v>137087877120</v>
      </c>
      <c r="Y98" vm="1176">
        <f t="shared" si="44"/>
        <v>132967899136</v>
      </c>
      <c r="Z98" vm="1049">
        <f t="shared" si="44"/>
        <v>135174889472</v>
      </c>
      <c r="AA98" vm="922">
        <f t="shared" si="44"/>
        <v>143343042560</v>
      </c>
      <c r="AB98" vm="795">
        <f t="shared" si="44"/>
        <v>158662393856</v>
      </c>
      <c r="AC98" vm="668">
        <f t="shared" si="44"/>
        <v>165963563008</v>
      </c>
      <c r="AD98" vm="541">
        <f t="shared" si="44"/>
        <v>146775490560</v>
      </c>
      <c r="AE98" vm="414">
        <f t="shared" si="44"/>
        <v>161716961280</v>
      </c>
      <c r="AF98" vm="289">
        <f t="shared" si="45"/>
        <v>189514924032</v>
      </c>
      <c r="AG98" vm="225">
        <f t="shared" si="45"/>
        <v>184137465856</v>
      </c>
      <c r="AH98" vm="2143">
        <f t="shared" si="45"/>
        <v>189605920768</v>
      </c>
      <c r="AI98" vm="2091">
        <f t="shared" si="45"/>
        <v>215807655936</v>
      </c>
      <c r="AJ98" vm="2006">
        <f t="shared" si="45"/>
        <v>258742140928</v>
      </c>
      <c r="AK98" vm="1885">
        <f t="shared" si="45"/>
        <v>328459616256</v>
      </c>
      <c r="AL98" vm="1758">
        <f t="shared" si="45"/>
        <v>376900124672</v>
      </c>
      <c r="AM98" vm="1694">
        <f t="shared" si="45"/>
        <v>415964495872</v>
      </c>
      <c r="AN98" vm="1301">
        <f t="shared" si="45"/>
        <v>519796785152</v>
      </c>
      <c r="AO98" vm="1175">
        <f t="shared" si="45"/>
        <v>429097877504</v>
      </c>
      <c r="AP98" vm="1048">
        <f t="shared" si="46"/>
        <v>528207183872</v>
      </c>
      <c r="AQ98" vm="921">
        <f t="shared" si="46"/>
        <v>671238848512</v>
      </c>
      <c r="AR98" vm="794">
        <f t="shared" si="46"/>
        <v>735974850560</v>
      </c>
      <c r="AS98" vm="667">
        <f t="shared" si="46"/>
        <v>746647126016</v>
      </c>
      <c r="AT98" vm="540">
        <f t="shared" si="46"/>
        <v>756350320640</v>
      </c>
      <c r="AU98" vm="413">
        <f t="shared" si="46"/>
        <v>654269874176</v>
      </c>
      <c r="AV98" vm="288">
        <f t="shared" si="46"/>
        <v>644935516160</v>
      </c>
      <c r="AW98" vm="224">
        <f t="shared" si="46"/>
        <v>688586162176</v>
      </c>
      <c r="AX98" vm="1639">
        <f t="shared" si="46"/>
        <v>786521849856</v>
      </c>
      <c r="AY98" vm="1586">
        <f t="shared" si="46"/>
        <v>792966856704</v>
      </c>
      <c r="AZ98" vm="1533">
        <f t="shared" si="46"/>
        <v>13215975756288</v>
      </c>
    </row>
    <row r="99" spans="1:52" x14ac:dyDescent="0.45">
      <c r="A99" s="4" t="str" vm="142">
        <f>CUBEMEMBER("DESKTOP-KSAPEQM AS Model","[Geography].[Blocs].[Country].&amp;[Senegal]")</f>
        <v>Senegal</v>
      </c>
      <c r="B99" vm="1480">
        <f t="shared" si="42"/>
        <v>1297407872</v>
      </c>
      <c r="C99" vm="1394">
        <f t="shared" si="42"/>
        <v>1339548800</v>
      </c>
      <c r="D99" vm="2711">
        <f t="shared" si="42"/>
        <v>1620857216</v>
      </c>
      <c r="E99" vm="1300">
        <f t="shared" si="42"/>
        <v>1863398400</v>
      </c>
      <c r="F99" vm="1174">
        <f t="shared" si="42"/>
        <v>2099324928</v>
      </c>
      <c r="G99" vm="1047">
        <f t="shared" si="42"/>
        <v>2830388480</v>
      </c>
      <c r="H99" vm="920">
        <f t="shared" si="42"/>
        <v>2869777920</v>
      </c>
      <c r="I99" vm="793">
        <f t="shared" si="42"/>
        <v>2938046208</v>
      </c>
      <c r="J99" vm="666">
        <f t="shared" si="42"/>
        <v>3280354304</v>
      </c>
      <c r="K99" vm="539">
        <f t="shared" si="42"/>
        <v>4084878592</v>
      </c>
      <c r="L99" vm="412">
        <f t="shared" si="43"/>
        <v>4435050496</v>
      </c>
      <c r="M99" vm="287">
        <f t="shared" si="43"/>
        <v>4021697280</v>
      </c>
      <c r="N99" vm="223">
        <f t="shared" si="43"/>
        <v>3936758784</v>
      </c>
      <c r="O99" vm="2361">
        <f t="shared" si="43"/>
        <v>3512053248</v>
      </c>
      <c r="P99" vm="2297">
        <f t="shared" si="43"/>
        <v>3425127424</v>
      </c>
      <c r="Q99" vm="2245">
        <f t="shared" si="43"/>
        <v>3750056448</v>
      </c>
      <c r="R99" vm="2193">
        <f t="shared" si="43"/>
        <v>5304238080</v>
      </c>
      <c r="S99" vm="2142">
        <f t="shared" si="43"/>
        <v>6381385728</v>
      </c>
      <c r="T99" vm="2090">
        <f t="shared" si="43"/>
        <v>6311054848</v>
      </c>
      <c r="U99" vm="1299">
        <f t="shared" si="43"/>
        <v>6219793408</v>
      </c>
      <c r="V99" vm="1173">
        <f t="shared" si="44"/>
        <v>7237100544</v>
      </c>
      <c r="W99" vm="1046">
        <f t="shared" si="44"/>
        <v>7111252992</v>
      </c>
      <c r="X99" vm="919">
        <f t="shared" si="44"/>
        <v>7602005504</v>
      </c>
      <c r="Y99" vm="792">
        <f t="shared" si="44"/>
        <v>7189226496</v>
      </c>
      <c r="Z99" vm="665">
        <f t="shared" si="44"/>
        <v>4908415488</v>
      </c>
      <c r="AA99" vm="538">
        <f t="shared" si="44"/>
        <v>6176312320</v>
      </c>
      <c r="AB99" vm="411">
        <f t="shared" si="44"/>
        <v>6413189632</v>
      </c>
      <c r="AC99" vm="286">
        <f t="shared" si="44"/>
        <v>5915250176</v>
      </c>
      <c r="AD99" vm="222">
        <f t="shared" si="44"/>
        <v>6368265216</v>
      </c>
      <c r="AE99" vm="2005">
        <f t="shared" si="44"/>
        <v>6512207872</v>
      </c>
      <c r="AF99" vm="1884">
        <f t="shared" si="45"/>
        <v>5924239872</v>
      </c>
      <c r="AG99" vm="1757">
        <f t="shared" si="45"/>
        <v>6174898176</v>
      </c>
      <c r="AH99" vm="1693">
        <f t="shared" si="45"/>
        <v>6752510464</v>
      </c>
      <c r="AI99" vm="1638">
        <f t="shared" si="45"/>
        <v>8683229184</v>
      </c>
      <c r="AJ99" vm="1585">
        <f t="shared" si="45"/>
        <v>10167441408</v>
      </c>
      <c r="AK99" vm="1298">
        <f t="shared" si="45"/>
        <v>11022821376</v>
      </c>
      <c r="AL99" vm="1172">
        <f t="shared" si="45"/>
        <v>11847847936</v>
      </c>
      <c r="AM99" vm="1045">
        <f t="shared" si="45"/>
        <v>14285970432</v>
      </c>
      <c r="AN99" vm="918">
        <f t="shared" si="45"/>
        <v>16949789696</v>
      </c>
      <c r="AO99" vm="791">
        <f t="shared" si="45"/>
        <v>16248212480</v>
      </c>
      <c r="AP99" vm="664">
        <f t="shared" si="46"/>
        <v>16230888448</v>
      </c>
      <c r="AQ99" vm="537">
        <f t="shared" si="46"/>
        <v>17902206976</v>
      </c>
      <c r="AR99" vm="410">
        <f t="shared" si="46"/>
        <v>17824399360</v>
      </c>
      <c r="AS99" vm="285">
        <f t="shared" si="46"/>
        <v>18965571584</v>
      </c>
      <c r="AT99" vm="221">
        <f t="shared" si="46"/>
        <v>19797254144</v>
      </c>
      <c r="AU99" vm="1532">
        <f t="shared" si="46"/>
        <v>17774766080</v>
      </c>
      <c r="AV99" vm="1479">
        <f t="shared" si="46"/>
        <v>19040313344</v>
      </c>
      <c r="AW99" vm="1393">
        <f t="shared" si="46"/>
        <v>20996564992</v>
      </c>
      <c r="AX99" vm="2631">
        <f t="shared" si="46"/>
        <v>23236007936</v>
      </c>
      <c r="AY99" vm="2360">
        <f t="shared" si="46"/>
        <v>23578083328</v>
      </c>
      <c r="AZ99" vm="2296">
        <f t="shared" si="46"/>
        <v>440357441920</v>
      </c>
    </row>
    <row r="100" spans="1:52" x14ac:dyDescent="0.45">
      <c r="A100" s="4" t="str" vm="137">
        <f>CUBEMEMBER("DESKTOP-KSAPEQM AS Model","[Geography].[Blocs].[Country].&amp;[Seychelles]")</f>
        <v>Seychelles</v>
      </c>
      <c r="B100" vm="1297">
        <f t="shared" ref="B100:K109" si="47">CUBEVALUE("DESKTOP-KSAPEQM AS Model",$B$1,$B$2,$B$3,$B$4,$B$5,$A$7,$A100,B$8)</f>
        <v>18432032</v>
      </c>
      <c r="C100" vm="1171">
        <f t="shared" si="47"/>
        <v>21965952</v>
      </c>
      <c r="D100" vm="1044">
        <f t="shared" si="47"/>
        <v>30645120</v>
      </c>
      <c r="E100" vm="917">
        <f t="shared" si="47"/>
        <v>36896280</v>
      </c>
      <c r="F100" vm="790">
        <f t="shared" si="47"/>
        <v>43134500</v>
      </c>
      <c r="G100" vm="663">
        <f t="shared" si="47"/>
        <v>47803144</v>
      </c>
      <c r="H100" vm="536">
        <f t="shared" si="47"/>
        <v>49278980</v>
      </c>
      <c r="I100" vm="409">
        <f t="shared" si="47"/>
        <v>64526400</v>
      </c>
      <c r="J100" vm="284">
        <f t="shared" si="47"/>
        <v>85552368</v>
      </c>
      <c r="K100" vm="220">
        <f t="shared" si="47"/>
        <v>127261096</v>
      </c>
      <c r="L100" vm="2244">
        <f t="shared" ref="L100:U109" si="48">CUBEVALUE("DESKTOP-KSAPEQM AS Model",$B$1,$B$2,$B$3,$B$4,$B$5,$A$7,$A100,L$8)</f>
        <v>147357216</v>
      </c>
      <c r="M100" vm="2192">
        <f t="shared" si="48"/>
        <v>154902864</v>
      </c>
      <c r="N100" vm="2141">
        <f t="shared" si="48"/>
        <v>147912064</v>
      </c>
      <c r="O100" vm="2089">
        <f t="shared" si="48"/>
        <v>146712848</v>
      </c>
      <c r="P100" vm="2004">
        <f t="shared" si="48"/>
        <v>151313248</v>
      </c>
      <c r="Q100" vm="1883">
        <f t="shared" si="48"/>
        <v>168887536</v>
      </c>
      <c r="R100" vm="1296">
        <f t="shared" si="48"/>
        <v>207850624</v>
      </c>
      <c r="S100" vm="1170">
        <f t="shared" si="48"/>
        <v>249267040</v>
      </c>
      <c r="T100" vm="1043">
        <f t="shared" si="48"/>
        <v>283828768</v>
      </c>
      <c r="U100" vm="916">
        <f t="shared" si="48"/>
        <v>304832864</v>
      </c>
      <c r="V100" vm="789">
        <f t="shared" ref="V100:AE109" si="49">CUBEVALUE("DESKTOP-KSAPEQM AS Model",$B$1,$B$2,$B$3,$B$4,$B$5,$A$7,$A100,V$8)</f>
        <v>368584768</v>
      </c>
      <c r="W100" vm="662">
        <f t="shared" si="49"/>
        <v>374359552</v>
      </c>
      <c r="X100" vm="535">
        <f t="shared" si="49"/>
        <v>433667200</v>
      </c>
      <c r="Y100" vm="408">
        <f t="shared" si="49"/>
        <v>473916832</v>
      </c>
      <c r="Z100" vm="283">
        <f t="shared" si="49"/>
        <v>486451200</v>
      </c>
      <c r="AA100" vm="219">
        <f t="shared" si="49"/>
        <v>508221504</v>
      </c>
      <c r="AB100" vm="1756">
        <f t="shared" si="49"/>
        <v>503068480</v>
      </c>
      <c r="AC100" vm="1692">
        <f t="shared" si="49"/>
        <v>562958848</v>
      </c>
      <c r="AD100" vm="1637">
        <f t="shared" si="49"/>
        <v>608369280</v>
      </c>
      <c r="AE100" vm="1584">
        <f t="shared" si="49"/>
        <v>622985472</v>
      </c>
      <c r="AF100" vm="1531">
        <f t="shared" ref="AF100:AO109" si="50">CUBEVALUE("DESKTOP-KSAPEQM AS Model",$B$1,$B$2,$B$3,$B$4,$B$5,$A$7,$A100,AF$8)</f>
        <v>614879744</v>
      </c>
      <c r="AG100" vm="1478">
        <f t="shared" si="50"/>
        <v>622262080</v>
      </c>
      <c r="AH100" vm="1295">
        <f t="shared" si="50"/>
        <v>697518272</v>
      </c>
      <c r="AI100" vm="1169">
        <f t="shared" si="50"/>
        <v>705704832</v>
      </c>
      <c r="AJ100" vm="1042">
        <f t="shared" si="50"/>
        <v>839319936</v>
      </c>
      <c r="AK100" vm="915">
        <f t="shared" si="50"/>
        <v>919103232</v>
      </c>
      <c r="AL100" vm="788">
        <f t="shared" si="50"/>
        <v>1016418240</v>
      </c>
      <c r="AM100" vm="661">
        <f t="shared" si="50"/>
        <v>1033561664</v>
      </c>
      <c r="AN100" vm="534">
        <f t="shared" si="50"/>
        <v>967199616</v>
      </c>
      <c r="AO100" vm="407">
        <f t="shared" si="50"/>
        <v>847397824</v>
      </c>
      <c r="AP100" vm="282">
        <f t="shared" ref="AP100:AZ109" si="51">CUBEVALUE("DESKTOP-KSAPEQM AS Model",$B$1,$B$2,$B$3,$B$4,$B$5,$A$7,$A100,AP$8)</f>
        <v>969936512</v>
      </c>
      <c r="AQ100" vm="218">
        <f t="shared" si="51"/>
        <v>1065826688</v>
      </c>
      <c r="AR100" vm="1392">
        <f t="shared" si="51"/>
        <v>1060226112</v>
      </c>
      <c r="AS100" vm="2551">
        <f t="shared" si="51"/>
        <v>1328157568</v>
      </c>
      <c r="AT100" vm="2359">
        <f t="shared" si="51"/>
        <v>1343007872</v>
      </c>
      <c r="AU100" vm="2295">
        <f t="shared" si="51"/>
        <v>1377495040</v>
      </c>
      <c r="AV100" vm="2243">
        <f t="shared" si="51"/>
        <v>1426651776</v>
      </c>
      <c r="AW100" vm="2191">
        <f t="shared" si="51"/>
        <v>1524486784</v>
      </c>
      <c r="AX100" vm="1294">
        <f t="shared" si="51"/>
        <v>1586008960</v>
      </c>
      <c r="AY100" vm="1168">
        <f t="shared" si="51"/>
        <v>1698843008</v>
      </c>
      <c r="AZ100" vm="1041">
        <f t="shared" si="51"/>
        <v>29074949840</v>
      </c>
    </row>
    <row r="101" spans="1:52" x14ac:dyDescent="0.45">
      <c r="A101" s="4" t="str" vm="133">
        <f>CUBEMEMBER("DESKTOP-KSAPEQM AS Model","[Geography].[Blocs].[Country].&amp;[Sierra Leone]")</f>
        <v>Sierra Leone</v>
      </c>
      <c r="B101" vm="914">
        <f t="shared" si="47"/>
        <v>434410368</v>
      </c>
      <c r="C101" vm="787">
        <f t="shared" si="47"/>
        <v>419549440</v>
      </c>
      <c r="D101" vm="660">
        <f t="shared" si="47"/>
        <v>465381088</v>
      </c>
      <c r="E101" vm="533">
        <f t="shared" si="47"/>
        <v>575230208</v>
      </c>
      <c r="F101" vm="406">
        <f t="shared" si="47"/>
        <v>648590656</v>
      </c>
      <c r="G101" vm="281">
        <f t="shared" si="47"/>
        <v>679335872</v>
      </c>
      <c r="H101" vm="217">
        <f t="shared" si="47"/>
        <v>594895680</v>
      </c>
      <c r="I101" vm="2140">
        <f t="shared" si="47"/>
        <v>691777728</v>
      </c>
      <c r="J101" vm="2088">
        <f t="shared" si="47"/>
        <v>960728320</v>
      </c>
      <c r="K101" vm="2003">
        <f t="shared" si="47"/>
        <v>1109374720</v>
      </c>
      <c r="L101" vm="1882">
        <f t="shared" si="48"/>
        <v>1100685824</v>
      </c>
      <c r="M101" vm="1755">
        <f t="shared" si="48"/>
        <v>1114830464</v>
      </c>
      <c r="N101" vm="1691">
        <f t="shared" si="48"/>
        <v>1295361920</v>
      </c>
      <c r="O101" vm="1293">
        <f t="shared" si="48"/>
        <v>995104320</v>
      </c>
      <c r="P101" vm="1167">
        <f t="shared" si="48"/>
        <v>1087471872</v>
      </c>
      <c r="Q101" vm="1040">
        <f t="shared" si="48"/>
        <v>856890496</v>
      </c>
      <c r="R101" vm="913">
        <f t="shared" si="48"/>
        <v>490181472</v>
      </c>
      <c r="S101" vm="786">
        <f t="shared" si="48"/>
        <v>701307584</v>
      </c>
      <c r="T101" vm="659">
        <f t="shared" si="48"/>
        <v>1055083968</v>
      </c>
      <c r="U101" vm="532">
        <f t="shared" si="48"/>
        <v>932974400</v>
      </c>
      <c r="V101" vm="405">
        <f t="shared" si="49"/>
        <v>649644800</v>
      </c>
      <c r="W101" vm="280">
        <f t="shared" si="49"/>
        <v>779981440</v>
      </c>
      <c r="X101" vm="216">
        <f t="shared" si="49"/>
        <v>679998016</v>
      </c>
      <c r="Y101" vm="1636">
        <f t="shared" si="49"/>
        <v>768812352</v>
      </c>
      <c r="Z101" vm="1583">
        <f t="shared" si="49"/>
        <v>911915968</v>
      </c>
      <c r="AA101" vm="1530">
        <f t="shared" si="49"/>
        <v>870758720</v>
      </c>
      <c r="AB101" vm="1477">
        <f t="shared" si="49"/>
        <v>941742144</v>
      </c>
      <c r="AC101" vm="1391">
        <f t="shared" si="49"/>
        <v>850218048</v>
      </c>
      <c r="AD101" vm="2461">
        <f t="shared" si="49"/>
        <v>672375936</v>
      </c>
      <c r="AE101" vm="1292">
        <f t="shared" si="49"/>
        <v>669384768</v>
      </c>
      <c r="AF101" vm="1166">
        <f t="shared" si="50"/>
        <v>635873984</v>
      </c>
      <c r="AG101" vm="1039">
        <f t="shared" si="50"/>
        <v>1090467712</v>
      </c>
      <c r="AH101" vm="912">
        <f t="shared" si="50"/>
        <v>1253340544</v>
      </c>
      <c r="AI101" vm="785">
        <f t="shared" si="50"/>
        <v>1385810048</v>
      </c>
      <c r="AJ101" vm="658">
        <f t="shared" si="50"/>
        <v>1448536576</v>
      </c>
      <c r="AK101" vm="531">
        <f t="shared" si="50"/>
        <v>1650494336</v>
      </c>
      <c r="AL101" vm="404">
        <f t="shared" si="50"/>
        <v>1885112192</v>
      </c>
      <c r="AM101" vm="279">
        <f t="shared" si="50"/>
        <v>2158496768</v>
      </c>
      <c r="AN101" vm="215">
        <f t="shared" si="50"/>
        <v>2505458688</v>
      </c>
      <c r="AO101" vm="2358">
        <f t="shared" si="50"/>
        <v>2453899776</v>
      </c>
      <c r="AP101" vm="2294">
        <f t="shared" si="51"/>
        <v>2578026240</v>
      </c>
      <c r="AQ101" vm="2242">
        <f t="shared" si="51"/>
        <v>2942546688</v>
      </c>
      <c r="AR101" vm="2190">
        <f t="shared" si="51"/>
        <v>3801862656</v>
      </c>
      <c r="AS101" vm="2139">
        <f t="shared" si="51"/>
        <v>4920343040</v>
      </c>
      <c r="AT101" vm="2087">
        <f t="shared" si="51"/>
        <v>5015157760</v>
      </c>
      <c r="AU101" vm="1291">
        <f t="shared" si="51"/>
        <v>4218723840</v>
      </c>
      <c r="AV101" vm="1165">
        <f t="shared" si="51"/>
        <v>3674794496</v>
      </c>
      <c r="AW101" vm="1038">
        <f t="shared" si="51"/>
        <v>3739577856</v>
      </c>
      <c r="AX101" vm="911">
        <f t="shared" si="51"/>
        <v>4085114880</v>
      </c>
      <c r="AY101" vm="784">
        <f t="shared" si="51"/>
        <v>3941474304</v>
      </c>
      <c r="AZ101" vm="657">
        <f t="shared" si="51"/>
        <v>79389110976</v>
      </c>
    </row>
    <row r="102" spans="1:52" x14ac:dyDescent="0.45">
      <c r="A102" s="4" t="str" vm="120">
        <f>CUBEMEMBER("DESKTOP-KSAPEQM AS Model","[Geography].[Blocs].[Country].&amp;[South Africa]")</f>
        <v>South Africa</v>
      </c>
      <c r="B102" vm="530">
        <f t="shared" si="47"/>
        <v>18418393088</v>
      </c>
      <c r="C102" vm="403">
        <f t="shared" si="47"/>
        <v>20333690880</v>
      </c>
      <c r="D102" vm="278">
        <f t="shared" si="47"/>
        <v>21357436928</v>
      </c>
      <c r="E102" vm="214">
        <f t="shared" si="47"/>
        <v>29295675392</v>
      </c>
      <c r="F102" vm="2002">
        <f t="shared" si="47"/>
        <v>36807720960</v>
      </c>
      <c r="G102" vm="1881">
        <f t="shared" si="47"/>
        <v>38114541568</v>
      </c>
      <c r="H102" vm="1754">
        <f t="shared" si="47"/>
        <v>36603351040</v>
      </c>
      <c r="I102" vm="1690">
        <f t="shared" si="47"/>
        <v>40651350016</v>
      </c>
      <c r="J102" vm="1635">
        <f t="shared" si="47"/>
        <v>46739451904</v>
      </c>
      <c r="K102" vm="1582">
        <f t="shared" si="47"/>
        <v>57645719552</v>
      </c>
      <c r="L102" vm="1290">
        <f t="shared" si="48"/>
        <v>82980487168</v>
      </c>
      <c r="M102" vm="1164">
        <f t="shared" si="48"/>
        <v>85454422016</v>
      </c>
      <c r="N102" vm="1037">
        <f t="shared" si="48"/>
        <v>78423056384</v>
      </c>
      <c r="O102" vm="910">
        <f t="shared" si="48"/>
        <v>87415848960</v>
      </c>
      <c r="P102" vm="783">
        <f t="shared" si="48"/>
        <v>77344096256</v>
      </c>
      <c r="Q102" vm="656">
        <f t="shared" si="48"/>
        <v>59082637312</v>
      </c>
      <c r="R102" vm="529">
        <f t="shared" si="48"/>
        <v>67521601536</v>
      </c>
      <c r="S102" vm="402">
        <f t="shared" si="48"/>
        <v>88573698048</v>
      </c>
      <c r="T102" vm="277">
        <f t="shared" si="48"/>
        <v>95176638464</v>
      </c>
      <c r="U102" vm="213">
        <f t="shared" si="48"/>
        <v>99030859776</v>
      </c>
      <c r="V102" vm="1529">
        <f t="shared" si="49"/>
        <v>115552346112</v>
      </c>
      <c r="W102" vm="1476">
        <f t="shared" si="49"/>
        <v>123942756352</v>
      </c>
      <c r="X102" vm="1390">
        <f t="shared" si="49"/>
        <v>134544564224</v>
      </c>
      <c r="Y102" vm="3767">
        <f t="shared" si="49"/>
        <v>134308052992</v>
      </c>
      <c r="Z102" vm="2357">
        <f t="shared" si="49"/>
        <v>139752521728</v>
      </c>
      <c r="AA102" vm="2293">
        <f t="shared" si="49"/>
        <v>155460927488</v>
      </c>
      <c r="AB102" vm="1289">
        <f t="shared" si="49"/>
        <v>147606290432</v>
      </c>
      <c r="AC102" vm="1163">
        <f t="shared" si="49"/>
        <v>152587419648</v>
      </c>
      <c r="AD102" vm="1036">
        <f t="shared" si="49"/>
        <v>137774759936</v>
      </c>
      <c r="AE102" vm="909">
        <f t="shared" si="49"/>
        <v>136632320000</v>
      </c>
      <c r="AF102" vm="782">
        <f t="shared" si="50"/>
        <v>136361295872</v>
      </c>
      <c r="AG102" vm="655">
        <f t="shared" si="50"/>
        <v>121514655744</v>
      </c>
      <c r="AH102" vm="528">
        <f t="shared" si="50"/>
        <v>115482370048</v>
      </c>
      <c r="AI102" vm="401">
        <f t="shared" si="50"/>
        <v>175256911872</v>
      </c>
      <c r="AJ102" vm="276">
        <f t="shared" si="50"/>
        <v>228590026752</v>
      </c>
      <c r="AK102" vm="212">
        <f t="shared" si="50"/>
        <v>257772716032</v>
      </c>
      <c r="AL102" vm="2241">
        <f t="shared" si="50"/>
        <v>271638478848</v>
      </c>
      <c r="AM102" vm="2189">
        <f t="shared" si="50"/>
        <v>299415502848</v>
      </c>
      <c r="AN102" vm="2138">
        <f t="shared" si="50"/>
        <v>286769840128</v>
      </c>
      <c r="AO102" vm="2086">
        <f t="shared" si="50"/>
        <v>295936491520</v>
      </c>
      <c r="AP102" vm="2001">
        <f t="shared" si="51"/>
        <v>375349444608</v>
      </c>
      <c r="AQ102" vm="1880">
        <f t="shared" si="51"/>
        <v>416418889728</v>
      </c>
      <c r="AR102" vm="1288">
        <f t="shared" si="51"/>
        <v>396332695552</v>
      </c>
      <c r="AS102" vm="1162">
        <f t="shared" si="51"/>
        <v>366829404160</v>
      </c>
      <c r="AT102" vm="1035">
        <f t="shared" si="51"/>
        <v>350904582144</v>
      </c>
      <c r="AU102" vm="908">
        <f t="shared" si="51"/>
        <v>317620518912</v>
      </c>
      <c r="AV102" vm="781">
        <f t="shared" si="51"/>
        <v>296357298176</v>
      </c>
      <c r="AW102" vm="654">
        <f t="shared" si="51"/>
        <v>349554114560</v>
      </c>
      <c r="AX102" vm="527">
        <f t="shared" si="51"/>
        <v>368288923648</v>
      </c>
      <c r="AY102" vm="400">
        <f t="shared" si="51"/>
        <v>351431655424</v>
      </c>
      <c r="AZ102" vm="275">
        <f t="shared" si="51"/>
        <v>8322958452736</v>
      </c>
    </row>
    <row r="103" spans="1:52" x14ac:dyDescent="0.45">
      <c r="A103" s="4" t="str" vm="105">
        <f>CUBEMEMBER("DESKTOP-KSAPEQM AS Model","[Geography].[Blocs].[Country].&amp;[Sri Lanka]")</f>
        <v>Sri Lanka</v>
      </c>
      <c r="B103" vm="211">
        <f t="shared" si="47"/>
        <v>2296470528</v>
      </c>
      <c r="C103" vm="1753">
        <f t="shared" si="47"/>
        <v>2369308672</v>
      </c>
      <c r="D103" vm="1689">
        <f t="shared" si="47"/>
        <v>2553936384</v>
      </c>
      <c r="E103" vm="1634">
        <f t="shared" si="47"/>
        <v>2875624960</v>
      </c>
      <c r="F103" vm="1581">
        <f t="shared" si="47"/>
        <v>3574586368</v>
      </c>
      <c r="G103" vm="1528">
        <f t="shared" si="47"/>
        <v>3791298048</v>
      </c>
      <c r="H103" vm="1475">
        <f t="shared" si="47"/>
        <v>3591319808</v>
      </c>
      <c r="I103" vm="1287">
        <f t="shared" si="47"/>
        <v>4104509696</v>
      </c>
      <c r="J103" vm="1161">
        <f t="shared" si="47"/>
        <v>2733183744</v>
      </c>
      <c r="K103" vm="1034">
        <f t="shared" si="47"/>
        <v>3364611328</v>
      </c>
      <c r="L103" vm="907">
        <f t="shared" si="48"/>
        <v>4024621824</v>
      </c>
      <c r="M103" vm="780">
        <f t="shared" si="48"/>
        <v>4415844352</v>
      </c>
      <c r="N103" vm="653">
        <f t="shared" si="48"/>
        <v>4768764928</v>
      </c>
      <c r="O103" vm="526">
        <f t="shared" si="48"/>
        <v>5167913472</v>
      </c>
      <c r="P103" vm="399">
        <f t="shared" si="48"/>
        <v>6043474944</v>
      </c>
      <c r="Q103" vm="274">
        <f t="shared" si="48"/>
        <v>5978461184</v>
      </c>
      <c r="R103" vm="210">
        <f t="shared" si="48"/>
        <v>6405210624</v>
      </c>
      <c r="S103" vm="1389">
        <f t="shared" si="48"/>
        <v>6682167296</v>
      </c>
      <c r="T103" vm="3884">
        <f t="shared" si="48"/>
        <v>6978371584</v>
      </c>
      <c r="U103" vm="2356">
        <f t="shared" si="48"/>
        <v>6987267584</v>
      </c>
      <c r="V103" vm="2292">
        <f t="shared" si="49"/>
        <v>8032551424</v>
      </c>
      <c r="W103" vm="2240">
        <f t="shared" si="49"/>
        <v>9000363008</v>
      </c>
      <c r="X103" vm="2188">
        <f t="shared" si="49"/>
        <v>9703011328</v>
      </c>
      <c r="Y103" vm="1286">
        <f t="shared" si="49"/>
        <v>10338679808</v>
      </c>
      <c r="Z103" vm="1160">
        <f t="shared" si="49"/>
        <v>11717604352</v>
      </c>
      <c r="AA103" vm="1033">
        <f t="shared" si="49"/>
        <v>13029697536</v>
      </c>
      <c r="AB103" vm="906">
        <f t="shared" si="49"/>
        <v>13897738240</v>
      </c>
      <c r="AC103" vm="779">
        <f t="shared" si="49"/>
        <v>15091913728</v>
      </c>
      <c r="AD103" vm="652">
        <f t="shared" si="49"/>
        <v>15794972672</v>
      </c>
      <c r="AE103" vm="525">
        <f t="shared" si="49"/>
        <v>15656328192</v>
      </c>
      <c r="AF103" vm="398">
        <f t="shared" si="50"/>
        <v>16330814464</v>
      </c>
      <c r="AG103" vm="273">
        <f t="shared" si="50"/>
        <v>15749753856</v>
      </c>
      <c r="AH103" vm="209">
        <f t="shared" si="50"/>
        <v>16536536064</v>
      </c>
      <c r="AI103" vm="2137">
        <f t="shared" si="50"/>
        <v>18881765376</v>
      </c>
      <c r="AJ103" vm="2085">
        <f t="shared" si="50"/>
        <v>20662525952</v>
      </c>
      <c r="AK103" vm="2000">
        <f t="shared" si="50"/>
        <v>24405790720</v>
      </c>
      <c r="AL103" vm="1879">
        <f t="shared" si="50"/>
        <v>28279814144</v>
      </c>
      <c r="AM103" vm="1752">
        <f t="shared" si="50"/>
        <v>32350248960</v>
      </c>
      <c r="AN103" vm="1688">
        <f t="shared" si="50"/>
        <v>40713814016</v>
      </c>
      <c r="AO103" vm="1285">
        <f t="shared" si="50"/>
        <v>42066219008</v>
      </c>
      <c r="AP103" vm="1159">
        <f t="shared" si="51"/>
        <v>56725749760</v>
      </c>
      <c r="AQ103" vm="1032">
        <f t="shared" si="51"/>
        <v>65292754944</v>
      </c>
      <c r="AR103" vm="905">
        <f t="shared" si="51"/>
        <v>68434407424</v>
      </c>
      <c r="AS103" vm="778">
        <f t="shared" si="51"/>
        <v>74317807616</v>
      </c>
      <c r="AT103" vm="651">
        <f t="shared" si="51"/>
        <v>79356452864</v>
      </c>
      <c r="AU103" vm="524">
        <f t="shared" si="51"/>
        <v>80604078080</v>
      </c>
      <c r="AV103" vm="397">
        <f t="shared" si="51"/>
        <v>82401042432</v>
      </c>
      <c r="AW103" vm="272">
        <f t="shared" si="51"/>
        <v>87428128768</v>
      </c>
      <c r="AX103" vm="208">
        <f t="shared" si="51"/>
        <v>88425889792</v>
      </c>
      <c r="AY103" vm="1633">
        <f t="shared" si="51"/>
        <v>84008779776</v>
      </c>
      <c r="AZ103" vm="1580">
        <f t="shared" si="51"/>
        <v>1233942181632</v>
      </c>
    </row>
    <row r="104" spans="1:52" x14ac:dyDescent="0.45">
      <c r="A104" s="4" t="str" vm="110">
        <f>CUBEMEMBER("DESKTOP-KSAPEQM AS Model","[Geography].[Blocs].[Country].&amp;[Sudan (Former)]")</f>
        <v>Sudan (Former)</v>
      </c>
      <c r="B104" vm="1527">
        <f t="shared" si="47"/>
        <v>2437666560</v>
      </c>
      <c r="C104" vm="1474">
        <f t="shared" si="47"/>
        <v>2656000000</v>
      </c>
      <c r="D104" vm="1388">
        <f t="shared" si="47"/>
        <v>2881999872</v>
      </c>
      <c r="E104" vm="3674">
        <f t="shared" si="47"/>
        <v>3571666688</v>
      </c>
      <c r="F104" vm="1284">
        <f t="shared" si="47"/>
        <v>4594999808</v>
      </c>
      <c r="G104" vm="1158">
        <f t="shared" si="47"/>
        <v>5598000128</v>
      </c>
      <c r="H104" vm="1031">
        <f t="shared" si="47"/>
        <v>6979333120</v>
      </c>
      <c r="I104" vm="904">
        <f t="shared" si="47"/>
        <v>8704000000</v>
      </c>
      <c r="J104" vm="777">
        <f t="shared" si="47"/>
        <v>7670499840</v>
      </c>
      <c r="K104" vm="650">
        <f t="shared" si="47"/>
        <v>9032250368</v>
      </c>
      <c r="L104" vm="523">
        <f t="shared" si="48"/>
        <v>7459833344</v>
      </c>
      <c r="M104" vm="396">
        <f t="shared" si="48"/>
        <v>10016499712</v>
      </c>
      <c r="N104" vm="271">
        <f t="shared" si="48"/>
        <v>9240000512</v>
      </c>
      <c r="O104" vm="207">
        <f t="shared" si="48"/>
        <v>8230153728</v>
      </c>
      <c r="P104" vm="2355">
        <f t="shared" si="48"/>
        <v>9701357568</v>
      </c>
      <c r="Q104" vm="2291">
        <f t="shared" si="48"/>
        <v>12403733504</v>
      </c>
      <c r="R104" vm="2239">
        <f t="shared" si="48"/>
        <v>15769062400</v>
      </c>
      <c r="S104" vm="2187">
        <f t="shared" si="48"/>
        <v>20155555840</v>
      </c>
      <c r="T104" vm="2136">
        <f t="shared" si="48"/>
        <v>15399166976</v>
      </c>
      <c r="U104" vm="2084">
        <f t="shared" si="48"/>
        <v>15291507712</v>
      </c>
      <c r="V104" vm="1283">
        <f t="shared" si="49"/>
        <v>12408647680</v>
      </c>
      <c r="W104" vm="1157">
        <f t="shared" si="49"/>
        <v>11379222528</v>
      </c>
      <c r="X104" vm="1030">
        <f t="shared" si="49"/>
        <v>7034219520</v>
      </c>
      <c r="Y104" vm="903">
        <f t="shared" si="49"/>
        <v>8881785856</v>
      </c>
      <c r="Z104" vm="776">
        <f t="shared" si="49"/>
        <v>12794191872</v>
      </c>
      <c r="AA104" vm="649">
        <f t="shared" si="49"/>
        <v>13829744640</v>
      </c>
      <c r="AB104" vm="522">
        <f t="shared" si="49"/>
        <v>9018243072</v>
      </c>
      <c r="AC104" vm="395">
        <f t="shared" si="49"/>
        <v>11681495040</v>
      </c>
      <c r="AD104" vm="270">
        <f t="shared" si="49"/>
        <v>11250327552</v>
      </c>
      <c r="AE104" vm="206">
        <f t="shared" si="49"/>
        <v>10682045440</v>
      </c>
      <c r="AF104" vm="1999">
        <f t="shared" si="50"/>
        <v>12257418240</v>
      </c>
      <c r="AG104" vm="1878">
        <f t="shared" si="50"/>
        <v>13182980096</v>
      </c>
      <c r="AH104" vm="1751">
        <f t="shared" si="50"/>
        <v>14803188736</v>
      </c>
      <c r="AI104" vm="1687">
        <f t="shared" si="50"/>
        <v>17646503936</v>
      </c>
      <c r="AJ104" vm="1632">
        <f t="shared" si="50"/>
        <v>21457469440</v>
      </c>
      <c r="AK104" vm="1579">
        <f t="shared" si="50"/>
        <v>26524538880</v>
      </c>
      <c r="AL104" vm="1282">
        <f t="shared" si="50"/>
        <v>35822407680</v>
      </c>
      <c r="AM104" vm="1156">
        <f t="shared" si="50"/>
        <v>45898948608</v>
      </c>
      <c r="AN104" vm="1029">
        <f t="shared" si="50"/>
        <v>54526578688</v>
      </c>
      <c r="AO104" vm="902">
        <f t="shared" si="50"/>
        <v>49957203968</v>
      </c>
      <c r="AP104" vm="775">
        <f t="shared" si="51"/>
        <v>61739814912</v>
      </c>
      <c r="AQ104" vm="648">
        <f t="shared" si="51"/>
        <v>57891983360</v>
      </c>
      <c r="AR104" vm="521">
        <f t="shared" si="51"/>
        <v>52766720000</v>
      </c>
      <c r="AS104" vm="394">
        <f t="shared" si="51"/>
        <v>57730424832</v>
      </c>
      <c r="AT104" vm="269">
        <f t="shared" si="51"/>
        <v>64941776896</v>
      </c>
      <c r="AU104" vm="205">
        <f t="shared" si="51"/>
        <v>74294468608</v>
      </c>
      <c r="AV104" vm="1526">
        <f t="shared" si="51"/>
        <v>51772231680</v>
      </c>
      <c r="AW104" vm="1473">
        <f t="shared" si="51"/>
        <v>45379129344</v>
      </c>
      <c r="AX104" vm="1387">
        <f t="shared" si="51"/>
        <v>26078607360</v>
      </c>
      <c r="AY104" vm="3569">
        <f t="shared" si="51"/>
        <v>18902284288</v>
      </c>
      <c r="AZ104" vm="2354">
        <f t="shared" si="51"/>
        <v>1090327890432</v>
      </c>
    </row>
    <row r="105" spans="1:52" x14ac:dyDescent="0.45">
      <c r="A105" s="4" t="str" vm="36">
        <f>CUBEMEMBER("DESKTOP-KSAPEQM AS Model","[Geography].[Blocs].[Country].&amp;[Suriname]")</f>
        <v>Suriname</v>
      </c>
      <c r="B105" vm="2290">
        <f t="shared" si="47"/>
        <v>274900000</v>
      </c>
      <c r="C105" vm="1281">
        <f t="shared" si="47"/>
        <v>301000000</v>
      </c>
      <c r="D105" vm="1155">
        <f t="shared" si="47"/>
        <v>311950016</v>
      </c>
      <c r="E105" vm="1028">
        <f t="shared" si="47"/>
        <v>339449984</v>
      </c>
      <c r="F105" vm="901">
        <f t="shared" si="47"/>
        <v>409849984</v>
      </c>
      <c r="G105" vm="774">
        <f t="shared" si="47"/>
        <v>465500000</v>
      </c>
      <c r="H105" vm="647">
        <f t="shared" si="47"/>
        <v>505500000</v>
      </c>
      <c r="I105" vm="520">
        <f t="shared" si="47"/>
        <v>641500032</v>
      </c>
      <c r="J105" vm="393">
        <f t="shared" si="47"/>
        <v>735500032</v>
      </c>
      <c r="K105" vm="268">
        <f t="shared" si="47"/>
        <v>782499968</v>
      </c>
      <c r="L105" vm="204">
        <f t="shared" si="48"/>
        <v>795000000</v>
      </c>
      <c r="M105" vm="2238">
        <f t="shared" si="48"/>
        <v>889000000</v>
      </c>
      <c r="N105" vm="2186">
        <f t="shared" si="48"/>
        <v>915000000</v>
      </c>
      <c r="O105" vm="2135">
        <f t="shared" si="48"/>
        <v>883500032</v>
      </c>
      <c r="P105" vm="2083">
        <f t="shared" si="48"/>
        <v>864000000</v>
      </c>
      <c r="Q105" vm="1998">
        <f t="shared" si="48"/>
        <v>873000000</v>
      </c>
      <c r="R105" vm="1877">
        <f t="shared" si="48"/>
        <v>891000000</v>
      </c>
      <c r="S105" vm="1280">
        <f t="shared" si="48"/>
        <v>980000000</v>
      </c>
      <c r="T105" vm="1154">
        <f t="shared" si="48"/>
        <v>1160999936</v>
      </c>
      <c r="U105" vm="1027">
        <f t="shared" si="48"/>
        <v>542600000</v>
      </c>
      <c r="V105" vm="900">
        <f t="shared" si="49"/>
        <v>388400000</v>
      </c>
      <c r="W105" vm="773">
        <f t="shared" si="49"/>
        <v>448100000</v>
      </c>
      <c r="X105" vm="646">
        <f t="shared" si="49"/>
        <v>404600000</v>
      </c>
      <c r="Y105" vm="519">
        <f t="shared" si="49"/>
        <v>428764704</v>
      </c>
      <c r="Z105" vm="392">
        <f t="shared" si="49"/>
        <v>605492544</v>
      </c>
      <c r="AA105" vm="267">
        <f t="shared" si="49"/>
        <v>691590528</v>
      </c>
      <c r="AB105" vm="203">
        <f t="shared" si="49"/>
        <v>861411456</v>
      </c>
      <c r="AC105" vm="1750">
        <f t="shared" si="49"/>
        <v>926422528</v>
      </c>
      <c r="AD105" vm="1686">
        <f t="shared" si="49"/>
        <v>1110850048</v>
      </c>
      <c r="AE105" vm="1631">
        <f t="shared" si="49"/>
        <v>886290688</v>
      </c>
      <c r="AF105" vm="1578">
        <f t="shared" si="50"/>
        <v>947672000</v>
      </c>
      <c r="AG105" vm="1525">
        <f t="shared" si="50"/>
        <v>834279360</v>
      </c>
      <c r="AH105" vm="1472">
        <f t="shared" si="50"/>
        <v>1093574528</v>
      </c>
      <c r="AI105" vm="1279">
        <f t="shared" si="50"/>
        <v>1274190336</v>
      </c>
      <c r="AJ105" vm="1153">
        <f t="shared" si="50"/>
        <v>1484092544</v>
      </c>
      <c r="AK105" vm="1026">
        <f t="shared" si="50"/>
        <v>1793388672</v>
      </c>
      <c r="AL105" vm="899">
        <f t="shared" si="50"/>
        <v>2626380544</v>
      </c>
      <c r="AM105" vm="772">
        <f t="shared" si="50"/>
        <v>2936612096</v>
      </c>
      <c r="AN105" vm="645">
        <f t="shared" si="50"/>
        <v>3532968960</v>
      </c>
      <c r="AO105" vm="518">
        <f t="shared" si="50"/>
        <v>3875409920</v>
      </c>
      <c r="AP105" vm="391">
        <f t="shared" si="51"/>
        <v>4368397824</v>
      </c>
      <c r="AQ105" vm="266">
        <f t="shared" si="51"/>
        <v>4422276608</v>
      </c>
      <c r="AR105" vm="202">
        <f t="shared" si="51"/>
        <v>4979999744</v>
      </c>
      <c r="AS105" vm="1386">
        <f t="shared" si="51"/>
        <v>5145757696</v>
      </c>
      <c r="AT105" vm="3490">
        <f t="shared" si="51"/>
        <v>5240606208</v>
      </c>
      <c r="AU105" vm="2353">
        <f t="shared" si="51"/>
        <v>4787367936</v>
      </c>
      <c r="AV105" vm="2289">
        <f t="shared" si="51"/>
        <v>3128953600</v>
      </c>
      <c r="AW105" vm="2237">
        <f t="shared" si="51"/>
        <v>3210064384</v>
      </c>
      <c r="AX105" vm="2185">
        <f t="shared" si="51"/>
        <v>3458090496</v>
      </c>
      <c r="AY105" vm="1278">
        <f t="shared" si="51"/>
        <v>3985250816</v>
      </c>
      <c r="AZ105" vm="1152">
        <f t="shared" si="51"/>
        <v>83439006752</v>
      </c>
    </row>
    <row r="106" spans="1:52" x14ac:dyDescent="0.45">
      <c r="A106" s="4" t="str" vm="97">
        <f>CUBEMEMBER("DESKTOP-KSAPEQM AS Model","[Geography].[Blocs].[Country].&amp;[Swaziland]")</f>
        <v>Swaziland</v>
      </c>
      <c r="B106" vm="1025">
        <f t="shared" si="47"/>
        <v>112137760</v>
      </c>
      <c r="C106" vm="898">
        <f t="shared" si="47"/>
        <v>136465328</v>
      </c>
      <c r="D106" vm="771">
        <f t="shared" si="47"/>
        <v>146741248</v>
      </c>
      <c r="E106" vm="644">
        <f t="shared" si="47"/>
        <v>221902016</v>
      </c>
      <c r="F106" vm="517">
        <f t="shared" si="47"/>
        <v>264312000</v>
      </c>
      <c r="G106" vm="390">
        <f t="shared" si="47"/>
        <v>288302912</v>
      </c>
      <c r="H106" vm="265">
        <f t="shared" si="47"/>
        <v>272539104</v>
      </c>
      <c r="I106" vm="201">
        <f t="shared" si="47"/>
        <v>304047840</v>
      </c>
      <c r="J106" vm="2134">
        <f t="shared" si="47"/>
        <v>340616384</v>
      </c>
      <c r="K106" vm="2082">
        <f t="shared" si="47"/>
        <v>412093120</v>
      </c>
      <c r="L106" vm="1997">
        <f t="shared" si="48"/>
        <v>542000512</v>
      </c>
      <c r="M106" vm="1876">
        <f t="shared" si="48"/>
        <v>571542656</v>
      </c>
      <c r="N106" vm="1749">
        <f t="shared" si="48"/>
        <v>537576000</v>
      </c>
      <c r="O106" vm="1685">
        <f t="shared" si="48"/>
        <v>555336128</v>
      </c>
      <c r="P106" vm="1277">
        <f t="shared" si="48"/>
        <v>494475712</v>
      </c>
      <c r="Q106" vm="1151">
        <f t="shared" si="48"/>
        <v>361014880</v>
      </c>
      <c r="R106" vm="1024">
        <f t="shared" si="48"/>
        <v>449146624</v>
      </c>
      <c r="S106" vm="897">
        <f t="shared" si="48"/>
        <v>584135552</v>
      </c>
      <c r="T106" vm="770">
        <f t="shared" si="48"/>
        <v>692016704</v>
      </c>
      <c r="U106" vm="643">
        <f t="shared" si="48"/>
        <v>696915456</v>
      </c>
      <c r="V106" vm="516">
        <f t="shared" si="49"/>
        <v>1114703104</v>
      </c>
      <c r="W106" vm="389">
        <f t="shared" si="49"/>
        <v>1156141952</v>
      </c>
      <c r="X106" vm="264">
        <f t="shared" si="49"/>
        <v>1284766208</v>
      </c>
      <c r="Y106" vm="200">
        <f t="shared" si="49"/>
        <v>1357207040</v>
      </c>
      <c r="Z106" vm="1630">
        <f t="shared" si="49"/>
        <v>1419293440</v>
      </c>
      <c r="AA106" vm="1577">
        <f t="shared" si="49"/>
        <v>1698982400</v>
      </c>
      <c r="AB106" vm="1524">
        <f t="shared" si="49"/>
        <v>1602760064</v>
      </c>
      <c r="AC106" vm="1471">
        <f t="shared" si="49"/>
        <v>1716699904</v>
      </c>
      <c r="AD106" vm="1385">
        <f t="shared" si="49"/>
        <v>1576904320</v>
      </c>
      <c r="AE106" vm="3413">
        <f t="shared" si="49"/>
        <v>1547884416</v>
      </c>
      <c r="AF106" vm="1276">
        <f t="shared" si="50"/>
        <v>1738100864</v>
      </c>
      <c r="AG106" vm="1150">
        <f t="shared" si="50"/>
        <v>1542477312</v>
      </c>
      <c r="AH106" vm="1023">
        <f t="shared" si="50"/>
        <v>1432228224</v>
      </c>
      <c r="AI106" vm="896">
        <f t="shared" si="50"/>
        <v>2197612800</v>
      </c>
      <c r="AJ106" vm="769">
        <f t="shared" si="50"/>
        <v>2770082816</v>
      </c>
      <c r="AK106" vm="642">
        <f t="shared" si="50"/>
        <v>3178126592</v>
      </c>
      <c r="AL106" vm="515">
        <f t="shared" si="50"/>
        <v>3291353856</v>
      </c>
      <c r="AM106" vm="388">
        <f t="shared" si="50"/>
        <v>3469363968</v>
      </c>
      <c r="AN106" vm="263">
        <f t="shared" si="50"/>
        <v>3294093312</v>
      </c>
      <c r="AO106" vm="199">
        <f t="shared" si="50"/>
        <v>3580417280</v>
      </c>
      <c r="AP106" vm="2352">
        <f t="shared" si="51"/>
        <v>4438778368</v>
      </c>
      <c r="AQ106" vm="2288">
        <f t="shared" si="51"/>
        <v>4820499456</v>
      </c>
      <c r="AR106" vm="2236">
        <f t="shared" si="51"/>
        <v>4886658560</v>
      </c>
      <c r="AS106" vm="2184">
        <f t="shared" si="51"/>
        <v>4597702656</v>
      </c>
      <c r="AT106" vm="2133">
        <f t="shared" si="51"/>
        <v>4422304768</v>
      </c>
      <c r="AU106" vm="2081">
        <f t="shared" si="51"/>
        <v>4073391104</v>
      </c>
      <c r="AV106" vm="1275">
        <f t="shared" si="51"/>
        <v>3840677888</v>
      </c>
      <c r="AW106" vm="1149">
        <f t="shared" si="51"/>
        <v>4446248448</v>
      </c>
      <c r="AX106" vm="1022">
        <f t="shared" si="51"/>
        <v>4710618624</v>
      </c>
      <c r="AY106" vm="895">
        <f t="shared" si="51"/>
        <v>4405405696</v>
      </c>
      <c r="AZ106" vm="768">
        <f t="shared" si="51"/>
        <v>93594803376</v>
      </c>
    </row>
    <row r="107" spans="1:52" x14ac:dyDescent="0.45">
      <c r="A107" s="4" t="str" vm="88">
        <f>CUBEMEMBER("DESKTOP-KSAPEQM AS Model","[Geography].[Blocs].[Country].&amp;[Thailand]")</f>
        <v>Thailand</v>
      </c>
      <c r="B107" vm="641">
        <f t="shared" si="47"/>
        <v>7086538240</v>
      </c>
      <c r="C107" vm="514">
        <f t="shared" si="47"/>
        <v>7375000064</v>
      </c>
      <c r="D107" vm="387">
        <f t="shared" si="47"/>
        <v>8177884672</v>
      </c>
      <c r="E107" vm="262">
        <f t="shared" si="47"/>
        <v>10838587392</v>
      </c>
      <c r="F107" vm="198">
        <f t="shared" si="47"/>
        <v>13703000064</v>
      </c>
      <c r="G107" vm="1996">
        <f t="shared" si="47"/>
        <v>14882748416</v>
      </c>
      <c r="H107" vm="1875">
        <f t="shared" si="47"/>
        <v>16985210880</v>
      </c>
      <c r="I107" vm="1748">
        <f t="shared" si="47"/>
        <v>19779315712</v>
      </c>
      <c r="J107" vm="1684">
        <f t="shared" si="47"/>
        <v>24006569984</v>
      </c>
      <c r="K107" vm="1629">
        <f t="shared" si="47"/>
        <v>27371698176</v>
      </c>
      <c r="L107" vm="1576">
        <f t="shared" si="48"/>
        <v>32353439744</v>
      </c>
      <c r="M107" vm="1274">
        <f t="shared" si="48"/>
        <v>34846109696</v>
      </c>
      <c r="N107" vm="1148">
        <f t="shared" si="48"/>
        <v>36589797376</v>
      </c>
      <c r="O107" vm="1021">
        <f t="shared" si="48"/>
        <v>40042827776</v>
      </c>
      <c r="P107" vm="894">
        <f t="shared" si="48"/>
        <v>41797591040</v>
      </c>
      <c r="Q107" vm="767">
        <f t="shared" si="48"/>
        <v>38900690944</v>
      </c>
      <c r="R107" vm="640">
        <f t="shared" si="48"/>
        <v>43096748032</v>
      </c>
      <c r="S107" vm="513">
        <f t="shared" si="48"/>
        <v>50535440384</v>
      </c>
      <c r="T107" vm="386">
        <f t="shared" si="48"/>
        <v>61667201024</v>
      </c>
      <c r="U107" vm="261">
        <f t="shared" si="48"/>
        <v>72250875904</v>
      </c>
      <c r="V107" vm="197">
        <f t="shared" si="49"/>
        <v>85343059968</v>
      </c>
      <c r="W107" vm="1523">
        <f t="shared" si="49"/>
        <v>98234695680</v>
      </c>
      <c r="X107" vm="1470">
        <f t="shared" si="49"/>
        <v>111452872704</v>
      </c>
      <c r="Y107" vm="1384">
        <f t="shared" si="49"/>
        <v>128889315328</v>
      </c>
      <c r="Z107" vm="3325">
        <f t="shared" si="49"/>
        <v>146683494400</v>
      </c>
      <c r="AA107" vm="2351">
        <f t="shared" si="49"/>
        <v>169278750720</v>
      </c>
      <c r="AB107" vm="2287">
        <f t="shared" si="49"/>
        <v>183035117568</v>
      </c>
      <c r="AC107" vm="1273">
        <f t="shared" si="49"/>
        <v>150180626432</v>
      </c>
      <c r="AD107" vm="1147">
        <f t="shared" si="49"/>
        <v>113675558912</v>
      </c>
      <c r="AE107" vm="1020">
        <f t="shared" si="49"/>
        <v>126669062144</v>
      </c>
      <c r="AF107" vm="893">
        <f t="shared" si="50"/>
        <v>126392229888</v>
      </c>
      <c r="AG107" vm="766">
        <f t="shared" si="50"/>
        <v>120296472576</v>
      </c>
      <c r="AH107" vm="639">
        <f t="shared" si="50"/>
        <v>134300852224</v>
      </c>
      <c r="AI107" vm="512">
        <f t="shared" si="50"/>
        <v>152280678400</v>
      </c>
      <c r="AJ107" vm="385">
        <f t="shared" si="50"/>
        <v>172895748096</v>
      </c>
      <c r="AK107" vm="260">
        <f t="shared" si="50"/>
        <v>189318545408</v>
      </c>
      <c r="AL107" vm="196">
        <f t="shared" si="50"/>
        <v>221758193664</v>
      </c>
      <c r="AM107" vm="2235">
        <f t="shared" si="50"/>
        <v>262942474240</v>
      </c>
      <c r="AN107" vm="2183">
        <f t="shared" si="50"/>
        <v>291382984704</v>
      </c>
      <c r="AO107" vm="2132">
        <f t="shared" si="50"/>
        <v>281710428160</v>
      </c>
      <c r="AP107" vm="2080">
        <f t="shared" si="51"/>
        <v>341104820224</v>
      </c>
      <c r="AQ107" vm="1995">
        <f t="shared" si="51"/>
        <v>370819137536</v>
      </c>
      <c r="AR107" vm="1874">
        <f t="shared" si="51"/>
        <v>397558218752</v>
      </c>
      <c r="AS107" vm="1272">
        <f t="shared" si="51"/>
        <v>420333191168</v>
      </c>
      <c r="AT107" vm="1146">
        <f t="shared" si="51"/>
        <v>407339368448</v>
      </c>
      <c r="AU107" vm="1019">
        <f t="shared" si="51"/>
        <v>401295933440</v>
      </c>
      <c r="AV107" vm="892">
        <f t="shared" si="51"/>
        <v>413430120448</v>
      </c>
      <c r="AW107" vm="765">
        <f t="shared" si="51"/>
        <v>456294694912</v>
      </c>
      <c r="AX107" vm="638">
        <f t="shared" si="51"/>
        <v>506514112512</v>
      </c>
      <c r="AY107" vm="511">
        <f t="shared" si="51"/>
        <v>543649988608</v>
      </c>
      <c r="AZ107" vm="384">
        <f t="shared" si="51"/>
        <v>8127348022784</v>
      </c>
    </row>
    <row r="108" spans="1:52" x14ac:dyDescent="0.45">
      <c r="A108" s="4" t="str" vm="79">
        <f>CUBEMEMBER("DESKTOP-KSAPEQM AS Model","[Geography].[Blocs].[Country].&amp;[Togo]")</f>
        <v>Togo</v>
      </c>
      <c r="B108" vm="259">
        <f t="shared" si="47"/>
        <v>253976624</v>
      </c>
      <c r="C108" vm="195">
        <f t="shared" si="47"/>
        <v>286537536</v>
      </c>
      <c r="D108" vm="1747">
        <f t="shared" si="47"/>
        <v>335677632</v>
      </c>
      <c r="E108" vm="1683">
        <f t="shared" si="47"/>
        <v>406479904</v>
      </c>
      <c r="F108" vm="1628">
        <f t="shared" si="47"/>
        <v>560437760</v>
      </c>
      <c r="G108" vm="1575">
        <f t="shared" si="47"/>
        <v>617321664</v>
      </c>
      <c r="H108" vm="1522">
        <f t="shared" si="47"/>
        <v>619375104</v>
      </c>
      <c r="I108" vm="1469">
        <f t="shared" si="47"/>
        <v>777435008</v>
      </c>
      <c r="J108" vm="1271">
        <f t="shared" si="47"/>
        <v>824263872</v>
      </c>
      <c r="K108" vm="1145">
        <f t="shared" si="47"/>
        <v>891775936</v>
      </c>
      <c r="L108" vm="1018">
        <f t="shared" si="48"/>
        <v>1136408832</v>
      </c>
      <c r="M108" vm="891">
        <f t="shared" si="48"/>
        <v>962347008</v>
      </c>
      <c r="N108" vm="764">
        <f t="shared" si="48"/>
        <v>821651904</v>
      </c>
      <c r="O108" vm="637">
        <f t="shared" si="48"/>
        <v>765746560</v>
      </c>
      <c r="P108" vm="510">
        <f t="shared" si="48"/>
        <v>718148928</v>
      </c>
      <c r="Q108" vm="383">
        <f t="shared" si="48"/>
        <v>762359744</v>
      </c>
      <c r="R108" vm="258">
        <f t="shared" si="48"/>
        <v>1060911744</v>
      </c>
      <c r="S108" vm="194">
        <f t="shared" si="48"/>
        <v>1249099136</v>
      </c>
      <c r="T108" vm="1383">
        <f t="shared" si="48"/>
        <v>1378847488</v>
      </c>
      <c r="U108" vm="3198">
        <f t="shared" si="48"/>
        <v>1352949632</v>
      </c>
      <c r="V108" vm="2350">
        <f t="shared" si="49"/>
        <v>1628427520</v>
      </c>
      <c r="W108" vm="2286">
        <f t="shared" si="49"/>
        <v>1602299904</v>
      </c>
      <c r="X108" vm="2234">
        <f t="shared" si="49"/>
        <v>1692959104</v>
      </c>
      <c r="Y108" vm="2182">
        <f t="shared" si="49"/>
        <v>1233496832</v>
      </c>
      <c r="Z108" vm="1270">
        <f t="shared" si="49"/>
        <v>982624320</v>
      </c>
      <c r="AA108" vm="1144">
        <f t="shared" si="49"/>
        <v>1309382912</v>
      </c>
      <c r="AB108" vm="1017">
        <f t="shared" si="49"/>
        <v>1465448320</v>
      </c>
      <c r="AC108" vm="890">
        <f t="shared" si="49"/>
        <v>1498950912</v>
      </c>
      <c r="AD108" vm="763">
        <f t="shared" si="49"/>
        <v>1587345920</v>
      </c>
      <c r="AE108" vm="636">
        <f t="shared" si="49"/>
        <v>1576094592</v>
      </c>
      <c r="AF108" vm="509">
        <f t="shared" si="50"/>
        <v>1488185728</v>
      </c>
      <c r="AG108" vm="382">
        <f t="shared" si="50"/>
        <v>1481141888</v>
      </c>
      <c r="AH108" vm="257">
        <f t="shared" si="50"/>
        <v>1698678656</v>
      </c>
      <c r="AI108" vm="193">
        <f t="shared" si="50"/>
        <v>2111093248</v>
      </c>
      <c r="AJ108" vm="2131">
        <f t="shared" si="50"/>
        <v>2255942144</v>
      </c>
      <c r="AK108" vm="2079">
        <f t="shared" si="50"/>
        <v>2280575744</v>
      </c>
      <c r="AL108" vm="1994">
        <f t="shared" si="50"/>
        <v>2349495552</v>
      </c>
      <c r="AM108" vm="1873">
        <f t="shared" si="50"/>
        <v>2659095040</v>
      </c>
      <c r="AN108" vm="1746">
        <f t="shared" si="50"/>
        <v>3310277888</v>
      </c>
      <c r="AO108" vm="1682">
        <f t="shared" si="50"/>
        <v>3365711872</v>
      </c>
      <c r="AP108" vm="1269">
        <f t="shared" si="51"/>
        <v>3429461504</v>
      </c>
      <c r="AQ108" vm="1143">
        <f t="shared" si="51"/>
        <v>3872459264</v>
      </c>
      <c r="AR108" vm="1016">
        <f t="shared" si="51"/>
        <v>3873308416</v>
      </c>
      <c r="AS108" vm="889">
        <f t="shared" si="51"/>
        <v>4321655808</v>
      </c>
      <c r="AT108" vm="762">
        <f t="shared" si="51"/>
        <v>4574986752</v>
      </c>
      <c r="AU108" vm="635">
        <f t="shared" si="51"/>
        <v>4180866304</v>
      </c>
      <c r="AV108" vm="508">
        <f t="shared" si="51"/>
        <v>4486979072</v>
      </c>
      <c r="AW108" vm="381">
        <f t="shared" si="51"/>
        <v>4819950080</v>
      </c>
      <c r="AX108" vm="256">
        <f t="shared" si="51"/>
        <v>5356344832</v>
      </c>
      <c r="AY108" vm="192">
        <f t="shared" si="51"/>
        <v>5459979264</v>
      </c>
      <c r="AZ108" vm="1627">
        <f t="shared" si="51"/>
        <v>97734971408</v>
      </c>
    </row>
    <row r="109" spans="1:52" x14ac:dyDescent="0.45">
      <c r="A109" s="4" t="str" vm="70">
        <f>CUBEMEMBER("DESKTOP-KSAPEQM AS Model","[Geography].[Blocs].[Country].&amp;[Trinidad and Tobago]")</f>
        <v>Trinidad and Tobago</v>
      </c>
      <c r="B109" vm="1574">
        <f t="shared" si="47"/>
        <v>821849984</v>
      </c>
      <c r="C109" vm="1521">
        <f t="shared" si="47"/>
        <v>896754304</v>
      </c>
      <c r="D109" vm="1468">
        <f t="shared" si="47"/>
        <v>1083380992</v>
      </c>
      <c r="E109" vm="1382">
        <f t="shared" si="47"/>
        <v>1308799488</v>
      </c>
      <c r="F109" vm="3074">
        <f t="shared" si="47"/>
        <v>2042031872</v>
      </c>
      <c r="G109" vm="1268">
        <f t="shared" si="47"/>
        <v>2442667520</v>
      </c>
      <c r="H109" vm="1142">
        <f t="shared" si="47"/>
        <v>2500410624</v>
      </c>
      <c r="I109" vm="1015">
        <f t="shared" si="47"/>
        <v>3138666752</v>
      </c>
      <c r="J109" vm="888">
        <f t="shared" si="47"/>
        <v>3562333440</v>
      </c>
      <c r="K109" vm="761">
        <f t="shared" si="47"/>
        <v>4602416640</v>
      </c>
      <c r="L109" vm="634">
        <f t="shared" si="48"/>
        <v>6235833344</v>
      </c>
      <c r="M109" vm="507">
        <f t="shared" si="48"/>
        <v>6992083456</v>
      </c>
      <c r="N109" vm="380">
        <f t="shared" si="48"/>
        <v>8140416512</v>
      </c>
      <c r="O109" vm="255">
        <f t="shared" si="48"/>
        <v>7763749888</v>
      </c>
      <c r="P109" vm="191">
        <f t="shared" si="48"/>
        <v>7757083136</v>
      </c>
      <c r="Q109" vm="2349">
        <f t="shared" si="48"/>
        <v>7375918592</v>
      </c>
      <c r="R109" vm="2285">
        <f t="shared" si="48"/>
        <v>4794444288</v>
      </c>
      <c r="S109" vm="2233">
        <f t="shared" si="48"/>
        <v>4797777920</v>
      </c>
      <c r="T109" vm="2181">
        <f t="shared" si="48"/>
        <v>4496851968</v>
      </c>
      <c r="U109" vm="2130">
        <f t="shared" si="48"/>
        <v>4323058688</v>
      </c>
      <c r="V109" vm="2078">
        <f t="shared" si="49"/>
        <v>5068000256</v>
      </c>
      <c r="W109" vm="1267">
        <f t="shared" si="49"/>
        <v>5307906048</v>
      </c>
      <c r="X109" vm="1141">
        <f t="shared" si="49"/>
        <v>5439553024</v>
      </c>
      <c r="Y109" vm="1014">
        <f t="shared" si="49"/>
        <v>4669488640</v>
      </c>
      <c r="Z109" vm="887">
        <f t="shared" si="49"/>
        <v>4947205632</v>
      </c>
      <c r="AA109" vm="760">
        <f t="shared" si="49"/>
        <v>5329213952</v>
      </c>
      <c r="AB109" vm="633">
        <f t="shared" si="49"/>
        <v>5759537664</v>
      </c>
      <c r="AC109" vm="506">
        <f t="shared" si="49"/>
        <v>5737751552</v>
      </c>
      <c r="AD109" vm="379">
        <f t="shared" si="49"/>
        <v>6043694080</v>
      </c>
      <c r="AE109" vm="254">
        <f t="shared" si="49"/>
        <v>6808982528</v>
      </c>
      <c r="AF109" vm="190">
        <f t="shared" si="50"/>
        <v>8154338304</v>
      </c>
      <c r="AG109" vm="1993">
        <f t="shared" si="50"/>
        <v>8824872960</v>
      </c>
      <c r="AH109" vm="1872">
        <f t="shared" si="50"/>
        <v>9008273408</v>
      </c>
      <c r="AI109" vm="1745">
        <f t="shared" si="50"/>
        <v>11305459712</v>
      </c>
      <c r="AJ109" vm="1681">
        <f t="shared" si="50"/>
        <v>13280275456</v>
      </c>
      <c r="AK109" vm="1626">
        <f t="shared" si="50"/>
        <v>15982282752</v>
      </c>
      <c r="AL109" vm="1573">
        <f t="shared" si="50"/>
        <v>18369361920</v>
      </c>
      <c r="AM109" vm="1266">
        <f t="shared" si="50"/>
        <v>21641619456</v>
      </c>
      <c r="AN109" vm="1140">
        <f t="shared" si="50"/>
        <v>27871588352</v>
      </c>
      <c r="AO109" vm="1013">
        <f t="shared" si="50"/>
        <v>19172165632</v>
      </c>
      <c r="AP109" vm="886">
        <f t="shared" si="51"/>
        <v>22157948928</v>
      </c>
      <c r="AQ109" vm="759">
        <f t="shared" si="51"/>
        <v>25433012224</v>
      </c>
      <c r="AR109" vm="632">
        <f t="shared" si="51"/>
        <v>25763219456</v>
      </c>
      <c r="AS109" vm="505">
        <f t="shared" si="51"/>
        <v>27268478976</v>
      </c>
      <c r="AT109" vm="378">
        <f t="shared" si="51"/>
        <v>27615842304</v>
      </c>
      <c r="AU109" vm="253">
        <f t="shared" si="51"/>
        <v>25062893568</v>
      </c>
      <c r="AV109" vm="189">
        <f t="shared" si="51"/>
        <v>22284779520</v>
      </c>
      <c r="AW109" vm="1520">
        <f t="shared" si="51"/>
        <v>22474827776</v>
      </c>
      <c r="AX109" vm="1467">
        <f t="shared" si="51"/>
        <v>23808147456</v>
      </c>
      <c r="AY109" vm="1381">
        <f t="shared" si="51"/>
        <v>24100202496</v>
      </c>
      <c r="AZ109" vm="2992">
        <f t="shared" si="51"/>
        <v>539767453440</v>
      </c>
    </row>
    <row r="110" spans="1:52" x14ac:dyDescent="0.45">
      <c r="A110" s="4" t="str" vm="65">
        <f>CUBEMEMBER("DESKTOP-KSAPEQM AS Model","[Geography].[Blocs].[Country].&amp;[Tunisia]")</f>
        <v>Tunisia</v>
      </c>
      <c r="B110" vm="2348">
        <f t="shared" ref="B110:K115" si="52">CUBEVALUE("DESKTOP-KSAPEQM AS Model",$B$1,$B$2,$B$3,$B$4,$B$5,$A$7,$A110,B$8)</f>
        <v>1439238144</v>
      </c>
      <c r="C110" vm="2284">
        <f t="shared" si="52"/>
        <v>1685217024</v>
      </c>
      <c r="D110" vm="1265">
        <f t="shared" si="52"/>
        <v>2237476352</v>
      </c>
      <c r="E110" vm="1139">
        <f t="shared" si="52"/>
        <v>2730787584</v>
      </c>
      <c r="F110" vm="1012">
        <f t="shared" si="52"/>
        <v>3545933568</v>
      </c>
      <c r="G110" vm="885">
        <f t="shared" si="52"/>
        <v>4328610304</v>
      </c>
      <c r="H110" vm="758">
        <f t="shared" si="52"/>
        <v>4507929088</v>
      </c>
      <c r="I110" vm="631">
        <f t="shared" si="52"/>
        <v>5109323776</v>
      </c>
      <c r="J110" vm="504">
        <f t="shared" si="52"/>
        <v>5968044032</v>
      </c>
      <c r="K110" vm="377">
        <f t="shared" si="52"/>
        <v>7188191744</v>
      </c>
      <c r="L110" vm="252">
        <f t="shared" ref="L110:U115" si="53">CUBEVALUE("DESKTOP-KSAPEQM AS Model",$B$1,$B$2,$B$3,$B$4,$B$5,$A$7,$A110,L$8)</f>
        <v>8744134656</v>
      </c>
      <c r="M110" vm="188">
        <f t="shared" si="53"/>
        <v>8428513792</v>
      </c>
      <c r="N110" vm="2232">
        <f t="shared" si="53"/>
        <v>8133401088</v>
      </c>
      <c r="O110" vm="2180">
        <f t="shared" si="53"/>
        <v>8350176768</v>
      </c>
      <c r="P110" vm="2129">
        <f t="shared" si="53"/>
        <v>8254892032</v>
      </c>
      <c r="Q110" vm="2077">
        <f t="shared" si="53"/>
        <v>8410185728</v>
      </c>
      <c r="R110" vm="1992">
        <f t="shared" si="53"/>
        <v>9018135552</v>
      </c>
      <c r="S110" vm="1871">
        <f t="shared" si="53"/>
        <v>9696271360</v>
      </c>
      <c r="T110" vm="1264">
        <f t="shared" si="53"/>
        <v>10096292864</v>
      </c>
      <c r="U110" vm="1138">
        <f t="shared" si="53"/>
        <v>10102075392</v>
      </c>
      <c r="V110" vm="1011">
        <f t="shared" ref="V110:AE115" si="54">CUBEVALUE("DESKTOP-KSAPEQM AS Model",$B$1,$B$2,$B$3,$B$4,$B$5,$A$7,$A110,V$8)</f>
        <v>12290568192</v>
      </c>
      <c r="W110" vm="884">
        <f t="shared" si="54"/>
        <v>13074782208</v>
      </c>
      <c r="X110" vm="757">
        <f t="shared" si="54"/>
        <v>15497286656</v>
      </c>
      <c r="Y110" vm="630">
        <f t="shared" si="54"/>
        <v>14608947200</v>
      </c>
      <c r="Z110" vm="503">
        <f t="shared" si="54"/>
        <v>15632463872</v>
      </c>
      <c r="AA110" vm="376">
        <f t="shared" si="54"/>
        <v>18030876672</v>
      </c>
      <c r="AB110" vm="251">
        <f t="shared" si="54"/>
        <v>19587321856</v>
      </c>
      <c r="AC110" vm="187">
        <f t="shared" si="54"/>
        <v>20746360832</v>
      </c>
      <c r="AD110" vm="1744">
        <f t="shared" si="54"/>
        <v>21803372544</v>
      </c>
      <c r="AE110" vm="1680">
        <f t="shared" si="54"/>
        <v>22943686656</v>
      </c>
      <c r="AF110" vm="1625">
        <f t="shared" ref="AF110:AO115" si="55">CUBEVALUE("DESKTOP-KSAPEQM AS Model",$B$1,$B$2,$B$3,$B$4,$B$5,$A$7,$A110,AF$8)</f>
        <v>21473189888</v>
      </c>
      <c r="AG110" vm="1572">
        <f t="shared" si="55"/>
        <v>22066102272</v>
      </c>
      <c r="AH110" vm="1519">
        <f t="shared" si="55"/>
        <v>23142293504</v>
      </c>
      <c r="AI110" vm="1466">
        <f t="shared" si="55"/>
        <v>27453085696</v>
      </c>
      <c r="AJ110" vm="1263">
        <f t="shared" si="55"/>
        <v>31183138816</v>
      </c>
      <c r="AK110" vm="1137">
        <f t="shared" si="55"/>
        <v>32273006592</v>
      </c>
      <c r="AL110" vm="1010">
        <f t="shared" si="55"/>
        <v>34378436608</v>
      </c>
      <c r="AM110" vm="883">
        <f t="shared" si="55"/>
        <v>38908067840</v>
      </c>
      <c r="AN110" vm="756">
        <f t="shared" si="55"/>
        <v>44856586240</v>
      </c>
      <c r="AO110" vm="629">
        <f t="shared" si="55"/>
        <v>43454935040</v>
      </c>
      <c r="AP110" vm="502">
        <f t="shared" ref="AP110:AZ115" si="56">CUBEVALUE("DESKTOP-KSAPEQM AS Model",$B$1,$B$2,$B$3,$B$4,$B$5,$A$7,$A110,AP$8)</f>
        <v>44050927616</v>
      </c>
      <c r="AQ110" vm="375">
        <f t="shared" si="56"/>
        <v>45810626560</v>
      </c>
      <c r="AR110" vm="250">
        <f t="shared" si="56"/>
        <v>45044113408</v>
      </c>
      <c r="AS110" vm="186">
        <f t="shared" si="56"/>
        <v>46251061248</v>
      </c>
      <c r="AT110" vm="1380">
        <f t="shared" si="56"/>
        <v>47632326656</v>
      </c>
      <c r="AU110" vm="2910">
        <f t="shared" si="56"/>
        <v>43173482496</v>
      </c>
      <c r="AV110" vm="2347">
        <f t="shared" si="56"/>
        <v>41801211904</v>
      </c>
      <c r="AW110" vm="2283">
        <f t="shared" si="56"/>
        <v>39802429440</v>
      </c>
      <c r="AX110" vm="2231">
        <f t="shared" si="56"/>
        <v>39770296320</v>
      </c>
      <c r="AY110" vm="2179">
        <f t="shared" si="56"/>
        <v>38797709312</v>
      </c>
      <c r="AZ110" vm="1262">
        <f t="shared" si="56"/>
        <v>1053513524992</v>
      </c>
    </row>
    <row r="111" spans="1:52" x14ac:dyDescent="0.45">
      <c r="A111" s="4" t="str" vm="34">
        <f>CUBEMEMBER("DESKTOP-KSAPEQM AS Model","[Geography].[Blocs].[Country].&amp;[Turkey]")</f>
        <v>Turkey</v>
      </c>
      <c r="B111" vm="1136">
        <f t="shared" si="52"/>
        <v>17086956544</v>
      </c>
      <c r="C111" vm="1009">
        <f t="shared" si="52"/>
        <v>16256619520</v>
      </c>
      <c r="D111" vm="882">
        <f t="shared" si="52"/>
        <v>20431095808</v>
      </c>
      <c r="E111" vm="755">
        <f t="shared" si="52"/>
        <v>25724381184</v>
      </c>
      <c r="F111" vm="628">
        <f t="shared" si="52"/>
        <v>35599912960</v>
      </c>
      <c r="G111" vm="501">
        <f t="shared" si="52"/>
        <v>44633706496</v>
      </c>
      <c r="H111" vm="374">
        <f t="shared" si="52"/>
        <v>51280134144</v>
      </c>
      <c r="I111" vm="249">
        <f t="shared" si="52"/>
        <v>58676813824</v>
      </c>
      <c r="J111" vm="185">
        <f t="shared" si="52"/>
        <v>65147023360</v>
      </c>
      <c r="K111" vm="2128">
        <f t="shared" si="52"/>
        <v>89394085888</v>
      </c>
      <c r="L111" vm="2076">
        <f t="shared" si="53"/>
        <v>68789288960</v>
      </c>
      <c r="M111" vm="1991">
        <f t="shared" si="53"/>
        <v>71040016384</v>
      </c>
      <c r="N111" vm="1870">
        <f t="shared" si="53"/>
        <v>64546332672</v>
      </c>
      <c r="O111" vm="1743">
        <f t="shared" si="53"/>
        <v>61678280704</v>
      </c>
      <c r="P111" vm="1679">
        <f t="shared" si="53"/>
        <v>59989909504</v>
      </c>
      <c r="Q111" vm="1261">
        <f t="shared" si="53"/>
        <v>67234947072</v>
      </c>
      <c r="R111" vm="1135">
        <f t="shared" si="53"/>
        <v>75728011264</v>
      </c>
      <c r="S111" vm="1008">
        <f t="shared" si="53"/>
        <v>87172792320</v>
      </c>
      <c r="T111" vm="881">
        <f t="shared" si="53"/>
        <v>90852810752</v>
      </c>
      <c r="U111" vm="754">
        <f t="shared" si="53"/>
        <v>107143348224</v>
      </c>
      <c r="V111" vm="627">
        <f t="shared" si="54"/>
        <v>150676291584</v>
      </c>
      <c r="W111" vm="500">
        <f t="shared" si="54"/>
        <v>150027829248</v>
      </c>
      <c r="X111" vm="373">
        <f t="shared" si="54"/>
        <v>158459133952</v>
      </c>
      <c r="Y111" vm="248">
        <f t="shared" si="54"/>
        <v>180169736192</v>
      </c>
      <c r="Z111" vm="184">
        <f t="shared" si="54"/>
        <v>130690170880</v>
      </c>
      <c r="AA111" vm="1624">
        <f t="shared" si="54"/>
        <v>169485942784</v>
      </c>
      <c r="AB111" vm="1571">
        <f t="shared" si="54"/>
        <v>181475557376</v>
      </c>
      <c r="AC111" vm="1518">
        <f t="shared" si="54"/>
        <v>189834641408</v>
      </c>
      <c r="AD111" vm="1465">
        <f t="shared" si="54"/>
        <v>275768705024</v>
      </c>
      <c r="AE111" vm="1379">
        <f t="shared" si="54"/>
        <v>255884296192</v>
      </c>
      <c r="AF111" vm="2817">
        <f t="shared" si="55"/>
        <v>272979394560</v>
      </c>
      <c r="AG111" vm="1260">
        <f t="shared" si="55"/>
        <v>200251932672</v>
      </c>
      <c r="AH111" vm="1134">
        <f t="shared" si="55"/>
        <v>238428127232</v>
      </c>
      <c r="AI111" vm="1007">
        <f t="shared" si="55"/>
        <v>311823007744</v>
      </c>
      <c r="AJ111" vm="880">
        <f t="shared" si="55"/>
        <v>404786741248</v>
      </c>
      <c r="AK111" vm="753">
        <f t="shared" si="55"/>
        <v>501416296448</v>
      </c>
      <c r="AL111" vm="626">
        <f t="shared" si="55"/>
        <v>552486895616</v>
      </c>
      <c r="AM111" vm="499">
        <f t="shared" si="55"/>
        <v>675770138624</v>
      </c>
      <c r="AN111" vm="372">
        <f t="shared" si="55"/>
        <v>764335685632</v>
      </c>
      <c r="AO111" vm="247">
        <f t="shared" si="55"/>
        <v>644639883264</v>
      </c>
      <c r="AP111" vm="183">
        <f t="shared" si="56"/>
        <v>771901751296</v>
      </c>
      <c r="AQ111" vm="2346">
        <f t="shared" si="56"/>
        <v>832523665408</v>
      </c>
      <c r="AR111" vm="2282">
        <f t="shared" si="56"/>
        <v>873982263296</v>
      </c>
      <c r="AS111" vm="2230">
        <f t="shared" si="56"/>
        <v>950579429376</v>
      </c>
      <c r="AT111" vm="2178">
        <f t="shared" si="56"/>
        <v>934185926656</v>
      </c>
      <c r="AU111" vm="2127">
        <f t="shared" si="56"/>
        <v>859796865024</v>
      </c>
      <c r="AV111" vm="2075">
        <f t="shared" si="56"/>
        <v>863721619456</v>
      </c>
      <c r="AW111" vm="1259">
        <f t="shared" si="56"/>
        <v>852676771840</v>
      </c>
      <c r="AX111" vm="1133">
        <f t="shared" si="56"/>
        <v>771350331392</v>
      </c>
      <c r="AY111" vm="1006">
        <f t="shared" si="56"/>
        <v>754411700224</v>
      </c>
      <c r="AZ111" vm="879">
        <f t="shared" si="56"/>
        <v>16052927199232</v>
      </c>
    </row>
    <row r="112" spans="1:52" x14ac:dyDescent="0.45">
      <c r="A112" s="4" t="str" vm="21">
        <f>CUBEMEMBER("DESKTOP-KSAPEQM AS Model","[Geography].[Blocs].[Country].&amp;[Uruguay]")</f>
        <v>Uruguay</v>
      </c>
      <c r="B112" vm="752">
        <f t="shared" si="52"/>
        <v>2137096832</v>
      </c>
      <c r="C112" vm="625">
        <f t="shared" si="52"/>
        <v>2807258112</v>
      </c>
      <c r="D112" vm="498">
        <f t="shared" si="52"/>
        <v>2189417984</v>
      </c>
      <c r="E112" vm="371">
        <f t="shared" si="52"/>
        <v>3964295680</v>
      </c>
      <c r="F112" vm="246">
        <f t="shared" si="52"/>
        <v>4090209792</v>
      </c>
      <c r="G112" vm="182">
        <f t="shared" si="52"/>
        <v>3538283264</v>
      </c>
      <c r="H112" vm="1990">
        <f t="shared" si="52"/>
        <v>3667161344</v>
      </c>
      <c r="I112" vm="1869">
        <f t="shared" si="52"/>
        <v>4114667008</v>
      </c>
      <c r="J112" vm="1742">
        <f t="shared" si="52"/>
        <v>4910257152</v>
      </c>
      <c r="K112" vm="1678">
        <f t="shared" si="52"/>
        <v>7181185024</v>
      </c>
      <c r="L112" vm="1623">
        <f t="shared" si="53"/>
        <v>10163019776</v>
      </c>
      <c r="M112" vm="1570">
        <f t="shared" si="53"/>
        <v>11048335360</v>
      </c>
      <c r="N112" vm="1258">
        <f t="shared" si="53"/>
        <v>9178802176</v>
      </c>
      <c r="O112" vm="1132">
        <f t="shared" si="53"/>
        <v>5102281216</v>
      </c>
      <c r="P112" vm="1005">
        <f t="shared" si="53"/>
        <v>4850241536</v>
      </c>
      <c r="Q112" vm="878">
        <f t="shared" si="53"/>
        <v>4732017664</v>
      </c>
      <c r="R112" vm="751">
        <f t="shared" si="53"/>
        <v>5880112640</v>
      </c>
      <c r="S112" vm="624">
        <f t="shared" si="53"/>
        <v>7367494144</v>
      </c>
      <c r="T112" vm="497">
        <f t="shared" si="53"/>
        <v>8213515264</v>
      </c>
      <c r="U112" vm="370">
        <f t="shared" si="53"/>
        <v>8438951424</v>
      </c>
      <c r="V112" vm="245">
        <f t="shared" si="54"/>
        <v>9298839552</v>
      </c>
      <c r="W112" vm="181">
        <f t="shared" si="54"/>
        <v>11205970944</v>
      </c>
      <c r="X112" vm="1517">
        <f t="shared" si="54"/>
        <v>12878199808</v>
      </c>
      <c r="Y112" vm="1464">
        <f t="shared" si="54"/>
        <v>15002106880</v>
      </c>
      <c r="Z112" vm="1378">
        <f t="shared" si="54"/>
        <v>17474648064</v>
      </c>
      <c r="AA112" vm="2710">
        <f t="shared" si="54"/>
        <v>19297662976</v>
      </c>
      <c r="AB112" vm="2345">
        <f t="shared" si="54"/>
        <v>20515543040</v>
      </c>
      <c r="AC112" vm="2281">
        <f t="shared" si="54"/>
        <v>23969822720</v>
      </c>
      <c r="AD112" vm="1257">
        <f t="shared" si="54"/>
        <v>25385928704</v>
      </c>
      <c r="AE112" vm="1131">
        <f t="shared" si="54"/>
        <v>23983945728</v>
      </c>
      <c r="AF112" vm="1004">
        <f t="shared" si="55"/>
        <v>22823256064</v>
      </c>
      <c r="AG112" vm="877">
        <f t="shared" si="55"/>
        <v>20898789376</v>
      </c>
      <c r="AH112" vm="750">
        <f t="shared" si="55"/>
        <v>13606494208</v>
      </c>
      <c r="AI112" vm="623">
        <f t="shared" si="55"/>
        <v>12045631488</v>
      </c>
      <c r="AJ112" vm="496">
        <f t="shared" si="55"/>
        <v>13686330368</v>
      </c>
      <c r="AK112" vm="369">
        <f t="shared" si="55"/>
        <v>17362857984</v>
      </c>
      <c r="AL112" vm="244">
        <f t="shared" si="55"/>
        <v>19579457536</v>
      </c>
      <c r="AM112" vm="180">
        <f t="shared" si="55"/>
        <v>23410573312</v>
      </c>
      <c r="AN112" vm="2229">
        <f t="shared" si="55"/>
        <v>30366212096</v>
      </c>
      <c r="AO112" vm="2177">
        <f t="shared" si="55"/>
        <v>31660910592</v>
      </c>
      <c r="AP112" vm="2126">
        <f t="shared" si="56"/>
        <v>40284483584</v>
      </c>
      <c r="AQ112" vm="2074">
        <f t="shared" si="56"/>
        <v>47962439680</v>
      </c>
      <c r="AR112" vm="1989">
        <f t="shared" si="56"/>
        <v>51264389120</v>
      </c>
      <c r="AS112" vm="1868">
        <f t="shared" si="56"/>
        <v>57531232256</v>
      </c>
      <c r="AT112" vm="1256">
        <f t="shared" si="56"/>
        <v>57236013056</v>
      </c>
      <c r="AU112" vm="1130">
        <f t="shared" si="56"/>
        <v>53274304512</v>
      </c>
      <c r="AV112" vm="1003">
        <f t="shared" si="56"/>
        <v>52687613952</v>
      </c>
      <c r="AW112" vm="876">
        <f t="shared" si="56"/>
        <v>59530088448</v>
      </c>
      <c r="AX112" vm="749">
        <f t="shared" si="56"/>
        <v>59596886016</v>
      </c>
      <c r="AY112" vm="622">
        <f t="shared" si="56"/>
        <v>56045912064</v>
      </c>
      <c r="AZ112" vm="495">
        <f t="shared" si="56"/>
        <v>1033441147520</v>
      </c>
    </row>
    <row r="113" spans="1:52" x14ac:dyDescent="0.45">
      <c r="A113" s="4" t="str" vm="6">
        <f>CUBEMEMBER("DESKTOP-KSAPEQM AS Model","[Geography].[Blocs].[Country].&amp;[Zambia]")</f>
        <v>Zambia</v>
      </c>
      <c r="B113" vm="368">
        <f t="shared" si="52"/>
        <v>1825285760</v>
      </c>
      <c r="C113" vm="243">
        <f t="shared" si="52"/>
        <v>1687000064</v>
      </c>
      <c r="D113" vm="179">
        <f t="shared" si="52"/>
        <v>1910714240</v>
      </c>
      <c r="E113" vm="1741">
        <f t="shared" si="52"/>
        <v>2268714240</v>
      </c>
      <c r="F113" vm="1677">
        <f t="shared" si="52"/>
        <v>3121833216</v>
      </c>
      <c r="G113" vm="1622">
        <f t="shared" si="52"/>
        <v>2618666752</v>
      </c>
      <c r="H113" vm="1569">
        <f t="shared" si="52"/>
        <v>2746714368</v>
      </c>
      <c r="I113" vm="1516">
        <f t="shared" si="52"/>
        <v>2483000064</v>
      </c>
      <c r="J113" vm="1463">
        <f t="shared" si="52"/>
        <v>2813374976</v>
      </c>
      <c r="K113" vm="1255">
        <f t="shared" si="52"/>
        <v>3325499904</v>
      </c>
      <c r="L113" vm="1129">
        <f t="shared" si="53"/>
        <v>3829499904</v>
      </c>
      <c r="M113" vm="1002">
        <f t="shared" si="53"/>
        <v>3872666624</v>
      </c>
      <c r="N113" vm="875">
        <f t="shared" si="53"/>
        <v>3994777856</v>
      </c>
      <c r="O113" vm="748">
        <f t="shared" si="53"/>
        <v>3216307712</v>
      </c>
      <c r="P113" vm="621">
        <f t="shared" si="53"/>
        <v>2739444480</v>
      </c>
      <c r="Q113" vm="494">
        <f t="shared" si="53"/>
        <v>2281257984</v>
      </c>
      <c r="R113" vm="367">
        <f t="shared" si="53"/>
        <v>1661948672</v>
      </c>
      <c r="S113" vm="242">
        <f t="shared" si="53"/>
        <v>2269894656</v>
      </c>
      <c r="T113" vm="178">
        <f t="shared" si="53"/>
        <v>3713614336</v>
      </c>
      <c r="U113" vm="1377">
        <f t="shared" si="53"/>
        <v>3998637568</v>
      </c>
      <c r="V113" vm="2630">
        <f t="shared" si="54"/>
        <v>3285217280</v>
      </c>
      <c r="W113" vm="2344">
        <f t="shared" si="54"/>
        <v>3378882304</v>
      </c>
      <c r="X113" vm="2280">
        <f t="shared" si="54"/>
        <v>3181921792</v>
      </c>
      <c r="Y113" vm="2228">
        <f t="shared" si="54"/>
        <v>3273237760</v>
      </c>
      <c r="Z113" vm="2176">
        <f t="shared" si="54"/>
        <v>3656647680</v>
      </c>
      <c r="AA113" vm="1254">
        <f t="shared" si="54"/>
        <v>3807067136</v>
      </c>
      <c r="AB113" vm="1128">
        <f t="shared" si="54"/>
        <v>3597220864</v>
      </c>
      <c r="AC113" vm="1001">
        <f t="shared" si="54"/>
        <v>4303282176</v>
      </c>
      <c r="AD113" vm="874">
        <f t="shared" si="54"/>
        <v>3537682944</v>
      </c>
      <c r="AE113" vm="747">
        <f t="shared" si="54"/>
        <v>3404312064</v>
      </c>
      <c r="AF113" vm="620">
        <f t="shared" si="55"/>
        <v>3600683008</v>
      </c>
      <c r="AG113" vm="493">
        <f t="shared" si="55"/>
        <v>4094480896</v>
      </c>
      <c r="AH113" vm="366">
        <f t="shared" si="55"/>
        <v>4193845760</v>
      </c>
      <c r="AI113" vm="241">
        <f t="shared" si="55"/>
        <v>4901839872</v>
      </c>
      <c r="AJ113" vm="177">
        <f t="shared" si="55"/>
        <v>6221077504</v>
      </c>
      <c r="AK113" vm="2125">
        <f t="shared" si="55"/>
        <v>8331870208</v>
      </c>
      <c r="AL113" vm="2073">
        <f t="shared" si="55"/>
        <v>12756858880</v>
      </c>
      <c r="AM113" vm="1988">
        <f t="shared" si="55"/>
        <v>14056957952</v>
      </c>
      <c r="AN113" vm="1867">
        <f t="shared" si="55"/>
        <v>17910857728</v>
      </c>
      <c r="AO113" vm="1740">
        <f t="shared" si="55"/>
        <v>15328342016</v>
      </c>
      <c r="AP113" vm="1676">
        <f t="shared" si="56"/>
        <v>20265560064</v>
      </c>
      <c r="AQ113" vm="1253">
        <f t="shared" si="56"/>
        <v>23459514368</v>
      </c>
      <c r="AR113" vm="1127">
        <f t="shared" si="56"/>
        <v>25503059968</v>
      </c>
      <c r="AS113" vm="1000">
        <f t="shared" si="56"/>
        <v>28045512704</v>
      </c>
      <c r="AT113" vm="873">
        <f t="shared" si="56"/>
        <v>27150647296</v>
      </c>
      <c r="AU113" vm="746">
        <f t="shared" si="56"/>
        <v>21243346944</v>
      </c>
      <c r="AV113" vm="619">
        <f t="shared" si="56"/>
        <v>20954761216</v>
      </c>
      <c r="AW113" vm="492">
        <f t="shared" si="56"/>
        <v>25868142592</v>
      </c>
      <c r="AX113" vm="365">
        <f t="shared" si="56"/>
        <v>27005239296</v>
      </c>
      <c r="AY113" vm="240">
        <f t="shared" si="56"/>
        <v>23064723456</v>
      </c>
      <c r="AZ113" vm="176">
        <f t="shared" si="56"/>
        <v>425761647104</v>
      </c>
    </row>
    <row r="114" spans="1:52" x14ac:dyDescent="0.45">
      <c r="A114" s="4" t="str" vm="60">
        <f>CUBEMEMBER("DESKTOP-KSAPEQM AS Model","[Geography].[Blocs].[Country].&amp;[Zimbabwe]")</f>
        <v>Zimbabwe</v>
      </c>
      <c r="B114" vm="1621">
        <f t="shared" si="52"/>
        <v>1884206336</v>
      </c>
      <c r="C114" vm="1568">
        <f t="shared" si="52"/>
        <v>2178716416</v>
      </c>
      <c r="D114" vm="1515">
        <f t="shared" si="52"/>
        <v>2677729280</v>
      </c>
      <c r="E114" vm="1462">
        <f t="shared" si="52"/>
        <v>3309353472</v>
      </c>
      <c r="F114" vm="1376">
        <f t="shared" si="52"/>
        <v>3982161408</v>
      </c>
      <c r="G114" vm="2550">
        <f t="shared" si="52"/>
        <v>4371300864</v>
      </c>
      <c r="H114" vm="1252">
        <f t="shared" si="52"/>
        <v>4318371840</v>
      </c>
      <c r="I114" vm="1126">
        <f t="shared" si="52"/>
        <v>4364382208</v>
      </c>
      <c r="J114" vm="999">
        <f t="shared" si="52"/>
        <v>4351600640</v>
      </c>
      <c r="K114" vm="872">
        <f t="shared" si="52"/>
        <v>5177459200</v>
      </c>
      <c r="L114" vm="745">
        <f t="shared" si="53"/>
        <v>6678867968</v>
      </c>
      <c r="M114" vm="618">
        <f t="shared" si="53"/>
        <v>8011373568</v>
      </c>
      <c r="N114" vm="491">
        <f t="shared" si="53"/>
        <v>8539700736</v>
      </c>
      <c r="O114" vm="364">
        <f t="shared" si="53"/>
        <v>7764066816</v>
      </c>
      <c r="P114" vm="239">
        <f t="shared" si="53"/>
        <v>6352125952</v>
      </c>
      <c r="Q114" vm="175">
        <f t="shared" si="53"/>
        <v>5637259264</v>
      </c>
      <c r="R114" vm="2343">
        <f t="shared" si="53"/>
        <v>6217523712</v>
      </c>
      <c r="S114" vm="2279">
        <f t="shared" si="53"/>
        <v>6741215232</v>
      </c>
      <c r="T114" vm="2227">
        <f t="shared" si="53"/>
        <v>7814784000</v>
      </c>
      <c r="U114" vm="2175">
        <f t="shared" si="53"/>
        <v>8286322688</v>
      </c>
      <c r="V114" vm="2124">
        <f t="shared" si="54"/>
        <v>8783816704</v>
      </c>
      <c r="W114" vm="2072">
        <f t="shared" si="54"/>
        <v>8641481728</v>
      </c>
      <c r="X114" vm="1251">
        <f t="shared" si="54"/>
        <v>6751472128</v>
      </c>
      <c r="Y114" vm="1125">
        <f t="shared" si="54"/>
        <v>6563813376</v>
      </c>
      <c r="Z114" vm="998">
        <f t="shared" si="54"/>
        <v>6890675200</v>
      </c>
      <c r="AA114" vm="871">
        <f t="shared" si="54"/>
        <v>7111270912</v>
      </c>
      <c r="AB114" vm="744">
        <f t="shared" si="54"/>
        <v>8553146368</v>
      </c>
      <c r="AC114" vm="617">
        <f t="shared" si="54"/>
        <v>8529571840</v>
      </c>
      <c r="AD114" vm="490">
        <f t="shared" si="54"/>
        <v>6401968128</v>
      </c>
      <c r="AE114" vm="363">
        <f t="shared" si="54"/>
        <v>6858013184</v>
      </c>
      <c r="AF114" vm="238">
        <f t="shared" si="55"/>
        <v>6689957376</v>
      </c>
      <c r="AG114" vm="174">
        <f t="shared" si="55"/>
        <v>6777384448</v>
      </c>
      <c r="AH114" vm="1987">
        <f t="shared" si="55"/>
        <v>6342116352</v>
      </c>
      <c r="AI114" vm="1866">
        <f t="shared" si="55"/>
        <v>5727591936</v>
      </c>
      <c r="AJ114" vm="1739">
        <f t="shared" si="55"/>
        <v>5805598208</v>
      </c>
      <c r="AK114" vm="1675">
        <f t="shared" si="55"/>
        <v>5755215360</v>
      </c>
      <c r="AL114" vm="1620">
        <f t="shared" si="55"/>
        <v>5443896320</v>
      </c>
      <c r="AM114" vm="1567">
        <f t="shared" si="55"/>
        <v>5291950080</v>
      </c>
      <c r="AN114" vm="1250">
        <f t="shared" si="55"/>
        <v>4415703040</v>
      </c>
      <c r="AO114" vm="1124">
        <f t="shared" si="55"/>
        <v>9665793024</v>
      </c>
      <c r="AP114" vm="997">
        <f t="shared" si="56"/>
        <v>12041655296</v>
      </c>
      <c r="AQ114" vm="870">
        <f t="shared" si="56"/>
        <v>14101920768</v>
      </c>
      <c r="AR114" vm="743">
        <f t="shared" si="56"/>
        <v>17114850304</v>
      </c>
      <c r="AS114" vm="616">
        <f t="shared" si="56"/>
        <v>19091019776</v>
      </c>
      <c r="AT114" vm="489">
        <f t="shared" si="56"/>
        <v>19495520256</v>
      </c>
      <c r="AU114" vm="362">
        <f t="shared" si="56"/>
        <v>19963119616</v>
      </c>
      <c r="AV114" vm="237">
        <f t="shared" si="56"/>
        <v>20548677632</v>
      </c>
      <c r="AW114" vm="173">
        <f t="shared" si="56"/>
        <v>22040901632</v>
      </c>
      <c r="AX114" vm="1514">
        <f t="shared" si="56"/>
        <v>24311560192</v>
      </c>
      <c r="AY114" vm="1461">
        <f t="shared" si="56"/>
        <v>21440759808</v>
      </c>
      <c r="AZ114" vm="1375">
        <f t="shared" si="56"/>
        <v>435808942592</v>
      </c>
    </row>
    <row r="115" spans="1:52" x14ac:dyDescent="0.45">
      <c r="A115" s="2" t="str" vm="163">
        <f>CUBESET("DESKTOP-KSAPEQM AS Model",($A$39,$A$10,$A$9),"Grand Total")</f>
        <v>Grand Total</v>
      </c>
      <c r="B115" vm="2460">
        <f t="shared" si="52"/>
        <v>2745717732328</v>
      </c>
      <c r="C115" vm="2342">
        <f t="shared" si="52"/>
        <v>3032398419716</v>
      </c>
      <c r="D115" vm="2278">
        <f t="shared" si="52"/>
        <v>3499721257818</v>
      </c>
      <c r="E115" vm="1249">
        <f t="shared" si="52"/>
        <v>4260682783610</v>
      </c>
      <c r="F115" vm="1123">
        <f t="shared" si="52"/>
        <v>4875445044516</v>
      </c>
      <c r="G115" vm="996">
        <f t="shared" si="52"/>
        <v>5429630191888</v>
      </c>
      <c r="H115" vm="869">
        <f t="shared" si="52"/>
        <v>5878933438276</v>
      </c>
      <c r="I115" vm="742">
        <f t="shared" si="52"/>
        <v>6635878970804</v>
      </c>
      <c r="J115" vm="615">
        <f t="shared" si="52"/>
        <v>7858910718292</v>
      </c>
      <c r="K115" vm="488">
        <f t="shared" si="52"/>
        <v>9120406888172</v>
      </c>
      <c r="L115" vm="361">
        <f t="shared" si="53"/>
        <v>10237255701500</v>
      </c>
      <c r="M115" vm="236">
        <f t="shared" si="53"/>
        <v>10574867277624</v>
      </c>
      <c r="N115" vm="172">
        <f t="shared" si="53"/>
        <v>10435974093892</v>
      </c>
      <c r="O115" vm="2226">
        <f t="shared" si="53"/>
        <v>10635935645452</v>
      </c>
      <c r="P115" vm="2174">
        <f t="shared" si="53"/>
        <v>11030075490096</v>
      </c>
      <c r="Q115" vm="2123">
        <f t="shared" si="53"/>
        <v>11587743619580</v>
      </c>
      <c r="R115" vm="2071">
        <f t="shared" si="53"/>
        <v>13762897910146</v>
      </c>
      <c r="S115" vm="1986">
        <f t="shared" si="53"/>
        <v>15779364657508</v>
      </c>
      <c r="T115" vm="1865">
        <f t="shared" si="53"/>
        <v>17712353180188</v>
      </c>
      <c r="U115" vm="1248">
        <f t="shared" si="53"/>
        <v>18569097937304</v>
      </c>
      <c r="V115" vm="1122">
        <f t="shared" si="54"/>
        <v>21025501311764</v>
      </c>
      <c r="W115" vm="995">
        <f t="shared" si="54"/>
        <v>22155469687540</v>
      </c>
      <c r="X115" vm="868">
        <f t="shared" si="54"/>
        <v>23604069354532</v>
      </c>
      <c r="Y115" vm="741">
        <f t="shared" si="54"/>
        <v>23965032148280</v>
      </c>
      <c r="Z115" vm="614">
        <f t="shared" si="54"/>
        <v>25814337490704</v>
      </c>
      <c r="AA115" vm="487">
        <f t="shared" si="54"/>
        <v>28703554520060</v>
      </c>
      <c r="AB115" vm="360">
        <f t="shared" si="54"/>
        <v>29256363481776</v>
      </c>
      <c r="AC115" vm="235">
        <f t="shared" si="54"/>
        <v>29069167559208</v>
      </c>
      <c r="AD115" vm="171">
        <f t="shared" si="54"/>
        <v>29261320787144</v>
      </c>
      <c r="AE115" vm="1738">
        <f t="shared" si="54"/>
        <v>30418451224512</v>
      </c>
      <c r="AF115" vm="1674">
        <f t="shared" si="55"/>
        <v>31292025457632</v>
      </c>
      <c r="AG115" vm="1619">
        <f t="shared" si="55"/>
        <v>31017838508664</v>
      </c>
      <c r="AH115" vm="1566">
        <f t="shared" si="55"/>
        <v>32164282353288</v>
      </c>
      <c r="AI115" vm="1513">
        <f t="shared" si="55"/>
        <v>36044833728496</v>
      </c>
      <c r="AJ115" vm="1460">
        <f t="shared" si="55"/>
        <v>40435964116704</v>
      </c>
      <c r="AK115" vm="1247">
        <f t="shared" si="55"/>
        <v>43434950330872</v>
      </c>
      <c r="AL115" vm="1121">
        <f t="shared" si="55"/>
        <v>46637571964920</v>
      </c>
      <c r="AM115" vm="994">
        <f t="shared" si="55"/>
        <v>52038732761472</v>
      </c>
      <c r="AN115" vm="867">
        <f t="shared" si="55"/>
        <v>56362561385200</v>
      </c>
      <c r="AO115" vm="740">
        <f t="shared" si="55"/>
        <v>53975686789592</v>
      </c>
      <c r="AP115" vm="613">
        <f t="shared" si="56"/>
        <v>58660606800448</v>
      </c>
      <c r="AQ115" vm="486">
        <f t="shared" si="56"/>
        <v>64751677696688</v>
      </c>
      <c r="AR115" vm="359">
        <f t="shared" si="56"/>
        <v>65967351811584</v>
      </c>
      <c r="AS115" vm="234">
        <f t="shared" si="56"/>
        <v>67921403059328</v>
      </c>
      <c r="AT115" vm="170">
        <f t="shared" si="56"/>
        <v>70140105597456</v>
      </c>
      <c r="AU115" vm="169">
        <f t="shared" si="56"/>
        <v>67169434284528</v>
      </c>
      <c r="AV115" vm="168">
        <f t="shared" si="56"/>
        <v>68312324301104</v>
      </c>
      <c r="AW115" vm="167">
        <f t="shared" si="56"/>
        <v>72444561151152</v>
      </c>
      <c r="AX115" vm="166">
        <f t="shared" si="56"/>
        <v>76946956791520</v>
      </c>
      <c r="AY115" vm="165">
        <f t="shared" si="56"/>
        <v>78025703416224</v>
      </c>
      <c r="AZ115" vm="1374">
        <f t="shared" si="56"/>
        <v>1560681130831102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WDI USD Original</vt:lpstr>
      <vt:lpstr>WDI USD Formulae</vt:lpstr>
      <vt:lpstr>CurrentSource</vt:lpstr>
      <vt:lpstr>CurrentUSDPivot</vt:lpstr>
      <vt:lpstr>CurrentUSDSector</vt:lpstr>
      <vt:lpstr>OutputMeasures</vt:lpstr>
      <vt:lpstr>USDUnits</vt:lpstr>
      <vt:lpstr>WDIAvailability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Freeman</dc:creator>
  <cp:lastModifiedBy>Alan Freeman</cp:lastModifiedBy>
  <dcterms:created xsi:type="dcterms:W3CDTF">2015-06-05T18:17:20Z</dcterms:created>
  <dcterms:modified xsi:type="dcterms:W3CDTF">2020-12-03T16:39:30Z</dcterms:modified>
</cp:coreProperties>
</file>