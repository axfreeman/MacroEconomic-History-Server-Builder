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free\Documents\Github\MacroEconomic History\DATA\TESTS\Archive to 4 December 2020\"/>
    </mc:Choice>
  </mc:AlternateContent>
  <xr:revisionPtr revIDLastSave="0" documentId="13_ncr:1_{F35A0F31-DFFB-4C33-A998-159ADE8056B3}" xr6:coauthVersionLast="45" xr6:coauthVersionMax="45" xr10:uidLastSave="{00000000-0000-0000-0000-000000000000}"/>
  <bookViews>
    <workbookView xWindow="-98" yWindow="-98" windowWidth="28996" windowHeight="15945" xr2:uid="{8F349DCB-5B29-4AAA-99BB-3AEA3E4BE20C}"/>
  </bookViews>
  <sheets>
    <sheet name="Sheet1" sheetId="1" r:id="rId1"/>
  </sheets>
  <functionGroups builtInGroupCount="19"/>
  <definedNames>
    <definedName name="Expenditure_Approach">Sheet1!$B$1</definedName>
    <definedName name="Item">Sheet1!$A$1:$B$3,Sheet1!$A$5:$AK$39</definedName>
    <definedName name="PENN">Sheet1!$B$2</definedName>
    <definedName name="PivotTableID">Sheet1!$A$5</definedName>
    <definedName name="Place">Sheet1!$A$7</definedName>
    <definedName name="USD">Sheet1!$B$3</definedName>
    <definedName name="Year">Sheet1!$B$6</definedName>
  </definedNames>
  <calcPr calcId="191029"/>
  <pivotCaches>
    <pivotCache cacheId="60" r:id="rId2"/>
    <pivotCache cacheId="61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 a="1"/>
  <c r="C7" i="1"/>
  <c r="J6" i="1"/>
  <c r="A10" i="1"/>
  <c r="E6" i="1"/>
  <c r="G6" i="1"/>
  <c r="A5" i="1"/>
  <c r="A18" i="1"/>
  <c r="A34" i="1"/>
  <c r="C6" i="1"/>
  <c r="A14" i="1"/>
  <c r="A20" i="1"/>
  <c r="A33" i="1"/>
  <c r="D6" i="1"/>
  <c r="D10" i="1" s="1"/>
  <c r="A11" i="1"/>
  <c r="AF6" i="1"/>
  <c r="AF34" i="1" s="1"/>
  <c r="A27" i="1"/>
  <c r="L6" i="1"/>
  <c r="A15" i="1"/>
  <c r="L34" i="1"/>
  <c r="E34" i="1"/>
  <c r="A8" i="1"/>
  <c r="A29" i="1"/>
  <c r="Y6" i="1"/>
  <c r="A21" i="1"/>
  <c r="A30" i="1"/>
  <c r="R6" i="1"/>
  <c r="R18" i="1" s="1"/>
  <c r="C10" i="1"/>
  <c r="AF29" i="1"/>
  <c r="Y10" i="1"/>
  <c r="R20" i="1"/>
  <c r="G11" i="1"/>
  <c r="D29" i="1"/>
  <c r="L18" i="1"/>
  <c r="A28" i="1"/>
  <c r="F6" i="1"/>
  <c r="AF28" i="1"/>
  <c r="J14" i="1"/>
  <c r="Y28" i="1"/>
  <c r="A16" i="1"/>
  <c r="H6" i="1"/>
  <c r="Y34" i="1"/>
  <c r="F21" i="1"/>
  <c r="N6" i="1"/>
  <c r="N28" i="1"/>
  <c r="AF15" i="1"/>
  <c r="L14" i="1"/>
  <c r="C29" i="1"/>
  <c r="J33" i="1"/>
  <c r="AF18" i="1"/>
  <c r="G33" i="1"/>
  <c r="N16" i="1"/>
  <c r="R15" i="1"/>
  <c r="AF21" i="1"/>
  <c r="N10" i="1"/>
  <c r="L29" i="1"/>
  <c r="AJ6" i="1"/>
  <c r="T6" i="1"/>
  <c r="T30" i="1" s="1"/>
  <c r="A35" i="1"/>
  <c r="G29" i="1"/>
  <c r="F35" i="1"/>
  <c r="A31" i="1"/>
  <c r="C14" i="1"/>
  <c r="E35" i="1"/>
  <c r="AA6" i="1"/>
  <c r="J21" i="1"/>
  <c r="H15" i="1"/>
  <c r="AA29" i="1"/>
  <c r="T15" i="1"/>
  <c r="AA10" i="1"/>
  <c r="D18" i="1"/>
  <c r="AA14" i="1"/>
  <c r="C15" i="1"/>
  <c r="J16" i="1"/>
  <c r="N15" i="1"/>
  <c r="F15" i="1"/>
  <c r="N29" i="1"/>
  <c r="Q6" i="1"/>
  <c r="AJ11" i="1"/>
  <c r="A37" i="1"/>
  <c r="AC6" i="1"/>
  <c r="AJ14" i="1"/>
  <c r="A17" i="1"/>
  <c r="AH6" i="1"/>
  <c r="G27" i="1"/>
  <c r="AH20" i="1"/>
  <c r="AC10" i="1"/>
  <c r="U6" i="1"/>
  <c r="Q20" i="1"/>
  <c r="AC20" i="1"/>
  <c r="A38" i="1"/>
  <c r="F14" i="1"/>
  <c r="T20" i="1"/>
  <c r="R21" i="1"/>
  <c r="E17" i="1"/>
  <c r="D30" i="1"/>
  <c r="H27" i="1"/>
  <c r="Y11" i="1"/>
  <c r="AH33" i="1"/>
  <c r="F33" i="1"/>
  <c r="F20" i="1"/>
  <c r="E11" i="1"/>
  <c r="Q21" i="1"/>
  <c r="D33" i="1"/>
  <c r="T10" i="1"/>
  <c r="AH15" i="1"/>
  <c r="D21" i="1"/>
  <c r="L21" i="1"/>
  <c r="AA31" i="1"/>
  <c r="AC38" i="1"/>
  <c r="AH31" i="1"/>
  <c r="L20" i="1"/>
  <c r="AF11" i="1"/>
  <c r="D28" i="1"/>
  <c r="L15" i="1"/>
  <c r="F11" i="1"/>
  <c r="J20" i="1"/>
  <c r="T16" i="1"/>
  <c r="AG6" i="1"/>
  <c r="AI6" i="1"/>
  <c r="Q27" i="1"/>
  <c r="T14" i="1"/>
  <c r="A12" i="1"/>
  <c r="L28" i="1"/>
  <c r="A32" i="1"/>
  <c r="T27" i="1"/>
  <c r="AI14" i="1"/>
  <c r="L32" i="1"/>
  <c r="X6" i="1"/>
  <c r="G10" i="1"/>
  <c r="F29" i="1"/>
  <c r="AG37" i="1"/>
  <c r="Q34" i="1"/>
  <c r="AG29" i="1"/>
  <c r="AF33" i="1"/>
  <c r="C38" i="1"/>
  <c r="H37" i="1"/>
  <c r="T17" i="1"/>
  <c r="C32" i="1"/>
  <c r="AI12" i="1"/>
  <c r="G38" i="1"/>
  <c r="J27" i="1"/>
  <c r="C12" i="1"/>
  <c r="Y18" i="1"/>
  <c r="X20" i="1"/>
  <c r="U28" i="1"/>
  <c r="AI16" i="1"/>
  <c r="X17" i="1"/>
  <c r="E21" i="1"/>
  <c r="AA30" i="1"/>
  <c r="AA37" i="1"/>
  <c r="N38" i="1"/>
  <c r="D27" i="1"/>
  <c r="T33" i="1"/>
  <c r="AJ35" i="1"/>
  <c r="A7" i="1"/>
  <c r="J11" i="1"/>
  <c r="M6" i="1"/>
  <c r="P6" i="1"/>
  <c r="T37" i="1"/>
  <c r="A23" i="1"/>
  <c r="G37" i="1"/>
  <c r="I6" i="1"/>
  <c r="K6" i="1"/>
  <c r="P20" i="1"/>
  <c r="F37" i="1"/>
  <c r="B6" i="1"/>
  <c r="P14" i="1"/>
  <c r="AG34" i="1"/>
  <c r="Y23" i="1"/>
  <c r="A19" i="1"/>
  <c r="AF32" i="1"/>
  <c r="M27" i="1"/>
  <c r="E27" i="1"/>
  <c r="K30" i="1"/>
  <c r="AF30" i="1"/>
  <c r="C27" i="1"/>
  <c r="M30" i="1"/>
  <c r="M31" i="1"/>
  <c r="U10" i="1"/>
  <c r="I23" i="1"/>
  <c r="AF17" i="1"/>
  <c r="AI38" i="1"/>
  <c r="AI27" i="1"/>
  <c r="R7" i="1"/>
  <c r="AH16" i="1"/>
  <c r="K15" i="1"/>
  <c r="AI10" i="1"/>
  <c r="L7" i="1"/>
  <c r="N34" i="1"/>
  <c r="R14" i="1"/>
  <c r="Y35" i="1"/>
  <c r="AC11" i="1"/>
  <c r="G23" i="1"/>
  <c r="AH28" i="1"/>
  <c r="AH7" i="1"/>
  <c r="M16" i="1"/>
  <c r="R31" i="1"/>
  <c r="X15" i="1"/>
  <c r="G21" i="1"/>
  <c r="AJ19" i="1"/>
  <c r="R30" i="1"/>
  <c r="R32" i="1"/>
  <c r="AA7" i="1"/>
  <c r="F38" i="1"/>
  <c r="AA11" i="1"/>
  <c r="L11" i="1"/>
  <c r="P34" i="1"/>
  <c r="AA38" i="1"/>
  <c r="R34" i="1"/>
  <c r="AJ29" i="1"/>
  <c r="AC28" i="1"/>
  <c r="AI34" i="1"/>
  <c r="X38" i="1"/>
  <c r="AA19" i="1"/>
  <c r="Z6" i="1"/>
  <c r="A13" i="1"/>
  <c r="A25" i="1"/>
  <c r="L13" i="1"/>
  <c r="O6" i="1"/>
  <c r="I12" i="1"/>
  <c r="AD6" i="1"/>
  <c r="Z29" i="1"/>
  <c r="AH14" i="1"/>
  <c r="U16" i="1"/>
  <c r="T18" i="1"/>
  <c r="H33" i="1"/>
  <c r="I20" i="1"/>
  <c r="I15" i="1"/>
  <c r="AG12" i="1"/>
  <c r="C34" i="1"/>
  <c r="X7" i="1"/>
  <c r="I19" i="1"/>
  <c r="AJ37" i="1"/>
  <c r="P15" i="1"/>
  <c r="G34" i="1"/>
  <c r="AD35" i="1"/>
  <c r="AD18" i="1"/>
  <c r="Q38" i="1"/>
  <c r="Y17" i="1"/>
  <c r="AI17" i="1"/>
  <c r="E20" i="1"/>
  <c r="C35" i="1"/>
  <c r="Q29" i="1"/>
  <c r="C18" i="1"/>
  <c r="C20" i="1"/>
  <c r="E7" i="1"/>
  <c r="K38" i="1"/>
  <c r="AH19" i="1"/>
  <c r="AG32" i="1"/>
  <c r="H19" i="1"/>
  <c r="AG18" i="1"/>
  <c r="AF31" i="1"/>
  <c r="H10" i="1"/>
  <c r="U23" i="1"/>
  <c r="T32" i="1"/>
  <c r="F7" i="1"/>
  <c r="H16" i="1"/>
  <c r="N31" i="1"/>
  <c r="D34" i="1"/>
  <c r="Q15" i="1"/>
  <c r="Y21" i="1"/>
  <c r="K19" i="1"/>
  <c r="E30" i="1"/>
  <c r="R29" i="1"/>
  <c r="AA18" i="1"/>
  <c r="AD38" i="1"/>
  <c r="R28" i="1"/>
  <c r="AE6" i="1"/>
  <c r="AG14" i="1"/>
  <c r="F27" i="1"/>
  <c r="Y20" i="1"/>
  <c r="R11" i="1"/>
  <c r="Z27" i="1"/>
  <c r="U21" i="1"/>
  <c r="A22" i="1"/>
  <c r="L27" i="1"/>
  <c r="Y38" i="1"/>
  <c r="N33" i="1"/>
  <c r="W6" i="1"/>
  <c r="A26" i="1"/>
  <c r="W20" i="1"/>
  <c r="Z13" i="1"/>
  <c r="E37" i="1"/>
  <c r="Q37" i="1"/>
  <c r="W11" i="1"/>
  <c r="K25" i="1"/>
  <c r="V6" i="1"/>
  <c r="AJ20" i="1"/>
  <c r="T34" i="1"/>
  <c r="C33" i="1"/>
  <c r="AE25" i="1"/>
  <c r="V22" i="1"/>
  <c r="O25" i="1"/>
  <c r="V13" i="1"/>
  <c r="X18" i="1"/>
  <c r="D26" i="1"/>
  <c r="E13" i="1"/>
  <c r="P37" i="1"/>
  <c r="P32" i="1"/>
  <c r="AA12" i="1"/>
  <c r="E16" i="1"/>
  <c r="M26" i="1"/>
  <c r="T22" i="1"/>
  <c r="G35" i="1"/>
  <c r="L33" i="1"/>
  <c r="AH25" i="1"/>
  <c r="AH10" i="1"/>
  <c r="M17" i="1"/>
  <c r="U13" i="1"/>
  <c r="I27" i="1"/>
  <c r="AF38" i="1"/>
  <c r="L16" i="1"/>
  <c r="P25" i="1"/>
  <c r="K31" i="1"/>
  <c r="F31" i="1"/>
  <c r="G25" i="1"/>
  <c r="G14" i="1"/>
  <c r="K18" i="1"/>
  <c r="J10" i="1"/>
  <c r="AA15" i="1"/>
  <c r="C16" i="1"/>
  <c r="B27" i="1"/>
  <c r="J18" i="1"/>
  <c r="I21" i="1"/>
  <c r="R13" i="1"/>
  <c r="E33" i="1"/>
  <c r="AJ38" i="1"/>
  <c r="L17" i="1"/>
  <c r="AF35" i="1"/>
  <c r="E32" i="1"/>
  <c r="T7" i="1"/>
  <c r="I16" i="1"/>
  <c r="E15" i="1"/>
  <c r="AH30" i="1"/>
  <c r="C11" i="1"/>
  <c r="AD27" i="1"/>
  <c r="U17" i="1"/>
  <c r="T31" i="1"/>
  <c r="C37" i="1"/>
  <c r="A36" i="1"/>
  <c r="S6" i="1"/>
  <c r="S13" i="1"/>
  <c r="W33" i="1"/>
  <c r="AG22" i="1"/>
  <c r="AI26" i="1"/>
  <c r="Q22" i="1"/>
  <c r="G18" i="1"/>
  <c r="E29" i="1"/>
  <c r="A9" i="1"/>
  <c r="P29" i="1"/>
  <c r="P27" i="1"/>
  <c r="AI25" i="1"/>
  <c r="M22" i="1"/>
  <c r="M35" i="1"/>
  <c r="J34" i="1"/>
  <c r="U36" i="1"/>
  <c r="T11" i="1"/>
  <c r="AJ18" i="1"/>
  <c r="AJ12" i="1"/>
  <c r="L30" i="1"/>
  <c r="L25" i="1"/>
  <c r="AH34" i="1"/>
  <c r="C25" i="1"/>
  <c r="Q33" i="1"/>
  <c r="Y16" i="1"/>
  <c r="X29" i="1"/>
  <c r="D15" i="1"/>
  <c r="O7" i="1"/>
  <c r="B33" i="1"/>
  <c r="B18" i="1"/>
  <c r="AG31" i="1"/>
  <c r="AA20" i="1"/>
  <c r="M34" i="1"/>
  <c r="Q10" i="1"/>
  <c r="P23" i="1"/>
  <c r="AJ15" i="1"/>
  <c r="AA26" i="1"/>
  <c r="J38" i="1"/>
  <c r="W36" i="1"/>
  <c r="K32" i="1"/>
  <c r="K21" i="1"/>
  <c r="L10" i="1"/>
  <c r="N17" i="1"/>
  <c r="AE22" i="1"/>
  <c r="O11" i="1"/>
  <c r="F34" i="1"/>
  <c r="F28" i="1"/>
  <c r="J29" i="1"/>
  <c r="V20" i="1"/>
  <c r="G15" i="1"/>
  <c r="M12" i="1"/>
  <c r="T35" i="1"/>
  <c r="AE32" i="1"/>
  <c r="AI9" i="1"/>
  <c r="K16" i="1"/>
  <c r="U22" i="1"/>
  <c r="D32" i="1"/>
  <c r="B15" i="1"/>
  <c r="T21" i="1"/>
  <c r="H28" i="1"/>
  <c r="AG19" i="1"/>
  <c r="C30" i="1"/>
  <c r="R36" i="1"/>
  <c r="AA28" i="1"/>
  <c r="Z26" i="1"/>
  <c r="A24" i="1"/>
  <c r="I28" i="1"/>
  <c r="H18" i="1"/>
  <c r="H22" i="1"/>
  <c r="U31" i="1"/>
  <c r="R24" i="1"/>
  <c r="AJ32" i="1"/>
  <c r="U29" i="1"/>
  <c r="AA17" i="1"/>
  <c r="AB6" i="1"/>
  <c r="L22" i="1"/>
  <c r="E10" i="1"/>
  <c r="AJ17" i="1"/>
  <c r="U32" i="1"/>
  <c r="AA36" i="1"/>
  <c r="U37" i="1"/>
  <c r="M7" i="1"/>
  <c r="H7" i="1"/>
  <c r="J32" i="1"/>
  <c r="AG26" i="1"/>
  <c r="F13" i="1"/>
  <c r="AF14" i="1"/>
  <c r="L19" i="1"/>
  <c r="W22" i="1"/>
  <c r="L38" i="1"/>
  <c r="N30" i="1"/>
  <c r="AB15" i="1"/>
  <c r="AJ16" i="1"/>
  <c r="B32" i="1"/>
  <c r="AA34" i="1"/>
  <c r="N35" i="1"/>
  <c r="AB30" i="1"/>
  <c r="C19" i="1"/>
  <c r="H36" i="1"/>
  <c r="AC21" i="1"/>
  <c r="O15" i="1"/>
  <c r="D14" i="1"/>
  <c r="X28" i="1"/>
  <c r="Q16" i="1"/>
  <c r="N24" i="1"/>
  <c r="F9" i="1"/>
  <c r="B17" i="1"/>
  <c r="G32" i="1"/>
  <c r="J17" i="1"/>
  <c r="E19" i="1"/>
  <c r="Y33" i="1"/>
  <c r="AH26" i="1"/>
  <c r="P13" i="1"/>
  <c r="P7" i="1"/>
  <c r="H25" i="1"/>
  <c r="AA21" i="1"/>
  <c r="AA32" i="1"/>
  <c r="AF10" i="1"/>
  <c r="Z38" i="1"/>
  <c r="AJ33" i="1"/>
  <c r="I9" i="1"/>
  <c r="AF23" i="1"/>
  <c r="D25" i="1"/>
  <c r="AJ24" i="1"/>
  <c r="AF37" i="1"/>
  <c r="L37" i="1"/>
  <c r="E18" i="1"/>
  <c r="AC31" i="1"/>
  <c r="J19" i="1"/>
  <c r="AI23" i="1"/>
  <c r="AC7" i="1"/>
  <c r="Z25" i="1"/>
  <c r="W9" i="1"/>
  <c r="S21" i="1"/>
  <c r="F23" i="1"/>
  <c r="P36" i="1"/>
  <c r="I17" i="1"/>
  <c r="R10" i="1"/>
  <c r="N18" i="1"/>
  <c r="Q35" i="1"/>
  <c r="AB19" i="1"/>
  <c r="K37" i="1"/>
  <c r="F19" i="1"/>
  <c r="H20" i="1"/>
  <c r="S34" i="1"/>
  <c r="O16" i="1"/>
  <c r="O17" i="1"/>
  <c r="AH12" i="1"/>
  <c r="L35" i="1"/>
  <c r="U14" i="1"/>
  <c r="U35" i="1"/>
  <c r="B9" i="1"/>
  <c r="AE35" i="1"/>
  <c r="Y14" i="1"/>
  <c r="E14" i="1"/>
  <c r="K22" i="1"/>
  <c r="AC36" i="1"/>
  <c r="P11" i="1"/>
  <c r="P22" i="1"/>
  <c r="Y22" i="1"/>
  <c r="AF22" i="1"/>
  <c r="M37" i="1"/>
  <c r="AB18" i="1"/>
  <c r="V18" i="1"/>
  <c r="P18" i="1"/>
  <c r="B34" i="1"/>
  <c r="U34" i="1"/>
  <c r="O14" i="1"/>
  <c r="H14" i="1"/>
  <c r="AC14" i="1"/>
  <c r="I14" i="1"/>
  <c r="S14" i="1"/>
  <c r="D20" i="1"/>
  <c r="K20" i="1"/>
  <c r="AF20" i="1"/>
  <c r="G20" i="1"/>
  <c r="U20" i="1"/>
  <c r="Z20" i="1"/>
  <c r="M33" i="1"/>
  <c r="R33" i="1"/>
  <c r="S33" i="1"/>
  <c r="AI33" i="1"/>
  <c r="M11" i="1"/>
  <c r="AE11" i="1"/>
  <c r="I11" i="1"/>
  <c r="Q11" i="1"/>
  <c r="AH11" i="1"/>
  <c r="D11" i="1"/>
  <c r="N11" i="1"/>
  <c r="H11" i="1"/>
  <c r="X11" i="1"/>
  <c r="W27" i="1"/>
  <c r="K27" i="1"/>
  <c r="V27" i="1"/>
  <c r="AF27" i="1"/>
  <c r="R27" i="1"/>
  <c r="Y27" i="1"/>
  <c r="AC27" i="1"/>
  <c r="AA27" i="1"/>
  <c r="AH27" i="1"/>
  <c r="X27" i="1"/>
  <c r="O27" i="1"/>
  <c r="AE27" i="1"/>
  <c r="AJ27" i="1"/>
  <c r="S15" i="1"/>
  <c r="J15" i="1"/>
  <c r="AI15" i="1"/>
  <c r="Y15" i="1"/>
  <c r="U15" i="1"/>
  <c r="M15" i="1"/>
  <c r="AG15" i="1"/>
  <c r="W15" i="1"/>
  <c r="O29" i="1"/>
  <c r="AC29" i="1"/>
  <c r="V29" i="1"/>
  <c r="T29" i="1"/>
  <c r="Y29" i="1"/>
  <c r="AG21" i="1"/>
  <c r="C21" i="1"/>
  <c r="Z21" i="1"/>
  <c r="W21" i="1"/>
  <c r="H21" i="1"/>
  <c r="N21" i="1"/>
  <c r="P21" i="1"/>
  <c r="V21" i="1"/>
  <c r="AJ21" i="1"/>
  <c r="W30" i="1"/>
  <c r="Y30" i="1"/>
  <c r="S30" i="1"/>
  <c r="AC30" i="1"/>
  <c r="O30" i="1"/>
  <c r="X30" i="1"/>
  <c r="Q30" i="1"/>
  <c r="P30" i="1"/>
  <c r="AJ30" i="1"/>
  <c r="J30" i="1"/>
  <c r="G30" i="1"/>
  <c r="AJ28" i="1"/>
  <c r="G28" i="1"/>
  <c r="J28" i="1"/>
  <c r="E28" i="1"/>
  <c r="AD28" i="1"/>
  <c r="C28" i="1"/>
  <c r="S28" i="1"/>
  <c r="P28" i="1"/>
  <c r="O28" i="1"/>
  <c r="AE28" i="1"/>
  <c r="T28" i="1"/>
  <c r="W28" i="1"/>
  <c r="AI28" i="1"/>
  <c r="Q28" i="1"/>
  <c r="F30" i="1"/>
  <c r="F18" i="1"/>
  <c r="F10" i="1"/>
  <c r="V16" i="1"/>
  <c r="R16" i="1"/>
  <c r="D16" i="1"/>
  <c r="AB16" i="1"/>
  <c r="B16" i="1"/>
  <c r="AF16" i="1"/>
  <c r="F16" i="1"/>
  <c r="W16" i="1"/>
  <c r="AG16" i="1"/>
  <c r="G16" i="1"/>
  <c r="P16" i="1"/>
  <c r="H34" i="1"/>
  <c r="H30" i="1"/>
  <c r="H29" i="1"/>
  <c r="N27" i="1"/>
  <c r="N14" i="1"/>
  <c r="N20" i="1"/>
  <c r="AJ34" i="1"/>
  <c r="AJ10" i="1"/>
  <c r="AK6" i="1"/>
  <c r="AG35" i="1"/>
  <c r="K35" i="1"/>
  <c r="I35" i="1"/>
  <c r="R35" i="1"/>
  <c r="O35" i="1"/>
  <c r="AC35" i="1"/>
  <c r="W35" i="1"/>
  <c r="J35" i="1"/>
  <c r="H35" i="1"/>
  <c r="AK35" i="1"/>
  <c r="Z35" i="1"/>
  <c r="AI35" i="1"/>
  <c r="X35" i="1"/>
  <c r="AA35" i="1"/>
  <c r="AH35" i="1"/>
  <c r="S35" i="1"/>
  <c r="D35" i="1"/>
  <c r="AJ31" i="1"/>
  <c r="H31" i="1"/>
  <c r="J31" i="1"/>
  <c r="D31" i="1"/>
  <c r="C31" i="1"/>
  <c r="L31" i="1"/>
  <c r="S31" i="1"/>
  <c r="Y31" i="1"/>
  <c r="I31" i="1"/>
  <c r="O31" i="1"/>
  <c r="E31" i="1"/>
  <c r="AD31" i="1"/>
  <c r="AI31" i="1"/>
  <c r="P31" i="1"/>
  <c r="X31" i="1"/>
  <c r="Q31" i="1"/>
  <c r="G31" i="1"/>
  <c r="AA16" i="1"/>
  <c r="AA33" i="1"/>
  <c r="Q14" i="1"/>
  <c r="Q18" i="1"/>
  <c r="AD37" i="1"/>
  <c r="R37" i="1"/>
  <c r="B37" i="1"/>
  <c r="AE37" i="1"/>
  <c r="I37" i="1"/>
  <c r="Y37" i="1"/>
  <c r="O37" i="1"/>
  <c r="J37" i="1"/>
  <c r="AC37" i="1"/>
  <c r="AB37" i="1"/>
  <c r="S37" i="1"/>
  <c r="AH37" i="1"/>
  <c r="Z37" i="1"/>
  <c r="AK37" i="1"/>
  <c r="D37" i="1"/>
  <c r="N37" i="1"/>
  <c r="AI37" i="1"/>
  <c r="AC18" i="1"/>
  <c r="AC16" i="1"/>
  <c r="AC15" i="1"/>
  <c r="AC33" i="1"/>
  <c r="AC34" i="1"/>
  <c r="R17" i="1"/>
  <c r="W17" i="1"/>
  <c r="P17" i="1"/>
  <c r="C17" i="1"/>
  <c r="Q17" i="1"/>
  <c r="D17" i="1"/>
  <c r="AG17" i="1"/>
  <c r="Z17" i="1"/>
  <c r="S17" i="1"/>
  <c r="F17" i="1"/>
  <c r="AE17" i="1"/>
  <c r="AD17" i="1"/>
  <c r="AB17" i="1"/>
  <c r="H17" i="1"/>
  <c r="AC17" i="1"/>
  <c r="AH17" i="1"/>
  <c r="G17" i="1"/>
  <c r="V17" i="1"/>
  <c r="AH21" i="1"/>
  <c r="AH29" i="1"/>
  <c r="AH18" i="1"/>
  <c r="U11" i="1"/>
  <c r="U27" i="1"/>
  <c r="U30" i="1"/>
  <c r="U33" i="1"/>
  <c r="U18" i="1"/>
  <c r="R38" i="1"/>
  <c r="M38" i="1"/>
  <c r="H38" i="1"/>
  <c r="P38" i="1"/>
  <c r="E38" i="1"/>
  <c r="AB38" i="1"/>
  <c r="W38" i="1"/>
  <c r="T38" i="1"/>
  <c r="S38" i="1"/>
  <c r="I38" i="1"/>
  <c r="AH38" i="1"/>
  <c r="O38" i="1"/>
  <c r="U38" i="1"/>
  <c r="AE38" i="1"/>
  <c r="D38" i="1"/>
  <c r="A39" i="1"/>
  <c r="AG38" i="1"/>
  <c r="AG30" i="1"/>
  <c r="AG33" i="1"/>
  <c r="AG28" i="1"/>
  <c r="AG27" i="1"/>
  <c r="AG20" i="1"/>
  <c r="AG11" i="1"/>
  <c r="AG10" i="1"/>
  <c r="AI29" i="1"/>
  <c r="AI30" i="1"/>
  <c r="AI21" i="1"/>
  <c r="AI20" i="1"/>
  <c r="AI11" i="1"/>
  <c r="AI18" i="1"/>
  <c r="R12" i="1"/>
  <c r="J12" i="1"/>
  <c r="AE12" i="1"/>
  <c r="F12" i="1"/>
  <c r="AC12" i="1"/>
  <c r="N12" i="1"/>
  <c r="O12" i="1"/>
  <c r="T12" i="1"/>
  <c r="L12" i="1"/>
  <c r="H12" i="1"/>
  <c r="U12" i="1"/>
  <c r="Y12" i="1"/>
  <c r="D12" i="1"/>
  <c r="V12" i="1"/>
  <c r="P12" i="1"/>
  <c r="X12" i="1"/>
  <c r="K12" i="1"/>
  <c r="AB12" i="1"/>
  <c r="W12" i="1"/>
  <c r="S12" i="1"/>
  <c r="AF12" i="1"/>
  <c r="G12" i="1"/>
  <c r="Q12" i="1"/>
  <c r="E12" i="1"/>
  <c r="B12" i="1"/>
  <c r="Q32" i="1"/>
  <c r="AK32" i="1"/>
  <c r="Y32" i="1"/>
  <c r="N32" i="1"/>
  <c r="AH32" i="1"/>
  <c r="AC32" i="1"/>
  <c r="Z32" i="1"/>
  <c r="I32" i="1"/>
  <c r="X32" i="1"/>
  <c r="AI32" i="1"/>
  <c r="O32" i="1"/>
  <c r="M32" i="1"/>
  <c r="V32" i="1"/>
  <c r="W32" i="1"/>
  <c r="F32" i="1"/>
  <c r="H32" i="1"/>
  <c r="AD32" i="1"/>
  <c r="X37" i="1"/>
  <c r="X33" i="1"/>
  <c r="X16" i="1"/>
  <c r="X21" i="1"/>
  <c r="X10" i="1"/>
  <c r="X14" i="1"/>
  <c r="X34" i="1"/>
  <c r="D7" i="1"/>
  <c r="G7" i="1"/>
  <c r="Z7" i="1"/>
  <c r="V7" i="1"/>
  <c r="AI7" i="1"/>
  <c r="AF7" i="1"/>
  <c r="AD7" i="1"/>
  <c r="K7" i="1"/>
  <c r="J7" i="1"/>
  <c r="U7" i="1"/>
  <c r="B7" i="1"/>
  <c r="S7" i="1"/>
  <c r="AJ7" i="1"/>
  <c r="Q7" i="1"/>
  <c r="AK7" i="1"/>
  <c r="AE7" i="1"/>
  <c r="I7" i="1"/>
  <c r="AG7" i="1"/>
  <c r="Y7" i="1"/>
  <c r="N7" i="1"/>
  <c r="W7" i="1"/>
  <c r="M21" i="1"/>
  <c r="M28" i="1"/>
  <c r="M20" i="1"/>
  <c r="M29" i="1"/>
  <c r="M10" i="1"/>
  <c r="M18" i="1"/>
  <c r="M14" i="1"/>
  <c r="P10" i="1"/>
  <c r="P35" i="1"/>
  <c r="P33" i="1"/>
  <c r="R23" i="1"/>
  <c r="AD23" i="1"/>
  <c r="AG23" i="1"/>
  <c r="AB23" i="1"/>
  <c r="S23" i="1"/>
  <c r="AC23" i="1"/>
  <c r="AH23" i="1"/>
  <c r="O23" i="1"/>
  <c r="M23" i="1"/>
  <c r="AE23" i="1"/>
  <c r="Q23" i="1"/>
  <c r="L23" i="1"/>
  <c r="B23" i="1"/>
  <c r="D23" i="1"/>
  <c r="AJ23" i="1"/>
  <c r="AA23" i="1"/>
  <c r="V23" i="1"/>
  <c r="Z23" i="1"/>
  <c r="AK23" i="1"/>
  <c r="H23" i="1"/>
  <c r="W23" i="1"/>
  <c r="X23" i="1"/>
  <c r="J23" i="1"/>
  <c r="N23" i="1"/>
  <c r="K23" i="1"/>
  <c r="T23" i="1"/>
  <c r="C23" i="1"/>
  <c r="E23" i="1"/>
  <c r="I30" i="1"/>
  <c r="I34" i="1"/>
  <c r="I29" i="1"/>
  <c r="I33" i="1"/>
  <c r="I18" i="1"/>
  <c r="I10" i="1"/>
  <c r="K29" i="1"/>
  <c r="K14" i="1"/>
  <c r="K34" i="1"/>
  <c r="K17" i="1"/>
  <c r="K28" i="1"/>
  <c r="K11" i="1"/>
  <c r="K33" i="1"/>
  <c r="K10" i="1"/>
  <c r="B28" i="1"/>
  <c r="B20" i="1"/>
  <c r="B38" i="1"/>
  <c r="B21" i="1"/>
  <c r="B35" i="1"/>
  <c r="B30" i="1"/>
  <c r="B31" i="1"/>
  <c r="B14" i="1"/>
  <c r="B29" i="1"/>
  <c r="B11" i="1"/>
  <c r="B10" i="1"/>
  <c r="T19" i="1"/>
  <c r="N19" i="1"/>
  <c r="AE19" i="1"/>
  <c r="AI19" i="1"/>
  <c r="AF19" i="1"/>
  <c r="R19" i="1"/>
  <c r="AK19" i="1"/>
  <c r="X19" i="1"/>
  <c r="AC19" i="1"/>
  <c r="Q19" i="1"/>
  <c r="W19" i="1"/>
  <c r="Z19" i="1"/>
  <c r="Y19" i="1"/>
  <c r="G19" i="1"/>
  <c r="O19" i="1"/>
  <c r="B19" i="1"/>
  <c r="U19" i="1"/>
  <c r="V19" i="1"/>
  <c r="M19" i="1"/>
  <c r="AD19" i="1"/>
  <c r="P19" i="1"/>
  <c r="S19" i="1"/>
  <c r="D19" i="1"/>
  <c r="Z12" i="1"/>
  <c r="Z33" i="1"/>
  <c r="Z11" i="1"/>
  <c r="Z31" i="1"/>
  <c r="Z16" i="1"/>
  <c r="Z28" i="1"/>
  <c r="Z30" i="1"/>
  <c r="Z18" i="1"/>
  <c r="Z14" i="1"/>
  <c r="Z15" i="1"/>
  <c r="Z34" i="1"/>
  <c r="Z10" i="1"/>
  <c r="O13" i="1"/>
  <c r="AE13" i="1"/>
  <c r="AH13" i="1"/>
  <c r="Y13" i="1"/>
  <c r="M13" i="1"/>
  <c r="AD13" i="1"/>
  <c r="AA13" i="1"/>
  <c r="I13" i="1"/>
  <c r="Q13" i="1"/>
  <c r="B13" i="1"/>
  <c r="AC13" i="1"/>
  <c r="AF13" i="1"/>
  <c r="T13" i="1"/>
  <c r="H13" i="1"/>
  <c r="AI13" i="1"/>
  <c r="G13" i="1"/>
  <c r="AG13" i="1"/>
  <c r="AB13" i="1"/>
  <c r="C13" i="1"/>
  <c r="N13" i="1"/>
  <c r="X13" i="1"/>
  <c r="J13" i="1"/>
  <c r="K13" i="1"/>
  <c r="D13" i="1"/>
  <c r="AJ13" i="1"/>
  <c r="AC25" i="1"/>
  <c r="AK25" i="1"/>
  <c r="X25" i="1"/>
  <c r="B25" i="1"/>
  <c r="AG25" i="1"/>
  <c r="AJ25" i="1"/>
  <c r="M25" i="1"/>
  <c r="F25" i="1"/>
  <c r="Q25" i="1"/>
  <c r="U25" i="1"/>
  <c r="J25" i="1"/>
  <c r="AA25" i="1"/>
  <c r="Y25" i="1"/>
  <c r="N25" i="1"/>
  <c r="AF25" i="1"/>
  <c r="V25" i="1"/>
  <c r="AD25" i="1"/>
  <c r="E25" i="1"/>
  <c r="S25" i="1"/>
  <c r="T25" i="1"/>
  <c r="I25" i="1"/>
  <c r="R25" i="1"/>
  <c r="O21" i="1"/>
  <c r="O34" i="1"/>
  <c r="O10" i="1"/>
  <c r="O18" i="1"/>
  <c r="O33" i="1"/>
  <c r="O20" i="1"/>
  <c r="AD10" i="1"/>
  <c r="AD12" i="1"/>
  <c r="AD15" i="1"/>
  <c r="AD16" i="1"/>
  <c r="AD20" i="1"/>
  <c r="AD14" i="1"/>
  <c r="AD33" i="1"/>
  <c r="AD30" i="1"/>
  <c r="AD29" i="1"/>
  <c r="AD21" i="1"/>
  <c r="AD11" i="1"/>
  <c r="AD34" i="1"/>
  <c r="AE34" i="1"/>
  <c r="AE18" i="1"/>
  <c r="AE21" i="1"/>
  <c r="AE30" i="1"/>
  <c r="AE20" i="1"/>
  <c r="AE31" i="1"/>
  <c r="AE29" i="1"/>
  <c r="AE16" i="1"/>
  <c r="AE33" i="1"/>
  <c r="AE15" i="1"/>
  <c r="AE14" i="1"/>
  <c r="AE10" i="1"/>
  <c r="O22" i="1"/>
  <c r="AH22" i="1"/>
  <c r="S22" i="1"/>
  <c r="AI22" i="1"/>
  <c r="F22" i="1"/>
  <c r="AC22" i="1"/>
  <c r="B22" i="1"/>
  <c r="E22" i="1"/>
  <c r="AK22" i="1"/>
  <c r="G22" i="1"/>
  <c r="N22" i="1"/>
  <c r="X22" i="1"/>
  <c r="AD22" i="1"/>
  <c r="C22" i="1"/>
  <c r="R22" i="1"/>
  <c r="AJ22" i="1"/>
  <c r="I22" i="1"/>
  <c r="Z22" i="1"/>
  <c r="AA22" i="1"/>
  <c r="D22" i="1"/>
  <c r="AB22" i="1"/>
  <c r="J22" i="1"/>
  <c r="W25" i="1"/>
  <c r="W13" i="1"/>
  <c r="W29" i="1"/>
  <c r="W14" i="1"/>
  <c r="W37" i="1"/>
  <c r="W31" i="1"/>
  <c r="W34" i="1"/>
  <c r="W10" i="1"/>
  <c r="W18" i="1"/>
  <c r="Q26" i="1"/>
  <c r="Y26" i="1"/>
  <c r="R26" i="1"/>
  <c r="S26" i="1"/>
  <c r="V26" i="1"/>
  <c r="T26" i="1"/>
  <c r="E26" i="1"/>
  <c r="B26" i="1"/>
  <c r="AD26" i="1"/>
  <c r="AC26" i="1"/>
  <c r="AB26" i="1"/>
  <c r="L26" i="1"/>
  <c r="W26" i="1"/>
  <c r="K26" i="1"/>
  <c r="AK26" i="1"/>
  <c r="C26" i="1"/>
  <c r="F26" i="1"/>
  <c r="AF26" i="1"/>
  <c r="X26" i="1"/>
  <c r="U26" i="1"/>
  <c r="O26" i="1"/>
  <c r="G26" i="1"/>
  <c r="H26" i="1"/>
  <c r="P26" i="1"/>
  <c r="AJ26" i="1"/>
  <c r="AE26" i="1"/>
  <c r="J26" i="1"/>
  <c r="I26" i="1"/>
  <c r="N26" i="1"/>
  <c r="V33" i="1"/>
  <c r="V31" i="1"/>
  <c r="V10" i="1"/>
  <c r="V28" i="1"/>
  <c r="V38" i="1"/>
  <c r="V30" i="1"/>
  <c r="V37" i="1"/>
  <c r="V35" i="1"/>
  <c r="V11" i="1"/>
  <c r="V34" i="1"/>
  <c r="V14" i="1"/>
  <c r="V15" i="1"/>
  <c r="I36" i="1"/>
  <c r="Y36" i="1"/>
  <c r="C36" i="1"/>
  <c r="AB36" i="1"/>
  <c r="O36" i="1"/>
  <c r="AF36" i="1"/>
  <c r="AD36" i="1"/>
  <c r="AJ36" i="1"/>
  <c r="V36" i="1"/>
  <c r="AK36" i="1"/>
  <c r="J36" i="1"/>
  <c r="M36" i="1"/>
  <c r="G36" i="1"/>
  <c r="AH36" i="1"/>
  <c r="E36" i="1"/>
  <c r="AE36" i="1"/>
  <c r="AG36" i="1"/>
  <c r="S36" i="1"/>
  <c r="D36" i="1"/>
  <c r="K36" i="1"/>
  <c r="X36" i="1"/>
  <c r="N36" i="1"/>
  <c r="F36" i="1"/>
  <c r="Q36" i="1"/>
  <c r="T36" i="1"/>
  <c r="Z36" i="1"/>
  <c r="B36" i="1"/>
  <c r="AI36" i="1"/>
  <c r="S29" i="1"/>
  <c r="S32" i="1"/>
  <c r="S16" i="1"/>
  <c r="S10" i="1"/>
  <c r="S11" i="1"/>
  <c r="S27" i="1"/>
  <c r="S20" i="1"/>
  <c r="S18" i="1"/>
  <c r="K9" i="1"/>
  <c r="U9" i="1"/>
  <c r="AH9" i="1"/>
  <c r="J9" i="1"/>
  <c r="T9" i="1"/>
  <c r="S9" i="1"/>
  <c r="D9" i="1"/>
  <c r="R9" i="1"/>
  <c r="H9" i="1"/>
  <c r="L9" i="1"/>
  <c r="AE9" i="1"/>
  <c r="X9" i="1"/>
  <c r="Y9" i="1"/>
  <c r="E9" i="1"/>
  <c r="G9" i="1"/>
  <c r="AF9" i="1"/>
  <c r="AD9" i="1"/>
  <c r="M9" i="1"/>
  <c r="O9" i="1"/>
  <c r="C9" i="1"/>
  <c r="V9" i="1"/>
  <c r="AJ9" i="1"/>
  <c r="P9" i="1"/>
  <c r="AA9" i="1"/>
  <c r="AG9" i="1"/>
  <c r="AB9" i="1"/>
  <c r="N9" i="1"/>
  <c r="Z9" i="1"/>
  <c r="AK9" i="1"/>
  <c r="Q9" i="1"/>
  <c r="AC9" i="1"/>
  <c r="U24" i="1"/>
  <c r="P24" i="1"/>
  <c r="Q24" i="1"/>
  <c r="AC24" i="1"/>
  <c r="T24" i="1"/>
  <c r="B24" i="1"/>
  <c r="F24" i="1"/>
  <c r="AB24" i="1"/>
  <c r="X24" i="1"/>
  <c r="G24" i="1"/>
  <c r="AI24" i="1"/>
  <c r="Y24" i="1"/>
  <c r="AF24" i="1"/>
  <c r="I24" i="1"/>
  <c r="AA24" i="1"/>
  <c r="O24" i="1"/>
  <c r="V24" i="1"/>
  <c r="AK24" i="1"/>
  <c r="H24" i="1"/>
  <c r="AH24" i="1"/>
  <c r="L24" i="1"/>
  <c r="AG24" i="1"/>
  <c r="AE24" i="1"/>
  <c r="AD24" i="1"/>
  <c r="K24" i="1"/>
  <c r="Z24" i="1"/>
  <c r="W24" i="1"/>
  <c r="J24" i="1"/>
  <c r="M24" i="1"/>
  <c r="D24" i="1"/>
  <c r="C24" i="1"/>
  <c r="E24" i="1"/>
  <c r="S24" i="1"/>
  <c r="AB32" i="1"/>
  <c r="AB7" i="1"/>
  <c r="AB14" i="1"/>
  <c r="AB27" i="1"/>
  <c r="AB21" i="1"/>
  <c r="AB31" i="1"/>
  <c r="AB25" i="1"/>
  <c r="AB34" i="1"/>
  <c r="AB29" i="1"/>
  <c r="AB35" i="1"/>
  <c r="AB28" i="1"/>
  <c r="AB11" i="1"/>
  <c r="AB10" i="1"/>
  <c r="AB20" i="1"/>
  <c r="AB33" i="1"/>
  <c r="AK16" i="1"/>
  <c r="AK30" i="1"/>
  <c r="AK21" i="1"/>
  <c r="AK15" i="1"/>
  <c r="AK38" i="1"/>
  <c r="AK29" i="1"/>
  <c r="AK17" i="1"/>
  <c r="AK31" i="1"/>
  <c r="AK13" i="1"/>
  <c r="AK20" i="1"/>
  <c r="AK34" i="1"/>
  <c r="AK18" i="1"/>
  <c r="AK12" i="1"/>
  <c r="AK28" i="1"/>
  <c r="AK11" i="1"/>
  <c r="AK14" i="1"/>
  <c r="AK27" i="1"/>
  <c r="AK33" i="1"/>
  <c r="AK10" i="1"/>
  <c r="AH39" i="1"/>
  <c r="AI39" i="1"/>
  <c r="F39" i="1"/>
  <c r="N39" i="1"/>
  <c r="Y39" i="1"/>
  <c r="AC39" i="1"/>
  <c r="X39" i="1"/>
  <c r="E39" i="1"/>
  <c r="K39" i="1"/>
  <c r="L39" i="1"/>
  <c r="S39" i="1"/>
  <c r="C39" i="1"/>
  <c r="M39" i="1"/>
  <c r="AD39" i="1"/>
  <c r="Q39" i="1"/>
  <c r="V39" i="1"/>
  <c r="O39" i="1"/>
  <c r="W39" i="1"/>
  <c r="AG39" i="1"/>
  <c r="AA39" i="1"/>
  <c r="U39" i="1"/>
  <c r="P39" i="1"/>
  <c r="H39" i="1"/>
  <c r="AJ39" i="1"/>
  <c r="T39" i="1"/>
  <c r="AB39" i="1"/>
  <c r="I39" i="1"/>
  <c r="AF39" i="1"/>
  <c r="J39" i="1"/>
  <c r="Z39" i="1"/>
  <c r="AE39" i="1"/>
  <c r="B39" i="1"/>
  <c r="G39" i="1"/>
  <c r="R39" i="1"/>
  <c r="AK39" i="1"/>
  <c r="D39" i="1"/>
  <c r="D2" i="1" l="1"/>
  <c r="L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9CA8FD-9973-4FC7-B2F1-EFFA6421C866}" odcFile="C:\Users\afree\Documents\My Data Sources\AS Server.odc" keepAlive="1" name="DESKTOP-KSAPEQM AS Model" type="5" refreshedVersion="6" onlyUseConnectionFile="1" background="1">
    <dbPr connection="Provider=MSOLAP.8;Integrated Security=SSPI;Persist Security Info=True;Initial Catalog=AS;Data Source=DESKTOP-KSAPEQM;MDX Compatibility=1;Safety Options=2;MDX Missing Member Mode=Error;Update Isolation Level=2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74">
    <s v="DESKTOP-KSAPEQM AS Model"/>
    <s v="{[Data].[Original Source Data].[Source].&amp;[PENN]}"/>
    <s v="{[Data].[GDP and other output measures].[Output Definition].&amp;[Expenditure Approach]}"/>
    <s v="{[Indicator Detail].[Units].[Measure Type (Stock/Flow/etc)].&amp;[Flow].&amp;[Money].&amp;[USD]}"/>
    <s v="[Dates].[Year].&amp;[1983]"/>
    <s v="[Geography].[Blocs].[Country].&amp;[United States]"/>
    <s v="[Geography].[Blocs].[Country].&amp;[United Kingdom]"/>
    <s v="[Geography].[Blocs].[Country].&amp;[Ireland]"/>
    <s v="[Dates].[Year].&amp;[2013]"/>
    <s v="[Dates].[Year].&amp;[1997]"/>
    <s v="[Dates].[Year].&amp;[1981]"/>
    <s v="[Geography].[Blocs].[Country].&amp;[Taiwan]"/>
    <s v="[Dates].[Year].&amp;[2012]"/>
    <s v="[Dates].[Year].&amp;[1980]"/>
    <s v="[Geography].[Blocs].[Country].&amp;[France]"/>
    <s v="[Dates].[Year].&amp;[1982]"/>
    <s v="[Geography].[Blocs].[Country].&amp;[Iceland]"/>
    <s v="[Dates].[Year].&amp;[1996]"/>
    <s v="[Measures].[Item]"/>
    <s v="[Geography].[Blocs].[Country].&amp;[Switzerland]"/>
    <s v="[Geography].[Blocs].[Country].&amp;[Greece]"/>
    <s v="[Dates].[Year].&amp;[2011]"/>
    <s v="[Dates].[Year].&amp;[1995]"/>
    <s v="[Dates].[Year].&amp;[2010]"/>
    <s v="[Dates].[Year].&amp;[1994]"/>
    <s v="[Dates].[Year].&amp;[2009]"/>
    <s v="[Geography].[Blocs].[Country].&amp;[Sweden]"/>
    <s v="[Geography].[Blocs].[Country].&amp;[Germany]"/>
    <s v="[Geography].[Blocs].[Country].&amp;[Spain]"/>
    <s v="[Dates].[Year].&amp;[1993]"/>
    <s v="[Geography].[Blocs].[Country].&amp;[South Korea]"/>
    <s v="[Geography].[Blocs].[Country].&amp;[Finland]"/>
    <s v="[Dates].[Year].&amp;[2008]"/>
    <s v="[Dates].[Year].&amp;[1992]"/>
    <s v="[Dates].[Year].&amp;[2007]"/>
    <s v="[Geography].[Blocs].[Country].&amp;[Singapore]"/>
    <s v="[Geography].[Blocs].[Country].&amp;[Denmark]"/>
    <s v="[Dates].[Year].&amp;[1991]"/>
    <s v="[Geography].[Blocs].[Country].&amp;[Italy]"/>
    <s v="[Geography].[Blocs].[Country].&amp;[Portugal]"/>
    <s v="[Geography].[Blocs].[Country].&amp;[Cyprus]"/>
    <s v="[Dates].[Year].&amp;[2006]"/>
    <s v="[Dates].[Year].&amp;[1990]"/>
    <s v="[Geography].[Blocs].[Country].&amp;[Canada]"/>
    <s v="[Dates].[Year].&amp;[1989]"/>
    <s v="[Dates].[Year].&amp;[2000]"/>
    <s v="[Dates].[Year].&amp;[1999]"/>
    <s v="[Geography].[Blocs].[Country].&amp;[Israel]"/>
    <s v="[Geography].[Blocs].[Country].&amp;[Norway]"/>
    <s v="[Dates].[Year].&amp;[2005]"/>
    <s v="[Geography].[Blocs].[Country].&amp;[Japan]"/>
    <s v="[Geography].[Blocs].[Country].&amp;[New Zealand]"/>
    <s v="[Geography].[Blocs].[Country].&amp;[Belgium]"/>
    <s v="[Dates].[Year].&amp;[2004]"/>
    <s v="[Dates].[Year].&amp;[1988]"/>
    <s v="[Dates].[Year].&amp;[1984]"/>
    <s v="[Geography].[Blocs].[Country].&amp;[Netherlands]"/>
    <s v="[Geography].[Blocs].[Country].&amp;[Austria]"/>
    <s v="[Dates].[Year].&amp;[2003]"/>
    <s v="[Dates].[Year].&amp;[1987]"/>
    <s v="[Geography].[Blocs].[Country].&amp;[Malta]"/>
    <s v="[Geography].[Blocs].[Country].&amp;[Australia]"/>
    <s v="[Dates].[Year].&amp;[2002]"/>
    <s v="[Dates].[Year].&amp;[1986]"/>
    <s v="[Geography].[Blocs].[Major_Blocs].&amp;[China Mainland]"/>
    <s v="[Geography].[Blocs].[Major_Blocs].&amp;[South]"/>
    <s v="[Dates].[Year].&amp;[2014]"/>
    <s v="[Geography].[Blocs].[Country].&amp;[Luxemburg]"/>
    <s v="[Geography].[Blocs].[Major_Blocs].&amp;[North]"/>
    <s v="[Dates].[Year].&amp;[2001]"/>
    <s v="[Dates].[Year].&amp;[1985]"/>
    <s v="[Dates].[Year].&amp;[1998]"/>
    <s v="{([Geography].[Blocs].[Major_Blocs].&amp;[South]),([Geography].[Blocs].[Major_Blocs].&amp;[North]),([Geography].[Blocs].[Major_Blocs].&amp;[China Mainland])}"/>
    <s v="{([Dates].[Year].&amp;[2014]),([Dates].[Year].&amp;[2013]),([Dates].[Year].&amp;[2012]),([Dates].[Year].&amp;[2011]),([Dates].[Year].&amp;[2010]),([Dates].[Year].&amp;[2009]),([Dates].[Year].&amp;[2008]),([Dates].[Year].&amp;[2007]),([Dates].[Year].&amp;[2006]),([Dates].[Year].&amp;[2005]),([Dates].[Year].&amp;[2004]),([Dates].[Year].&amp;[2003]),([Dates].[Year].&amp;[2002]),([Dates].[Year].&amp;[2001]),([Dates].[Year].&amp;[2000]),([Dates].[Year].&amp;[1999]),([Dates].[Year].&amp;[1998]),([Dates].[Year].&amp;[1997]),([Dates].[Year].&amp;[1996]),([Dates].[Year].&amp;[1995]),([Dates].[Year].&amp;[1994]),([Dates].[Year].&amp;[1993]),([Dates].[Year].&amp;[1992]),([Dates].[Year].&amp;[1991]),([Dates].[Year].&amp;[1990]),([Dates].[Year].&amp;[1989]),([Dates].[Year].&amp;[1988]),([Dates].[Year].&amp;[1987]),([Dates].[Year].&amp;[1986]),([Dates].[Year].&amp;[1985]),([Dates].[Year].&amp;[1984]),([Dates].[Year].&amp;[1983]),([Dates].[Year].&amp;[1982]),([Dates].[Year].&amp;[1981]),([Dates].[Year].&amp;[1980])}"/>
  </metadataStrings>
  <mdxMetadata count="1225">
    <mdx n="0" f="s">
      <ms ns="1" c="0"/>
    </mdx>
    <mdx n="0" f="s">
      <ms ns="2" c="0"/>
    </mdx>
    <mdx n="0" f="s">
      <ms ns="3" c="0"/>
    </mdx>
    <mdx n="0" f="m">
      <t c="1">
        <n x="4"/>
      </t>
    </mdx>
    <mdx n="0" f="m">
      <t c="1">
        <n x="5"/>
      </t>
    </mdx>
    <mdx n="0" f="m">
      <t c="1">
        <n x="6"/>
      </t>
    </mdx>
    <mdx n="0" f="m">
      <t c="1">
        <n x="7"/>
      </t>
    </mdx>
    <mdx n="0" f="m">
      <t c="1">
        <n x="8"/>
      </t>
    </mdx>
    <mdx n="0" f="m">
      <t c="1">
        <n x="9"/>
      </t>
    </mdx>
    <mdx n="0" f="m">
      <t c="1">
        <n x="10"/>
      </t>
    </mdx>
    <mdx n="0" f="m">
      <t c="1">
        <n x="11"/>
      </t>
    </mdx>
    <mdx n="0" f="m">
      <t c="1">
        <n x="12"/>
      </t>
    </mdx>
    <mdx n="0" f="m">
      <t c="1">
        <n x="13"/>
      </t>
    </mdx>
    <mdx n="0" f="m">
      <t c="1">
        <n x="14"/>
      </t>
    </mdx>
    <mdx n="0" f="m">
      <t c="1">
        <n x="15"/>
      </t>
    </mdx>
    <mdx n="0" f="m">
      <t c="1">
        <n x="16"/>
      </t>
    </mdx>
    <mdx n="0" f="m">
      <t c="1">
        <n x="17"/>
      </t>
    </mdx>
    <mdx n="0" f="m">
      <t c="1">
        <n x="18"/>
      </t>
    </mdx>
    <mdx n="0" f="m">
      <t c="1">
        <n x="19"/>
      </t>
    </mdx>
    <mdx n="0" f="m">
      <t c="1">
        <n x="20"/>
      </t>
    </mdx>
    <mdx n="0" f="m">
      <t c="1">
        <n x="21"/>
      </t>
    </mdx>
    <mdx n="0" f="m">
      <t c="1">
        <n x="22"/>
      </t>
    </mdx>
    <mdx n="0" f="m">
      <t c="1">
        <n x="23"/>
      </t>
    </mdx>
    <mdx n="0" f="m">
      <t c="1">
        <n x="24"/>
      </t>
    </mdx>
    <mdx n="0" f="m">
      <t c="1">
        <n x="25"/>
      </t>
    </mdx>
    <mdx n="0" f="m">
      <t c="1">
        <n x="26"/>
      </t>
    </mdx>
    <mdx n="0" f="m">
      <t c="1">
        <n x="27"/>
      </t>
    </mdx>
    <mdx n="0" f="m">
      <t c="1">
        <n x="28"/>
      </t>
    </mdx>
    <mdx n="0" f="m">
      <t c="1">
        <n x="29"/>
      </t>
    </mdx>
    <mdx n="0" f="m">
      <t c="1">
        <n x="30"/>
      </t>
    </mdx>
    <mdx n="0" f="m">
      <t c="1">
        <n x="31"/>
      </t>
    </mdx>
    <mdx n="0" f="m">
      <t c="1">
        <n x="32"/>
      </t>
    </mdx>
    <mdx n="0" f="m">
      <t c="1">
        <n x="33"/>
      </t>
    </mdx>
    <mdx n="0" f="m">
      <t c="1">
        <n x="34"/>
      </t>
    </mdx>
    <mdx n="0" f="m">
      <t c="1">
        <n x="35"/>
      </t>
    </mdx>
    <mdx n="0" f="m">
      <t c="1">
        <n x="36"/>
      </t>
    </mdx>
    <mdx n="0" f="m">
      <t c="1">
        <n x="37"/>
      </t>
    </mdx>
    <mdx n="0" f="m">
      <t c="1">
        <n x="38"/>
      </t>
    </mdx>
    <mdx n="0" f="m">
      <t c="1">
        <n x="39"/>
      </t>
    </mdx>
    <mdx n="0" f="m">
      <t c="1">
        <n x="40"/>
      </t>
    </mdx>
    <mdx n="0" f="m">
      <t c="1">
        <n x="41"/>
      </t>
    </mdx>
    <mdx n="0" f="m">
      <t c="1">
        <n x="42"/>
      </t>
    </mdx>
    <mdx n="0" f="m">
      <t c="1">
        <n x="43"/>
      </t>
    </mdx>
    <mdx n="0" f="m">
      <t c="1">
        <n x="44"/>
      </t>
    </mdx>
    <mdx n="0" f="m">
      <t c="1">
        <n x="45"/>
      </t>
    </mdx>
    <mdx n="0" f="m">
      <t c="1">
        <n x="46"/>
      </t>
    </mdx>
    <mdx n="0" f="m">
      <t c="1">
        <n x="47"/>
      </t>
    </mdx>
    <mdx n="0" f="m">
      <t c="1">
        <n x="48"/>
      </t>
    </mdx>
    <mdx n="0" f="m">
      <t c="1">
        <n x="49"/>
      </t>
    </mdx>
    <mdx n="0" f="m">
      <t c="1">
        <n x="50"/>
      </t>
    </mdx>
    <mdx n="0" f="m">
      <t c="1">
        <n x="51"/>
      </t>
    </mdx>
    <mdx n="0" f="m">
      <t c="1">
        <n x="52"/>
      </t>
    </mdx>
    <mdx n="0" f="m">
      <t c="1">
        <n x="53"/>
      </t>
    </mdx>
    <mdx n="0" f="m">
      <t c="1">
        <n x="54"/>
      </t>
    </mdx>
    <mdx n="0" f="m">
      <t c="1">
        <n x="55"/>
      </t>
    </mdx>
    <mdx n="0" f="m">
      <t c="1">
        <n x="56"/>
      </t>
    </mdx>
    <mdx n="0" f="m">
      <t c="1">
        <n x="57"/>
      </t>
    </mdx>
    <mdx n="0" f="m">
      <t c="1">
        <n x="58"/>
      </t>
    </mdx>
    <mdx n="0" f="m">
      <t c="1">
        <n x="59"/>
      </t>
    </mdx>
    <mdx n="0" f="m">
      <t c="1">
        <n x="60"/>
      </t>
    </mdx>
    <mdx n="0" f="m">
      <t c="1">
        <n x="61"/>
      </t>
    </mdx>
    <mdx n="0" f="m">
      <t c="1">
        <n x="62"/>
      </t>
    </mdx>
    <mdx n="0" f="m">
      <t c="1">
        <n x="63"/>
      </t>
    </mdx>
    <mdx n="0" f="m">
      <t c="1">
        <n x="64"/>
      </t>
    </mdx>
    <mdx n="0" f="m">
      <t c="1">
        <n x="65"/>
      </t>
    </mdx>
    <mdx n="0" f="m">
      <t c="1">
        <n x="66"/>
      </t>
    </mdx>
    <mdx n="0" f="m">
      <t c="1">
        <n x="67"/>
      </t>
    </mdx>
    <mdx n="0" f="m">
      <t c="1">
        <n x="68"/>
      </t>
    </mdx>
    <mdx n="0" f="m">
      <t c="1">
        <n x="69"/>
      </t>
    </mdx>
    <mdx n="0" f="m">
      <t c="1">
        <n x="70"/>
      </t>
    </mdx>
    <mdx n="0" f="m">
      <t c="1">
        <n x="71"/>
      </t>
    </mdx>
    <mdx n="0" f="s">
      <ms ns="72" c="0"/>
    </mdx>
    <mdx n="0" f="s">
      <ms ns="73" c="0"/>
    </mdx>
    <mdx n="0" f="v">
      <t c="6">
        <n x="2" s="1"/>
        <n x="1" s="1"/>
        <n x="3" s="1"/>
        <n x="18"/>
        <n x="72" s="1"/>
        <n x="73" s="1"/>
      </t>
    </mdx>
    <mdx n="0" f="v">
      <t c="6">
        <n x="2" s="1"/>
        <n x="1" s="1"/>
        <n x="3" s="1"/>
        <n x="18"/>
        <n x="65"/>
        <n x="58"/>
      </t>
    </mdx>
    <mdx n="0" f="v">
      <t c="6">
        <n x="2" s="1"/>
        <n x="1" s="1"/>
        <n x="3" s="1"/>
        <n x="18"/>
        <n x="65"/>
        <n x="59"/>
      </t>
    </mdx>
    <mdx n="0" f="v">
      <t c="6">
        <n x="2" s="1"/>
        <n x="1" s="1"/>
        <n x="3" s="1"/>
        <n x="18"/>
        <n x="5"/>
        <n x="34"/>
      </t>
    </mdx>
    <mdx n="0" f="v">
      <t c="6">
        <n x="2" s="1"/>
        <n x="1" s="1"/>
        <n x="3" s="1"/>
        <n x="18"/>
        <n x="5"/>
        <n x="37"/>
      </t>
    </mdx>
    <mdx n="0" f="v">
      <t c="6">
        <n x="2" s="1"/>
        <n x="1" s="1"/>
        <n x="3" s="1"/>
        <n x="18"/>
        <n x="6"/>
        <n x="21"/>
      </t>
    </mdx>
    <mdx n="0" f="v">
      <t c="6">
        <n x="2" s="1"/>
        <n x="1" s="1"/>
        <n x="3" s="1"/>
        <n x="18"/>
        <n x="6"/>
        <n x="22"/>
      </t>
    </mdx>
    <mdx n="0" f="v">
      <t c="6">
        <n x="2" s="1"/>
        <n x="1" s="1"/>
        <n x="3" s="1"/>
        <n x="18"/>
        <n x="11"/>
        <n x="73" s="1"/>
      </t>
    </mdx>
    <mdx n="0" f="v">
      <t c="6">
        <n x="2" s="1"/>
        <n x="1" s="1"/>
        <n x="3" s="1"/>
        <n x="18"/>
        <n x="11"/>
        <n x="4"/>
      </t>
    </mdx>
    <mdx n="0" f="v">
      <t c="6">
        <n x="2" s="1"/>
        <n x="1" s="1"/>
        <n x="3" s="1"/>
        <n x="18"/>
        <n x="19"/>
        <n x="58"/>
      </t>
    </mdx>
    <mdx n="0" f="v">
      <t c="6">
        <n x="2" s="1"/>
        <n x="1" s="1"/>
        <n x="3" s="1"/>
        <n x="18"/>
        <n x="19"/>
        <n x="59"/>
      </t>
    </mdx>
    <mdx n="0" f="v">
      <t c="6">
        <n x="2" s="1"/>
        <n x="1" s="1"/>
        <n x="3" s="1"/>
        <n x="18"/>
        <n x="26"/>
        <n x="37"/>
      </t>
    </mdx>
    <mdx n="0" f="v">
      <t c="6">
        <n x="2" s="1"/>
        <n x="1" s="1"/>
        <n x="3" s="1"/>
        <n x="18"/>
        <n x="28"/>
        <n x="22"/>
      </t>
    </mdx>
    <mdx n="0" f="v">
      <t c="6">
        <n x="2" s="1"/>
        <n x="1" s="1"/>
        <n x="3" s="1"/>
        <n x="18"/>
        <n x="30"/>
        <n x="46"/>
      </t>
    </mdx>
    <mdx n="0" f="v">
      <t c="6">
        <n x="2" s="1"/>
        <n x="1" s="1"/>
        <n x="3" s="1"/>
        <n x="18"/>
        <n x="35"/>
        <n x="58"/>
      </t>
    </mdx>
    <mdx n="0" f="v">
      <t c="6">
        <n x="2" s="1"/>
        <n x="1" s="1"/>
        <n x="3" s="1"/>
        <n x="18"/>
        <n x="48"/>
        <n x="21"/>
      </t>
    </mdx>
    <mdx n="0" f="v">
      <t c="6">
        <n x="2" s="1"/>
        <n x="1" s="1"/>
        <n x="3" s="1"/>
        <n x="18"/>
        <n x="51"/>
        <n x="46"/>
      </t>
    </mdx>
    <mdx n="0" f="v">
      <t c="6">
        <n x="2" s="1"/>
        <n x="1" s="1"/>
        <n x="3" s="1"/>
        <n x="18"/>
        <n x="60"/>
        <n x="34"/>
      </t>
    </mdx>
    <mdx n="0" f="v">
      <t c="6">
        <n x="2" s="1"/>
        <n x="1" s="1"/>
        <n x="3" s="1"/>
        <n x="18"/>
        <n x="38"/>
        <n x="59"/>
      </t>
    </mdx>
    <mdx n="0" f="v">
      <t c="6">
        <n x="2" s="1"/>
        <n x="1" s="1"/>
        <n x="3" s="1"/>
        <n x="18"/>
        <n x="16"/>
        <n x="4"/>
      </t>
    </mdx>
    <mdx n="0" f="v">
      <t c="6">
        <n x="2" s="1"/>
        <n x="1" s="1"/>
        <n x="3" s="1"/>
        <n x="18"/>
        <n x="31"/>
        <n x="4"/>
      </t>
    </mdx>
    <mdx n="0" f="v">
      <t c="6">
        <n x="2" s="1"/>
        <n x="1" s="1"/>
        <n x="3" s="1"/>
        <n x="18"/>
        <n x="61"/>
        <n x="37"/>
      </t>
    </mdx>
    <mdx n="0" f="v">
      <t c="6">
        <n x="2" s="1"/>
        <n x="1" s="1"/>
        <n x="3" s="1"/>
        <n x="18"/>
        <n x="72" s="1"/>
        <n x="71"/>
      </t>
    </mdx>
    <mdx n="0" f="v">
      <t c="6">
        <n x="2" s="1"/>
        <n x="1" s="1"/>
        <n x="3" s="1"/>
        <n x="18"/>
        <n x="11"/>
        <n x="15"/>
      </t>
    </mdx>
    <mdx n="0" f="v">
      <t c="6">
        <n x="2" s="1"/>
        <n x="1" s="1"/>
        <n x="3" s="1"/>
        <n x="18"/>
        <n x="28"/>
        <n x="24"/>
      </t>
    </mdx>
    <mdx n="0" f="v">
      <t c="6">
        <n x="2" s="1"/>
        <n x="1" s="1"/>
        <n x="3" s="1"/>
        <n x="18"/>
        <n x="35"/>
        <n x="63"/>
      </t>
    </mdx>
    <mdx n="0" f="v">
      <t c="6">
        <n x="2" s="1"/>
        <n x="1" s="1"/>
        <n x="3" s="1"/>
        <n x="18"/>
        <n x="48"/>
        <n x="23"/>
      </t>
    </mdx>
    <mdx n="0" f="v">
      <t c="6">
        <n x="2" s="1"/>
        <n x="1" s="1"/>
        <n x="3" s="1"/>
        <n x="18"/>
        <n x="56"/>
        <n x="63"/>
      </t>
    </mdx>
    <mdx n="0" f="v">
      <t c="6">
        <n x="2" s="1"/>
        <n x="1" s="1"/>
        <n x="3" s="1"/>
        <n x="18"/>
        <n x="60"/>
        <n x="41"/>
      </t>
    </mdx>
    <mdx n="0" f="v">
      <t c="6">
        <n x="2" s="1"/>
        <n x="1" s="1"/>
        <n x="3" s="1"/>
        <n x="18"/>
        <n x="67"/>
        <n x="24"/>
      </t>
    </mdx>
    <mdx n="0" f="v">
      <t c="6">
        <n x="2" s="1"/>
        <n x="1" s="1"/>
        <n x="3" s="1"/>
        <n x="18"/>
        <n x="16"/>
        <n x="15"/>
      </t>
    </mdx>
    <mdx n="0" f="v">
      <t c="6">
        <n x="2" s="1"/>
        <n x="1" s="1"/>
        <n x="3" s="1"/>
        <n x="18"/>
        <n x="31"/>
        <n x="66"/>
      </t>
    </mdx>
    <mdx n="0" f="v">
      <t c="6">
        <n x="2" s="1"/>
        <n x="1" s="1"/>
        <n x="3" s="1"/>
        <n x="18"/>
        <n x="43"/>
        <n x="23"/>
      </t>
    </mdx>
    <mdx n="0" f="v">
      <t c="6">
        <n x="2" s="1"/>
        <n x="1" s="1"/>
        <n x="3" s="1"/>
        <n x="18"/>
        <n x="57"/>
        <n x="63"/>
      </t>
    </mdx>
    <mdx n="0" f="v">
      <t c="6">
        <n x="2" s="1"/>
        <n x="1" s="1"/>
        <n x="3" s="1"/>
        <n x="18"/>
        <n x="72" s="1"/>
        <n x="9"/>
      </t>
    </mdx>
    <mdx n="0" f="v">
      <t c="6">
        <n x="2" s="1"/>
        <n x="1" s="1"/>
        <n x="3" s="1"/>
        <n x="18"/>
        <n x="26"/>
        <n x="49"/>
      </t>
    </mdx>
    <mdx n="0" f="v">
      <t c="6">
        <n x="2" s="1"/>
        <n x="1" s="1"/>
        <n x="3" s="1"/>
        <n x="18"/>
        <n x="50"/>
        <n x="9"/>
      </t>
    </mdx>
    <mdx n="0" f="v">
      <t c="6">
        <n x="2" s="1"/>
        <n x="1" s="1"/>
        <n x="3" s="1"/>
        <n x="18"/>
        <n x="31"/>
        <n x="10"/>
      </t>
    </mdx>
    <mdx n="0" f="v">
      <t c="6">
        <n x="2" s="1"/>
        <n x="1" s="1"/>
        <n x="3" s="1"/>
        <n x="18"/>
        <n x="39"/>
        <n x="49"/>
      </t>
    </mdx>
    <mdx n="0" f="v">
      <t c="6">
        <n x="2" s="1"/>
        <n x="1" s="1"/>
        <n x="3" s="1"/>
        <n x="18"/>
        <n x="72" s="1"/>
        <n x="12"/>
      </t>
    </mdx>
    <mdx n="0" f="v">
      <t c="6">
        <n x="2" s="1"/>
        <n x="1" s="1"/>
        <n x="3" s="1"/>
        <n x="18"/>
        <n x="72" s="1"/>
        <n x="17"/>
      </t>
    </mdx>
    <mdx n="0" f="v">
      <t c="6">
        <n x="2" s="1"/>
        <n x="1" s="1"/>
        <n x="3" s="1"/>
        <n x="18"/>
        <n x="72" s="1"/>
        <n x="13"/>
      </t>
    </mdx>
    <mdx n="0" f="v">
      <t c="6">
        <n x="2" s="1"/>
        <n x="1" s="1"/>
        <n x="3" s="1"/>
        <n x="18"/>
        <n x="65"/>
        <n x="45"/>
      </t>
    </mdx>
    <mdx n="0" f="v">
      <t c="6">
        <n x="2" s="1"/>
        <n x="1" s="1"/>
        <n x="3" s="1"/>
        <n x="18"/>
        <n x="65"/>
        <n x="55"/>
      </t>
    </mdx>
    <mdx n="0" f="v">
      <t c="6">
        <n x="2" s="1"/>
        <n x="1" s="1"/>
        <n x="3" s="1"/>
        <n x="18"/>
        <n x="5"/>
        <n x="53"/>
      </t>
    </mdx>
    <mdx n="0" f="v">
      <t c="6">
        <n x="2" s="1"/>
        <n x="1" s="1"/>
        <n x="3" s="1"/>
        <n x="18"/>
        <n x="5"/>
        <n x="54"/>
      </t>
    </mdx>
    <mdx n="0" f="v">
      <t c="6">
        <n x="2" s="1"/>
        <n x="1" s="1"/>
        <n x="3" s="1"/>
        <n x="18"/>
        <n x="6"/>
        <n x="32"/>
      </t>
    </mdx>
    <mdx n="0" f="v">
      <t c="6">
        <n x="2" s="1"/>
        <n x="1" s="1"/>
        <n x="3" s="1"/>
        <n x="18"/>
        <n x="6"/>
        <n x="33"/>
      </t>
    </mdx>
    <mdx n="0" f="v">
      <t c="6">
        <n x="2" s="1"/>
        <n x="1" s="1"/>
        <n x="3" s="1"/>
        <n x="18"/>
        <n x="11"/>
        <n x="12"/>
      </t>
    </mdx>
    <mdx n="0" f="v">
      <t c="6">
        <n x="2" s="1"/>
        <n x="1" s="1"/>
        <n x="3" s="1"/>
        <n x="18"/>
        <n x="11"/>
        <n x="17"/>
      </t>
    </mdx>
    <mdx n="0" f="v">
      <t c="6">
        <n x="2" s="1"/>
        <n x="1" s="1"/>
        <n x="3" s="1"/>
        <n x="18"/>
        <n x="11"/>
        <n x="13"/>
      </t>
    </mdx>
    <mdx n="0" f="v">
      <t c="6">
        <n x="2" s="1"/>
        <n x="1" s="1"/>
        <n x="3" s="1"/>
        <n x="18"/>
        <n x="19"/>
        <n x="45"/>
      </t>
    </mdx>
    <mdx n="0" f="v">
      <t c="6">
        <n x="2" s="1"/>
        <n x="1" s="1"/>
        <n x="3" s="1"/>
        <n x="18"/>
        <n x="19"/>
        <n x="55"/>
      </t>
    </mdx>
    <mdx n="0" f="v">
      <t c="6">
        <n x="2" s="1"/>
        <n x="1" s="1"/>
        <n x="3" s="1"/>
        <n x="18"/>
        <n x="26"/>
        <n x="53"/>
      </t>
    </mdx>
    <mdx n="0" f="v">
      <t c="6">
        <n x="2" s="1"/>
        <n x="1" s="1"/>
        <n x="3" s="1"/>
        <n x="18"/>
        <n x="26"/>
        <n x="54"/>
      </t>
    </mdx>
    <mdx n="0" f="v">
      <t c="6">
        <n x="2" s="1"/>
        <n x="1" s="1"/>
        <n x="3" s="1"/>
        <n x="18"/>
        <n x="28"/>
        <n x="32"/>
      </t>
    </mdx>
    <mdx n="0" f="v">
      <t c="6">
        <n x="2" s="1"/>
        <n x="1" s="1"/>
        <n x="3" s="1"/>
        <n x="18"/>
        <n x="28"/>
        <n x="33"/>
      </t>
    </mdx>
    <mdx n="0" f="v">
      <t c="6">
        <n x="2" s="1"/>
        <n x="1" s="1"/>
        <n x="3" s="1"/>
        <n x="18"/>
        <n x="30"/>
        <n x="12"/>
      </t>
    </mdx>
    <mdx n="0" f="v">
      <t c="6">
        <n x="2" s="1"/>
        <n x="1" s="1"/>
        <n x="3" s="1"/>
        <n x="18"/>
        <n x="30"/>
        <n x="17"/>
      </t>
    </mdx>
    <mdx n="0" f="v">
      <t c="6">
        <n x="2" s="1"/>
        <n x="1" s="1"/>
        <n x="3" s="1"/>
        <n x="18"/>
        <n x="30"/>
        <n x="13"/>
      </t>
    </mdx>
    <mdx n="0" f="v">
      <t c="6">
        <n x="2" s="1"/>
        <n x="1" s="1"/>
        <n x="3" s="1"/>
        <n x="18"/>
        <n x="35"/>
        <n x="45"/>
      </t>
    </mdx>
    <mdx n="0" f="v">
      <t c="6">
        <n x="2" s="1"/>
        <n x="1" s="1"/>
        <n x="3" s="1"/>
        <n x="18"/>
        <n x="35"/>
        <n x="55"/>
      </t>
    </mdx>
    <mdx n="0" f="v">
      <t c="6">
        <n x="2" s="1"/>
        <n x="1" s="1"/>
        <n x="3" s="1"/>
        <n x="18"/>
        <n x="39"/>
        <n x="53"/>
      </t>
    </mdx>
    <mdx n="0" f="v">
      <t c="6">
        <n x="2" s="1"/>
        <n x="1" s="1"/>
        <n x="3" s="1"/>
        <n x="18"/>
        <n x="39"/>
        <n x="54"/>
      </t>
    </mdx>
    <mdx n="0" f="v">
      <t c="6">
        <n x="2" s="1"/>
        <n x="1" s="1"/>
        <n x="3" s="1"/>
        <n x="18"/>
        <n x="48"/>
        <n x="32"/>
      </t>
    </mdx>
    <mdx n="0" f="v">
      <t c="6">
        <n x="2" s="1"/>
        <n x="1" s="1"/>
        <n x="3" s="1"/>
        <n x="18"/>
        <n x="48"/>
        <n x="33"/>
      </t>
    </mdx>
    <mdx n="0" f="v">
      <t c="6">
        <n x="2" s="1"/>
        <n x="1" s="1"/>
        <n x="3" s="1"/>
        <n x="18"/>
        <n x="51"/>
        <n x="12"/>
      </t>
    </mdx>
    <mdx n="0" f="v">
      <t c="6">
        <n x="2" s="1"/>
        <n x="1" s="1"/>
        <n x="3" s="1"/>
        <n x="18"/>
        <n x="51"/>
        <n x="17"/>
      </t>
    </mdx>
    <mdx n="0" f="v">
      <t c="6">
        <n x="2" s="1"/>
        <n x="1" s="1"/>
        <n x="3" s="1"/>
        <n x="18"/>
        <n x="51"/>
        <n x="13"/>
      </t>
    </mdx>
    <mdx n="0" f="v">
      <t c="6">
        <n x="2" s="1"/>
        <n x="1" s="1"/>
        <n x="3" s="1"/>
        <n x="18"/>
        <n x="56"/>
        <n x="45"/>
      </t>
    </mdx>
    <mdx n="0" f="v">
      <t c="6">
        <n x="2" s="1"/>
        <n x="1" s="1"/>
        <n x="3" s="1"/>
        <n x="18"/>
        <n x="56"/>
        <n x="55"/>
      </t>
    </mdx>
    <mdx n="0" f="v">
      <t c="6">
        <n x="2" s="1"/>
        <n x="1" s="1"/>
        <n x="3" s="1"/>
        <n x="18"/>
        <n x="60"/>
        <n x="53"/>
      </t>
    </mdx>
    <mdx n="0" f="v">
      <t c="6">
        <n x="2" s="1"/>
        <n x="1" s="1"/>
        <n x="3" s="1"/>
        <n x="18"/>
        <n x="60"/>
        <n x="54"/>
      </t>
    </mdx>
    <mdx n="0" f="v">
      <t c="6">
        <n x="2" s="1"/>
        <n x="1" s="1"/>
        <n x="3" s="1"/>
        <n x="18"/>
        <n x="67"/>
        <n x="32"/>
      </t>
    </mdx>
    <mdx n="0" f="v">
      <t c="6">
        <n x="2" s="1"/>
        <n x="1" s="1"/>
        <n x="3" s="1"/>
        <n x="18"/>
        <n x="67"/>
        <n x="33"/>
      </t>
    </mdx>
    <mdx n="0" f="v">
      <t c="6">
        <n x="2" s="1"/>
        <n x="1" s="1"/>
        <n x="3" s="1"/>
        <n x="18"/>
        <n x="50"/>
        <n x="12"/>
      </t>
    </mdx>
    <mdx n="0" f="v">
      <t c="6">
        <n x="2" s="1"/>
        <n x="1" s="1"/>
        <n x="3" s="1"/>
        <n x="18"/>
        <n x="50"/>
        <n x="17"/>
      </t>
    </mdx>
    <mdx n="0" f="v">
      <t c="6">
        <n x="2" s="1"/>
        <n x="1" s="1"/>
        <n x="3" s="1"/>
        <n x="18"/>
        <n x="50"/>
        <n x="13"/>
      </t>
    </mdx>
    <mdx n="0" f="v">
      <t c="6">
        <n x="2" s="1"/>
        <n x="1" s="1"/>
        <n x="3" s="1"/>
        <n x="18"/>
        <n x="38"/>
        <n x="45"/>
      </t>
    </mdx>
    <mdx n="0" f="v">
      <t c="6">
        <n x="2" s="1"/>
        <n x="1" s="1"/>
        <n x="3" s="1"/>
        <n x="18"/>
        <n x="38"/>
        <n x="55"/>
      </t>
    </mdx>
    <mdx n="0" f="v">
      <t c="6">
        <n x="2" s="1"/>
        <n x="1" s="1"/>
        <n x="3" s="1"/>
        <n x="18"/>
        <n x="47"/>
        <n x="53"/>
      </t>
    </mdx>
    <mdx n="0" f="v">
      <t c="6">
        <n x="2" s="1"/>
        <n x="1" s="1"/>
        <n x="3" s="1"/>
        <n x="18"/>
        <n x="47"/>
        <n x="54"/>
      </t>
    </mdx>
    <mdx n="0" f="v">
      <t c="6">
        <n x="2" s="1"/>
        <n x="1" s="1"/>
        <n x="3" s="1"/>
        <n x="18"/>
        <n x="7"/>
        <n x="32"/>
      </t>
    </mdx>
    <mdx n="0" f="v">
      <t c="6">
        <n x="2" s="1"/>
        <n x="1" s="1"/>
        <n x="3" s="1"/>
        <n x="18"/>
        <n x="7"/>
        <n x="33"/>
      </t>
    </mdx>
    <mdx n="0" f="v">
      <t c="6">
        <n x="2" s="1"/>
        <n x="1" s="1"/>
        <n x="3" s="1"/>
        <n x="18"/>
        <n x="16"/>
        <n x="12"/>
      </t>
    </mdx>
    <mdx n="0" f="v">
      <t c="6">
        <n x="2" s="1"/>
        <n x="1" s="1"/>
        <n x="3" s="1"/>
        <n x="18"/>
        <n x="16"/>
        <n x="17"/>
      </t>
    </mdx>
    <mdx n="0" f="v">
      <t c="6">
        <n x="2" s="1"/>
        <n x="1" s="1"/>
        <n x="3" s="1"/>
        <n x="18"/>
        <n x="16"/>
        <n x="13"/>
      </t>
    </mdx>
    <mdx n="0" f="v">
      <t c="6">
        <n x="2" s="1"/>
        <n x="1" s="1"/>
        <n x="3" s="1"/>
        <n x="18"/>
        <n x="20"/>
        <n x="45"/>
      </t>
    </mdx>
    <mdx n="0" f="v">
      <t c="6">
        <n x="2" s="1"/>
        <n x="1" s="1"/>
        <n x="3" s="1"/>
        <n x="18"/>
        <n x="20"/>
        <n x="55"/>
      </t>
    </mdx>
    <mdx n="0" f="v">
      <t c="6">
        <n x="2" s="1"/>
        <n x="1" s="1"/>
        <n x="3" s="1"/>
        <n x="18"/>
        <n x="27"/>
        <n x="53"/>
      </t>
    </mdx>
    <mdx n="0" f="v">
      <t c="6">
        <n x="2" s="1"/>
        <n x="1" s="1"/>
        <n x="3" s="1"/>
        <n x="18"/>
        <n x="27"/>
        <n x="54"/>
      </t>
    </mdx>
    <mdx n="0" f="v">
      <t c="6">
        <n x="2" s="1"/>
        <n x="1" s="1"/>
        <n x="3" s="1"/>
        <n x="18"/>
        <n x="14"/>
        <n x="32"/>
      </t>
    </mdx>
    <mdx n="0" f="v">
      <t c="6">
        <n x="2" s="1"/>
        <n x="1" s="1"/>
        <n x="3" s="1"/>
        <n x="18"/>
        <n x="14"/>
        <n x="33"/>
      </t>
    </mdx>
    <mdx n="0" f="v">
      <t c="6">
        <n x="2" s="1"/>
        <n x="1" s="1"/>
        <n x="3" s="1"/>
        <n x="18"/>
        <n x="31"/>
        <n x="12"/>
      </t>
    </mdx>
    <mdx n="0" f="v">
      <t c="6">
        <n x="2" s="1"/>
        <n x="1" s="1"/>
        <n x="3" s="1"/>
        <n x="18"/>
        <n x="31"/>
        <n x="17"/>
      </t>
    </mdx>
    <mdx n="0" f="v">
      <t c="6">
        <n x="2" s="1"/>
        <n x="1" s="1"/>
        <n x="3" s="1"/>
        <n x="18"/>
        <n x="31"/>
        <n x="13"/>
      </t>
    </mdx>
    <mdx n="0" f="v">
      <t c="6">
        <n x="2" s="1"/>
        <n x="1" s="1"/>
        <n x="3" s="1"/>
        <n x="18"/>
        <n x="36"/>
        <n x="45"/>
      </t>
    </mdx>
    <mdx n="0" f="v">
      <t c="6">
        <n x="2" s="1"/>
        <n x="1" s="1"/>
        <n x="3" s="1"/>
        <n x="18"/>
        <n x="36"/>
        <n x="55"/>
      </t>
    </mdx>
    <mdx n="0" f="v">
      <t c="6">
        <n x="2" s="1"/>
        <n x="1" s="1"/>
        <n x="3" s="1"/>
        <n x="18"/>
        <n x="40"/>
        <n x="53"/>
      </t>
    </mdx>
    <mdx n="0" f="v">
      <t c="6">
        <n x="2" s="1"/>
        <n x="1" s="1"/>
        <n x="3" s="1"/>
        <n x="18"/>
        <n x="40"/>
        <n x="54"/>
      </t>
    </mdx>
    <mdx n="0" f="v">
      <t c="6">
        <n x="2" s="1"/>
        <n x="1" s="1"/>
        <n x="3" s="1"/>
        <n x="18"/>
        <n x="43"/>
        <n x="32"/>
      </t>
    </mdx>
    <mdx n="0" f="v">
      <t c="6">
        <n x="2" s="1"/>
        <n x="1" s="1"/>
        <n x="3" s="1"/>
        <n x="18"/>
        <n x="43"/>
        <n x="33"/>
      </t>
    </mdx>
    <mdx n="0" f="v">
      <t c="6">
        <n x="2" s="1"/>
        <n x="1" s="1"/>
        <n x="3" s="1"/>
        <n x="18"/>
        <n x="52"/>
        <n x="12"/>
      </t>
    </mdx>
    <mdx n="0" f="v">
      <t c="6">
        <n x="2" s="1"/>
        <n x="1" s="1"/>
        <n x="3" s="1"/>
        <n x="18"/>
        <n x="52"/>
        <n x="17"/>
      </t>
    </mdx>
    <mdx n="0" f="v">
      <t c="6">
        <n x="2" s="1"/>
        <n x="1" s="1"/>
        <n x="3" s="1"/>
        <n x="18"/>
        <n x="52"/>
        <n x="13"/>
      </t>
    </mdx>
    <mdx n="0" f="v">
      <t c="6">
        <n x="2" s="1"/>
        <n x="1" s="1"/>
        <n x="3" s="1"/>
        <n x="18"/>
        <n x="57"/>
        <n x="45"/>
      </t>
    </mdx>
    <mdx n="0" f="v">
      <t c="6">
        <n x="2" s="1"/>
        <n x="1" s="1"/>
        <n x="3" s="1"/>
        <n x="18"/>
        <n x="57"/>
        <n x="55"/>
      </t>
    </mdx>
    <mdx n="0" f="v">
      <t c="6">
        <n x="2" s="1"/>
        <n x="1" s="1"/>
        <n x="3" s="1"/>
        <n x="18"/>
        <n x="61"/>
        <n x="53"/>
      </t>
    </mdx>
    <mdx n="0" f="v">
      <t c="6">
        <n x="2" s="1"/>
        <n x="1" s="1"/>
        <n x="3" s="1"/>
        <n x="18"/>
        <n x="61"/>
        <n x="54"/>
      </t>
    </mdx>
    <mdx n="0" f="v">
      <t c="6">
        <n x="2" s="1"/>
        <n x="1" s="1"/>
        <n x="3" s="1"/>
        <n x="18"/>
        <n x="64"/>
        <n x="32"/>
      </t>
    </mdx>
    <mdx n="0" f="v">
      <t c="6">
        <n x="2" s="1"/>
        <n x="1" s="1"/>
        <n x="3" s="1"/>
        <n x="18"/>
        <n x="64"/>
        <n x="33"/>
      </t>
    </mdx>
    <mdx n="0" f="v">
      <t c="6">
        <n x="2" s="1"/>
        <n x="1" s="1"/>
        <n x="3" s="1"/>
        <n x="18"/>
        <n x="64"/>
        <n x="34"/>
      </t>
    </mdx>
    <mdx n="0" f="v">
      <t c="6">
        <n x="2" s="1"/>
        <n x="1" s="1"/>
        <n x="3" s="1"/>
        <n x="18"/>
        <n x="20"/>
        <n x="17"/>
      </t>
    </mdx>
    <mdx n="0" f="v">
      <t c="6">
        <n x="2" s="1"/>
        <n x="1" s="1"/>
        <n x="3" s="1"/>
        <n x="18"/>
        <n x="31"/>
        <n x="33"/>
      </t>
    </mdx>
    <mdx n="0" f="v">
      <t c="6">
        <n x="2" s="1"/>
        <n x="1" s="1"/>
        <n x="3" s="1"/>
        <n x="18"/>
        <n x="43"/>
        <n x="53"/>
      </t>
    </mdx>
    <mdx n="0" f="v">
      <t c="6">
        <n x="2" s="1"/>
        <n x="1" s="1"/>
        <n x="3" s="1"/>
        <n x="18"/>
        <n x="57"/>
        <n x="12"/>
      </t>
    </mdx>
    <mdx n="0" f="v">
      <t c="6">
        <n x="2" s="1"/>
        <n x="1" s="1"/>
        <n x="3" s="1"/>
        <n x="18"/>
        <n x="61"/>
        <n x="55"/>
      </t>
    </mdx>
    <mdx n="0" f="v">
      <t c="6">
        <n x="2" s="1"/>
        <n x="1" s="1"/>
        <n x="3" s="1"/>
        <n x="18"/>
        <n x="6"/>
        <n x="29"/>
      </t>
    </mdx>
    <mdx n="0" f="v">
      <t c="6">
        <n x="2" s="1"/>
        <n x="1" s="1"/>
        <n x="3" s="1"/>
        <n x="18"/>
        <n x="26"/>
        <n x="44"/>
      </t>
    </mdx>
    <mdx n="0" f="v">
      <t c="6">
        <n x="2" s="1"/>
        <n x="1" s="1"/>
        <n x="3" s="1"/>
        <n x="18"/>
        <n x="51"/>
        <n x="10"/>
      </t>
    </mdx>
    <mdx n="0" f="v">
      <t c="6">
        <n x="2" s="1"/>
        <n x="1" s="1"/>
        <n x="3" s="1"/>
        <n x="18"/>
        <n x="50"/>
        <n x="8"/>
      </t>
    </mdx>
    <mdx n="0" f="v">
      <t c="6">
        <n x="2" s="1"/>
        <n x="1" s="1"/>
        <n x="3" s="1"/>
        <n x="18"/>
        <n x="16"/>
        <n x="8"/>
      </t>
    </mdx>
    <mdx n="0" f="v">
      <t c="6">
        <n x="2" s="1"/>
        <n x="1" s="1"/>
        <n x="3" s="1"/>
        <n x="18"/>
        <n x="31"/>
        <n x="9"/>
      </t>
    </mdx>
    <mdx n="0" f="v">
      <t c="6">
        <n x="2" s="1"/>
        <n x="1" s="1"/>
        <n x="3" s="1"/>
        <n x="18"/>
        <n x="57"/>
        <n x="69"/>
      </t>
    </mdx>
    <mdx n="0" f="v">
      <t c="6">
        <n x="2" s="1"/>
        <n x="1" s="1"/>
        <n x="3" s="1"/>
        <n x="18"/>
        <n x="64"/>
        <n x="29"/>
      </t>
    </mdx>
    <mdx n="0" f="v">
      <t c="6">
        <n x="2" s="1"/>
        <n x="1" s="1"/>
        <n x="3" s="1"/>
        <n x="18"/>
        <n x="72" s="1"/>
        <n x="21"/>
      </t>
    </mdx>
    <mdx n="0" f="v">
      <t c="6">
        <n x="2" s="1"/>
        <n x="1" s="1"/>
        <n x="3" s="1"/>
        <n x="18"/>
        <n x="72" s="1"/>
        <n x="22"/>
      </t>
    </mdx>
    <mdx n="0" f="v">
      <t c="6">
        <n x="2" s="1"/>
        <n x="1" s="1"/>
        <n x="3" s="1"/>
        <n x="18"/>
        <n x="65"/>
        <n x="73" s="1"/>
      </t>
    </mdx>
    <mdx n="0" f="v">
      <t c="6">
        <n x="2" s="1"/>
        <n x="1" s="1"/>
        <n x="3" s="1"/>
        <n x="18"/>
        <n x="65"/>
        <n x="46"/>
      </t>
    </mdx>
    <mdx n="0" f="v">
      <t c="6">
        <n x="2" s="1"/>
        <n x="1" s="1"/>
        <n x="3" s="1"/>
        <n x="18"/>
        <n x="65"/>
        <n x="4"/>
      </t>
    </mdx>
    <mdx n="0" f="v">
      <t c="6">
        <n x="2" s="1"/>
        <n x="1" s="1"/>
        <n x="3" s="1"/>
        <n x="18"/>
        <n x="5"/>
        <n x="58"/>
      </t>
    </mdx>
    <mdx n="0" f="v">
      <t c="6">
        <n x="2" s="1"/>
        <n x="1" s="1"/>
        <n x="3" s="1"/>
        <n x="18"/>
        <n x="5"/>
        <n x="59"/>
      </t>
    </mdx>
    <mdx n="0" f="v">
      <t c="6">
        <n x="2" s="1"/>
        <n x="1" s="1"/>
        <n x="3" s="1"/>
        <n x="18"/>
        <n x="6"/>
        <n x="34"/>
      </t>
    </mdx>
    <mdx n="0" f="v">
      <t c="6">
        <n x="2" s="1"/>
        <n x="1" s="1"/>
        <n x="3" s="1"/>
        <n x="18"/>
        <n x="6"/>
        <n x="37"/>
      </t>
    </mdx>
    <mdx n="0" f="v">
      <t c="6">
        <n x="2" s="1"/>
        <n x="1" s="1"/>
        <n x="3" s="1"/>
        <n x="18"/>
        <n x="11"/>
        <n x="21"/>
      </t>
    </mdx>
    <mdx n="0" f="v">
      <t c="6">
        <n x="2" s="1"/>
        <n x="1" s="1"/>
        <n x="3" s="1"/>
        <n x="18"/>
        <n x="11"/>
        <n x="22"/>
      </t>
    </mdx>
    <mdx n="0" f="v">
      <t c="6">
        <n x="2" s="1"/>
        <n x="1" s="1"/>
        <n x="3" s="1"/>
        <n x="18"/>
        <n x="19"/>
        <n x="73" s="1"/>
      </t>
    </mdx>
    <mdx n="0" f="v">
      <t c="6">
        <n x="2" s="1"/>
        <n x="1" s="1"/>
        <n x="3" s="1"/>
        <n x="18"/>
        <n x="19"/>
        <n x="46"/>
      </t>
    </mdx>
    <mdx n="0" f="v">
      <t c="6">
        <n x="2" s="1"/>
        <n x="1" s="1"/>
        <n x="3" s="1"/>
        <n x="18"/>
        <n x="19"/>
        <n x="4"/>
      </t>
    </mdx>
    <mdx n="0" f="v">
      <t c="6">
        <n x="2" s="1"/>
        <n x="1" s="1"/>
        <n x="3" s="1"/>
        <n x="18"/>
        <n x="26"/>
        <n x="58"/>
      </t>
    </mdx>
    <mdx n="0" f="v">
      <t c="6">
        <n x="2" s="1"/>
        <n x="1" s="1"/>
        <n x="3" s="1"/>
        <n x="18"/>
        <n x="26"/>
        <n x="59"/>
      </t>
    </mdx>
    <mdx n="0" f="v">
      <t c="6">
        <n x="2" s="1"/>
        <n x="1" s="1"/>
        <n x="3" s="1"/>
        <n x="18"/>
        <n x="28"/>
        <n x="34"/>
      </t>
    </mdx>
    <mdx n="0" f="v">
      <t c="6">
        <n x="2" s="1"/>
        <n x="1" s="1"/>
        <n x="3" s="1"/>
        <n x="18"/>
        <n x="28"/>
        <n x="37"/>
      </t>
    </mdx>
    <mdx n="0" f="v">
      <t c="6">
        <n x="2" s="1"/>
        <n x="1" s="1"/>
        <n x="3" s="1"/>
        <n x="18"/>
        <n x="30"/>
        <n x="21"/>
      </t>
    </mdx>
    <mdx n="0" f="v">
      <t c="6">
        <n x="2" s="1"/>
        <n x="1" s="1"/>
        <n x="3" s="1"/>
        <n x="18"/>
        <n x="30"/>
        <n x="22"/>
      </t>
    </mdx>
    <mdx n="0" f="v">
      <t c="6">
        <n x="2" s="1"/>
        <n x="1" s="1"/>
        <n x="3" s="1"/>
        <n x="18"/>
        <n x="35"/>
        <n x="73" s="1"/>
      </t>
    </mdx>
    <mdx n="0" f="v">
      <t c="6">
        <n x="2" s="1"/>
        <n x="1" s="1"/>
        <n x="3" s="1"/>
        <n x="18"/>
        <n x="35"/>
        <n x="46"/>
      </t>
    </mdx>
    <mdx n="0" f="v">
      <t c="6">
        <n x="2" s="1"/>
        <n x="1" s="1"/>
        <n x="3" s="1"/>
        <n x="18"/>
        <n x="35"/>
        <n x="4"/>
      </t>
    </mdx>
    <mdx n="0" f="v">
      <t c="6">
        <n x="2" s="1"/>
        <n x="1" s="1"/>
        <n x="3" s="1"/>
        <n x="18"/>
        <n x="39"/>
        <n x="58"/>
      </t>
    </mdx>
    <mdx n="0" f="v">
      <t c="6">
        <n x="2" s="1"/>
        <n x="1" s="1"/>
        <n x="3" s="1"/>
        <n x="18"/>
        <n x="39"/>
        <n x="59"/>
      </t>
    </mdx>
    <mdx n="0" f="v">
      <t c="6">
        <n x="2" s="1"/>
        <n x="1" s="1"/>
        <n x="3" s="1"/>
        <n x="18"/>
        <n x="48"/>
        <n x="34"/>
      </t>
    </mdx>
    <mdx n="0" f="v">
      <t c="6">
        <n x="2" s="1"/>
        <n x="1" s="1"/>
        <n x="3" s="1"/>
        <n x="18"/>
        <n x="48"/>
        <n x="37"/>
      </t>
    </mdx>
    <mdx n="0" f="v">
      <t c="6">
        <n x="2" s="1"/>
        <n x="1" s="1"/>
        <n x="3" s="1"/>
        <n x="18"/>
        <n x="51"/>
        <n x="21"/>
      </t>
    </mdx>
    <mdx n="0" f="v">
      <t c="6">
        <n x="2" s="1"/>
        <n x="1" s="1"/>
        <n x="3" s="1"/>
        <n x="18"/>
        <n x="51"/>
        <n x="22"/>
      </t>
    </mdx>
    <mdx n="0" f="v">
      <t c="6">
        <n x="2" s="1"/>
        <n x="1" s="1"/>
        <n x="3" s="1"/>
        <n x="18"/>
        <n x="56"/>
        <n x="73" s="1"/>
      </t>
    </mdx>
    <mdx n="0" f="v">
      <t c="6">
        <n x="2" s="1"/>
        <n x="1" s="1"/>
        <n x="3" s="1"/>
        <n x="18"/>
        <n x="56"/>
        <n x="46"/>
      </t>
    </mdx>
    <mdx n="0" f="v">
      <t c="6">
        <n x="2" s="1"/>
        <n x="1" s="1"/>
        <n x="3" s="1"/>
        <n x="18"/>
        <n x="56"/>
        <n x="4"/>
      </t>
    </mdx>
    <mdx n="0" f="v">
      <t c="6">
        <n x="2" s="1"/>
        <n x="1" s="1"/>
        <n x="3" s="1"/>
        <n x="18"/>
        <n x="60"/>
        <n x="58"/>
      </t>
    </mdx>
    <mdx n="0" f="v">
      <t c="6">
        <n x="2" s="1"/>
        <n x="1" s="1"/>
        <n x="3" s="1"/>
        <n x="18"/>
        <n x="60"/>
        <n x="59"/>
      </t>
    </mdx>
    <mdx n="0" f="v">
      <t c="6">
        <n x="2" s="1"/>
        <n x="1" s="1"/>
        <n x="3" s="1"/>
        <n x="18"/>
        <n x="67"/>
        <n x="34"/>
      </t>
    </mdx>
    <mdx n="0" f="v">
      <t c="6">
        <n x="2" s="1"/>
        <n x="1" s="1"/>
        <n x="3" s="1"/>
        <n x="18"/>
        <n x="67"/>
        <n x="37"/>
      </t>
    </mdx>
    <mdx n="0" f="v">
      <t c="6">
        <n x="2" s="1"/>
        <n x="1" s="1"/>
        <n x="3" s="1"/>
        <n x="18"/>
        <n x="50"/>
        <n x="21"/>
      </t>
    </mdx>
    <mdx n="0" f="v">
      <t c="6">
        <n x="2" s="1"/>
        <n x="1" s="1"/>
        <n x="3" s="1"/>
        <n x="18"/>
        <n x="50"/>
        <n x="22"/>
      </t>
    </mdx>
    <mdx n="0" f="v">
      <t c="6">
        <n x="2" s="1"/>
        <n x="1" s="1"/>
        <n x="3" s="1"/>
        <n x="18"/>
        <n x="38"/>
        <n x="73" s="1"/>
      </t>
    </mdx>
    <mdx n="0" f="v">
      <t c="6">
        <n x="2" s="1"/>
        <n x="1" s="1"/>
        <n x="3" s="1"/>
        <n x="18"/>
        <n x="38"/>
        <n x="46"/>
      </t>
    </mdx>
    <mdx n="0" f="v">
      <t c="6">
        <n x="2" s="1"/>
        <n x="1" s="1"/>
        <n x="3" s="1"/>
        <n x="18"/>
        <n x="38"/>
        <n x="4"/>
      </t>
    </mdx>
    <mdx n="0" f="v">
      <t c="6">
        <n x="2" s="1"/>
        <n x="1" s="1"/>
        <n x="3" s="1"/>
        <n x="18"/>
        <n x="47"/>
        <n x="58"/>
      </t>
    </mdx>
    <mdx n="0" f="v">
      <t c="6">
        <n x="2" s="1"/>
        <n x="1" s="1"/>
        <n x="3" s="1"/>
        <n x="18"/>
        <n x="47"/>
        <n x="59"/>
      </t>
    </mdx>
    <mdx n="0" f="v">
      <t c="6">
        <n x="2" s="1"/>
        <n x="1" s="1"/>
        <n x="3" s="1"/>
        <n x="18"/>
        <n x="7"/>
        <n x="34"/>
      </t>
    </mdx>
    <mdx n="0" f="v">
      <t c="6">
        <n x="2" s="1"/>
        <n x="1" s="1"/>
        <n x="3" s="1"/>
        <n x="18"/>
        <n x="7"/>
        <n x="37"/>
      </t>
    </mdx>
    <mdx n="0" f="v">
      <t c="6">
        <n x="2" s="1"/>
        <n x="1" s="1"/>
        <n x="3" s="1"/>
        <n x="18"/>
        <n x="16"/>
        <n x="21"/>
      </t>
    </mdx>
    <mdx n="0" f="v">
      <t c="6">
        <n x="2" s="1"/>
        <n x="1" s="1"/>
        <n x="3" s="1"/>
        <n x="18"/>
        <n x="16"/>
        <n x="22"/>
      </t>
    </mdx>
    <mdx n="0" f="v">
      <t c="6">
        <n x="2" s="1"/>
        <n x="1" s="1"/>
        <n x="3" s="1"/>
        <n x="18"/>
        <n x="20"/>
        <n x="73" s="1"/>
      </t>
    </mdx>
    <mdx n="0" f="v">
      <t c="6">
        <n x="2" s="1"/>
        <n x="1" s="1"/>
        <n x="3" s="1"/>
        <n x="18"/>
        <n x="20"/>
        <n x="46"/>
      </t>
    </mdx>
    <mdx n="0" f="v">
      <t c="6">
        <n x="2" s="1"/>
        <n x="1" s="1"/>
        <n x="3" s="1"/>
        <n x="18"/>
        <n x="20"/>
        <n x="4"/>
      </t>
    </mdx>
    <mdx n="0" f="v">
      <t c="6">
        <n x="2" s="1"/>
        <n x="1" s="1"/>
        <n x="3" s="1"/>
        <n x="18"/>
        <n x="27"/>
        <n x="58"/>
      </t>
    </mdx>
    <mdx n="0" f="v">
      <t c="6">
        <n x="2" s="1"/>
        <n x="1" s="1"/>
        <n x="3" s="1"/>
        <n x="18"/>
        <n x="27"/>
        <n x="59"/>
      </t>
    </mdx>
    <mdx n="0" f="v">
      <t c="6">
        <n x="2" s="1"/>
        <n x="1" s="1"/>
        <n x="3" s="1"/>
        <n x="18"/>
        <n x="14"/>
        <n x="34"/>
      </t>
    </mdx>
    <mdx n="0" f="v">
      <t c="6">
        <n x="2" s="1"/>
        <n x="1" s="1"/>
        <n x="3" s="1"/>
        <n x="18"/>
        <n x="14"/>
        <n x="37"/>
      </t>
    </mdx>
    <mdx n="0" f="v">
      <t c="6">
        <n x="2" s="1"/>
        <n x="1" s="1"/>
        <n x="3" s="1"/>
        <n x="18"/>
        <n x="31"/>
        <n x="21"/>
      </t>
    </mdx>
    <mdx n="0" f="v">
      <t c="6">
        <n x="2" s="1"/>
        <n x="1" s="1"/>
        <n x="3" s="1"/>
        <n x="18"/>
        <n x="31"/>
        <n x="22"/>
      </t>
    </mdx>
    <mdx n="0" f="v">
      <t c="6">
        <n x="2" s="1"/>
        <n x="1" s="1"/>
        <n x="3" s="1"/>
        <n x="18"/>
        <n x="36"/>
        <n x="73" s="1"/>
      </t>
    </mdx>
    <mdx n="0" f="v">
      <t c="6">
        <n x="2" s="1"/>
        <n x="1" s="1"/>
        <n x="3" s="1"/>
        <n x="18"/>
        <n x="36"/>
        <n x="46"/>
      </t>
    </mdx>
    <mdx n="0" f="v">
      <t c="6">
        <n x="2" s="1"/>
        <n x="1" s="1"/>
        <n x="3" s="1"/>
        <n x="18"/>
        <n x="36"/>
        <n x="4"/>
      </t>
    </mdx>
    <mdx n="0" f="v">
      <t c="6">
        <n x="2" s="1"/>
        <n x="1" s="1"/>
        <n x="3" s="1"/>
        <n x="18"/>
        <n x="40"/>
        <n x="58"/>
      </t>
    </mdx>
    <mdx n="0" f="v">
      <t c="6">
        <n x="2" s="1"/>
        <n x="1" s="1"/>
        <n x="3" s="1"/>
        <n x="18"/>
        <n x="40"/>
        <n x="59"/>
      </t>
    </mdx>
    <mdx n="0" f="v">
      <t c="6">
        <n x="2" s="1"/>
        <n x="1" s="1"/>
        <n x="3" s="1"/>
        <n x="18"/>
        <n x="43"/>
        <n x="34"/>
      </t>
    </mdx>
    <mdx n="0" f="v">
      <t c="6">
        <n x="2" s="1"/>
        <n x="1" s="1"/>
        <n x="3" s="1"/>
        <n x="18"/>
        <n x="43"/>
        <n x="37"/>
      </t>
    </mdx>
    <mdx n="0" f="v">
      <t c="6">
        <n x="2" s="1"/>
        <n x="1" s="1"/>
        <n x="3" s="1"/>
        <n x="18"/>
        <n x="52"/>
        <n x="21"/>
      </t>
    </mdx>
    <mdx n="0" f="v">
      <t c="6">
        <n x="2" s="1"/>
        <n x="1" s="1"/>
        <n x="3" s="1"/>
        <n x="18"/>
        <n x="52"/>
        <n x="22"/>
      </t>
    </mdx>
    <mdx n="0" f="v">
      <t c="6">
        <n x="2" s="1"/>
        <n x="1" s="1"/>
        <n x="3" s="1"/>
        <n x="18"/>
        <n x="57"/>
        <n x="73" s="1"/>
      </t>
    </mdx>
    <mdx n="0" f="v">
      <t c="6">
        <n x="2" s="1"/>
        <n x="1" s="1"/>
        <n x="3" s="1"/>
        <n x="18"/>
        <n x="57"/>
        <n x="46"/>
      </t>
    </mdx>
    <mdx n="0" f="v">
      <t c="6">
        <n x="2" s="1"/>
        <n x="1" s="1"/>
        <n x="3" s="1"/>
        <n x="18"/>
        <n x="57"/>
        <n x="4"/>
      </t>
    </mdx>
    <mdx n="0" f="v">
      <t c="6">
        <n x="2" s="1"/>
        <n x="1" s="1"/>
        <n x="3" s="1"/>
        <n x="18"/>
        <n x="61"/>
        <n x="58"/>
      </t>
    </mdx>
    <mdx n="0" f="v">
      <t c="6">
        <n x="2" s="1"/>
        <n x="1" s="1"/>
        <n x="3" s="1"/>
        <n x="18"/>
        <n x="61"/>
        <n x="59"/>
      </t>
    </mdx>
    <mdx n="0" f="v">
      <t c="6">
        <n x="2" s="1"/>
        <n x="1" s="1"/>
        <n x="3" s="1"/>
        <n x="18"/>
        <n x="64"/>
        <n x="37"/>
      </t>
    </mdx>
    <mdx n="0" f="v">
      <t c="6">
        <n x="2" s="1"/>
        <n x="1" s="1"/>
        <n x="3" s="1"/>
        <n x="18"/>
        <n x="27"/>
        <n x="55"/>
      </t>
    </mdx>
    <mdx n="0" f="v">
      <t c="6">
        <n x="2" s="1"/>
        <n x="1" s="1"/>
        <n x="3" s="1"/>
        <n x="18"/>
        <n x="40"/>
        <n x="55"/>
      </t>
    </mdx>
    <mdx n="0" f="v">
      <t c="6">
        <n x="2" s="1"/>
        <n x="1" s="1"/>
        <n x="3" s="1"/>
        <n x="18"/>
        <n x="57"/>
        <n x="17"/>
      </t>
    </mdx>
    <mdx n="0" f="v">
      <t c="6">
        <n x="2" s="1"/>
        <n x="1" s="1"/>
        <n x="3" s="1"/>
        <n x="18"/>
        <n x="64"/>
        <n x="54"/>
      </t>
    </mdx>
    <mdx n="0" f="v">
      <t c="6">
        <n x="2" s="1"/>
        <n x="1" s="1"/>
        <n x="3" s="1"/>
        <n x="18"/>
        <n x="11"/>
        <n x="9"/>
      </t>
    </mdx>
    <mdx n="0" f="v">
      <t c="6">
        <n x="2" s="1"/>
        <n x="1" s="1"/>
        <n x="3" s="1"/>
        <n x="18"/>
        <n x="19"/>
        <n x="69"/>
      </t>
    </mdx>
    <mdx n="0" f="v">
      <t c="6">
        <n x="2" s="1"/>
        <n x="1" s="1"/>
        <n x="3" s="1"/>
        <n x="18"/>
        <n x="30"/>
        <n x="8"/>
      </t>
    </mdx>
    <mdx n="0" f="v">
      <t c="6">
        <n x="2" s="1"/>
        <n x="1" s="1"/>
        <n x="3" s="1"/>
        <n x="18"/>
        <n x="51"/>
        <n x="8"/>
      </t>
    </mdx>
    <mdx n="0" f="v">
      <t c="6">
        <n x="2" s="1"/>
        <n x="1" s="1"/>
        <n x="3" s="1"/>
        <n x="18"/>
        <n x="56"/>
        <n x="70"/>
      </t>
    </mdx>
    <mdx n="0" f="v">
      <t c="6">
        <n x="2" s="1"/>
        <n x="1" s="1"/>
        <n x="3" s="1"/>
        <n x="18"/>
        <n x="47"/>
        <n x="49"/>
      </t>
    </mdx>
    <mdx n="0" f="v">
      <t c="6">
        <n x="2" s="1"/>
        <n x="1" s="1"/>
        <n x="3" s="1"/>
        <n x="18"/>
        <n x="20"/>
        <n x="70"/>
      </t>
    </mdx>
    <mdx n="0" f="v">
      <t c="6">
        <n x="2" s="1"/>
        <n x="1" s="1"/>
        <n x="3" s="1"/>
        <n x="18"/>
        <n x="43"/>
        <n x="25"/>
      </t>
    </mdx>
    <mdx n="0" f="v">
      <t c="6">
        <n x="2" s="1"/>
        <n x="1" s="1"/>
        <n x="3" s="1"/>
        <n x="18"/>
        <n x="72" s="1"/>
        <n x="23"/>
      </t>
    </mdx>
    <mdx n="0" f="v">
      <t c="6">
        <n x="2" s="1"/>
        <n x="1" s="1"/>
        <n x="3" s="1"/>
        <n x="18"/>
        <n x="72" s="1"/>
        <n x="24"/>
      </t>
    </mdx>
    <mdx n="0" f="v">
      <t c="6">
        <n x="2" s="1"/>
        <n x="1" s="1"/>
        <n x="3" s="1"/>
        <n x="18"/>
        <n x="65"/>
        <n x="66"/>
      </t>
    </mdx>
    <mdx n="0" f="v">
      <t c="6">
        <n x="2" s="1"/>
        <n x="1" s="1"/>
        <n x="3" s="1"/>
        <n x="18"/>
        <n x="65"/>
        <n x="71"/>
      </t>
    </mdx>
    <mdx n="0" f="v">
      <t c="6">
        <n x="2" s="1"/>
        <n x="1" s="1"/>
        <n x="3" s="1"/>
        <n x="18"/>
        <n x="65"/>
        <n x="15"/>
      </t>
    </mdx>
    <mdx n="0" f="v">
      <t c="6">
        <n x="2" s="1"/>
        <n x="1" s="1"/>
        <n x="3" s="1"/>
        <n x="18"/>
        <n x="5"/>
        <n x="62"/>
      </t>
    </mdx>
    <mdx n="0" f="v">
      <t c="6">
        <n x="2" s="1"/>
        <n x="1" s="1"/>
        <n x="3" s="1"/>
        <n x="18"/>
        <n x="5"/>
        <n x="63"/>
      </t>
    </mdx>
    <mdx n="0" f="v">
      <t c="6">
        <n x="2" s="1"/>
        <n x="1" s="1"/>
        <n x="3" s="1"/>
        <n x="18"/>
        <n x="6"/>
        <n x="41"/>
      </t>
    </mdx>
    <mdx n="0" f="v">
      <t c="6">
        <n x="2" s="1"/>
        <n x="1" s="1"/>
        <n x="3" s="1"/>
        <n x="18"/>
        <n x="6"/>
        <n x="42"/>
      </t>
    </mdx>
    <mdx n="0" f="v">
      <t c="6">
        <n x="2" s="1"/>
        <n x="1" s="1"/>
        <n x="3" s="1"/>
        <n x="18"/>
        <n x="11"/>
        <n x="23"/>
      </t>
    </mdx>
    <mdx n="0" f="v">
      <t c="6">
        <n x="2" s="1"/>
        <n x="1" s="1"/>
        <n x="3" s="1"/>
        <n x="18"/>
        <n x="11"/>
        <n x="24"/>
      </t>
    </mdx>
    <mdx n="0" f="v">
      <t c="6">
        <n x="2" s="1"/>
        <n x="1" s="1"/>
        <n x="3" s="1"/>
        <n x="18"/>
        <n x="19"/>
        <n x="66"/>
      </t>
    </mdx>
    <mdx n="0" f="v">
      <t c="6">
        <n x="2" s="1"/>
        <n x="1" s="1"/>
        <n x="3" s="1"/>
        <n x="18"/>
        <n x="19"/>
        <n x="71"/>
      </t>
    </mdx>
    <mdx n="0" f="v">
      <t c="6">
        <n x="2" s="1"/>
        <n x="1" s="1"/>
        <n x="3" s="1"/>
        <n x="18"/>
        <n x="19"/>
        <n x="15"/>
      </t>
    </mdx>
    <mdx n="0" f="v">
      <t c="6">
        <n x="2" s="1"/>
        <n x="1" s="1"/>
        <n x="3" s="1"/>
        <n x="18"/>
        <n x="26"/>
        <n x="62"/>
      </t>
    </mdx>
    <mdx n="0" f="v">
      <t c="6">
        <n x="2" s="1"/>
        <n x="1" s="1"/>
        <n x="3" s="1"/>
        <n x="18"/>
        <n x="26"/>
        <n x="63"/>
      </t>
    </mdx>
    <mdx n="0" f="v">
      <t c="6">
        <n x="2" s="1"/>
        <n x="1" s="1"/>
        <n x="3" s="1"/>
        <n x="18"/>
        <n x="28"/>
        <n x="41"/>
      </t>
    </mdx>
    <mdx n="0" f="v">
      <t c="6">
        <n x="2" s="1"/>
        <n x="1" s="1"/>
        <n x="3" s="1"/>
        <n x="18"/>
        <n x="28"/>
        <n x="42"/>
      </t>
    </mdx>
    <mdx n="0" f="v">
      <t c="6">
        <n x="2" s="1"/>
        <n x="1" s="1"/>
        <n x="3" s="1"/>
        <n x="18"/>
        <n x="30"/>
        <n x="23"/>
      </t>
    </mdx>
    <mdx n="0" f="v">
      <t c="6">
        <n x="2" s="1"/>
        <n x="1" s="1"/>
        <n x="3" s="1"/>
        <n x="18"/>
        <n x="30"/>
        <n x="24"/>
      </t>
    </mdx>
    <mdx n="0" f="v">
      <t c="6">
        <n x="2" s="1"/>
        <n x="1" s="1"/>
        <n x="3" s="1"/>
        <n x="18"/>
        <n x="35"/>
        <n x="66"/>
      </t>
    </mdx>
    <mdx n="0" f="v">
      <t c="6">
        <n x="2" s="1"/>
        <n x="1" s="1"/>
        <n x="3" s="1"/>
        <n x="18"/>
        <n x="35"/>
        <n x="71"/>
      </t>
    </mdx>
    <mdx n="0" f="v">
      <t c="6">
        <n x="2" s="1"/>
        <n x="1" s="1"/>
        <n x="3" s="1"/>
        <n x="18"/>
        <n x="35"/>
        <n x="15"/>
      </t>
    </mdx>
    <mdx n="0" f="v">
      <t c="6">
        <n x="2" s="1"/>
        <n x="1" s="1"/>
        <n x="3" s="1"/>
        <n x="18"/>
        <n x="39"/>
        <n x="62"/>
      </t>
    </mdx>
    <mdx n="0" f="v">
      <t c="6">
        <n x="2" s="1"/>
        <n x="1" s="1"/>
        <n x="3" s="1"/>
        <n x="18"/>
        <n x="39"/>
        <n x="63"/>
      </t>
    </mdx>
    <mdx n="0" f="v">
      <t c="6">
        <n x="2" s="1"/>
        <n x="1" s="1"/>
        <n x="3" s="1"/>
        <n x="18"/>
        <n x="48"/>
        <n x="41"/>
      </t>
    </mdx>
    <mdx n="0" f="v">
      <t c="6">
        <n x="2" s="1"/>
        <n x="1" s="1"/>
        <n x="3" s="1"/>
        <n x="18"/>
        <n x="48"/>
        <n x="42"/>
      </t>
    </mdx>
    <mdx n="0" f="v">
      <t c="6">
        <n x="2" s="1"/>
        <n x="1" s="1"/>
        <n x="3" s="1"/>
        <n x="18"/>
        <n x="51"/>
        <n x="23"/>
      </t>
    </mdx>
    <mdx n="0" f="v">
      <t c="6">
        <n x="2" s="1"/>
        <n x="1" s="1"/>
        <n x="3" s="1"/>
        <n x="18"/>
        <n x="51"/>
        <n x="24"/>
      </t>
    </mdx>
    <mdx n="0" f="v">
      <t c="6">
        <n x="2" s="1"/>
        <n x="1" s="1"/>
        <n x="3" s="1"/>
        <n x="18"/>
        <n x="56"/>
        <n x="66"/>
      </t>
    </mdx>
    <mdx n="0" f="v">
      <t c="6">
        <n x="2" s="1"/>
        <n x="1" s="1"/>
        <n x="3" s="1"/>
        <n x="18"/>
        <n x="56"/>
        <n x="71"/>
      </t>
    </mdx>
    <mdx n="0" f="v">
      <t c="6">
        <n x="2" s="1"/>
        <n x="1" s="1"/>
        <n x="3" s="1"/>
        <n x="18"/>
        <n x="56"/>
        <n x="15"/>
      </t>
    </mdx>
    <mdx n="0" f="v">
      <t c="6">
        <n x="2" s="1"/>
        <n x="1" s="1"/>
        <n x="3" s="1"/>
        <n x="18"/>
        <n x="60"/>
        <n x="62"/>
      </t>
    </mdx>
    <mdx n="0" f="v">
      <t c="6">
        <n x="2" s="1"/>
        <n x="1" s="1"/>
        <n x="3" s="1"/>
        <n x="18"/>
        <n x="60"/>
        <n x="63"/>
      </t>
    </mdx>
    <mdx n="0" f="v">
      <t c="6">
        <n x="2" s="1"/>
        <n x="1" s="1"/>
        <n x="3" s="1"/>
        <n x="18"/>
        <n x="67"/>
        <n x="41"/>
      </t>
    </mdx>
    <mdx n="0" f="v">
      <t c="6">
        <n x="2" s="1"/>
        <n x="1" s="1"/>
        <n x="3" s="1"/>
        <n x="18"/>
        <n x="67"/>
        <n x="42"/>
      </t>
    </mdx>
    <mdx n="0" f="v">
      <t c="6">
        <n x="2" s="1"/>
        <n x="1" s="1"/>
        <n x="3" s="1"/>
        <n x="18"/>
        <n x="50"/>
        <n x="23"/>
      </t>
    </mdx>
    <mdx n="0" f="v">
      <t c="6">
        <n x="2" s="1"/>
        <n x="1" s="1"/>
        <n x="3" s="1"/>
        <n x="18"/>
        <n x="50"/>
        <n x="24"/>
      </t>
    </mdx>
    <mdx n="0" f="v">
      <t c="6">
        <n x="2" s="1"/>
        <n x="1" s="1"/>
        <n x="3" s="1"/>
        <n x="18"/>
        <n x="38"/>
        <n x="66"/>
      </t>
    </mdx>
    <mdx n="0" f="v">
      <t c="6">
        <n x="2" s="1"/>
        <n x="1" s="1"/>
        <n x="3" s="1"/>
        <n x="18"/>
        <n x="38"/>
        <n x="71"/>
      </t>
    </mdx>
    <mdx n="0" f="v">
      <t c="6">
        <n x="2" s="1"/>
        <n x="1" s="1"/>
        <n x="3" s="1"/>
        <n x="18"/>
        <n x="38"/>
        <n x="15"/>
      </t>
    </mdx>
    <mdx n="0" f="v">
      <t c="6">
        <n x="2" s="1"/>
        <n x="1" s="1"/>
        <n x="3" s="1"/>
        <n x="18"/>
        <n x="47"/>
        <n x="62"/>
      </t>
    </mdx>
    <mdx n="0" f="v">
      <t c="6">
        <n x="2" s="1"/>
        <n x="1" s="1"/>
        <n x="3" s="1"/>
        <n x="18"/>
        <n x="47"/>
        <n x="63"/>
      </t>
    </mdx>
    <mdx n="0" f="v">
      <t c="6">
        <n x="2" s="1"/>
        <n x="1" s="1"/>
        <n x="3" s="1"/>
        <n x="18"/>
        <n x="7"/>
        <n x="41"/>
      </t>
    </mdx>
    <mdx n="0" f="v">
      <t c="6">
        <n x="2" s="1"/>
        <n x="1" s="1"/>
        <n x="3" s="1"/>
        <n x="18"/>
        <n x="7"/>
        <n x="42"/>
      </t>
    </mdx>
    <mdx n="0" f="v">
      <t c="6">
        <n x="2" s="1"/>
        <n x="1" s="1"/>
        <n x="3" s="1"/>
        <n x="18"/>
        <n x="16"/>
        <n x="23"/>
      </t>
    </mdx>
    <mdx n="0" f="v">
      <t c="6">
        <n x="2" s="1"/>
        <n x="1" s="1"/>
        <n x="3" s="1"/>
        <n x="18"/>
        <n x="16"/>
        <n x="24"/>
      </t>
    </mdx>
    <mdx n="0" f="v">
      <t c="6">
        <n x="2" s="1"/>
        <n x="1" s="1"/>
        <n x="3" s="1"/>
        <n x="18"/>
        <n x="20"/>
        <n x="66"/>
      </t>
    </mdx>
    <mdx n="0" f="v">
      <t c="6">
        <n x="2" s="1"/>
        <n x="1" s="1"/>
        <n x="3" s="1"/>
        <n x="18"/>
        <n x="20"/>
        <n x="71"/>
      </t>
    </mdx>
    <mdx n="0" f="v">
      <t c="6">
        <n x="2" s="1"/>
        <n x="1" s="1"/>
        <n x="3" s="1"/>
        <n x="18"/>
        <n x="20"/>
        <n x="15"/>
      </t>
    </mdx>
    <mdx n="0" f="v">
      <t c="6">
        <n x="2" s="1"/>
        <n x="1" s="1"/>
        <n x="3" s="1"/>
        <n x="18"/>
        <n x="27"/>
        <n x="62"/>
      </t>
    </mdx>
    <mdx n="0" f="v">
      <t c="6">
        <n x="2" s="1"/>
        <n x="1" s="1"/>
        <n x="3" s="1"/>
        <n x="18"/>
        <n x="27"/>
        <n x="63"/>
      </t>
    </mdx>
    <mdx n="0" f="v">
      <t c="6">
        <n x="2" s="1"/>
        <n x="1" s="1"/>
        <n x="3" s="1"/>
        <n x="18"/>
        <n x="14"/>
        <n x="41"/>
      </t>
    </mdx>
    <mdx n="0" f="v">
      <t c="6">
        <n x="2" s="1"/>
        <n x="1" s="1"/>
        <n x="3" s="1"/>
        <n x="18"/>
        <n x="14"/>
        <n x="42"/>
      </t>
    </mdx>
    <mdx n="0" f="v">
      <t c="6">
        <n x="2" s="1"/>
        <n x="1" s="1"/>
        <n x="3" s="1"/>
        <n x="18"/>
        <n x="31"/>
        <n x="23"/>
      </t>
    </mdx>
    <mdx n="0" f="v">
      <t c="6">
        <n x="2" s="1"/>
        <n x="1" s="1"/>
        <n x="3" s="1"/>
        <n x="18"/>
        <n x="31"/>
        <n x="24"/>
      </t>
    </mdx>
    <mdx n="0" f="v">
      <t c="6">
        <n x="2" s="1"/>
        <n x="1" s="1"/>
        <n x="3" s="1"/>
        <n x="18"/>
        <n x="36"/>
        <n x="66"/>
      </t>
    </mdx>
    <mdx n="0" f="v">
      <t c="6">
        <n x="2" s="1"/>
        <n x="1" s="1"/>
        <n x="3" s="1"/>
        <n x="18"/>
        <n x="36"/>
        <n x="71"/>
      </t>
    </mdx>
    <mdx n="0" f="v">
      <t c="6">
        <n x="2" s="1"/>
        <n x="1" s="1"/>
        <n x="3" s="1"/>
        <n x="18"/>
        <n x="36"/>
        <n x="15"/>
      </t>
    </mdx>
    <mdx n="0" f="v">
      <t c="6">
        <n x="2" s="1"/>
        <n x="1" s="1"/>
        <n x="3" s="1"/>
        <n x="18"/>
        <n x="40"/>
        <n x="62"/>
      </t>
    </mdx>
    <mdx n="0" f="v">
      <t c="6">
        <n x="2" s="1"/>
        <n x="1" s="1"/>
        <n x="3" s="1"/>
        <n x="18"/>
        <n x="40"/>
        <n x="63"/>
      </t>
    </mdx>
    <mdx n="0" f="v">
      <t c="6">
        <n x="2" s="1"/>
        <n x="1" s="1"/>
        <n x="3" s="1"/>
        <n x="18"/>
        <n x="43"/>
        <n x="41"/>
      </t>
    </mdx>
    <mdx n="0" f="v">
      <t c="6">
        <n x="2" s="1"/>
        <n x="1" s="1"/>
        <n x="3" s="1"/>
        <n x="18"/>
        <n x="43"/>
        <n x="42"/>
      </t>
    </mdx>
    <mdx n="0" f="v">
      <t c="6">
        <n x="2" s="1"/>
        <n x="1" s="1"/>
        <n x="3" s="1"/>
        <n x="18"/>
        <n x="52"/>
        <n x="23"/>
      </t>
    </mdx>
    <mdx n="0" f="v">
      <t c="6">
        <n x="2" s="1"/>
        <n x="1" s="1"/>
        <n x="3" s="1"/>
        <n x="18"/>
        <n x="52"/>
        <n x="24"/>
      </t>
    </mdx>
    <mdx n="0" f="v">
      <t c="6">
        <n x="2" s="1"/>
        <n x="1" s="1"/>
        <n x="3" s="1"/>
        <n x="18"/>
        <n x="57"/>
        <n x="66"/>
      </t>
    </mdx>
    <mdx n="0" f="v">
      <t c="6">
        <n x="2" s="1"/>
        <n x="1" s="1"/>
        <n x="3" s="1"/>
        <n x="18"/>
        <n x="57"/>
        <n x="71"/>
      </t>
    </mdx>
    <mdx n="0" f="v">
      <t c="6">
        <n x="2" s="1"/>
        <n x="1" s="1"/>
        <n x="3" s="1"/>
        <n x="18"/>
        <n x="57"/>
        <n x="15"/>
      </t>
    </mdx>
    <mdx n="0" f="v">
      <t c="6">
        <n x="2" s="1"/>
        <n x="1" s="1"/>
        <n x="3" s="1"/>
        <n x="18"/>
        <n x="61"/>
        <n x="62"/>
      </t>
    </mdx>
    <mdx n="0" f="v">
      <t c="6">
        <n x="2" s="1"/>
        <n x="1" s="1"/>
        <n x="3" s="1"/>
        <n x="18"/>
        <n x="61"/>
        <n x="63"/>
      </t>
    </mdx>
    <mdx n="0" f="v">
      <t c="6">
        <n x="2" s="1"/>
        <n x="1" s="1"/>
        <n x="3" s="1"/>
        <n x="18"/>
        <n x="64"/>
        <n x="41"/>
      </t>
    </mdx>
    <mdx n="0" f="v">
      <t c="6">
        <n x="2" s="1"/>
        <n x="1" s="1"/>
        <n x="3" s="1"/>
        <n x="18"/>
        <n x="64"/>
        <n x="42"/>
      </t>
    </mdx>
    <mdx n="0" f="v">
      <t c="6">
        <n x="2" s="1"/>
        <n x="1" s="1"/>
        <n x="3" s="1"/>
        <n x="18"/>
        <n x="20"/>
        <n x="12"/>
      </t>
    </mdx>
    <mdx n="0" f="v">
      <t c="6">
        <n x="2" s="1"/>
        <n x="1" s="1"/>
        <n x="3" s="1"/>
        <n x="18"/>
        <n x="27"/>
        <n x="45"/>
      </t>
    </mdx>
    <mdx n="0" f="v">
      <t c="6">
        <n x="2" s="1"/>
        <n x="1" s="1"/>
        <n x="3" s="1"/>
        <n x="18"/>
        <n x="14"/>
        <n x="53"/>
      </t>
    </mdx>
    <mdx n="0" f="v">
      <t c="6">
        <n x="2" s="1"/>
        <n x="1" s="1"/>
        <n x="3" s="1"/>
        <n x="18"/>
        <n x="14"/>
        <n x="54"/>
      </t>
    </mdx>
    <mdx n="0" f="v">
      <t c="6">
        <n x="2" s="1"/>
        <n x="1" s="1"/>
        <n x="3" s="1"/>
        <n x="18"/>
        <n x="31"/>
        <n x="32"/>
      </t>
    </mdx>
    <mdx n="0" f="v">
      <t c="6">
        <n x="2" s="1"/>
        <n x="1" s="1"/>
        <n x="3" s="1"/>
        <n x="18"/>
        <n x="36"/>
        <n x="12"/>
      </t>
    </mdx>
    <mdx n="0" f="v">
      <t c="6">
        <n x="2" s="1"/>
        <n x="1" s="1"/>
        <n x="3" s="1"/>
        <n x="18"/>
        <n x="36"/>
        <n x="17"/>
      </t>
    </mdx>
    <mdx n="0" f="v">
      <t c="6">
        <n x="2" s="1"/>
        <n x="1" s="1"/>
        <n x="3" s="1"/>
        <n x="18"/>
        <n x="40"/>
        <n x="45"/>
      </t>
    </mdx>
    <mdx n="0" f="v">
      <t c="6">
        <n x="2" s="1"/>
        <n x="1" s="1"/>
        <n x="3" s="1"/>
        <n x="18"/>
        <n x="43"/>
        <n x="54"/>
      </t>
    </mdx>
    <mdx n="0" f="v">
      <t c="6">
        <n x="2" s="1"/>
        <n x="1" s="1"/>
        <n x="3" s="1"/>
        <n x="18"/>
        <n x="52"/>
        <n x="32"/>
      </t>
    </mdx>
    <mdx n="0" f="v">
      <t c="6">
        <n x="2" s="1"/>
        <n x="1" s="1"/>
        <n x="3" s="1"/>
        <n x="18"/>
        <n x="57"/>
        <n x="13"/>
      </t>
    </mdx>
    <mdx n="0" f="v">
      <t c="6">
        <n x="2" s="1"/>
        <n x="1" s="1"/>
        <n x="3" s="1"/>
        <n x="18"/>
        <n x="64"/>
        <n x="53"/>
      </t>
    </mdx>
    <mdx n="0" f="v">
      <t c="6">
        <n x="2" s="1"/>
        <n x="1" s="1"/>
        <n x="3" s="1"/>
        <n x="18"/>
        <n x="11"/>
        <n x="10"/>
      </t>
    </mdx>
    <mdx n="0" f="v">
      <t c="6">
        <n x="2" s="1"/>
        <n x="1" s="1"/>
        <n x="3" s="1"/>
        <n x="18"/>
        <n x="48"/>
        <n x="29"/>
      </t>
    </mdx>
    <mdx n="0" f="v">
      <t c="6">
        <n x="2" s="1"/>
        <n x="1" s="1"/>
        <n x="3" s="1"/>
        <n x="18"/>
        <n x="38"/>
        <n x="69"/>
      </t>
    </mdx>
    <mdx n="0" f="v">
      <t c="6">
        <n x="2" s="1"/>
        <n x="1" s="1"/>
        <n x="3" s="1"/>
        <n x="18"/>
        <n x="14"/>
        <n x="25"/>
      </t>
    </mdx>
    <mdx n="0" f="v">
      <t c="6">
        <n x="2" s="1"/>
        <n x="1" s="1"/>
        <n x="3" s="1"/>
        <n x="18"/>
        <n x="52"/>
        <n x="10"/>
      </t>
    </mdx>
    <mdx n="0" f="v">
      <t c="6">
        <n x="2" s="1"/>
        <n x="1" s="1"/>
        <n x="3" s="1"/>
        <n x="18"/>
        <n x="72" s="1"/>
        <n x="25"/>
      </t>
    </mdx>
    <mdx n="0" f="v">
      <t c="6">
        <n x="2" s="1"/>
        <n x="1" s="1"/>
        <n x="3" s="1"/>
        <n x="18"/>
        <n x="72" s="1"/>
        <n x="29"/>
      </t>
    </mdx>
    <mdx n="0" f="v">
      <t c="6">
        <n x="2" s="1"/>
        <n x="1" s="1"/>
        <n x="3" s="1"/>
        <n x="18"/>
        <n x="65"/>
        <n x="8"/>
      </t>
    </mdx>
    <mdx n="0" f="v">
      <t c="6">
        <n x="2" s="1"/>
        <n x="1" s="1"/>
        <n x="3" s="1"/>
        <n x="18"/>
        <n x="65"/>
        <n x="9"/>
      </t>
    </mdx>
    <mdx n="0" f="v">
      <t c="6">
        <n x="2" s="1"/>
        <n x="1" s="1"/>
        <n x="3" s="1"/>
        <n x="18"/>
        <n x="65"/>
        <n x="10"/>
      </t>
    </mdx>
    <mdx n="0" f="v">
      <t c="6">
        <n x="2" s="1"/>
        <n x="1" s="1"/>
        <n x="3" s="1"/>
        <n x="18"/>
        <n x="5"/>
        <n x="69"/>
      </t>
    </mdx>
    <mdx n="0" f="v">
      <t c="6">
        <n x="2" s="1"/>
        <n x="1" s="1"/>
        <n x="3" s="1"/>
        <n x="18"/>
        <n x="5"/>
        <n x="70"/>
      </t>
    </mdx>
    <mdx n="0" f="v">
      <t c="6">
        <n x="2" s="1"/>
        <n x="1" s="1"/>
        <n x="3" s="1"/>
        <n x="18"/>
        <n x="6"/>
        <n x="49"/>
      </t>
    </mdx>
    <mdx n="0" f="v">
      <t c="6">
        <n x="2" s="1"/>
        <n x="1" s="1"/>
        <n x="3" s="1"/>
        <n x="18"/>
        <n x="6"/>
        <n x="44"/>
      </t>
    </mdx>
    <mdx n="0" f="v">
      <t c="6">
        <n x="2" s="1"/>
        <n x="1" s="1"/>
        <n x="3" s="1"/>
        <n x="18"/>
        <n x="11"/>
        <n x="25"/>
      </t>
    </mdx>
    <mdx n="0" f="v">
      <t c="6">
        <n x="2" s="1"/>
        <n x="1" s="1"/>
        <n x="3" s="1"/>
        <n x="18"/>
        <n x="11"/>
        <n x="29"/>
      </t>
    </mdx>
    <mdx n="0" f="v">
      <t c="6">
        <n x="2" s="1"/>
        <n x="1" s="1"/>
        <n x="3" s="1"/>
        <n x="18"/>
        <n x="19"/>
        <n x="8"/>
      </t>
    </mdx>
    <mdx n="0" f="v">
      <t c="6">
        <n x="2" s="1"/>
        <n x="1" s="1"/>
        <n x="3" s="1"/>
        <n x="18"/>
        <n x="19"/>
        <n x="9"/>
      </t>
    </mdx>
    <mdx n="0" f="v">
      <t c="6">
        <n x="2" s="1"/>
        <n x="1" s="1"/>
        <n x="3" s="1"/>
        <n x="18"/>
        <n x="19"/>
        <n x="10"/>
      </t>
    </mdx>
    <mdx n="0" f="v">
      <t c="6">
        <n x="2" s="1"/>
        <n x="1" s="1"/>
        <n x="3" s="1"/>
        <n x="18"/>
        <n x="26"/>
        <n x="69"/>
      </t>
    </mdx>
    <mdx n="0" f="v">
      <t c="6">
        <n x="2" s="1"/>
        <n x="1" s="1"/>
        <n x="3" s="1"/>
        <n x="18"/>
        <n x="26"/>
        <n x="70"/>
      </t>
    </mdx>
    <mdx n="0" f="v">
      <t c="6">
        <n x="2" s="1"/>
        <n x="1" s="1"/>
        <n x="3" s="1"/>
        <n x="18"/>
        <n x="28"/>
        <n x="49"/>
      </t>
    </mdx>
    <mdx n="0" f="v">
      <t c="6">
        <n x="2" s="1"/>
        <n x="1" s="1"/>
        <n x="3" s="1"/>
        <n x="18"/>
        <n x="28"/>
        <n x="44"/>
      </t>
    </mdx>
    <mdx n="0" f="v">
      <t c="6">
        <n x="2" s="1"/>
        <n x="1" s="1"/>
        <n x="3" s="1"/>
        <n x="18"/>
        <n x="30"/>
        <n x="25"/>
      </t>
    </mdx>
    <mdx n="0" f="v">
      <t c="6">
        <n x="2" s="1"/>
        <n x="1" s="1"/>
        <n x="3" s="1"/>
        <n x="18"/>
        <n x="30"/>
        <n x="29"/>
      </t>
    </mdx>
    <mdx n="0" f="v">
      <t c="6">
        <n x="2" s="1"/>
        <n x="1" s="1"/>
        <n x="3" s="1"/>
        <n x="18"/>
        <n x="35"/>
        <n x="8"/>
      </t>
    </mdx>
    <mdx n="0" f="v">
      <t c="6">
        <n x="2" s="1"/>
        <n x="1" s="1"/>
        <n x="3" s="1"/>
        <n x="18"/>
        <n x="35"/>
        <n x="9"/>
      </t>
    </mdx>
    <mdx n="0" f="v">
      <t c="6">
        <n x="2" s="1"/>
        <n x="1" s="1"/>
        <n x="3" s="1"/>
        <n x="18"/>
        <n x="35"/>
        <n x="10"/>
      </t>
    </mdx>
    <mdx n="0" f="v">
      <t c="6">
        <n x="2" s="1"/>
        <n x="1" s="1"/>
        <n x="3" s="1"/>
        <n x="18"/>
        <n x="39"/>
        <n x="69"/>
      </t>
    </mdx>
    <mdx n="0" f="v">
      <t c="6">
        <n x="2" s="1"/>
        <n x="1" s="1"/>
        <n x="3" s="1"/>
        <n x="18"/>
        <n x="39"/>
        <n x="70"/>
      </t>
    </mdx>
    <mdx n="0" f="v">
      <t c="6">
        <n x="2" s="1"/>
        <n x="1" s="1"/>
        <n x="3" s="1"/>
        <n x="18"/>
        <n x="48"/>
        <n x="49"/>
      </t>
    </mdx>
    <mdx n="0" f="v">
      <t c="6">
        <n x="2" s="1"/>
        <n x="1" s="1"/>
        <n x="3" s="1"/>
        <n x="18"/>
        <n x="48"/>
        <n x="44"/>
      </t>
    </mdx>
    <mdx n="0" f="v">
      <t c="6">
        <n x="2" s="1"/>
        <n x="1" s="1"/>
        <n x="3" s="1"/>
        <n x="18"/>
        <n x="51"/>
        <n x="25"/>
      </t>
    </mdx>
    <mdx n="0" f="v">
      <t c="6">
        <n x="2" s="1"/>
        <n x="1" s="1"/>
        <n x="3" s="1"/>
        <n x="18"/>
        <n x="51"/>
        <n x="29"/>
      </t>
    </mdx>
    <mdx n="0" f="v">
      <t c="6">
        <n x="2" s="1"/>
        <n x="1" s="1"/>
        <n x="3" s="1"/>
        <n x="18"/>
        <n x="56"/>
        <n x="8"/>
      </t>
    </mdx>
    <mdx n="0" f="v">
      <t c="6">
        <n x="2" s="1"/>
        <n x="1" s="1"/>
        <n x="3" s="1"/>
        <n x="18"/>
        <n x="56"/>
        <n x="9"/>
      </t>
    </mdx>
    <mdx n="0" f="v">
      <t c="6">
        <n x="2" s="1"/>
        <n x="1" s="1"/>
        <n x="3" s="1"/>
        <n x="18"/>
        <n x="56"/>
        <n x="10"/>
      </t>
    </mdx>
    <mdx n="0" f="v">
      <t c="6">
        <n x="2" s="1"/>
        <n x="1" s="1"/>
        <n x="3" s="1"/>
        <n x="18"/>
        <n x="60"/>
        <n x="69"/>
      </t>
    </mdx>
    <mdx n="0" f="v">
      <t c="6">
        <n x="2" s="1"/>
        <n x="1" s="1"/>
        <n x="3" s="1"/>
        <n x="18"/>
        <n x="60"/>
        <n x="70"/>
      </t>
    </mdx>
    <mdx n="0" f="v">
      <t c="6">
        <n x="2" s="1"/>
        <n x="1" s="1"/>
        <n x="3" s="1"/>
        <n x="18"/>
        <n x="67"/>
        <n x="49"/>
      </t>
    </mdx>
    <mdx n="0" f="v">
      <t c="6">
        <n x="2" s="1"/>
        <n x="1" s="1"/>
        <n x="3" s="1"/>
        <n x="18"/>
        <n x="67"/>
        <n x="44"/>
      </t>
    </mdx>
    <mdx n="0" f="v">
      <t c="6">
        <n x="2" s="1"/>
        <n x="1" s="1"/>
        <n x="3" s="1"/>
        <n x="18"/>
        <n x="50"/>
        <n x="25"/>
      </t>
    </mdx>
    <mdx n="0" f="v">
      <t c="6">
        <n x="2" s="1"/>
        <n x="1" s="1"/>
        <n x="3" s="1"/>
        <n x="18"/>
        <n x="50"/>
        <n x="29"/>
      </t>
    </mdx>
    <mdx n="0" f="v">
      <t c="6">
        <n x="2" s="1"/>
        <n x="1" s="1"/>
        <n x="3" s="1"/>
        <n x="18"/>
        <n x="38"/>
        <n x="8"/>
      </t>
    </mdx>
    <mdx n="0" f="v">
      <t c="6">
        <n x="2" s="1"/>
        <n x="1" s="1"/>
        <n x="3" s="1"/>
        <n x="18"/>
        <n x="38"/>
        <n x="9"/>
      </t>
    </mdx>
    <mdx n="0" f="v">
      <t c="6">
        <n x="2" s="1"/>
        <n x="1" s="1"/>
        <n x="3" s="1"/>
        <n x="18"/>
        <n x="38"/>
        <n x="10"/>
      </t>
    </mdx>
    <mdx n="0" f="v">
      <t c="6">
        <n x="2" s="1"/>
        <n x="1" s="1"/>
        <n x="3" s="1"/>
        <n x="18"/>
        <n x="47"/>
        <n x="69"/>
      </t>
    </mdx>
    <mdx n="0" f="v">
      <t c="6">
        <n x="2" s="1"/>
        <n x="1" s="1"/>
        <n x="3" s="1"/>
        <n x="18"/>
        <n x="47"/>
        <n x="70"/>
      </t>
    </mdx>
    <mdx n="0" f="v">
      <t c="6">
        <n x="2" s="1"/>
        <n x="1" s="1"/>
        <n x="3" s="1"/>
        <n x="18"/>
        <n x="7"/>
        <n x="49"/>
      </t>
    </mdx>
    <mdx n="0" f="v">
      <t c="6">
        <n x="2" s="1"/>
        <n x="1" s="1"/>
        <n x="3" s="1"/>
        <n x="18"/>
        <n x="7"/>
        <n x="44"/>
      </t>
    </mdx>
    <mdx n="0" f="v">
      <t c="6">
        <n x="2" s="1"/>
        <n x="1" s="1"/>
        <n x="3" s="1"/>
        <n x="18"/>
        <n x="16"/>
        <n x="25"/>
      </t>
    </mdx>
    <mdx n="0" f="v">
      <t c="6">
        <n x="2" s="1"/>
        <n x="1" s="1"/>
        <n x="3" s="1"/>
        <n x="18"/>
        <n x="16"/>
        <n x="29"/>
      </t>
    </mdx>
    <mdx n="0" f="v">
      <t c="6">
        <n x="2" s="1"/>
        <n x="1" s="1"/>
        <n x="3" s="1"/>
        <n x="18"/>
        <n x="20"/>
        <n x="8"/>
      </t>
    </mdx>
    <mdx n="0" f="v">
      <t c="6">
        <n x="2" s="1"/>
        <n x="1" s="1"/>
        <n x="3" s="1"/>
        <n x="18"/>
        <n x="20"/>
        <n x="9"/>
      </t>
    </mdx>
    <mdx n="0" f="v">
      <t c="6">
        <n x="2" s="1"/>
        <n x="1" s="1"/>
        <n x="3" s="1"/>
        <n x="18"/>
        <n x="20"/>
        <n x="10"/>
      </t>
    </mdx>
    <mdx n="0" f="v">
      <t c="6">
        <n x="2" s="1"/>
        <n x="1" s="1"/>
        <n x="3" s="1"/>
        <n x="18"/>
        <n x="27"/>
        <n x="69"/>
      </t>
    </mdx>
    <mdx n="0" f="v">
      <t c="6">
        <n x="2" s="1"/>
        <n x="1" s="1"/>
        <n x="3" s="1"/>
        <n x="18"/>
        <n x="27"/>
        <n x="70"/>
      </t>
    </mdx>
    <mdx n="0" f="v">
      <t c="6">
        <n x="2" s="1"/>
        <n x="1" s="1"/>
        <n x="3" s="1"/>
        <n x="18"/>
        <n x="14"/>
        <n x="49"/>
      </t>
    </mdx>
    <mdx n="0" f="v">
      <t c="6">
        <n x="2" s="1"/>
        <n x="1" s="1"/>
        <n x="3" s="1"/>
        <n x="18"/>
        <n x="14"/>
        <n x="44"/>
      </t>
    </mdx>
    <mdx n="0" f="v">
      <t c="6">
        <n x="2" s="1"/>
        <n x="1" s="1"/>
        <n x="3" s="1"/>
        <n x="18"/>
        <n x="31"/>
        <n x="25"/>
      </t>
    </mdx>
    <mdx n="0" f="v">
      <t c="6">
        <n x="2" s="1"/>
        <n x="1" s="1"/>
        <n x="3" s="1"/>
        <n x="18"/>
        <n x="31"/>
        <n x="29"/>
      </t>
    </mdx>
    <mdx n="0" f="v">
      <t c="6">
        <n x="2" s="1"/>
        <n x="1" s="1"/>
        <n x="3" s="1"/>
        <n x="18"/>
        <n x="36"/>
        <n x="8"/>
      </t>
    </mdx>
    <mdx n="0" f="v">
      <t c="6">
        <n x="2" s="1"/>
        <n x="1" s="1"/>
        <n x="3" s="1"/>
        <n x="18"/>
        <n x="36"/>
        <n x="9"/>
      </t>
    </mdx>
    <mdx n="0" f="v">
      <t c="6">
        <n x="2" s="1"/>
        <n x="1" s="1"/>
        <n x="3" s="1"/>
        <n x="18"/>
        <n x="36"/>
        <n x="10"/>
      </t>
    </mdx>
    <mdx n="0" f="v">
      <t c="6">
        <n x="2" s="1"/>
        <n x="1" s="1"/>
        <n x="3" s="1"/>
        <n x="18"/>
        <n x="40"/>
        <n x="69"/>
      </t>
    </mdx>
    <mdx n="0" f="v">
      <t c="6">
        <n x="2" s="1"/>
        <n x="1" s="1"/>
        <n x="3" s="1"/>
        <n x="18"/>
        <n x="40"/>
        <n x="70"/>
      </t>
    </mdx>
    <mdx n="0" f="v">
      <t c="6">
        <n x="2" s="1"/>
        <n x="1" s="1"/>
        <n x="3" s="1"/>
        <n x="18"/>
        <n x="43"/>
        <n x="49"/>
      </t>
    </mdx>
    <mdx n="0" f="v">
      <t c="6">
        <n x="2" s="1"/>
        <n x="1" s="1"/>
        <n x="3" s="1"/>
        <n x="18"/>
        <n x="43"/>
        <n x="44"/>
      </t>
    </mdx>
    <mdx n="0" f="v">
      <t c="6">
        <n x="2" s="1"/>
        <n x="1" s="1"/>
        <n x="3" s="1"/>
        <n x="18"/>
        <n x="52"/>
        <n x="25"/>
      </t>
    </mdx>
    <mdx n="0" f="v">
      <t c="6">
        <n x="2" s="1"/>
        <n x="1" s="1"/>
        <n x="3" s="1"/>
        <n x="18"/>
        <n x="52"/>
        <n x="29"/>
      </t>
    </mdx>
    <mdx n="0" f="v">
      <t c="6">
        <n x="2" s="1"/>
        <n x="1" s="1"/>
        <n x="3" s="1"/>
        <n x="18"/>
        <n x="57"/>
        <n x="8"/>
      </t>
    </mdx>
    <mdx n="0" f="v">
      <t c="6">
        <n x="2" s="1"/>
        <n x="1" s="1"/>
        <n x="3" s="1"/>
        <n x="18"/>
        <n x="57"/>
        <n x="9"/>
      </t>
    </mdx>
    <mdx n="0" f="v">
      <t c="6">
        <n x="2" s="1"/>
        <n x="1" s="1"/>
        <n x="3" s="1"/>
        <n x="18"/>
        <n x="57"/>
        <n x="10"/>
      </t>
    </mdx>
    <mdx n="0" f="v">
      <t c="6">
        <n x="2" s="1"/>
        <n x="1" s="1"/>
        <n x="3" s="1"/>
        <n x="18"/>
        <n x="61"/>
        <n x="69"/>
      </t>
    </mdx>
    <mdx n="0" f="v">
      <t c="6">
        <n x="2" s="1"/>
        <n x="1" s="1"/>
        <n x="3" s="1"/>
        <n x="18"/>
        <n x="61"/>
        <n x="70"/>
      </t>
    </mdx>
    <mdx n="0" f="v">
      <t c="6">
        <n x="2" s="1"/>
        <n x="1" s="1"/>
        <n x="3" s="1"/>
        <n x="18"/>
        <n x="64"/>
        <n x="49"/>
      </t>
    </mdx>
    <mdx n="0" f="v">
      <t c="6">
        <n x="2" s="1"/>
        <n x="1" s="1"/>
        <n x="3" s="1"/>
        <n x="18"/>
        <n x="64"/>
        <n x="44"/>
      </t>
    </mdx>
    <mdx n="0" f="v">
      <t c="6">
        <n x="2" s="1"/>
        <n x="1" s="1"/>
        <n x="3" s="1"/>
        <n x="18"/>
        <n x="20"/>
        <n x="13"/>
      </t>
    </mdx>
    <mdx n="0" f="v">
      <t c="6">
        <n x="2" s="1"/>
        <n x="1" s="1"/>
        <n x="3" s="1"/>
        <n x="18"/>
        <n x="36"/>
        <n x="13"/>
      </t>
    </mdx>
    <mdx n="0" f="v">
      <t c="6">
        <n x="2" s="1"/>
        <n x="1" s="1"/>
        <n x="3" s="1"/>
        <n x="18"/>
        <n x="52"/>
        <n x="33"/>
      </t>
    </mdx>
    <mdx n="0" f="v">
      <t c="6">
        <n x="2" s="1"/>
        <n x="1" s="1"/>
        <n x="3" s="1"/>
        <n x="18"/>
        <n x="61"/>
        <n x="45"/>
      </t>
    </mdx>
    <mdx n="0" f="v">
      <t c="6">
        <n x="2" s="1"/>
        <n x="1" s="1"/>
        <n x="3" s="1"/>
        <n x="18"/>
        <n x="11"/>
        <n x="8"/>
      </t>
    </mdx>
    <mdx n="0" f="v">
      <t c="6">
        <n x="2" s="1"/>
        <n x="1" s="1"/>
        <n x="3" s="1"/>
        <n x="18"/>
        <n x="19"/>
        <n x="70"/>
      </t>
    </mdx>
    <mdx n="0" f="v">
      <t c="6">
        <n x="2" s="1"/>
        <n x="1" s="1"/>
        <n x="3" s="1"/>
        <n x="18"/>
        <n x="48"/>
        <n x="25"/>
      </t>
    </mdx>
    <mdx n="0" f="v">
      <t c="6">
        <n x="2" s="1"/>
        <n x="1" s="1"/>
        <n x="3" s="1"/>
        <n x="18"/>
        <n x="60"/>
        <n x="44"/>
      </t>
    </mdx>
    <mdx n="0" f="v">
      <t c="6">
        <n x="2" s="1"/>
        <n x="1" s="1"/>
        <n x="3" s="1"/>
        <n x="18"/>
        <n x="47"/>
        <n x="44"/>
      </t>
    </mdx>
    <mdx n="0" f="v">
      <t c="6">
        <n x="2" s="1"/>
        <n x="1" s="1"/>
        <n x="3" s="1"/>
        <n x="18"/>
        <n x="16"/>
        <n x="10"/>
      </t>
    </mdx>
    <mdx n="0" f="v">
      <t c="6">
        <n x="2" s="1"/>
        <n x="1" s="1"/>
        <n x="3" s="1"/>
        <n x="18"/>
        <n x="31"/>
        <n x="8"/>
      </t>
    </mdx>
    <mdx n="0" f="v">
      <t c="6">
        <n x="2" s="1"/>
        <n x="1" s="1"/>
        <n x="3" s="1"/>
        <n x="18"/>
        <n x="52"/>
        <n x="8"/>
      </t>
    </mdx>
    <mdx n="0" f="v">
      <t c="6">
        <n x="2" s="1"/>
        <n x="1" s="1"/>
        <n x="3" s="1"/>
        <n x="18"/>
        <n x="64"/>
        <n x="25"/>
      </t>
    </mdx>
    <mdx n="0" f="v">
      <t c="6">
        <n x="2" s="1"/>
        <n x="1" s="1"/>
        <n x="3" s="1"/>
        <n x="18"/>
        <n x="72" s="1"/>
        <n x="32"/>
      </t>
    </mdx>
    <mdx n="0" f="v">
      <t c="6">
        <n x="2" s="1"/>
        <n x="1" s="1"/>
        <n x="3" s="1"/>
        <n x="18"/>
        <n x="72" s="1"/>
        <n x="33"/>
      </t>
    </mdx>
    <mdx n="0" f="v">
      <t c="6">
        <n x="2" s="1"/>
        <n x="1" s="1"/>
        <n x="3" s="1"/>
        <n x="18"/>
        <n x="65"/>
        <n x="12"/>
      </t>
    </mdx>
    <mdx n="0" f="v">
      <t c="6">
        <n x="2" s="1"/>
        <n x="1" s="1"/>
        <n x="3" s="1"/>
        <n x="18"/>
        <n x="65"/>
        <n x="17"/>
      </t>
    </mdx>
    <mdx n="0" f="v">
      <t c="6">
        <n x="2" s="1"/>
        <n x="1" s="1"/>
        <n x="3" s="1"/>
        <n x="18"/>
        <n x="65"/>
        <n x="13"/>
      </t>
    </mdx>
    <mdx n="0" f="v">
      <t c="6">
        <n x="2" s="1"/>
        <n x="1" s="1"/>
        <n x="3" s="1"/>
        <n x="18"/>
        <n x="5"/>
        <n x="45"/>
      </t>
    </mdx>
    <mdx n="0" f="v">
      <t c="6">
        <n x="2" s="1"/>
        <n x="1" s="1"/>
        <n x="3" s="1"/>
        <n x="18"/>
        <n x="5"/>
        <n x="55"/>
      </t>
    </mdx>
    <mdx n="0" f="v">
      <t c="6">
        <n x="2" s="1"/>
        <n x="1" s="1"/>
        <n x="3" s="1"/>
        <n x="18"/>
        <n x="6"/>
        <n x="53"/>
      </t>
    </mdx>
    <mdx n="0" f="v">
      <t c="6">
        <n x="2" s="1"/>
        <n x="1" s="1"/>
        <n x="3" s="1"/>
        <n x="18"/>
        <n x="6"/>
        <n x="54"/>
      </t>
    </mdx>
    <mdx n="0" f="v">
      <t c="6">
        <n x="2" s="1"/>
        <n x="1" s="1"/>
        <n x="3" s="1"/>
        <n x="18"/>
        <n x="11"/>
        <n x="32"/>
      </t>
    </mdx>
    <mdx n="0" f="v">
      <t c="6">
        <n x="2" s="1"/>
        <n x="1" s="1"/>
        <n x="3" s="1"/>
        <n x="18"/>
        <n x="11"/>
        <n x="33"/>
      </t>
    </mdx>
    <mdx n="0" f="v">
      <t c="6">
        <n x="2" s="1"/>
        <n x="1" s="1"/>
        <n x="3" s="1"/>
        <n x="18"/>
        <n x="19"/>
        <n x="12"/>
      </t>
    </mdx>
    <mdx n="0" f="v">
      <t c="6">
        <n x="2" s="1"/>
        <n x="1" s="1"/>
        <n x="3" s="1"/>
        <n x="18"/>
        <n x="19"/>
        <n x="17"/>
      </t>
    </mdx>
    <mdx n="0" f="v">
      <t c="6">
        <n x="2" s="1"/>
        <n x="1" s="1"/>
        <n x="3" s="1"/>
        <n x="18"/>
        <n x="19"/>
        <n x="13"/>
      </t>
    </mdx>
    <mdx n="0" f="v">
      <t c="6">
        <n x="2" s="1"/>
        <n x="1" s="1"/>
        <n x="3" s="1"/>
        <n x="18"/>
        <n x="26"/>
        <n x="45"/>
      </t>
    </mdx>
    <mdx n="0" f="v">
      <t c="6">
        <n x="2" s="1"/>
        <n x="1" s="1"/>
        <n x="3" s="1"/>
        <n x="18"/>
        <n x="26"/>
        <n x="55"/>
      </t>
    </mdx>
    <mdx n="0" f="v">
      <t c="6">
        <n x="2" s="1"/>
        <n x="1" s="1"/>
        <n x="3" s="1"/>
        <n x="18"/>
        <n x="28"/>
        <n x="53"/>
      </t>
    </mdx>
    <mdx n="0" f="v">
      <t c="6">
        <n x="2" s="1"/>
        <n x="1" s="1"/>
        <n x="3" s="1"/>
        <n x="18"/>
        <n x="28"/>
        <n x="54"/>
      </t>
    </mdx>
    <mdx n="0" f="v">
      <t c="6">
        <n x="2" s="1"/>
        <n x="1" s="1"/>
        <n x="3" s="1"/>
        <n x="18"/>
        <n x="30"/>
        <n x="32"/>
      </t>
    </mdx>
    <mdx n="0" f="v">
      <t c="6">
        <n x="2" s="1"/>
        <n x="1" s="1"/>
        <n x="3" s="1"/>
        <n x="18"/>
        <n x="30"/>
        <n x="33"/>
      </t>
    </mdx>
    <mdx n="0" f="v">
      <t c="6">
        <n x="2" s="1"/>
        <n x="1" s="1"/>
        <n x="3" s="1"/>
        <n x="18"/>
        <n x="35"/>
        <n x="12"/>
      </t>
    </mdx>
    <mdx n="0" f="v">
      <t c="6">
        <n x="2" s="1"/>
        <n x="1" s="1"/>
        <n x="3" s="1"/>
        <n x="18"/>
        <n x="35"/>
        <n x="17"/>
      </t>
    </mdx>
    <mdx n="0" f="v">
      <t c="6">
        <n x="2" s="1"/>
        <n x="1" s="1"/>
        <n x="3" s="1"/>
        <n x="18"/>
        <n x="35"/>
        <n x="13"/>
      </t>
    </mdx>
    <mdx n="0" f="v">
      <t c="6">
        <n x="2" s="1"/>
        <n x="1" s="1"/>
        <n x="3" s="1"/>
        <n x="18"/>
        <n x="39"/>
        <n x="45"/>
      </t>
    </mdx>
    <mdx n="0" f="v">
      <t c="6">
        <n x="2" s="1"/>
        <n x="1" s="1"/>
        <n x="3" s="1"/>
        <n x="18"/>
        <n x="39"/>
        <n x="55"/>
      </t>
    </mdx>
    <mdx n="0" f="v">
      <t c="6">
        <n x="2" s="1"/>
        <n x="1" s="1"/>
        <n x="3" s="1"/>
        <n x="18"/>
        <n x="48"/>
        <n x="53"/>
      </t>
    </mdx>
    <mdx n="0" f="v">
      <t c="6">
        <n x="2" s="1"/>
        <n x="1" s="1"/>
        <n x="3" s="1"/>
        <n x="18"/>
        <n x="48"/>
        <n x="54"/>
      </t>
    </mdx>
    <mdx n="0" f="v">
      <t c="6">
        <n x="2" s="1"/>
        <n x="1" s="1"/>
        <n x="3" s="1"/>
        <n x="18"/>
        <n x="51"/>
        <n x="32"/>
      </t>
    </mdx>
    <mdx n="0" f="v">
      <t c="6">
        <n x="2" s="1"/>
        <n x="1" s="1"/>
        <n x="3" s="1"/>
        <n x="18"/>
        <n x="51"/>
        <n x="33"/>
      </t>
    </mdx>
    <mdx n="0" f="v">
      <t c="6">
        <n x="2" s="1"/>
        <n x="1" s="1"/>
        <n x="3" s="1"/>
        <n x="18"/>
        <n x="56"/>
        <n x="12"/>
      </t>
    </mdx>
    <mdx n="0" f="v">
      <t c="6">
        <n x="2" s="1"/>
        <n x="1" s="1"/>
        <n x="3" s="1"/>
        <n x="18"/>
        <n x="56"/>
        <n x="17"/>
      </t>
    </mdx>
    <mdx n="0" f="v">
      <t c="6">
        <n x="2" s="1"/>
        <n x="1" s="1"/>
        <n x="3" s="1"/>
        <n x="18"/>
        <n x="56"/>
        <n x="13"/>
      </t>
    </mdx>
    <mdx n="0" f="v">
      <t c="6">
        <n x="2" s="1"/>
        <n x="1" s="1"/>
        <n x="3" s="1"/>
        <n x="18"/>
        <n x="60"/>
        <n x="45"/>
      </t>
    </mdx>
    <mdx n="0" f="v">
      <t c="6">
        <n x="2" s="1"/>
        <n x="1" s="1"/>
        <n x="3" s="1"/>
        <n x="18"/>
        <n x="60"/>
        <n x="55"/>
      </t>
    </mdx>
    <mdx n="0" f="v">
      <t c="6">
        <n x="2" s="1"/>
        <n x="1" s="1"/>
        <n x="3" s="1"/>
        <n x="18"/>
        <n x="67"/>
        <n x="53"/>
      </t>
    </mdx>
    <mdx n="0" f="v">
      <t c="6">
        <n x="2" s="1"/>
        <n x="1" s="1"/>
        <n x="3" s="1"/>
        <n x="18"/>
        <n x="67"/>
        <n x="54"/>
      </t>
    </mdx>
    <mdx n="0" f="v">
      <t c="6">
        <n x="2" s="1"/>
        <n x="1" s="1"/>
        <n x="3" s="1"/>
        <n x="18"/>
        <n x="50"/>
        <n x="32"/>
      </t>
    </mdx>
    <mdx n="0" f="v">
      <t c="6">
        <n x="2" s="1"/>
        <n x="1" s="1"/>
        <n x="3" s="1"/>
        <n x="18"/>
        <n x="50"/>
        <n x="33"/>
      </t>
    </mdx>
    <mdx n="0" f="v">
      <t c="6">
        <n x="2" s="1"/>
        <n x="1" s="1"/>
        <n x="3" s="1"/>
        <n x="18"/>
        <n x="38"/>
        <n x="12"/>
      </t>
    </mdx>
    <mdx n="0" f="v">
      <t c="6">
        <n x="2" s="1"/>
        <n x="1" s="1"/>
        <n x="3" s="1"/>
        <n x="18"/>
        <n x="38"/>
        <n x="17"/>
      </t>
    </mdx>
    <mdx n="0" f="v">
      <t c="6">
        <n x="2" s="1"/>
        <n x="1" s="1"/>
        <n x="3" s="1"/>
        <n x="18"/>
        <n x="38"/>
        <n x="13"/>
      </t>
    </mdx>
    <mdx n="0" f="v">
      <t c="6">
        <n x="2" s="1"/>
        <n x="1" s="1"/>
        <n x="3" s="1"/>
        <n x="18"/>
        <n x="47"/>
        <n x="45"/>
      </t>
    </mdx>
    <mdx n="0" f="v">
      <t c="6">
        <n x="2" s="1"/>
        <n x="1" s="1"/>
        <n x="3" s="1"/>
        <n x="18"/>
        <n x="47"/>
        <n x="55"/>
      </t>
    </mdx>
    <mdx n="0" f="v">
      <t c="6">
        <n x="2" s="1"/>
        <n x="1" s="1"/>
        <n x="3" s="1"/>
        <n x="18"/>
        <n x="7"/>
        <n x="53"/>
      </t>
    </mdx>
    <mdx n="0" f="v">
      <t c="6">
        <n x="2" s="1"/>
        <n x="1" s="1"/>
        <n x="3" s="1"/>
        <n x="18"/>
        <n x="7"/>
        <n x="54"/>
      </t>
    </mdx>
    <mdx n="0" f="v">
      <t c="6">
        <n x="2" s="1"/>
        <n x="1" s="1"/>
        <n x="3" s="1"/>
        <n x="18"/>
        <n x="16"/>
        <n x="32"/>
      </t>
    </mdx>
    <mdx n="0" f="v">
      <t c="6">
        <n x="2" s="1"/>
        <n x="1" s="1"/>
        <n x="3" s="1"/>
        <n x="18"/>
        <n x="16"/>
        <n x="33"/>
      </t>
    </mdx>
    <mdx n="0" f="v">
      <t c="6">
        <n x="2" s="1"/>
        <n x="1" s="1"/>
        <n x="3" s="1"/>
        <n x="18"/>
        <n x="72" s="1"/>
        <n x="34"/>
      </t>
    </mdx>
    <mdx n="0" f="v">
      <t c="6">
        <n x="2" s="1"/>
        <n x="1" s="1"/>
        <n x="3" s="1"/>
        <n x="18"/>
        <n x="72" s="1"/>
        <n x="37"/>
      </t>
    </mdx>
    <mdx n="0" f="v">
      <t c="6">
        <n x="2" s="1"/>
        <n x="1" s="1"/>
        <n x="3" s="1"/>
        <n x="18"/>
        <n x="65"/>
        <n x="21"/>
      </t>
    </mdx>
    <mdx n="0" f="v">
      <t c="6">
        <n x="2" s="1"/>
        <n x="1" s="1"/>
        <n x="3" s="1"/>
        <n x="18"/>
        <n x="65"/>
        <n x="22"/>
      </t>
    </mdx>
    <mdx n="0" f="v">
      <t c="6">
        <n x="2" s="1"/>
        <n x="1" s="1"/>
        <n x="3" s="1"/>
        <n x="18"/>
        <n x="5"/>
        <n x="73" s="1"/>
      </t>
    </mdx>
    <mdx n="0" f="v">
      <t c="6">
        <n x="2" s="1"/>
        <n x="1" s="1"/>
        <n x="3" s="1"/>
        <n x="18"/>
        <n x="5"/>
        <n x="46"/>
      </t>
    </mdx>
    <mdx n="0" f="v">
      <t c="6">
        <n x="2" s="1"/>
        <n x="1" s="1"/>
        <n x="3" s="1"/>
        <n x="18"/>
        <n x="5"/>
        <n x="4"/>
      </t>
    </mdx>
    <mdx n="0" f="v">
      <t c="6">
        <n x="2" s="1"/>
        <n x="1" s="1"/>
        <n x="3" s="1"/>
        <n x="18"/>
        <n x="6"/>
        <n x="58"/>
      </t>
    </mdx>
    <mdx n="0" f="v">
      <t c="6">
        <n x="2" s="1"/>
        <n x="1" s="1"/>
        <n x="3" s="1"/>
        <n x="18"/>
        <n x="6"/>
        <n x="59"/>
      </t>
    </mdx>
    <mdx n="0" f="v">
      <t c="6">
        <n x="2" s="1"/>
        <n x="1" s="1"/>
        <n x="3" s="1"/>
        <n x="18"/>
        <n x="11"/>
        <n x="34"/>
      </t>
    </mdx>
    <mdx n="0" f="v">
      <t c="6">
        <n x="2" s="1"/>
        <n x="1" s="1"/>
        <n x="3" s="1"/>
        <n x="18"/>
        <n x="11"/>
        <n x="37"/>
      </t>
    </mdx>
    <mdx n="0" f="v">
      <t c="6">
        <n x="2" s="1"/>
        <n x="1" s="1"/>
        <n x="3" s="1"/>
        <n x="18"/>
        <n x="19"/>
        <n x="21"/>
      </t>
    </mdx>
    <mdx n="0" f="v">
      <t c="6">
        <n x="2" s="1"/>
        <n x="1" s="1"/>
        <n x="3" s="1"/>
        <n x="18"/>
        <n x="19"/>
        <n x="22"/>
      </t>
    </mdx>
    <mdx n="0" f="v">
      <t c="6">
        <n x="2" s="1"/>
        <n x="1" s="1"/>
        <n x="3" s="1"/>
        <n x="18"/>
        <n x="26"/>
        <n x="73" s="1"/>
      </t>
    </mdx>
    <mdx n="0" f="v">
      <t c="6">
        <n x="2" s="1"/>
        <n x="1" s="1"/>
        <n x="3" s="1"/>
        <n x="18"/>
        <n x="26"/>
        <n x="46"/>
      </t>
    </mdx>
    <mdx n="0" f="v">
      <t c="6">
        <n x="2" s="1"/>
        <n x="1" s="1"/>
        <n x="3" s="1"/>
        <n x="18"/>
        <n x="26"/>
        <n x="4"/>
      </t>
    </mdx>
    <mdx n="0" f="v">
      <t c="6">
        <n x="2" s="1"/>
        <n x="1" s="1"/>
        <n x="3" s="1"/>
        <n x="18"/>
        <n x="28"/>
        <n x="58"/>
      </t>
    </mdx>
    <mdx n="0" f="v">
      <t c="6">
        <n x="2" s="1"/>
        <n x="1" s="1"/>
        <n x="3" s="1"/>
        <n x="18"/>
        <n x="28"/>
        <n x="59"/>
      </t>
    </mdx>
    <mdx n="0" f="v">
      <t c="6">
        <n x="2" s="1"/>
        <n x="1" s="1"/>
        <n x="3" s="1"/>
        <n x="18"/>
        <n x="30"/>
        <n x="34"/>
      </t>
    </mdx>
    <mdx n="0" f="v">
      <t c="6">
        <n x="2" s="1"/>
        <n x="1" s="1"/>
        <n x="3" s="1"/>
        <n x="18"/>
        <n x="30"/>
        <n x="37"/>
      </t>
    </mdx>
    <mdx n="0" f="v">
      <t c="6">
        <n x="2" s="1"/>
        <n x="1" s="1"/>
        <n x="3" s="1"/>
        <n x="18"/>
        <n x="35"/>
        <n x="21"/>
      </t>
    </mdx>
    <mdx n="0" f="v">
      <t c="6">
        <n x="2" s="1"/>
        <n x="1" s="1"/>
        <n x="3" s="1"/>
        <n x="18"/>
        <n x="35"/>
        <n x="22"/>
      </t>
    </mdx>
    <mdx n="0" f="v">
      <t c="6">
        <n x="2" s="1"/>
        <n x="1" s="1"/>
        <n x="3" s="1"/>
        <n x="18"/>
        <n x="39"/>
        <n x="73" s="1"/>
      </t>
    </mdx>
    <mdx n="0" f="v">
      <t c="6">
        <n x="2" s="1"/>
        <n x="1" s="1"/>
        <n x="3" s="1"/>
        <n x="18"/>
        <n x="39"/>
        <n x="46"/>
      </t>
    </mdx>
    <mdx n="0" f="v">
      <t c="6">
        <n x="2" s="1"/>
        <n x="1" s="1"/>
        <n x="3" s="1"/>
        <n x="18"/>
        <n x="39"/>
        <n x="4"/>
      </t>
    </mdx>
    <mdx n="0" f="v">
      <t c="6">
        <n x="2" s="1"/>
        <n x="1" s="1"/>
        <n x="3" s="1"/>
        <n x="18"/>
        <n x="48"/>
        <n x="58"/>
      </t>
    </mdx>
    <mdx n="0" f="v">
      <t c="6">
        <n x="2" s="1"/>
        <n x="1" s="1"/>
        <n x="3" s="1"/>
        <n x="18"/>
        <n x="48"/>
        <n x="59"/>
      </t>
    </mdx>
    <mdx n="0" f="v">
      <t c="6">
        <n x="2" s="1"/>
        <n x="1" s="1"/>
        <n x="3" s="1"/>
        <n x="18"/>
        <n x="51"/>
        <n x="34"/>
      </t>
    </mdx>
    <mdx n="0" f="v">
      <t c="6">
        <n x="2" s="1"/>
        <n x="1" s="1"/>
        <n x="3" s="1"/>
        <n x="18"/>
        <n x="51"/>
        <n x="37"/>
      </t>
    </mdx>
    <mdx n="0" f="v">
      <t c="6">
        <n x="2" s="1"/>
        <n x="1" s="1"/>
        <n x="3" s="1"/>
        <n x="18"/>
        <n x="56"/>
        <n x="21"/>
      </t>
    </mdx>
    <mdx n="0" f="v">
      <t c="6">
        <n x="2" s="1"/>
        <n x="1" s="1"/>
        <n x="3" s="1"/>
        <n x="18"/>
        <n x="56"/>
        <n x="22"/>
      </t>
    </mdx>
    <mdx n="0" f="v">
      <t c="6">
        <n x="2" s="1"/>
        <n x="1" s="1"/>
        <n x="3" s="1"/>
        <n x="18"/>
        <n x="60"/>
        <n x="73" s="1"/>
      </t>
    </mdx>
    <mdx n="0" f="v">
      <t c="6">
        <n x="2" s="1"/>
        <n x="1" s="1"/>
        <n x="3" s="1"/>
        <n x="18"/>
        <n x="60"/>
        <n x="46"/>
      </t>
    </mdx>
    <mdx n="0" f="v">
      <t c="6">
        <n x="2" s="1"/>
        <n x="1" s="1"/>
        <n x="3" s="1"/>
        <n x="18"/>
        <n x="60"/>
        <n x="4"/>
      </t>
    </mdx>
    <mdx n="0" f="v">
      <t c="6">
        <n x="2" s="1"/>
        <n x="1" s="1"/>
        <n x="3" s="1"/>
        <n x="18"/>
        <n x="67"/>
        <n x="58"/>
      </t>
    </mdx>
    <mdx n="0" f="v">
      <t c="6">
        <n x="2" s="1"/>
        <n x="1" s="1"/>
        <n x="3" s="1"/>
        <n x="18"/>
        <n x="67"/>
        <n x="59"/>
      </t>
    </mdx>
    <mdx n="0" f="v">
      <t c="6">
        <n x="2" s="1"/>
        <n x="1" s="1"/>
        <n x="3" s="1"/>
        <n x="18"/>
        <n x="50"/>
        <n x="34"/>
      </t>
    </mdx>
    <mdx n="0" f="v">
      <t c="6">
        <n x="2" s="1"/>
        <n x="1" s="1"/>
        <n x="3" s="1"/>
        <n x="18"/>
        <n x="50"/>
        <n x="37"/>
      </t>
    </mdx>
    <mdx n="0" f="v">
      <t c="6">
        <n x="2" s="1"/>
        <n x="1" s="1"/>
        <n x="3" s="1"/>
        <n x="18"/>
        <n x="38"/>
        <n x="21"/>
      </t>
    </mdx>
    <mdx n="0" f="v">
      <t c="6">
        <n x="2" s="1"/>
        <n x="1" s="1"/>
        <n x="3" s="1"/>
        <n x="18"/>
        <n x="38"/>
        <n x="22"/>
      </t>
    </mdx>
    <mdx n="0" f="v">
      <t c="6">
        <n x="2" s="1"/>
        <n x="1" s="1"/>
        <n x="3" s="1"/>
        <n x="18"/>
        <n x="47"/>
        <n x="73" s="1"/>
      </t>
    </mdx>
    <mdx n="0" f="v">
      <t c="6">
        <n x="2" s="1"/>
        <n x="1" s="1"/>
        <n x="3" s="1"/>
        <n x="18"/>
        <n x="47"/>
        <n x="46"/>
      </t>
    </mdx>
    <mdx n="0" f="v">
      <t c="6">
        <n x="2" s="1"/>
        <n x="1" s="1"/>
        <n x="3" s="1"/>
        <n x="18"/>
        <n x="47"/>
        <n x="4"/>
      </t>
    </mdx>
    <mdx n="0" f="v">
      <t c="6">
        <n x="2" s="1"/>
        <n x="1" s="1"/>
        <n x="3" s="1"/>
        <n x="18"/>
        <n x="7"/>
        <n x="58"/>
      </t>
    </mdx>
    <mdx n="0" f="v">
      <t c="6">
        <n x="2" s="1"/>
        <n x="1" s="1"/>
        <n x="3" s="1"/>
        <n x="18"/>
        <n x="7"/>
        <n x="59"/>
      </t>
    </mdx>
    <mdx n="0" f="v">
      <t c="6">
        <n x="2" s="1"/>
        <n x="1" s="1"/>
        <n x="3" s="1"/>
        <n x="18"/>
        <n x="16"/>
        <n x="34"/>
      </t>
    </mdx>
    <mdx n="0" f="v">
      <t c="6">
        <n x="2" s="1"/>
        <n x="1" s="1"/>
        <n x="3" s="1"/>
        <n x="18"/>
        <n x="16"/>
        <n x="37"/>
      </t>
    </mdx>
    <mdx n="0" f="v">
      <t c="6">
        <n x="2" s="1"/>
        <n x="1" s="1"/>
        <n x="3" s="1"/>
        <n x="18"/>
        <n x="20"/>
        <n x="21"/>
      </t>
    </mdx>
    <mdx n="0" f="v">
      <t c="6">
        <n x="2" s="1"/>
        <n x="1" s="1"/>
        <n x="3" s="1"/>
        <n x="18"/>
        <n x="20"/>
        <n x="22"/>
      </t>
    </mdx>
    <mdx n="0" f="v">
      <t c="6">
        <n x="2" s="1"/>
        <n x="1" s="1"/>
        <n x="3" s="1"/>
        <n x="18"/>
        <n x="27"/>
        <n x="73" s="1"/>
      </t>
    </mdx>
    <mdx n="0" f="v">
      <t c="6">
        <n x="2" s="1"/>
        <n x="1" s="1"/>
        <n x="3" s="1"/>
        <n x="18"/>
        <n x="27"/>
        <n x="46"/>
      </t>
    </mdx>
    <mdx n="0" f="v">
      <t c="6">
        <n x="2" s="1"/>
        <n x="1" s="1"/>
        <n x="3" s="1"/>
        <n x="18"/>
        <n x="27"/>
        <n x="4"/>
      </t>
    </mdx>
    <mdx n="0" f="v">
      <t c="6">
        <n x="2" s="1"/>
        <n x="1" s="1"/>
        <n x="3" s="1"/>
        <n x="18"/>
        <n x="14"/>
        <n x="58"/>
      </t>
    </mdx>
    <mdx n="0" f="v">
      <t c="6">
        <n x="2" s="1"/>
        <n x="1" s="1"/>
        <n x="3" s="1"/>
        <n x="18"/>
        <n x="14"/>
        <n x="59"/>
      </t>
    </mdx>
    <mdx n="0" f="v">
      <t c="6">
        <n x="2" s="1"/>
        <n x="1" s="1"/>
        <n x="3" s="1"/>
        <n x="18"/>
        <n x="31"/>
        <n x="34"/>
      </t>
    </mdx>
    <mdx n="0" f="v">
      <t c="6">
        <n x="2" s="1"/>
        <n x="1" s="1"/>
        <n x="3" s="1"/>
        <n x="18"/>
        <n x="31"/>
        <n x="37"/>
      </t>
    </mdx>
    <mdx n="0" f="v">
      <t c="6">
        <n x="2" s="1"/>
        <n x="1" s="1"/>
        <n x="3" s="1"/>
        <n x="18"/>
        <n x="36"/>
        <n x="21"/>
      </t>
    </mdx>
    <mdx n="0" f="v">
      <t c="6">
        <n x="2" s="1"/>
        <n x="1" s="1"/>
        <n x="3" s="1"/>
        <n x="18"/>
        <n x="36"/>
        <n x="22"/>
      </t>
    </mdx>
    <mdx n="0" f="v">
      <t c="6">
        <n x="2" s="1"/>
        <n x="1" s="1"/>
        <n x="3" s="1"/>
        <n x="18"/>
        <n x="40"/>
        <n x="73" s="1"/>
      </t>
    </mdx>
    <mdx n="0" f="v">
      <t c="6">
        <n x="2" s="1"/>
        <n x="1" s="1"/>
        <n x="3" s="1"/>
        <n x="18"/>
        <n x="40"/>
        <n x="46"/>
      </t>
    </mdx>
    <mdx n="0" f="v">
      <t c="6">
        <n x="2" s="1"/>
        <n x="1" s="1"/>
        <n x="3" s="1"/>
        <n x="18"/>
        <n x="40"/>
        <n x="4"/>
      </t>
    </mdx>
    <mdx n="0" f="v">
      <t c="6">
        <n x="2" s="1"/>
        <n x="1" s="1"/>
        <n x="3" s="1"/>
        <n x="18"/>
        <n x="43"/>
        <n x="58"/>
      </t>
    </mdx>
    <mdx n="0" f="v">
      <t c="6">
        <n x="2" s="1"/>
        <n x="1" s="1"/>
        <n x="3" s="1"/>
        <n x="18"/>
        <n x="43"/>
        <n x="59"/>
      </t>
    </mdx>
    <mdx n="0" f="v">
      <t c="6">
        <n x="2" s="1"/>
        <n x="1" s="1"/>
        <n x="3" s="1"/>
        <n x="18"/>
        <n x="52"/>
        <n x="34"/>
      </t>
    </mdx>
    <mdx n="0" f="v">
      <t c="6">
        <n x="2" s="1"/>
        <n x="1" s="1"/>
        <n x="3" s="1"/>
        <n x="18"/>
        <n x="52"/>
        <n x="37"/>
      </t>
    </mdx>
    <mdx n="0" f="v">
      <t c="6">
        <n x="2" s="1"/>
        <n x="1" s="1"/>
        <n x="3" s="1"/>
        <n x="18"/>
        <n x="57"/>
        <n x="21"/>
      </t>
    </mdx>
    <mdx n="0" f="v">
      <t c="6">
        <n x="2" s="1"/>
        <n x="1" s="1"/>
        <n x="3" s="1"/>
        <n x="18"/>
        <n x="57"/>
        <n x="22"/>
      </t>
    </mdx>
    <mdx n="0" f="v">
      <t c="6">
        <n x="2" s="1"/>
        <n x="1" s="1"/>
        <n x="3" s="1"/>
        <n x="18"/>
        <n x="61"/>
        <n x="73" s="1"/>
      </t>
    </mdx>
    <mdx n="0" f="v">
      <t c="6">
        <n x="2" s="1"/>
        <n x="1" s="1"/>
        <n x="3" s="1"/>
        <n x="18"/>
        <n x="61"/>
        <n x="46"/>
      </t>
    </mdx>
    <mdx n="0" f="v">
      <t c="6">
        <n x="2" s="1"/>
        <n x="1" s="1"/>
        <n x="3" s="1"/>
        <n x="18"/>
        <n x="61"/>
        <n x="4"/>
      </t>
    </mdx>
    <mdx n="0" f="v">
      <t c="6">
        <n x="2" s="1"/>
        <n x="1" s="1"/>
        <n x="3" s="1"/>
        <n x="18"/>
        <n x="64"/>
        <n x="58"/>
      </t>
    </mdx>
    <mdx n="0" f="v">
      <t c="6">
        <n x="2" s="1"/>
        <n x="1" s="1"/>
        <n x="3" s="1"/>
        <n x="18"/>
        <n x="64"/>
        <n x="59"/>
      </t>
    </mdx>
    <mdx n="0" f="v">
      <t c="6">
        <n x="2" s="1"/>
        <n x="1" s="1"/>
        <n x="3" s="1"/>
        <n x="18"/>
        <n x="56"/>
        <n x="59"/>
      </t>
    </mdx>
    <mdx n="0" f="v">
      <t c="6">
        <n x="2" s="1"/>
        <n x="1" s="1"/>
        <n x="3" s="1"/>
        <n x="18"/>
        <n x="31"/>
        <n x="73" s="1"/>
      </t>
    </mdx>
    <mdx n="0" f="v">
      <t c="6">
        <n x="2" s="1"/>
        <n x="1" s="1"/>
        <n x="3" s="1"/>
        <n x="18"/>
        <n x="52"/>
        <n x="73" s="1"/>
      </t>
    </mdx>
    <mdx n="0" f="v">
      <t c="6">
        <n x="2" s="1"/>
        <n x="1" s="1"/>
        <n x="3" s="1"/>
        <n x="18"/>
        <n x="6"/>
        <n x="24"/>
      </t>
    </mdx>
    <mdx n="0" f="v">
      <t c="6">
        <n x="2" s="1"/>
        <n x="1" s="1"/>
        <n x="3" s="1"/>
        <n x="18"/>
        <n x="30"/>
        <n x="66"/>
      </t>
    </mdx>
    <mdx n="0" f="v">
      <t c="6">
        <n x="2" s="1"/>
        <n x="1" s="1"/>
        <n x="3" s="1"/>
        <n x="18"/>
        <n x="51"/>
        <n x="15"/>
      </t>
    </mdx>
    <mdx n="0" f="v">
      <t c="6">
        <n x="2" s="1"/>
        <n x="1" s="1"/>
        <n x="3" s="1"/>
        <n x="18"/>
        <n x="67"/>
        <n x="23"/>
      </t>
    </mdx>
    <mdx n="0" f="v">
      <t c="6">
        <n x="2" s="1"/>
        <n x="1" s="1"/>
        <n x="3" s="1"/>
        <n x="18"/>
        <n x="38"/>
        <n x="63"/>
      </t>
    </mdx>
    <mdx n="0" f="v">
      <t c="6">
        <n x="2" s="1"/>
        <n x="1" s="1"/>
        <n x="3" s="1"/>
        <n x="18"/>
        <n x="16"/>
        <n x="66"/>
      </t>
    </mdx>
    <mdx n="0" f="v">
      <t c="6">
        <n x="2" s="1"/>
        <n x="1" s="1"/>
        <n x="3" s="1"/>
        <n x="18"/>
        <n x="27"/>
        <n x="42"/>
      </t>
    </mdx>
    <mdx n="0" f="v">
      <t c="6">
        <n x="2" s="1"/>
        <n x="1" s="1"/>
        <n x="3" s="1"/>
        <n x="18"/>
        <n x="36"/>
        <n x="63"/>
      </t>
    </mdx>
    <mdx n="0" f="v">
      <t c="6">
        <n x="2" s="1"/>
        <n x="1" s="1"/>
        <n x="3" s="1"/>
        <n x="18"/>
        <n x="52"/>
        <n x="15"/>
      </t>
    </mdx>
    <mdx n="0" f="v">
      <t c="6">
        <n x="2" s="1"/>
        <n x="1" s="1"/>
        <n x="3" s="1"/>
        <n x="18"/>
        <n x="64"/>
        <n x="24"/>
      </t>
    </mdx>
    <mdx n="0" f="v">
      <t c="6">
        <n x="2" s="1"/>
        <n x="1" s="1"/>
        <n x="3" s="1"/>
        <n x="18"/>
        <n x="65"/>
        <n x="69"/>
      </t>
    </mdx>
    <mdx n="0" f="v">
      <t c="6">
        <n x="2" s="1"/>
        <n x="1" s="1"/>
        <n x="3" s="1"/>
        <n x="18"/>
        <n x="39"/>
        <n x="44"/>
      </t>
    </mdx>
    <mdx n="0" f="v">
      <t c="6">
        <n x="2" s="1"/>
        <n x="1" s="1"/>
        <n x="3" s="1"/>
        <n x="18"/>
        <n x="7"/>
        <n x="29"/>
      </t>
    </mdx>
    <mdx n="0" f="v">
      <t c="6">
        <n x="2" s="1"/>
        <n x="1" s="1"/>
        <n x="3" s="1"/>
        <n x="18"/>
        <n x="40"/>
        <n x="44"/>
      </t>
    </mdx>
    <mdx n="0" f="v">
      <t c="6">
        <n x="2" s="1"/>
        <n x="1" s="1"/>
        <n x="3" s="1"/>
        <n x="18"/>
        <n x="72" s="1"/>
        <n x="41"/>
      </t>
    </mdx>
    <mdx n="0" f="v">
      <t c="6">
        <n x="2" s="1"/>
        <n x="1" s="1"/>
        <n x="3" s="1"/>
        <n x="18"/>
        <n x="72" s="1"/>
        <n x="42"/>
      </t>
    </mdx>
    <mdx n="0" f="v">
      <t c="6">
        <n x="2" s="1"/>
        <n x="1" s="1"/>
        <n x="3" s="1"/>
        <n x="18"/>
        <n x="65"/>
        <n x="23"/>
      </t>
    </mdx>
    <mdx n="0" f="v">
      <t c="6">
        <n x="2" s="1"/>
        <n x="1" s="1"/>
        <n x="3" s="1"/>
        <n x="18"/>
        <n x="65"/>
        <n x="24"/>
      </t>
    </mdx>
    <mdx n="0" f="v">
      <t c="6">
        <n x="2" s="1"/>
        <n x="1" s="1"/>
        <n x="3" s="1"/>
        <n x="18"/>
        <n x="5"/>
        <n x="66"/>
      </t>
    </mdx>
    <mdx n="0" f="v">
      <t c="6">
        <n x="2" s="1"/>
        <n x="1" s="1"/>
        <n x="3" s="1"/>
        <n x="18"/>
        <n x="5"/>
        <n x="71"/>
      </t>
    </mdx>
    <mdx n="0" f="v">
      <t c="6">
        <n x="2" s="1"/>
        <n x="1" s="1"/>
        <n x="3" s="1"/>
        <n x="18"/>
        <n x="5"/>
        <n x="15"/>
      </t>
    </mdx>
    <mdx n="0" f="v">
      <t c="6">
        <n x="2" s="1"/>
        <n x="1" s="1"/>
        <n x="3" s="1"/>
        <n x="18"/>
        <n x="6"/>
        <n x="62"/>
      </t>
    </mdx>
    <mdx n="0" f="v">
      <t c="6">
        <n x="2" s="1"/>
        <n x="1" s="1"/>
        <n x="3" s="1"/>
        <n x="18"/>
        <n x="6"/>
        <n x="63"/>
      </t>
    </mdx>
    <mdx n="0" f="v">
      <t c="6">
        <n x="2" s="1"/>
        <n x="1" s="1"/>
        <n x="3" s="1"/>
        <n x="18"/>
        <n x="11"/>
        <n x="41"/>
      </t>
    </mdx>
    <mdx n="0" f="v">
      <t c="6">
        <n x="2" s="1"/>
        <n x="1" s="1"/>
        <n x="3" s="1"/>
        <n x="18"/>
        <n x="11"/>
        <n x="42"/>
      </t>
    </mdx>
    <mdx n="0" f="v">
      <t c="6">
        <n x="2" s="1"/>
        <n x="1" s="1"/>
        <n x="3" s="1"/>
        <n x="18"/>
        <n x="19"/>
        <n x="23"/>
      </t>
    </mdx>
    <mdx n="0" f="v">
      <t c="6">
        <n x="2" s="1"/>
        <n x="1" s="1"/>
        <n x="3" s="1"/>
        <n x="18"/>
        <n x="19"/>
        <n x="24"/>
      </t>
    </mdx>
    <mdx n="0" f="v">
      <t c="6">
        <n x="2" s="1"/>
        <n x="1" s="1"/>
        <n x="3" s="1"/>
        <n x="18"/>
        <n x="26"/>
        <n x="66"/>
      </t>
    </mdx>
    <mdx n="0" f="v">
      <t c="6">
        <n x="2" s="1"/>
        <n x="1" s="1"/>
        <n x="3" s="1"/>
        <n x="18"/>
        <n x="26"/>
        <n x="71"/>
      </t>
    </mdx>
    <mdx n="0" f="v">
      <t c="6">
        <n x="2" s="1"/>
        <n x="1" s="1"/>
        <n x="3" s="1"/>
        <n x="18"/>
        <n x="26"/>
        <n x="15"/>
      </t>
    </mdx>
    <mdx n="0" f="v">
      <t c="6">
        <n x="2" s="1"/>
        <n x="1" s="1"/>
        <n x="3" s="1"/>
        <n x="18"/>
        <n x="28"/>
        <n x="62"/>
      </t>
    </mdx>
    <mdx n="0" f="v">
      <t c="6">
        <n x="2" s="1"/>
        <n x="1" s="1"/>
        <n x="3" s="1"/>
        <n x="18"/>
        <n x="28"/>
        <n x="63"/>
      </t>
    </mdx>
    <mdx n="0" f="v">
      <t c="6">
        <n x="2" s="1"/>
        <n x="1" s="1"/>
        <n x="3" s="1"/>
        <n x="18"/>
        <n x="30"/>
        <n x="41"/>
      </t>
    </mdx>
    <mdx n="0" f="v">
      <t c="6">
        <n x="2" s="1"/>
        <n x="1" s="1"/>
        <n x="3" s="1"/>
        <n x="18"/>
        <n x="30"/>
        <n x="42"/>
      </t>
    </mdx>
    <mdx n="0" f="v">
      <t c="6">
        <n x="2" s="1"/>
        <n x="1" s="1"/>
        <n x="3" s="1"/>
        <n x="18"/>
        <n x="35"/>
        <n x="23"/>
      </t>
    </mdx>
    <mdx n="0" f="v">
      <t c="6">
        <n x="2" s="1"/>
        <n x="1" s="1"/>
        <n x="3" s="1"/>
        <n x="18"/>
        <n x="35"/>
        <n x="24"/>
      </t>
    </mdx>
    <mdx n="0" f="v">
      <t c="6">
        <n x="2" s="1"/>
        <n x="1" s="1"/>
        <n x="3" s="1"/>
        <n x="18"/>
        <n x="39"/>
        <n x="66"/>
      </t>
    </mdx>
    <mdx n="0" f="v">
      <t c="6">
        <n x="2" s="1"/>
        <n x="1" s="1"/>
        <n x="3" s="1"/>
        <n x="18"/>
        <n x="39"/>
        <n x="71"/>
      </t>
    </mdx>
    <mdx n="0" f="v">
      <t c="6">
        <n x="2" s="1"/>
        <n x="1" s="1"/>
        <n x="3" s="1"/>
        <n x="18"/>
        <n x="39"/>
        <n x="15"/>
      </t>
    </mdx>
    <mdx n="0" f="v">
      <t c="6">
        <n x="2" s="1"/>
        <n x="1" s="1"/>
        <n x="3" s="1"/>
        <n x="18"/>
        <n x="48"/>
        <n x="62"/>
      </t>
    </mdx>
    <mdx n="0" f="v">
      <t c="6">
        <n x="2" s="1"/>
        <n x="1" s="1"/>
        <n x="3" s="1"/>
        <n x="18"/>
        <n x="48"/>
        <n x="63"/>
      </t>
    </mdx>
    <mdx n="0" f="v">
      <t c="6">
        <n x="2" s="1"/>
        <n x="1" s="1"/>
        <n x="3" s="1"/>
        <n x="18"/>
        <n x="51"/>
        <n x="41"/>
      </t>
    </mdx>
    <mdx n="0" f="v">
      <t c="6">
        <n x="2" s="1"/>
        <n x="1" s="1"/>
        <n x="3" s="1"/>
        <n x="18"/>
        <n x="51"/>
        <n x="42"/>
      </t>
    </mdx>
    <mdx n="0" f="v">
      <t c="6">
        <n x="2" s="1"/>
        <n x="1" s="1"/>
        <n x="3" s="1"/>
        <n x="18"/>
        <n x="56"/>
        <n x="23"/>
      </t>
    </mdx>
    <mdx n="0" f="v">
      <t c="6">
        <n x="2" s="1"/>
        <n x="1" s="1"/>
        <n x="3" s="1"/>
        <n x="18"/>
        <n x="56"/>
        <n x="24"/>
      </t>
    </mdx>
    <mdx n="0" f="v">
      <t c="6">
        <n x="2" s="1"/>
        <n x="1" s="1"/>
        <n x="3" s="1"/>
        <n x="18"/>
        <n x="60"/>
        <n x="66"/>
      </t>
    </mdx>
    <mdx n="0" f="v">
      <t c="6">
        <n x="2" s="1"/>
        <n x="1" s="1"/>
        <n x="3" s="1"/>
        <n x="18"/>
        <n x="60"/>
        <n x="71"/>
      </t>
    </mdx>
    <mdx n="0" f="v">
      <t c="6">
        <n x="2" s="1"/>
        <n x="1" s="1"/>
        <n x="3" s="1"/>
        <n x="18"/>
        <n x="60"/>
        <n x="15"/>
      </t>
    </mdx>
    <mdx n="0" f="v">
      <t c="6">
        <n x="2" s="1"/>
        <n x="1" s="1"/>
        <n x="3" s="1"/>
        <n x="18"/>
        <n x="67"/>
        <n x="62"/>
      </t>
    </mdx>
    <mdx n="0" f="v">
      <t c="6">
        <n x="2" s="1"/>
        <n x="1" s="1"/>
        <n x="3" s="1"/>
        <n x="18"/>
        <n x="67"/>
        <n x="63"/>
      </t>
    </mdx>
    <mdx n="0" f="v">
      <t c="6">
        <n x="2" s="1"/>
        <n x="1" s="1"/>
        <n x="3" s="1"/>
        <n x="18"/>
        <n x="50"/>
        <n x="41"/>
      </t>
    </mdx>
    <mdx n="0" f="v">
      <t c="6">
        <n x="2" s="1"/>
        <n x="1" s="1"/>
        <n x="3" s="1"/>
        <n x="18"/>
        <n x="50"/>
        <n x="42"/>
      </t>
    </mdx>
    <mdx n="0" f="v">
      <t c="6">
        <n x="2" s="1"/>
        <n x="1" s="1"/>
        <n x="3" s="1"/>
        <n x="18"/>
        <n x="38"/>
        <n x="23"/>
      </t>
    </mdx>
    <mdx n="0" f="v">
      <t c="6">
        <n x="2" s="1"/>
        <n x="1" s="1"/>
        <n x="3" s="1"/>
        <n x="18"/>
        <n x="38"/>
        <n x="24"/>
      </t>
    </mdx>
    <mdx n="0" f="v">
      <t c="6">
        <n x="2" s="1"/>
        <n x="1" s="1"/>
        <n x="3" s="1"/>
        <n x="18"/>
        <n x="47"/>
        <n x="66"/>
      </t>
    </mdx>
    <mdx n="0" f="v">
      <t c="6">
        <n x="2" s="1"/>
        <n x="1" s="1"/>
        <n x="3" s="1"/>
        <n x="18"/>
        <n x="47"/>
        <n x="71"/>
      </t>
    </mdx>
    <mdx n="0" f="v">
      <t c="6">
        <n x="2" s="1"/>
        <n x="1" s="1"/>
        <n x="3" s="1"/>
        <n x="18"/>
        <n x="47"/>
        <n x="15"/>
      </t>
    </mdx>
    <mdx n="0" f="v">
      <t c="6">
        <n x="2" s="1"/>
        <n x="1" s="1"/>
        <n x="3" s="1"/>
        <n x="18"/>
        <n x="7"/>
        <n x="62"/>
      </t>
    </mdx>
    <mdx n="0" f="v">
      <t c="6">
        <n x="2" s="1"/>
        <n x="1" s="1"/>
        <n x="3" s="1"/>
        <n x="18"/>
        <n x="7"/>
        <n x="63"/>
      </t>
    </mdx>
    <mdx n="0" f="v">
      <t c="6">
        <n x="2" s="1"/>
        <n x="1" s="1"/>
        <n x="3" s="1"/>
        <n x="18"/>
        <n x="16"/>
        <n x="41"/>
      </t>
    </mdx>
    <mdx n="0" f="v">
      <t c="6">
        <n x="2" s="1"/>
        <n x="1" s="1"/>
        <n x="3" s="1"/>
        <n x="18"/>
        <n x="16"/>
        <n x="42"/>
      </t>
    </mdx>
    <mdx n="0" f="v">
      <t c="6">
        <n x="2" s="1"/>
        <n x="1" s="1"/>
        <n x="3" s="1"/>
        <n x="18"/>
        <n x="20"/>
        <n x="23"/>
      </t>
    </mdx>
    <mdx n="0" f="v">
      <t c="6">
        <n x="2" s="1"/>
        <n x="1" s="1"/>
        <n x="3" s="1"/>
        <n x="18"/>
        <n x="20"/>
        <n x="24"/>
      </t>
    </mdx>
    <mdx n="0" f="v">
      <t c="6">
        <n x="2" s="1"/>
        <n x="1" s="1"/>
        <n x="3" s="1"/>
        <n x="18"/>
        <n x="27"/>
        <n x="66"/>
      </t>
    </mdx>
    <mdx n="0" f="v">
      <t c="6">
        <n x="2" s="1"/>
        <n x="1" s="1"/>
        <n x="3" s="1"/>
        <n x="18"/>
        <n x="27"/>
        <n x="71"/>
      </t>
    </mdx>
    <mdx n="0" f="v">
      <t c="6">
        <n x="2" s="1"/>
        <n x="1" s="1"/>
        <n x="3" s="1"/>
        <n x="18"/>
        <n x="27"/>
        <n x="15"/>
      </t>
    </mdx>
    <mdx n="0" f="v">
      <t c="6">
        <n x="2" s="1"/>
        <n x="1" s="1"/>
        <n x="3" s="1"/>
        <n x="18"/>
        <n x="14"/>
        <n x="62"/>
      </t>
    </mdx>
    <mdx n="0" f="v">
      <t c="6">
        <n x="2" s="1"/>
        <n x="1" s="1"/>
        <n x="3" s="1"/>
        <n x="18"/>
        <n x="14"/>
        <n x="63"/>
      </t>
    </mdx>
    <mdx n="0" f="v">
      <t c="6">
        <n x="2" s="1"/>
        <n x="1" s="1"/>
        <n x="3" s="1"/>
        <n x="18"/>
        <n x="31"/>
        <n x="41"/>
      </t>
    </mdx>
    <mdx n="0" f="v">
      <t c="6">
        <n x="2" s="1"/>
        <n x="1" s="1"/>
        <n x="3" s="1"/>
        <n x="18"/>
        <n x="31"/>
        <n x="42"/>
      </t>
    </mdx>
    <mdx n="0" f="v">
      <t c="6">
        <n x="2" s="1"/>
        <n x="1" s="1"/>
        <n x="3" s="1"/>
        <n x="18"/>
        <n x="36"/>
        <n x="23"/>
      </t>
    </mdx>
    <mdx n="0" f="v">
      <t c="6">
        <n x="2" s="1"/>
        <n x="1" s="1"/>
        <n x="3" s="1"/>
        <n x="18"/>
        <n x="36"/>
        <n x="24"/>
      </t>
    </mdx>
    <mdx n="0" f="v">
      <t c="6">
        <n x="2" s="1"/>
        <n x="1" s="1"/>
        <n x="3" s="1"/>
        <n x="18"/>
        <n x="40"/>
        <n x="66"/>
      </t>
    </mdx>
    <mdx n="0" f="v">
      <t c="6">
        <n x="2" s="1"/>
        <n x="1" s="1"/>
        <n x="3" s="1"/>
        <n x="18"/>
        <n x="40"/>
        <n x="71"/>
      </t>
    </mdx>
    <mdx n="0" f="v">
      <t c="6">
        <n x="2" s="1"/>
        <n x="1" s="1"/>
        <n x="3" s="1"/>
        <n x="18"/>
        <n x="40"/>
        <n x="15"/>
      </t>
    </mdx>
    <mdx n="0" f="v">
      <t c="6">
        <n x="2" s="1"/>
        <n x="1" s="1"/>
        <n x="3" s="1"/>
        <n x="18"/>
        <n x="43"/>
        <n x="62"/>
      </t>
    </mdx>
    <mdx n="0" f="v">
      <t c="6">
        <n x="2" s="1"/>
        <n x="1" s="1"/>
        <n x="3" s="1"/>
        <n x="18"/>
        <n x="43"/>
        <n x="63"/>
      </t>
    </mdx>
    <mdx n="0" f="v">
      <t c="6">
        <n x="2" s="1"/>
        <n x="1" s="1"/>
        <n x="3" s="1"/>
        <n x="18"/>
        <n x="52"/>
        <n x="41"/>
      </t>
    </mdx>
    <mdx n="0" f="v">
      <t c="6">
        <n x="2" s="1"/>
        <n x="1" s="1"/>
        <n x="3" s="1"/>
        <n x="18"/>
        <n x="52"/>
        <n x="42"/>
      </t>
    </mdx>
    <mdx n="0" f="v">
      <t c="6">
        <n x="2" s="1"/>
        <n x="1" s="1"/>
        <n x="3" s="1"/>
        <n x="18"/>
        <n x="57"/>
        <n x="23"/>
      </t>
    </mdx>
    <mdx n="0" f="v">
      <t c="6">
        <n x="2" s="1"/>
        <n x="1" s="1"/>
        <n x="3" s="1"/>
        <n x="18"/>
        <n x="57"/>
        <n x="24"/>
      </t>
    </mdx>
    <mdx n="0" f="v">
      <t c="6">
        <n x="2" s="1"/>
        <n x="1" s="1"/>
        <n x="3" s="1"/>
        <n x="18"/>
        <n x="61"/>
        <n x="66"/>
      </t>
    </mdx>
    <mdx n="0" f="v">
      <t c="6">
        <n x="2" s="1"/>
        <n x="1" s="1"/>
        <n x="3" s="1"/>
        <n x="18"/>
        <n x="61"/>
        <n x="71"/>
      </t>
    </mdx>
    <mdx n="0" f="v">
      <t c="6">
        <n x="2" s="1"/>
        <n x="1" s="1"/>
        <n x="3" s="1"/>
        <n x="18"/>
        <n x="61"/>
        <n x="15"/>
      </t>
    </mdx>
    <mdx n="0" f="v">
      <t c="6">
        <n x="2" s="1"/>
        <n x="1" s="1"/>
        <n x="3" s="1"/>
        <n x="18"/>
        <n x="64"/>
        <n x="62"/>
      </t>
    </mdx>
    <mdx n="0" f="v">
      <t c="6">
        <n x="2" s="1"/>
        <n x="1" s="1"/>
        <n x="3" s="1"/>
        <n x="18"/>
        <n x="64"/>
        <n x="63"/>
      </t>
    </mdx>
    <mdx n="0" f="v">
      <t c="6">
        <n x="2" s="1"/>
        <n x="1" s="1"/>
        <n x="3" s="1"/>
        <n x="18"/>
        <n x="56"/>
        <n x="58"/>
      </t>
    </mdx>
    <mdx n="0" f="v">
      <t c="6">
        <n x="2" s="1"/>
        <n x="1" s="1"/>
        <n x="3" s="1"/>
        <n x="18"/>
        <n x="27"/>
        <n x="37"/>
      </t>
    </mdx>
    <mdx n="0" f="v">
      <t c="6">
        <n x="2" s="1"/>
        <n x="1" s="1"/>
        <n x="3" s="1"/>
        <n x="18"/>
        <n x="52"/>
        <n x="46"/>
      </t>
    </mdx>
    <mdx n="0" f="v">
      <t c="6">
        <n x="2" s="1"/>
        <n x="1" s="1"/>
        <n x="3" s="1"/>
        <n x="18"/>
        <n x="5"/>
        <n x="41"/>
      </t>
    </mdx>
    <mdx n="0" f="v">
      <t c="6">
        <n x="2" s="1"/>
        <n x="1" s="1"/>
        <n x="3" s="1"/>
        <n x="18"/>
        <n x="19"/>
        <n x="62"/>
      </t>
    </mdx>
    <mdx n="0" f="v">
      <t c="6">
        <n x="2" s="1"/>
        <n x="1" s="1"/>
        <n x="3" s="1"/>
        <n x="18"/>
        <n x="30"/>
        <n x="15"/>
      </t>
    </mdx>
    <mdx n="0" f="v">
      <t c="6">
        <n x="2" s="1"/>
        <n x="1" s="1"/>
        <n x="3" s="1"/>
        <n x="18"/>
        <n x="51"/>
        <n x="71"/>
      </t>
    </mdx>
    <mdx n="0" f="v">
      <t c="6">
        <n x="2" s="1"/>
        <n x="1" s="1"/>
        <n x="3" s="1"/>
        <n x="18"/>
        <n x="7"/>
        <n x="23"/>
      </t>
    </mdx>
    <mdx n="0" f="v">
      <t c="6">
        <n x="2" s="1"/>
        <n x="1" s="1"/>
        <n x="3" s="1"/>
        <n x="18"/>
        <n x="14"/>
        <n x="24"/>
      </t>
    </mdx>
    <mdx n="0" f="v">
      <t c="6">
        <n x="2" s="1"/>
        <n x="1" s="1"/>
        <n x="3" s="1"/>
        <n x="18"/>
        <n x="52"/>
        <n x="66"/>
      </t>
    </mdx>
    <mdx n="0" f="v">
      <t c="6">
        <n x="2" s="1"/>
        <n x="1" s="1"/>
        <n x="3" s="1"/>
        <n x="18"/>
        <n x="5"/>
        <n x="44"/>
      </t>
    </mdx>
    <mdx n="0" f="v">
      <t c="6">
        <n x="2" s="1"/>
        <n x="1" s="1"/>
        <n x="3" s="1"/>
        <n x="18"/>
        <n x="35"/>
        <n x="70"/>
      </t>
    </mdx>
    <mdx n="0" f="v">
      <t c="6">
        <n x="2" s="1"/>
        <n x="1" s="1"/>
        <n x="3" s="1"/>
        <n x="18"/>
        <n x="60"/>
        <n x="49"/>
      </t>
    </mdx>
    <mdx n="0" f="v">
      <t c="6">
        <n x="2" s="1"/>
        <n x="1" s="1"/>
        <n x="3" s="1"/>
        <n x="18"/>
        <n x="7"/>
        <n x="25"/>
      </t>
    </mdx>
    <mdx n="0" f="v">
      <t c="6">
        <n x="2" s="1"/>
        <n x="1" s="1"/>
        <n x="3" s="1"/>
        <n x="18"/>
        <n x="27"/>
        <n x="49"/>
      </t>
    </mdx>
    <mdx n="0" f="v">
      <t c="6">
        <n x="2" s="1"/>
        <n x="1" s="1"/>
        <n x="3" s="1"/>
        <n x="18"/>
        <n x="36"/>
        <n x="70"/>
      </t>
    </mdx>
    <mdx n="0" f="v">
      <t c="6">
        <n x="2" s="1"/>
        <n x="1" s="1"/>
        <n x="3" s="1"/>
        <n x="18"/>
        <n x="57"/>
        <n x="70"/>
      </t>
    </mdx>
    <mdx n="0" f="v">
      <t c="6">
        <n x="2" s="1"/>
        <n x="1" s="1"/>
        <n x="3" s="1"/>
        <n x="18"/>
        <n x="72" s="1"/>
        <n x="49"/>
      </t>
    </mdx>
    <mdx n="0" f="v">
      <t c="6">
        <n x="2" s="1"/>
        <n x="1" s="1"/>
        <n x="3" s="1"/>
        <n x="18"/>
        <n x="72" s="1"/>
        <n x="44"/>
      </t>
    </mdx>
    <mdx n="0" f="v">
      <t c="6">
        <n x="2" s="1"/>
        <n x="1" s="1"/>
        <n x="3" s="1"/>
        <n x="18"/>
        <n x="65"/>
        <n x="25"/>
      </t>
    </mdx>
    <mdx n="0" f="v">
      <t c="6">
        <n x="2" s="1"/>
        <n x="1" s="1"/>
        <n x="3" s="1"/>
        <n x="18"/>
        <n x="65"/>
        <n x="29"/>
      </t>
    </mdx>
    <mdx n="0" f="v">
      <t c="6">
        <n x="2" s="1"/>
        <n x="1" s="1"/>
        <n x="3" s="1"/>
        <n x="18"/>
        <n x="5"/>
        <n x="8"/>
      </t>
    </mdx>
    <mdx n="0" f="v">
      <t c="6">
        <n x="2" s="1"/>
        <n x="1" s="1"/>
        <n x="3" s="1"/>
        <n x="18"/>
        <n x="5"/>
        <n x="9"/>
      </t>
    </mdx>
    <mdx n="0" f="v">
      <t c="6">
        <n x="2" s="1"/>
        <n x="1" s="1"/>
        <n x="3" s="1"/>
        <n x="18"/>
        <n x="5"/>
        <n x="10"/>
      </t>
    </mdx>
    <mdx n="0" f="v">
      <t c="6">
        <n x="2" s="1"/>
        <n x="1" s="1"/>
        <n x="3" s="1"/>
        <n x="18"/>
        <n x="6"/>
        <n x="69"/>
      </t>
    </mdx>
    <mdx n="0" f="v">
      <t c="6">
        <n x="2" s="1"/>
        <n x="1" s="1"/>
        <n x="3" s="1"/>
        <n x="18"/>
        <n x="6"/>
        <n x="70"/>
      </t>
    </mdx>
    <mdx n="0" f="v">
      <t c="6">
        <n x="2" s="1"/>
        <n x="1" s="1"/>
        <n x="3" s="1"/>
        <n x="18"/>
        <n x="11"/>
        <n x="49"/>
      </t>
    </mdx>
    <mdx n="0" f="v">
      <t c="6">
        <n x="2" s="1"/>
        <n x="1" s="1"/>
        <n x="3" s="1"/>
        <n x="18"/>
        <n x="11"/>
        <n x="44"/>
      </t>
    </mdx>
    <mdx n="0" f="v">
      <t c="6">
        <n x="2" s="1"/>
        <n x="1" s="1"/>
        <n x="3" s="1"/>
        <n x="18"/>
        <n x="19"/>
        <n x="25"/>
      </t>
    </mdx>
    <mdx n="0" f="v">
      <t c="6">
        <n x="2" s="1"/>
        <n x="1" s="1"/>
        <n x="3" s="1"/>
        <n x="18"/>
        <n x="19"/>
        <n x="29"/>
      </t>
    </mdx>
    <mdx n="0" f="v">
      <t c="6">
        <n x="2" s="1"/>
        <n x="1" s="1"/>
        <n x="3" s="1"/>
        <n x="18"/>
        <n x="26"/>
        <n x="8"/>
      </t>
    </mdx>
    <mdx n="0" f="v">
      <t c="6">
        <n x="2" s="1"/>
        <n x="1" s="1"/>
        <n x="3" s="1"/>
        <n x="18"/>
        <n x="26"/>
        <n x="9"/>
      </t>
    </mdx>
    <mdx n="0" f="v">
      <t c="6">
        <n x="2" s="1"/>
        <n x="1" s="1"/>
        <n x="3" s="1"/>
        <n x="18"/>
        <n x="26"/>
        <n x="10"/>
      </t>
    </mdx>
    <mdx n="0" f="v">
      <t c="6">
        <n x="2" s="1"/>
        <n x="1" s="1"/>
        <n x="3" s="1"/>
        <n x="18"/>
        <n x="28"/>
        <n x="69"/>
      </t>
    </mdx>
    <mdx n="0" f="v">
      <t c="6">
        <n x="2" s="1"/>
        <n x="1" s="1"/>
        <n x="3" s="1"/>
        <n x="18"/>
        <n x="28"/>
        <n x="70"/>
      </t>
    </mdx>
    <mdx n="0" f="v">
      <t c="6">
        <n x="2" s="1"/>
        <n x="1" s="1"/>
        <n x="3" s="1"/>
        <n x="18"/>
        <n x="30"/>
        <n x="49"/>
      </t>
    </mdx>
    <mdx n="0" f="v">
      <t c="6">
        <n x="2" s="1"/>
        <n x="1" s="1"/>
        <n x="3" s="1"/>
        <n x="18"/>
        <n x="30"/>
        <n x="44"/>
      </t>
    </mdx>
    <mdx n="0" f="v">
      <t c="6">
        <n x="2" s="1"/>
        <n x="1" s="1"/>
        <n x="3" s="1"/>
        <n x="18"/>
        <n x="35"/>
        <n x="25"/>
      </t>
    </mdx>
    <mdx n="0" f="v">
      <t c="6">
        <n x="2" s="1"/>
        <n x="1" s="1"/>
        <n x="3" s="1"/>
        <n x="18"/>
        <n x="35"/>
        <n x="29"/>
      </t>
    </mdx>
    <mdx n="0" f="v">
      <t c="6">
        <n x="2" s="1"/>
        <n x="1" s="1"/>
        <n x="3" s="1"/>
        <n x="18"/>
        <n x="39"/>
        <n x="8"/>
      </t>
    </mdx>
    <mdx n="0" f="v">
      <t c="6">
        <n x="2" s="1"/>
        <n x="1" s="1"/>
        <n x="3" s="1"/>
        <n x="18"/>
        <n x="39"/>
        <n x="9"/>
      </t>
    </mdx>
    <mdx n="0" f="v">
      <t c="6">
        <n x="2" s="1"/>
        <n x="1" s="1"/>
        <n x="3" s="1"/>
        <n x="18"/>
        <n x="39"/>
        <n x="10"/>
      </t>
    </mdx>
    <mdx n="0" f="v">
      <t c="6">
        <n x="2" s="1"/>
        <n x="1" s="1"/>
        <n x="3" s="1"/>
        <n x="18"/>
        <n x="48"/>
        <n x="69"/>
      </t>
    </mdx>
    <mdx n="0" f="v">
      <t c="6">
        <n x="2" s="1"/>
        <n x="1" s="1"/>
        <n x="3" s="1"/>
        <n x="18"/>
        <n x="48"/>
        <n x="70"/>
      </t>
    </mdx>
    <mdx n="0" f="v">
      <t c="6">
        <n x="2" s="1"/>
        <n x="1" s="1"/>
        <n x="3" s="1"/>
        <n x="18"/>
        <n x="51"/>
        <n x="49"/>
      </t>
    </mdx>
    <mdx n="0" f="v">
      <t c="6">
        <n x="2" s="1"/>
        <n x="1" s="1"/>
        <n x="3" s="1"/>
        <n x="18"/>
        <n x="51"/>
        <n x="44"/>
      </t>
    </mdx>
    <mdx n="0" f="v">
      <t c="6">
        <n x="2" s="1"/>
        <n x="1" s="1"/>
        <n x="3" s="1"/>
        <n x="18"/>
        <n x="56"/>
        <n x="25"/>
      </t>
    </mdx>
    <mdx n="0" f="v">
      <t c="6">
        <n x="2" s="1"/>
        <n x="1" s="1"/>
        <n x="3" s="1"/>
        <n x="18"/>
        <n x="56"/>
        <n x="29"/>
      </t>
    </mdx>
    <mdx n="0" f="v">
      <t c="6">
        <n x="2" s="1"/>
        <n x="1" s="1"/>
        <n x="3" s="1"/>
        <n x="18"/>
        <n x="60"/>
        <n x="8"/>
      </t>
    </mdx>
    <mdx n="0" f="v">
      <t c="6">
        <n x="2" s="1"/>
        <n x="1" s="1"/>
        <n x="3" s="1"/>
        <n x="18"/>
        <n x="60"/>
        <n x="9"/>
      </t>
    </mdx>
    <mdx n="0" f="v">
      <t c="6">
        <n x="2" s="1"/>
        <n x="1" s="1"/>
        <n x="3" s="1"/>
        <n x="18"/>
        <n x="60"/>
        <n x="10"/>
      </t>
    </mdx>
    <mdx n="0" f="v">
      <t c="6">
        <n x="2" s="1"/>
        <n x="1" s="1"/>
        <n x="3" s="1"/>
        <n x="18"/>
        <n x="67"/>
        <n x="69"/>
      </t>
    </mdx>
    <mdx n="0" f="v">
      <t c="6">
        <n x="2" s="1"/>
        <n x="1" s="1"/>
        <n x="3" s="1"/>
        <n x="18"/>
        <n x="67"/>
        <n x="70"/>
      </t>
    </mdx>
    <mdx n="0" f="v">
      <t c="6">
        <n x="2" s="1"/>
        <n x="1" s="1"/>
        <n x="3" s="1"/>
        <n x="18"/>
        <n x="50"/>
        <n x="49"/>
      </t>
    </mdx>
    <mdx n="0" f="v">
      <t c="6">
        <n x="2" s="1"/>
        <n x="1" s="1"/>
        <n x="3" s="1"/>
        <n x="18"/>
        <n x="50"/>
        <n x="44"/>
      </t>
    </mdx>
    <mdx n="0" f="v">
      <t c="6">
        <n x="2" s="1"/>
        <n x="1" s="1"/>
        <n x="3" s="1"/>
        <n x="18"/>
        <n x="38"/>
        <n x="25"/>
      </t>
    </mdx>
    <mdx n="0" f="v">
      <t c="6">
        <n x="2" s="1"/>
        <n x="1" s="1"/>
        <n x="3" s="1"/>
        <n x="18"/>
        <n x="38"/>
        <n x="29"/>
      </t>
    </mdx>
    <mdx n="0" f="v">
      <t c="6">
        <n x="2" s="1"/>
        <n x="1" s="1"/>
        <n x="3" s="1"/>
        <n x="18"/>
        <n x="47"/>
        <n x="8"/>
      </t>
    </mdx>
    <mdx n="0" f="v">
      <t c="6">
        <n x="2" s="1"/>
        <n x="1" s="1"/>
        <n x="3" s="1"/>
        <n x="18"/>
        <n x="47"/>
        <n x="9"/>
      </t>
    </mdx>
    <mdx n="0" f="v">
      <t c="6">
        <n x="2" s="1"/>
        <n x="1" s="1"/>
        <n x="3" s="1"/>
        <n x="18"/>
        <n x="47"/>
        <n x="10"/>
      </t>
    </mdx>
    <mdx n="0" f="v">
      <t c="6">
        <n x="2" s="1"/>
        <n x="1" s="1"/>
        <n x="3" s="1"/>
        <n x="18"/>
        <n x="7"/>
        <n x="69"/>
      </t>
    </mdx>
    <mdx n="0" f="v">
      <t c="6">
        <n x="2" s="1"/>
        <n x="1" s="1"/>
        <n x="3" s="1"/>
        <n x="18"/>
        <n x="7"/>
        <n x="70"/>
      </t>
    </mdx>
    <mdx n="0" f="v">
      <t c="6">
        <n x="2" s="1"/>
        <n x="1" s="1"/>
        <n x="3" s="1"/>
        <n x="18"/>
        <n x="16"/>
        <n x="49"/>
      </t>
    </mdx>
    <mdx n="0" f="v">
      <t c="6">
        <n x="2" s="1"/>
        <n x="1" s="1"/>
        <n x="3" s="1"/>
        <n x="18"/>
        <n x="16"/>
        <n x="44"/>
      </t>
    </mdx>
    <mdx n="0" f="v">
      <t c="6">
        <n x="2" s="1"/>
        <n x="1" s="1"/>
        <n x="3" s="1"/>
        <n x="18"/>
        <n x="20"/>
        <n x="25"/>
      </t>
    </mdx>
    <mdx n="0" f="v">
      <t c="6">
        <n x="2" s="1"/>
        <n x="1" s="1"/>
        <n x="3" s="1"/>
        <n x="18"/>
        <n x="20"/>
        <n x="29"/>
      </t>
    </mdx>
    <mdx n="0" f="v">
      <t c="6">
        <n x="2" s="1"/>
        <n x="1" s="1"/>
        <n x="3" s="1"/>
        <n x="18"/>
        <n x="27"/>
        <n x="8"/>
      </t>
    </mdx>
    <mdx n="0" f="v">
      <t c="6">
        <n x="2" s="1"/>
        <n x="1" s="1"/>
        <n x="3" s="1"/>
        <n x="18"/>
        <n x="27"/>
        <n x="9"/>
      </t>
    </mdx>
    <mdx n="0" f="v">
      <t c="6">
        <n x="2" s="1"/>
        <n x="1" s="1"/>
        <n x="3" s="1"/>
        <n x="18"/>
        <n x="27"/>
        <n x="10"/>
      </t>
    </mdx>
    <mdx n="0" f="v">
      <t c="6">
        <n x="2" s="1"/>
        <n x="1" s="1"/>
        <n x="3" s="1"/>
        <n x="18"/>
        <n x="14"/>
        <n x="69"/>
      </t>
    </mdx>
    <mdx n="0" f="v">
      <t c="6">
        <n x="2" s="1"/>
        <n x="1" s="1"/>
        <n x="3" s="1"/>
        <n x="18"/>
        <n x="14"/>
        <n x="70"/>
      </t>
    </mdx>
    <mdx n="0" f="v">
      <t c="6">
        <n x="2" s="1"/>
        <n x="1" s="1"/>
        <n x="3" s="1"/>
        <n x="18"/>
        <n x="31"/>
        <n x="49"/>
      </t>
    </mdx>
    <mdx n="0" f="v">
      <t c="6">
        <n x="2" s="1"/>
        <n x="1" s="1"/>
        <n x="3" s="1"/>
        <n x="18"/>
        <n x="31"/>
        <n x="44"/>
      </t>
    </mdx>
    <mdx n="0" f="v">
      <t c="6">
        <n x="2" s="1"/>
        <n x="1" s="1"/>
        <n x="3" s="1"/>
        <n x="18"/>
        <n x="36"/>
        <n x="25"/>
      </t>
    </mdx>
    <mdx n="0" f="v">
      <t c="6">
        <n x="2" s="1"/>
        <n x="1" s="1"/>
        <n x="3" s="1"/>
        <n x="18"/>
        <n x="36"/>
        <n x="29"/>
      </t>
    </mdx>
    <mdx n="0" f="v">
      <t c="6">
        <n x="2" s="1"/>
        <n x="1" s="1"/>
        <n x="3" s="1"/>
        <n x="18"/>
        <n x="40"/>
        <n x="8"/>
      </t>
    </mdx>
    <mdx n="0" f="v">
      <t c="6">
        <n x="2" s="1"/>
        <n x="1" s="1"/>
        <n x="3" s="1"/>
        <n x="18"/>
        <n x="40"/>
        <n x="9"/>
      </t>
    </mdx>
    <mdx n="0" f="v">
      <t c="6">
        <n x="2" s="1"/>
        <n x="1" s="1"/>
        <n x="3" s="1"/>
        <n x="18"/>
        <n x="40"/>
        <n x="10"/>
      </t>
    </mdx>
    <mdx n="0" f="v">
      <t c="6">
        <n x="2" s="1"/>
        <n x="1" s="1"/>
        <n x="3" s="1"/>
        <n x="18"/>
        <n x="43"/>
        <n x="69"/>
      </t>
    </mdx>
    <mdx n="0" f="v">
      <t c="6">
        <n x="2" s="1"/>
        <n x="1" s="1"/>
        <n x="3" s="1"/>
        <n x="18"/>
        <n x="43"/>
        <n x="70"/>
      </t>
    </mdx>
    <mdx n="0" f="v">
      <t c="6">
        <n x="2" s="1"/>
        <n x="1" s="1"/>
        <n x="3" s="1"/>
        <n x="18"/>
        <n x="52"/>
        <n x="49"/>
      </t>
    </mdx>
    <mdx n="0" f="v">
      <t c="6">
        <n x="2" s="1"/>
        <n x="1" s="1"/>
        <n x="3" s="1"/>
        <n x="18"/>
        <n x="52"/>
        <n x="44"/>
      </t>
    </mdx>
    <mdx n="0" f="v">
      <t c="6">
        <n x="2" s="1"/>
        <n x="1" s="1"/>
        <n x="3" s="1"/>
        <n x="18"/>
        <n x="57"/>
        <n x="25"/>
      </t>
    </mdx>
    <mdx n="0" f="v">
      <t c="6">
        <n x="2" s="1"/>
        <n x="1" s="1"/>
        <n x="3" s="1"/>
        <n x="18"/>
        <n x="57"/>
        <n x="29"/>
      </t>
    </mdx>
    <mdx n="0" f="v">
      <t c="6">
        <n x="2" s="1"/>
        <n x="1" s="1"/>
        <n x="3" s="1"/>
        <n x="18"/>
        <n x="61"/>
        <n x="8"/>
      </t>
    </mdx>
    <mdx n="0" f="v">
      <t c="6">
        <n x="2" s="1"/>
        <n x="1" s="1"/>
        <n x="3" s="1"/>
        <n x="18"/>
        <n x="61"/>
        <n x="9"/>
      </t>
    </mdx>
    <mdx n="0" f="v">
      <t c="6">
        <n x="2" s="1"/>
        <n x="1" s="1"/>
        <n x="3" s="1"/>
        <n x="18"/>
        <n x="61"/>
        <n x="10"/>
      </t>
    </mdx>
    <mdx n="0" f="v">
      <t c="6">
        <n x="2" s="1"/>
        <n x="1" s="1"/>
        <n x="3" s="1"/>
        <n x="18"/>
        <n x="64"/>
        <n x="69"/>
      </t>
    </mdx>
    <mdx n="0" f="v">
      <t c="6">
        <n x="2" s="1"/>
        <n x="1" s="1"/>
        <n x="3" s="1"/>
        <n x="18"/>
        <n x="64"/>
        <n x="70"/>
      </t>
    </mdx>
    <mdx n="0" f="v">
      <t c="6">
        <n x="2" s="1"/>
        <n x="1" s="1"/>
        <n x="3" s="1"/>
        <n x="18"/>
        <n x="64"/>
        <n x="45"/>
      </t>
    </mdx>
    <mdx n="0" f="v">
      <t c="6">
        <n x="2" s="1"/>
        <n x="1" s="1"/>
        <n x="3" s="1"/>
        <n x="18"/>
        <n x="35"/>
        <n x="59"/>
      </t>
    </mdx>
    <mdx n="0" f="v">
      <t c="6">
        <n x="2" s="1"/>
        <n x="1" s="1"/>
        <n x="3" s="1"/>
        <n x="18"/>
        <n x="7"/>
        <n x="22"/>
      </t>
    </mdx>
    <mdx n="0" f="v">
      <t c="6">
        <n x="2" s="1"/>
        <n x="1" s="1"/>
        <n x="3" s="1"/>
        <n x="18"/>
        <n x="31"/>
        <n x="46"/>
      </t>
    </mdx>
    <mdx n="0" f="v">
      <t c="6">
        <n x="2" s="1"/>
        <n x="1" s="1"/>
        <n x="3" s="1"/>
        <n x="18"/>
        <n x="57"/>
        <n x="58"/>
      </t>
    </mdx>
    <mdx n="0" f="v">
      <t c="6">
        <n x="2" s="1"/>
        <n x="1" s="1"/>
        <n x="3" s="1"/>
        <n x="18"/>
        <n x="65"/>
        <n x="63"/>
      </t>
    </mdx>
    <mdx n="0" f="v">
      <t c="6">
        <n x="2" s="1"/>
        <n x="1" s="1"/>
        <n x="3" s="1"/>
        <n x="18"/>
        <n x="11"/>
        <n x="71"/>
      </t>
    </mdx>
    <mdx n="0" f="v">
      <t c="6">
        <n x="2" s="1"/>
        <n x="1" s="1"/>
        <n x="3" s="1"/>
        <n x="18"/>
        <n x="26"/>
        <n x="42"/>
      </t>
    </mdx>
    <mdx n="0" f="v">
      <t c="6">
        <n x="2" s="1"/>
        <n x="1" s="1"/>
        <n x="3" s="1"/>
        <n x="18"/>
        <n x="39"/>
        <n x="41"/>
      </t>
    </mdx>
    <mdx n="0" f="v">
      <t c="6">
        <n x="2" s="1"/>
        <n x="1" s="1"/>
        <n x="3" s="1"/>
        <n x="18"/>
        <n x="48"/>
        <n x="24"/>
      </t>
    </mdx>
    <mdx n="0" f="v">
      <t c="6">
        <n x="2" s="1"/>
        <n x="1" s="1"/>
        <n x="3" s="1"/>
        <n x="18"/>
        <n x="50"/>
        <n x="15"/>
      </t>
    </mdx>
    <mdx n="0" f="v">
      <t c="6">
        <n x="2" s="1"/>
        <n x="1" s="1"/>
        <n x="3" s="1"/>
        <n x="18"/>
        <n x="7"/>
        <n x="24"/>
      </t>
    </mdx>
    <mdx n="0" f="v">
      <t c="6">
        <n x="2" s="1"/>
        <n x="1" s="1"/>
        <n x="3" s="1"/>
        <n x="18"/>
        <n x="20"/>
        <n x="63"/>
      </t>
    </mdx>
    <mdx n="0" f="v">
      <t c="6">
        <n x="2" s="1"/>
        <n x="1" s="1"/>
        <n x="3" s="1"/>
        <n x="18"/>
        <n x="31"/>
        <n x="71"/>
      </t>
    </mdx>
    <mdx n="0" f="v">
      <t c="6">
        <n x="2" s="1"/>
        <n x="1" s="1"/>
        <n x="3" s="1"/>
        <n x="18"/>
        <n x="43"/>
        <n x="24"/>
      </t>
    </mdx>
    <mdx n="0" f="v">
      <t c="6">
        <n x="2" s="1"/>
        <n x="1" s="1"/>
        <n x="3" s="1"/>
        <n x="18"/>
        <n x="61"/>
        <n x="41"/>
      </t>
    </mdx>
    <mdx n="0" f="v">
      <t c="6">
        <n x="2" s="1"/>
        <n x="1" s="1"/>
        <n x="3" s="1"/>
        <n x="18"/>
        <n x="72" s="1"/>
        <n x="8"/>
      </t>
    </mdx>
    <mdx n="0" f="v">
      <t c="6">
        <n x="2" s="1"/>
        <n x="1" s="1"/>
        <n x="3" s="1"/>
        <n x="18"/>
        <n x="30"/>
        <n x="9"/>
      </t>
    </mdx>
    <mdx n="0" f="v">
      <t c="6">
        <n x="2" s="1"/>
        <n x="1" s="1"/>
        <n x="3" s="1"/>
        <n x="18"/>
        <n x="50"/>
        <n x="10"/>
      </t>
    </mdx>
    <mdx n="0" f="v">
      <t c="6">
        <n x="2" s="1"/>
        <n x="1" s="1"/>
        <n x="3" s="1"/>
        <n x="18"/>
        <n x="36"/>
        <n x="69"/>
      </t>
    </mdx>
    <mdx n="0" f="v">
      <t c="6">
        <n x="2" s="1"/>
        <n x="1" s="1"/>
        <n x="3" s="1"/>
        <n x="18"/>
        <n x="72" s="1"/>
        <n x="53"/>
      </t>
    </mdx>
    <mdx n="0" f="v">
      <t c="6">
        <n x="2" s="1"/>
        <n x="1" s="1"/>
        <n x="3" s="1"/>
        <n x="18"/>
        <n x="72" s="1"/>
        <n x="54"/>
      </t>
    </mdx>
    <mdx n="0" f="v">
      <t c="6">
        <n x="2" s="1"/>
        <n x="1" s="1"/>
        <n x="3" s="1"/>
        <n x="18"/>
        <n x="65"/>
        <n x="32"/>
      </t>
    </mdx>
    <mdx n="0" f="v">
      <t c="6">
        <n x="2" s="1"/>
        <n x="1" s="1"/>
        <n x="3" s="1"/>
        <n x="18"/>
        <n x="65"/>
        <n x="33"/>
      </t>
    </mdx>
    <mdx n="0" f="v">
      <t c="6">
        <n x="2" s="1"/>
        <n x="1" s="1"/>
        <n x="3" s="1"/>
        <n x="18"/>
        <n x="5"/>
        <n x="12"/>
      </t>
    </mdx>
    <mdx n="0" f="v">
      <t c="6">
        <n x="2" s="1"/>
        <n x="1" s="1"/>
        <n x="3" s="1"/>
        <n x="18"/>
        <n x="5"/>
        <n x="17"/>
      </t>
    </mdx>
    <mdx n="0" f="v">
      <t c="6">
        <n x="2" s="1"/>
        <n x="1" s="1"/>
        <n x="3" s="1"/>
        <n x="18"/>
        <n x="5"/>
        <n x="13"/>
      </t>
    </mdx>
    <mdx n="0" f="v">
      <t c="6">
        <n x="2" s="1"/>
        <n x="1" s="1"/>
        <n x="3" s="1"/>
        <n x="18"/>
        <n x="6"/>
        <n x="45"/>
      </t>
    </mdx>
    <mdx n="0" f="v">
      <t c="6">
        <n x="2" s="1"/>
        <n x="1" s="1"/>
        <n x="3" s="1"/>
        <n x="18"/>
        <n x="6"/>
        <n x="55"/>
      </t>
    </mdx>
    <mdx n="0" f="v">
      <t c="6">
        <n x="2" s="1"/>
        <n x="1" s="1"/>
        <n x="3" s="1"/>
        <n x="18"/>
        <n x="11"/>
        <n x="53"/>
      </t>
    </mdx>
    <mdx n="0" f="v">
      <t c="6">
        <n x="2" s="1"/>
        <n x="1" s="1"/>
        <n x="3" s="1"/>
        <n x="18"/>
        <n x="11"/>
        <n x="54"/>
      </t>
    </mdx>
    <mdx n="0" f="v">
      <t c="6">
        <n x="2" s="1"/>
        <n x="1" s="1"/>
        <n x="3" s="1"/>
        <n x="18"/>
        <n x="19"/>
        <n x="32"/>
      </t>
    </mdx>
    <mdx n="0" f="v">
      <t c="6">
        <n x="2" s="1"/>
        <n x="1" s="1"/>
        <n x="3" s="1"/>
        <n x="18"/>
        <n x="19"/>
        <n x="33"/>
      </t>
    </mdx>
    <mdx n="0" f="v">
      <t c="6">
        <n x="2" s="1"/>
        <n x="1" s="1"/>
        <n x="3" s="1"/>
        <n x="18"/>
        <n x="26"/>
        <n x="12"/>
      </t>
    </mdx>
    <mdx n="0" f="v">
      <t c="6">
        <n x="2" s="1"/>
        <n x="1" s="1"/>
        <n x="3" s="1"/>
        <n x="18"/>
        <n x="26"/>
        <n x="17"/>
      </t>
    </mdx>
    <mdx n="0" f="v">
      <t c="6">
        <n x="2" s="1"/>
        <n x="1" s="1"/>
        <n x="3" s="1"/>
        <n x="18"/>
        <n x="26"/>
        <n x="13"/>
      </t>
    </mdx>
    <mdx n="0" f="v">
      <t c="6">
        <n x="2" s="1"/>
        <n x="1" s="1"/>
        <n x="3" s="1"/>
        <n x="18"/>
        <n x="28"/>
        <n x="45"/>
      </t>
    </mdx>
    <mdx n="0" f="v">
      <t c="6">
        <n x="2" s="1"/>
        <n x="1" s="1"/>
        <n x="3" s="1"/>
        <n x="18"/>
        <n x="28"/>
        <n x="55"/>
      </t>
    </mdx>
    <mdx n="0" f="v">
      <t c="6">
        <n x="2" s="1"/>
        <n x="1" s="1"/>
        <n x="3" s="1"/>
        <n x="18"/>
        <n x="30"/>
        <n x="53"/>
      </t>
    </mdx>
    <mdx n="0" f="v">
      <t c="6">
        <n x="2" s="1"/>
        <n x="1" s="1"/>
        <n x="3" s="1"/>
        <n x="18"/>
        <n x="30"/>
        <n x="54"/>
      </t>
    </mdx>
    <mdx n="0" f="v">
      <t c="6">
        <n x="2" s="1"/>
        <n x="1" s="1"/>
        <n x="3" s="1"/>
        <n x="18"/>
        <n x="35"/>
        <n x="32"/>
      </t>
    </mdx>
    <mdx n="0" f="v">
      <t c="6">
        <n x="2" s="1"/>
        <n x="1" s="1"/>
        <n x="3" s="1"/>
        <n x="18"/>
        <n x="35"/>
        <n x="33"/>
      </t>
    </mdx>
    <mdx n="0" f="v">
      <t c="6">
        <n x="2" s="1"/>
        <n x="1" s="1"/>
        <n x="3" s="1"/>
        <n x="18"/>
        <n x="39"/>
        <n x="12"/>
      </t>
    </mdx>
    <mdx n="0" f="v">
      <t c="6">
        <n x="2" s="1"/>
        <n x="1" s="1"/>
        <n x="3" s="1"/>
        <n x="18"/>
        <n x="39"/>
        <n x="17"/>
      </t>
    </mdx>
    <mdx n="0" f="v">
      <t c="6">
        <n x="2" s="1"/>
        <n x="1" s="1"/>
        <n x="3" s="1"/>
        <n x="18"/>
        <n x="39"/>
        <n x="13"/>
      </t>
    </mdx>
    <mdx n="0" f="v">
      <t c="6">
        <n x="2" s="1"/>
        <n x="1" s="1"/>
        <n x="3" s="1"/>
        <n x="18"/>
        <n x="48"/>
        <n x="45"/>
      </t>
    </mdx>
    <mdx n="0" f="v">
      <t c="6">
        <n x="2" s="1"/>
        <n x="1" s="1"/>
        <n x="3" s="1"/>
        <n x="18"/>
        <n x="48"/>
        <n x="55"/>
      </t>
    </mdx>
    <mdx n="0" f="v">
      <t c="6">
        <n x="2" s="1"/>
        <n x="1" s="1"/>
        <n x="3" s="1"/>
        <n x="18"/>
        <n x="51"/>
        <n x="53"/>
      </t>
    </mdx>
    <mdx n="0" f="v">
      <t c="6">
        <n x="2" s="1"/>
        <n x="1" s="1"/>
        <n x="3" s="1"/>
        <n x="18"/>
        <n x="51"/>
        <n x="54"/>
      </t>
    </mdx>
    <mdx n="0" f="v">
      <t c="6">
        <n x="2" s="1"/>
        <n x="1" s="1"/>
        <n x="3" s="1"/>
        <n x="18"/>
        <n x="56"/>
        <n x="32"/>
      </t>
    </mdx>
    <mdx n="0" f="v">
      <t c="6">
        <n x="2" s="1"/>
        <n x="1" s="1"/>
        <n x="3" s="1"/>
        <n x="18"/>
        <n x="56"/>
        <n x="33"/>
      </t>
    </mdx>
    <mdx n="0" f="v">
      <t c="6">
        <n x="2" s="1"/>
        <n x="1" s="1"/>
        <n x="3" s="1"/>
        <n x="18"/>
        <n x="60"/>
        <n x="12"/>
      </t>
    </mdx>
    <mdx n="0" f="v">
      <t c="6">
        <n x="2" s="1"/>
        <n x="1" s="1"/>
        <n x="3" s="1"/>
        <n x="18"/>
        <n x="60"/>
        <n x="17"/>
      </t>
    </mdx>
    <mdx n="0" f="v">
      <t c="6">
        <n x="2" s="1"/>
        <n x="1" s="1"/>
        <n x="3" s="1"/>
        <n x="18"/>
        <n x="60"/>
        <n x="13"/>
      </t>
    </mdx>
    <mdx n="0" f="v">
      <t c="6">
        <n x="2" s="1"/>
        <n x="1" s="1"/>
        <n x="3" s="1"/>
        <n x="18"/>
        <n x="67"/>
        <n x="45"/>
      </t>
    </mdx>
    <mdx n="0" f="v">
      <t c="6">
        <n x="2" s="1"/>
        <n x="1" s="1"/>
        <n x="3" s="1"/>
        <n x="18"/>
        <n x="67"/>
        <n x="55"/>
      </t>
    </mdx>
    <mdx n="0" f="v">
      <t c="6">
        <n x="2" s="1"/>
        <n x="1" s="1"/>
        <n x="3" s="1"/>
        <n x="18"/>
        <n x="50"/>
        <n x="53"/>
      </t>
    </mdx>
    <mdx n="0" f="v">
      <t c="6">
        <n x="2" s="1"/>
        <n x="1" s="1"/>
        <n x="3" s="1"/>
        <n x="18"/>
        <n x="50"/>
        <n x="54"/>
      </t>
    </mdx>
    <mdx n="0" f="v">
      <t c="6">
        <n x="2" s="1"/>
        <n x="1" s="1"/>
        <n x="3" s="1"/>
        <n x="18"/>
        <n x="38"/>
        <n x="32"/>
      </t>
    </mdx>
    <mdx n="0" f="v">
      <t c="6">
        <n x="2" s="1"/>
        <n x="1" s="1"/>
        <n x="3" s="1"/>
        <n x="18"/>
        <n x="38"/>
        <n x="33"/>
      </t>
    </mdx>
    <mdx n="0" f="v">
      <t c="6">
        <n x="2" s="1"/>
        <n x="1" s="1"/>
        <n x="3" s="1"/>
        <n x="18"/>
        <n x="47"/>
        <n x="12"/>
      </t>
    </mdx>
    <mdx n="0" f="v">
      <t c="6">
        <n x="2" s="1"/>
        <n x="1" s="1"/>
        <n x="3" s="1"/>
        <n x="18"/>
        <n x="47"/>
        <n x="17"/>
      </t>
    </mdx>
    <mdx n="0" f="v">
      <t c="6">
        <n x="2" s="1"/>
        <n x="1" s="1"/>
        <n x="3" s="1"/>
        <n x="18"/>
        <n x="47"/>
        <n x="13"/>
      </t>
    </mdx>
    <mdx n="0" f="v">
      <t c="6">
        <n x="2" s="1"/>
        <n x="1" s="1"/>
        <n x="3" s="1"/>
        <n x="18"/>
        <n x="7"/>
        <n x="45"/>
      </t>
    </mdx>
    <mdx n="0" f="v">
      <t c="6">
        <n x="2" s="1"/>
        <n x="1" s="1"/>
        <n x="3" s="1"/>
        <n x="18"/>
        <n x="7"/>
        <n x="55"/>
      </t>
    </mdx>
    <mdx n="0" f="v">
      <t c="6">
        <n x="2" s="1"/>
        <n x="1" s="1"/>
        <n x="3" s="1"/>
        <n x="18"/>
        <n x="16"/>
        <n x="53"/>
      </t>
    </mdx>
    <mdx n="0" f="v">
      <t c="6">
        <n x="2" s="1"/>
        <n x="1" s="1"/>
        <n x="3" s="1"/>
        <n x="18"/>
        <n x="16"/>
        <n x="54"/>
      </t>
    </mdx>
    <mdx n="0" f="v">
      <t c="6">
        <n x="2" s="1"/>
        <n x="1" s="1"/>
        <n x="3" s="1"/>
        <n x="18"/>
        <n x="20"/>
        <n x="32"/>
      </t>
    </mdx>
    <mdx n="0" f="v">
      <t c="6">
        <n x="2" s="1"/>
        <n x="1" s="1"/>
        <n x="3" s="1"/>
        <n x="18"/>
        <n x="20"/>
        <n x="33"/>
      </t>
    </mdx>
    <mdx n="0" f="v">
      <t c="6">
        <n x="2" s="1"/>
        <n x="1" s="1"/>
        <n x="3" s="1"/>
        <n x="18"/>
        <n x="27"/>
        <n x="12"/>
      </t>
    </mdx>
    <mdx n="0" f="v">
      <t c="6">
        <n x="2" s="1"/>
        <n x="1" s="1"/>
        <n x="3" s="1"/>
        <n x="18"/>
        <n x="27"/>
        <n x="17"/>
      </t>
    </mdx>
    <mdx n="0" f="v">
      <t c="6">
        <n x="2" s="1"/>
        <n x="1" s="1"/>
        <n x="3" s="1"/>
        <n x="18"/>
        <n x="27"/>
        <n x="13"/>
      </t>
    </mdx>
    <mdx n="0" f="v">
      <t c="6">
        <n x="2" s="1"/>
        <n x="1" s="1"/>
        <n x="3" s="1"/>
        <n x="18"/>
        <n x="14"/>
        <n x="45"/>
      </t>
    </mdx>
    <mdx n="0" f="v">
      <t c="6">
        <n x="2" s="1"/>
        <n x="1" s="1"/>
        <n x="3" s="1"/>
        <n x="18"/>
        <n x="14"/>
        <n x="55"/>
      </t>
    </mdx>
    <mdx n="0" f="v">
      <t c="6">
        <n x="2" s="1"/>
        <n x="1" s="1"/>
        <n x="3" s="1"/>
        <n x="18"/>
        <n x="31"/>
        <n x="53"/>
      </t>
    </mdx>
    <mdx n="0" f="v">
      <t c="6">
        <n x="2" s="1"/>
        <n x="1" s="1"/>
        <n x="3" s="1"/>
        <n x="18"/>
        <n x="31"/>
        <n x="54"/>
      </t>
    </mdx>
    <mdx n="0" f="v">
      <t c="6">
        <n x="2" s="1"/>
        <n x="1" s="1"/>
        <n x="3" s="1"/>
        <n x="18"/>
        <n x="36"/>
        <n x="32"/>
      </t>
    </mdx>
    <mdx n="0" f="v">
      <t c="6">
        <n x="2" s="1"/>
        <n x="1" s="1"/>
        <n x="3" s="1"/>
        <n x="18"/>
        <n x="36"/>
        <n x="33"/>
      </t>
    </mdx>
    <mdx n="0" f="v">
      <t c="6">
        <n x="2" s="1"/>
        <n x="1" s="1"/>
        <n x="3" s="1"/>
        <n x="18"/>
        <n x="40"/>
        <n x="12"/>
      </t>
    </mdx>
    <mdx n="0" f="v">
      <t c="6">
        <n x="2" s="1"/>
        <n x="1" s="1"/>
        <n x="3" s="1"/>
        <n x="18"/>
        <n x="40"/>
        <n x="17"/>
      </t>
    </mdx>
    <mdx n="0" f="v">
      <t c="6">
        <n x="2" s="1"/>
        <n x="1" s="1"/>
        <n x="3" s="1"/>
        <n x="18"/>
        <n x="40"/>
        <n x="13"/>
      </t>
    </mdx>
    <mdx n="0" f="v">
      <t c="6">
        <n x="2" s="1"/>
        <n x="1" s="1"/>
        <n x="3" s="1"/>
        <n x="18"/>
        <n x="43"/>
        <n x="45"/>
      </t>
    </mdx>
    <mdx n="0" f="v">
      <t c="6">
        <n x="2" s="1"/>
        <n x="1" s="1"/>
        <n x="3" s="1"/>
        <n x="18"/>
        <n x="43"/>
        <n x="55"/>
      </t>
    </mdx>
    <mdx n="0" f="v">
      <t c="6">
        <n x="2" s="1"/>
        <n x="1" s="1"/>
        <n x="3" s="1"/>
        <n x="18"/>
        <n x="52"/>
        <n x="53"/>
      </t>
    </mdx>
    <mdx n="0" f="v">
      <t c="6">
        <n x="2" s="1"/>
        <n x="1" s="1"/>
        <n x="3" s="1"/>
        <n x="18"/>
        <n x="52"/>
        <n x="54"/>
      </t>
    </mdx>
    <mdx n="0" f="v">
      <t c="6">
        <n x="2" s="1"/>
        <n x="1" s="1"/>
        <n x="3" s="1"/>
        <n x="18"/>
        <n x="57"/>
        <n x="32"/>
      </t>
    </mdx>
    <mdx n="0" f="v">
      <t c="6">
        <n x="2" s="1"/>
        <n x="1" s="1"/>
        <n x="3" s="1"/>
        <n x="18"/>
        <n x="57"/>
        <n x="33"/>
      </t>
    </mdx>
    <mdx n="0" f="v">
      <t c="6">
        <n x="2" s="1"/>
        <n x="1" s="1"/>
        <n x="3" s="1"/>
        <n x="18"/>
        <n x="61"/>
        <n x="12"/>
      </t>
    </mdx>
    <mdx n="0" f="v">
      <t c="6">
        <n x="2" s="1"/>
        <n x="1" s="1"/>
        <n x="3" s="1"/>
        <n x="18"/>
        <n x="61"/>
        <n x="17"/>
      </t>
    </mdx>
    <mdx n="0" f="v">
      <t c="6">
        <n x="2" s="1"/>
        <n x="1" s="1"/>
        <n x="3" s="1"/>
        <n x="18"/>
        <n x="61"/>
        <n x="13"/>
      </t>
    </mdx>
    <mdx n="0" f="v">
      <t c="6">
        <n x="2" s="1"/>
        <n x="1" s="1"/>
        <n x="3" s="1"/>
        <n x="18"/>
        <n x="64"/>
        <n x="55"/>
      </t>
    </mdx>
    <mdx n="0" f="v">
      <t c="6">
        <n x="2" s="1"/>
        <n x="1" s="1"/>
        <n x="3" s="1"/>
        <n x="18"/>
        <n x="39"/>
        <n x="37"/>
      </t>
    </mdx>
    <mdx n="0" f="v">
      <t c="6">
        <n x="2" s="1"/>
        <n x="1" s="1"/>
        <n x="3" s="1"/>
        <n x="18"/>
        <n x="16"/>
        <n x="46"/>
      </t>
    </mdx>
    <mdx n="0" f="v">
      <t c="6">
        <n x="2" s="1"/>
        <n x="1" s="1"/>
        <n x="3" s="1"/>
        <n x="18"/>
        <n x="43"/>
        <n x="21"/>
      </t>
    </mdx>
    <mdx n="0" f="v">
      <t c="6">
        <n x="2" s="1"/>
        <n x="1" s="1"/>
        <n x="3" s="1"/>
        <n x="18"/>
        <n x="6"/>
        <n x="23"/>
      </t>
    </mdx>
    <mdx n="0" f="v">
      <t c="6">
        <n x="2" s="1"/>
        <n x="1" s="1"/>
        <n x="3" s="1"/>
        <n x="18"/>
        <n x="72" s="1"/>
        <n x="58"/>
      </t>
    </mdx>
    <mdx n="0" f="v">
      <t c="6">
        <n x="2" s="1"/>
        <n x="1" s="1"/>
        <n x="3" s="1"/>
        <n x="18"/>
        <n x="72" s="1"/>
        <n x="59"/>
      </t>
    </mdx>
    <mdx n="0" f="v">
      <t c="6">
        <n x="2" s="1"/>
        <n x="1" s="1"/>
        <n x="3" s="1"/>
        <n x="18"/>
        <n x="65"/>
        <n x="34"/>
      </t>
    </mdx>
    <mdx n="0" f="v">
      <t c="6">
        <n x="2" s="1"/>
        <n x="1" s="1"/>
        <n x="3" s="1"/>
        <n x="18"/>
        <n x="65"/>
        <n x="37"/>
      </t>
    </mdx>
    <mdx n="0" f="v">
      <t c="6">
        <n x="2" s="1"/>
        <n x="1" s="1"/>
        <n x="3" s="1"/>
        <n x="18"/>
        <n x="5"/>
        <n x="21"/>
      </t>
    </mdx>
    <mdx n="0" f="v">
      <t c="6">
        <n x="2" s="1"/>
        <n x="1" s="1"/>
        <n x="3" s="1"/>
        <n x="18"/>
        <n x="5"/>
        <n x="22"/>
      </t>
    </mdx>
    <mdx n="0" f="v">
      <t c="6">
        <n x="2" s="1"/>
        <n x="1" s="1"/>
        <n x="3" s="1"/>
        <n x="18"/>
        <n x="6"/>
        <n x="73" s="1"/>
      </t>
    </mdx>
    <mdx n="0" f="v">
      <t c="6">
        <n x="2" s="1"/>
        <n x="1" s="1"/>
        <n x="3" s="1"/>
        <n x="18"/>
        <n x="6"/>
        <n x="46"/>
      </t>
    </mdx>
    <mdx n="0" f="v">
      <t c="6">
        <n x="2" s="1"/>
        <n x="1" s="1"/>
        <n x="3" s="1"/>
        <n x="18"/>
        <n x="6"/>
        <n x="4"/>
      </t>
    </mdx>
    <mdx n="0" f="v">
      <t c="6">
        <n x="2" s="1"/>
        <n x="1" s="1"/>
        <n x="3" s="1"/>
        <n x="18"/>
        <n x="11"/>
        <n x="58"/>
      </t>
    </mdx>
    <mdx n="0" f="v">
      <t c="6">
        <n x="2" s="1"/>
        <n x="1" s="1"/>
        <n x="3" s="1"/>
        <n x="18"/>
        <n x="11"/>
        <n x="59"/>
      </t>
    </mdx>
    <mdx n="0" f="v">
      <t c="6">
        <n x="2" s="1"/>
        <n x="1" s="1"/>
        <n x="3" s="1"/>
        <n x="18"/>
        <n x="19"/>
        <n x="34"/>
      </t>
    </mdx>
    <mdx n="0" f="v">
      <t c="6">
        <n x="2" s="1"/>
        <n x="1" s="1"/>
        <n x="3" s="1"/>
        <n x="18"/>
        <n x="19"/>
        <n x="37"/>
      </t>
    </mdx>
    <mdx n="0" f="v">
      <t c="6">
        <n x="2" s="1"/>
        <n x="1" s="1"/>
        <n x="3" s="1"/>
        <n x="18"/>
        <n x="26"/>
        <n x="21"/>
      </t>
    </mdx>
    <mdx n="0" f="v">
      <t c="6">
        <n x="2" s="1"/>
        <n x="1" s="1"/>
        <n x="3" s="1"/>
        <n x="18"/>
        <n x="26"/>
        <n x="22"/>
      </t>
    </mdx>
    <mdx n="0" f="v">
      <t c="6">
        <n x="2" s="1"/>
        <n x="1" s="1"/>
        <n x="3" s="1"/>
        <n x="18"/>
        <n x="28"/>
        <n x="73" s="1"/>
      </t>
    </mdx>
    <mdx n="0" f="v">
      <t c="6">
        <n x="2" s="1"/>
        <n x="1" s="1"/>
        <n x="3" s="1"/>
        <n x="18"/>
        <n x="28"/>
        <n x="46"/>
      </t>
    </mdx>
    <mdx n="0" f="v">
      <t c="6">
        <n x="2" s="1"/>
        <n x="1" s="1"/>
        <n x="3" s="1"/>
        <n x="18"/>
        <n x="28"/>
        <n x="4"/>
      </t>
    </mdx>
    <mdx n="0" f="v">
      <t c="6">
        <n x="2" s="1"/>
        <n x="1" s="1"/>
        <n x="3" s="1"/>
        <n x="18"/>
        <n x="30"/>
        <n x="58"/>
      </t>
    </mdx>
    <mdx n="0" f="v">
      <t c="6">
        <n x="2" s="1"/>
        <n x="1" s="1"/>
        <n x="3" s="1"/>
        <n x="18"/>
        <n x="30"/>
        <n x="59"/>
      </t>
    </mdx>
    <mdx n="0" f="v">
      <t c="6">
        <n x="2" s="1"/>
        <n x="1" s="1"/>
        <n x="3" s="1"/>
        <n x="18"/>
        <n x="35"/>
        <n x="34"/>
      </t>
    </mdx>
    <mdx n="0" f="v">
      <t c="6">
        <n x="2" s="1"/>
        <n x="1" s="1"/>
        <n x="3" s="1"/>
        <n x="18"/>
        <n x="35"/>
        <n x="37"/>
      </t>
    </mdx>
    <mdx n="0" f="v">
      <t c="6">
        <n x="2" s="1"/>
        <n x="1" s="1"/>
        <n x="3" s="1"/>
        <n x="18"/>
        <n x="39"/>
        <n x="21"/>
      </t>
    </mdx>
    <mdx n="0" f="v">
      <t c="6">
        <n x="2" s="1"/>
        <n x="1" s="1"/>
        <n x="3" s="1"/>
        <n x="18"/>
        <n x="39"/>
        <n x="22"/>
      </t>
    </mdx>
    <mdx n="0" f="v">
      <t c="6">
        <n x="2" s="1"/>
        <n x="1" s="1"/>
        <n x="3" s="1"/>
        <n x="18"/>
        <n x="48"/>
        <n x="73" s="1"/>
      </t>
    </mdx>
    <mdx n="0" f="v">
      <t c="6">
        <n x="2" s="1"/>
        <n x="1" s="1"/>
        <n x="3" s="1"/>
        <n x="18"/>
        <n x="48"/>
        <n x="46"/>
      </t>
    </mdx>
    <mdx n="0" f="v">
      <t c="6">
        <n x="2" s="1"/>
        <n x="1" s="1"/>
        <n x="3" s="1"/>
        <n x="18"/>
        <n x="48"/>
        <n x="4"/>
      </t>
    </mdx>
    <mdx n="0" f="v">
      <t c="6">
        <n x="2" s="1"/>
        <n x="1" s="1"/>
        <n x="3" s="1"/>
        <n x="18"/>
        <n x="51"/>
        <n x="58"/>
      </t>
    </mdx>
    <mdx n="0" f="v">
      <t c="6">
        <n x="2" s="1"/>
        <n x="1" s="1"/>
        <n x="3" s="1"/>
        <n x="18"/>
        <n x="51"/>
        <n x="59"/>
      </t>
    </mdx>
    <mdx n="0" f="v">
      <t c="6">
        <n x="2" s="1"/>
        <n x="1" s="1"/>
        <n x="3" s="1"/>
        <n x="18"/>
        <n x="56"/>
        <n x="34"/>
      </t>
    </mdx>
    <mdx n="0" f="v">
      <t c="6">
        <n x="2" s="1"/>
        <n x="1" s="1"/>
        <n x="3" s="1"/>
        <n x="18"/>
        <n x="56"/>
        <n x="37"/>
      </t>
    </mdx>
    <mdx n="0" f="v">
      <t c="6">
        <n x="2" s="1"/>
        <n x="1" s="1"/>
        <n x="3" s="1"/>
        <n x="18"/>
        <n x="60"/>
        <n x="21"/>
      </t>
    </mdx>
    <mdx n="0" f="v">
      <t c="6">
        <n x="2" s="1"/>
        <n x="1" s="1"/>
        <n x="3" s="1"/>
        <n x="18"/>
        <n x="60"/>
        <n x="22"/>
      </t>
    </mdx>
    <mdx n="0" f="v">
      <t c="6">
        <n x="2" s="1"/>
        <n x="1" s="1"/>
        <n x="3" s="1"/>
        <n x="18"/>
        <n x="67"/>
        <n x="73" s="1"/>
      </t>
    </mdx>
    <mdx n="0" f="v">
      <t c="6">
        <n x="2" s="1"/>
        <n x="1" s="1"/>
        <n x="3" s="1"/>
        <n x="18"/>
        <n x="67"/>
        <n x="46"/>
      </t>
    </mdx>
    <mdx n="0" f="v">
      <t c="6">
        <n x="2" s="1"/>
        <n x="1" s="1"/>
        <n x="3" s="1"/>
        <n x="18"/>
        <n x="67"/>
        <n x="4"/>
      </t>
    </mdx>
    <mdx n="0" f="v">
      <t c="6">
        <n x="2" s="1"/>
        <n x="1" s="1"/>
        <n x="3" s="1"/>
        <n x="18"/>
        <n x="50"/>
        <n x="58"/>
      </t>
    </mdx>
    <mdx n="0" f="v">
      <t c="6">
        <n x="2" s="1"/>
        <n x="1" s="1"/>
        <n x="3" s="1"/>
        <n x="18"/>
        <n x="50"/>
        <n x="59"/>
      </t>
    </mdx>
    <mdx n="0" f="v">
      <t c="6">
        <n x="2" s="1"/>
        <n x="1" s="1"/>
        <n x="3" s="1"/>
        <n x="18"/>
        <n x="38"/>
        <n x="34"/>
      </t>
    </mdx>
    <mdx n="0" f="v">
      <t c="6">
        <n x="2" s="1"/>
        <n x="1" s="1"/>
        <n x="3" s="1"/>
        <n x="18"/>
        <n x="38"/>
        <n x="37"/>
      </t>
    </mdx>
    <mdx n="0" f="v">
      <t c="6">
        <n x="2" s="1"/>
        <n x="1" s="1"/>
        <n x="3" s="1"/>
        <n x="18"/>
        <n x="47"/>
        <n x="21"/>
      </t>
    </mdx>
    <mdx n="0" f="v">
      <t c="6">
        <n x="2" s="1"/>
        <n x="1" s="1"/>
        <n x="3" s="1"/>
        <n x="18"/>
        <n x="47"/>
        <n x="22"/>
      </t>
    </mdx>
    <mdx n="0" f="v">
      <t c="6">
        <n x="2" s="1"/>
        <n x="1" s="1"/>
        <n x="3" s="1"/>
        <n x="18"/>
        <n x="7"/>
        <n x="73" s="1"/>
      </t>
    </mdx>
    <mdx n="0" f="v">
      <t c="6">
        <n x="2" s="1"/>
        <n x="1" s="1"/>
        <n x="3" s="1"/>
        <n x="18"/>
        <n x="7"/>
        <n x="46"/>
      </t>
    </mdx>
    <mdx n="0" f="v">
      <t c="6">
        <n x="2" s="1"/>
        <n x="1" s="1"/>
        <n x="3" s="1"/>
        <n x="18"/>
        <n x="7"/>
        <n x="4"/>
      </t>
    </mdx>
    <mdx n="0" f="v">
      <t c="6">
        <n x="2" s="1"/>
        <n x="1" s="1"/>
        <n x="3" s="1"/>
        <n x="18"/>
        <n x="16"/>
        <n x="58"/>
      </t>
    </mdx>
    <mdx n="0" f="v">
      <t c="6">
        <n x="2" s="1"/>
        <n x="1" s="1"/>
        <n x="3" s="1"/>
        <n x="18"/>
        <n x="16"/>
        <n x="59"/>
      </t>
    </mdx>
    <mdx n="0" f="v">
      <t c="6">
        <n x="2" s="1"/>
        <n x="1" s="1"/>
        <n x="3" s="1"/>
        <n x="18"/>
        <n x="20"/>
        <n x="34"/>
      </t>
    </mdx>
    <mdx n="0" f="v">
      <t c="6">
        <n x="2" s="1"/>
        <n x="1" s="1"/>
        <n x="3" s="1"/>
        <n x="18"/>
        <n x="20"/>
        <n x="37"/>
      </t>
    </mdx>
    <mdx n="0" f="v">
      <t c="6">
        <n x="2" s="1"/>
        <n x="1" s="1"/>
        <n x="3" s="1"/>
        <n x="18"/>
        <n x="27"/>
        <n x="21"/>
      </t>
    </mdx>
    <mdx n="0" f="v">
      <t c="6">
        <n x="2" s="1"/>
        <n x="1" s="1"/>
        <n x="3" s="1"/>
        <n x="18"/>
        <n x="27"/>
        <n x="22"/>
      </t>
    </mdx>
    <mdx n="0" f="v">
      <t c="6">
        <n x="2" s="1"/>
        <n x="1" s="1"/>
        <n x="3" s="1"/>
        <n x="18"/>
        <n x="14"/>
        <n x="73" s="1"/>
      </t>
    </mdx>
    <mdx n="0" f="v">
      <t c="6">
        <n x="2" s="1"/>
        <n x="1" s="1"/>
        <n x="3" s="1"/>
        <n x="18"/>
        <n x="14"/>
        <n x="46"/>
      </t>
    </mdx>
    <mdx n="0" f="v">
      <t c="6">
        <n x="2" s="1"/>
        <n x="1" s="1"/>
        <n x="3" s="1"/>
        <n x="18"/>
        <n x="14"/>
        <n x="4"/>
      </t>
    </mdx>
    <mdx n="0" f="v">
      <t c="6">
        <n x="2" s="1"/>
        <n x="1" s="1"/>
        <n x="3" s="1"/>
        <n x="18"/>
        <n x="31"/>
        <n x="58"/>
      </t>
    </mdx>
    <mdx n="0" f="v">
      <t c="6">
        <n x="2" s="1"/>
        <n x="1" s="1"/>
        <n x="3" s="1"/>
        <n x="18"/>
        <n x="31"/>
        <n x="59"/>
      </t>
    </mdx>
    <mdx n="0" f="v">
      <t c="6">
        <n x="2" s="1"/>
        <n x="1" s="1"/>
        <n x="3" s="1"/>
        <n x="18"/>
        <n x="36"/>
        <n x="34"/>
      </t>
    </mdx>
    <mdx n="0" f="v">
      <t c="6">
        <n x="2" s="1"/>
        <n x="1" s="1"/>
        <n x="3" s="1"/>
        <n x="18"/>
        <n x="36"/>
        <n x="37"/>
      </t>
    </mdx>
    <mdx n="0" f="v">
      <t c="6">
        <n x="2" s="1"/>
        <n x="1" s="1"/>
        <n x="3" s="1"/>
        <n x="18"/>
        <n x="40"/>
        <n x="21"/>
      </t>
    </mdx>
    <mdx n="0" f="v">
      <t c="6">
        <n x="2" s="1"/>
        <n x="1" s="1"/>
        <n x="3" s="1"/>
        <n x="18"/>
        <n x="40"/>
        <n x="22"/>
      </t>
    </mdx>
    <mdx n="0" f="v">
      <t c="6">
        <n x="2" s="1"/>
        <n x="1" s="1"/>
        <n x="3" s="1"/>
        <n x="18"/>
        <n x="43"/>
        <n x="73" s="1"/>
      </t>
    </mdx>
    <mdx n="0" f="v">
      <t c="6">
        <n x="2" s="1"/>
        <n x="1" s="1"/>
        <n x="3" s="1"/>
        <n x="18"/>
        <n x="43"/>
        <n x="46"/>
      </t>
    </mdx>
    <mdx n="0" f="v">
      <t c="6">
        <n x="2" s="1"/>
        <n x="1" s="1"/>
        <n x="3" s="1"/>
        <n x="18"/>
        <n x="43"/>
        <n x="4"/>
      </t>
    </mdx>
    <mdx n="0" f="v">
      <t c="6">
        <n x="2" s="1"/>
        <n x="1" s="1"/>
        <n x="3" s="1"/>
        <n x="18"/>
        <n x="52"/>
        <n x="58"/>
      </t>
    </mdx>
    <mdx n="0" f="v">
      <t c="6">
        <n x="2" s="1"/>
        <n x="1" s="1"/>
        <n x="3" s="1"/>
        <n x="18"/>
        <n x="52"/>
        <n x="59"/>
      </t>
    </mdx>
    <mdx n="0" f="v">
      <t c="6">
        <n x="2" s="1"/>
        <n x="1" s="1"/>
        <n x="3" s="1"/>
        <n x="18"/>
        <n x="57"/>
        <n x="34"/>
      </t>
    </mdx>
    <mdx n="0" f="v">
      <t c="6">
        <n x="2" s="1"/>
        <n x="1" s="1"/>
        <n x="3" s="1"/>
        <n x="18"/>
        <n x="57"/>
        <n x="37"/>
      </t>
    </mdx>
    <mdx n="0" f="v">
      <t c="6">
        <n x="2" s="1"/>
        <n x="1" s="1"/>
        <n x="3" s="1"/>
        <n x="18"/>
        <n x="61"/>
        <n x="21"/>
      </t>
    </mdx>
    <mdx n="0" f="v">
      <t c="6">
        <n x="2" s="1"/>
        <n x="1" s="1"/>
        <n x="3" s="1"/>
        <n x="18"/>
        <n x="61"/>
        <n x="22"/>
      </t>
    </mdx>
    <mdx n="0" f="v">
      <t c="6">
        <n x="2" s="1"/>
        <n x="1" s="1"/>
        <n x="3" s="1"/>
        <n x="18"/>
        <n x="64"/>
        <n x="73" s="1"/>
      </t>
    </mdx>
    <mdx n="0" f="v">
      <t c="6">
        <n x="2" s="1"/>
        <n x="1" s="1"/>
        <n x="3" s="1"/>
        <n x="18"/>
        <n x="64"/>
        <n x="46"/>
      </t>
    </mdx>
    <mdx n="0" f="v">
      <t c="6">
        <n x="2" s="1"/>
        <n x="1" s="1"/>
        <n x="3" s="1"/>
        <n x="18"/>
        <n x="64"/>
        <n x="4"/>
      </t>
    </mdx>
    <mdx n="0" f="v">
      <t c="6">
        <n x="2" s="1"/>
        <n x="1" s="1"/>
        <n x="3" s="1"/>
        <n x="18"/>
        <n x="26"/>
        <n x="34"/>
      </t>
    </mdx>
    <mdx n="0" f="v">
      <t c="6">
        <n x="2" s="1"/>
        <n x="1" s="1"/>
        <n x="3" s="1"/>
        <n x="18"/>
        <n x="50"/>
        <n x="4"/>
      </t>
    </mdx>
    <mdx n="0" f="v">
      <t c="6">
        <n x="2" s="1"/>
        <n x="1" s="1"/>
        <n x="3" s="1"/>
        <n x="18"/>
        <n x="27"/>
        <n x="34"/>
      </t>
    </mdx>
    <mdx n="0" f="v">
      <t c="6">
        <n x="2" s="1"/>
        <n x="1" s="1"/>
        <n x="3" s="1"/>
        <n x="18"/>
        <n x="40"/>
        <n x="34"/>
      </t>
    </mdx>
    <mdx n="0" f="v">
      <t c="6">
        <n x="2" s="1"/>
        <n x="1" s="1"/>
        <n x="3" s="1"/>
        <n x="18"/>
        <n x="57"/>
        <n x="59"/>
      </t>
    </mdx>
    <mdx n="0" f="v">
      <t c="6">
        <n x="2" s="1"/>
        <n x="1" s="1"/>
        <n x="3" s="1"/>
        <n x="18"/>
        <n x="5"/>
        <n x="42"/>
      </t>
    </mdx>
    <mdx n="0" f="v">
      <t c="6">
        <n x="2" s="1"/>
        <n x="1" s="1"/>
        <n x="3" s="1"/>
        <n x="18"/>
        <n x="28"/>
        <n x="23"/>
      </t>
    </mdx>
    <mdx n="0" f="v">
      <t c="6">
        <n x="2" s="1"/>
        <n x="1" s="1"/>
        <n x="3" s="1"/>
        <n x="18"/>
        <n x="56"/>
        <n x="62"/>
      </t>
    </mdx>
    <mdx n="0" f="v">
      <t c="6">
        <n x="2" s="1"/>
        <n x="1" s="1"/>
        <n x="3" s="1"/>
        <n x="18"/>
        <n x="38"/>
        <n x="62"/>
      </t>
    </mdx>
    <mdx n="0" f="v">
      <t c="6">
        <n x="2" s="1"/>
        <n x="1" s="1"/>
        <n x="3" s="1"/>
        <n x="18"/>
        <n x="27"/>
        <n x="41"/>
      </t>
    </mdx>
    <mdx n="0" f="v">
      <t c="6">
        <n x="2" s="1"/>
        <n x="1" s="1"/>
        <n x="3" s="1"/>
        <n x="18"/>
        <n x="40"/>
        <n x="42"/>
      </t>
    </mdx>
    <mdx n="0" f="v">
      <t c="6">
        <n x="2" s="1"/>
        <n x="1" s="1"/>
        <n x="3" s="1"/>
        <n x="18"/>
        <n x="61"/>
        <n x="42"/>
      </t>
    </mdx>
    <mdx n="0" f="v">
      <t c="6">
        <n x="2" s="1"/>
        <n x="1" s="1"/>
        <n x="3" s="1"/>
        <n x="18"/>
        <n x="65"/>
        <n x="70"/>
      </t>
    </mdx>
    <mdx n="0" f="v">
      <t c="6">
        <n x="2" s="1"/>
        <n x="1" s="1"/>
        <n x="3" s="1"/>
        <n x="18"/>
        <n x="28"/>
        <n x="29"/>
      </t>
    </mdx>
    <mdx n="0" f="v">
      <t c="6">
        <n x="2" s="1"/>
        <n x="1" s="1"/>
        <n x="3" s="1"/>
        <n x="18"/>
        <n x="56"/>
        <n x="69"/>
      </t>
    </mdx>
    <mdx n="0" f="v">
      <t c="6">
        <n x="2" s="1"/>
        <n x="1" s="1"/>
        <n x="3" s="1"/>
        <n x="18"/>
        <n x="27"/>
        <n x="44"/>
      </t>
    </mdx>
    <mdx n="0" f="v">
      <t c="6">
        <n x="2" s="1"/>
        <n x="1" s="1"/>
        <n x="3" s="1"/>
        <n x="18"/>
        <n x="61"/>
        <n x="49"/>
      </t>
    </mdx>
    <mdx n="0" f="v">
      <t c="6">
        <n x="2" s="1"/>
        <n x="1" s="1"/>
        <n x="3" s="1"/>
        <n x="18"/>
        <n x="72" s="1"/>
        <n x="62"/>
      </t>
    </mdx>
    <mdx n="0" f="v">
      <t c="6">
        <n x="2" s="1"/>
        <n x="1" s="1"/>
        <n x="3" s="1"/>
        <n x="18"/>
        <n x="72" s="1"/>
        <n x="63"/>
      </t>
    </mdx>
    <mdx n="0" f="v">
      <t c="6">
        <n x="2" s="1"/>
        <n x="1" s="1"/>
        <n x="3" s="1"/>
        <n x="18"/>
        <n x="65"/>
        <n x="41"/>
      </t>
    </mdx>
    <mdx n="0" f="v">
      <t c="6">
        <n x="2" s="1"/>
        <n x="1" s="1"/>
        <n x="3" s="1"/>
        <n x="18"/>
        <n x="65"/>
        <n x="42"/>
      </t>
    </mdx>
    <mdx n="0" f="v">
      <t c="6">
        <n x="2" s="1"/>
        <n x="1" s="1"/>
        <n x="3" s="1"/>
        <n x="18"/>
        <n x="5"/>
        <n x="23"/>
      </t>
    </mdx>
    <mdx n="0" f="v">
      <t c="6">
        <n x="2" s="1"/>
        <n x="1" s="1"/>
        <n x="3" s="1"/>
        <n x="18"/>
        <n x="5"/>
        <n x="24"/>
      </t>
    </mdx>
    <mdx n="0" f="v">
      <t c="6">
        <n x="2" s="1"/>
        <n x="1" s="1"/>
        <n x="3" s="1"/>
        <n x="18"/>
        <n x="6"/>
        <n x="66"/>
      </t>
    </mdx>
    <mdx n="0" f="v">
      <t c="6">
        <n x="2" s="1"/>
        <n x="1" s="1"/>
        <n x="3" s="1"/>
        <n x="18"/>
        <n x="6"/>
        <n x="71"/>
      </t>
    </mdx>
    <mdx n="0" f="v">
      <t c="6">
        <n x="2" s="1"/>
        <n x="1" s="1"/>
        <n x="3" s="1"/>
        <n x="18"/>
        <n x="6"/>
        <n x="15"/>
      </t>
    </mdx>
    <mdx n="0" f="v">
      <t c="6">
        <n x="2" s="1"/>
        <n x="1" s="1"/>
        <n x="3" s="1"/>
        <n x="18"/>
        <n x="11"/>
        <n x="62"/>
      </t>
    </mdx>
    <mdx n="0" f="v">
      <t c="6">
        <n x="2" s="1"/>
        <n x="1" s="1"/>
        <n x="3" s="1"/>
        <n x="18"/>
        <n x="11"/>
        <n x="63"/>
      </t>
    </mdx>
    <mdx n="0" f="v">
      <t c="6">
        <n x="2" s="1"/>
        <n x="1" s="1"/>
        <n x="3" s="1"/>
        <n x="18"/>
        <n x="19"/>
        <n x="41"/>
      </t>
    </mdx>
    <mdx n="0" f="v">
      <t c="6">
        <n x="2" s="1"/>
        <n x="1" s="1"/>
        <n x="3" s="1"/>
        <n x="18"/>
        <n x="19"/>
        <n x="42"/>
      </t>
    </mdx>
    <mdx n="0" f="v">
      <t c="6">
        <n x="2" s="1"/>
        <n x="1" s="1"/>
        <n x="3" s="1"/>
        <n x="18"/>
        <n x="26"/>
        <n x="23"/>
      </t>
    </mdx>
    <mdx n="0" f="v">
      <t c="6">
        <n x="2" s="1"/>
        <n x="1" s="1"/>
        <n x="3" s="1"/>
        <n x="18"/>
        <n x="26"/>
        <n x="24"/>
      </t>
    </mdx>
    <mdx n="0" f="v">
      <t c="6">
        <n x="2" s="1"/>
        <n x="1" s="1"/>
        <n x="3" s="1"/>
        <n x="18"/>
        <n x="28"/>
        <n x="66"/>
      </t>
    </mdx>
    <mdx n="0" f="v">
      <t c="6">
        <n x="2" s="1"/>
        <n x="1" s="1"/>
        <n x="3" s="1"/>
        <n x="18"/>
        <n x="28"/>
        <n x="71"/>
      </t>
    </mdx>
    <mdx n="0" f="v">
      <t c="6">
        <n x="2" s="1"/>
        <n x="1" s="1"/>
        <n x="3" s="1"/>
        <n x="18"/>
        <n x="28"/>
        <n x="15"/>
      </t>
    </mdx>
    <mdx n="0" f="v">
      <t c="6">
        <n x="2" s="1"/>
        <n x="1" s="1"/>
        <n x="3" s="1"/>
        <n x="18"/>
        <n x="30"/>
        <n x="62"/>
      </t>
    </mdx>
    <mdx n="0" f="v">
      <t c="6">
        <n x="2" s="1"/>
        <n x="1" s="1"/>
        <n x="3" s="1"/>
        <n x="18"/>
        <n x="30"/>
        <n x="63"/>
      </t>
    </mdx>
    <mdx n="0" f="v">
      <t c="6">
        <n x="2" s="1"/>
        <n x="1" s="1"/>
        <n x="3" s="1"/>
        <n x="18"/>
        <n x="35"/>
        <n x="41"/>
      </t>
    </mdx>
    <mdx n="0" f="v">
      <t c="6">
        <n x="2" s="1"/>
        <n x="1" s="1"/>
        <n x="3" s="1"/>
        <n x="18"/>
        <n x="35"/>
        <n x="42"/>
      </t>
    </mdx>
    <mdx n="0" f="v">
      <t c="6">
        <n x="2" s="1"/>
        <n x="1" s="1"/>
        <n x="3" s="1"/>
        <n x="18"/>
        <n x="39"/>
        <n x="23"/>
      </t>
    </mdx>
    <mdx n="0" f="v">
      <t c="6">
        <n x="2" s="1"/>
        <n x="1" s="1"/>
        <n x="3" s="1"/>
        <n x="18"/>
        <n x="39"/>
        <n x="24"/>
      </t>
    </mdx>
    <mdx n="0" f="v">
      <t c="6">
        <n x="2" s="1"/>
        <n x="1" s="1"/>
        <n x="3" s="1"/>
        <n x="18"/>
        <n x="48"/>
        <n x="66"/>
      </t>
    </mdx>
    <mdx n="0" f="v">
      <t c="6">
        <n x="2" s="1"/>
        <n x="1" s="1"/>
        <n x="3" s="1"/>
        <n x="18"/>
        <n x="48"/>
        <n x="71"/>
      </t>
    </mdx>
    <mdx n="0" f="v">
      <t c="6">
        <n x="2" s="1"/>
        <n x="1" s="1"/>
        <n x="3" s="1"/>
        <n x="18"/>
        <n x="48"/>
        <n x="15"/>
      </t>
    </mdx>
    <mdx n="0" f="v">
      <t c="6">
        <n x="2" s="1"/>
        <n x="1" s="1"/>
        <n x="3" s="1"/>
        <n x="18"/>
        <n x="51"/>
        <n x="62"/>
      </t>
    </mdx>
    <mdx n="0" f="v">
      <t c="6">
        <n x="2" s="1"/>
        <n x="1" s="1"/>
        <n x="3" s="1"/>
        <n x="18"/>
        <n x="51"/>
        <n x="63"/>
      </t>
    </mdx>
    <mdx n="0" f="v">
      <t c="6">
        <n x="2" s="1"/>
        <n x="1" s="1"/>
        <n x="3" s="1"/>
        <n x="18"/>
        <n x="56"/>
        <n x="41"/>
      </t>
    </mdx>
    <mdx n="0" f="v">
      <t c="6">
        <n x="2" s="1"/>
        <n x="1" s="1"/>
        <n x="3" s="1"/>
        <n x="18"/>
        <n x="56"/>
        <n x="42"/>
      </t>
    </mdx>
    <mdx n="0" f="v">
      <t c="6">
        <n x="2" s="1"/>
        <n x="1" s="1"/>
        <n x="3" s="1"/>
        <n x="18"/>
        <n x="60"/>
        <n x="23"/>
      </t>
    </mdx>
    <mdx n="0" f="v">
      <t c="6">
        <n x="2" s="1"/>
        <n x="1" s="1"/>
        <n x="3" s="1"/>
        <n x="18"/>
        <n x="60"/>
        <n x="24"/>
      </t>
    </mdx>
    <mdx n="0" f="v">
      <t c="6">
        <n x="2" s="1"/>
        <n x="1" s="1"/>
        <n x="3" s="1"/>
        <n x="18"/>
        <n x="67"/>
        <n x="66"/>
      </t>
    </mdx>
    <mdx n="0" f="v">
      <t c="6">
        <n x="2" s="1"/>
        <n x="1" s="1"/>
        <n x="3" s="1"/>
        <n x="18"/>
        <n x="67"/>
        <n x="71"/>
      </t>
    </mdx>
    <mdx n="0" f="v">
      <t c="6">
        <n x="2" s="1"/>
        <n x="1" s="1"/>
        <n x="3" s="1"/>
        <n x="18"/>
        <n x="67"/>
        <n x="15"/>
      </t>
    </mdx>
    <mdx n="0" f="v">
      <t c="6">
        <n x="2" s="1"/>
        <n x="1" s="1"/>
        <n x="3" s="1"/>
        <n x="18"/>
        <n x="50"/>
        <n x="62"/>
      </t>
    </mdx>
    <mdx n="0" f="v">
      <t c="6">
        <n x="2" s="1"/>
        <n x="1" s="1"/>
        <n x="3" s="1"/>
        <n x="18"/>
        <n x="50"/>
        <n x="63"/>
      </t>
    </mdx>
    <mdx n="0" f="v">
      <t c="6">
        <n x="2" s="1"/>
        <n x="1" s="1"/>
        <n x="3" s="1"/>
        <n x="18"/>
        <n x="38"/>
        <n x="41"/>
      </t>
    </mdx>
    <mdx n="0" f="v">
      <t c="6">
        <n x="2" s="1"/>
        <n x="1" s="1"/>
        <n x="3" s="1"/>
        <n x="18"/>
        <n x="38"/>
        <n x="42"/>
      </t>
    </mdx>
    <mdx n="0" f="v">
      <t c="6">
        <n x="2" s="1"/>
        <n x="1" s="1"/>
        <n x="3" s="1"/>
        <n x="18"/>
        <n x="47"/>
        <n x="23"/>
      </t>
    </mdx>
    <mdx n="0" f="v">
      <t c="6">
        <n x="2" s="1"/>
        <n x="1" s="1"/>
        <n x="3" s="1"/>
        <n x="18"/>
        <n x="47"/>
        <n x="24"/>
      </t>
    </mdx>
    <mdx n="0" f="v">
      <t c="6">
        <n x="2" s="1"/>
        <n x="1" s="1"/>
        <n x="3" s="1"/>
        <n x="18"/>
        <n x="7"/>
        <n x="66"/>
      </t>
    </mdx>
    <mdx n="0" f="v">
      <t c="6">
        <n x="2" s="1"/>
        <n x="1" s="1"/>
        <n x="3" s="1"/>
        <n x="18"/>
        <n x="7"/>
        <n x="71"/>
      </t>
    </mdx>
    <mdx n="0" f="v">
      <t c="6">
        <n x="2" s="1"/>
        <n x="1" s="1"/>
        <n x="3" s="1"/>
        <n x="18"/>
        <n x="7"/>
        <n x="15"/>
      </t>
    </mdx>
    <mdx n="0" f="v">
      <t c="6">
        <n x="2" s="1"/>
        <n x="1" s="1"/>
        <n x="3" s="1"/>
        <n x="18"/>
        <n x="16"/>
        <n x="62"/>
      </t>
    </mdx>
    <mdx n="0" f="v">
      <t c="6">
        <n x="2" s="1"/>
        <n x="1" s="1"/>
        <n x="3" s="1"/>
        <n x="18"/>
        <n x="16"/>
        <n x="63"/>
      </t>
    </mdx>
    <mdx n="0" f="v">
      <t c="6">
        <n x="2" s="1"/>
        <n x="1" s="1"/>
        <n x="3" s="1"/>
        <n x="18"/>
        <n x="20"/>
        <n x="41"/>
      </t>
    </mdx>
    <mdx n="0" f="v">
      <t c="6">
        <n x="2" s="1"/>
        <n x="1" s="1"/>
        <n x="3" s="1"/>
        <n x="18"/>
        <n x="20"/>
        <n x="42"/>
      </t>
    </mdx>
    <mdx n="0" f="v">
      <t c="6">
        <n x="2" s="1"/>
        <n x="1" s="1"/>
        <n x="3" s="1"/>
        <n x="18"/>
        <n x="27"/>
        <n x="23"/>
      </t>
    </mdx>
    <mdx n="0" f="v">
      <t c="6">
        <n x="2" s="1"/>
        <n x="1" s="1"/>
        <n x="3" s="1"/>
        <n x="18"/>
        <n x="27"/>
        <n x="24"/>
      </t>
    </mdx>
    <mdx n="0" f="v">
      <t c="6">
        <n x="2" s="1"/>
        <n x="1" s="1"/>
        <n x="3" s="1"/>
        <n x="18"/>
        <n x="14"/>
        <n x="66"/>
      </t>
    </mdx>
    <mdx n="0" f="v">
      <t c="6">
        <n x="2" s="1"/>
        <n x="1" s="1"/>
        <n x="3" s="1"/>
        <n x="18"/>
        <n x="14"/>
        <n x="71"/>
      </t>
    </mdx>
    <mdx n="0" f="v">
      <t c="6">
        <n x="2" s="1"/>
        <n x="1" s="1"/>
        <n x="3" s="1"/>
        <n x="18"/>
        <n x="14"/>
        <n x="15"/>
      </t>
    </mdx>
    <mdx n="0" f="v">
      <t c="6">
        <n x="2" s="1"/>
        <n x="1" s="1"/>
        <n x="3" s="1"/>
        <n x="18"/>
        <n x="31"/>
        <n x="62"/>
      </t>
    </mdx>
    <mdx n="0" f="v">
      <t c="6">
        <n x="2" s="1"/>
        <n x="1" s="1"/>
        <n x="3" s="1"/>
        <n x="18"/>
        <n x="31"/>
        <n x="63"/>
      </t>
    </mdx>
    <mdx n="0" f="v">
      <t c="6">
        <n x="2" s="1"/>
        <n x="1" s="1"/>
        <n x="3" s="1"/>
        <n x="18"/>
        <n x="36"/>
        <n x="41"/>
      </t>
    </mdx>
    <mdx n="0" f="v">
      <t c="6">
        <n x="2" s="1"/>
        <n x="1" s="1"/>
        <n x="3" s="1"/>
        <n x="18"/>
        <n x="36"/>
        <n x="42"/>
      </t>
    </mdx>
    <mdx n="0" f="v">
      <t c="6">
        <n x="2" s="1"/>
        <n x="1" s="1"/>
        <n x="3" s="1"/>
        <n x="18"/>
        <n x="40"/>
        <n x="23"/>
      </t>
    </mdx>
    <mdx n="0" f="v">
      <t c="6">
        <n x="2" s="1"/>
        <n x="1" s="1"/>
        <n x="3" s="1"/>
        <n x="18"/>
        <n x="40"/>
        <n x="24"/>
      </t>
    </mdx>
    <mdx n="0" f="v">
      <t c="6">
        <n x="2" s="1"/>
        <n x="1" s="1"/>
        <n x="3" s="1"/>
        <n x="18"/>
        <n x="43"/>
        <n x="66"/>
      </t>
    </mdx>
    <mdx n="0" f="v">
      <t c="6">
        <n x="2" s="1"/>
        <n x="1" s="1"/>
        <n x="3" s="1"/>
        <n x="18"/>
        <n x="43"/>
        <n x="71"/>
      </t>
    </mdx>
    <mdx n="0" f="v">
      <t c="6">
        <n x="2" s="1"/>
        <n x="1" s="1"/>
        <n x="3" s="1"/>
        <n x="18"/>
        <n x="43"/>
        <n x="15"/>
      </t>
    </mdx>
    <mdx n="0" f="v">
      <t c="6">
        <n x="2" s="1"/>
        <n x="1" s="1"/>
        <n x="3" s="1"/>
        <n x="18"/>
        <n x="52"/>
        <n x="62"/>
      </t>
    </mdx>
    <mdx n="0" f="v">
      <t c="6">
        <n x="2" s="1"/>
        <n x="1" s="1"/>
        <n x="3" s="1"/>
        <n x="18"/>
        <n x="52"/>
        <n x="63"/>
      </t>
    </mdx>
    <mdx n="0" f="v">
      <t c="6">
        <n x="2" s="1"/>
        <n x="1" s="1"/>
        <n x="3" s="1"/>
        <n x="18"/>
        <n x="57"/>
        <n x="41"/>
      </t>
    </mdx>
    <mdx n="0" f="v">
      <t c="6">
        <n x="2" s="1"/>
        <n x="1" s="1"/>
        <n x="3" s="1"/>
        <n x="18"/>
        <n x="57"/>
        <n x="42"/>
      </t>
    </mdx>
    <mdx n="0" f="v">
      <t c="6">
        <n x="2" s="1"/>
        <n x="1" s="1"/>
        <n x="3" s="1"/>
        <n x="18"/>
        <n x="61"/>
        <n x="23"/>
      </t>
    </mdx>
    <mdx n="0" f="v">
      <t c="6">
        <n x="2" s="1"/>
        <n x="1" s="1"/>
        <n x="3" s="1"/>
        <n x="18"/>
        <n x="61"/>
        <n x="24"/>
      </t>
    </mdx>
    <mdx n="0" f="v">
      <t c="6">
        <n x="2" s="1"/>
        <n x="1" s="1"/>
        <n x="3" s="1"/>
        <n x="18"/>
        <n x="64"/>
        <n x="66"/>
      </t>
    </mdx>
    <mdx n="0" f="v">
      <t c="6">
        <n x="2" s="1"/>
        <n x="1" s="1"/>
        <n x="3" s="1"/>
        <n x="18"/>
        <n x="64"/>
        <n x="71"/>
      </t>
    </mdx>
    <mdx n="0" f="v">
      <t c="6">
        <n x="2" s="1"/>
        <n x="1" s="1"/>
        <n x="3" s="1"/>
        <n x="18"/>
        <n x="64"/>
        <n x="15"/>
      </t>
    </mdx>
    <mdx n="0" f="v">
      <t c="6">
        <n x="2" s="1"/>
        <n x="1" s="1"/>
        <n x="3" s="1"/>
        <n x="18"/>
        <n x="11"/>
        <n x="46"/>
      </t>
    </mdx>
    <mdx n="0" f="v">
      <t c="6">
        <n x="2" s="1"/>
        <n x="1" s="1"/>
        <n x="3" s="1"/>
        <n x="18"/>
        <n x="67"/>
        <n x="22"/>
      </t>
    </mdx>
    <mdx n="0" f="v">
      <t c="6">
        <n x="2" s="1"/>
        <n x="1" s="1"/>
        <n x="3" s="1"/>
        <n x="18"/>
        <n x="20"/>
        <n x="59"/>
      </t>
    </mdx>
    <mdx n="0" f="v">
      <t c="6">
        <n x="2" s="1"/>
        <n x="1" s="1"/>
        <n x="3" s="1"/>
        <n x="18"/>
        <n x="40"/>
        <n x="37"/>
      </t>
    </mdx>
    <mdx n="0" f="v">
      <t c="6">
        <n x="2" s="1"/>
        <n x="1" s="1"/>
        <n x="3" s="1"/>
        <n x="18"/>
        <n x="64"/>
        <n x="21"/>
      </t>
    </mdx>
    <mdx n="0" f="v">
      <t c="6">
        <n x="2" s="1"/>
        <n x="1" s="1"/>
        <n x="3" s="1"/>
        <n x="18"/>
        <n x="65"/>
        <n x="62"/>
      </t>
    </mdx>
    <mdx n="0" f="v">
      <t c="6">
        <n x="2" s="1"/>
        <n x="1" s="1"/>
        <n x="3" s="1"/>
        <n x="18"/>
        <n x="30"/>
        <n x="71"/>
      </t>
    </mdx>
    <mdx n="0" f="v">
      <t c="6">
        <n x="2" s="1"/>
        <n x="1" s="1"/>
        <n x="3" s="1"/>
        <n x="18"/>
        <n x="50"/>
        <n x="71"/>
      </t>
    </mdx>
    <mdx n="0" f="v">
      <t c="6">
        <n x="2" s="1"/>
        <n x="1" s="1"/>
        <n x="3" s="1"/>
        <n x="18"/>
        <n x="20"/>
        <n x="62"/>
      </t>
    </mdx>
    <mdx n="0" f="v">
      <t c="6">
        <n x="2" s="1"/>
        <n x="1" s="1"/>
        <n x="3" s="1"/>
        <n x="18"/>
        <n x="31"/>
        <n x="15"/>
      </t>
    </mdx>
    <mdx n="0" f="v">
      <t c="6">
        <n x="2" s="1"/>
        <n x="1" s="1"/>
        <n x="3" s="1"/>
        <n x="18"/>
        <n x="52"/>
        <n x="71"/>
      </t>
    </mdx>
    <mdx n="0" f="v">
      <t c="6">
        <n x="2" s="1"/>
        <n x="1" s="1"/>
        <n x="3" s="1"/>
        <n x="18"/>
        <n x="64"/>
        <n x="23"/>
      </t>
    </mdx>
    <mdx n="0" f="v">
      <t c="6">
        <n x="2" s="1"/>
        <n x="1" s="1"/>
        <n x="3" s="1"/>
        <n x="18"/>
        <n x="5"/>
        <n x="49"/>
      </t>
    </mdx>
    <mdx n="0" f="v">
      <t c="6">
        <n x="2" s="1"/>
        <n x="1" s="1"/>
        <n x="3" s="1"/>
        <n x="18"/>
        <n x="35"/>
        <n x="69"/>
      </t>
    </mdx>
    <mdx n="0" f="v">
      <t c="6">
        <n x="2" s="1"/>
        <n x="1" s="1"/>
        <n x="3" s="1"/>
        <n x="18"/>
        <n x="67"/>
        <n x="25"/>
      </t>
    </mdx>
    <mdx n="0" f="v">
      <t c="6">
        <n x="2" s="1"/>
        <n x="1" s="1"/>
        <n x="3" s="1"/>
        <n x="18"/>
        <n x="20"/>
        <n x="69"/>
      </t>
    </mdx>
    <mdx n="0" f="v">
      <t c="6">
        <n x="2" s="1"/>
        <n x="1" s="1"/>
        <n x="3" s="1"/>
        <n x="18"/>
        <n x="52"/>
        <n x="9"/>
      </t>
    </mdx>
    <mdx n="0" f="v">
      <t c="6">
        <n x="2" s="1"/>
        <n x="1" s="1"/>
        <n x="3" s="1"/>
        <n x="18"/>
        <n x="72" s="1"/>
        <n x="69"/>
      </t>
    </mdx>
    <mdx n="0" f="v">
      <t c="6">
        <n x="2" s="1"/>
        <n x="1" s="1"/>
        <n x="3" s="1"/>
        <n x="18"/>
        <n x="72" s="1"/>
        <n x="70"/>
      </t>
    </mdx>
    <mdx n="0" f="v">
      <t c="6">
        <n x="2" s="1"/>
        <n x="1" s="1"/>
        <n x="3" s="1"/>
        <n x="18"/>
        <n x="65"/>
        <n x="49"/>
      </t>
    </mdx>
    <mdx n="0" f="v">
      <t c="6">
        <n x="2" s="1"/>
        <n x="1" s="1"/>
        <n x="3" s="1"/>
        <n x="18"/>
        <n x="65"/>
        <n x="44"/>
      </t>
    </mdx>
    <mdx n="0" f="v">
      <t c="6">
        <n x="2" s="1"/>
        <n x="1" s="1"/>
        <n x="3" s="1"/>
        <n x="18"/>
        <n x="5"/>
        <n x="25"/>
      </t>
    </mdx>
    <mdx n="0" f="v">
      <t c="6">
        <n x="2" s="1"/>
        <n x="1" s="1"/>
        <n x="3" s="1"/>
        <n x="18"/>
        <n x="5"/>
        <n x="29"/>
      </t>
    </mdx>
    <mdx n="0" f="v">
      <t c="6">
        <n x="2" s="1"/>
        <n x="1" s="1"/>
        <n x="3" s="1"/>
        <n x="18"/>
        <n x="6"/>
        <n x="8"/>
      </t>
    </mdx>
    <mdx n="0" f="v">
      <t c="6">
        <n x="2" s="1"/>
        <n x="1" s="1"/>
        <n x="3" s="1"/>
        <n x="18"/>
        <n x="6"/>
        <n x="9"/>
      </t>
    </mdx>
    <mdx n="0" f="v">
      <t c="6">
        <n x="2" s="1"/>
        <n x="1" s="1"/>
        <n x="3" s="1"/>
        <n x="18"/>
        <n x="6"/>
        <n x="10"/>
      </t>
    </mdx>
    <mdx n="0" f="v">
      <t c="6">
        <n x="2" s="1"/>
        <n x="1" s="1"/>
        <n x="3" s="1"/>
        <n x="18"/>
        <n x="11"/>
        <n x="69"/>
      </t>
    </mdx>
    <mdx n="0" f="v">
      <t c="6">
        <n x="2" s="1"/>
        <n x="1" s="1"/>
        <n x="3" s="1"/>
        <n x="18"/>
        <n x="11"/>
        <n x="70"/>
      </t>
    </mdx>
    <mdx n="0" f="v">
      <t c="6">
        <n x="2" s="1"/>
        <n x="1" s="1"/>
        <n x="3" s="1"/>
        <n x="18"/>
        <n x="19"/>
        <n x="49"/>
      </t>
    </mdx>
    <mdx n="0" f="v">
      <t c="6">
        <n x="2" s="1"/>
        <n x="1" s="1"/>
        <n x="3" s="1"/>
        <n x="18"/>
        <n x="19"/>
        <n x="44"/>
      </t>
    </mdx>
    <mdx n="0" f="v">
      <t c="6">
        <n x="2" s="1"/>
        <n x="1" s="1"/>
        <n x="3" s="1"/>
        <n x="18"/>
        <n x="26"/>
        <n x="25"/>
      </t>
    </mdx>
    <mdx n="0" f="v">
      <t c="6">
        <n x="2" s="1"/>
        <n x="1" s="1"/>
        <n x="3" s="1"/>
        <n x="18"/>
        <n x="26"/>
        <n x="29"/>
      </t>
    </mdx>
    <mdx n="0" f="v">
      <t c="6">
        <n x="2" s="1"/>
        <n x="1" s="1"/>
        <n x="3" s="1"/>
        <n x="18"/>
        <n x="28"/>
        <n x="8"/>
      </t>
    </mdx>
    <mdx n="0" f="v">
      <t c="6">
        <n x="2" s="1"/>
        <n x="1" s="1"/>
        <n x="3" s="1"/>
        <n x="18"/>
        <n x="28"/>
        <n x="9"/>
      </t>
    </mdx>
    <mdx n="0" f="v">
      <t c="6">
        <n x="2" s="1"/>
        <n x="1" s="1"/>
        <n x="3" s="1"/>
        <n x="18"/>
        <n x="28"/>
        <n x="10"/>
      </t>
    </mdx>
    <mdx n="0" f="v">
      <t c="6">
        <n x="2" s="1"/>
        <n x="1" s="1"/>
        <n x="3" s="1"/>
        <n x="18"/>
        <n x="30"/>
        <n x="69"/>
      </t>
    </mdx>
    <mdx n="0" f="v">
      <t c="6">
        <n x="2" s="1"/>
        <n x="1" s="1"/>
        <n x="3" s="1"/>
        <n x="18"/>
        <n x="30"/>
        <n x="70"/>
      </t>
    </mdx>
    <mdx n="0" f="v">
      <t c="6">
        <n x="2" s="1"/>
        <n x="1" s="1"/>
        <n x="3" s="1"/>
        <n x="18"/>
        <n x="35"/>
        <n x="49"/>
      </t>
    </mdx>
    <mdx n="0" f="v">
      <t c="6">
        <n x="2" s="1"/>
        <n x="1" s="1"/>
        <n x="3" s="1"/>
        <n x="18"/>
        <n x="35"/>
        <n x="44"/>
      </t>
    </mdx>
    <mdx n="0" f="v">
      <t c="6">
        <n x="2" s="1"/>
        <n x="1" s="1"/>
        <n x="3" s="1"/>
        <n x="18"/>
        <n x="39"/>
        <n x="25"/>
      </t>
    </mdx>
    <mdx n="0" f="v">
      <t c="6">
        <n x="2" s="1"/>
        <n x="1" s="1"/>
        <n x="3" s="1"/>
        <n x="18"/>
        <n x="39"/>
        <n x="29"/>
      </t>
    </mdx>
    <mdx n="0" f="v">
      <t c="6">
        <n x="2" s="1"/>
        <n x="1" s="1"/>
        <n x="3" s="1"/>
        <n x="18"/>
        <n x="48"/>
        <n x="8"/>
      </t>
    </mdx>
    <mdx n="0" f="v">
      <t c="6">
        <n x="2" s="1"/>
        <n x="1" s="1"/>
        <n x="3" s="1"/>
        <n x="18"/>
        <n x="48"/>
        <n x="9"/>
      </t>
    </mdx>
    <mdx n="0" f="v">
      <t c="6">
        <n x="2" s="1"/>
        <n x="1" s="1"/>
        <n x="3" s="1"/>
        <n x="18"/>
        <n x="48"/>
        <n x="10"/>
      </t>
    </mdx>
    <mdx n="0" f="v">
      <t c="6">
        <n x="2" s="1"/>
        <n x="1" s="1"/>
        <n x="3" s="1"/>
        <n x="18"/>
        <n x="51"/>
        <n x="69"/>
      </t>
    </mdx>
    <mdx n="0" f="v">
      <t c="6">
        <n x="2" s="1"/>
        <n x="1" s="1"/>
        <n x="3" s="1"/>
        <n x="18"/>
        <n x="51"/>
        <n x="70"/>
      </t>
    </mdx>
    <mdx n="0" f="v">
      <t c="6">
        <n x="2" s="1"/>
        <n x="1" s="1"/>
        <n x="3" s="1"/>
        <n x="18"/>
        <n x="56"/>
        <n x="49"/>
      </t>
    </mdx>
    <mdx n="0" f="v">
      <t c="6">
        <n x="2" s="1"/>
        <n x="1" s="1"/>
        <n x="3" s="1"/>
        <n x="18"/>
        <n x="56"/>
        <n x="44"/>
      </t>
    </mdx>
    <mdx n="0" f="v">
      <t c="6">
        <n x="2" s="1"/>
        <n x="1" s="1"/>
        <n x="3" s="1"/>
        <n x="18"/>
        <n x="60"/>
        <n x="25"/>
      </t>
    </mdx>
    <mdx n="0" f="v">
      <t c="6">
        <n x="2" s="1"/>
        <n x="1" s="1"/>
        <n x="3" s="1"/>
        <n x="18"/>
        <n x="60"/>
        <n x="29"/>
      </t>
    </mdx>
    <mdx n="0" f="v">
      <t c="6">
        <n x="2" s="1"/>
        <n x="1" s="1"/>
        <n x="3" s="1"/>
        <n x="18"/>
        <n x="67"/>
        <n x="8"/>
      </t>
    </mdx>
    <mdx n="0" f="v">
      <t c="6">
        <n x="2" s="1"/>
        <n x="1" s="1"/>
        <n x="3" s="1"/>
        <n x="18"/>
        <n x="67"/>
        <n x="9"/>
      </t>
    </mdx>
    <mdx n="0" f="v">
      <t c="6">
        <n x="2" s="1"/>
        <n x="1" s="1"/>
        <n x="3" s="1"/>
        <n x="18"/>
        <n x="67"/>
        <n x="10"/>
      </t>
    </mdx>
    <mdx n="0" f="v">
      <t c="6">
        <n x="2" s="1"/>
        <n x="1" s="1"/>
        <n x="3" s="1"/>
        <n x="18"/>
        <n x="50"/>
        <n x="69"/>
      </t>
    </mdx>
    <mdx n="0" f="v">
      <t c="6">
        <n x="2" s="1"/>
        <n x="1" s="1"/>
        <n x="3" s="1"/>
        <n x="18"/>
        <n x="50"/>
        <n x="70"/>
      </t>
    </mdx>
    <mdx n="0" f="v">
      <t c="6">
        <n x="2" s="1"/>
        <n x="1" s="1"/>
        <n x="3" s="1"/>
        <n x="18"/>
        <n x="38"/>
        <n x="49"/>
      </t>
    </mdx>
    <mdx n="0" f="v">
      <t c="6">
        <n x="2" s="1"/>
        <n x="1" s="1"/>
        <n x="3" s="1"/>
        <n x="18"/>
        <n x="38"/>
        <n x="44"/>
      </t>
    </mdx>
    <mdx n="0" f="v">
      <t c="6">
        <n x="2" s="1"/>
        <n x="1" s="1"/>
        <n x="3" s="1"/>
        <n x="18"/>
        <n x="47"/>
        <n x="25"/>
      </t>
    </mdx>
    <mdx n="0" f="v">
      <t c="6">
        <n x="2" s="1"/>
        <n x="1" s="1"/>
        <n x="3" s="1"/>
        <n x="18"/>
        <n x="47"/>
        <n x="29"/>
      </t>
    </mdx>
    <mdx n="0" f="v">
      <t c="6">
        <n x="2" s="1"/>
        <n x="1" s="1"/>
        <n x="3" s="1"/>
        <n x="18"/>
        <n x="7"/>
        <n x="8"/>
      </t>
    </mdx>
    <mdx n="0" f="v">
      <t c="6">
        <n x="2" s="1"/>
        <n x="1" s="1"/>
        <n x="3" s="1"/>
        <n x="18"/>
        <n x="7"/>
        <n x="9"/>
      </t>
    </mdx>
    <mdx n="0" f="v">
      <t c="6">
        <n x="2" s="1"/>
        <n x="1" s="1"/>
        <n x="3" s="1"/>
        <n x="18"/>
        <n x="7"/>
        <n x="10"/>
      </t>
    </mdx>
    <mdx n="0" f="v">
      <t c="6">
        <n x="2" s="1"/>
        <n x="1" s="1"/>
        <n x="3" s="1"/>
        <n x="18"/>
        <n x="16"/>
        <n x="69"/>
      </t>
    </mdx>
    <mdx n="0" f="v">
      <t c="6">
        <n x="2" s="1"/>
        <n x="1" s="1"/>
        <n x="3" s="1"/>
        <n x="18"/>
        <n x="16"/>
        <n x="70"/>
      </t>
    </mdx>
    <mdx n="0" f="v">
      <t c="6">
        <n x="2" s="1"/>
        <n x="1" s="1"/>
        <n x="3" s="1"/>
        <n x="18"/>
        <n x="20"/>
        <n x="49"/>
      </t>
    </mdx>
    <mdx n="0" f="v">
      <t c="6">
        <n x="2" s="1"/>
        <n x="1" s="1"/>
        <n x="3" s="1"/>
        <n x="18"/>
        <n x="20"/>
        <n x="44"/>
      </t>
    </mdx>
    <mdx n="0" f="v">
      <t c="6">
        <n x="2" s="1"/>
        <n x="1" s="1"/>
        <n x="3" s="1"/>
        <n x="18"/>
        <n x="27"/>
        <n x="25"/>
      </t>
    </mdx>
    <mdx n="0" f="v">
      <t c="6">
        <n x="2" s="1"/>
        <n x="1" s="1"/>
        <n x="3" s="1"/>
        <n x="18"/>
        <n x="27"/>
        <n x="29"/>
      </t>
    </mdx>
    <mdx n="0" f="v">
      <t c="6">
        <n x="2" s="1"/>
        <n x="1" s="1"/>
        <n x="3" s="1"/>
        <n x="18"/>
        <n x="14"/>
        <n x="8"/>
      </t>
    </mdx>
    <mdx n="0" f="v">
      <t c="6">
        <n x="2" s="1"/>
        <n x="1" s="1"/>
        <n x="3" s="1"/>
        <n x="18"/>
        <n x="14"/>
        <n x="9"/>
      </t>
    </mdx>
    <mdx n="0" f="v">
      <t c="6">
        <n x="2" s="1"/>
        <n x="1" s="1"/>
        <n x="3" s="1"/>
        <n x="18"/>
        <n x="14"/>
        <n x="10"/>
      </t>
    </mdx>
    <mdx n="0" f="v">
      <t c="6">
        <n x="2" s="1"/>
        <n x="1" s="1"/>
        <n x="3" s="1"/>
        <n x="18"/>
        <n x="31"/>
        <n x="69"/>
      </t>
    </mdx>
    <mdx n="0" f="v">
      <t c="6">
        <n x="2" s="1"/>
        <n x="1" s="1"/>
        <n x="3" s="1"/>
        <n x="18"/>
        <n x="31"/>
        <n x="70"/>
      </t>
    </mdx>
    <mdx n="0" f="v">
      <t c="6">
        <n x="2" s="1"/>
        <n x="1" s="1"/>
        <n x="3" s="1"/>
        <n x="18"/>
        <n x="36"/>
        <n x="49"/>
      </t>
    </mdx>
    <mdx n="0" f="v">
      <t c="6">
        <n x="2" s="1"/>
        <n x="1" s="1"/>
        <n x="3" s="1"/>
        <n x="18"/>
        <n x="36"/>
        <n x="44"/>
      </t>
    </mdx>
    <mdx n="0" f="v">
      <t c="6">
        <n x="2" s="1"/>
        <n x="1" s="1"/>
        <n x="3" s="1"/>
        <n x="18"/>
        <n x="40"/>
        <n x="25"/>
      </t>
    </mdx>
    <mdx n="0" f="v">
      <t c="6">
        <n x="2" s="1"/>
        <n x="1" s="1"/>
        <n x="3" s="1"/>
        <n x="18"/>
        <n x="40"/>
        <n x="29"/>
      </t>
    </mdx>
    <mdx n="0" f="v">
      <t c="6">
        <n x="2" s="1"/>
        <n x="1" s="1"/>
        <n x="3" s="1"/>
        <n x="18"/>
        <n x="43"/>
        <n x="8"/>
      </t>
    </mdx>
    <mdx n="0" f="v">
      <t c="6">
        <n x="2" s="1"/>
        <n x="1" s="1"/>
        <n x="3" s="1"/>
        <n x="18"/>
        <n x="43"/>
        <n x="9"/>
      </t>
    </mdx>
    <mdx n="0" f="v">
      <t c="6">
        <n x="2" s="1"/>
        <n x="1" s="1"/>
        <n x="3" s="1"/>
        <n x="18"/>
        <n x="43"/>
        <n x="10"/>
      </t>
    </mdx>
    <mdx n="0" f="v">
      <t c="6">
        <n x="2" s="1"/>
        <n x="1" s="1"/>
        <n x="3" s="1"/>
        <n x="18"/>
        <n x="52"/>
        <n x="69"/>
      </t>
    </mdx>
    <mdx n="0" f="v">
      <t c="6">
        <n x="2" s="1"/>
        <n x="1" s="1"/>
        <n x="3" s="1"/>
        <n x="18"/>
        <n x="52"/>
        <n x="70"/>
      </t>
    </mdx>
    <mdx n="0" f="v">
      <t c="6">
        <n x="2" s="1"/>
        <n x="1" s="1"/>
        <n x="3" s="1"/>
        <n x="18"/>
        <n x="57"/>
        <n x="49"/>
      </t>
    </mdx>
    <mdx n="0" f="v">
      <t c="6">
        <n x="2" s="1"/>
        <n x="1" s="1"/>
        <n x="3" s="1"/>
        <n x="18"/>
        <n x="57"/>
        <n x="44"/>
      </t>
    </mdx>
    <mdx n="0" f="v">
      <t c="6">
        <n x="2" s="1"/>
        <n x="1" s="1"/>
        <n x="3" s="1"/>
        <n x="18"/>
        <n x="61"/>
        <n x="25"/>
      </t>
    </mdx>
    <mdx n="0" f="v">
      <t c="6">
        <n x="2" s="1"/>
        <n x="1" s="1"/>
        <n x="3" s="1"/>
        <n x="18"/>
        <n x="61"/>
        <n x="29"/>
      </t>
    </mdx>
    <mdx n="0" f="v">
      <t c="6">
        <n x="2" s="1"/>
        <n x="1" s="1"/>
        <n x="3" s="1"/>
        <n x="18"/>
        <n x="64"/>
        <n x="8"/>
      </t>
    </mdx>
    <mdx n="0" f="v">
      <t c="6">
        <n x="2" s="1"/>
        <n x="1" s="1"/>
        <n x="3" s="1"/>
        <n x="18"/>
        <n x="64"/>
        <n x="9"/>
      </t>
    </mdx>
    <mdx n="0" f="v">
      <t c="6">
        <n x="2" s="1"/>
        <n x="1" s="1"/>
        <n x="3" s="1"/>
        <n x="18"/>
        <n x="64"/>
        <n x="10"/>
      </t>
    </mdx>
    <mdx n="0" f="v">
      <t c="6">
        <n x="2" s="1"/>
        <n x="1" s="1"/>
        <n x="3" s="1"/>
        <n x="18"/>
        <n x="72" s="1"/>
        <n x="4"/>
      </t>
    </mdx>
    <mdx n="0" f="v">
      <t c="6">
        <n x="2" s="1"/>
        <n x="1" s="1"/>
        <n x="3" s="1"/>
        <n x="18"/>
        <n x="28"/>
        <n x="21"/>
      </t>
    </mdx>
    <mdx n="0" f="v">
      <t c="6">
        <n x="2" s="1"/>
        <n x="1" s="1"/>
        <n x="3" s="1"/>
        <n x="18"/>
        <n x="30"/>
        <n x="4"/>
      </t>
    </mdx>
    <mdx n="0" f="v">
      <t c="6">
        <n x="2" s="1"/>
        <n x="1" s="1"/>
        <n x="3" s="1"/>
        <n x="18"/>
        <n x="39"/>
        <n x="34"/>
      </t>
    </mdx>
    <mdx n="0" f="v">
      <t c="6">
        <n x="2" s="1"/>
        <n x="1" s="1"/>
        <n x="3" s="1"/>
        <n x="18"/>
        <n x="51"/>
        <n x="73" s="1"/>
      </t>
    </mdx>
    <mdx n="0" f="v">
      <t c="6">
        <n x="2" s="1"/>
        <n x="1" s="1"/>
        <n x="3" s="1"/>
        <n x="18"/>
        <n x="51"/>
        <n x="4"/>
      </t>
    </mdx>
    <mdx n="0" f="v">
      <t c="6">
        <n x="2" s="1"/>
        <n x="1" s="1"/>
        <n x="3" s="1"/>
        <n x="18"/>
        <n x="67"/>
        <n x="21"/>
      </t>
    </mdx>
    <mdx n="0" f="v">
      <t c="6">
        <n x="2" s="1"/>
        <n x="1" s="1"/>
        <n x="3" s="1"/>
        <n x="18"/>
        <n x="50"/>
        <n x="73" s="1"/>
      </t>
    </mdx>
    <mdx n="0" f="v">
      <t c="6">
        <n x="2" s="1"/>
        <n x="1" s="1"/>
        <n x="3" s="1"/>
        <n x="18"/>
        <n x="38"/>
        <n x="58"/>
      </t>
    </mdx>
    <mdx n="0" f="v">
      <t c="6">
        <n x="2" s="1"/>
        <n x="1" s="1"/>
        <n x="3" s="1"/>
        <n x="18"/>
        <n x="47"/>
        <n x="34"/>
      </t>
    </mdx>
    <mdx n="0" f="v">
      <t c="6">
        <n x="2" s="1"/>
        <n x="1" s="1"/>
        <n x="3" s="1"/>
        <n x="18"/>
        <n x="7"/>
        <n x="21"/>
      </t>
    </mdx>
    <mdx n="0" f="v">
      <t c="6">
        <n x="2" s="1"/>
        <n x="1" s="1"/>
        <n x="3" s="1"/>
        <n x="18"/>
        <n x="20"/>
        <n x="58"/>
      </t>
    </mdx>
    <mdx n="0" f="v">
      <t c="6">
        <n x="2" s="1"/>
        <n x="1" s="1"/>
        <n x="3" s="1"/>
        <n x="18"/>
        <n x="14"/>
        <n x="22"/>
      </t>
    </mdx>
    <mdx n="0" f="v">
      <t c="6">
        <n x="2" s="1"/>
        <n x="1" s="1"/>
        <n x="3" s="1"/>
        <n x="18"/>
        <n x="36"/>
        <n x="58"/>
      </t>
    </mdx>
    <mdx n="0" f="v">
      <t c="6">
        <n x="2" s="1"/>
        <n x="1" s="1"/>
        <n x="3" s="1"/>
        <n x="18"/>
        <n x="43"/>
        <n x="22"/>
      </t>
    </mdx>
    <mdx n="0" f="v">
      <t c="6">
        <n x="2" s="1"/>
        <n x="1" s="1"/>
        <n x="3" s="1"/>
        <n x="18"/>
        <n x="61"/>
        <n x="34"/>
      </t>
    </mdx>
    <mdx n="0" f="v">
      <t c="6">
        <n x="2" s="1"/>
        <n x="1" s="1"/>
        <n x="3" s="1"/>
        <n x="18"/>
        <n x="72" s="1"/>
        <n x="15"/>
      </t>
    </mdx>
    <mdx n="0" f="v">
      <t c="6">
        <n x="2" s="1"/>
        <n x="1" s="1"/>
        <n x="3" s="1"/>
        <n x="18"/>
        <n x="19"/>
        <n x="63"/>
      </t>
    </mdx>
    <mdx n="0" f="v">
      <t c="6">
        <n x="2" s="1"/>
        <n x="1" s="1"/>
        <n x="3" s="1"/>
        <n x="18"/>
        <n x="39"/>
        <n x="42"/>
      </t>
    </mdx>
    <mdx n="0" f="v">
      <t c="6">
        <n x="2" s="1"/>
        <n x="1" s="1"/>
        <n x="3" s="1"/>
        <n x="18"/>
        <n x="47"/>
        <n x="42"/>
      </t>
    </mdx>
    <mdx n="0" f="v">
      <t c="6">
        <n x="2" s="1"/>
        <n x="1" s="1"/>
        <n x="3" s="1"/>
        <n x="18"/>
        <n x="36"/>
        <n x="62"/>
      </t>
    </mdx>
    <mdx n="0" f="v">
      <t c="6">
        <n x="2" s="1"/>
        <n x="1" s="1"/>
        <n x="3" s="1"/>
        <n x="18"/>
        <n x="72" s="1"/>
        <n x="10"/>
      </t>
    </mdx>
    <mdx n="0" f="v">
      <t c="6">
        <n x="2" s="1"/>
        <n x="1" s="1"/>
        <n x="3" s="1"/>
        <n x="18"/>
        <n x="30"/>
        <n x="10"/>
      </t>
    </mdx>
    <mdx n="0" f="v">
      <t c="6">
        <n x="2" s="1"/>
        <n x="1" s="1"/>
        <n x="3" s="1"/>
        <n x="18"/>
        <n x="38"/>
        <n x="70"/>
      </t>
    </mdx>
    <mdx n="0" f="v">
      <t c="6">
        <n x="2" s="1"/>
        <n x="1" s="1"/>
        <n x="3" s="1"/>
        <n x="18"/>
        <n x="40"/>
        <n x="49"/>
      </t>
    </mdx>
    <mdx n="0" f="v">
      <t c="6">
        <n x="2" s="1"/>
        <n x="1" s="1"/>
        <n x="3" s="1"/>
        <n x="18"/>
        <n x="72" s="1"/>
        <n x="45"/>
      </t>
    </mdx>
    <mdx n="0" f="v">
      <t c="6">
        <n x="2" s="1"/>
        <n x="1" s="1"/>
        <n x="3" s="1"/>
        <n x="18"/>
        <n x="72" s="1"/>
        <n x="55"/>
      </t>
    </mdx>
    <mdx n="0" f="v">
      <t c="6">
        <n x="2" s="1"/>
        <n x="1" s="1"/>
        <n x="3" s="1"/>
        <n x="18"/>
        <n x="65"/>
        <n x="53"/>
      </t>
    </mdx>
    <mdx n="0" f="v">
      <t c="6">
        <n x="2" s="1"/>
        <n x="1" s="1"/>
        <n x="3" s="1"/>
        <n x="18"/>
        <n x="65"/>
        <n x="54"/>
      </t>
    </mdx>
    <mdx n="0" f="v">
      <t c="6">
        <n x="2" s="1"/>
        <n x="1" s="1"/>
        <n x="3" s="1"/>
        <n x="18"/>
        <n x="5"/>
        <n x="32"/>
      </t>
    </mdx>
    <mdx n="0" f="v">
      <t c="6">
        <n x="2" s="1"/>
        <n x="1" s="1"/>
        <n x="3" s="1"/>
        <n x="18"/>
        <n x="5"/>
        <n x="33"/>
      </t>
    </mdx>
    <mdx n="0" f="v">
      <t c="6">
        <n x="2" s="1"/>
        <n x="1" s="1"/>
        <n x="3" s="1"/>
        <n x="18"/>
        <n x="6"/>
        <n x="12"/>
      </t>
    </mdx>
    <mdx n="0" f="v">
      <t c="6">
        <n x="2" s="1"/>
        <n x="1" s="1"/>
        <n x="3" s="1"/>
        <n x="18"/>
        <n x="6"/>
        <n x="17"/>
      </t>
    </mdx>
    <mdx n="0" f="v">
      <t c="6">
        <n x="2" s="1"/>
        <n x="1" s="1"/>
        <n x="3" s="1"/>
        <n x="18"/>
        <n x="6"/>
        <n x="13"/>
      </t>
    </mdx>
    <mdx n="0" f="v">
      <t c="6">
        <n x="2" s="1"/>
        <n x="1" s="1"/>
        <n x="3" s="1"/>
        <n x="18"/>
        <n x="11"/>
        <n x="45"/>
      </t>
    </mdx>
    <mdx n="0" f="v">
      <t c="6">
        <n x="2" s="1"/>
        <n x="1" s="1"/>
        <n x="3" s="1"/>
        <n x="18"/>
        <n x="11"/>
        <n x="55"/>
      </t>
    </mdx>
    <mdx n="0" f="v">
      <t c="6">
        <n x="2" s="1"/>
        <n x="1" s="1"/>
        <n x="3" s="1"/>
        <n x="18"/>
        <n x="19"/>
        <n x="53"/>
      </t>
    </mdx>
    <mdx n="0" f="v">
      <t c="6">
        <n x="2" s="1"/>
        <n x="1" s="1"/>
        <n x="3" s="1"/>
        <n x="18"/>
        <n x="19"/>
        <n x="54"/>
      </t>
    </mdx>
    <mdx n="0" f="v">
      <t c="6">
        <n x="2" s="1"/>
        <n x="1" s="1"/>
        <n x="3" s="1"/>
        <n x="18"/>
        <n x="26"/>
        <n x="32"/>
      </t>
    </mdx>
    <mdx n="0" f="v">
      <t c="6">
        <n x="2" s="1"/>
        <n x="1" s="1"/>
        <n x="3" s="1"/>
        <n x="18"/>
        <n x="26"/>
        <n x="33"/>
      </t>
    </mdx>
    <mdx n="0" f="v">
      <t c="6">
        <n x="2" s="1"/>
        <n x="1" s="1"/>
        <n x="3" s="1"/>
        <n x="18"/>
        <n x="28"/>
        <n x="12"/>
      </t>
    </mdx>
    <mdx n="0" f="v">
      <t c="6">
        <n x="2" s="1"/>
        <n x="1" s="1"/>
        <n x="3" s="1"/>
        <n x="18"/>
        <n x="28"/>
        <n x="17"/>
      </t>
    </mdx>
    <mdx n="0" f="v">
      <t c="6">
        <n x="2" s="1"/>
        <n x="1" s="1"/>
        <n x="3" s="1"/>
        <n x="18"/>
        <n x="28"/>
        <n x="13"/>
      </t>
    </mdx>
    <mdx n="0" f="v">
      <t c="6">
        <n x="2" s="1"/>
        <n x="1" s="1"/>
        <n x="3" s="1"/>
        <n x="18"/>
        <n x="30"/>
        <n x="45"/>
      </t>
    </mdx>
    <mdx n="0" f="v">
      <t c="6">
        <n x="2" s="1"/>
        <n x="1" s="1"/>
        <n x="3" s="1"/>
        <n x="18"/>
        <n x="30"/>
        <n x="55"/>
      </t>
    </mdx>
    <mdx n="0" f="v">
      <t c="6">
        <n x="2" s="1"/>
        <n x="1" s="1"/>
        <n x="3" s="1"/>
        <n x="18"/>
        <n x="35"/>
        <n x="53"/>
      </t>
    </mdx>
    <mdx n="0" f="v">
      <t c="6">
        <n x="2" s="1"/>
        <n x="1" s="1"/>
        <n x="3" s="1"/>
        <n x="18"/>
        <n x="35"/>
        <n x="54"/>
      </t>
    </mdx>
    <mdx n="0" f="v">
      <t c="6">
        <n x="2" s="1"/>
        <n x="1" s="1"/>
        <n x="3" s="1"/>
        <n x="18"/>
        <n x="39"/>
        <n x="32"/>
      </t>
    </mdx>
    <mdx n="0" f="v">
      <t c="6">
        <n x="2" s="1"/>
        <n x="1" s="1"/>
        <n x="3" s="1"/>
        <n x="18"/>
        <n x="39"/>
        <n x="33"/>
      </t>
    </mdx>
    <mdx n="0" f="v">
      <t c="6">
        <n x="2" s="1"/>
        <n x="1" s="1"/>
        <n x="3" s="1"/>
        <n x="18"/>
        <n x="48"/>
        <n x="12"/>
      </t>
    </mdx>
    <mdx n="0" f="v">
      <t c="6">
        <n x="2" s="1"/>
        <n x="1" s="1"/>
        <n x="3" s="1"/>
        <n x="18"/>
        <n x="48"/>
        <n x="17"/>
      </t>
    </mdx>
    <mdx n="0" f="v">
      <t c="6">
        <n x="2" s="1"/>
        <n x="1" s="1"/>
        <n x="3" s="1"/>
        <n x="18"/>
        <n x="48"/>
        <n x="13"/>
      </t>
    </mdx>
    <mdx n="0" f="v">
      <t c="6">
        <n x="2" s="1"/>
        <n x="1" s="1"/>
        <n x="3" s="1"/>
        <n x="18"/>
        <n x="51"/>
        <n x="45"/>
      </t>
    </mdx>
    <mdx n="0" f="v">
      <t c="6">
        <n x="2" s="1"/>
        <n x="1" s="1"/>
        <n x="3" s="1"/>
        <n x="18"/>
        <n x="51"/>
        <n x="55"/>
      </t>
    </mdx>
    <mdx n="0" f="v">
      <t c="6">
        <n x="2" s="1"/>
        <n x="1" s="1"/>
        <n x="3" s="1"/>
        <n x="18"/>
        <n x="56"/>
        <n x="53"/>
      </t>
    </mdx>
    <mdx n="0" f="v">
      <t c="6">
        <n x="2" s="1"/>
        <n x="1" s="1"/>
        <n x="3" s="1"/>
        <n x="18"/>
        <n x="56"/>
        <n x="54"/>
      </t>
    </mdx>
    <mdx n="0" f="v">
      <t c="6">
        <n x="2" s="1"/>
        <n x="1" s="1"/>
        <n x="3" s="1"/>
        <n x="18"/>
        <n x="60"/>
        <n x="32"/>
      </t>
    </mdx>
    <mdx n="0" f="v">
      <t c="6">
        <n x="2" s="1"/>
        <n x="1" s="1"/>
        <n x="3" s="1"/>
        <n x="18"/>
        <n x="60"/>
        <n x="33"/>
      </t>
    </mdx>
    <mdx n="0" f="v">
      <t c="6">
        <n x="2" s="1"/>
        <n x="1" s="1"/>
        <n x="3" s="1"/>
        <n x="18"/>
        <n x="67"/>
        <n x="12"/>
      </t>
    </mdx>
    <mdx n="0" f="v">
      <t c="6">
        <n x="2" s="1"/>
        <n x="1" s="1"/>
        <n x="3" s="1"/>
        <n x="18"/>
        <n x="67"/>
        <n x="17"/>
      </t>
    </mdx>
    <mdx n="0" f="v">
      <t c="6">
        <n x="2" s="1"/>
        <n x="1" s="1"/>
        <n x="3" s="1"/>
        <n x="18"/>
        <n x="67"/>
        <n x="13"/>
      </t>
    </mdx>
    <mdx n="0" f="v">
      <t c="6">
        <n x="2" s="1"/>
        <n x="1" s="1"/>
        <n x="3" s="1"/>
        <n x="18"/>
        <n x="50"/>
        <n x="45"/>
      </t>
    </mdx>
    <mdx n="0" f="v">
      <t c="6">
        <n x="2" s="1"/>
        <n x="1" s="1"/>
        <n x="3" s="1"/>
        <n x="18"/>
        <n x="50"/>
        <n x="55"/>
      </t>
    </mdx>
    <mdx n="0" f="v">
      <t c="6">
        <n x="2" s="1"/>
        <n x="1" s="1"/>
        <n x="3" s="1"/>
        <n x="18"/>
        <n x="38"/>
        <n x="53"/>
      </t>
    </mdx>
    <mdx n="0" f="v">
      <t c="6">
        <n x="2" s="1"/>
        <n x="1" s="1"/>
        <n x="3" s="1"/>
        <n x="18"/>
        <n x="38"/>
        <n x="54"/>
      </t>
    </mdx>
    <mdx n="0" f="v">
      <t c="6">
        <n x="2" s="1"/>
        <n x="1" s="1"/>
        <n x="3" s="1"/>
        <n x="18"/>
        <n x="47"/>
        <n x="32"/>
      </t>
    </mdx>
    <mdx n="0" f="v">
      <t c="6">
        <n x="2" s="1"/>
        <n x="1" s="1"/>
        <n x="3" s="1"/>
        <n x="18"/>
        <n x="47"/>
        <n x="33"/>
      </t>
    </mdx>
    <mdx n="0" f="v">
      <t c="6">
        <n x="2" s="1"/>
        <n x="1" s="1"/>
        <n x="3" s="1"/>
        <n x="18"/>
        <n x="7"/>
        <n x="12"/>
      </t>
    </mdx>
    <mdx n="0" f="v">
      <t c="6">
        <n x="2" s="1"/>
        <n x="1" s="1"/>
        <n x="3" s="1"/>
        <n x="18"/>
        <n x="7"/>
        <n x="17"/>
      </t>
    </mdx>
    <mdx n="0" f="v">
      <t c="6">
        <n x="2" s="1"/>
        <n x="1" s="1"/>
        <n x="3" s="1"/>
        <n x="18"/>
        <n x="7"/>
        <n x="13"/>
      </t>
    </mdx>
    <mdx n="0" f="v">
      <t c="6">
        <n x="2" s="1"/>
        <n x="1" s="1"/>
        <n x="3" s="1"/>
        <n x="18"/>
        <n x="16"/>
        <n x="45"/>
      </t>
    </mdx>
    <mdx n="0" f="v">
      <t c="6">
        <n x="2" s="1"/>
        <n x="1" s="1"/>
        <n x="3" s="1"/>
        <n x="18"/>
        <n x="16"/>
        <n x="55"/>
      </t>
    </mdx>
    <mdx n="0" f="v">
      <t c="6">
        <n x="2" s="1"/>
        <n x="1" s="1"/>
        <n x="3" s="1"/>
        <n x="18"/>
        <n x="20"/>
        <n x="53"/>
      </t>
    </mdx>
    <mdx n="0" f="v">
      <t c="6">
        <n x="2" s="1"/>
        <n x="1" s="1"/>
        <n x="3" s="1"/>
        <n x="18"/>
        <n x="20"/>
        <n x="54"/>
      </t>
    </mdx>
    <mdx n="0" f="v">
      <t c="6">
        <n x="2" s="1"/>
        <n x="1" s="1"/>
        <n x="3" s="1"/>
        <n x="18"/>
        <n x="27"/>
        <n x="32"/>
      </t>
    </mdx>
    <mdx n="0" f="v">
      <t c="6">
        <n x="2" s="1"/>
        <n x="1" s="1"/>
        <n x="3" s="1"/>
        <n x="18"/>
        <n x="27"/>
        <n x="33"/>
      </t>
    </mdx>
    <mdx n="0" f="v">
      <t c="6">
        <n x="2" s="1"/>
        <n x="1" s="1"/>
        <n x="3" s="1"/>
        <n x="18"/>
        <n x="14"/>
        <n x="12"/>
      </t>
    </mdx>
    <mdx n="0" f="v">
      <t c="6">
        <n x="2" s="1"/>
        <n x="1" s="1"/>
        <n x="3" s="1"/>
        <n x="18"/>
        <n x="14"/>
        <n x="17"/>
      </t>
    </mdx>
    <mdx n="0" f="v">
      <t c="6">
        <n x="2" s="1"/>
        <n x="1" s="1"/>
        <n x="3" s="1"/>
        <n x="18"/>
        <n x="14"/>
        <n x="13"/>
      </t>
    </mdx>
    <mdx n="0" f="v">
      <t c="6">
        <n x="2" s="1"/>
        <n x="1" s="1"/>
        <n x="3" s="1"/>
        <n x="18"/>
        <n x="31"/>
        <n x="45"/>
      </t>
    </mdx>
    <mdx n="0" f="v">
      <t c="6">
        <n x="2" s="1"/>
        <n x="1" s="1"/>
        <n x="3" s="1"/>
        <n x="18"/>
        <n x="31"/>
        <n x="55"/>
      </t>
    </mdx>
    <mdx n="0" f="v">
      <t c="6">
        <n x="2" s="1"/>
        <n x="1" s="1"/>
        <n x="3" s="1"/>
        <n x="18"/>
        <n x="36"/>
        <n x="53"/>
      </t>
    </mdx>
    <mdx n="0" f="v">
      <t c="6">
        <n x="2" s="1"/>
        <n x="1" s="1"/>
        <n x="3" s="1"/>
        <n x="18"/>
        <n x="36"/>
        <n x="54"/>
      </t>
    </mdx>
    <mdx n="0" f="v">
      <t c="6">
        <n x="2" s="1"/>
        <n x="1" s="1"/>
        <n x="3" s="1"/>
        <n x="18"/>
        <n x="40"/>
        <n x="32"/>
      </t>
    </mdx>
    <mdx n="0" f="v">
      <t c="6">
        <n x="2" s="1"/>
        <n x="1" s="1"/>
        <n x="3" s="1"/>
        <n x="18"/>
        <n x="40"/>
        <n x="33"/>
      </t>
    </mdx>
    <mdx n="0" f="v">
      <t c="6">
        <n x="2" s="1"/>
        <n x="1" s="1"/>
        <n x="3" s="1"/>
        <n x="18"/>
        <n x="43"/>
        <n x="12"/>
      </t>
    </mdx>
    <mdx n="0" f="v">
      <t c="6">
        <n x="2" s="1"/>
        <n x="1" s="1"/>
        <n x="3" s="1"/>
        <n x="18"/>
        <n x="43"/>
        <n x="17"/>
      </t>
    </mdx>
    <mdx n="0" f="v">
      <t c="6">
        <n x="2" s="1"/>
        <n x="1" s="1"/>
        <n x="3" s="1"/>
        <n x="18"/>
        <n x="43"/>
        <n x="13"/>
      </t>
    </mdx>
    <mdx n="0" f="v">
      <t c="6">
        <n x="2" s="1"/>
        <n x="1" s="1"/>
        <n x="3" s="1"/>
        <n x="18"/>
        <n x="52"/>
        <n x="45"/>
      </t>
    </mdx>
    <mdx n="0" f="v">
      <t c="6">
        <n x="2" s="1"/>
        <n x="1" s="1"/>
        <n x="3" s="1"/>
        <n x="18"/>
        <n x="52"/>
        <n x="55"/>
      </t>
    </mdx>
    <mdx n="0" f="v">
      <t c="6">
        <n x="2" s="1"/>
        <n x="1" s="1"/>
        <n x="3" s="1"/>
        <n x="18"/>
        <n x="57"/>
        <n x="53"/>
      </t>
    </mdx>
    <mdx n="0" f="v">
      <t c="6">
        <n x="2" s="1"/>
        <n x="1" s="1"/>
        <n x="3" s="1"/>
        <n x="18"/>
        <n x="57"/>
        <n x="54"/>
      </t>
    </mdx>
    <mdx n="0" f="v">
      <t c="6">
        <n x="2" s="1"/>
        <n x="1" s="1"/>
        <n x="3" s="1"/>
        <n x="18"/>
        <n x="61"/>
        <n x="32"/>
      </t>
    </mdx>
    <mdx n="0" f="v">
      <t c="6">
        <n x="2" s="1"/>
        <n x="1" s="1"/>
        <n x="3" s="1"/>
        <n x="18"/>
        <n x="61"/>
        <n x="33"/>
      </t>
    </mdx>
    <mdx n="0" f="v">
      <t c="6">
        <n x="2" s="1"/>
        <n x="1" s="1"/>
        <n x="3" s="1"/>
        <n x="18"/>
        <n x="64"/>
        <n x="12"/>
      </t>
    </mdx>
    <mdx n="0" f="v">
      <t c="6">
        <n x="2" s="1"/>
        <n x="1" s="1"/>
        <n x="3" s="1"/>
        <n x="18"/>
        <n x="64"/>
        <n x="17"/>
      </t>
    </mdx>
    <mdx n="0" f="v">
      <t c="6">
        <n x="2" s="1"/>
        <n x="1" s="1"/>
        <n x="3" s="1"/>
        <n x="18"/>
        <n x="64"/>
        <n x="13"/>
      </t>
    </mdx>
    <mdx n="0" f="v">
      <t c="6">
        <n x="2" s="1"/>
        <n x="1" s="1"/>
        <n x="3" s="1"/>
        <n x="18"/>
        <n x="72" s="1"/>
        <n x="46"/>
      </t>
    </mdx>
    <mdx n="0" f="v">
      <t c="6">
        <n x="2" s="1"/>
        <n x="1" s="1"/>
        <n x="3" s="1"/>
        <n x="18"/>
        <n x="30"/>
        <n x="73" s="1"/>
      </t>
    </mdx>
    <mdx n="0" f="v">
      <t c="6">
        <n x="2" s="1"/>
        <n x="1" s="1"/>
        <n x="3" s="1"/>
        <n x="18"/>
        <n x="48"/>
        <n x="22"/>
      </t>
    </mdx>
    <mdx n="0" f="v">
      <t c="6">
        <n x="2" s="1"/>
        <n x="1" s="1"/>
        <n x="3" s="1"/>
        <n x="18"/>
        <n x="60"/>
        <n x="37"/>
      </t>
    </mdx>
    <mdx n="0" f="v">
      <t c="6">
        <n x="2" s="1"/>
        <n x="1" s="1"/>
        <n x="3" s="1"/>
        <n x="18"/>
        <n x="50"/>
        <n x="46"/>
      </t>
    </mdx>
    <mdx n="0" f="v">
      <t c="6">
        <n x="2" s="1"/>
        <n x="1" s="1"/>
        <n x="3" s="1"/>
        <n x="18"/>
        <n x="47"/>
        <n x="37"/>
      </t>
    </mdx>
    <mdx n="0" f="v">
      <t c="6">
        <n x="2" s="1"/>
        <n x="1" s="1"/>
        <n x="3" s="1"/>
        <n x="18"/>
        <n x="16"/>
        <n x="73" s="1"/>
      </t>
    </mdx>
    <mdx n="0" f="v">
      <t c="6">
        <n x="2" s="1"/>
        <n x="1" s="1"/>
        <n x="3" s="1"/>
        <n x="18"/>
        <n x="14"/>
        <n x="21"/>
      </t>
    </mdx>
    <mdx n="0" f="v">
      <t c="6">
        <n x="2" s="1"/>
        <n x="1" s="1"/>
        <n x="3" s="1"/>
        <n x="18"/>
        <n x="36"/>
        <n x="59"/>
      </t>
    </mdx>
    <mdx n="0" f="v">
      <t c="6">
        <n x="2" s="1"/>
        <n x="1" s="1"/>
        <n x="3" s="1"/>
        <n x="18"/>
        <n x="52"/>
        <n x="4"/>
      </t>
    </mdx>
    <mdx n="0" f="v">
      <t c="6">
        <n x="2" s="1"/>
        <n x="1" s="1"/>
        <n x="3" s="1"/>
        <n x="18"/>
        <n x="64"/>
        <n x="22"/>
      </t>
    </mdx>
    <mdx n="0" f="v">
      <t c="6">
        <n x="2" s="1"/>
        <n x="1" s="1"/>
        <n x="3" s="1"/>
        <n x="18"/>
        <n x="72" s="1"/>
        <n x="66"/>
      </t>
    </mdx>
    <mdx n="0" f="v">
      <t c="6">
        <n x="2" s="1"/>
        <n x="1" s="1"/>
        <n x="3" s="1"/>
        <n x="18"/>
        <n x="11"/>
        <n x="66"/>
      </t>
    </mdx>
    <mdx n="0" f="v">
      <t c="6">
        <n x="2" s="1"/>
        <n x="1" s="1"/>
        <n x="3" s="1"/>
        <n x="18"/>
        <n x="26"/>
        <n x="41"/>
      </t>
    </mdx>
    <mdx n="0" f="v">
      <t c="6">
        <n x="2" s="1"/>
        <n x="1" s="1"/>
        <n x="3" s="1"/>
        <n x="18"/>
        <n x="35"/>
        <n x="62"/>
      </t>
    </mdx>
    <mdx n="0" f="v">
      <t c="6">
        <n x="2" s="1"/>
        <n x="1" s="1"/>
        <n x="3" s="1"/>
        <n x="18"/>
        <n x="51"/>
        <n x="66"/>
      </t>
    </mdx>
    <mdx n="0" f="v">
      <t c="6">
        <n x="2" s="1"/>
        <n x="1" s="1"/>
        <n x="3" s="1"/>
        <n x="18"/>
        <n x="60"/>
        <n x="42"/>
      </t>
    </mdx>
    <mdx n="0" f="v">
      <t c="6">
        <n x="2" s="1"/>
        <n x="1" s="1"/>
        <n x="3" s="1"/>
        <n x="18"/>
        <n x="50"/>
        <n x="66"/>
      </t>
    </mdx>
    <mdx n="0" f="v">
      <t c="6">
        <n x="2" s="1"/>
        <n x="1" s="1"/>
        <n x="3" s="1"/>
        <n x="18"/>
        <n x="47"/>
        <n x="41"/>
      </t>
    </mdx>
    <mdx n="0" f="v">
      <t c="6">
        <n x="2" s="1"/>
        <n x="1" s="1"/>
        <n x="3" s="1"/>
        <n x="18"/>
        <n x="16"/>
        <n x="71"/>
      </t>
    </mdx>
    <mdx n="0" f="v">
      <t c="6">
        <n x="2" s="1"/>
        <n x="1" s="1"/>
        <n x="3" s="1"/>
        <n x="18"/>
        <n x="14"/>
        <n x="23"/>
      </t>
    </mdx>
    <mdx n="0" f="v">
      <t c="6">
        <n x="2" s="1"/>
        <n x="1" s="1"/>
        <n x="3" s="1"/>
        <n x="18"/>
        <n x="40"/>
        <n x="41"/>
      </t>
    </mdx>
    <mdx n="0" f="v">
      <t c="6">
        <n x="2" s="1"/>
        <n x="1" s="1"/>
        <n x="3" s="1"/>
        <n x="18"/>
        <n x="57"/>
        <n x="62"/>
      </t>
    </mdx>
    <mdx n="0" f="v">
      <t c="6">
        <n x="2" s="1"/>
        <n x="1" s="1"/>
        <n x="3" s="1"/>
        <n x="18"/>
        <n x="6"/>
        <n x="25"/>
      </t>
    </mdx>
    <mdx n="0" f="v">
      <t c="6">
        <n x="2" s="1"/>
        <n x="1" s="1"/>
        <n x="3" s="1"/>
        <n x="18"/>
        <n x="28"/>
        <n x="25"/>
      </t>
    </mdx>
    <mdx n="0" f="v">
      <t c="6">
        <n x="2" s="1"/>
        <n x="1" s="1"/>
        <n x="3" s="1"/>
        <n x="18"/>
        <n x="51"/>
        <n x="9"/>
      </t>
    </mdx>
    <mdx n="0" f="v">
      <t c="6">
        <n x="2" s="1"/>
        <n x="1" s="1"/>
        <n x="3" s="1"/>
        <n x="18"/>
        <n x="67"/>
        <n x="29"/>
      </t>
    </mdx>
    <mdx n="0" f="v">
      <t c="6">
        <n x="2" s="1"/>
        <n x="1" s="1"/>
        <n x="3" s="1"/>
        <n x="18"/>
        <n x="16"/>
        <n x="9"/>
      </t>
    </mdx>
    <mdx n="0" f="v">
      <t c="6">
        <n x="2" s="1"/>
        <n x="1" s="1"/>
        <n x="3" s="1"/>
        <n x="18"/>
        <n x="14"/>
        <n x="29"/>
      </t>
    </mdx>
    <mdx n="0" f="v">
      <t c="6">
        <n x="2" s="1"/>
        <n x="1" s="1"/>
        <n x="3" s="1"/>
        <n x="18"/>
        <n x="43"/>
        <n x="29"/>
      </t>
    </mdx>
    <mdx n="0" f="v">
      <t c="6">
        <n x="2" s="1"/>
        <n x="1" s="1"/>
        <n x="3" s="1"/>
        <n x="18"/>
        <n x="61"/>
        <n x="44"/>
      </t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22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  <bk>
      <rc t="1" v="324"/>
    </bk>
    <bk>
      <rc t="1" v="325"/>
    </bk>
    <bk>
      <rc t="1" v="326"/>
    </bk>
    <bk>
      <rc t="1" v="327"/>
    </bk>
    <bk>
      <rc t="1" v="328"/>
    </bk>
    <bk>
      <rc t="1" v="329"/>
    </bk>
    <bk>
      <rc t="1" v="330"/>
    </bk>
    <bk>
      <rc t="1" v="331"/>
    </bk>
    <bk>
      <rc t="1" v="332"/>
    </bk>
    <bk>
      <rc t="1" v="333"/>
    </bk>
    <bk>
      <rc t="1" v="334"/>
    </bk>
    <bk>
      <rc t="1" v="335"/>
    </bk>
    <bk>
      <rc t="1" v="336"/>
    </bk>
    <bk>
      <rc t="1" v="337"/>
    </bk>
    <bk>
      <rc t="1" v="338"/>
    </bk>
    <bk>
      <rc t="1" v="339"/>
    </bk>
    <bk>
      <rc t="1" v="340"/>
    </bk>
    <bk>
      <rc t="1" v="341"/>
    </bk>
    <bk>
      <rc t="1" v="342"/>
    </bk>
    <bk>
      <rc t="1" v="343"/>
    </bk>
    <bk>
      <rc t="1" v="344"/>
    </bk>
    <bk>
      <rc t="1" v="345"/>
    </bk>
    <bk>
      <rc t="1" v="346"/>
    </bk>
    <bk>
      <rc t="1" v="347"/>
    </bk>
    <bk>
      <rc t="1" v="348"/>
    </bk>
    <bk>
      <rc t="1" v="349"/>
    </bk>
    <bk>
      <rc t="1" v="350"/>
    </bk>
    <bk>
      <rc t="1" v="351"/>
    </bk>
    <bk>
      <rc t="1" v="352"/>
    </bk>
    <bk>
      <rc t="1" v="353"/>
    </bk>
    <bk>
      <rc t="1" v="354"/>
    </bk>
    <bk>
      <rc t="1" v="355"/>
    </bk>
    <bk>
      <rc t="1" v="356"/>
    </bk>
    <bk>
      <rc t="1" v="357"/>
    </bk>
    <bk>
      <rc t="1" v="358"/>
    </bk>
    <bk>
      <rc t="1" v="359"/>
    </bk>
    <bk>
      <rc t="1" v="360"/>
    </bk>
    <bk>
      <rc t="1" v="361"/>
    </bk>
    <bk>
      <rc t="1" v="362"/>
    </bk>
    <bk>
      <rc t="1" v="363"/>
    </bk>
    <bk>
      <rc t="1" v="364"/>
    </bk>
    <bk>
      <rc t="1" v="365"/>
    </bk>
    <bk>
      <rc t="1" v="366"/>
    </bk>
    <bk>
      <rc t="1" v="367"/>
    </bk>
    <bk>
      <rc t="1" v="368"/>
    </bk>
    <bk>
      <rc t="1" v="369"/>
    </bk>
    <bk>
      <rc t="1" v="370"/>
    </bk>
    <bk>
      <rc t="1" v="371"/>
    </bk>
    <bk>
      <rc t="1" v="372"/>
    </bk>
    <bk>
      <rc t="1" v="373"/>
    </bk>
    <bk>
      <rc t="1" v="374"/>
    </bk>
    <bk>
      <rc t="1" v="375"/>
    </bk>
    <bk>
      <rc t="1" v="376"/>
    </bk>
    <bk>
      <rc t="1" v="377"/>
    </bk>
    <bk>
      <rc t="1" v="378"/>
    </bk>
    <bk>
      <rc t="1" v="379"/>
    </bk>
    <bk>
      <rc t="1" v="380"/>
    </bk>
    <bk>
      <rc t="1" v="381"/>
    </bk>
    <bk>
      <rc t="1" v="382"/>
    </bk>
    <bk>
      <rc t="1" v="383"/>
    </bk>
    <bk>
      <rc t="1" v="384"/>
    </bk>
    <bk>
      <rc t="1" v="385"/>
    </bk>
    <bk>
      <rc t="1" v="386"/>
    </bk>
    <bk>
      <rc t="1" v="387"/>
    </bk>
    <bk>
      <rc t="1" v="388"/>
    </bk>
    <bk>
      <rc t="1" v="389"/>
    </bk>
    <bk>
      <rc t="1" v="390"/>
    </bk>
    <bk>
      <rc t="1" v="391"/>
    </bk>
    <bk>
      <rc t="1" v="392"/>
    </bk>
    <bk>
      <rc t="1" v="393"/>
    </bk>
    <bk>
      <rc t="1" v="394"/>
    </bk>
    <bk>
      <rc t="1" v="395"/>
    </bk>
    <bk>
      <rc t="1" v="396"/>
    </bk>
    <bk>
      <rc t="1" v="397"/>
    </bk>
    <bk>
      <rc t="1" v="398"/>
    </bk>
    <bk>
      <rc t="1" v="399"/>
    </bk>
    <bk>
      <rc t="1" v="400"/>
    </bk>
    <bk>
      <rc t="1" v="401"/>
    </bk>
    <bk>
      <rc t="1" v="402"/>
    </bk>
    <bk>
      <rc t="1" v="403"/>
    </bk>
    <bk>
      <rc t="1" v="404"/>
    </bk>
    <bk>
      <rc t="1" v="405"/>
    </bk>
    <bk>
      <rc t="1" v="406"/>
    </bk>
    <bk>
      <rc t="1" v="407"/>
    </bk>
    <bk>
      <rc t="1" v="408"/>
    </bk>
    <bk>
      <rc t="1" v="409"/>
    </bk>
    <bk>
      <rc t="1" v="410"/>
    </bk>
    <bk>
      <rc t="1" v="411"/>
    </bk>
    <bk>
      <rc t="1" v="412"/>
    </bk>
    <bk>
      <rc t="1" v="413"/>
    </bk>
    <bk>
      <rc t="1" v="414"/>
    </bk>
    <bk>
      <rc t="1" v="415"/>
    </bk>
    <bk>
      <rc t="1" v="416"/>
    </bk>
    <bk>
      <rc t="1" v="417"/>
    </bk>
    <bk>
      <rc t="1" v="418"/>
    </bk>
    <bk>
      <rc t="1" v="419"/>
    </bk>
    <bk>
      <rc t="1" v="420"/>
    </bk>
    <bk>
      <rc t="1" v="421"/>
    </bk>
    <bk>
      <rc t="1" v="422"/>
    </bk>
    <bk>
      <rc t="1" v="423"/>
    </bk>
    <bk>
      <rc t="1" v="424"/>
    </bk>
    <bk>
      <rc t="1" v="425"/>
    </bk>
    <bk>
      <rc t="1" v="426"/>
    </bk>
    <bk>
      <rc t="1" v="427"/>
    </bk>
    <bk>
      <rc t="1" v="428"/>
    </bk>
    <bk>
      <rc t="1" v="429"/>
    </bk>
    <bk>
      <rc t="1" v="430"/>
    </bk>
    <bk>
      <rc t="1" v="431"/>
    </bk>
    <bk>
      <rc t="1" v="432"/>
    </bk>
    <bk>
      <rc t="1" v="433"/>
    </bk>
    <bk>
      <rc t="1" v="434"/>
    </bk>
    <bk>
      <rc t="1" v="435"/>
    </bk>
    <bk>
      <rc t="1" v="436"/>
    </bk>
    <bk>
      <rc t="1" v="437"/>
    </bk>
    <bk>
      <rc t="1" v="438"/>
    </bk>
    <bk>
      <rc t="1" v="439"/>
    </bk>
    <bk>
      <rc t="1" v="440"/>
    </bk>
    <bk>
      <rc t="1" v="441"/>
    </bk>
    <bk>
      <rc t="1" v="442"/>
    </bk>
    <bk>
      <rc t="1" v="443"/>
    </bk>
    <bk>
      <rc t="1" v="444"/>
    </bk>
    <bk>
      <rc t="1" v="445"/>
    </bk>
    <bk>
      <rc t="1" v="446"/>
    </bk>
    <bk>
      <rc t="1" v="447"/>
    </bk>
    <bk>
      <rc t="1" v="448"/>
    </bk>
    <bk>
      <rc t="1" v="449"/>
    </bk>
    <bk>
      <rc t="1" v="450"/>
    </bk>
    <bk>
      <rc t="1" v="451"/>
    </bk>
    <bk>
      <rc t="1" v="452"/>
    </bk>
    <bk>
      <rc t="1" v="453"/>
    </bk>
    <bk>
      <rc t="1" v="454"/>
    </bk>
    <bk>
      <rc t="1" v="455"/>
    </bk>
    <bk>
      <rc t="1" v="456"/>
    </bk>
    <bk>
      <rc t="1" v="457"/>
    </bk>
    <bk>
      <rc t="1" v="458"/>
    </bk>
    <bk>
      <rc t="1" v="459"/>
    </bk>
    <bk>
      <rc t="1" v="460"/>
    </bk>
    <bk>
      <rc t="1" v="461"/>
    </bk>
    <bk>
      <rc t="1" v="462"/>
    </bk>
    <bk>
      <rc t="1" v="463"/>
    </bk>
    <bk>
      <rc t="1" v="464"/>
    </bk>
    <bk>
      <rc t="1" v="465"/>
    </bk>
    <bk>
      <rc t="1" v="466"/>
    </bk>
    <bk>
      <rc t="1" v="467"/>
    </bk>
    <bk>
      <rc t="1" v="468"/>
    </bk>
    <bk>
      <rc t="1" v="469"/>
    </bk>
    <bk>
      <rc t="1" v="470"/>
    </bk>
    <bk>
      <rc t="1" v="471"/>
    </bk>
    <bk>
      <rc t="1" v="472"/>
    </bk>
    <bk>
      <rc t="1" v="473"/>
    </bk>
    <bk>
      <rc t="1" v="474"/>
    </bk>
    <bk>
      <rc t="1" v="475"/>
    </bk>
    <bk>
      <rc t="1" v="476"/>
    </bk>
    <bk>
      <rc t="1" v="477"/>
    </bk>
    <bk>
      <rc t="1" v="478"/>
    </bk>
    <bk>
      <rc t="1" v="479"/>
    </bk>
    <bk>
      <rc t="1" v="480"/>
    </bk>
    <bk>
      <rc t="1" v="481"/>
    </bk>
    <bk>
      <rc t="1" v="482"/>
    </bk>
    <bk>
      <rc t="1" v="483"/>
    </bk>
    <bk>
      <rc t="1" v="484"/>
    </bk>
    <bk>
      <rc t="1" v="485"/>
    </bk>
    <bk>
      <rc t="1" v="486"/>
    </bk>
    <bk>
      <rc t="1" v="487"/>
    </bk>
    <bk>
      <rc t="1" v="488"/>
    </bk>
    <bk>
      <rc t="1" v="489"/>
    </bk>
    <bk>
      <rc t="1" v="490"/>
    </bk>
    <bk>
      <rc t="1" v="491"/>
    </bk>
    <bk>
      <rc t="1" v="492"/>
    </bk>
    <bk>
      <rc t="1" v="493"/>
    </bk>
    <bk>
      <rc t="1" v="494"/>
    </bk>
    <bk>
      <rc t="1" v="495"/>
    </bk>
    <bk>
      <rc t="1" v="496"/>
    </bk>
    <bk>
      <rc t="1" v="497"/>
    </bk>
    <bk>
      <rc t="1" v="498"/>
    </bk>
    <bk>
      <rc t="1" v="499"/>
    </bk>
    <bk>
      <rc t="1" v="500"/>
    </bk>
    <bk>
      <rc t="1" v="501"/>
    </bk>
    <bk>
      <rc t="1" v="502"/>
    </bk>
    <bk>
      <rc t="1" v="503"/>
    </bk>
    <bk>
      <rc t="1" v="504"/>
    </bk>
    <bk>
      <rc t="1" v="505"/>
    </bk>
    <bk>
      <rc t="1" v="506"/>
    </bk>
    <bk>
      <rc t="1" v="507"/>
    </bk>
    <bk>
      <rc t="1" v="508"/>
    </bk>
    <bk>
      <rc t="1" v="509"/>
    </bk>
    <bk>
      <rc t="1" v="510"/>
    </bk>
    <bk>
      <rc t="1" v="511"/>
    </bk>
    <bk>
      <rc t="1" v="512"/>
    </bk>
    <bk>
      <rc t="1" v="513"/>
    </bk>
    <bk>
      <rc t="1" v="514"/>
    </bk>
    <bk>
      <rc t="1" v="515"/>
    </bk>
    <bk>
      <rc t="1" v="516"/>
    </bk>
    <bk>
      <rc t="1" v="517"/>
    </bk>
    <bk>
      <rc t="1" v="518"/>
    </bk>
    <bk>
      <rc t="1" v="519"/>
    </bk>
    <bk>
      <rc t="1" v="520"/>
    </bk>
    <bk>
      <rc t="1" v="521"/>
    </bk>
    <bk>
      <rc t="1" v="522"/>
    </bk>
    <bk>
      <rc t="1" v="523"/>
    </bk>
    <bk>
      <rc t="1" v="524"/>
    </bk>
    <bk>
      <rc t="1" v="525"/>
    </bk>
    <bk>
      <rc t="1" v="526"/>
    </bk>
    <bk>
      <rc t="1" v="527"/>
    </bk>
    <bk>
      <rc t="1" v="528"/>
    </bk>
    <bk>
      <rc t="1" v="529"/>
    </bk>
    <bk>
      <rc t="1" v="530"/>
    </bk>
    <bk>
      <rc t="1" v="531"/>
    </bk>
    <bk>
      <rc t="1" v="532"/>
    </bk>
    <bk>
      <rc t="1" v="533"/>
    </bk>
    <bk>
      <rc t="1" v="534"/>
    </bk>
    <bk>
      <rc t="1" v="535"/>
    </bk>
    <bk>
      <rc t="1" v="536"/>
    </bk>
    <bk>
      <rc t="1" v="537"/>
    </bk>
    <bk>
      <rc t="1" v="538"/>
    </bk>
    <bk>
      <rc t="1" v="539"/>
    </bk>
    <bk>
      <rc t="1" v="540"/>
    </bk>
    <bk>
      <rc t="1" v="541"/>
    </bk>
    <bk>
      <rc t="1" v="542"/>
    </bk>
    <bk>
      <rc t="1" v="543"/>
    </bk>
    <bk>
      <rc t="1" v="544"/>
    </bk>
    <bk>
      <rc t="1" v="545"/>
    </bk>
    <bk>
      <rc t="1" v="546"/>
    </bk>
    <bk>
      <rc t="1" v="547"/>
    </bk>
    <bk>
      <rc t="1" v="548"/>
    </bk>
    <bk>
      <rc t="1" v="549"/>
    </bk>
    <bk>
      <rc t="1" v="550"/>
    </bk>
    <bk>
      <rc t="1" v="551"/>
    </bk>
    <bk>
      <rc t="1" v="552"/>
    </bk>
    <bk>
      <rc t="1" v="553"/>
    </bk>
    <bk>
      <rc t="1" v="554"/>
    </bk>
    <bk>
      <rc t="1" v="555"/>
    </bk>
    <bk>
      <rc t="1" v="556"/>
    </bk>
    <bk>
      <rc t="1" v="557"/>
    </bk>
    <bk>
      <rc t="1" v="558"/>
    </bk>
    <bk>
      <rc t="1" v="559"/>
    </bk>
    <bk>
      <rc t="1" v="560"/>
    </bk>
    <bk>
      <rc t="1" v="561"/>
    </bk>
    <bk>
      <rc t="1" v="562"/>
    </bk>
    <bk>
      <rc t="1" v="563"/>
    </bk>
    <bk>
      <rc t="1" v="564"/>
    </bk>
    <bk>
      <rc t="1" v="565"/>
    </bk>
    <bk>
      <rc t="1" v="566"/>
    </bk>
    <bk>
      <rc t="1" v="567"/>
    </bk>
    <bk>
      <rc t="1" v="568"/>
    </bk>
    <bk>
      <rc t="1" v="569"/>
    </bk>
    <bk>
      <rc t="1" v="570"/>
    </bk>
    <bk>
      <rc t="1" v="571"/>
    </bk>
    <bk>
      <rc t="1" v="572"/>
    </bk>
    <bk>
      <rc t="1" v="573"/>
    </bk>
    <bk>
      <rc t="1" v="574"/>
    </bk>
    <bk>
      <rc t="1" v="575"/>
    </bk>
    <bk>
      <rc t="1" v="576"/>
    </bk>
    <bk>
      <rc t="1" v="577"/>
    </bk>
    <bk>
      <rc t="1" v="578"/>
    </bk>
    <bk>
      <rc t="1" v="579"/>
    </bk>
    <bk>
      <rc t="1" v="580"/>
    </bk>
    <bk>
      <rc t="1" v="581"/>
    </bk>
    <bk>
      <rc t="1" v="582"/>
    </bk>
    <bk>
      <rc t="1" v="583"/>
    </bk>
    <bk>
      <rc t="1" v="584"/>
    </bk>
    <bk>
      <rc t="1" v="585"/>
    </bk>
    <bk>
      <rc t="1" v="586"/>
    </bk>
    <bk>
      <rc t="1" v="587"/>
    </bk>
    <bk>
      <rc t="1" v="588"/>
    </bk>
    <bk>
      <rc t="1" v="589"/>
    </bk>
    <bk>
      <rc t="1" v="590"/>
    </bk>
    <bk>
      <rc t="1" v="591"/>
    </bk>
    <bk>
      <rc t="1" v="592"/>
    </bk>
    <bk>
      <rc t="1" v="593"/>
    </bk>
    <bk>
      <rc t="1" v="594"/>
    </bk>
    <bk>
      <rc t="1" v="595"/>
    </bk>
    <bk>
      <rc t="1" v="596"/>
    </bk>
    <bk>
      <rc t="1" v="597"/>
    </bk>
    <bk>
      <rc t="1" v="598"/>
    </bk>
    <bk>
      <rc t="1" v="599"/>
    </bk>
    <bk>
      <rc t="1" v="600"/>
    </bk>
    <bk>
      <rc t="1" v="601"/>
    </bk>
    <bk>
      <rc t="1" v="602"/>
    </bk>
    <bk>
      <rc t="1" v="603"/>
    </bk>
    <bk>
      <rc t="1" v="604"/>
    </bk>
    <bk>
      <rc t="1" v="605"/>
    </bk>
    <bk>
      <rc t="1" v="606"/>
    </bk>
    <bk>
      <rc t="1" v="607"/>
    </bk>
    <bk>
      <rc t="1" v="608"/>
    </bk>
    <bk>
      <rc t="1" v="609"/>
    </bk>
    <bk>
      <rc t="1" v="610"/>
    </bk>
    <bk>
      <rc t="1" v="611"/>
    </bk>
    <bk>
      <rc t="1" v="612"/>
    </bk>
    <bk>
      <rc t="1" v="613"/>
    </bk>
    <bk>
      <rc t="1" v="614"/>
    </bk>
    <bk>
      <rc t="1" v="615"/>
    </bk>
    <bk>
      <rc t="1" v="616"/>
    </bk>
    <bk>
      <rc t="1" v="617"/>
    </bk>
    <bk>
      <rc t="1" v="618"/>
    </bk>
    <bk>
      <rc t="1" v="619"/>
    </bk>
    <bk>
      <rc t="1" v="620"/>
    </bk>
    <bk>
      <rc t="1" v="621"/>
    </bk>
    <bk>
      <rc t="1" v="622"/>
    </bk>
    <bk>
      <rc t="1" v="623"/>
    </bk>
    <bk>
      <rc t="1" v="624"/>
    </bk>
    <bk>
      <rc t="1" v="625"/>
    </bk>
    <bk>
      <rc t="1" v="626"/>
    </bk>
    <bk>
      <rc t="1" v="627"/>
    </bk>
    <bk>
      <rc t="1" v="628"/>
    </bk>
    <bk>
      <rc t="1" v="629"/>
    </bk>
    <bk>
      <rc t="1" v="630"/>
    </bk>
    <bk>
      <rc t="1" v="631"/>
    </bk>
    <bk>
      <rc t="1" v="632"/>
    </bk>
    <bk>
      <rc t="1" v="633"/>
    </bk>
    <bk>
      <rc t="1" v="634"/>
    </bk>
    <bk>
      <rc t="1" v="635"/>
    </bk>
    <bk>
      <rc t="1" v="636"/>
    </bk>
    <bk>
      <rc t="1" v="637"/>
    </bk>
    <bk>
      <rc t="1" v="638"/>
    </bk>
    <bk>
      <rc t="1" v="639"/>
    </bk>
    <bk>
      <rc t="1" v="640"/>
    </bk>
    <bk>
      <rc t="1" v="641"/>
    </bk>
    <bk>
      <rc t="1" v="642"/>
    </bk>
    <bk>
      <rc t="1" v="643"/>
    </bk>
    <bk>
      <rc t="1" v="644"/>
    </bk>
    <bk>
      <rc t="1" v="645"/>
    </bk>
    <bk>
      <rc t="1" v="646"/>
    </bk>
    <bk>
      <rc t="1" v="647"/>
    </bk>
    <bk>
      <rc t="1" v="648"/>
    </bk>
    <bk>
      <rc t="1" v="649"/>
    </bk>
    <bk>
      <rc t="1" v="650"/>
    </bk>
    <bk>
      <rc t="1" v="651"/>
    </bk>
    <bk>
      <rc t="1" v="652"/>
    </bk>
    <bk>
      <rc t="1" v="653"/>
    </bk>
    <bk>
      <rc t="1" v="654"/>
    </bk>
    <bk>
      <rc t="1" v="655"/>
    </bk>
    <bk>
      <rc t="1" v="656"/>
    </bk>
    <bk>
      <rc t="1" v="657"/>
    </bk>
    <bk>
      <rc t="1" v="658"/>
    </bk>
    <bk>
      <rc t="1" v="659"/>
    </bk>
    <bk>
      <rc t="1" v="660"/>
    </bk>
    <bk>
      <rc t="1" v="661"/>
    </bk>
    <bk>
      <rc t="1" v="662"/>
    </bk>
    <bk>
      <rc t="1" v="663"/>
    </bk>
    <bk>
      <rc t="1" v="664"/>
    </bk>
    <bk>
      <rc t="1" v="665"/>
    </bk>
    <bk>
      <rc t="1" v="666"/>
    </bk>
    <bk>
      <rc t="1" v="667"/>
    </bk>
    <bk>
      <rc t="1" v="668"/>
    </bk>
    <bk>
      <rc t="1" v="669"/>
    </bk>
    <bk>
      <rc t="1" v="670"/>
    </bk>
    <bk>
      <rc t="1" v="671"/>
    </bk>
    <bk>
      <rc t="1" v="672"/>
    </bk>
    <bk>
      <rc t="1" v="673"/>
    </bk>
    <bk>
      <rc t="1" v="674"/>
    </bk>
    <bk>
      <rc t="1" v="675"/>
    </bk>
    <bk>
      <rc t="1" v="676"/>
    </bk>
    <bk>
      <rc t="1" v="677"/>
    </bk>
    <bk>
      <rc t="1" v="678"/>
    </bk>
    <bk>
      <rc t="1" v="679"/>
    </bk>
    <bk>
      <rc t="1" v="680"/>
    </bk>
    <bk>
      <rc t="1" v="681"/>
    </bk>
    <bk>
      <rc t="1" v="682"/>
    </bk>
    <bk>
      <rc t="1" v="683"/>
    </bk>
    <bk>
      <rc t="1" v="684"/>
    </bk>
    <bk>
      <rc t="1" v="685"/>
    </bk>
    <bk>
      <rc t="1" v="686"/>
    </bk>
    <bk>
      <rc t="1" v="687"/>
    </bk>
    <bk>
      <rc t="1" v="688"/>
    </bk>
    <bk>
      <rc t="1" v="689"/>
    </bk>
    <bk>
      <rc t="1" v="690"/>
    </bk>
    <bk>
      <rc t="1" v="691"/>
    </bk>
    <bk>
      <rc t="1" v="692"/>
    </bk>
    <bk>
      <rc t="1" v="693"/>
    </bk>
    <bk>
      <rc t="1" v="694"/>
    </bk>
    <bk>
      <rc t="1" v="695"/>
    </bk>
    <bk>
      <rc t="1" v="696"/>
    </bk>
    <bk>
      <rc t="1" v="697"/>
    </bk>
    <bk>
      <rc t="1" v="698"/>
    </bk>
    <bk>
      <rc t="1" v="699"/>
    </bk>
    <bk>
      <rc t="1" v="700"/>
    </bk>
    <bk>
      <rc t="1" v="701"/>
    </bk>
    <bk>
      <rc t="1" v="702"/>
    </bk>
    <bk>
      <rc t="1" v="703"/>
    </bk>
    <bk>
      <rc t="1" v="704"/>
    </bk>
    <bk>
      <rc t="1" v="705"/>
    </bk>
    <bk>
      <rc t="1" v="706"/>
    </bk>
    <bk>
      <rc t="1" v="707"/>
    </bk>
    <bk>
      <rc t="1" v="708"/>
    </bk>
    <bk>
      <rc t="1" v="709"/>
    </bk>
    <bk>
      <rc t="1" v="710"/>
    </bk>
    <bk>
      <rc t="1" v="711"/>
    </bk>
    <bk>
      <rc t="1" v="712"/>
    </bk>
    <bk>
      <rc t="1" v="713"/>
    </bk>
    <bk>
      <rc t="1" v="714"/>
    </bk>
    <bk>
      <rc t="1" v="715"/>
    </bk>
    <bk>
      <rc t="1" v="716"/>
    </bk>
    <bk>
      <rc t="1" v="717"/>
    </bk>
    <bk>
      <rc t="1" v="718"/>
    </bk>
    <bk>
      <rc t="1" v="719"/>
    </bk>
    <bk>
      <rc t="1" v="720"/>
    </bk>
    <bk>
      <rc t="1" v="721"/>
    </bk>
    <bk>
      <rc t="1" v="722"/>
    </bk>
    <bk>
      <rc t="1" v="723"/>
    </bk>
    <bk>
      <rc t="1" v="724"/>
    </bk>
    <bk>
      <rc t="1" v="725"/>
    </bk>
    <bk>
      <rc t="1" v="726"/>
    </bk>
    <bk>
      <rc t="1" v="727"/>
    </bk>
    <bk>
      <rc t="1" v="728"/>
    </bk>
    <bk>
      <rc t="1" v="729"/>
    </bk>
    <bk>
      <rc t="1" v="730"/>
    </bk>
    <bk>
      <rc t="1" v="731"/>
    </bk>
    <bk>
      <rc t="1" v="732"/>
    </bk>
    <bk>
      <rc t="1" v="733"/>
    </bk>
    <bk>
      <rc t="1" v="734"/>
    </bk>
    <bk>
      <rc t="1" v="735"/>
    </bk>
    <bk>
      <rc t="1" v="736"/>
    </bk>
    <bk>
      <rc t="1" v="737"/>
    </bk>
    <bk>
      <rc t="1" v="738"/>
    </bk>
    <bk>
      <rc t="1" v="739"/>
    </bk>
    <bk>
      <rc t="1" v="740"/>
    </bk>
    <bk>
      <rc t="1" v="741"/>
    </bk>
    <bk>
      <rc t="1" v="742"/>
    </bk>
    <bk>
      <rc t="1" v="743"/>
    </bk>
    <bk>
      <rc t="1" v="744"/>
    </bk>
    <bk>
      <rc t="1" v="745"/>
    </bk>
    <bk>
      <rc t="1" v="746"/>
    </bk>
    <bk>
      <rc t="1" v="747"/>
    </bk>
    <bk>
      <rc t="1" v="748"/>
    </bk>
    <bk>
      <rc t="1" v="749"/>
    </bk>
    <bk>
      <rc t="1" v="750"/>
    </bk>
    <bk>
      <rc t="1" v="751"/>
    </bk>
    <bk>
      <rc t="1" v="752"/>
    </bk>
    <bk>
      <rc t="1" v="753"/>
    </bk>
    <bk>
      <rc t="1" v="754"/>
    </bk>
    <bk>
      <rc t="1" v="755"/>
    </bk>
    <bk>
      <rc t="1" v="756"/>
    </bk>
    <bk>
      <rc t="1" v="757"/>
    </bk>
    <bk>
      <rc t="1" v="758"/>
    </bk>
    <bk>
      <rc t="1" v="759"/>
    </bk>
    <bk>
      <rc t="1" v="760"/>
    </bk>
    <bk>
      <rc t="1" v="761"/>
    </bk>
    <bk>
      <rc t="1" v="762"/>
    </bk>
    <bk>
      <rc t="1" v="763"/>
    </bk>
    <bk>
      <rc t="1" v="764"/>
    </bk>
    <bk>
      <rc t="1" v="765"/>
    </bk>
    <bk>
      <rc t="1" v="766"/>
    </bk>
    <bk>
      <rc t="1" v="767"/>
    </bk>
    <bk>
      <rc t="1" v="768"/>
    </bk>
    <bk>
      <rc t="1" v="769"/>
    </bk>
    <bk>
      <rc t="1" v="770"/>
    </bk>
    <bk>
      <rc t="1" v="771"/>
    </bk>
    <bk>
      <rc t="1" v="772"/>
    </bk>
    <bk>
      <rc t="1" v="773"/>
    </bk>
    <bk>
      <rc t="1" v="774"/>
    </bk>
    <bk>
      <rc t="1" v="775"/>
    </bk>
    <bk>
      <rc t="1" v="776"/>
    </bk>
    <bk>
      <rc t="1" v="777"/>
    </bk>
    <bk>
      <rc t="1" v="778"/>
    </bk>
    <bk>
      <rc t="1" v="779"/>
    </bk>
    <bk>
      <rc t="1" v="780"/>
    </bk>
    <bk>
      <rc t="1" v="781"/>
    </bk>
    <bk>
      <rc t="1" v="782"/>
    </bk>
    <bk>
      <rc t="1" v="783"/>
    </bk>
    <bk>
      <rc t="1" v="784"/>
    </bk>
    <bk>
      <rc t="1" v="785"/>
    </bk>
    <bk>
      <rc t="1" v="786"/>
    </bk>
    <bk>
      <rc t="1" v="787"/>
    </bk>
    <bk>
      <rc t="1" v="788"/>
    </bk>
    <bk>
      <rc t="1" v="789"/>
    </bk>
    <bk>
      <rc t="1" v="790"/>
    </bk>
    <bk>
      <rc t="1" v="791"/>
    </bk>
    <bk>
      <rc t="1" v="792"/>
    </bk>
    <bk>
      <rc t="1" v="793"/>
    </bk>
    <bk>
      <rc t="1" v="794"/>
    </bk>
    <bk>
      <rc t="1" v="795"/>
    </bk>
    <bk>
      <rc t="1" v="796"/>
    </bk>
    <bk>
      <rc t="1" v="797"/>
    </bk>
    <bk>
      <rc t="1" v="798"/>
    </bk>
    <bk>
      <rc t="1" v="799"/>
    </bk>
    <bk>
      <rc t="1" v="800"/>
    </bk>
    <bk>
      <rc t="1" v="801"/>
    </bk>
    <bk>
      <rc t="1" v="802"/>
    </bk>
    <bk>
      <rc t="1" v="803"/>
    </bk>
    <bk>
      <rc t="1" v="804"/>
    </bk>
    <bk>
      <rc t="1" v="805"/>
    </bk>
    <bk>
      <rc t="1" v="806"/>
    </bk>
    <bk>
      <rc t="1" v="807"/>
    </bk>
    <bk>
      <rc t="1" v="808"/>
    </bk>
    <bk>
      <rc t="1" v="809"/>
    </bk>
    <bk>
      <rc t="1" v="810"/>
    </bk>
    <bk>
      <rc t="1" v="811"/>
    </bk>
    <bk>
      <rc t="1" v="812"/>
    </bk>
    <bk>
      <rc t="1" v="813"/>
    </bk>
    <bk>
      <rc t="1" v="814"/>
    </bk>
    <bk>
      <rc t="1" v="815"/>
    </bk>
    <bk>
      <rc t="1" v="816"/>
    </bk>
    <bk>
      <rc t="1" v="817"/>
    </bk>
    <bk>
      <rc t="1" v="818"/>
    </bk>
    <bk>
      <rc t="1" v="819"/>
    </bk>
    <bk>
      <rc t="1" v="820"/>
    </bk>
    <bk>
      <rc t="1" v="821"/>
    </bk>
    <bk>
      <rc t="1" v="822"/>
    </bk>
    <bk>
      <rc t="1" v="823"/>
    </bk>
    <bk>
      <rc t="1" v="824"/>
    </bk>
    <bk>
      <rc t="1" v="825"/>
    </bk>
    <bk>
      <rc t="1" v="826"/>
    </bk>
    <bk>
      <rc t="1" v="827"/>
    </bk>
    <bk>
      <rc t="1" v="828"/>
    </bk>
    <bk>
      <rc t="1" v="829"/>
    </bk>
    <bk>
      <rc t="1" v="830"/>
    </bk>
    <bk>
      <rc t="1" v="831"/>
    </bk>
    <bk>
      <rc t="1" v="832"/>
    </bk>
    <bk>
      <rc t="1" v="833"/>
    </bk>
    <bk>
      <rc t="1" v="834"/>
    </bk>
    <bk>
      <rc t="1" v="835"/>
    </bk>
    <bk>
      <rc t="1" v="836"/>
    </bk>
    <bk>
      <rc t="1" v="837"/>
    </bk>
    <bk>
      <rc t="1" v="838"/>
    </bk>
    <bk>
      <rc t="1" v="839"/>
    </bk>
    <bk>
      <rc t="1" v="840"/>
    </bk>
    <bk>
      <rc t="1" v="841"/>
    </bk>
    <bk>
      <rc t="1" v="842"/>
    </bk>
    <bk>
      <rc t="1" v="843"/>
    </bk>
    <bk>
      <rc t="1" v="844"/>
    </bk>
    <bk>
      <rc t="1" v="845"/>
    </bk>
    <bk>
      <rc t="1" v="846"/>
    </bk>
    <bk>
      <rc t="1" v="847"/>
    </bk>
    <bk>
      <rc t="1" v="848"/>
    </bk>
    <bk>
      <rc t="1" v="849"/>
    </bk>
    <bk>
      <rc t="1" v="850"/>
    </bk>
    <bk>
      <rc t="1" v="851"/>
    </bk>
    <bk>
      <rc t="1" v="852"/>
    </bk>
    <bk>
      <rc t="1" v="853"/>
    </bk>
    <bk>
      <rc t="1" v="854"/>
    </bk>
    <bk>
      <rc t="1" v="855"/>
    </bk>
    <bk>
      <rc t="1" v="856"/>
    </bk>
    <bk>
      <rc t="1" v="857"/>
    </bk>
    <bk>
      <rc t="1" v="858"/>
    </bk>
    <bk>
      <rc t="1" v="859"/>
    </bk>
    <bk>
      <rc t="1" v="860"/>
    </bk>
    <bk>
      <rc t="1" v="861"/>
    </bk>
    <bk>
      <rc t="1" v="862"/>
    </bk>
    <bk>
      <rc t="1" v="863"/>
    </bk>
    <bk>
      <rc t="1" v="864"/>
    </bk>
    <bk>
      <rc t="1" v="865"/>
    </bk>
    <bk>
      <rc t="1" v="866"/>
    </bk>
    <bk>
      <rc t="1" v="867"/>
    </bk>
    <bk>
      <rc t="1" v="868"/>
    </bk>
    <bk>
      <rc t="1" v="869"/>
    </bk>
    <bk>
      <rc t="1" v="870"/>
    </bk>
    <bk>
      <rc t="1" v="871"/>
    </bk>
    <bk>
      <rc t="1" v="872"/>
    </bk>
    <bk>
      <rc t="1" v="873"/>
    </bk>
    <bk>
      <rc t="1" v="874"/>
    </bk>
    <bk>
      <rc t="1" v="875"/>
    </bk>
    <bk>
      <rc t="1" v="876"/>
    </bk>
    <bk>
      <rc t="1" v="877"/>
    </bk>
    <bk>
      <rc t="1" v="878"/>
    </bk>
    <bk>
      <rc t="1" v="879"/>
    </bk>
    <bk>
      <rc t="1" v="880"/>
    </bk>
    <bk>
      <rc t="1" v="881"/>
    </bk>
    <bk>
      <rc t="1" v="882"/>
    </bk>
    <bk>
      <rc t="1" v="883"/>
    </bk>
    <bk>
      <rc t="1" v="884"/>
    </bk>
    <bk>
      <rc t="1" v="885"/>
    </bk>
    <bk>
      <rc t="1" v="886"/>
    </bk>
    <bk>
      <rc t="1" v="887"/>
    </bk>
    <bk>
      <rc t="1" v="888"/>
    </bk>
    <bk>
      <rc t="1" v="889"/>
    </bk>
    <bk>
      <rc t="1" v="890"/>
    </bk>
    <bk>
      <rc t="1" v="891"/>
    </bk>
    <bk>
      <rc t="1" v="892"/>
    </bk>
    <bk>
      <rc t="1" v="893"/>
    </bk>
    <bk>
      <rc t="1" v="894"/>
    </bk>
    <bk>
      <rc t="1" v="895"/>
    </bk>
    <bk>
      <rc t="1" v="896"/>
    </bk>
    <bk>
      <rc t="1" v="897"/>
    </bk>
    <bk>
      <rc t="1" v="898"/>
    </bk>
    <bk>
      <rc t="1" v="899"/>
    </bk>
    <bk>
      <rc t="1" v="900"/>
    </bk>
    <bk>
      <rc t="1" v="901"/>
    </bk>
    <bk>
      <rc t="1" v="902"/>
    </bk>
    <bk>
      <rc t="1" v="903"/>
    </bk>
    <bk>
      <rc t="1" v="904"/>
    </bk>
    <bk>
      <rc t="1" v="905"/>
    </bk>
    <bk>
      <rc t="1" v="906"/>
    </bk>
    <bk>
      <rc t="1" v="907"/>
    </bk>
    <bk>
      <rc t="1" v="908"/>
    </bk>
    <bk>
      <rc t="1" v="909"/>
    </bk>
    <bk>
      <rc t="1" v="910"/>
    </bk>
    <bk>
      <rc t="1" v="911"/>
    </bk>
    <bk>
      <rc t="1" v="912"/>
    </bk>
    <bk>
      <rc t="1" v="913"/>
    </bk>
    <bk>
      <rc t="1" v="914"/>
    </bk>
    <bk>
      <rc t="1" v="915"/>
    </bk>
    <bk>
      <rc t="1" v="916"/>
    </bk>
    <bk>
      <rc t="1" v="917"/>
    </bk>
    <bk>
      <rc t="1" v="918"/>
    </bk>
    <bk>
      <rc t="1" v="919"/>
    </bk>
    <bk>
      <rc t="1" v="920"/>
    </bk>
    <bk>
      <rc t="1" v="921"/>
    </bk>
    <bk>
      <rc t="1" v="922"/>
    </bk>
    <bk>
      <rc t="1" v="923"/>
    </bk>
    <bk>
      <rc t="1" v="924"/>
    </bk>
    <bk>
      <rc t="1" v="925"/>
    </bk>
    <bk>
      <rc t="1" v="926"/>
    </bk>
    <bk>
      <rc t="1" v="927"/>
    </bk>
    <bk>
      <rc t="1" v="928"/>
    </bk>
    <bk>
      <rc t="1" v="929"/>
    </bk>
    <bk>
      <rc t="1" v="930"/>
    </bk>
    <bk>
      <rc t="1" v="931"/>
    </bk>
    <bk>
      <rc t="1" v="932"/>
    </bk>
    <bk>
      <rc t="1" v="933"/>
    </bk>
    <bk>
      <rc t="1" v="934"/>
    </bk>
    <bk>
      <rc t="1" v="935"/>
    </bk>
    <bk>
      <rc t="1" v="936"/>
    </bk>
    <bk>
      <rc t="1" v="937"/>
    </bk>
    <bk>
      <rc t="1" v="938"/>
    </bk>
    <bk>
      <rc t="1" v="939"/>
    </bk>
    <bk>
      <rc t="1" v="940"/>
    </bk>
    <bk>
      <rc t="1" v="941"/>
    </bk>
    <bk>
      <rc t="1" v="942"/>
    </bk>
    <bk>
      <rc t="1" v="943"/>
    </bk>
    <bk>
      <rc t="1" v="944"/>
    </bk>
    <bk>
      <rc t="1" v="945"/>
    </bk>
    <bk>
      <rc t="1" v="946"/>
    </bk>
    <bk>
      <rc t="1" v="947"/>
    </bk>
    <bk>
      <rc t="1" v="948"/>
    </bk>
    <bk>
      <rc t="1" v="949"/>
    </bk>
    <bk>
      <rc t="1" v="950"/>
    </bk>
    <bk>
      <rc t="1" v="951"/>
    </bk>
    <bk>
      <rc t="1" v="952"/>
    </bk>
    <bk>
      <rc t="1" v="953"/>
    </bk>
    <bk>
      <rc t="1" v="954"/>
    </bk>
    <bk>
      <rc t="1" v="955"/>
    </bk>
    <bk>
      <rc t="1" v="956"/>
    </bk>
    <bk>
      <rc t="1" v="957"/>
    </bk>
    <bk>
      <rc t="1" v="958"/>
    </bk>
    <bk>
      <rc t="1" v="959"/>
    </bk>
    <bk>
      <rc t="1" v="960"/>
    </bk>
    <bk>
      <rc t="1" v="961"/>
    </bk>
    <bk>
      <rc t="1" v="962"/>
    </bk>
    <bk>
      <rc t="1" v="963"/>
    </bk>
    <bk>
      <rc t="1" v="964"/>
    </bk>
    <bk>
      <rc t="1" v="965"/>
    </bk>
    <bk>
      <rc t="1" v="966"/>
    </bk>
    <bk>
      <rc t="1" v="967"/>
    </bk>
    <bk>
      <rc t="1" v="968"/>
    </bk>
    <bk>
      <rc t="1" v="969"/>
    </bk>
    <bk>
      <rc t="1" v="970"/>
    </bk>
    <bk>
      <rc t="1" v="971"/>
    </bk>
    <bk>
      <rc t="1" v="972"/>
    </bk>
    <bk>
      <rc t="1" v="973"/>
    </bk>
    <bk>
      <rc t="1" v="974"/>
    </bk>
    <bk>
      <rc t="1" v="975"/>
    </bk>
    <bk>
      <rc t="1" v="976"/>
    </bk>
    <bk>
      <rc t="1" v="977"/>
    </bk>
    <bk>
      <rc t="1" v="978"/>
    </bk>
    <bk>
      <rc t="1" v="979"/>
    </bk>
    <bk>
      <rc t="1" v="980"/>
    </bk>
    <bk>
      <rc t="1" v="981"/>
    </bk>
    <bk>
      <rc t="1" v="982"/>
    </bk>
    <bk>
      <rc t="1" v="983"/>
    </bk>
    <bk>
      <rc t="1" v="984"/>
    </bk>
    <bk>
      <rc t="1" v="985"/>
    </bk>
    <bk>
      <rc t="1" v="986"/>
    </bk>
    <bk>
      <rc t="1" v="987"/>
    </bk>
    <bk>
      <rc t="1" v="988"/>
    </bk>
    <bk>
      <rc t="1" v="989"/>
    </bk>
    <bk>
      <rc t="1" v="990"/>
    </bk>
    <bk>
      <rc t="1" v="991"/>
    </bk>
    <bk>
      <rc t="1" v="992"/>
    </bk>
    <bk>
      <rc t="1" v="993"/>
    </bk>
    <bk>
      <rc t="1" v="994"/>
    </bk>
    <bk>
      <rc t="1" v="995"/>
    </bk>
    <bk>
      <rc t="1" v="996"/>
    </bk>
    <bk>
      <rc t="1" v="997"/>
    </bk>
    <bk>
      <rc t="1" v="998"/>
    </bk>
    <bk>
      <rc t="1" v="999"/>
    </bk>
    <bk>
      <rc t="1" v="1000"/>
    </bk>
    <bk>
      <rc t="1" v="1001"/>
    </bk>
    <bk>
      <rc t="1" v="1002"/>
    </bk>
    <bk>
      <rc t="1" v="1003"/>
    </bk>
    <bk>
      <rc t="1" v="1004"/>
    </bk>
    <bk>
      <rc t="1" v="1005"/>
    </bk>
    <bk>
      <rc t="1" v="1006"/>
    </bk>
    <bk>
      <rc t="1" v="1007"/>
    </bk>
    <bk>
      <rc t="1" v="1008"/>
    </bk>
    <bk>
      <rc t="1" v="1009"/>
    </bk>
    <bk>
      <rc t="1" v="1010"/>
    </bk>
    <bk>
      <rc t="1" v="1011"/>
    </bk>
    <bk>
      <rc t="1" v="1012"/>
    </bk>
    <bk>
      <rc t="1" v="1013"/>
    </bk>
    <bk>
      <rc t="1" v="1014"/>
    </bk>
    <bk>
      <rc t="1" v="1015"/>
    </bk>
    <bk>
      <rc t="1" v="1016"/>
    </bk>
    <bk>
      <rc t="1" v="1017"/>
    </bk>
    <bk>
      <rc t="1" v="1018"/>
    </bk>
    <bk>
      <rc t="1" v="1019"/>
    </bk>
    <bk>
      <rc t="1" v="1020"/>
    </bk>
    <bk>
      <rc t="1" v="1021"/>
    </bk>
    <bk>
      <rc t="1" v="1022"/>
    </bk>
    <bk>
      <rc t="1" v="1023"/>
    </bk>
    <bk>
      <rc t="1" v="1024"/>
    </bk>
    <bk>
      <rc t="1" v="1025"/>
    </bk>
    <bk>
      <rc t="1" v="1026"/>
    </bk>
    <bk>
      <rc t="1" v="1027"/>
    </bk>
    <bk>
      <rc t="1" v="1028"/>
    </bk>
    <bk>
      <rc t="1" v="1029"/>
    </bk>
    <bk>
      <rc t="1" v="1030"/>
    </bk>
    <bk>
      <rc t="1" v="1031"/>
    </bk>
    <bk>
      <rc t="1" v="1032"/>
    </bk>
    <bk>
      <rc t="1" v="1033"/>
    </bk>
    <bk>
      <rc t="1" v="1034"/>
    </bk>
    <bk>
      <rc t="1" v="1035"/>
    </bk>
    <bk>
      <rc t="1" v="1036"/>
    </bk>
    <bk>
      <rc t="1" v="1037"/>
    </bk>
    <bk>
      <rc t="1" v="1038"/>
    </bk>
    <bk>
      <rc t="1" v="1039"/>
    </bk>
    <bk>
      <rc t="1" v="1040"/>
    </bk>
    <bk>
      <rc t="1" v="1041"/>
    </bk>
    <bk>
      <rc t="1" v="1042"/>
    </bk>
    <bk>
      <rc t="1" v="1043"/>
    </bk>
    <bk>
      <rc t="1" v="1044"/>
    </bk>
    <bk>
      <rc t="1" v="1045"/>
    </bk>
    <bk>
      <rc t="1" v="1046"/>
    </bk>
    <bk>
      <rc t="1" v="1047"/>
    </bk>
    <bk>
      <rc t="1" v="1048"/>
    </bk>
    <bk>
      <rc t="1" v="1049"/>
    </bk>
    <bk>
      <rc t="1" v="1050"/>
    </bk>
    <bk>
      <rc t="1" v="1051"/>
    </bk>
    <bk>
      <rc t="1" v="1052"/>
    </bk>
    <bk>
      <rc t="1" v="1053"/>
    </bk>
    <bk>
      <rc t="1" v="1054"/>
    </bk>
    <bk>
      <rc t="1" v="1055"/>
    </bk>
    <bk>
      <rc t="1" v="1056"/>
    </bk>
    <bk>
      <rc t="1" v="1057"/>
    </bk>
    <bk>
      <rc t="1" v="1058"/>
    </bk>
    <bk>
      <rc t="1" v="1059"/>
    </bk>
    <bk>
      <rc t="1" v="1060"/>
    </bk>
    <bk>
      <rc t="1" v="1061"/>
    </bk>
    <bk>
      <rc t="1" v="1062"/>
    </bk>
    <bk>
      <rc t="1" v="1063"/>
    </bk>
    <bk>
      <rc t="1" v="1064"/>
    </bk>
    <bk>
      <rc t="1" v="1065"/>
    </bk>
    <bk>
      <rc t="1" v="1066"/>
    </bk>
    <bk>
      <rc t="1" v="1067"/>
    </bk>
    <bk>
      <rc t="1" v="1068"/>
    </bk>
    <bk>
      <rc t="1" v="1069"/>
    </bk>
    <bk>
      <rc t="1" v="1070"/>
    </bk>
    <bk>
      <rc t="1" v="1071"/>
    </bk>
    <bk>
      <rc t="1" v="1072"/>
    </bk>
    <bk>
      <rc t="1" v="1073"/>
    </bk>
    <bk>
      <rc t="1" v="1074"/>
    </bk>
    <bk>
      <rc t="1" v="1075"/>
    </bk>
    <bk>
      <rc t="1" v="1076"/>
    </bk>
    <bk>
      <rc t="1" v="1077"/>
    </bk>
    <bk>
      <rc t="1" v="1078"/>
    </bk>
    <bk>
      <rc t="1" v="1079"/>
    </bk>
    <bk>
      <rc t="1" v="1080"/>
    </bk>
    <bk>
      <rc t="1" v="1081"/>
    </bk>
    <bk>
      <rc t="1" v="1082"/>
    </bk>
    <bk>
      <rc t="1" v="1083"/>
    </bk>
    <bk>
      <rc t="1" v="1084"/>
    </bk>
    <bk>
      <rc t="1" v="1085"/>
    </bk>
    <bk>
      <rc t="1" v="1086"/>
    </bk>
    <bk>
      <rc t="1" v="1087"/>
    </bk>
    <bk>
      <rc t="1" v="1088"/>
    </bk>
    <bk>
      <rc t="1" v="1089"/>
    </bk>
    <bk>
      <rc t="1" v="1090"/>
    </bk>
    <bk>
      <rc t="1" v="1091"/>
    </bk>
    <bk>
      <rc t="1" v="1092"/>
    </bk>
    <bk>
      <rc t="1" v="1093"/>
    </bk>
    <bk>
      <rc t="1" v="1094"/>
    </bk>
    <bk>
      <rc t="1" v="1095"/>
    </bk>
    <bk>
      <rc t="1" v="1096"/>
    </bk>
    <bk>
      <rc t="1" v="1097"/>
    </bk>
    <bk>
      <rc t="1" v="1098"/>
    </bk>
    <bk>
      <rc t="1" v="1099"/>
    </bk>
    <bk>
      <rc t="1" v="1100"/>
    </bk>
    <bk>
      <rc t="1" v="1101"/>
    </bk>
    <bk>
      <rc t="1" v="1102"/>
    </bk>
    <bk>
      <rc t="1" v="1103"/>
    </bk>
    <bk>
      <rc t="1" v="1104"/>
    </bk>
    <bk>
      <rc t="1" v="1105"/>
    </bk>
    <bk>
      <rc t="1" v="1106"/>
    </bk>
    <bk>
      <rc t="1" v="1107"/>
    </bk>
    <bk>
      <rc t="1" v="1108"/>
    </bk>
    <bk>
      <rc t="1" v="1109"/>
    </bk>
    <bk>
      <rc t="1" v="1110"/>
    </bk>
    <bk>
      <rc t="1" v="1111"/>
    </bk>
    <bk>
      <rc t="1" v="1112"/>
    </bk>
    <bk>
      <rc t="1" v="1113"/>
    </bk>
    <bk>
      <rc t="1" v="1114"/>
    </bk>
    <bk>
      <rc t="1" v="1115"/>
    </bk>
    <bk>
      <rc t="1" v="1116"/>
    </bk>
    <bk>
      <rc t="1" v="1117"/>
    </bk>
    <bk>
      <rc t="1" v="1118"/>
    </bk>
    <bk>
      <rc t="1" v="1119"/>
    </bk>
    <bk>
      <rc t="1" v="1120"/>
    </bk>
    <bk>
      <rc t="1" v="1121"/>
    </bk>
    <bk>
      <rc t="1" v="1122"/>
    </bk>
    <bk>
      <rc t="1" v="1123"/>
    </bk>
    <bk>
      <rc t="1" v="1124"/>
    </bk>
    <bk>
      <rc t="1" v="1125"/>
    </bk>
    <bk>
      <rc t="1" v="1126"/>
    </bk>
    <bk>
      <rc t="1" v="1127"/>
    </bk>
    <bk>
      <rc t="1" v="1128"/>
    </bk>
    <bk>
      <rc t="1" v="1129"/>
    </bk>
    <bk>
      <rc t="1" v="1130"/>
    </bk>
    <bk>
      <rc t="1" v="1131"/>
    </bk>
    <bk>
      <rc t="1" v="1132"/>
    </bk>
    <bk>
      <rc t="1" v="1133"/>
    </bk>
    <bk>
      <rc t="1" v="1134"/>
    </bk>
    <bk>
      <rc t="1" v="1135"/>
    </bk>
    <bk>
      <rc t="1" v="1136"/>
    </bk>
    <bk>
      <rc t="1" v="1137"/>
    </bk>
    <bk>
      <rc t="1" v="1138"/>
    </bk>
    <bk>
      <rc t="1" v="1139"/>
    </bk>
    <bk>
      <rc t="1" v="1140"/>
    </bk>
    <bk>
      <rc t="1" v="1141"/>
    </bk>
    <bk>
      <rc t="1" v="1142"/>
    </bk>
    <bk>
      <rc t="1" v="1143"/>
    </bk>
    <bk>
      <rc t="1" v="1144"/>
    </bk>
    <bk>
      <rc t="1" v="1145"/>
    </bk>
    <bk>
      <rc t="1" v="1146"/>
    </bk>
    <bk>
      <rc t="1" v="1147"/>
    </bk>
    <bk>
      <rc t="1" v="1148"/>
    </bk>
    <bk>
      <rc t="1" v="1149"/>
    </bk>
    <bk>
      <rc t="1" v="1150"/>
    </bk>
    <bk>
      <rc t="1" v="1151"/>
    </bk>
    <bk>
      <rc t="1" v="1152"/>
    </bk>
    <bk>
      <rc t="1" v="1153"/>
    </bk>
    <bk>
      <rc t="1" v="1154"/>
    </bk>
    <bk>
      <rc t="1" v="1155"/>
    </bk>
    <bk>
      <rc t="1" v="1156"/>
    </bk>
    <bk>
      <rc t="1" v="1157"/>
    </bk>
    <bk>
      <rc t="1" v="1158"/>
    </bk>
    <bk>
      <rc t="1" v="1159"/>
    </bk>
    <bk>
      <rc t="1" v="1160"/>
    </bk>
    <bk>
      <rc t="1" v="1161"/>
    </bk>
    <bk>
      <rc t="1" v="1162"/>
    </bk>
    <bk>
      <rc t="1" v="1163"/>
    </bk>
    <bk>
      <rc t="1" v="1164"/>
    </bk>
    <bk>
      <rc t="1" v="1165"/>
    </bk>
    <bk>
      <rc t="1" v="1166"/>
    </bk>
    <bk>
      <rc t="1" v="1167"/>
    </bk>
    <bk>
      <rc t="1" v="1168"/>
    </bk>
    <bk>
      <rc t="1" v="1169"/>
    </bk>
    <bk>
      <rc t="1" v="1170"/>
    </bk>
    <bk>
      <rc t="1" v="1171"/>
    </bk>
    <bk>
      <rc t="1" v="1172"/>
    </bk>
    <bk>
      <rc t="1" v="1173"/>
    </bk>
    <bk>
      <rc t="1" v="1174"/>
    </bk>
    <bk>
      <rc t="1" v="1175"/>
    </bk>
    <bk>
      <rc t="1" v="1176"/>
    </bk>
    <bk>
      <rc t="1" v="1177"/>
    </bk>
    <bk>
      <rc t="1" v="1178"/>
    </bk>
    <bk>
      <rc t="1" v="1179"/>
    </bk>
    <bk>
      <rc t="1" v="1180"/>
    </bk>
    <bk>
      <rc t="1" v="1181"/>
    </bk>
    <bk>
      <rc t="1" v="1182"/>
    </bk>
    <bk>
      <rc t="1" v="1183"/>
    </bk>
    <bk>
      <rc t="1" v="1184"/>
    </bk>
    <bk>
      <rc t="1" v="1185"/>
    </bk>
    <bk>
      <rc t="1" v="1186"/>
    </bk>
    <bk>
      <rc t="1" v="1187"/>
    </bk>
    <bk>
      <rc t="1" v="1188"/>
    </bk>
    <bk>
      <rc t="1" v="1189"/>
    </bk>
    <bk>
      <rc t="1" v="1190"/>
    </bk>
    <bk>
      <rc t="1" v="1191"/>
    </bk>
    <bk>
      <rc t="1" v="1192"/>
    </bk>
    <bk>
      <rc t="1" v="1193"/>
    </bk>
    <bk>
      <rc t="1" v="1194"/>
    </bk>
    <bk>
      <rc t="1" v="1195"/>
    </bk>
    <bk>
      <rc t="1" v="1196"/>
    </bk>
    <bk>
      <rc t="1" v="1197"/>
    </bk>
    <bk>
      <rc t="1" v="1198"/>
    </bk>
    <bk>
      <rc t="1" v="1199"/>
    </bk>
    <bk>
      <rc t="1" v="1200"/>
    </bk>
    <bk>
      <rc t="1" v="1201"/>
    </bk>
    <bk>
      <rc t="1" v="1202"/>
    </bk>
    <bk>
      <rc t="1" v="1203"/>
    </bk>
    <bk>
      <rc t="1" v="1204"/>
    </bk>
    <bk>
      <rc t="1" v="1205"/>
    </bk>
    <bk>
      <rc t="1" v="1206"/>
    </bk>
    <bk>
      <rc t="1" v="1207"/>
    </bk>
    <bk>
      <rc t="1" v="1208"/>
    </bk>
    <bk>
      <rc t="1" v="1209"/>
    </bk>
    <bk>
      <rc t="1" v="1210"/>
    </bk>
    <bk>
      <rc t="1" v="1211"/>
    </bk>
    <bk>
      <rc t="1" v="1212"/>
    </bk>
    <bk>
      <rc t="1" v="1213"/>
    </bk>
    <bk>
      <rc t="1" v="1214"/>
    </bk>
    <bk>
      <rc t="1" v="1215"/>
    </bk>
    <bk>
      <rc t="1" v="1216"/>
    </bk>
    <bk>
      <rc t="1" v="1217"/>
    </bk>
    <bk>
      <rc t="1" v="1218"/>
    </bk>
    <bk>
      <rc t="1" v="1219"/>
    </bk>
    <bk>
      <rc t="1" v="1220"/>
    </bk>
    <bk>
      <rc t="1" v="1221"/>
    </bk>
    <bk>
      <rc t="1" v="1222"/>
    </bk>
    <bk>
      <rc t="1" v="1223"/>
    </bk>
    <bk>
      <rc t="1" v="1224"/>
    </bk>
  </valueMetadata>
</metadata>
</file>

<file path=xl/sharedStrings.xml><?xml version="1.0" encoding="utf-8"?>
<sst xmlns="http://schemas.openxmlformats.org/spreadsheetml/2006/main" count="8" uniqueCount="8">
  <si>
    <t>GDP and other output measures</t>
  </si>
  <si>
    <t>Column Labels</t>
  </si>
  <si>
    <t>Row Labels</t>
  </si>
  <si>
    <t>Original Source Data</t>
  </si>
  <si>
    <t>PENN</t>
  </si>
  <si>
    <t>Expenditure Approach</t>
  </si>
  <si>
    <t>Units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</si>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</sst>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0513063-08F3-4D20-8FFC-D2744690352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DESKTOP-KSAPEQM AS Model">
      <tp t="e">
        <v>#N/A</v>
        <stp>1</stp>
        <tr r="C7" s="1"/>
        <tr r="L36" s="1"/>
        <tr r="D39" s="1"/>
        <tr r="AK39" s="1"/>
        <tr r="R39" s="1"/>
        <tr r="G39" s="1"/>
        <tr r="B39" s="1"/>
        <tr r="AE39" s="1"/>
        <tr r="Z39" s="1"/>
        <tr r="J39" s="1"/>
        <tr r="AF39" s="1"/>
        <tr r="I39" s="1"/>
        <tr r="AB39" s="1"/>
        <tr r="T39" s="1"/>
        <tr r="AJ39" s="1"/>
        <tr r="H39" s="1"/>
        <tr r="P39" s="1"/>
        <tr r="U39" s="1"/>
        <tr r="AA39" s="1"/>
        <tr r="AG39" s="1"/>
        <tr r="W39" s="1"/>
        <tr r="O39" s="1"/>
        <tr r="V39" s="1"/>
        <tr r="Q39" s="1"/>
        <tr r="AD39" s="1"/>
        <tr r="M39" s="1"/>
        <tr r="C39" s="1"/>
        <tr r="S39" s="1"/>
        <tr r="L39" s="1"/>
        <tr r="K39" s="1"/>
        <tr r="E39" s="1"/>
        <tr r="X39" s="1"/>
        <tr r="AC39" s="1"/>
        <tr r="Y39" s="1"/>
        <tr r="N39" s="1"/>
        <tr r="F39" s="1"/>
        <tr r="AI39" s="1"/>
        <tr r="AH39" s="1"/>
        <tr r="AK10" s="1"/>
        <tr r="AK33" s="1"/>
        <tr r="AK27" s="1"/>
        <tr r="AK14" s="1"/>
        <tr r="AK11" s="1"/>
        <tr r="AK28" s="1"/>
        <tr r="AK12" s="1"/>
        <tr r="AK18" s="1"/>
        <tr r="AK34" s="1"/>
        <tr r="AK20" s="1"/>
        <tr r="AK13" s="1"/>
        <tr r="AK31" s="1"/>
        <tr r="AK17" s="1"/>
        <tr r="AK29" s="1"/>
        <tr r="AK38" s="1"/>
        <tr r="AK15" s="1"/>
        <tr r="AK21" s="1"/>
        <tr r="AK30" s="1"/>
        <tr r="AK16" s="1"/>
        <tr r="AB33" s="1"/>
        <tr r="AB20" s="1"/>
        <tr r="AB10" s="1"/>
        <tr r="AB11" s="1"/>
        <tr r="AB28" s="1"/>
        <tr r="AB35" s="1"/>
        <tr r="AB29" s="1"/>
        <tr r="AB34" s="1"/>
        <tr r="AB25" s="1"/>
        <tr r="AB31" s="1"/>
        <tr r="AB21" s="1"/>
        <tr r="AB27" s="1"/>
        <tr r="AB14" s="1"/>
        <tr r="AB7" s="1"/>
        <tr r="AB32" s="1"/>
        <tr r="S24" s="1"/>
        <tr r="E24" s="1"/>
        <tr r="C24" s="1"/>
        <tr r="D24" s="1"/>
        <tr r="M24" s="1"/>
        <tr r="J24" s="1"/>
        <tr r="W24" s="1"/>
        <tr r="Z24" s="1"/>
        <tr r="K24" s="1"/>
        <tr r="AD24" s="1"/>
        <tr r="AE24" s="1"/>
        <tr r="AG24" s="1"/>
        <tr r="L24" s="1"/>
        <tr r="AH24" s="1"/>
        <tr r="H24" s="1"/>
        <tr r="AK24" s="1"/>
        <tr r="V24" s="1"/>
        <tr r="O24" s="1"/>
        <tr r="AA24" s="1"/>
        <tr r="I24" s="1"/>
        <tr r="AF24" s="1"/>
        <tr r="Y24" s="1"/>
        <tr r="AI24" s="1"/>
        <tr r="G24" s="1"/>
        <tr r="X24" s="1"/>
        <tr r="AB24" s="1"/>
        <tr r="F24" s="1"/>
        <tr r="B24" s="1"/>
        <tr r="T24" s="1"/>
        <tr r="AC24" s="1"/>
        <tr r="Q24" s="1"/>
        <tr r="P24" s="1"/>
        <tr r="U24" s="1"/>
        <tr r="AC9" s="1"/>
        <tr r="Q9" s="1"/>
        <tr r="AK9" s="1"/>
        <tr r="Z9" s="1"/>
        <tr r="N9" s="1"/>
        <tr r="AB9" s="1"/>
        <tr r="AG9" s="1"/>
        <tr r="AA9" s="1"/>
        <tr r="P9" s="1"/>
        <tr r="AJ9" s="1"/>
        <tr r="V9" s="1"/>
        <tr r="C9" s="1"/>
        <tr r="O9" s="1"/>
        <tr r="M9" s="1"/>
        <tr r="AD9" s="1"/>
        <tr r="AF9" s="1"/>
        <tr r="G9" s="1"/>
        <tr r="E9" s="1"/>
        <tr r="Y9" s="1"/>
        <tr r="X9" s="1"/>
        <tr r="AE9" s="1"/>
        <tr r="L9" s="1"/>
        <tr r="H9" s="1"/>
        <tr r="R9" s="1"/>
        <tr r="D9" s="1"/>
        <tr r="S9" s="1"/>
        <tr r="T9" s="1"/>
        <tr r="J9" s="1"/>
        <tr r="AH9" s="1"/>
        <tr r="U9" s="1"/>
        <tr r="K9" s="1"/>
        <tr r="S18" s="1"/>
        <tr r="S20" s="1"/>
        <tr r="S27" s="1"/>
        <tr r="S11" s="1"/>
        <tr r="S10" s="1"/>
        <tr r="S16" s="1"/>
        <tr r="S32" s="1"/>
        <tr r="S29" s="1"/>
        <tr r="AI36" s="1"/>
        <tr r="B36" s="1"/>
        <tr r="Z36" s="1"/>
        <tr r="T36" s="1"/>
        <tr r="Q36" s="1"/>
        <tr r="F36" s="1"/>
        <tr r="N36" s="1"/>
        <tr r="X36" s="1"/>
        <tr r="K36" s="1"/>
        <tr r="D36" s="1"/>
        <tr r="S36" s="1"/>
        <tr r="AG36" s="1"/>
        <tr r="AE36" s="1"/>
        <tr r="E36" s="1"/>
        <tr r="AH36" s="1"/>
        <tr r="G36" s="1"/>
        <tr r="M36" s="1"/>
        <tr r="J36" s="1"/>
        <tr r="AK36" s="1"/>
        <tr r="V36" s="1"/>
        <tr r="AJ36" s="1"/>
        <tr r="AD36" s="1"/>
        <tr r="AF36" s="1"/>
        <tr r="O36" s="1"/>
        <tr r="AB36" s="1"/>
        <tr r="C36" s="1"/>
        <tr r="Y36" s="1"/>
        <tr r="I36" s="1"/>
        <tr r="V15" s="1"/>
        <tr r="V14" s="1"/>
        <tr r="V34" s="1"/>
        <tr r="V11" s="1"/>
        <tr r="V35" s="1"/>
        <tr r="V37" s="1"/>
        <tr r="V30" s="1"/>
        <tr r="V38" s="1"/>
        <tr r="V28" s="1"/>
        <tr r="V10" s="1"/>
        <tr r="V31" s="1"/>
        <tr r="V33" s="1"/>
        <tr r="N26" s="1"/>
        <tr r="I26" s="1"/>
        <tr r="J26" s="1"/>
        <tr r="AE26" s="1"/>
        <tr r="AJ26" s="1"/>
        <tr r="P26" s="1"/>
        <tr r="H26" s="1"/>
        <tr r="G26" s="1"/>
        <tr r="O26" s="1"/>
        <tr r="U26" s="1"/>
        <tr r="X26" s="1"/>
        <tr r="AF26" s="1"/>
        <tr r="F26" s="1"/>
        <tr r="C26" s="1"/>
        <tr r="AK26" s="1"/>
        <tr r="K26" s="1"/>
        <tr r="W26" s="1"/>
        <tr r="L26" s="1"/>
        <tr r="AB26" s="1"/>
        <tr r="AC26" s="1"/>
        <tr r="AD26" s="1"/>
        <tr r="B26" s="1"/>
        <tr r="E26" s="1"/>
        <tr r="T26" s="1"/>
        <tr r="V26" s="1"/>
        <tr r="S26" s="1"/>
        <tr r="R26" s="1"/>
        <tr r="Y26" s="1"/>
        <tr r="Q26" s="1"/>
        <tr r="W18" s="1"/>
        <tr r="W10" s="1"/>
        <tr r="W34" s="1"/>
        <tr r="W31" s="1"/>
        <tr r="W37" s="1"/>
        <tr r="W14" s="1"/>
        <tr r="W29" s="1"/>
        <tr r="W13" s="1"/>
        <tr r="W25" s="1"/>
        <tr r="J22" s="1"/>
        <tr r="AB22" s="1"/>
        <tr r="D22" s="1"/>
        <tr r="AA22" s="1"/>
        <tr r="Z22" s="1"/>
        <tr r="I22" s="1"/>
        <tr r="AJ22" s="1"/>
        <tr r="R22" s="1"/>
        <tr r="C22" s="1"/>
        <tr r="AD22" s="1"/>
        <tr r="X22" s="1"/>
        <tr r="N22" s="1"/>
        <tr r="G22" s="1"/>
        <tr r="AK22" s="1"/>
        <tr r="E22" s="1"/>
        <tr r="B22" s="1"/>
        <tr r="AC22" s="1"/>
        <tr r="F22" s="1"/>
        <tr r="AI22" s="1"/>
        <tr r="S22" s="1"/>
        <tr r="AH22" s="1"/>
        <tr r="O22" s="1"/>
        <tr r="AE10" s="1"/>
        <tr r="AE14" s="1"/>
        <tr r="AE15" s="1"/>
        <tr r="AE33" s="1"/>
        <tr r="AE16" s="1"/>
        <tr r="AE29" s="1"/>
        <tr r="AE31" s="1"/>
        <tr r="AE20" s="1"/>
        <tr r="AE30" s="1"/>
        <tr r="AE21" s="1"/>
        <tr r="AE18" s="1"/>
        <tr r="AE34" s="1"/>
        <tr r="AD34" s="1"/>
        <tr r="AD11" s="1"/>
        <tr r="AD21" s="1"/>
        <tr r="AD29" s="1"/>
        <tr r="AD30" s="1"/>
        <tr r="AD33" s="1"/>
        <tr r="AD14" s="1"/>
        <tr r="AD20" s="1"/>
        <tr r="AD16" s="1"/>
        <tr r="AD15" s="1"/>
        <tr r="AD12" s="1"/>
        <tr r="AD10" s="1"/>
        <tr r="O20" s="1"/>
        <tr r="O33" s="1"/>
        <tr r="O18" s="1"/>
        <tr r="O10" s="1"/>
        <tr r="O34" s="1"/>
        <tr r="O21" s="1"/>
        <tr r="R25" s="1"/>
        <tr r="I25" s="1"/>
        <tr r="T25" s="1"/>
        <tr r="S25" s="1"/>
        <tr r="E25" s="1"/>
        <tr r="AD25" s="1"/>
        <tr r="V25" s="1"/>
        <tr r="AF25" s="1"/>
        <tr r="N25" s="1"/>
        <tr r="Y25" s="1"/>
        <tr r="AA25" s="1"/>
        <tr r="J25" s="1"/>
        <tr r="U25" s="1"/>
        <tr r="Q25" s="1"/>
        <tr r="F25" s="1"/>
        <tr r="M25" s="1"/>
        <tr r="AJ25" s="1"/>
        <tr r="AG25" s="1"/>
        <tr r="B25" s="1"/>
        <tr r="X25" s="1"/>
        <tr r="AK25" s="1"/>
        <tr r="AC25" s="1"/>
        <tr r="AJ13" s="1"/>
        <tr r="D13" s="1"/>
        <tr r="K13" s="1"/>
        <tr r="J13" s="1"/>
        <tr r="X13" s="1"/>
        <tr r="N13" s="1"/>
        <tr r="C13" s="1"/>
        <tr r="AB13" s="1"/>
        <tr r="AG13" s="1"/>
        <tr r="G13" s="1"/>
        <tr r="AI13" s="1"/>
        <tr r="H13" s="1"/>
        <tr r="T13" s="1"/>
        <tr r="AF13" s="1"/>
        <tr r="AC13" s="1"/>
        <tr r="B13" s="1"/>
        <tr r="Q13" s="1"/>
        <tr r="I13" s="1"/>
        <tr r="AA13" s="1"/>
        <tr r="AD13" s="1"/>
        <tr r="M13" s="1"/>
        <tr r="Y13" s="1"/>
        <tr r="AH13" s="1"/>
        <tr r="AE13" s="1"/>
        <tr r="O13" s="1"/>
        <tr r="Z10" s="1"/>
        <tr r="Z34" s="1"/>
        <tr r="Z15" s="1"/>
        <tr r="Z14" s="1"/>
        <tr r="Z18" s="1"/>
        <tr r="Z30" s="1"/>
        <tr r="Z28" s="1"/>
        <tr r="Z16" s="1"/>
        <tr r="Z31" s="1"/>
        <tr r="Z11" s="1"/>
        <tr r="Z33" s="1"/>
        <tr r="Z12" s="1"/>
        <tr r="D19" s="1"/>
        <tr r="S19" s="1"/>
        <tr r="P19" s="1"/>
        <tr r="AD19" s="1"/>
        <tr r="M19" s="1"/>
        <tr r="V19" s="1"/>
        <tr r="U19" s="1"/>
        <tr r="B19" s="1"/>
        <tr r="O19" s="1"/>
        <tr r="G19" s="1"/>
        <tr r="Y19" s="1"/>
        <tr r="Z19" s="1"/>
        <tr r="W19" s="1"/>
        <tr r="Q19" s="1"/>
        <tr r="AC19" s="1"/>
        <tr r="X19" s="1"/>
        <tr r="AK19" s="1"/>
        <tr r="R19" s="1"/>
        <tr r="AF19" s="1"/>
        <tr r="AI19" s="1"/>
        <tr r="AE19" s="1"/>
        <tr r="N19" s="1"/>
        <tr r="T19" s="1"/>
        <tr r="B10" s="1"/>
        <tr r="B11" s="1"/>
        <tr r="B29" s="1"/>
        <tr r="B14" s="1"/>
        <tr r="B31" s="1"/>
        <tr r="B30" s="1"/>
        <tr r="B35" s="1"/>
        <tr r="B21" s="1"/>
        <tr r="B38" s="1"/>
        <tr r="B20" s="1"/>
        <tr r="B28" s="1"/>
        <tr r="K10" s="1"/>
        <tr r="K33" s="1"/>
        <tr r="K11" s="1"/>
        <tr r="K28" s="1"/>
        <tr r="K17" s="1"/>
        <tr r="K34" s="1"/>
        <tr r="K14" s="1"/>
        <tr r="K29" s="1"/>
        <tr r="I10" s="1"/>
        <tr r="I18" s="1"/>
        <tr r="I33" s="1"/>
        <tr r="I29" s="1"/>
        <tr r="I34" s="1"/>
        <tr r="I30" s="1"/>
        <tr r="E23" s="1"/>
        <tr r="C23" s="1"/>
        <tr r="T23" s="1"/>
        <tr r="K23" s="1"/>
        <tr r="N23" s="1"/>
        <tr r="J23" s="1"/>
        <tr r="X23" s="1"/>
        <tr r="W23" s="1"/>
        <tr r="H23" s="1"/>
        <tr r="AK23" s="1"/>
        <tr r="Z23" s="1"/>
        <tr r="V23" s="1"/>
        <tr r="AA23" s="1"/>
        <tr r="AJ23" s="1"/>
        <tr r="D23" s="1"/>
        <tr r="B23" s="1"/>
        <tr r="L23" s="1"/>
        <tr r="Q23" s="1"/>
        <tr r="AE23" s="1"/>
        <tr r="M23" s="1"/>
        <tr r="O23" s="1"/>
        <tr r="AH23" s="1"/>
        <tr r="AC23" s="1"/>
        <tr r="S23" s="1"/>
        <tr r="AB23" s="1"/>
        <tr r="AG23" s="1"/>
        <tr r="AD23" s="1"/>
        <tr r="R23" s="1"/>
        <tr r="P33" s="1"/>
        <tr r="P35" s="1"/>
        <tr r="P10" s="1"/>
        <tr r="M14" s="1"/>
        <tr r="M18" s="1"/>
        <tr r="M10" s="1"/>
        <tr r="M29" s="1"/>
        <tr r="M20" s="1"/>
        <tr r="M28" s="1"/>
        <tr r="M21" s="1"/>
        <tr r="W7" s="1"/>
        <tr r="N7" s="1"/>
        <tr r="Y7" s="1"/>
        <tr r="AG7" s="1"/>
        <tr r="I7" s="1"/>
        <tr r="AE7" s="1"/>
        <tr r="AK7" s="1"/>
        <tr r="Q7" s="1"/>
        <tr r="AJ7" s="1"/>
        <tr r="S7" s="1"/>
        <tr r="B7" s="1"/>
        <tr r="U7" s="1"/>
        <tr r="J7" s="1"/>
        <tr r="K7" s="1"/>
        <tr r="AD7" s="1"/>
        <tr r="AF7" s="1"/>
        <tr r="AI7" s="1"/>
        <tr r="V7" s="1"/>
        <tr r="Z7" s="1"/>
        <tr r="G7" s="1"/>
        <tr r="D7" s="1"/>
        <tr r="X34" s="1"/>
        <tr r="X14" s="1"/>
        <tr r="X10" s="1"/>
        <tr r="X21" s="1"/>
        <tr r="X16" s="1"/>
        <tr r="X33" s="1"/>
        <tr r="X37" s="1"/>
        <tr r="AD32" s="1"/>
        <tr r="H32" s="1"/>
        <tr r="F32" s="1"/>
        <tr r="W32" s="1"/>
        <tr r="V32" s="1"/>
        <tr r="M32" s="1"/>
        <tr r="O32" s="1"/>
        <tr r="AI32" s="1"/>
        <tr r="X32" s="1"/>
        <tr r="I32" s="1"/>
        <tr r="Z32" s="1"/>
        <tr r="AC32" s="1"/>
        <tr r="AH32" s="1"/>
        <tr r="N32" s="1"/>
        <tr r="Y32" s="1"/>
        <tr r="AK32" s="1"/>
        <tr r="Q32" s="1"/>
        <tr r="B12" s="1"/>
        <tr r="E12" s="1"/>
        <tr r="Q12" s="1"/>
        <tr r="G12" s="1"/>
        <tr r="AF12" s="1"/>
        <tr r="S12" s="1"/>
        <tr r="W12" s="1"/>
        <tr r="AB12" s="1"/>
        <tr r="K12" s="1"/>
        <tr r="X12" s="1"/>
        <tr r="P12" s="1"/>
        <tr r="V12" s="1"/>
        <tr r="D12" s="1"/>
        <tr r="Y12" s="1"/>
        <tr r="U12" s="1"/>
        <tr r="H12" s="1"/>
        <tr r="L12" s="1"/>
        <tr r="T12" s="1"/>
        <tr r="O12" s="1"/>
        <tr r="N12" s="1"/>
        <tr r="AC12" s="1"/>
        <tr r="F12" s="1"/>
        <tr r="AE12" s="1"/>
        <tr r="J12" s="1"/>
        <tr r="R12" s="1"/>
        <tr r="AI18" s="1"/>
        <tr r="AI11" s="1"/>
        <tr r="AI20" s="1"/>
        <tr r="AI21" s="1"/>
        <tr r="AI30" s="1"/>
        <tr r="AI29" s="1"/>
        <tr r="AG10" s="1"/>
        <tr r="AG11" s="1"/>
        <tr r="AG20" s="1"/>
        <tr r="AG27" s="1"/>
        <tr r="AG28" s="1"/>
        <tr r="AG33" s="1"/>
        <tr r="AG30" s="1"/>
        <tr r="AG38" s="1"/>
        <tr r="A39" s="1"/>
        <tr r="D38" s="1"/>
        <tr r="AE38" s="1"/>
        <tr r="U38" s="1"/>
        <tr r="O38" s="1"/>
        <tr r="AH38" s="1"/>
        <tr r="I38" s="1"/>
        <tr r="S38" s="1"/>
        <tr r="T38" s="1"/>
        <tr r="W38" s="1"/>
        <tr r="AB38" s="1"/>
        <tr r="E38" s="1"/>
        <tr r="P38" s="1"/>
        <tr r="H38" s="1"/>
        <tr r="M38" s="1"/>
        <tr r="R38" s="1"/>
        <tr r="U18" s="1"/>
        <tr r="U33" s="1"/>
        <tr r="U30" s="1"/>
        <tr r="U27" s="1"/>
        <tr r="U11" s="1"/>
        <tr r="AH18" s="1"/>
        <tr r="AH29" s="1"/>
        <tr r="AH21" s="1"/>
        <tr r="V17" s="1"/>
        <tr r="G17" s="1"/>
        <tr r="AH17" s="1"/>
        <tr r="AC17" s="1"/>
        <tr r="H17" s="1"/>
        <tr r="AB17" s="1"/>
        <tr r="AD17" s="1"/>
        <tr r="AE17" s="1"/>
        <tr r="F17" s="1"/>
        <tr r="S17" s="1"/>
        <tr r="Z17" s="1"/>
        <tr r="AG17" s="1"/>
        <tr r="D17" s="1"/>
        <tr r="Q17" s="1"/>
        <tr r="C17" s="1"/>
        <tr r="P17" s="1"/>
        <tr r="W17" s="1"/>
        <tr r="R17" s="1"/>
        <tr r="AC34" s="1"/>
        <tr r="AC33" s="1"/>
        <tr r="AC15" s="1"/>
        <tr r="AC16" s="1"/>
        <tr r="AC18" s="1"/>
        <tr r="AI37" s="1"/>
        <tr r="N37" s="1"/>
        <tr r="D37" s="1"/>
        <tr r="AK37" s="1"/>
        <tr r="Z37" s="1"/>
        <tr r="AH37" s="1"/>
        <tr r="S37" s="1"/>
        <tr r="AB37" s="1"/>
        <tr r="AC37" s="1"/>
        <tr r="J37" s="1"/>
        <tr r="O37" s="1"/>
        <tr r="Y37" s="1"/>
        <tr r="I37" s="1"/>
        <tr r="AE37" s="1"/>
        <tr r="B37" s="1"/>
        <tr r="R37" s="1"/>
        <tr r="AD37" s="1"/>
        <tr r="Q18" s="1"/>
        <tr r="Q14" s="1"/>
        <tr r="AA33" s="1"/>
        <tr r="AA16" s="1"/>
        <tr r="G31" s="1"/>
        <tr r="Q31" s="1"/>
        <tr r="X31" s="1"/>
        <tr r="P31" s="1"/>
        <tr r="AI31" s="1"/>
        <tr r="AD31" s="1"/>
        <tr r="E31" s="1"/>
        <tr r="O31" s="1"/>
        <tr r="I31" s="1"/>
        <tr r="Y31" s="1"/>
        <tr r="S31" s="1"/>
        <tr r="L31" s="1"/>
        <tr r="C31" s="1"/>
        <tr r="D31" s="1"/>
        <tr r="J31" s="1"/>
        <tr r="H31" s="1"/>
        <tr r="AJ31" s="1"/>
        <tr r="D35" s="1"/>
        <tr r="S35" s="1"/>
        <tr r="AH35" s="1"/>
        <tr r="AA35" s="1"/>
        <tr r="X35" s="1"/>
        <tr r="AI35" s="1"/>
        <tr r="Z35" s="1"/>
        <tr r="AK35" s="1"/>
        <tr r="H35" s="1"/>
        <tr r="J35" s="1"/>
        <tr r="W35" s="1"/>
        <tr r="AC35" s="1"/>
        <tr r="O35" s="1"/>
        <tr r="R35" s="1"/>
        <tr r="I35" s="1"/>
        <tr r="K35" s="1"/>
        <tr r="AG35" s="1"/>
        <tr r="AK6" s="1"/>
        <tr r="AJ10" s="1"/>
        <tr r="AJ34" s="1"/>
        <tr r="N20" s="1"/>
        <tr r="N14" s="1"/>
        <tr r="N27" s="1"/>
        <tr r="H29" s="1"/>
        <tr r="H30" s="1"/>
        <tr r="H34" s="1"/>
        <tr r="P16" s="1"/>
        <tr r="G16" s="1"/>
        <tr r="AG16" s="1"/>
        <tr r="W16" s="1"/>
        <tr r="F16" s="1"/>
        <tr r="AF16" s="1"/>
        <tr r="B16" s="1"/>
        <tr r="AB16" s="1"/>
        <tr r="D16" s="1"/>
        <tr r="R16" s="1"/>
        <tr r="V16" s="1"/>
        <tr r="F10" s="1"/>
        <tr r="F18" s="1"/>
        <tr r="F30" s="1"/>
        <tr r="Q28" s="1"/>
        <tr r="AI28" s="1"/>
        <tr r="W28" s="1"/>
        <tr r="T28" s="1"/>
        <tr r="AE28" s="1"/>
        <tr r="O28" s="1"/>
        <tr r="P28" s="1"/>
        <tr r="S28" s="1"/>
        <tr r="C28" s="1"/>
        <tr r="AD28" s="1"/>
        <tr r="E28" s="1"/>
        <tr r="J28" s="1"/>
        <tr r="G28" s="1"/>
        <tr r="AJ28" s="1"/>
        <tr r="G30" s="1"/>
        <tr r="J30" s="1"/>
        <tr r="AJ30" s="1"/>
        <tr r="P30" s="1"/>
        <tr r="Q30" s="1"/>
        <tr r="X30" s="1"/>
        <tr r="O30" s="1"/>
        <tr r="AC30" s="1"/>
        <tr r="S30" s="1"/>
        <tr r="Y30" s="1"/>
        <tr r="W30" s="1"/>
        <tr r="AJ21" s="1"/>
        <tr r="V21" s="1"/>
        <tr r="P21" s="1"/>
        <tr r="N21" s="1"/>
        <tr r="H21" s="1"/>
        <tr r="W21" s="1"/>
        <tr r="Z21" s="1"/>
        <tr r="C21" s="1"/>
        <tr r="AG21" s="1"/>
        <tr r="Y29" s="1"/>
        <tr r="T29" s="1"/>
        <tr r="V29" s="1"/>
        <tr r="AC29" s="1"/>
        <tr r="O29" s="1"/>
        <tr r="W15" s="1"/>
        <tr r="AG15" s="1"/>
        <tr r="M15" s="1"/>
        <tr r="U15" s="1"/>
        <tr r="Y15" s="1"/>
        <tr r="AI15" s="1"/>
        <tr r="J15" s="1"/>
        <tr r="S15" s="1"/>
        <tr r="AJ27" s="1"/>
        <tr r="AE27" s="1"/>
        <tr r="O27" s="1"/>
        <tr r="X27" s="1"/>
        <tr r="AH27" s="1"/>
        <tr r="AA27" s="1"/>
        <tr r="AC27" s="1"/>
        <tr r="Y27" s="1"/>
        <tr r="R27" s="1"/>
        <tr r="AF27" s="1"/>
        <tr r="V27" s="1"/>
        <tr r="K27" s="1"/>
        <tr r="W27" s="1"/>
        <tr r="X11" s="1"/>
        <tr r="H11" s="1"/>
        <tr r="N11" s="1"/>
        <tr r="D11" s="1"/>
        <tr r="AH11" s="1"/>
        <tr r="Q11" s="1"/>
        <tr r="I11" s="1"/>
        <tr r="AE11" s="1"/>
        <tr r="M11" s="1"/>
        <tr r="AI33" s="1"/>
        <tr r="S33" s="1"/>
        <tr r="R33" s="1"/>
        <tr r="M33" s="1"/>
        <tr r="Z20" s="1"/>
        <tr r="U20" s="1"/>
        <tr r="G20" s="1"/>
        <tr r="AF20" s="1"/>
        <tr r="K20" s="1"/>
        <tr r="D20" s="1"/>
        <tr r="S14" s="1"/>
        <tr r="I14" s="1"/>
        <tr r="AC14" s="1"/>
        <tr r="H14" s="1"/>
        <tr r="O14" s="1"/>
        <tr r="U34" s="1"/>
        <tr r="B34" s="1"/>
        <tr r="P18" s="1"/>
        <tr r="V18" s="1"/>
        <tr r="AB18" s="1"/>
        <tr r="M37" s="1"/>
        <tr r="AF22" s="1"/>
        <tr r="Y22" s="1"/>
        <tr r="P22" s="1"/>
        <tr r="P11" s="1"/>
        <tr r="AC36" s="1"/>
        <tr r="K22" s="1"/>
        <tr r="E14" s="1"/>
        <tr r="Y14" s="1"/>
        <tr r="AE35" s="1"/>
        <tr r="B9" s="1"/>
        <tr r="U35" s="1"/>
        <tr r="U14" s="1"/>
        <tr r="L35" s="1"/>
        <tr r="AH12" s="1"/>
        <tr r="O17" s="1"/>
        <tr r="O16" s="1"/>
        <tr r="S34" s="1"/>
        <tr r="H20" s="1"/>
        <tr r="F19" s="1"/>
        <tr r="K37" s="1"/>
        <tr r="AB19" s="1"/>
        <tr r="Q35" s="1"/>
        <tr r="N18" s="1"/>
        <tr r="R10" s="1"/>
        <tr r="I17" s="1"/>
        <tr r="P36" s="1"/>
        <tr r="F23" s="1"/>
        <tr r="S21" s="1"/>
        <tr r="W9" s="1"/>
        <tr r="Z25" s="1"/>
        <tr r="AC7" s="1"/>
        <tr r="AI23" s="1"/>
        <tr r="J19" s="1"/>
        <tr r="AC31" s="1"/>
        <tr r="E18" s="1"/>
        <tr r="L37" s="1"/>
        <tr r="AF37" s="1"/>
        <tr r="AJ24" s="1"/>
        <tr r="D25" s="1"/>
        <tr r="AF23" s="1"/>
        <tr r="I9" s="1"/>
        <tr r="AJ33" s="1"/>
        <tr r="Z38" s="1"/>
        <tr r="AF10" s="1"/>
        <tr r="AA32" s="1"/>
        <tr r="AA21" s="1"/>
        <tr r="H25" s="1"/>
        <tr r="P7" s="1"/>
        <tr r="P13" s="1"/>
        <tr r="AH26" s="1"/>
        <tr r="Y33" s="1"/>
        <tr r="E19" s="1"/>
        <tr r="J17" s="1"/>
        <tr r="G32" s="1"/>
        <tr r="B17" s="1"/>
        <tr r="F9" s="1"/>
        <tr r="N24" s="1"/>
        <tr r="Q16" s="1"/>
        <tr r="X28" s="1"/>
        <tr r="D14" s="1"/>
        <tr r="O15" s="1"/>
        <tr r="AC21" s="1"/>
        <tr r="H36" s="1"/>
        <tr r="C19" s="1"/>
        <tr r="AB30" s="1"/>
        <tr r="N35" s="1"/>
        <tr r="AA34" s="1"/>
        <tr r="B32" s="1"/>
        <tr r="AJ16" s="1"/>
        <tr r="AB15" s="1"/>
        <tr r="N30" s="1"/>
        <tr r="L38" s="1"/>
        <tr r="W22" s="1"/>
        <tr r="L19" s="1"/>
        <tr r="AF14" s="1"/>
        <tr r="F13" s="1"/>
        <tr r="AG26" s="1"/>
        <tr r="J32" s="1"/>
        <tr r="H7" s="1"/>
        <tr r="M7" s="1"/>
        <tr r="U37" s="1"/>
        <tr r="AA36" s="1"/>
        <tr r="U32" s="1"/>
        <tr r="AJ17" s="1"/>
        <tr r="E10" s="1"/>
        <tr r="L22" s="1"/>
        <tr r="AB6" s="1"/>
        <tr r="AA17" s="1"/>
        <tr r="U29" s="1"/>
        <tr r="AJ32" s="1"/>
        <tr r="R24" s="1"/>
        <tr r="U31" s="1"/>
        <tr r="H22" s="1"/>
        <tr r="H18" s="1"/>
        <tr r="I28" s="1"/>
        <tr r="A24" s="1"/>
        <tr r="Z26" s="1"/>
        <tr r="AA28" s="1"/>
        <tr r="R36" s="1"/>
        <tr r="C30" s="1"/>
        <tr r="AG19" s="1"/>
        <tr r="H28" s="1"/>
        <tr r="T21" s="1"/>
        <tr r="B15" s="1"/>
        <tr r="D32" s="1"/>
        <tr r="U22" s="1"/>
        <tr r="K16" s="1"/>
        <tr r="AI9" s="1"/>
        <tr r="AE32" s="1"/>
        <tr r="T35" s="1"/>
        <tr r="M12" s="1"/>
        <tr r="G15" s="1"/>
        <tr r="V20" s="1"/>
        <tr r="J29" s="1"/>
        <tr r="F28" s="1"/>
        <tr r="F34" s="1"/>
        <tr r="O11" s="1"/>
        <tr r="AE22" s="1"/>
        <tr r="N17" s="1"/>
        <tr r="L10" s="1"/>
        <tr r="K21" s="1"/>
        <tr r="K32" s="1"/>
        <tr r="W36" s="1"/>
        <tr r="J38" s="1"/>
        <tr r="AA26" s="1"/>
        <tr r="AJ15" s="1"/>
        <tr r="P23" s="1"/>
        <tr r="Q10" s="1"/>
        <tr r="M34" s="1"/>
        <tr r="AA20" s="1"/>
        <tr r="AG31" s="1"/>
        <tr r="B18" s="1"/>
        <tr r="B33" s="1"/>
        <tr r="O7" s="1"/>
        <tr r="D15" s="1"/>
        <tr r="X29" s="1"/>
        <tr r="Y16" s="1"/>
        <tr r="Q33" s="1"/>
        <tr r="C25" s="1"/>
        <tr r="AH34" s="1"/>
        <tr r="L25" s="1"/>
        <tr r="L30" s="1"/>
        <tr r="AJ12" s="1"/>
        <tr r="AJ18" s="1"/>
        <tr r="T11" s="1"/>
        <tr r="U36" s="1"/>
        <tr r="J34" s="1"/>
        <tr r="M35" s="1"/>
        <tr r="M22" s="1"/>
        <tr r="AI25" s="1"/>
        <tr r="P27" s="1"/>
        <tr r="P29" s="1"/>
        <tr r="A9" s="1"/>
        <tr r="E29" s="1"/>
        <tr r="G18" s="1"/>
        <tr r="Q22" s="1"/>
        <tr r="AI26" s="1"/>
        <tr r="AG22" s="1"/>
        <tr r="W33" s="1"/>
        <tr r="S13" s="1"/>
        <tr r="S6" s="1"/>
        <tr r="A36" s="1"/>
        <tr r="C37" s="1"/>
        <tr r="T31" s="1"/>
        <tr r="U17" s="1"/>
        <tr r="AD27" s="1"/>
        <tr r="C11" s="1"/>
        <tr r="AH30" s="1"/>
        <tr r="E15" s="1"/>
        <tr r="I16" s="1"/>
        <tr r="T7" s="1"/>
        <tr r="E32" s="1"/>
        <tr r="AF35" s="1"/>
        <tr r="L17" s="1"/>
        <tr r="AJ38" s="1"/>
        <tr r="E33" s="1"/>
        <tr r="R13" s="1"/>
        <tr r="I21" s="1"/>
        <tr r="J18" s="1"/>
        <tr r="B27" s="1"/>
        <tr r="C16" s="1"/>
        <tr r="AA15" s="1"/>
        <tr r="J10" s="1"/>
        <tr r="K18" s="1"/>
        <tr r="G14" s="1"/>
        <tr r="G25" s="1"/>
        <tr r="F31" s="1"/>
        <tr r="K31" s="1"/>
        <tr r="P25" s="1"/>
        <tr r="L16" s="1"/>
        <tr r="AF38" s="1"/>
        <tr r="I27" s="1"/>
        <tr r="U13" s="1"/>
        <tr r="M17" s="1"/>
        <tr r="AH10" s="1"/>
        <tr r="AH25" s="1"/>
        <tr r="L33" s="1"/>
        <tr r="G35" s="1"/>
        <tr r="T22" s="1"/>
        <tr r="M26" s="1"/>
        <tr r="E16" s="1"/>
        <tr r="AA12" s="1"/>
        <tr r="P32" s="1"/>
        <tr r="P37" s="1"/>
        <tr r="E13" s="1"/>
        <tr r="D26" s="1"/>
        <tr r="X18" s="1"/>
        <tr r="V13" s="1"/>
        <tr r="O25" s="1"/>
        <tr r="V22" s="1"/>
        <tr r="AE25" s="1"/>
        <tr r="C33" s="1"/>
        <tr r="T34" s="1"/>
        <tr r="AJ20" s="1"/>
        <tr r="V6" s="1"/>
        <tr r="K25" s="1"/>
        <tr r="W11" s="1"/>
        <tr r="Q37" s="1"/>
        <tr r="E37" s="1"/>
        <tr r="Z13" s="1"/>
        <tr r="W20" s="1"/>
        <tr r="A26" s="1"/>
        <tr r="W6" s="1"/>
        <tr r="N33" s="1"/>
        <tr r="Y38" s="1"/>
        <tr r="L27" s="1"/>
        <tr r="A22" s="1"/>
        <tr r="U21" s="1"/>
        <tr r="Z27" s="1"/>
        <tr r="R11" s="1"/>
        <tr r="Y20" s="1"/>
        <tr r="F27" s="1"/>
        <tr r="AG14" s="1"/>
        <tr r="AE6" s="1"/>
        <tr r="R28" s="1"/>
        <tr r="AD38" s="1"/>
        <tr r="AA18" s="1"/>
        <tr r="R29" s="1"/>
        <tr r="E30" s="1"/>
        <tr r="K19" s="1"/>
        <tr r="Y21" s="1"/>
        <tr r="Q15" s="1"/>
        <tr r="D34" s="1"/>
        <tr r="N31" s="1"/>
        <tr r="H16" s="1"/>
        <tr r="F7" s="1"/>
        <tr r="T32" s="1"/>
        <tr r="U23" s="1"/>
        <tr r="H10" s="1"/>
        <tr r="AF31" s="1"/>
        <tr r="AG18" s="1"/>
        <tr r="H19" s="1"/>
        <tr r="AG32" s="1"/>
        <tr r="AH19" s="1"/>
        <tr r="K38" s="1"/>
        <tr r="E7" s="1"/>
        <tr r="C20" s="1"/>
        <tr r="C18" s="1"/>
        <tr r="Q29" s="1"/>
        <tr r="C35" s="1"/>
        <tr r="E20" s="1"/>
        <tr r="AI17" s="1"/>
        <tr r="Y17" s="1"/>
        <tr r="Q38" s="1"/>
        <tr r="AD18" s="1"/>
        <tr r="AD35" s="1"/>
        <tr r="G34" s="1"/>
        <tr r="P15" s="1"/>
        <tr r="AJ37" s="1"/>
        <tr r="I19" s="1"/>
        <tr r="X7" s="1"/>
        <tr r="C34" s="1"/>
        <tr r="AG12" s="1"/>
        <tr r="I15" s="1"/>
        <tr r="I20" s="1"/>
        <tr r="H33" s="1"/>
        <tr r="T18" s="1"/>
        <tr r="U16" s="1"/>
        <tr r="AH14" s="1"/>
        <tr r="Z29" s="1"/>
        <tr r="AD6" s="1"/>
        <tr r="I12" s="1"/>
        <tr r="O6" s="1"/>
        <tr r="L13" s="1"/>
        <tr r="A25" s="1"/>
        <tr r="A13" s="1"/>
        <tr r="Z6" s="1"/>
        <tr r="AA19" s="1"/>
        <tr r="X38" s="1"/>
        <tr r="AI34" s="1"/>
        <tr r="AC28" s="1"/>
        <tr r="AJ29" s="1"/>
        <tr r="R34" s="1"/>
        <tr r="AA38" s="1"/>
        <tr r="P34" s="1"/>
        <tr r="L11" s="1"/>
        <tr r="AA11" s="1"/>
        <tr r="F38" s="1"/>
        <tr r="AA7" s="1"/>
        <tr r="R32" s="1"/>
        <tr r="R30" s="1"/>
        <tr r="AJ19" s="1"/>
        <tr r="G21" s="1"/>
        <tr r="X15" s="1"/>
        <tr r="R31" s="1"/>
        <tr r="M16" s="1"/>
        <tr r="AH7" s="1"/>
        <tr r="AH28" s="1"/>
        <tr r="G23" s="1"/>
        <tr r="AC11" s="1"/>
        <tr r="Y35" s="1"/>
        <tr r="R14" s="1"/>
        <tr r="N34" s="1"/>
        <tr r="L7" s="1"/>
        <tr r="AI10" s="1"/>
        <tr r="K15" s="1"/>
        <tr r="AH16" s="1"/>
        <tr r="R7" s="1"/>
        <tr r="AI27" s="1"/>
        <tr r="AI38" s="1"/>
        <tr r="AF17" s="1"/>
        <tr r="I23" s="1"/>
        <tr r="U10" s="1"/>
        <tr r="M31" s="1"/>
        <tr r="M30" s="1"/>
        <tr r="C27" s="1"/>
        <tr r="AF30" s="1"/>
        <tr r="K30" s="1"/>
        <tr r="E27" s="1"/>
        <tr r="M27" s="1"/>
        <tr r="AF32" s="1"/>
        <tr r="A19" s="1"/>
        <tr r="Y23" s="1"/>
        <tr r="AG34" s="1"/>
        <tr r="P14" s="1"/>
        <tr r="B6" s="1"/>
        <tr r="F37" s="1"/>
        <tr r="P20" s="1"/>
        <tr r="K6" s="1"/>
        <tr r="I6" s="1"/>
        <tr r="G37" s="1"/>
        <tr r="A23" s="1"/>
        <tr r="T37" s="1"/>
        <tr r="P6" s="1"/>
        <tr r="M6" s="1"/>
        <tr r="J11" s="1"/>
        <tr r="A7" s="1"/>
        <tr r="AJ35" s="1"/>
        <tr r="T33" s="1"/>
        <tr r="D27" s="1"/>
        <tr r="N38" s="1"/>
        <tr r="AA37" s="1"/>
        <tr r="AA30" s="1"/>
        <tr r="E21" s="1"/>
        <tr r="X17" s="1"/>
        <tr r="AI16" s="1"/>
        <tr r="U28" s="1"/>
        <tr r="X20" s="1"/>
        <tr r="Y18" s="1"/>
        <tr r="C12" s="1"/>
        <tr r="J27" s="1"/>
        <tr r="G38" s="1"/>
        <tr r="AI12" s="1"/>
        <tr r="C32" s="1"/>
        <tr r="T17" s="1"/>
        <tr r="H37" s="1"/>
        <tr r="C38" s="1"/>
        <tr r="AF33" s="1"/>
        <tr r="AG29" s="1"/>
        <tr r="Q34" s="1"/>
        <tr r="AG37" s="1"/>
        <tr r="F29" s="1"/>
        <tr r="G10" s="1"/>
        <tr r="X6" s="1"/>
        <tr r="L32" s="1"/>
        <tr r="AI14" s="1"/>
        <tr r="T27" s="1"/>
        <tr r="A32" s="1"/>
        <tr r="L28" s="1"/>
        <tr r="A12" s="1"/>
        <tr r="T14" s="1"/>
        <tr r="Q27" s="1"/>
        <tr r="AI6" s="1"/>
        <tr r="AG6" s="1"/>
        <tr r="T16" s="1"/>
        <tr r="J20" s="1"/>
        <tr r="F11" s="1"/>
        <tr r="L15" s="1"/>
        <tr r="D28" s="1"/>
        <tr r="AF11" s="1"/>
        <tr r="L20" s="1"/>
        <tr r="AH31" s="1"/>
        <tr r="AC38" s="1"/>
        <tr r="AA31" s="1"/>
        <tr r="L21" s="1"/>
        <tr r="D21" s="1"/>
        <tr r="AH15" s="1"/>
        <tr r="T10" s="1"/>
        <tr r="D33" s="1"/>
        <tr r="Q21" s="1"/>
        <tr r="E11" s="1"/>
        <tr r="F20" s="1"/>
        <tr r="F33" s="1"/>
        <tr r="AH33" s="1"/>
        <tr r="Y11" s="1"/>
        <tr r="H27" s="1"/>
        <tr r="D30" s="1"/>
        <tr r="E17" s="1"/>
        <tr r="R21" s="1"/>
        <tr r="T20" s="1"/>
        <tr r="F14" s="1"/>
        <tr r="A38" s="1"/>
        <tr r="AC20" s="1"/>
        <tr r="Q20" s="1"/>
        <tr r="U6" s="1"/>
        <tr r="AC10" s="1"/>
        <tr r="AH20" s="1"/>
        <tr r="G27" s="1"/>
        <tr r="AH6" s="1"/>
        <tr r="A17" s="1"/>
        <tr r="AJ14" s="1"/>
        <tr r="AC6" s="1"/>
        <tr r="A37" s="1"/>
        <tr r="AJ11" s="1"/>
        <tr r="Q6" s="1"/>
        <tr r="N29" s="1"/>
        <tr r="F15" s="1"/>
        <tr r="N15" s="1"/>
        <tr r="J16" s="1"/>
        <tr r="C15" s="1"/>
        <tr r="AA14" s="1"/>
        <tr r="D18" s="1"/>
        <tr r="AA10" s="1"/>
        <tr r="T15" s="1"/>
        <tr r="AA29" s="1"/>
        <tr r="H15" s="1"/>
        <tr r="J21" s="1"/>
        <tr r="AA6" s="1"/>
        <tr r="E35" s="1"/>
        <tr r="C14" s="1"/>
        <tr r="A31" s="1"/>
        <tr r="F35" s="1"/>
        <tr r="G29" s="1"/>
        <tr r="A35" s="1"/>
        <tr r="T30" s="1"/>
        <tr r="T6" s="1"/>
        <tr r="AJ6" s="1"/>
        <tr r="L29" s="1"/>
        <tr r="N10" s="1"/>
        <tr r="AF21" s="1"/>
        <tr r="R15" s="1"/>
        <tr r="N16" s="1"/>
        <tr r="G33" s="1"/>
        <tr r="AF18" s="1"/>
        <tr r="J33" s="1"/>
        <tr r="C29" s="1"/>
        <tr r="L14" s="1"/>
        <tr r="AF15" s="1"/>
        <tr r="N28" s="1"/>
        <tr r="N6" s="1"/>
        <tr r="F21" s="1"/>
        <tr r="Y34" s="1"/>
        <tr r="H6" s="1"/>
        <tr r="A16" s="1"/>
        <tr r="Y28" s="1"/>
        <tr r="J14" s="1"/>
        <tr r="AF28" s="1"/>
        <tr r="F6" s="1"/>
        <tr r="A28" s="1"/>
        <tr r="L18" s="1"/>
        <tr r="D29" s="1"/>
        <tr r="G11" s="1"/>
        <tr r="R20" s="1"/>
        <tr r="Y10" s="1"/>
        <tr r="AF29" s="1"/>
        <tr r="C10" s="1"/>
        <tr r="R18" s="1"/>
        <tr r="R6" s="1"/>
        <tr r="A30" s="1"/>
        <tr r="A21" s="1"/>
        <tr r="Y6" s="1"/>
        <tr r="A29" s="1"/>
        <tr r="A8" s="1"/>
        <tr r="E34" s="1"/>
        <tr r="L34" s="1"/>
        <tr r="A15" s="1"/>
        <tr r="L6" s="1"/>
        <tr r="A27" s="1"/>
        <tr r="AF34" s="1"/>
        <tr r="AF6" s="1"/>
        <tr r="A11" s="1"/>
        <tr r="D10" s="1"/>
        <tr r="D6" s="1"/>
        <tr r="A33" s="1"/>
        <tr r="A20" s="1"/>
        <tr r="A14" s="1"/>
        <tr r="C6" s="1"/>
        <tr r="A34" s="1"/>
        <tr r="A18" s="1"/>
        <tr r="A5" s="1"/>
        <tr r="G6" s="1"/>
        <tr r="E6" s="1"/>
        <tr r="A10" s="1"/>
        <tr r="J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pivotCacheDefinition" Target="pivotCache/pivotCacheDefinition2.xml"/><Relationship Id="rId7" Type="http://schemas.openxmlformats.org/officeDocument/2006/relationships/sharedStrings" Target="sharedStrings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volatileDependencies" Target="volatileDependenci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2</xdr:row>
          <xdr:rowOff>42863</xdr:rowOff>
        </xdr:from>
        <xdr:to>
          <xdr:col>8</xdr:col>
          <xdr:colOff>295275</xdr:colOff>
          <xdr:row>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Alan Freeman" refreshedDate="44168.707741087965" backgroundQuery="1" createdVersion="3" refreshedVersion="6" minRefreshableVersion="3" recordCount="0" tupleCache="1" supportSubquery="1" supportAdvancedDrill="1" xr:uid="{5933C44F-3249-40F9-AEE9-DDCBAE3AFB09}">
  <cacheSource type="external" connectionId="1"/>
  <cacheFields count="9">
    <cacheField name="[Data].[GDP and other output measures].[Output Definition]" caption="Output Definition" numFmtId="0" hierarchy="2" level="1">
      <sharedItems count="1">
        <s v="[Data].[GDP and other output measures].[Output Definition].&amp;[Expenditure Approach]" c="Expenditure Approach"/>
      </sharedItems>
    </cacheField>
    <cacheField name="[Measures].[MeasuresLevel]" caption="MeasuresLevel" numFmtId="0" hierarchy="13">
      <sharedItems count="1">
        <s v="[Measures].[Item]" c="Item"/>
      </sharedItems>
    </cacheField>
    <cacheField name="[Dates].[Year].[Year]" caption="Year" numFmtId="0" hierarchy="5" level="1">
      <sharedItems count="35">
        <s v="[Dates].[Year].&amp;[1980]" c="1980"/>
        <s v="[Dates].[Year].&amp;[1981]" c="1981"/>
        <s v="[Dates].[Year].&amp;[1982]" c="1982"/>
        <s v="[Dates].[Year].&amp;[1983]" c="1983"/>
        <s v="[Dates].[Year].&amp;[1984]" c="1984"/>
        <s v="[Dates].[Year].&amp;[1985]" c="1985"/>
        <s v="[Dates].[Year].&amp;[1986]" c="1986"/>
        <s v="[Dates].[Year].&amp;[1987]" c="1987"/>
        <s v="[Dates].[Year].&amp;[1988]" c="1988"/>
        <s v="[Dates].[Year].&amp;[1989]" c="1989"/>
        <s v="[Dates].[Year].&amp;[1990]" c="1990"/>
        <s v="[Dates].[Year].&amp;[1991]" c="1991"/>
        <s v="[Dates].[Year].&amp;[1992]" c="1992"/>
        <s v="[Dates].[Year].&amp;[1993]" c="1993"/>
        <s v="[Dates].[Year].&amp;[1994]" c="1994"/>
        <s v="[Dates].[Year].&amp;[1995]" c="1995"/>
        <s v="[Dates].[Year].&amp;[1996]" c="1996"/>
        <s v="[Dates].[Year].&amp;[1997]" c="1997"/>
        <s v="[Dates].[Year].&amp;[1998]" c="1998"/>
        <s v="[Dates].[Year].&amp;[1999]" c="1999"/>
        <s v="[Dates].[Year].&amp;[2000]" c="2000"/>
        <s v="[Dates].[Year].&amp;[2001]" c="2001"/>
        <s v="[Dates].[Year].&amp;[2002]" c="2002"/>
        <s v="[Dates].[Year].&amp;[2003]" c="2003"/>
        <s v="[Dates].[Year].&amp;[2004]" c="2004"/>
        <s v="[Dates].[Year].&amp;[2005]" c="2005"/>
        <s v="[Dates].[Year].&amp;[2006]" c="2006"/>
        <s v="[Dates].[Year].&amp;[2007]" c="2007"/>
        <s v="[Dates].[Year].&amp;[2008]" c="2008"/>
        <s v="[Dates].[Year].&amp;[2009]" c="2009"/>
        <s v="[Dates].[Year].&amp;[2010]" c="2010"/>
        <s v="[Dates].[Year].&amp;[2011]" c="2011"/>
        <s v="[Dates].[Year].&amp;[2012]" c="2012"/>
        <s v="[Dates].[Year].&amp;[2013]" c="2013"/>
        <s v="[Dates].[Year].&amp;[2014]" c="2014"/>
      </sharedItems>
    </cacheField>
    <cacheField name="[Geography].[Blocs].[Major_Blocs]" caption="Major_Blocs" numFmtId="0" hierarchy="6" level="1">
      <sharedItems count="3">
        <s v="[Geography].[Blocs].[Major_Blocs].&amp;[China Mainland]" c="China Mainland"/>
        <s v="[Geography].[Blocs].[Major_Blocs].&amp;[North]" c="North"/>
        <s v="[Geography].[Blocs].[Major_Blocs].&amp;[South]" c="South"/>
      </sharedItems>
    </cacheField>
    <cacheField name="[Geography].[Blocs].[Country]" caption="Country" numFmtId="0" hierarchy="6" level="2">
      <sharedItems count="29">
        <s v="[Geography].[Blocs].[Country].&amp;[Australia]" c="Australia"/>
        <s v="[Geography].[Blocs].[Country].&amp;[Austria]" c="Austria"/>
        <s v="[Geography].[Blocs].[Country].&amp;[Belgium]" c="Belgium"/>
        <s v="[Geography].[Blocs].[Country].&amp;[Canada]" c="Canada"/>
        <s v="[Geography].[Blocs].[Country].&amp;[Cyprus]" c="Cyprus"/>
        <s v="[Geography].[Blocs].[Country].&amp;[Denmark]" c="Denmark"/>
        <s v="[Geography].[Blocs].[Country].&amp;[Finland]" c="Finland"/>
        <s v="[Geography].[Blocs].[Country].&amp;[France]" c="France"/>
        <s v="[Geography].[Blocs].[Country].&amp;[Germany]" c="Germany"/>
        <s v="[Geography].[Blocs].[Country].&amp;[Greece]" c="Greece"/>
        <s v="[Geography].[Blocs].[Country].&amp;[Iceland]" c="Iceland"/>
        <s v="[Geography].[Blocs].[Country].&amp;[Ireland]" c="Ireland"/>
        <s v="[Geography].[Blocs].[Country].&amp;[Israel]" c="Israel"/>
        <s v="[Geography].[Blocs].[Country].&amp;[Italy]" c="Italy"/>
        <s v="[Geography].[Blocs].[Country].&amp;[Japan]" c="Japan"/>
        <s v="[Geography].[Blocs].[Country].&amp;[Luxemburg]" c="Luxemburg"/>
        <s v="[Geography].[Blocs].[Country].&amp;[Malta]" c="Malta"/>
        <s v="[Geography].[Blocs].[Country].&amp;[Netherlands]" c="Netherlands"/>
        <s v="[Geography].[Blocs].[Country].&amp;[New Zealand]" c="New Zealand"/>
        <s v="[Geography].[Blocs].[Country].&amp;[Norway]" c="Norway"/>
        <s v="[Geography].[Blocs].[Country].&amp;[Portugal]" c="Portugal"/>
        <s v="[Geography].[Blocs].[Country].&amp;[Singapore]" c="Singapore"/>
        <s v="[Geography].[Blocs].[Country].&amp;[South Korea]" c="South Korea"/>
        <s v="[Geography].[Blocs].[Country].&amp;[Spain]" c="Spain"/>
        <s v="[Geography].[Blocs].[Country].&amp;[Sweden]" c="Sweden"/>
        <s v="[Geography].[Blocs].[Country].&amp;[Switzerland]" c="Switzerland"/>
        <s v="[Geography].[Blocs].[Country].&amp;[Taiwan]" c="Taiwan"/>
        <s v="[Geography].[Blocs].[Country].&amp;[United Kingdom]" c="United Kingdom"/>
        <s v="[Geography].[Blocs].[Country].&amp;[United States]" c="United States"/>
      </sharedItems>
    </cacheField>
    <cacheField name="[Data].[Original Source Data].[Source]" caption="Source" numFmtId="0" hierarchy="4" level="1">
      <sharedItems count="1">
        <s v="[Data].[Original Source Data].[Source].&amp;[PENN]" c="PENN"/>
      </sharedItems>
    </cacheField>
    <cacheField name="[Indicator Detail].[Units].[Measure Type (Stock/Flow/etc)]" caption="Measure Type (Stock/Flow/etc)" numFmtId="0" hierarchy="12" level="1">
      <sharedItems containsSemiMixedTypes="0" containsString="0"/>
    </cacheField>
    <cacheField name="[Indicator Detail].[Units].[Dimension (Money/Quantity/PPP)]" caption="Dimension (Money/Quantity/PPP)" numFmtId="0" hierarchy="12" level="2">
      <sharedItems containsSemiMixedTypes="0" containsString="0"/>
    </cacheField>
    <cacheField name="[Indicator Detail].[Units].[Units (USD/EUR/LCU/etc)]" caption="Units (USD/EUR/LCU/etc)" numFmtId="0" hierarchy="12" level="3">
      <sharedItems count="1">
        <s v="[Indicator Detail].[Units].[Measure Type (Stock/Flow/etc)].&amp;[Flow].&amp;[Money].&amp;[USD]" c="USD"/>
      </sharedItems>
    </cacheField>
  </cacheFields>
  <cacheHierarchies count="77">
    <cacheHierarchy uniqueName="[Data].[Balance of Payments Component]" caption="Balance of Payments Component" defaultMemberUniqueName="[Data].[Balance of Payments Component].[All]" allUniqueName="[Data].[Balance of Payments Component].[All]" dimensionUniqueName="[Data]" displayFolder="" count="2" unbalanced="0"/>
    <cacheHierarchy uniqueName="[Data].[Demographics]" caption="Demographics" defaultMemberUniqueName="[Data].[Demographics].[All]" allUniqueName="[Data].[Demographics].[All]" dimensionUniqueName="[Data]" displayFolder="" count="2" unbalanced="0"/>
    <cacheHierarchy uniqueName="[Data].[GDP and other output measures]" caption="GDP and other output measures" defaultMemberUniqueName="[Data].[GDP and other output measures].[All]" allUniqueName="[Data].[GDP and other output measures].[All]" dimensionUniqueName="[Data]" displayFolder="" count="2" unbalanced="0">
      <fieldsUsage count="2">
        <fieldUsage x="-1"/>
        <fieldUsage x="0"/>
      </fieldsUsage>
    </cacheHierarchy>
    <cacheHierarchy uniqueName="[Data].[Indicator Source and Code]" caption="Indicator Source and Code" attribute="1" defaultMemberUniqueName="[Data].[Indicator Source and Code].[All]" allUniqueName="[Data].[Indicator Source and Code].[All]" dimensionUniqueName="[Data]" displayFolder="" count="2" unbalanced="0"/>
    <cacheHierarchy uniqueName="[Data].[Original Source Data]" caption="Original Source Data" defaultMemberUniqueName="[Data].[Original Source Data].[All]" allUniqueName="[Data].[Original Source Data].[All]" dimensionUniqueName="[Data]" displayFolder="" count="3" unbalanced="0">
      <fieldsUsage count="2">
        <fieldUsage x="-1"/>
        <fieldUsage x="5"/>
      </fieldsUsage>
    </cacheHierarchy>
    <cacheHierarchy uniqueName="[Dates].[Year]" caption="Year" attribute="1" defaultMemberUniqueName="[Dates].[Year].[All]" allUniqueName="[Dates].[Year].[All]" dimensionUniqueName="[Dates]" displayFolder="" count="2" unbalanced="0">
      <fieldsUsage count="2">
        <fieldUsage x="-1"/>
        <fieldUsage x="2"/>
      </fieldsUsage>
    </cacheHierarchy>
    <cacheHierarchy uniqueName="[Geography].[Blocs]" caption="Blocs" defaultMemberUniqueName="[Geography].[Blocs].[All]" allUniqueName="[Geography].[Blocs].[All]" dimensionUniqueName="[Geography]" displayFolder="" count="4" unbalanced="0">
      <fieldsUsage count="3">
        <fieldUsage x="-1"/>
        <fieldUsage x="3"/>
        <fieldUsage x="4"/>
      </fieldsUsage>
    </cacheHierarchy>
    <cacheHierarchy uniqueName="[Geography].[GeoEconomic Region]" caption="GeoEconomic Region" defaultMemberUniqueName="[Geography].[GeoEconomic Region].[All]" allUniqueName="[Geography].[GeoEconomic Region].[All]" dimensionUniqueName="[Geography]" displayFolder="" count="4" unbalanced="0"/>
    <cacheHierarchy uniqueName="[Geography].[Penn Availability]" caption="Penn Availability" defaultMemberUniqueName="[Geography].[Penn Availability].[All]" allUniqueName="[Geography].[Penn Availability].[All]" dimensionUniqueName="[Geography]" displayFolder="" count="4" unbalanced="0"/>
    <cacheHierarchy uniqueName="[Geography].[WDI Availability]" caption="WDI Availability" defaultMemberUniqueName="[Geography].[WDI Availability].[All]" allUniqueName="[Geography].[WDI Availability].[All]" dimensionUniqueName="[Geography]" displayFolder="" count="4" unbalanced="0"/>
    <cacheHierarchy uniqueName="[Indicator Detail].[Accounting Basis (net/gross,paid/received, etc)]" caption="Accounting Basis (net/gross,paid/received, etc)" attribute="1" defaultMemberUniqueName="[Indicator Detail].[Accounting Basis (net/gross,paid/received, etc)].[All]" allUniqueName="[Indicator Detail].[Accounting Basis (net/gross,paid/received, etc)].[All]" dimensionUniqueName="[Indicator Detail]" displayFolder="" count="2" unbalanced="0"/>
    <cacheHierarchy uniqueName="[Indicator Detail].[Industrial Sector (Agriculture/Manufacturing/etc)]" caption="Industrial Sector (Agriculture/Manufacturing/etc)" attribute="1" defaultMemberUniqueName="[Indicator Detail].[Industrial Sector (Agriculture/Manufacturing/etc)].[All]" allUniqueName="[Indicator Detail].[Industrial Sector (Agriculture/Manufacturing/etc)].[All]" dimensionUniqueName="[Indicator Detail]" displayFolder="" count="2" unbalanced="0"/>
    <cacheHierarchy uniqueName="[Indicator Detail].[Units]" caption="Units" defaultMemberUniqueName="[Indicator Detail].[Units].[All]" allUniqueName="[Indicator Detail].[Units].[All]" dimensionUniqueName="[Indicator Detail]" displayFolder="" count="5" unbalanced="0">
      <fieldsUsage count="4">
        <fieldUsage x="-1"/>
        <fieldUsage x="6"/>
        <fieldUsage x="7"/>
        <fieldUsage x="8"/>
      </fieldsUsage>
    </cacheHierarchy>
    <cacheHierarchy uniqueName="[Measures]" caption="Measures" attribute="1" keyAttribute="1" defaultMemberUniqueName="[Measures].[__Default measure]" dimensionUniqueName="[Measures]" displayFolder="" measures="1" count="1" unbalanced="0">
      <fieldsUsage count="1">
        <fieldUsage x="1"/>
      </fieldsUsage>
    </cacheHierarchy>
    <cacheHierarchy uniqueName="[Data].[Accounting Basis]" caption="Accounting Basis" attribute="1" defaultMemberUniqueName="[Data].[Accounting Basis].[All]" allUniqueName="[Data].[Accounting Basis].[All]" dimensionUniqueName="[Data]" displayFolder="" count="2" unbalanced="0" hidden="1"/>
    <cacheHierarchy uniqueName="[Data].[Balance of Payments]" caption="Balance of Payments" attribute="1" defaultMemberUniqueName="[Data].[Balance of Payments].[All]" allUniqueName="[Data].[Balance of Payments].[All]" dimensionUniqueName="[Data]" displayFolder="" count="2" unbalanced="0" hidden="1"/>
    <cacheHierarchy uniqueName="[Data].[DateField]" caption="DateField" attribute="1" defaultMemberUniqueName="[Data].[DateField].[All]" allUniqueName="[Data].[DateField].[All]" dimensionUniqueName="[Data]" displayFolder="" count="2" unbalanced="0" hidden="1"/>
    <cacheHierarchy uniqueName="[Data].[DimGeoID]" caption="DimGeoID" attribute="1" defaultMemberUniqueName="[Data].[DimGeoID].[All]" allUniqueName="[Data].[DimGeoID].[All]" dimensionUniqueName="[Data]" displayFolder="" count="2" unbalanced="0" hidden="1"/>
    <cacheHierarchy uniqueName="[Data].[DimIndicatorID]" caption="DimIndicatorID" attribute="1" defaultMemberUniqueName="[Data].[DimIndicatorID].[All]" allUniqueName="[Data].[DimIndicatorID].[All]" dimensionUniqueName="[Data]" displayFolder="" count="2" unbalanced="0" hidden="1"/>
    <cacheHierarchy uniqueName="[Data].[DimSourceID]" caption="DimSourceID" attribute="1" defaultMemberUniqueName="[Data].[DimSourceID].[All]" allUniqueName="[Data].[DimSourceID].[All]" dimensionUniqueName="[Data]" displayFolder="" count="2" unbalanced="0" hidden="1"/>
    <cacheHierarchy uniqueName="[Data].[FactID]" caption="FactID" attribute="1" defaultMemberUniqueName="[Data].[FactID].[All]" allUniqueName="[Data].[FactID].[All]" dimensionUniqueName="[Data]" displayFolder="" count="2" unbalanced="0" hidden="1"/>
    <cacheHierarchy uniqueName="[Data].[Indicator_Type]" caption="Indicator_Type" attribute="1" defaultMemberUniqueName="[Data].[Indicator_Type].[All]" allUniqueName="[Data].[Indicator_Type].[All]" dimensionUniqueName="[Data]" displayFolder="" count="2" unbalanced="0" hidden="1"/>
    <cacheHierarchy uniqueName="[Data].[IndicatorSourceDescription]" caption="IndicatorSourceDescription" attribute="1" defaultMemberUniqueName="[Data].[IndicatorSourceDescription].[All]" allUniqueName="[Data].[IndicatorSourceDescription].[All]" dimensionUniqueName="[Data]" displayFolder="" count="2" unbalanced="0" hidden="1"/>
    <cacheHierarchy uniqueName="[Data].[IndicatorStandardNamesID]" caption="IndicatorStandardNamesID" attribute="1" defaultMemberUniqueName="[Data].[IndicatorStandardNamesID].[All]" allUniqueName="[Data].[IndicatorStandardNamesID].[All]" dimensionUniqueName="[Data]" displayFolder="" count="2" unbalanced="0" hidden="1"/>
    <cacheHierarchy uniqueName="[Data].[Nation]" caption="Nation" attribute="1" defaultMemberUniqueName="[Data].[Nation].[All]" allUniqueName="[Data].[Nation].[All]" dimensionUniqueName="[Data]" displayFolder="" count="2" unbalanced="0" hidden="1"/>
    <cacheHierarchy uniqueName="[Data].[Output Definition]" caption="Output Definition" attribute="1" defaultMemberUniqueName="[Data].[Output Definition].[All]" allUniqueName="[Data].[Output Definition].[All]" dimensionUniqueName="[Data]" displayFolder="" count="2" unbalanced="0" hidden="1"/>
    <cacheHierarchy uniqueName="[Data].[Population]" caption="Population" attribute="1" defaultMemberUniqueName="[Data].[Population].[All]" allUniqueName="[Data].[Population].[All]" dimensionUniqueName="[Data]" displayFolder="" count="2" unbalanced="0" hidden="1"/>
    <cacheHierarchy uniqueName="[Data].[Source]" caption="Source" attribute="1" defaultMemberUniqueName="[Data].[Source].[All]" allUniqueName="[Data].[Source].[All]" dimensionUniqueName="[Data]" displayFolder="" count="2" unbalanced="0" hidden="1"/>
    <cacheHierarchy uniqueName="[Data].[Value]" caption="Value" attribute="1" defaultMemberUniqueName="[Data].[Value].[All]" allUniqueName="[Data].[Value].[All]" dimensionUniqueName="[Data]" displayFolder="" count="2" unbalanced="0" hidden="1"/>
    <cacheHierarchy uniqueName="[Dates].[CalendarKey]" caption="CalendarKey" attribute="1" defaultMemberUniqueName="[Dates].[CalendarKey].[All]" allUniqueName="[Dates].[CalendarKey].[All]" dimensionUniqueName="[Dates]" displayFolder="" count="2" unbalanced="0" hidden="1"/>
    <cacheHierarchy uniqueName="[Dates].[Date]" caption="Date" attribute="1" defaultMemberUniqueName="[Dates].[Date].[All]" allUniqueName="[Dates].[Date].[All]" dimensionUniqueName="[Dates]" displayFolder="" count="2" unbalanced="0" hidden="1"/>
    <cacheHierarchy uniqueName="[Geography].[Country]" caption="Country" attribute="1" defaultMemberUniqueName="[Geography].[Country].[All]" allUniqueName="[Geography].[Country].[All]" dimensionUniqueName="[Geography]" displayFolder="" count="2" unbalanced="0" hidden="1"/>
    <cacheHierarchy uniqueName="[Geography].[DimGeoID]" caption="DimGeoID" attribute="1" defaultMemberUniqueName="[Geography].[DimGeoID].[All]" allUniqueName="[Geography].[DimGeoID].[All]" dimensionUniqueName="[Geography]" displayFolder="" count="2" unbalanced="0" hidden="1"/>
    <cacheHierarchy uniqueName="[Geography].[GeoEconomic_Region]" caption="GeoEconomic_Region" attribute="1" defaultMemberUniqueName="[Geography].[GeoEconomic_Region].[All]" allUniqueName="[Geography].[GeoEconomic_Region].[All]" dimensionUniqueName="[Geography]" displayFolder="" count="2" unbalanced="0" hidden="1"/>
    <cacheHierarchy uniqueName="[Geography].[Geopolitical_Region]" caption="Geopolitical_Region" attribute="1" defaultMemberUniqueName="[Geography].[Geopolitical_Region].[All]" allUniqueName="[Geography].[Geopolitical_Region].[All]" dimensionUniqueName="[Geography]" displayFolder="" count="2" unbalanced="0" hidden="1"/>
    <cacheHierarchy uniqueName="[Geography].[GeoPolitical_Type]" caption="GeoPolitical_Type" attribute="1" defaultMemberUniqueName="[Geography].[GeoPolitical_Type].[All]" allUniqueName="[Geography].[GeoPolitical_Type].[All]" dimensionUniqueName="[Geography]" displayFolder="" count="2" unbalanced="0" hidden="1"/>
    <cacheHierarchy uniqueName="[Geography].[IMF_main_category]" caption="IMF_main_category" attribute="1" defaultMemberUniqueName="[Geography].[IMF_main_category].[All]" allUniqueName="[Geography].[IMF_main_category].[All]" dimensionUniqueName="[Geography]" displayFolder="" count="2" unbalanced="0" hidden="1"/>
    <cacheHierarchy uniqueName="[Geography].[IMF_sub_category]" caption="IMF_sub_category" attribute="1" defaultMemberUniqueName="[Geography].[IMF_sub_category].[All]" allUniqueName="[Geography].[IMF_sub_category].[All]" dimensionUniqueName="[Geography]" displayFolder="" count="2" unbalanced="0" hidden="1"/>
    <cacheHierarchy uniqueName="[Geography].[MACROHISTORY_Geography]" caption="MACROHISTORY_Geography" attribute="1" defaultMemberUniqueName="[Geography].[MACROHISTORY_Geography].[All]" allUniqueName="[Geography].[MACROHISTORY_Geography].[All]" dimensionUniqueName="[Geography]" displayFolder="" count="2" unbalanced="0" hidden="1"/>
    <cacheHierarchy uniqueName="[Geography].[Major_Blocs]" caption="Major_Blocs" attribute="1" defaultMemberUniqueName="[Geography].[Major_Blocs].[All]" allUniqueName="[Geography].[Major_Blocs].[All]" dimensionUniqueName="[Geography]" displayFolder="" count="2" unbalanced="0" hidden="1"/>
    <cacheHierarchy uniqueName="[Geography].[Nation]" caption="Nation" attribute="1" defaultMemberUniqueName="[Geography].[Nation].[All]" allUniqueName="[Geography].[Nation].[All]" dimensionUniqueName="[Geography]" displayFolder="" count="2" unbalanced="0" hidden="1"/>
    <cacheHierarchy uniqueName="[Geography].[penn_availability]" caption="penn_availability" attribute="1" defaultMemberUniqueName="[Geography].[penn_availability].[All]" allUniqueName="[Geography].[penn_availability].[All]" dimensionUniqueName="[Geography]" displayFolder="" count="2" unbalanced="0" hidden="1"/>
    <cacheHierarchy uniqueName="[Geography].[Size]" caption="Size" attribute="1" defaultMemberUniqueName="[Geography].[Size].[All]" allUniqueName="[Geography].[Size].[All]" dimensionUniqueName="[Geography]" displayFolder="" count="2" unbalanced="0" hidden="1"/>
    <cacheHierarchy uniqueName="[Geography].[wdi_availability]" caption="wdi_availability" attribute="1" defaultMemberUniqueName="[Geography].[wdi_availability].[All]" allUniqueName="[Geography].[wdi_availability].[All]" dimensionUniqueName="[Geography]" displayFolder="" count="2" unbalanced="0" hidden="1"/>
    <cacheHierarchy uniqueName="[Geography].[WID_Geography]" caption="WID_Geography" attribute="1" defaultMemberUniqueName="[Geography].[WID_Geography].[All]" allUniqueName="[Geography].[WID_Geography].[All]" dimensionUniqueName="[Geography]" displayFolder="" count="2" unbalanced="0" hidden="1"/>
    <cacheHierarchy uniqueName="[Indicator Detail].[balance_of_payments_component]" caption="balance_of_payments_component" attribute="1" defaultMemberUniqueName="[Indicator Detail].[balance_of_payments_component].[All]" allUniqueName="[Indicator Detail].[balance_of_payments_component].[All]" dimensionUniqueName="[Indicator Detail]" displayFolder="" count="2" unbalanced="0" hidden="1"/>
    <cacheHierarchy uniqueName="[Indicator Detail].[capital_component]" caption="capital_component" attribute="1" defaultMemberUniqueName="[Indicator Detail].[capital_component].[All]" allUniqueName="[Indicator Detail].[capital_component].[All]" dimensionUniqueName="[Indicator Detail]" displayFolder="" count="2" unbalanced="0" hidden="1"/>
    <cacheHierarchy uniqueName="[Indicator Detail].[DimIndicatorID]" caption="DimIndicatorID" attribute="1" defaultMemberUniqueName="[Indicator Detail].[DimIndicatorID].[All]" allUniqueName="[Indicator Detail].[DimIndicatorID].[All]" dimensionUniqueName="[Indicator Detail]" displayFolder="" count="2" unbalanced="0" hidden="1"/>
    <cacheHierarchy uniqueName="[Indicator Detail].[gdp_expenditure_component]" caption="gdp_expenditure_component" attribute="1" defaultMemberUniqueName="[Indicator Detail].[gdp_expenditure_component].[All]" allUniqueName="[Indicator Detail].[gdp_expenditure_component].[All]" dimensionUniqueName="[Indicator Detail]" displayFolder="" count="2" unbalanced="0" hidden="1"/>
    <cacheHierarchy uniqueName="[Indicator Detail].[indicator_dimension]" caption="indicator_dimension" attribute="1" defaultMemberUniqueName="[Indicator Detail].[indicator_dimension].[All]" allUniqueName="[Indicator Detail].[indicator_dimension].[All]" dimensionUniqueName="[Indicator Detail]" displayFolder="" count="2" unbalanced="0" hidden="1"/>
    <cacheHierarchy uniqueName="[Indicator Detail].[indicator_metrics]" caption="indicator_metrics" attribute="1" defaultMemberUniqueName="[Indicator Detail].[indicator_metrics].[All]" allUniqueName="[Indicator Detail].[indicator_metrics].[All]" dimensionUniqueName="[Indicator Detail]" displayFolder="" count="2" unbalanced="0" hidden="1"/>
    <cacheHierarchy uniqueName="[Indicator Detail].[indicator_type]" caption="indicator_type" attribute="1" defaultMemberUniqueName="[Indicator Detail].[indicator_type].[All]" allUniqueName="[Indicator Detail].[indicator_type].[All]" dimensionUniqueName="[Indicator Detail]" displayFolder="" count="2" unbalanced="0" hidden="1"/>
    <cacheHierarchy uniqueName="[Indicator Detail].[indicator_units]" caption="indicator_units" attribute="1" defaultMemberUniqueName="[Indicator Detail].[indicator_units].[All]" allUniqueName="[Indicator Detail].[indicator_units].[All]" dimensionUniqueName="[Indicator Detail]" displayFolder="" count="2" unbalanced="0" hidden="1"/>
    <cacheHierarchy uniqueName="[Indicator Detail].[IndicatorStandardName]" caption="IndicatorStandardName" attribute="1" defaultMemberUniqueName="[Indicator Detail].[IndicatorStandardName].[All]" allUniqueName="[Indicator Detail].[IndicatorStandardName].[All]" dimensionUniqueName="[Indicator Detail]" displayFolder="" count="2" unbalanced="0" hidden="1"/>
    <cacheHierarchy uniqueName="[Indicator Detail].[measure_type]" caption="measure_type" attribute="1" defaultMemberUniqueName="[Indicator Detail].[measure_type].[All]" allUniqueName="[Indicator Detail].[measure_type].[All]" dimensionUniqueName="[Indicator Detail]" displayFolder="" count="2" unbalanced="0" hidden="1"/>
    <cacheHierarchy uniqueName="[Indicator Detail].[other_indicator_description]" caption="other_indicator_description" attribute="1" defaultMemberUniqueName="[Indicator Detail].[other_indicator_description].[All]" allUniqueName="[Indicator Detail].[other_indicator_description].[All]" dimensionUniqueName="[Indicator Detail]" displayFolder="" count="2" unbalanced="0" hidden="1"/>
    <cacheHierarchy uniqueName="[Indicator Detail].[output_definition]" caption="output_definition" attribute="1" defaultMemberUniqueName="[Indicator Detail].[output_definition].[All]" allUniqueName="[Indicator Detail].[output_definition].[All]" dimensionUniqueName="[Indicator Detail]" displayFolder="" count="2" unbalanced="0" hidden="1"/>
    <cacheHierarchy uniqueName="[Indicator Detail].[population_component]" caption="population_component" attribute="1" defaultMemberUniqueName="[Indicator Detail].[population_component].[All]" allUniqueName="[Indicator Detail].[population_component].[All]" dimensionUniqueName="[Indicator Detail]" displayFolder="" count="2" unbalanced="0" hidden="1"/>
    <cacheHierarchy uniqueName="[Indicator Detail].[source_component]" caption="source_component" attribute="1" defaultMemberUniqueName="[Indicator Detail].[source_component].[All]" allUniqueName="[Indicator Detail].[source_component].[All]" dimensionUniqueName="[Indicator Detail]" displayFolder="" count="2" unbalanced="0" hidden="1"/>
    <cacheHierarchy uniqueName="[IndicatorStandardNames].[IndicatorSource]" caption="IndicatorSource" attribute="1" defaultMemberUniqueName="[IndicatorStandardNames].[IndicatorSource].[All]" allUniqueName="[IndicatorStandardNames].[IndicatorSource].[All]" dimensionUniqueName="[IndicatorStandardNames]" displayFolder="" count="2" unbalanced="0" hidden="1"/>
    <cacheHierarchy uniqueName="[IndicatorStandardNames].[IndicatorSourceCode]" caption="IndicatorSourceCode" attribute="1" defaultMemberUniqueName="[IndicatorStandardNames].[IndicatorSourceCode].[All]" allUniqueName="[IndicatorStandardNames].[IndicatorSourceCode].[All]" dimensionUniqueName="[IndicatorStandardNames]" displayFolder="" count="2" unbalanced="0" hidden="1"/>
    <cacheHierarchy uniqueName="[IndicatorStandardNames].[IndicatorSourceDescription]" caption="IndicatorSourceDescription" attribute="1" defaultMemberUniqueName="[IndicatorStandardNames].[IndicatorSourceDescription].[All]" allUniqueName="[IndicatorStandardNames].[IndicatorSourceDescription].[All]" dimensionUniqueName="[IndicatorStandardNames]" displayFolder="" count="2" unbalanced="0" hidden="1"/>
    <cacheHierarchy uniqueName="[IndicatorStandardNames].[IndicatorStandardName]" caption="IndicatorStandardName" attribute="1" defaultMemberUniqueName="[IndicatorStandardNames].[IndicatorStandardName].[All]" allUniqueName="[IndicatorStandardNames].[IndicatorStandardName].[All]" dimensionUniqueName="[IndicatorStandardNames]" displayFolder="" count="2" unbalanced="0" hidden="1"/>
    <cacheHierarchy uniqueName="[IndicatorStandardNames].[IndicatorStandardNamesID]" caption="IndicatorStandardNamesID" attribute="1" defaultMemberUniqueName="[IndicatorStandardNames].[IndicatorStandardNamesID].[All]" allUniqueName="[IndicatorStandardNames].[IndicatorStandardNamesID].[All]" dimensionUniqueName="[IndicatorStandardNames]" displayFolder="" count="2" unbalanced="0" hidden="1"/>
    <cacheHierarchy uniqueName="[Sources].[DataNotes]" caption="DataNotes" attribute="1" defaultMemberUniqueName="[Sources].[DataNotes].[All]" allUniqueName="[Sources].[DataNotes].[All]" dimensionUniqueName="[Sources]" displayFolder="" count="2" unbalanced="0" hidden="1"/>
    <cacheHierarchy uniqueName="[Sources].[DataOriginFile]" caption="DataOriginFile" attribute="1" defaultMemberUniqueName="[Sources].[DataOriginFile].[All]" allUniqueName="[Sources].[DataOriginFile].[All]" dimensionUniqueName="[Sources]" displayFolder="" count="2" unbalanced="0" hidden="1"/>
    <cacheHierarchy uniqueName="[Sources].[DataOriginURL]" caption="DataOriginURL" attribute="1" defaultMemberUniqueName="[Sources].[DataOriginURL].[All]" allUniqueName="[Sources].[DataOriginURL].[All]" dimensionUniqueName="[Sources]" displayFolder="" count="2" unbalanced="0" hidden="1"/>
    <cacheHierarchy uniqueName="[Sources].[Description]" caption="Description" attribute="1" defaultMemberUniqueName="[Sources].[Description].[All]" allUniqueName="[Sources].[Description].[All]" dimensionUniqueName="[Sources]" displayFolder="" count="2" unbalanced="0" hidden="1"/>
    <cacheHierarchy uniqueName="[Sources].[DimSourceID]" caption="DimSourceID" attribute="1" defaultMemberUniqueName="[Sources].[DimSourceID].[All]" allUniqueName="[Sources].[DimSourceID].[All]" dimensionUniqueName="[Sources]" displayFolder="" count="2" unbalanced="0" hidden="1"/>
    <cacheHierarchy uniqueName="[Sources].[PreparationNotes]" caption="PreparationNotes" attribute="1" defaultMemberUniqueName="[Sources].[PreparationNotes].[All]" allUniqueName="[Sources].[PreparationNotes].[All]" dimensionUniqueName="[Sources]" displayFolder="" count="2" unbalanced="0" hidden="1"/>
    <cacheHierarchy uniqueName="[Sources].[SourceName]" caption="SourceName" attribute="1" defaultMemberUniqueName="[Sources].[SourceName].[All]" allUniqueName="[Sources].[SourceName].[All]" dimensionUniqueName="[Sources]" displayFolder="" count="2" unbalanced="0" hidden="1"/>
    <cacheHierarchy uniqueName="[Sources].[SourceNameDetail]" caption="SourceNameDetail" attribute="1" defaultMemberUniqueName="[Sources].[SourceNameDetail].[All]" allUniqueName="[Sources].[SourceNameDetail].[All]" dimensionUniqueName="[Sources]" displayFolder="" count="2" unbalanced="0" hidden="1"/>
    <cacheHierarchy uniqueName="[Sources].[SourceNameParent]" caption="SourceNameParent" attribute="1" defaultMemberUniqueName="[Sources].[SourceNameParent].[All]" allUniqueName="[Sources].[SourceNameParent].[All]" dimensionUniqueName="[Sources]" displayFolder="" count="2" unbalanced="0" hidden="1"/>
    <cacheHierarchy uniqueName="[Sources].[SourceNotes]" caption="SourceNotes" attribute="1" defaultMemberUniqueName="[Sources].[SourceNotes].[All]" allUniqueName="[Sources].[SourceNotes].[All]" dimensionUniqueName="[Sources]" displayFolder="" count="2" unbalanced="0" hidden="1"/>
    <cacheHierarchy uniqueName="[Measures].[Item]" caption="Item" measure="1" displayFolder="" measureGroup="Data" count="0"/>
    <cacheHierarchy uniqueName="[Measures].[Count]" caption="Count" measure="1" displayFolder="" measureGroup="Data" count="0"/>
    <cacheHierarchy uniqueName="[Measures].[__Default measure]" caption="__Default measure" measure="1" displayFolder="" count="0" hidden="1"/>
  </cacheHierarchies>
  <kpis count="0"/>
  <tupleCache>
    <entries count="1152">
      <n v="1180766199025289.5">
        <tpls c="6">
          <tpl hier="2" item="0"/>
          <tpl hier="4" item="1"/>
          <tpl hier="5" item="3"/>
          <tpl hier="6" item="2"/>
          <tpl hier="12" item="4"/>
          <tpl fld="1" item="0"/>
        </tpls>
      </n>
      <n v="4835166372346.21">
        <tpls c="6">
          <tpl hier="2" item="0"/>
          <tpl hier="4" item="1"/>
          <tpl fld="2" item="23"/>
          <tpl fld="3" item="2"/>
          <tpl hier="12" item="4"/>
          <tpl fld="1" item="0"/>
        </tpls>
      </n>
      <n v="2069635382128.0029">
        <tpls c="6">
          <tpl hier="2" item="0"/>
          <tpl hier="4" item="1"/>
          <tpl fld="2" item="7"/>
          <tpl fld="3" item="2"/>
          <tpl hier="12" item="4"/>
          <tpl fld="1" item="0"/>
        </tpls>
      </n>
      <n v="14477630000000">
        <tpls c="6">
          <tpl hier="2" item="0"/>
          <tpl hier="4" item="1"/>
          <tpl fld="2" item="27"/>
          <tpl fld="4" item="28"/>
          <tpl hier="12" item="4"/>
          <tpl fld="1" item="0"/>
        </tpls>
      </n>
      <n v="6174000000000">
        <tpls c="6">
          <tpl hier="2" item="0"/>
          <tpl hier="4" item="1"/>
          <tpl fld="2" item="11"/>
          <tpl fld="4" item="28"/>
          <tpl hier="12" item="4"/>
          <tpl fld="1" item="0"/>
        </tpls>
      </n>
      <n v="2594734867854.5054">
        <tpls c="6">
          <tpl hier="2" item="0"/>
          <tpl hier="4" item="1"/>
          <tpl fld="2" item="31"/>
          <tpl fld="4" item="27"/>
          <tpl hier="12" item="4"/>
          <tpl fld="1" item="0"/>
        </tpls>
      </n>
      <n v="1237624199872.9556">
        <tpls c="6">
          <tpl hier="2" item="0"/>
          <tpl hier="4" item="1"/>
          <tpl fld="2" item="15"/>
          <tpl fld="4" item="27"/>
          <tpl hier="12" item="4"/>
          <tpl fld="1" item="0"/>
        </tpls>
      </n>
      <n v="9369657270891.1855">
        <tpls c="6">
          <tpl hier="2" item="0"/>
          <tpl hier="4" item="1"/>
          <tpl hier="5" item="3"/>
          <tpl fld="4" item="26"/>
          <tpl hier="12" item="4"/>
          <tpl fld="1" item="0"/>
        </tpls>
      </n>
      <n v="54168871692.461304">
        <tpls c="6">
          <tpl hier="2" item="0"/>
          <tpl hier="4" item="1"/>
          <tpl fld="2" item="3"/>
          <tpl fld="4" item="26"/>
          <tpl hier="12" item="4"/>
          <tpl fld="1" item="0"/>
        </tpls>
      </n>
      <n v="351995491333.01672">
        <tpls c="6">
          <tpl hier="2" item="0"/>
          <tpl hier="4" item="1"/>
          <tpl fld="2" item="23"/>
          <tpl fld="4" item="25"/>
          <tpl hier="12" item="4"/>
          <tpl fld="1" item="0"/>
        </tpls>
      </n>
      <n v="192982692969.65643">
        <tpls c="6">
          <tpl hier="2" item="0"/>
          <tpl hier="4" item="1"/>
          <tpl fld="2" item="7"/>
          <tpl fld="4" item="25"/>
          <tpl hier="12" item="4"/>
          <tpl fld="1" item="0"/>
        </tpls>
      </n>
      <n v="270364018705.55151">
        <tpls c="6">
          <tpl hier="2" item="0"/>
          <tpl hier="4" item="1"/>
          <tpl fld="2" item="11"/>
          <tpl fld="4" item="24"/>
          <tpl hier="12" item="4"/>
          <tpl fld="1" item="0"/>
        </tpls>
      </n>
      <n v="612942973086.13806">
        <tpls c="6">
          <tpl hier="2" item="0"/>
          <tpl hier="4" item="1"/>
          <tpl fld="2" item="15"/>
          <tpl fld="4" item="23"/>
          <tpl hier="12" item="4"/>
          <tpl fld="1" item="0"/>
        </tpls>
      </n>
      <n v="485356573473.43787">
        <tpls c="6">
          <tpl hier="2" item="0"/>
          <tpl hier="4" item="1"/>
          <tpl fld="2" item="19"/>
          <tpl fld="4" item="22"/>
          <tpl hier="12" item="4"/>
          <tpl fld="1" item="0"/>
        </tpls>
      </n>
      <n v="97002422190.592697">
        <tpls c="6">
          <tpl hier="2" item="0"/>
          <tpl hier="4" item="1"/>
          <tpl fld="2" item="23"/>
          <tpl fld="4" item="21"/>
          <tpl hier="12" item="4"/>
          <tpl fld="1" item="0"/>
        </tpls>
      </n>
      <n v="498156757566.22595">
        <tpls c="6">
          <tpl hier="2" item="0"/>
          <tpl hier="4" item="1"/>
          <tpl fld="2" item="31"/>
          <tpl fld="4" item="19"/>
          <tpl hier="12" item="4"/>
          <tpl fld="1" item="0"/>
        </tpls>
      </n>
      <n v="59921764970.081978">
        <tpls c="6">
          <tpl hier="2" item="0"/>
          <tpl hier="4" item="1"/>
          <tpl fld="2" item="19"/>
          <tpl fld="4" item="18"/>
          <tpl hier="12" item="4"/>
          <tpl fld="1" item="0"/>
        </tpls>
      </n>
      <n v="7930359392.3175306">
        <tpls c="6">
          <tpl hier="2" item="0"/>
          <tpl hier="4" item="1"/>
          <tpl fld="2" item="27"/>
          <tpl fld="4" item="16"/>
          <tpl hier="12" item="4"/>
          <tpl fld="1" item="0"/>
        </tpls>
      </n>
      <n v="803390886000.20789">
        <tpls c="6">
          <tpl hier="2" item="0"/>
          <tpl hier="4" item="1"/>
          <tpl fld="2" item="7"/>
          <tpl fld="4" item="13"/>
          <tpl hier="12" item="4"/>
          <tpl fld="1" item="0"/>
        </tpls>
      </n>
      <n v="2789544336.9895148">
        <tpls c="6">
          <tpl hier="2" item="0"/>
          <tpl hier="4" item="1"/>
          <tpl fld="2" item="3"/>
          <tpl fld="4" item="10"/>
          <tpl hier="12" item="4"/>
          <tpl fld="1" item="0"/>
        </tpls>
      </n>
      <n v="51012959501.314217">
        <tpls c="6">
          <tpl hier="2" item="0"/>
          <tpl hier="4" item="1"/>
          <tpl fld="2" item="3"/>
          <tpl fld="4" item="6"/>
          <tpl hier="12" item="4"/>
          <tpl fld="1" item="0"/>
        </tpls>
      </n>
      <n v="329505814111.99854">
        <tpls c="6">
          <tpl hier="2" item="0"/>
          <tpl hier="4" item="1"/>
          <tpl fld="2" item="11"/>
          <tpl fld="4" item="0"/>
          <tpl hier="12" item="4"/>
          <tpl fld="1" item="0"/>
        </tpls>
      </n>
      <n v="29804380596275.039">
        <tpls c="6">
          <tpl hier="2" item="0"/>
          <tpl hier="4" item="1"/>
          <tpl fld="2" item="18"/>
          <tpl hier="6" item="2"/>
          <tpl hier="12" item="4"/>
          <tpl fld="1" item="0"/>
        </tpls>
      </n>
      <n v="49549948875.25563">
        <tpls c="6">
          <tpl hier="2" item="0"/>
          <tpl hier="4" item="1"/>
          <tpl fld="2" item="2"/>
          <tpl fld="4" item="26"/>
          <tpl hier="12" item="4"/>
          <tpl fld="1" item="0"/>
        </tpls>
      </n>
      <n v="529119261582.65961">
        <tpls c="6">
          <tpl hier="2" item="0"/>
          <tpl hier="4" item="1"/>
          <tpl fld="2" item="14"/>
          <tpl fld="4" item="23"/>
          <tpl hier="12" item="4"/>
          <tpl fld="1" item="0"/>
        </tpls>
      </n>
      <n v="18762600654.25235">
        <tpls c="6">
          <tpl hier="2" item="0"/>
          <tpl hier="4" item="1"/>
          <tpl fld="2" item="6"/>
          <tpl fld="4" item="21"/>
          <tpl hier="12" item="4"/>
          <tpl fld="1" item="0"/>
        </tpls>
      </n>
      <n v="428527062299.58881">
        <tpls c="6">
          <tpl hier="2" item="0"/>
          <tpl hier="4" item="1"/>
          <tpl fld="2" item="30"/>
          <tpl fld="4" item="19"/>
          <tpl hier="12" item="4"/>
          <tpl fld="1" item="0"/>
        </tpls>
      </n>
      <n v="198303358536.62198">
        <tpls c="6">
          <tpl hier="2" item="0"/>
          <tpl hier="4" item="1"/>
          <tpl fld="2" item="6"/>
          <tpl fld="4" item="17"/>
          <tpl hier="12" item="4"/>
          <tpl fld="1" item="0"/>
        </tpls>
      </n>
      <n v="6782910531.154623">
        <tpls c="6">
          <tpl hier="2" item="0"/>
          <tpl hier="4" item="1"/>
          <tpl fld="2" item="26"/>
          <tpl fld="4" item="16"/>
          <tpl hier="12" item="4"/>
          <tpl fld="1" item="0"/>
        </tpls>
      </n>
      <n v="18509233770.210991">
        <tpls c="6">
          <tpl hier="2" item="0"/>
          <tpl hier="4" item="1"/>
          <tpl fld="2" item="14"/>
          <tpl fld="4" item="15"/>
          <tpl hier="12" item="4"/>
          <tpl fld="1" item="0"/>
        </tpls>
      </n>
      <n v="3230368246.5974064">
        <tpls c="6">
          <tpl hier="2" item="0"/>
          <tpl hier="4" item="1"/>
          <tpl fld="2" item="2"/>
          <tpl fld="4" item="10"/>
          <tpl hier="12" item="4"/>
          <tpl fld="1" item="0"/>
        </tpls>
      </n>
      <n v="272216574316.71158">
        <tpls c="6">
          <tpl hier="2" item="0"/>
          <tpl hier="4" item="1"/>
          <tpl fld="2" item="34"/>
          <tpl fld="4" item="6"/>
          <tpl hier="12" item="4"/>
          <tpl fld="1" item="0"/>
        </tpls>
      </n>
      <n v="1614072067055.8091">
        <tpls c="6">
          <tpl hier="2" item="0"/>
          <tpl hier="4" item="1"/>
          <tpl fld="2" item="30"/>
          <tpl fld="4" item="3"/>
          <tpl hier="12" item="4"/>
          <tpl fld="1" item="0"/>
        </tpls>
      </n>
      <n v="98797068027.945419">
        <tpls c="6">
          <tpl hier="2" item="0"/>
          <tpl hier="4" item="1"/>
          <tpl fld="2" item="6"/>
          <tpl fld="4" item="1"/>
          <tpl hier="12" item="4"/>
          <tpl fld="1" item="0"/>
        </tpls>
      </n>
      <n v="29920192936472.641">
        <tpls c="6">
          <tpl hier="2" item="0"/>
          <tpl hier="4" item="1"/>
          <tpl fld="2" item="17"/>
          <tpl hier="6" item="2"/>
          <tpl hier="12" item="4"/>
          <tpl fld="1" item="0"/>
        </tpls>
      </n>
      <n v="389042907468.38898">
        <tpls c="6">
          <tpl hier="2" item="0"/>
          <tpl hier="4" item="1"/>
          <tpl fld="2" item="25"/>
          <tpl fld="4" item="24"/>
          <tpl hier="12" item="4"/>
          <tpl fld="1" item="0"/>
        </tpls>
      </n>
      <n v="4322640569709.1499">
        <tpls c="6">
          <tpl hier="2" item="0"/>
          <tpl hier="4" item="1"/>
          <tpl fld="2" item="17"/>
          <tpl fld="4" item="14"/>
          <tpl hier="12" item="4"/>
          <tpl fld="1" item="0"/>
        </tpls>
      </n>
      <n v="52487489372.537239">
        <tpls c="6">
          <tpl hier="2" item="0"/>
          <tpl hier="4" item="1"/>
          <tpl fld="2" item="1"/>
          <tpl fld="4" item="6"/>
          <tpl hier="12" item="4"/>
          <tpl fld="1" item="0"/>
        </tpls>
      </n>
      <n v="197299607023.8273">
        <tpls c="6">
          <tpl hier="2" item="0"/>
          <tpl hier="4" item="1"/>
          <tpl fld="2" item="25"/>
          <tpl fld="4" item="20"/>
          <tpl hier="12" item="4"/>
          <tpl fld="1" item="0"/>
        </tpls>
      </n>
      <n v="68585339959327.922">
        <tpls c="6">
          <tpl hier="2" item="0"/>
          <tpl hier="4" item="1"/>
          <tpl fld="2" item="32"/>
          <tpl hier="6" item="2"/>
          <tpl hier="12" item="4"/>
          <tpl fld="1" item="0"/>
        </tpls>
      </n>
      <n v="30083717170774.055">
        <tpls c="6">
          <tpl hier="2" item="0"/>
          <tpl hier="4" item="1"/>
          <tpl fld="2" item="16"/>
          <tpl hier="6" item="2"/>
          <tpl hier="12" item="4"/>
          <tpl fld="1" item="0"/>
        </tpls>
      </n>
      <n v="10843114289447.115">
        <tpls c="6">
          <tpl hier="2" item="0"/>
          <tpl hier="4" item="1"/>
          <tpl fld="2" item="0"/>
          <tpl hier="6" item="2"/>
          <tpl hier="12" item="4"/>
          <tpl fld="1" item="0"/>
        </tpls>
      </n>
      <n v="4539748768609.9189">
        <tpls c="6">
          <tpl hier="2" item="0"/>
          <tpl hier="4" item="1"/>
          <tpl fld="2" item="20"/>
          <tpl fld="3" item="2"/>
          <tpl hier="12" item="4"/>
          <tpl fld="1" item="0"/>
        </tpls>
      </n>
      <n v="2112412628101.8879">
        <tpls c="6">
          <tpl hier="2" item="0"/>
          <tpl hier="4" item="1"/>
          <tpl fld="2" item="4"/>
          <tpl fld="3" item="2"/>
          <tpl hier="12" item="4"/>
          <tpl fld="1" item="0"/>
        </tpls>
      </n>
      <n v="12274930000000">
        <tpls c="6">
          <tpl hier="2" item="0"/>
          <tpl hier="4" item="1"/>
          <tpl fld="2" item="24"/>
          <tpl fld="4" item="28"/>
          <tpl hier="12" item="4"/>
          <tpl fld="1" item="0"/>
        </tpls>
      </n>
      <n v="5252600000000">
        <tpls c="6">
          <tpl hier="2" item="0"/>
          <tpl hier="4" item="1"/>
          <tpl fld="2" item="8"/>
          <tpl fld="4" item="28"/>
          <tpl hier="12" item="4"/>
          <tpl fld="1" item="0"/>
        </tpls>
      </n>
      <n v="2793550151319.1309">
        <tpls c="6">
          <tpl hier="2" item="0"/>
          <tpl hier="4" item="1"/>
          <tpl fld="2" item="28"/>
          <tpl fld="4" item="27"/>
          <tpl hier="12" item="4"/>
          <tpl fld="1" item="0"/>
        </tpls>
      </n>
      <n v="1179713008050.1895">
        <tpls c="6">
          <tpl hier="2" item="0"/>
          <tpl hier="4" item="1"/>
          <tpl fld="2" item="12"/>
          <tpl fld="4" item="27"/>
          <tpl hier="12" item="4"/>
          <tpl fld="1" item="0"/>
        </tpls>
      </n>
      <n v="495844598244.42944">
        <tpls c="6">
          <tpl hier="2" item="0"/>
          <tpl hier="4" item="1"/>
          <tpl fld="2" item="32"/>
          <tpl fld="4" item="26"/>
          <tpl hier="12" item="4"/>
          <tpl fld="1" item="0"/>
        </tpls>
      </n>
      <n v="292665331391.11432">
        <tpls c="6">
          <tpl hier="2" item="0"/>
          <tpl hier="4" item="1"/>
          <tpl fld="2" item="16"/>
          <tpl fld="4" item="26"/>
          <tpl hier="12" item="4"/>
          <tpl fld="1" item="0"/>
        </tpls>
      </n>
      <n v="42220722222.222221">
        <tpls c="6">
          <tpl hier="2" item="0"/>
          <tpl hier="4" item="1"/>
          <tpl fld="2" item="0"/>
          <tpl fld="4" item="26"/>
          <tpl hier="12" item="4"/>
          <tpl fld="1" item="0"/>
        </tpls>
      </n>
      <n v="271652892439.64432">
        <tpls c="6">
          <tpl hier="2" item="0"/>
          <tpl hier="4" item="1"/>
          <tpl fld="2" item="20"/>
          <tpl fld="4" item="25"/>
          <tpl hier="12" item="4"/>
          <tpl fld="1" item="0"/>
        </tpls>
      </n>
      <n v="106019866592.23393">
        <tpls c="6">
          <tpl hier="2" item="0"/>
          <tpl hier="4" item="1"/>
          <tpl fld="2" item="4"/>
          <tpl fld="4" item="25"/>
          <tpl hier="12" item="4"/>
          <tpl fld="1" item="0"/>
        </tpls>
      </n>
      <n v="381706116111.43762">
        <tpls c="6">
          <tpl hier="2" item="0"/>
          <tpl hier="4" item="1"/>
          <tpl fld="2" item="24"/>
          <tpl fld="4" item="24"/>
          <tpl hier="12" item="4"/>
          <tpl fld="1" item="0"/>
        </tpls>
      </n>
      <n v="204069918314.3876">
        <tpls c="6">
          <tpl hier="2" item="0"/>
          <tpl hier="4" item="1"/>
          <tpl fld="2" item="8"/>
          <tpl fld="4" item="24"/>
          <tpl hier="12" item="4"/>
          <tpl fld="1" item="0"/>
        </tpls>
      </n>
      <n v="1635049583131.6206">
        <tpls c="6">
          <tpl hier="2" item="0"/>
          <tpl hier="4" item="1"/>
          <tpl fld="2" item="28"/>
          <tpl fld="4" item="23"/>
          <tpl hier="12" item="4"/>
          <tpl fld="1" item="0"/>
        </tpls>
      </n>
      <n v="629191467958.91797">
        <tpls c="6">
          <tpl hier="2" item="0"/>
          <tpl hier="4" item="1"/>
          <tpl fld="2" item="12"/>
          <tpl fld="4" item="23"/>
          <tpl hier="12" item="4"/>
          <tpl fld="1" item="0"/>
        </tpls>
      </n>
      <n v="1225065043852.0022">
        <tpls c="6">
          <tpl hier="2" item="0"/>
          <tpl hier="4" item="1"/>
          <tpl fld="2" item="32"/>
          <tpl fld="4" item="22"/>
          <tpl hier="12" item="4"/>
          <tpl fld="1" item="0"/>
        </tpls>
      </n>
      <n v="597921572404.95227">
        <tpls c="6">
          <tpl hier="2" item="0"/>
          <tpl hier="4" item="1"/>
          <tpl fld="2" item="16"/>
          <tpl fld="4" item="22"/>
          <tpl hier="12" item="4"/>
          <tpl fld="1" item="0"/>
        </tpls>
      </n>
      <n v="64980553394.821648">
        <tpls c="6">
          <tpl hier="2" item="0"/>
          <tpl hier="4" item="1"/>
          <tpl fld="2" item="0"/>
          <tpl fld="4" item="22"/>
          <tpl hier="12" item="4"/>
          <tpl fld="1" item="0"/>
        </tpls>
      </n>
      <n v="95836146859.970856">
        <tpls c="6">
          <tpl hier="2" item="0"/>
          <tpl hier="4" item="1"/>
          <tpl fld="2" item="20"/>
          <tpl fld="4" item="21"/>
          <tpl hier="12" item="4"/>
          <tpl fld="1" item="0"/>
        </tpls>
      </n>
      <n v="19550103833.263332">
        <tpls c="6">
          <tpl hier="2" item="0"/>
          <tpl hier="4" item="1"/>
          <tpl fld="2" item="4"/>
          <tpl fld="4" item="21"/>
          <tpl hier="12" item="4"/>
          <tpl fld="1" item="0"/>
        </tpls>
      </n>
      <n v="189195656627.7402">
        <tpls c="6">
          <tpl hier="2" item="0"/>
          <tpl hier="4" item="1"/>
          <tpl fld="2" item="24"/>
          <tpl fld="4" item="20"/>
          <tpl hier="12" item="4"/>
          <tpl fld="1" item="0"/>
        </tpls>
      </n>
      <n v="56349727245.358543">
        <tpls c="6">
          <tpl hier="2" item="0"/>
          <tpl hier="4" item="1"/>
          <tpl fld="2" item="8"/>
          <tpl fld="4" item="20"/>
          <tpl hier="12" item="4"/>
          <tpl fld="1" item="0"/>
        </tpls>
      </n>
      <n v="461946808510.63831">
        <tpls c="6">
          <tpl hier="2" item="0"/>
          <tpl hier="4" item="1"/>
          <tpl fld="2" item="28"/>
          <tpl fld="4" item="19"/>
          <tpl hier="12" item="4"/>
          <tpl fld="1" item="0"/>
        </tpls>
      </n>
      <n v="130976216142.73508">
        <tpls c="6">
          <tpl hier="2" item="0"/>
          <tpl hier="4" item="1"/>
          <tpl fld="2" item="12"/>
          <tpl fld="4" item="19"/>
          <tpl hier="12" item="4"/>
          <tpl fld="1" item="0"/>
        </tpls>
      </n>
      <n v="176616607672.93613">
        <tpls c="6">
          <tpl hier="2" item="0"/>
          <tpl hier="4" item="1"/>
          <tpl fld="2" item="32"/>
          <tpl fld="4" item="18"/>
          <tpl hier="12" item="4"/>
          <tpl fld="1" item="0"/>
        </tpls>
      </n>
      <n v="69492506946.60437">
        <tpls c="6">
          <tpl hier="2" item="0"/>
          <tpl hier="4" item="1"/>
          <tpl fld="2" item="16"/>
          <tpl fld="4" item="18"/>
          <tpl hier="12" item="4"/>
          <tpl fld="1" item="0"/>
        </tpls>
      </n>
      <n v="23364631628.160671">
        <tpls c="6">
          <tpl hier="2" item="0"/>
          <tpl hier="4" item="1"/>
          <tpl fld="2" item="0"/>
          <tpl fld="4" item="18"/>
          <tpl hier="12" item="4"/>
          <tpl fld="1" item="0"/>
        </tpls>
      </n>
      <n v="412806955734.69269">
        <tpls c="6">
          <tpl hier="2" item="0"/>
          <tpl hier="4" item="1"/>
          <tpl fld="2" item="20"/>
          <tpl fld="4" item="17"/>
          <tpl hier="12" item="4"/>
          <tpl fld="1" item="0"/>
        </tpls>
      </n>
      <n v="142072282503.81">
        <tpls c="6">
          <tpl hier="2" item="0"/>
          <tpl hier="4" item="1"/>
          <tpl fld="2" item="4"/>
          <tpl fld="4" item="17"/>
          <tpl hier="12" item="4"/>
          <tpl fld="1" item="0"/>
        </tpls>
      </n>
      <n v="6043974084.100771">
        <tpls c="6">
          <tpl hier="2" item="0"/>
          <tpl hier="4" item="1"/>
          <tpl fld="2" item="24"/>
          <tpl fld="4" item="16"/>
          <tpl hier="12" item="4"/>
          <tpl fld="1" item="0"/>
        </tpls>
      </n>
      <n v="2088755496.5122623">
        <tpls c="6">
          <tpl hier="2" item="0"/>
          <tpl hier="4" item="1"/>
          <tpl fld="2" item="8"/>
          <tpl fld="4" item="16"/>
          <tpl hier="12" item="4"/>
          <tpl fld="1" item="0"/>
        </tpls>
      </n>
      <n v="55146908840.375816">
        <tpls c="6">
          <tpl hier="2" item="0"/>
          <tpl hier="4" item="1"/>
          <tpl fld="2" item="28"/>
          <tpl fld="4" item="15"/>
          <tpl hier="12" item="4"/>
          <tpl fld="1" item="0"/>
        </tpls>
      </n>
      <n v="16226579955.571213">
        <tpls c="6">
          <tpl hier="2" item="0"/>
          <tpl hier="4" item="1"/>
          <tpl fld="2" item="12"/>
          <tpl fld="4" item="15"/>
          <tpl hier="12" item="4"/>
          <tpl fld="1" item="0"/>
        </tpls>
      </n>
      <n v="5953093010937.2109">
        <tpls c="6">
          <tpl hier="2" item="0"/>
          <tpl hier="4" item="1"/>
          <tpl fld="2" item="32"/>
          <tpl fld="4" item="14"/>
          <tpl hier="12" item="4"/>
          <tpl fld="1" item="0"/>
        </tpls>
      </n>
      <n v="4706788236633.043">
        <tpls c="6">
          <tpl hier="2" item="0"/>
          <tpl hier="4" item="1"/>
          <tpl fld="2" item="16"/>
          <tpl fld="4" item="14"/>
          <tpl hier="12" item="4"/>
          <tpl fld="1" item="0"/>
        </tpls>
      </n>
      <n v="1089349456822.5758">
        <tpls c="6">
          <tpl hier="2" item="0"/>
          <tpl hier="4" item="1"/>
          <tpl fld="2" item="0"/>
          <tpl fld="4" item="14"/>
          <tpl hier="12" item="4"/>
          <tpl fld="1" item="0"/>
        </tpls>
      </n>
      <n v="1142212904210.1313">
        <tpls c="6">
          <tpl hier="2" item="0"/>
          <tpl hier="4" item="1"/>
          <tpl fld="2" item="20"/>
          <tpl fld="4" item="13"/>
          <tpl hier="12" item="4"/>
          <tpl fld="1" item="0"/>
        </tpls>
      </n>
      <n v="436604941440.35736">
        <tpls c="6">
          <tpl hier="2" item="0"/>
          <tpl hier="4" item="1"/>
          <tpl fld="2" item="4"/>
          <tpl fld="4" item="13"/>
          <tpl hier="12" item="4"/>
          <tpl fld="1" item="0"/>
        </tpls>
      </n>
      <n v="135418996317.99165">
        <tpls c="6">
          <tpl hier="2" item="0"/>
          <tpl hier="4" item="1"/>
          <tpl fld="2" item="24"/>
          <tpl fld="4" item="12"/>
          <tpl hier="12" item="4"/>
          <tpl fld="1" item="0"/>
        </tpls>
      </n>
      <n v="50245430500.44677">
        <tpls c="6">
          <tpl hier="2" item="0"/>
          <tpl hier="4" item="1"/>
          <tpl fld="2" item="8"/>
          <tpl fld="4" item="12"/>
          <tpl hier="12" item="4"/>
          <tpl fld="1" item="0"/>
        </tpls>
      </n>
      <n v="274724180129.655">
        <tpls c="6">
          <tpl hier="2" item="0"/>
          <tpl hier="4" item="1"/>
          <tpl fld="2" item="28"/>
          <tpl fld="4" item="11"/>
          <tpl hier="12" item="4"/>
          <tpl fld="1" item="0"/>
        </tpls>
      </n>
      <n v="55984996854.679779">
        <tpls c="6">
          <tpl hier="2" item="0"/>
          <tpl hier="4" item="1"/>
          <tpl fld="2" item="12"/>
          <tpl fld="4" item="11"/>
          <tpl hier="12" item="4"/>
          <tpl fld="1" item="0"/>
        </tpls>
      </n>
      <n v="14194518686.383635">
        <tpls c="6">
          <tpl hier="2" item="0"/>
          <tpl hier="4" item="1"/>
          <tpl fld="2" item="32"/>
          <tpl fld="4" item="10"/>
          <tpl hier="12" item="4"/>
          <tpl fld="1" item="0"/>
        </tpls>
      </n>
      <n v="7503759398.4962406">
        <tpls c="6">
          <tpl hier="2" item="0"/>
          <tpl hier="4" item="1"/>
          <tpl fld="2" item="16"/>
          <tpl fld="4" item="10"/>
          <tpl hier="12" item="4"/>
          <tpl fld="1" item="0"/>
        </tpls>
      </n>
      <n v="3418346142.855979">
        <tpls c="6">
          <tpl hier="2" item="0"/>
          <tpl hier="4" item="1"/>
          <tpl fld="2" item="0"/>
          <tpl fld="4" item="10"/>
          <tpl hier="12" item="4"/>
          <tpl fld="1" item="0"/>
        </tpls>
      </n>
      <n v="132084872263.00854">
        <tpls c="6">
          <tpl hier="2" item="0"/>
          <tpl hier="4" item="1"/>
          <tpl fld="2" item="20"/>
          <tpl fld="4" item="9"/>
          <tpl hier="12" item="4"/>
          <tpl fld="1" item="0"/>
        </tpls>
      </n>
      <n v="48021522315.931992">
        <tpls c="6">
          <tpl hier="2" item="0"/>
          <tpl hier="4" item="1"/>
          <tpl fld="2" item="4"/>
          <tpl fld="4" item="9"/>
          <tpl hier="12" item="4"/>
          <tpl fld="1" item="0"/>
        </tpls>
      </n>
      <n v="2819367615925.6982">
        <tpls c="6">
          <tpl hier="2" item="0"/>
          <tpl hier="4" item="1"/>
          <tpl fld="2" item="24"/>
          <tpl fld="4" item="8"/>
          <tpl hier="12" item="4"/>
          <tpl fld="1" item="0"/>
        </tpls>
      </n>
      <n v="1395863757943.4558">
        <tpls c="6">
          <tpl hier="2" item="0"/>
          <tpl hier="4" item="1"/>
          <tpl fld="2" item="8"/>
          <tpl fld="4" item="8"/>
          <tpl hier="12" item="4"/>
          <tpl fld="1" item="0"/>
        </tpls>
      </n>
      <n v="2923573952226.8228">
        <tpls c="6">
          <tpl hier="2" item="0"/>
          <tpl hier="4" item="1"/>
          <tpl fld="2" item="28"/>
          <tpl fld="4" item="7"/>
          <tpl hier="12" item="4"/>
          <tpl fld="1" item="0"/>
        </tpls>
      </n>
      <n v="1408660658466.448">
        <tpls c="6">
          <tpl hier="2" item="0"/>
          <tpl hier="4" item="1"/>
          <tpl fld="2" item="12"/>
          <tpl fld="4" item="7"/>
          <tpl hier="12" item="4"/>
          <tpl fld="1" item="0"/>
        </tpls>
      </n>
      <n v="256706466557.0936">
        <tpls c="6">
          <tpl hier="2" item="0"/>
          <tpl hier="4" item="1"/>
          <tpl fld="2" item="32"/>
          <tpl fld="4" item="6"/>
          <tpl hier="12" item="4"/>
          <tpl fld="1" item="0"/>
        </tpls>
      </n>
      <n v="132102884149.22656">
        <tpls c="6">
          <tpl hier="2" item="0"/>
          <tpl hier="4" item="1"/>
          <tpl fld="2" item="16"/>
          <tpl fld="4" item="6"/>
          <tpl hier="12" item="4"/>
          <tpl fld="1" item="0"/>
        </tpls>
      </n>
      <n v="53688901935.551704">
        <tpls c="6">
          <tpl hier="2" item="0"/>
          <tpl hier="4" item="1"/>
          <tpl fld="2" item="0"/>
          <tpl fld="4" item="6"/>
          <tpl hier="12" item="4"/>
          <tpl fld="1" item="0"/>
        </tpls>
      </n>
      <n v="164157902812.12601">
        <tpls c="6">
          <tpl hier="2" item="0"/>
          <tpl hier="4" item="1"/>
          <tpl fld="2" item="20"/>
          <tpl fld="4" item="5"/>
          <tpl hier="12" item="4"/>
          <tpl fld="1" item="0"/>
        </tpls>
      </n>
      <n v="58673471929.76223">
        <tpls c="6">
          <tpl hier="2" item="0"/>
          <tpl hier="4" item="1"/>
          <tpl fld="2" item="4"/>
          <tpl fld="4" item="5"/>
          <tpl hier="12" item="4"/>
          <tpl fld="1" item="0"/>
        </tpls>
      </n>
      <n v="17295912911.331543">
        <tpls c="6">
          <tpl hier="2" item="0"/>
          <tpl hier="4" item="1"/>
          <tpl fld="2" item="24"/>
          <tpl fld="4" item="4"/>
          <tpl hier="12" item="4"/>
          <tpl fld="1" item="0"/>
        </tpls>
      </n>
      <n v="4731586299.3139067">
        <tpls c="6">
          <tpl hier="2" item="0"/>
          <tpl hier="4" item="1"/>
          <tpl fld="2" item="8"/>
          <tpl fld="4" item="4"/>
          <tpl hier="12" item="4"/>
          <tpl fld="1" item="0"/>
        </tpls>
      </n>
      <n v="1542560728744.9392">
        <tpls c="6">
          <tpl hier="2" item="0"/>
          <tpl hier="4" item="1"/>
          <tpl fld="2" item="28"/>
          <tpl fld="4" item="3"/>
          <tpl hier="12" item="4"/>
          <tpl fld="1" item="0"/>
        </tpls>
      </n>
      <n v="590135886988.35547">
        <tpls c="6">
          <tpl hier="2" item="0"/>
          <tpl hier="4" item="1"/>
          <tpl fld="2" item="12"/>
          <tpl fld="4" item="3"/>
          <tpl hier="12" item="4"/>
          <tpl fld="1" item="0"/>
        </tpls>
      </n>
      <n v="497780015151.0946">
        <tpls c="6">
          <tpl hier="2" item="0"/>
          <tpl hier="4" item="1"/>
          <tpl fld="2" item="32"/>
          <tpl fld="4" item="2"/>
          <tpl hier="12" item="4"/>
          <tpl fld="1" item="0"/>
        </tpls>
      </n>
      <n v="281351837063.64276">
        <tpls c="6">
          <tpl hier="2" item="0"/>
          <tpl hier="4" item="1"/>
          <tpl fld="2" item="16"/>
          <tpl fld="4" item="2"/>
          <tpl hier="12" item="4"/>
          <tpl fld="1" item="0"/>
        </tpls>
      </n>
      <n v="127511492284.57851">
        <tpls c="6">
          <tpl hier="2" item="0"/>
          <tpl hier="4" item="1"/>
          <tpl fld="2" item="0"/>
          <tpl fld="4" item="2"/>
          <tpl hier="12" item="4"/>
          <tpl fld="1" item="0"/>
        </tpls>
      </n>
      <n v="196421561509.81281">
        <tpls c="6">
          <tpl hier="2" item="0"/>
          <tpl hier="4" item="1"/>
          <tpl fld="2" item="20"/>
          <tpl fld="4" item="1"/>
          <tpl hier="12" item="4"/>
          <tpl fld="1" item="0"/>
        </tpls>
      </n>
      <n v="67820785097.86834">
        <tpls c="6">
          <tpl hier="2" item="0"/>
          <tpl hier="4" item="1"/>
          <tpl fld="2" item="4"/>
          <tpl fld="4" item="1"/>
          <tpl hier="12" item="4"/>
          <tpl fld="1" item="0"/>
        </tpls>
      </n>
      <n v="678269758650.93103">
        <tpls c="6">
          <tpl hier="2" item="0"/>
          <tpl hier="4" item="1"/>
          <tpl fld="2" item="24"/>
          <tpl fld="4" item="0"/>
          <tpl hier="12" item="4"/>
          <tpl fld="1" item="0"/>
        </tpls>
      </n>
      <n v="287352617371.10388">
        <tpls c="6">
          <tpl hier="2" item="0"/>
          <tpl hier="4" item="1"/>
          <tpl fld="2" item="8"/>
          <tpl fld="4" item="0"/>
          <tpl hier="12" item="4"/>
          <tpl fld="1" item="0"/>
        </tpls>
      </n>
      <n v="4561151079136.6904">
        <tpls c="6">
          <tpl hier="2" item="0"/>
          <tpl hier="4" item="1"/>
          <tpl fld="2" item="28"/>
          <tpl fld="3" item="0"/>
          <tpl hier="12" item="4"/>
          <tpl fld="1" item="0"/>
        </tpls>
      </n>
      <n v="493381948839.47614">
        <tpls c="6">
          <tpl hier="2" item="0"/>
          <tpl hier="4" item="1"/>
          <tpl fld="2" item="12"/>
          <tpl fld="3" item="0"/>
          <tpl hier="12" item="4"/>
          <tpl fld="1" item="0"/>
        </tpls>
      </n>
      <n v="3534822601839.6846">
        <tpls c="6">
          <tpl hier="2" item="0"/>
          <tpl hier="4" item="1"/>
          <tpl fld="2" item="27"/>
          <tpl fld="3" item="0"/>
          <tpl hier="12" item="4"/>
          <tpl fld="1" item="0"/>
        </tpls>
      </n>
      <n v="145858128950.34991">
        <tpls c="6">
          <tpl hier="2" item="0"/>
          <tpl hier="4" item="1"/>
          <tpl fld="2" item="16"/>
          <tpl fld="4" item="9"/>
          <tpl hier="12" item="4"/>
          <tpl fld="1" item="0"/>
        </tpls>
      </n>
      <n v="112627265644.47765">
        <tpls c="6">
          <tpl hier="2" item="0"/>
          <tpl hier="4" item="1"/>
          <tpl fld="2" item="12"/>
          <tpl fld="4" item="6"/>
          <tpl hier="12" item="4"/>
          <tpl fld="1" item="0"/>
        </tpls>
      </n>
      <n v="1018386200603.3423">
        <tpls c="6">
          <tpl hier="2" item="0"/>
          <tpl hier="4" item="1"/>
          <tpl fld="2" item="24"/>
          <tpl fld="4" item="3"/>
          <tpl hier="12" item="4"/>
          <tpl fld="1" item="0"/>
        </tpls>
      </n>
      <n v="407373027351.11786">
        <tpls c="6">
          <tpl hier="2" item="0"/>
          <tpl hier="4" item="1"/>
          <tpl fld="2" item="32"/>
          <tpl fld="4" item="1"/>
          <tpl hier="12" item="4"/>
          <tpl fld="1" item="0"/>
        </tpls>
      </n>
      <n v="206180817313.12643">
        <tpls c="6">
          <tpl hier="2" item="0"/>
          <tpl hier="4" item="1"/>
          <tpl fld="2" item="4"/>
          <tpl fld="4" item="0"/>
          <tpl hier="12" item="4"/>
          <tpl fld="1" item="0"/>
        </tpls>
      </n>
      <n v="1061457888940.1237">
        <tpls c="6">
          <tpl hier="2" item="0"/>
          <tpl hier="4" item="1"/>
          <tpl fld="2" item="13"/>
          <tpl fld="4" item="27"/>
          <tpl hier="12" item="4"/>
          <tpl fld="1" item="0"/>
        </tpls>
      </n>
      <n v="214876157533.54517">
        <tpls c="6">
          <tpl hier="2" item="0"/>
          <tpl hier="4" item="1"/>
          <tpl fld="2" item="9"/>
          <tpl fld="4" item="24"/>
          <tpl hier="12" item="4"/>
          <tpl fld="1" item="0"/>
        </tpls>
      </n>
      <n v="25180539471.4585">
        <tpls c="6">
          <tpl hier="2" item="0"/>
          <tpl hier="4" item="1"/>
          <tpl fld="2" item="1"/>
          <tpl fld="4" item="18"/>
          <tpl hier="12" item="4"/>
          <tpl fld="1" item="0"/>
        </tpls>
      </n>
      <n v="4918251588610.6328">
        <tpls c="6">
          <tpl hier="2" item="0"/>
          <tpl hier="4" item="1"/>
          <tpl fld="2" item="33"/>
          <tpl fld="4" item="14"/>
          <tpl hier="12" item="4"/>
          <tpl fld="1" item="0"/>
        </tpls>
      </n>
      <n v="15376604447.633934">
        <tpls c="6">
          <tpl hier="2" item="0"/>
          <tpl hier="4" item="1"/>
          <tpl fld="2" item="33"/>
          <tpl fld="4" item="10"/>
          <tpl hier="12" item="4"/>
          <tpl fld="1" item="0"/>
        </tpls>
      </n>
      <n v="126827793710.05472">
        <tpls c="6">
          <tpl hier="2" item="0"/>
          <tpl hier="4" item="1"/>
          <tpl fld="2" item="17"/>
          <tpl fld="4" item="6"/>
          <tpl hier="12" item="4"/>
          <tpl fld="1" item="0"/>
        </tpls>
      </n>
      <n v="196951866202.53958">
        <tpls c="6">
          <tpl hier="2" item="0"/>
          <tpl hier="4" item="1"/>
          <tpl fld="2" item="21"/>
          <tpl fld="4" item="1"/>
          <tpl hier="12" item="4"/>
          <tpl fld="1" item="0"/>
        </tpls>
      </n>
      <n v="620469606661.33252">
        <tpls c="6">
          <tpl hier="2" item="0"/>
          <tpl hier="4" item="1"/>
          <tpl fld="2" item="13"/>
          <tpl fld="3" item="0"/>
          <tpl hier="12" item="4"/>
          <tpl fld="1" item="0"/>
        </tpls>
      </n>
      <n v="67372664738001.023">
        <tpls c="6">
          <tpl hier="2" item="0"/>
          <tpl hier="4" item="1"/>
          <tpl fld="2" item="31"/>
          <tpl hier="6" item="2"/>
          <tpl hier="12" item="4"/>
          <tpl fld="1" item="0"/>
        </tpls>
      </n>
      <n v="29496569830798.992">
        <tpls c="6">
          <tpl hier="2" item="0"/>
          <tpl hier="4" item="1"/>
          <tpl fld="2" item="15"/>
          <tpl hier="6" item="2"/>
          <tpl hier="12" item="4"/>
          <tpl fld="1" item="0"/>
        </tpls>
      </n>
      <n v="202088838412232.94">
        <tpls c="6">
          <tpl hier="2" item="0"/>
          <tpl hier="4" item="1"/>
          <tpl hier="5" item="3"/>
          <tpl fld="3" item="2"/>
          <tpl hier="12" item="4"/>
          <tpl fld="1" item="0"/>
        </tpls>
      </n>
      <n v="4225233384934.4551">
        <tpls c="6">
          <tpl hier="2" item="0"/>
          <tpl hier="4" item="1"/>
          <tpl fld="2" item="19"/>
          <tpl fld="3" item="2"/>
          <tpl hier="12" item="4"/>
          <tpl fld="1" item="0"/>
        </tpls>
      </n>
      <n v="2088338067810.2949">
        <tpls c="6">
          <tpl hier="2" item="0"/>
          <tpl hier="4" item="1"/>
          <tpl fld="2" item="3"/>
          <tpl fld="3" item="2"/>
          <tpl hier="12" item="4"/>
          <tpl fld="1" item="0"/>
        </tpls>
      </n>
      <n v="11510670000000">
        <tpls c="6">
          <tpl hier="2" item="0"/>
          <tpl hier="4" item="1"/>
          <tpl fld="2" item="23"/>
          <tpl fld="4" item="28"/>
          <tpl hier="12" item="4"/>
          <tpl fld="1" item="0"/>
        </tpls>
      </n>
      <n v="4870200000000">
        <tpls c="6">
          <tpl hier="2" item="0"/>
          <tpl hier="4" item="1"/>
          <tpl fld="2" item="7"/>
          <tpl fld="4" item="28"/>
          <tpl hier="12" item="4"/>
          <tpl fld="1" item="0"/>
        </tpls>
      </n>
      <n v="2969902235554.8887">
        <tpls c="6">
          <tpl hier="2" item="0"/>
          <tpl hier="4" item="1"/>
          <tpl fld="2" item="27"/>
          <tpl fld="4" item="27"/>
          <tpl hier="12" item="4"/>
          <tpl fld="1" item="0"/>
        </tpls>
      </n>
      <n v="1142766281116.2441">
        <tpls c="6">
          <tpl hier="2" item="0"/>
          <tpl hier="4" item="1"/>
          <tpl fld="2" item="11"/>
          <tpl fld="4" item="27"/>
          <tpl hier="12" item="4"/>
          <tpl fld="1" item="0"/>
        </tpls>
      </n>
      <n v="485653206650.83136">
        <tpls c="6">
          <tpl hier="2" item="0"/>
          <tpl hier="4" item="1"/>
          <tpl fld="2" item="31"/>
          <tpl fld="4" item="26"/>
          <tpl hier="12" item="4"/>
          <tpl fld="1" item="0"/>
        </tpls>
      </n>
      <n v="279224235560.58893">
        <tpls c="6">
          <tpl hier="2" item="0"/>
          <tpl hier="4" item="1"/>
          <tpl fld="2" item="15"/>
          <tpl fld="4" item="26"/>
          <tpl hier="12" item="4"/>
          <tpl fld="1" item="0"/>
        </tpls>
      </n>
      <n v="11639308183926.822">
        <tpls c="6">
          <tpl hier="2" item="0"/>
          <tpl hier="4" item="1"/>
          <tpl hier="5" item="3"/>
          <tpl fld="4" item="25"/>
          <tpl hier="12" item="4"/>
          <tpl fld="1" item="0"/>
        </tpls>
      </n>
      <n v="289892813990.56689">
        <tpls c="6">
          <tpl hier="2" item="0"/>
          <tpl hier="4" item="1"/>
          <tpl fld="2" item="19"/>
          <tpl fld="4" item="25"/>
          <tpl hier="12" item="4"/>
          <tpl fld="1" item="0"/>
        </tpls>
      </n>
      <n v="111033366637.42137">
        <tpls c="6">
          <tpl hier="2" item="0"/>
          <tpl hier="4" item="1"/>
          <tpl fld="2" item="3"/>
          <tpl fld="4" item="25"/>
          <tpl hier="12" item="4"/>
          <tpl fld="1" item="0"/>
        </tpls>
      </n>
      <n v="331108740628.38245">
        <tpls c="6">
          <tpl hier="2" item="0"/>
          <tpl hier="4" item="1"/>
          <tpl fld="2" item="23"/>
          <tpl fld="4" item="24"/>
          <tpl hier="12" item="4"/>
          <tpl fld="1" item="0"/>
        </tpls>
      </n>
      <n v="180428092257.35803">
        <tpls c="6">
          <tpl hier="2" item="0"/>
          <tpl hier="4" item="1"/>
          <tpl fld="2" item="7"/>
          <tpl fld="4" item="24"/>
          <tpl hier="12" item="4"/>
          <tpl fld="1" item="0"/>
        </tpls>
      </n>
      <n v="1479265709739.782">
        <tpls c="6">
          <tpl hier="2" item="0"/>
          <tpl hier="4" item="1"/>
          <tpl fld="2" item="27"/>
          <tpl fld="4" item="23"/>
          <tpl hier="12" item="4"/>
          <tpl fld="1" item="0"/>
        </tpls>
      </n>
      <n v="575579012779.37427">
        <tpls c="6">
          <tpl hier="2" item="0"/>
          <tpl hier="4" item="1"/>
          <tpl fld="2" item="11"/>
          <tpl fld="4" item="23"/>
          <tpl hier="12" item="4"/>
          <tpl fld="1" item="0"/>
        </tpls>
      </n>
      <n v="1200044645269.9609">
        <tpls c="6">
          <tpl hier="2" item="0"/>
          <tpl hier="4" item="1"/>
          <tpl fld="2" item="31"/>
          <tpl fld="4" item="22"/>
          <tpl hier="12" item="4"/>
          <tpl fld="1" item="0"/>
        </tpls>
      </n>
      <n v="556223044818.62476">
        <tpls c="6">
          <tpl hier="2" item="0"/>
          <tpl hier="4" item="1"/>
          <tpl fld="2" item="15"/>
          <tpl fld="4" item="22"/>
          <tpl hier="12" item="4"/>
          <tpl fld="1" item="0"/>
        </tpls>
      </n>
      <n v="3664032227233.1494">
        <tpls c="6">
          <tpl hier="2" item="0"/>
          <tpl hier="4" item="1"/>
          <tpl hier="5" item="3"/>
          <tpl fld="4" item="21"/>
          <tpl hier="12" item="4"/>
          <tpl fld="1" item="0"/>
        </tpls>
      </n>
      <n v="86285390063.356781">
        <tpls c="6">
          <tpl hier="2" item="0"/>
          <tpl hier="4" item="1"/>
          <tpl fld="2" item="19"/>
          <tpl fld="4" item="21"/>
          <tpl hier="12" item="4"/>
          <tpl fld="1" item="0"/>
        </tpls>
      </n>
      <n v="18001940323.229458">
        <tpls c="6">
          <tpl hier="2" item="0"/>
          <tpl hier="4" item="1"/>
          <tpl fld="2" item="3"/>
          <tpl fld="4" item="21"/>
          <tpl hier="12" item="4"/>
          <tpl fld="1" item="0"/>
        </tpls>
      </n>
      <n v="164957836784.10507">
        <tpls c="6">
          <tpl hier="2" item="0"/>
          <tpl hier="4" item="1"/>
          <tpl fld="2" item="23"/>
          <tpl fld="4" item="20"/>
          <tpl hier="12" item="4"/>
          <tpl fld="1" item="0"/>
        </tpls>
      </n>
      <n v="48186396906.311844">
        <tpls c="6">
          <tpl hier="2" item="0"/>
          <tpl hier="4" item="1"/>
          <tpl fld="2" item="7"/>
          <tpl fld="4" item="20"/>
          <tpl hier="12" item="4"/>
          <tpl fld="1" item="0"/>
        </tpls>
      </n>
      <n v="400886150691.57721">
        <tpls c="6">
          <tpl hier="2" item="0"/>
          <tpl hier="4" item="1"/>
          <tpl fld="2" item="27"/>
          <tpl fld="4" item="19"/>
          <tpl hier="12" item="4"/>
          <tpl fld="1" item="0"/>
        </tpls>
      </n>
      <n v="122153534448.28487">
        <tpls c="6">
          <tpl hier="2" item="0"/>
          <tpl hier="4" item="1"/>
          <tpl fld="2" item="11"/>
          <tpl fld="4" item="19"/>
          <tpl hier="12" item="4"/>
          <tpl fld="1" item="0"/>
        </tpls>
      </n>
      <n v="168461998306.69781">
        <tpls c="6">
          <tpl hier="2" item="0"/>
          <tpl hier="4" item="1"/>
          <tpl fld="2" item="31"/>
          <tpl fld="4" item="18"/>
          <tpl hier="12" item="4"/>
          <tpl fld="1" item="0"/>
        </tpls>
      </n>
      <n v="63151434758.468323">
        <tpls c="6">
          <tpl hier="2" item="0"/>
          <tpl hier="4" item="1"/>
          <tpl fld="2" item="15"/>
          <tpl fld="4" item="18"/>
          <tpl hier="12" item="4"/>
          <tpl fld="1" item="0"/>
        </tpls>
      </n>
      <n v="16667030332767.006">
        <tpls c="6">
          <tpl hier="2" item="0"/>
          <tpl hier="4" item="1"/>
          <tpl hier="5" item="3"/>
          <tpl fld="4" item="17"/>
          <tpl hier="12" item="4"/>
          <tpl fld="1" item="0"/>
        </tpls>
      </n>
      <n v="441962436889.75244">
        <tpls c="6">
          <tpl hier="2" item="0"/>
          <tpl hier="4" item="1"/>
          <tpl fld="2" item="19"/>
          <tpl fld="4" item="17"/>
          <tpl hier="12" item="4"/>
          <tpl fld="1" item="0"/>
        </tpls>
      </n>
      <n v="151481744715.16907">
        <tpls c="6">
          <tpl hier="2" item="0"/>
          <tpl hier="4" item="1"/>
          <tpl fld="2" item="3"/>
          <tpl fld="4" item="17"/>
          <tpl hier="12" item="4"/>
          <tpl fld="1" item="0"/>
        </tpls>
      </n>
      <n v="5415735019.8492165">
        <tpls c="6">
          <tpl hier="2" item="0"/>
          <tpl hier="4" item="1"/>
          <tpl fld="2" item="23"/>
          <tpl fld="4" item="16"/>
          <tpl hier="12" item="4"/>
          <tpl fld="1" item="0"/>
        </tpls>
      </n>
      <n v="1811347610.7915826">
        <tpls c="6">
          <tpl hier="2" item="0"/>
          <tpl hier="4" item="1"/>
          <tpl fld="2" item="7"/>
          <tpl fld="4" item="16"/>
          <tpl hier="12" item="4"/>
          <tpl fld="1" item="0"/>
        </tpls>
      </n>
      <n v="50320576209.132431">
        <tpls c="6">
          <tpl hier="2" item="0"/>
          <tpl hier="4" item="1"/>
          <tpl fld="2" item="27"/>
          <tpl fld="4" item="15"/>
          <tpl hier="12" item="4"/>
          <tpl fld="1" item="0"/>
        </tpls>
      </n>
      <n v="14464407345.611853">
        <tpls c="6">
          <tpl hier="2" item="0"/>
          <tpl hier="4" item="1"/>
          <tpl fld="2" item="11"/>
          <tpl fld="4" item="15"/>
          <tpl hier="12" item="4"/>
          <tpl fld="1" item="0"/>
        </tpls>
      </n>
      <n v="5914266689822.5244">
        <tpls c="6">
          <tpl hier="2" item="0"/>
          <tpl hier="4" item="1"/>
          <tpl fld="2" item="31"/>
          <tpl fld="4" item="14"/>
          <tpl hier="12" item="4"/>
          <tpl fld="1" item="0"/>
        </tpls>
      </n>
      <n v="5337042811981.9678">
        <tpls c="6">
          <tpl hier="2" item="0"/>
          <tpl hier="4" item="1"/>
          <tpl fld="2" item="15"/>
          <tpl fld="4" item="14"/>
          <tpl hier="12" item="4"/>
          <tpl fld="1" item="0"/>
        </tpls>
      </n>
      <n v="46322488876923.031">
        <tpls c="6">
          <tpl hier="2" item="0"/>
          <tpl hier="4" item="1"/>
          <tpl hier="5" item="3"/>
          <tpl fld="4" item="13"/>
          <tpl hier="12" item="4"/>
          <tpl fld="1" item="0"/>
        </tpls>
      </n>
      <n v="1249021123698.8552">
        <tpls c="6">
          <tpl hier="2" item="0"/>
          <tpl hier="4" item="1"/>
          <tpl fld="2" item="19"/>
          <tpl fld="4" item="13"/>
          <tpl hier="12" item="4"/>
          <tpl fld="1" item="0"/>
        </tpls>
      </n>
      <n v="441730772442.35449">
        <tpls c="6">
          <tpl hier="2" item="0"/>
          <tpl hier="4" item="1"/>
          <tpl fld="2" item="3"/>
          <tpl fld="4" item="13"/>
          <tpl hier="12" item="4"/>
          <tpl fld="1" item="0"/>
        </tpls>
      </n>
      <n v="126748826170.72275">
        <tpls c="6">
          <tpl hier="2" item="0"/>
          <tpl hier="4" item="1"/>
          <tpl fld="2" item="23"/>
          <tpl fld="4" item="12"/>
          <tpl hier="12" item="4"/>
          <tpl fld="1" item="0"/>
        </tpls>
      </n>
      <n v="41082475768.694626">
        <tpls c="6">
          <tpl hier="2" item="0"/>
          <tpl hier="4" item="1"/>
          <tpl fld="2" item="7"/>
          <tpl fld="4" item="12"/>
          <tpl hier="12" item="4"/>
          <tpl fld="1" item="0"/>
        </tpls>
      </n>
      <n v="269701048741.68106">
        <tpls c="6">
          <tpl hier="2" item="0"/>
          <tpl hier="4" item="1"/>
          <tpl fld="2" item="27"/>
          <tpl fld="4" item="11"/>
          <tpl hier="12" item="4"/>
          <tpl fld="1" item="0"/>
        </tpls>
      </n>
      <n v="49844379743.569504">
        <tpls c="6">
          <tpl hier="2" item="0"/>
          <tpl hier="4" item="1"/>
          <tpl fld="2" item="11"/>
          <tpl fld="4" item="11"/>
          <tpl hier="12" item="4"/>
          <tpl fld="1" item="0"/>
        </tpls>
      </n>
      <n v="14665353617.691975">
        <tpls c="6">
          <tpl hier="2" item="0"/>
          <tpl hier="4" item="1"/>
          <tpl fld="2" item="31"/>
          <tpl fld="4" item="10"/>
          <tpl hier="12" item="4"/>
          <tpl fld="1" item="0"/>
        </tpls>
      </n>
      <n v="7187942768.5794525">
        <tpls c="6">
          <tpl hier="2" item="0"/>
          <tpl hier="4" item="1"/>
          <tpl fld="2" item="15"/>
          <tpl fld="4" item="10"/>
          <tpl hier="12" item="4"/>
          <tpl fld="1" item="0"/>
        </tpls>
      </n>
      <n v="5547141270352.5186">
        <tpls c="6">
          <tpl hier="2" item="0"/>
          <tpl hier="4" item="1"/>
          <tpl hier="5" item="3"/>
          <tpl fld="4" item="9"/>
          <tpl hier="12" item="4"/>
          <tpl fld="1" item="0"/>
        </tpls>
      </n>
      <n v="149154315210.53113">
        <tpls c="6">
          <tpl hier="2" item="0"/>
          <tpl hier="4" item="1"/>
          <tpl fld="2" item="19"/>
          <tpl fld="4" item="9"/>
          <tpl hier="12" item="4"/>
          <tpl fld="1" item="0"/>
        </tpls>
      </n>
      <n v="49420762637.215767">
        <tpls c="6">
          <tpl hier="2" item="0"/>
          <tpl hier="4" item="1"/>
          <tpl fld="2" item="3"/>
          <tpl fld="4" item="9"/>
          <tpl hier="12" item="4"/>
          <tpl fld="1" item="0"/>
        </tpls>
      </n>
      <n v="2505637000433.0645">
        <tpls c="6">
          <tpl hier="2" item="0"/>
          <tpl hier="4" item="1"/>
          <tpl fld="2" item="23"/>
          <tpl fld="4" item="8"/>
          <tpl hier="12" item="4"/>
          <tpl fld="1" item="0"/>
        </tpls>
      </n>
      <n v="1293275890816.7371">
        <tpls c="6">
          <tpl hier="2" item="0"/>
          <tpl hier="4" item="1"/>
          <tpl fld="2" item="7"/>
          <tpl fld="4" item="8"/>
          <tpl hier="12" item="4"/>
          <tpl fld="1" item="0"/>
        </tpls>
      </n>
      <n v="2662975825905.459">
        <tpls c="6">
          <tpl hier="2" item="0"/>
          <tpl hier="4" item="1"/>
          <tpl fld="2" item="27"/>
          <tpl fld="4" item="7"/>
          <tpl hier="12" item="4"/>
          <tpl fld="1" item="0"/>
        </tpls>
      </n>
      <n v="1275510845888.7053">
        <tpls c="6">
          <tpl hier="2" item="0"/>
          <tpl hier="4" item="1"/>
          <tpl fld="2" item="11"/>
          <tpl fld="4" item="7"/>
          <tpl hier="12" item="4"/>
          <tpl fld="1" item="0"/>
        </tpls>
      </n>
      <n v="273674238145.89523">
        <tpls c="6">
          <tpl hier="2" item="0"/>
          <tpl hier="4" item="1"/>
          <tpl fld="2" item="31"/>
          <tpl fld="4" item="6"/>
          <tpl hier="12" item="4"/>
          <tpl fld="1" item="0"/>
        </tpls>
      </n>
      <n v="134195580377.29904">
        <tpls c="6">
          <tpl hier="2" item="0"/>
          <tpl hier="4" item="1"/>
          <tpl fld="2" item="15"/>
          <tpl fld="4" item="6"/>
          <tpl hier="12" item="4"/>
          <tpl fld="1" item="0"/>
        </tpls>
      </n>
      <n v="6614856512004.8066">
        <tpls c="6">
          <tpl hier="2" item="0"/>
          <tpl hier="4" item="1"/>
          <tpl hier="5" item="3"/>
          <tpl fld="4" item="5"/>
          <tpl hier="12" item="4"/>
          <tpl fld="1" item="0"/>
        </tpls>
      </n>
      <n v="177964204213.15781">
        <tpls c="6">
          <tpl hier="2" item="0"/>
          <tpl hier="4" item="1"/>
          <tpl fld="2" item="19"/>
          <tpl fld="4" item="5"/>
          <tpl hier="12" item="4"/>
          <tpl fld="1" item="0"/>
        </tpls>
      </n>
      <n v="60188452658.737785">
        <tpls c="6">
          <tpl hier="2" item="0"/>
          <tpl hier="4" item="1"/>
          <tpl fld="2" item="3"/>
          <tpl fld="4" item="5"/>
          <tpl hier="12" item="4"/>
          <tpl fld="1" item="0"/>
        </tpls>
      </n>
      <n v="14464696077.148365">
        <tpls c="6">
          <tpl hier="2" item="0"/>
          <tpl hier="4" item="1"/>
          <tpl fld="2" item="23"/>
          <tpl fld="4" item="4"/>
          <tpl hier="12" item="4"/>
          <tpl fld="1" item="0"/>
        </tpls>
      </n>
      <n v="4101896330.4142504">
        <tpls c="6">
          <tpl hier="2" item="0"/>
          <tpl hier="4" item="1"/>
          <tpl fld="2" item="7"/>
          <tpl fld="4" item="4"/>
          <tpl hier="12" item="4"/>
          <tpl fld="1" item="0"/>
        </tpls>
      </n>
      <n v="1457872792382.6775">
        <tpls c="6">
          <tpl hier="2" item="0"/>
          <tpl hier="4" item="1"/>
          <tpl fld="2" item="27"/>
          <tpl fld="4" item="3"/>
          <tpl hier="12" item="4"/>
          <tpl fld="1" item="0"/>
        </tpls>
      </n>
      <n v="608249840471.03442">
        <tpls c="6">
          <tpl hier="2" item="0"/>
          <tpl hier="4" item="1"/>
          <tpl fld="2" item="11"/>
          <tpl fld="4" item="3"/>
          <tpl hier="12" item="4"/>
          <tpl fld="1" item="0"/>
        </tpls>
      </n>
      <n v="527008039490.91913">
        <tpls c="6">
          <tpl hier="2" item="0"/>
          <tpl hier="4" item="1"/>
          <tpl fld="2" item="31"/>
          <tpl fld="4" item="2"/>
          <tpl hier="12" item="4"/>
          <tpl fld="1" item="0"/>
        </tpls>
      </n>
      <n v="289571353498.12695">
        <tpls c="6">
          <tpl hier="2" item="0"/>
          <tpl hier="4" item="1"/>
          <tpl fld="2" item="15"/>
          <tpl fld="4" item="2"/>
          <tpl hier="12" item="4"/>
          <tpl fld="1" item="0"/>
        </tpls>
      </n>
      <n v="8091918000856.8447">
        <tpls c="6">
          <tpl hier="2" item="0"/>
          <tpl hier="4" item="1"/>
          <tpl hier="5" item="3"/>
          <tpl fld="4" item="1"/>
          <tpl hier="12" item="4"/>
          <tpl fld="1" item="0"/>
        </tpls>
      </n>
      <n v="216718962184.86215">
        <tpls c="6">
          <tpl hier="2" item="0"/>
          <tpl hier="4" item="1"/>
          <tpl fld="2" item="19"/>
          <tpl fld="4" item="1"/>
          <tpl hier="12" item="4"/>
          <tpl fld="1" item="0"/>
        </tpls>
      </n>
      <n v="71944725723.302444">
        <tpls c="6">
          <tpl hier="2" item="0"/>
          <tpl hier="4" item="1"/>
          <tpl fld="2" item="3"/>
          <tpl fld="4" item="1"/>
          <tpl hier="12" item="4"/>
          <tpl fld="1" item="0"/>
        </tpls>
      </n>
      <n v="558769742181.50403">
        <tpls c="6">
          <tpl hier="2" item="0"/>
          <tpl hier="4" item="1"/>
          <tpl fld="2" item="23"/>
          <tpl fld="4" item="0"/>
          <tpl hier="12" item="4"/>
          <tpl fld="1" item="0"/>
        </tpls>
      </n>
      <n v="226908372894.173">
        <tpls c="6">
          <tpl hier="2" item="0"/>
          <tpl hier="4" item="1"/>
          <tpl fld="2" item="7"/>
          <tpl fld="4" item="0"/>
          <tpl hier="12" item="4"/>
          <tpl fld="1" item="0"/>
        </tpls>
      </n>
      <n v="413535227926.211">
        <tpls c="6">
          <tpl hier="2" item="0"/>
          <tpl hier="4" item="1"/>
          <tpl fld="2" item="11"/>
          <tpl fld="3" item="0"/>
          <tpl hier="12" item="4"/>
          <tpl fld="1" item="0"/>
        </tpls>
      </n>
      <n v="722364178191.99402">
        <tpls c="6">
          <tpl hier="2" item="0"/>
          <tpl hier="4" item="1"/>
          <tpl fld="2" item="4"/>
          <tpl fld="4" item="8"/>
          <tpl hier="12" item="4"/>
          <tpl fld="1" item="0"/>
        </tpls>
      </n>
      <n v="2518841869.663188">
        <tpls c="6">
          <tpl hier="2" item="0"/>
          <tpl hier="4" item="1"/>
          <tpl fld="2" item="4"/>
          <tpl fld="4" item="4"/>
          <tpl hier="12" item="4"/>
          <tpl fld="1" item="0"/>
        </tpls>
      </n>
      <n v="236734299325.01651">
        <tpls c="6">
          <tpl hier="2" item="0"/>
          <tpl hier="4" item="1"/>
          <tpl fld="2" item="16"/>
          <tpl fld="4" item="1"/>
          <tpl hier="12" item="4"/>
          <tpl fld="1" item="0"/>
        </tpls>
      </n>
      <n v="409792858869.99274">
        <tpls c="6">
          <tpl hier="2" item="0"/>
          <tpl hier="4" item="1"/>
          <tpl fld="2" item="8"/>
          <tpl fld="3" item="0"/>
          <tpl hier="12" item="4"/>
          <tpl fld="1" item="0"/>
        </tpls>
      </n>
      <n v="303736620209.05927">
        <tpls c="6">
          <tpl hier="2" item="0"/>
          <tpl hier="4" item="1"/>
          <tpl fld="2" item="17"/>
          <tpl fld="4" item="26"/>
          <tpl hier="12" item="4"/>
          <tpl fld="1" item="0"/>
        </tpls>
      </n>
      <n v="278626298059.68774">
        <tpls c="6">
          <tpl hier="2" item="0"/>
          <tpl hier="4" item="1"/>
          <tpl fld="2" item="21"/>
          <tpl fld="4" item="25"/>
          <tpl hier="12" item="4"/>
          <tpl fld="1" item="0"/>
        </tpls>
      </n>
      <n v="1306111533339.3188">
        <tpls c="6">
          <tpl hier="2" item="0"/>
          <tpl hier="4" item="1"/>
          <tpl fld="2" item="33"/>
          <tpl fld="4" item="22"/>
          <tpl hier="12" item="4"/>
          <tpl fld="1" item="0"/>
        </tpls>
      </n>
      <n v="189494410402.42477">
        <tpls c="6">
          <tpl hier="2" item="0"/>
          <tpl hier="4" item="1"/>
          <tpl fld="2" item="33"/>
          <tpl fld="4" item="18"/>
          <tpl hier="12" item="4"/>
          <tpl fld="1" item="0"/>
        </tpls>
      </n>
      <n v="142011309025.24548">
        <tpls c="6">
          <tpl hier="2" item="0"/>
          <tpl hier="4" item="1"/>
          <tpl fld="2" item="5"/>
          <tpl fld="4" item="17"/>
          <tpl hier="12" item="4"/>
          <tpl fld="1" item="0"/>
        </tpls>
      </n>
      <n v="142837551529.73682">
        <tpls c="6">
          <tpl hier="2" item="0"/>
          <tpl hier="4" item="1"/>
          <tpl fld="2" item="25"/>
          <tpl fld="4" item="12"/>
          <tpl hier="12" item="4"/>
          <tpl fld="1" item="0"/>
        </tpls>
      </n>
      <n v="47816312623.867157">
        <tpls c="6">
          <tpl hier="2" item="0"/>
          <tpl hier="4" item="1"/>
          <tpl fld="2" item="5"/>
          <tpl fld="4" item="9"/>
          <tpl hier="12" item="4"/>
          <tpl fld="1" item="0"/>
        </tpls>
      </n>
      <n v="1370839102000.2964">
        <tpls c="6">
          <tpl hier="2" item="0"/>
          <tpl hier="4" item="1"/>
          <tpl fld="2" item="29"/>
          <tpl fld="4" item="3"/>
          <tpl hier="12" item="4"/>
          <tpl fld="1" item="0"/>
        </tpls>
      </n>
      <n v="60998773300171.68">
        <tpls c="6">
          <tpl hier="2" item="0"/>
          <tpl hier="4" item="1"/>
          <tpl fld="2" item="30"/>
          <tpl hier="6" item="2"/>
          <tpl hier="12" item="4"/>
          <tpl fld="1" item="0"/>
        </tpls>
      </n>
      <n v="26664042142534.25">
        <tpls c="6">
          <tpl hier="2" item="0"/>
          <tpl hier="4" item="1"/>
          <tpl fld="2" item="14"/>
          <tpl hier="6" item="2"/>
          <tpl hier="12" item="4"/>
          <tpl fld="1" item="0"/>
        </tpls>
      </n>
      <n v="15688884427259.789">
        <tpls c="6">
          <tpl hier="2" item="0"/>
          <tpl hier="4" item="1"/>
          <tpl fld="2" item="34"/>
          <tpl fld="3" item="2"/>
          <tpl hier="12" item="4"/>
          <tpl fld="1" item="0"/>
        </tpls>
      </n>
      <n v="4326146621901.6616">
        <tpls c="6">
          <tpl hier="2" item="0"/>
          <tpl hier="4" item="1"/>
          <tpl fld="2" item="18"/>
          <tpl fld="3" item="2"/>
          <tpl hier="12" item="4"/>
          <tpl fld="1" item="0"/>
        </tpls>
      </n>
      <n v="2167272778392.0186">
        <tpls c="6">
          <tpl hier="2" item="0"/>
          <tpl hier="4" item="1"/>
          <tpl fld="2" item="2"/>
          <tpl fld="3" item="2"/>
          <tpl hier="12" item="4"/>
          <tpl fld="1" item="0"/>
        </tpls>
      </n>
      <n v="10977520000000">
        <tpls c="6">
          <tpl hier="2" item="0"/>
          <tpl hier="4" item="1"/>
          <tpl fld="2" item="22"/>
          <tpl fld="4" item="28"/>
          <tpl hier="12" item="4"/>
          <tpl fld="1" item="0"/>
        </tpls>
      </n>
      <n v="4590100000000">
        <tpls c="6">
          <tpl hier="2" item="0"/>
          <tpl hier="4" item="1"/>
          <tpl fld="2" item="6"/>
          <tpl fld="4" item="28"/>
          <tpl hier="12" item="4"/>
          <tpl fld="1" item="0"/>
        </tpls>
      </n>
      <n v="2588140754215.7383">
        <tpls c="6">
          <tpl hier="2" item="0"/>
          <tpl hier="4" item="1"/>
          <tpl fld="2" item="26"/>
          <tpl fld="4" item="27"/>
          <tpl hier="12" item="4"/>
          <tpl fld="1" item="0"/>
        </tpls>
      </n>
      <n v="1093213703957.4952">
        <tpls c="6">
          <tpl hier="2" item="0"/>
          <tpl hier="4" item="1"/>
          <tpl fld="2" item="10"/>
          <tpl fld="4" item="27"/>
          <tpl hier="12" item="4"/>
          <tpl fld="1" item="0"/>
        </tpls>
      </n>
      <n v="446104676145.33966">
        <tpls c="6">
          <tpl hier="2" item="0"/>
          <tpl hier="4" item="1"/>
          <tpl fld="2" item="30"/>
          <tpl fld="4" item="26"/>
          <tpl hier="12" item="4"/>
          <tpl fld="1" item="0"/>
        </tpls>
      </n>
      <n v="256403703703.7037">
        <tpls c="6">
          <tpl hier="2" item="0"/>
          <tpl hier="4" item="1"/>
          <tpl fld="2" item="14"/>
          <tpl fld="4" item="26"/>
          <tpl hier="12" item="4"/>
          <tpl fld="1" item="0"/>
        </tpls>
      </n>
      <n v="701037137926.1095">
        <tpls c="6">
          <tpl hier="2" item="0"/>
          <tpl hier="4" item="1"/>
          <tpl fld="2" item="34"/>
          <tpl fld="4" item="25"/>
          <tpl hier="12" item="4"/>
          <tpl fld="1" item="0"/>
        </tpls>
      </n>
      <n v="294974815033.08044">
        <tpls c="6">
          <tpl hier="2" item="0"/>
          <tpl hier="4" item="1"/>
          <tpl fld="2" item="18"/>
          <tpl fld="4" item="25"/>
          <tpl hier="12" item="4"/>
          <tpl fld="1" item="0"/>
        </tpls>
      </n>
      <n v="111433111278.02884">
        <tpls c="6">
          <tpl hier="2" item="0"/>
          <tpl hier="4" item="1"/>
          <tpl fld="2" item="2"/>
          <tpl fld="4" item="25"/>
          <tpl hier="12" item="4"/>
          <tpl fld="1" item="0"/>
        </tpls>
      </n>
      <n v="263925588782.46924">
        <tpls c="6">
          <tpl hier="2" item="0"/>
          <tpl hier="4" item="1"/>
          <tpl fld="2" item="22"/>
          <tpl fld="4" item="24"/>
          <tpl hier="12" item="4"/>
          <tpl fld="1" item="0"/>
        </tpls>
      </n>
      <n v="148376449812.83505">
        <tpls c="6">
          <tpl hier="2" item="0"/>
          <tpl hier="4" item="1"/>
          <tpl fld="2" item="6"/>
          <tpl fld="4" item="24"/>
          <tpl hier="12" item="4"/>
          <tpl fld="1" item="0"/>
        </tpls>
      </n>
      <n v="1264486728148.1492">
        <tpls c="6">
          <tpl hier="2" item="0"/>
          <tpl hier="4" item="1"/>
          <tpl fld="2" item="26"/>
          <tpl fld="4" item="23"/>
          <tpl hier="12" item="4"/>
          <tpl fld="1" item="0"/>
        </tpls>
      </n>
      <n v="535070512927.44897">
        <tpls c="6">
          <tpl hier="2" item="0"/>
          <tpl hier="4" item="1"/>
          <tpl fld="2" item="10"/>
          <tpl fld="4" item="23"/>
          <tpl hier="12" item="4"/>
          <tpl fld="1" item="0"/>
        </tpls>
      </n>
      <n v="1098557948066.7544">
        <tpls c="6">
          <tpl hier="2" item="0"/>
          <tpl hier="4" item="1"/>
          <tpl fld="2" item="30"/>
          <tpl fld="4" item="22"/>
          <tpl hier="12" item="4"/>
          <tpl fld="1" item="0"/>
        </tpls>
      </n>
      <n v="455537867437.80847">
        <tpls c="6">
          <tpl hier="2" item="0"/>
          <tpl hier="4" item="1"/>
          <tpl fld="2" item="14"/>
          <tpl fld="4" item="22"/>
          <tpl hier="12" item="4"/>
          <tpl fld="1" item="0"/>
        </tpls>
      </n>
      <n v="307871828262.49951">
        <tpls c="6">
          <tpl hier="2" item="0"/>
          <tpl hier="4" item="1"/>
          <tpl fld="2" item="34"/>
          <tpl fld="4" item="21"/>
          <tpl hier="12" item="4"/>
          <tpl fld="1" item="0"/>
        </tpls>
      </n>
      <n v="85707369919.617065">
        <tpls c="6">
          <tpl hier="2" item="0"/>
          <tpl hier="4" item="1"/>
          <tpl fld="2" item="18"/>
          <tpl fld="4" item="21"/>
          <tpl hier="12" item="4"/>
          <tpl fld="1" item="0"/>
        </tpls>
      </n>
      <n v="15873646335.90729">
        <tpls c="6">
          <tpl hier="2" item="0"/>
          <tpl hier="4" item="1"/>
          <tpl fld="2" item="2"/>
          <tpl fld="4" item="21"/>
          <tpl hier="12" item="4"/>
          <tpl fld="1" item="0"/>
        </tpls>
      </n>
      <n v="134234795351.60501">
        <tpls c="6">
          <tpl hier="2" item="0"/>
          <tpl hier="4" item="1"/>
          <tpl fld="2" item="22"/>
          <tpl fld="4" item="20"/>
          <tpl hier="12" item="4"/>
          <tpl fld="1" item="0"/>
        </tpls>
      </n>
      <n v="38747869086.952507">
        <tpls c="6">
          <tpl hier="2" item="0"/>
          <tpl hier="4" item="1"/>
          <tpl fld="2" item="6"/>
          <tpl fld="4" item="20"/>
          <tpl hier="12" item="4"/>
          <tpl fld="1" item="0"/>
        </tpls>
      </n>
      <n v="345422870818.20618">
        <tpls c="6">
          <tpl hier="2" item="0"/>
          <tpl hier="4" item="1"/>
          <tpl fld="2" item="26"/>
          <tpl fld="4" item="19"/>
          <tpl hier="12" item="4"/>
          <tpl fld="1" item="0"/>
        </tpls>
      </n>
      <n v="120077379550.66101">
        <tpls c="6">
          <tpl hier="2" item="0"/>
          <tpl hier="4" item="1"/>
          <tpl fld="2" item="10"/>
          <tpl fld="4" item="19"/>
          <tpl hier="12" item="4"/>
          <tpl fld="1" item="0"/>
        </tpls>
      </n>
      <n v="146583113914.64886">
        <tpls c="6">
          <tpl hier="2" item="0"/>
          <tpl hier="4" item="1"/>
          <tpl fld="2" item="30"/>
          <tpl fld="4" item="18"/>
          <tpl hier="12" item="4"/>
          <tpl fld="1" item="0"/>
        </tpls>
      </n>
      <n v="53564089925.436478">
        <tpls c="6">
          <tpl hier="2" item="0"/>
          <tpl hier="4" item="1"/>
          <tpl fld="2" item="14"/>
          <tpl fld="4" item="18"/>
          <tpl hier="12" item="4"/>
          <tpl fld="1" item="0"/>
        </tpls>
      </n>
      <n v="879319317665.08557">
        <tpls c="6">
          <tpl hier="2" item="0"/>
          <tpl hier="4" item="1"/>
          <tpl fld="2" item="34"/>
          <tpl fld="4" item="17"/>
          <tpl hier="12" item="4"/>
          <tpl fld="1" item="0"/>
        </tpls>
      </n>
      <n v="432486306414.75122">
        <tpls c="6">
          <tpl hier="2" item="0"/>
          <tpl hier="4" item="1"/>
          <tpl fld="2" item="18"/>
          <tpl fld="4" item="17"/>
          <tpl hier="12" item="4"/>
          <tpl fld="1" item="0"/>
        </tpls>
      </n>
      <n v="156458466979.56909">
        <tpls c="6">
          <tpl hier="2" item="0"/>
          <tpl hier="4" item="1"/>
          <tpl fld="2" item="2"/>
          <tpl fld="4" item="17"/>
          <tpl hier="12" item="4"/>
          <tpl fld="1" item="0"/>
        </tpls>
      </n>
      <n v="4467144002.898035">
        <tpls c="6">
          <tpl hier="2" item="0"/>
          <tpl hier="4" item="1"/>
          <tpl fld="2" item="22"/>
          <tpl fld="4" item="16"/>
          <tpl hier="12" item="4"/>
          <tpl fld="1" item="0"/>
        </tpls>
      </n>
      <n v="1484247551.6897719">
        <tpls c="6">
          <tpl hier="2" item="0"/>
          <tpl hier="4" item="1"/>
          <tpl fld="2" item="6"/>
          <tpl fld="4" item="16"/>
          <tpl hier="12" item="4"/>
          <tpl fld="1" item="0"/>
        </tpls>
      </n>
      <n v="41911414824.906166">
        <tpls c="6">
          <tpl hier="2" item="0"/>
          <tpl hier="4" item="1"/>
          <tpl fld="2" item="26"/>
          <tpl fld="4" item="15"/>
          <tpl hier="12" item="4"/>
          <tpl fld="1" item="0"/>
        </tpls>
      </n>
      <n v="13360970744.241018">
        <tpls c="6">
          <tpl hier="2" item="0"/>
          <tpl hier="4" item="1"/>
          <tpl fld="2" item="10"/>
          <tpl fld="4" item="15"/>
          <tpl hier="12" item="4"/>
          <tpl fld="1" item="0"/>
        </tpls>
      </n>
      <n v="5502400179995.6992">
        <tpls c="6">
          <tpl hier="2" item="0"/>
          <tpl hier="4" item="1"/>
          <tpl fld="2" item="30"/>
          <tpl fld="4" item="14"/>
          <tpl hier="12" item="4"/>
          <tpl fld="1" item="0"/>
        </tpls>
      </n>
      <n v="4852858113288.9941">
        <tpls c="6">
          <tpl hier="2" item="0"/>
          <tpl hier="4" item="1"/>
          <tpl fld="2" item="14"/>
          <tpl fld="4" item="14"/>
          <tpl hier="12" item="4"/>
          <tpl fld="1" item="0"/>
        </tpls>
      </n>
      <n v="2141161311796.8362">
        <tpls c="6">
          <tpl hier="2" item="0"/>
          <tpl hier="4" item="1"/>
          <tpl fld="2" item="34"/>
          <tpl fld="4" item="13"/>
          <tpl hier="12" item="4"/>
          <tpl fld="1" item="0"/>
        </tpls>
      </n>
      <n v="1266823853085.5305">
        <tpls c="6">
          <tpl hier="2" item="0"/>
          <tpl hier="4" item="1"/>
          <tpl fld="2" item="18"/>
          <tpl fld="4" item="13"/>
          <tpl hier="12" item="4"/>
          <tpl fld="1" item="0"/>
        </tpls>
      </n>
      <n v="426010423397.63068">
        <tpls c="6">
          <tpl hier="2" item="0"/>
          <tpl hier="4" item="1"/>
          <tpl fld="2" item="2"/>
          <tpl fld="4" item="13"/>
          <tpl hier="12" item="4"/>
          <tpl fld="1" item="0"/>
        </tpls>
      </n>
      <n v="121091998965.77016">
        <tpls c="6">
          <tpl hier="2" item="0"/>
          <tpl hier="4" item="1"/>
          <tpl fld="2" item="22"/>
          <tpl fld="4" item="12"/>
          <tpl hier="12" item="4"/>
          <tpl fld="1" item="0"/>
        </tpls>
      </n>
      <n v="34196716626.506706">
        <tpls c="6">
          <tpl hier="2" item="0"/>
          <tpl hier="4" item="1"/>
          <tpl fld="2" item="6"/>
          <tpl fld="4" item="12"/>
          <tpl hier="12" item="4"/>
          <tpl fld="1" item="0"/>
        </tpls>
      </n>
      <n v="231983211799.60132">
        <tpls c="6">
          <tpl hier="2" item="0"/>
          <tpl hier="4" item="1"/>
          <tpl fld="2" item="26"/>
          <tpl fld="4" item="11"/>
          <tpl hier="12" item="4"/>
          <tpl fld="1" item="0"/>
        </tpls>
      </n>
      <n v="49363029367.754845">
        <tpls c="6">
          <tpl hier="2" item="0"/>
          <tpl hier="4" item="1"/>
          <tpl fld="2" item="10"/>
          <tpl fld="4" item="11"/>
          <tpl hier="12" item="4"/>
          <tpl fld="1" item="0"/>
        </tpls>
      </n>
      <n v="13236886790.207048">
        <tpls c="6">
          <tpl hier="2" item="0"/>
          <tpl hier="4" item="1"/>
          <tpl fld="2" item="30"/>
          <tpl fld="4" item="10"/>
          <tpl hier="12" item="4"/>
          <tpl fld="1" item="0"/>
        </tpls>
      </n>
      <n v="6447980708.32798">
        <tpls c="6">
          <tpl hier="2" item="0"/>
          <tpl hier="4" item="1"/>
          <tpl fld="2" item="14"/>
          <tpl fld="4" item="10"/>
          <tpl hier="12" item="4"/>
          <tpl fld="1" item="0"/>
        </tpls>
      </n>
      <n v="235574072512.95071">
        <tpls c="6">
          <tpl hier="2" item="0"/>
          <tpl hier="4" item="1"/>
          <tpl fld="2" item="34"/>
          <tpl fld="4" item="9"/>
          <tpl hier="12" item="4"/>
          <tpl fld="1" item="0"/>
        </tpls>
      </n>
      <n v="144429814840.15768">
        <tpls c="6">
          <tpl hier="2" item="0"/>
          <tpl hier="4" item="1"/>
          <tpl fld="2" item="18"/>
          <tpl fld="4" item="9"/>
          <tpl hier="12" item="4"/>
          <tpl fld="1" item="0"/>
        </tpls>
      </n>
      <n v="54604773212.034805">
        <tpls c="6">
          <tpl hier="2" item="0"/>
          <tpl hier="4" item="1"/>
          <tpl fld="2" item="2"/>
          <tpl fld="4" item="9"/>
          <tpl hier="12" item="4"/>
          <tpl fld="1" item="0"/>
        </tpls>
      </n>
      <n v="2079230591791.4395">
        <tpls c="6">
          <tpl hier="2" item="0"/>
          <tpl hier="4" item="1"/>
          <tpl fld="2" item="22"/>
          <tpl fld="4" item="8"/>
          <tpl hier="12" item="4"/>
          <tpl fld="1" item="0"/>
        </tpls>
      </n>
      <n v="1042336591243.6149">
        <tpls c="6">
          <tpl hier="2" item="0"/>
          <tpl hier="4" item="1"/>
          <tpl fld="2" item="6"/>
          <tpl fld="4" item="8"/>
          <tpl hier="12" item="4"/>
          <tpl fld="1" item="0"/>
        </tpls>
      </n>
      <n v="2324892829790.189">
        <tpls c="6">
          <tpl hier="2" item="0"/>
          <tpl hier="4" item="1"/>
          <tpl fld="2" item="26"/>
          <tpl fld="4" item="7"/>
          <tpl hier="12" item="4"/>
          <tpl fld="1" item="0"/>
        </tpls>
      </n>
      <n v="1275259122455.5303">
        <tpls c="6">
          <tpl hier="2" item="0"/>
          <tpl hier="4" item="1"/>
          <tpl fld="2" item="10"/>
          <tpl fld="4" item="7"/>
          <tpl hier="12" item="4"/>
          <tpl fld="1" item="0"/>
        </tpls>
      </n>
      <n v="247799816421.5256">
        <tpls c="6">
          <tpl hier="2" item="0"/>
          <tpl hier="4" item="1"/>
          <tpl fld="2" item="30"/>
          <tpl fld="4" item="6"/>
          <tpl hier="12" item="4"/>
          <tpl fld="1" item="0"/>
        </tpls>
      </n>
      <n v="103317838010.04161">
        <tpls c="6">
          <tpl hier="2" item="0"/>
          <tpl hier="4" item="1"/>
          <tpl fld="2" item="14"/>
          <tpl fld="4" item="6"/>
          <tpl hier="12" item="4"/>
          <tpl fld="1" item="0"/>
        </tpls>
      </n>
      <n v="346119470071.867">
        <tpls c="6">
          <tpl hier="2" item="0"/>
          <tpl hier="4" item="1"/>
          <tpl fld="2" item="34"/>
          <tpl fld="4" item="5"/>
          <tpl hier="12" item="4"/>
          <tpl fld="1" item="0"/>
        </tpls>
      </n>
      <n v="176991295715.79578">
        <tpls c="6">
          <tpl hier="2" item="0"/>
          <tpl hier="4" item="1"/>
          <tpl fld="2" item="18"/>
          <tpl fld="4" item="5"/>
          <tpl hier="12" item="4"/>
          <tpl fld="1" item="0"/>
        </tpls>
      </n>
      <n v="59916001572.50425">
        <tpls c="6">
          <tpl hier="2" item="0"/>
          <tpl hier="4" item="1"/>
          <tpl fld="2" item="2"/>
          <tpl fld="4" item="5"/>
          <tpl hier="12" item="4"/>
          <tpl fld="1" item="0"/>
        </tpls>
      </n>
      <n v="11511782202.842794">
        <tpls c="6">
          <tpl hier="2" item="0"/>
          <tpl hier="4" item="1"/>
          <tpl fld="2" item="22"/>
          <tpl fld="4" item="4"/>
          <tpl hier="12" item="4"/>
          <tpl fld="1" item="0"/>
        </tpls>
      </n>
      <n v="3423220864.718833">
        <tpls c="6">
          <tpl hier="2" item="0"/>
          <tpl hier="4" item="1"/>
          <tpl fld="2" item="6"/>
          <tpl fld="4" item="4"/>
          <tpl hier="12" item="4"/>
          <tpl fld="1" item="0"/>
        </tpls>
      </n>
      <n v="1310795227595.9563">
        <tpls c="6">
          <tpl hier="2" item="0"/>
          <tpl hier="4" item="1"/>
          <tpl fld="2" item="26"/>
          <tpl fld="4" item="3"/>
          <tpl hier="12" item="4"/>
          <tpl fld="1" item="0"/>
        </tpls>
      </n>
      <n v="592027597437.38086">
        <tpls c="6">
          <tpl hier="2" item="0"/>
          <tpl hier="4" item="1"/>
          <tpl fld="2" item="10"/>
          <tpl fld="4" item="3"/>
          <tpl hier="12" item="4"/>
          <tpl fld="1" item="0"/>
        </tpls>
      </n>
      <n v="483548694683.67407">
        <tpls c="6">
          <tpl hier="2" item="0"/>
          <tpl hier="4" item="1"/>
          <tpl fld="2" item="30"/>
          <tpl fld="4" item="2"/>
          <tpl hier="12" item="4"/>
          <tpl fld="1" item="0"/>
        </tpls>
      </n>
      <n v="246205593627.05615">
        <tpls c="6">
          <tpl hier="2" item="0"/>
          <tpl hier="4" item="1"/>
          <tpl fld="2" item="14"/>
          <tpl fld="4" item="2"/>
          <tpl hier="12" item="4"/>
          <tpl fld="1" item="0"/>
        </tpls>
      </n>
      <n v="436887541564.24615">
        <tpls c="6">
          <tpl hier="2" item="0"/>
          <tpl hier="4" item="1"/>
          <tpl fld="2" item="34"/>
          <tpl fld="4" item="1"/>
          <tpl hier="12" item="4"/>
          <tpl fld="1" item="0"/>
        </tpls>
      </n>
      <n v="217678365576.18094">
        <tpls c="6">
          <tpl hier="2" item="0"/>
          <tpl hier="4" item="1"/>
          <tpl fld="2" item="18"/>
          <tpl fld="4" item="1"/>
          <tpl hier="12" item="4"/>
          <tpl fld="1" item="0"/>
        </tpls>
      </n>
      <n v="71101061993.443817">
        <tpls c="6">
          <tpl hier="2" item="0"/>
          <tpl hier="4" item="1"/>
          <tpl fld="2" item="2"/>
          <tpl fld="4" item="1"/>
          <tpl hier="12" item="4"/>
          <tpl fld="1" item="0"/>
        </tpls>
      </n>
      <n v="435137084451.0849">
        <tpls c="6">
          <tpl hier="2" item="0"/>
          <tpl hier="4" item="1"/>
          <tpl fld="2" item="22"/>
          <tpl fld="4" item="0"/>
          <tpl hier="12" item="4"/>
          <tpl fld="1" item="0"/>
        </tpls>
      </n>
      <n v="191038053998.52484">
        <tpls c="6">
          <tpl hier="2" item="0"/>
          <tpl hier="4" item="1"/>
          <tpl fld="2" item="6"/>
          <tpl fld="4" item="0"/>
          <tpl hier="12" item="4"/>
          <tpl fld="1" item="0"/>
        </tpls>
      </n>
      <n v="2747804265997.4907">
        <tpls c="6">
          <tpl hier="2" item="0"/>
          <tpl hier="4" item="1"/>
          <tpl fld="2" item="26"/>
          <tpl fld="3" item="0"/>
          <tpl hier="12" item="4"/>
          <tpl fld="1" item="0"/>
        </tpls>
      </n>
      <n v="396562282265.65002">
        <tpls c="6">
          <tpl hier="2" item="0"/>
          <tpl hier="4" item="1"/>
          <tpl fld="2" item="10"/>
          <tpl fld="3" item="0"/>
          <tpl hier="12" item="4"/>
          <tpl fld="1" item="0"/>
        </tpls>
      </n>
      <n v="245670669783.22833">
        <tpls c="6">
          <tpl hier="2" item="0"/>
          <tpl hier="4" item="1"/>
          <tpl fld="2" item="32"/>
          <tpl fld="4" item="9"/>
          <tpl hier="12" item="4"/>
          <tpl fld="1" item="0"/>
        </tpls>
      </n>
      <n v="1949952496810.395">
        <tpls c="6">
          <tpl hier="2" item="0"/>
          <tpl hier="4" item="1"/>
          <tpl fld="2" item="20"/>
          <tpl fld="4" item="8"/>
          <tpl hier="12" item="4"/>
          <tpl fld="1" item="0"/>
        </tpls>
      </n>
      <n v="2124204553215.002">
        <tpls c="6">
          <tpl hier="2" item="0"/>
          <tpl hier="4" item="1"/>
          <tpl fld="2" item="24"/>
          <tpl fld="4" item="7"/>
          <tpl hier="12" item="4"/>
          <tpl fld="1" item="0"/>
        </tpls>
      </n>
      <n v="1023469836198.5438">
        <tpls c="6">
          <tpl hier="2" item="0"/>
          <tpl hier="4" item="1"/>
          <tpl fld="2" item="8"/>
          <tpl fld="4" item="7"/>
          <tpl hier="12" item="4"/>
          <tpl fld="1" item="0"/>
        </tpls>
      </n>
      <n v="283753004414.06421">
        <tpls c="6">
          <tpl hier="2" item="0"/>
          <tpl hier="4" item="1"/>
          <tpl fld="2" item="28"/>
          <tpl fld="4" item="6"/>
          <tpl hier="12" item="4"/>
          <tpl fld="1" item="0"/>
        </tpls>
      </n>
      <n v="325012164488.22272">
        <tpls c="6">
          <tpl hier="2" item="0"/>
          <tpl hier="4" item="1"/>
          <tpl fld="2" item="32"/>
          <tpl fld="4" item="5"/>
          <tpl hier="12" item="4"/>
          <tpl fld="1" item="0"/>
        </tpls>
      </n>
      <n v="187633316092.02847">
        <tpls c="6">
          <tpl hier="2" item="0"/>
          <tpl hier="4" item="1"/>
          <tpl fld="2" item="16"/>
          <tpl fld="4" item="5"/>
          <tpl hier="12" item="4"/>
          <tpl fld="1" item="0"/>
        </tpls>
      </n>
      <n v="10108711361.92602">
        <tpls c="6">
          <tpl hier="2" item="0"/>
          <tpl hier="4" item="1"/>
          <tpl fld="2" item="20"/>
          <tpl fld="4" item="4"/>
          <tpl hier="12" item="4"/>
          <tpl fld="1" item="0"/>
        </tpls>
      </n>
      <n v="506014300870.48242">
        <tpls c="6">
          <tpl hier="2" item="0"/>
          <tpl hier="4" item="1"/>
          <tpl fld="2" item="8"/>
          <tpl fld="4" item="3"/>
          <tpl hier="12" item="4"/>
          <tpl fld="1" item="0"/>
        </tpls>
      </n>
      <n v="518645256391.58362">
        <tpls c="6">
          <tpl hier="2" item="0"/>
          <tpl hier="4" item="1"/>
          <tpl fld="2" item="28"/>
          <tpl fld="4" item="2"/>
          <tpl hier="12" item="4"/>
          <tpl fld="1" item="0"/>
        </tpls>
      </n>
      <n v="81857651770.668655">
        <tpls c="6">
          <tpl hier="2" item="0"/>
          <tpl hier="4" item="1"/>
          <tpl fld="2" item="0"/>
          <tpl fld="4" item="1"/>
          <tpl hier="12" item="4"/>
          <tpl fld="1" item="0"/>
        </tpls>
      </n>
      <n v="1952643344998.7102">
        <tpls c="6">
          <tpl hier="2" item="0"/>
          <tpl hier="4" item="1"/>
          <tpl fld="2" item="24"/>
          <tpl fld="3" item="0"/>
          <tpl hier="12" item="4"/>
          <tpl fld="1" item="0"/>
        </tpls>
      </n>
      <n v="49063413971.18782">
        <tpls c="6">
          <tpl hier="2" item="0"/>
          <tpl hier="4" item="1"/>
          <tpl fld="2" item="1"/>
          <tpl fld="4" item="26"/>
          <tpl hier="12" item="4"/>
          <tpl fld="1" item="0"/>
        </tpls>
      </n>
      <n v="120633696662.86877">
        <tpls c="6">
          <tpl hier="2" item="0"/>
          <tpl hier="4" item="1"/>
          <tpl fld="2" item="13"/>
          <tpl fld="4" item="19"/>
          <tpl hier="12" item="4"/>
          <tpl fld="1" item="0"/>
        </tpls>
      </n>
      <n v="1162774203362.8335">
        <tpls c="6">
          <tpl hier="2" item="0"/>
          <tpl hier="4" item="1"/>
          <tpl fld="2" item="21"/>
          <tpl fld="4" item="13"/>
          <tpl hier="12" item="4"/>
          <tpl fld="1" item="0"/>
        </tpls>
      </n>
      <n v="2693665188493.23">
        <tpls c="6">
          <tpl hier="2" item="0"/>
          <tpl hier="4" item="1"/>
          <tpl fld="2" item="29"/>
          <tpl fld="4" item="7"/>
          <tpl hier="12" item="4"/>
          <tpl fld="1" item="0"/>
        </tpls>
      </n>
      <n v="105289561858.00966">
        <tpls c="6">
          <tpl hier="2" item="0"/>
          <tpl hier="4" item="1"/>
          <tpl fld="2" item="1"/>
          <tpl fld="4" item="2"/>
          <tpl hier="12" item="4"/>
          <tpl fld="1" item="0"/>
        </tpls>
      </n>
      <n v="55840670301375.633">
        <tpls c="6">
          <tpl hier="2" item="0"/>
          <tpl hier="4" item="1"/>
          <tpl fld="2" item="29"/>
          <tpl hier="6" item="2"/>
          <tpl hier="12" item="4"/>
          <tpl fld="1" item="0"/>
        </tpls>
      </n>
      <n v="24895559064166.008">
        <tpls c="6">
          <tpl hier="2" item="0"/>
          <tpl hier="4" item="1"/>
          <tpl fld="2" item="13"/>
          <tpl hier="6" item="2"/>
          <tpl hier="12" item="4"/>
          <tpl fld="1" item="0"/>
        </tpls>
      </n>
      <n v="15446636040714.775">
        <tpls c="6">
          <tpl hier="2" item="0"/>
          <tpl hier="4" item="1"/>
          <tpl fld="2" item="33"/>
          <tpl fld="3" item="2"/>
          <tpl hier="12" item="4"/>
          <tpl fld="1" item="0"/>
        </tpls>
      </n>
      <n v="4564761332787.6797">
        <tpls c="6">
          <tpl hier="2" item="0"/>
          <tpl hier="4" item="1"/>
          <tpl fld="2" item="17"/>
          <tpl fld="3" item="2"/>
          <tpl hier="12" item="4"/>
          <tpl fld="1" item="0"/>
        </tpls>
      </n>
      <n v="2263962157120.6582">
        <tpls c="6">
          <tpl hier="2" item="0"/>
          <tpl hier="4" item="1"/>
          <tpl fld="2" item="1"/>
          <tpl fld="3" item="2"/>
          <tpl hier="12" item="4"/>
          <tpl fld="1" item="0"/>
        </tpls>
      </n>
      <n v="10621830000000">
        <tpls c="6">
          <tpl hier="2" item="0"/>
          <tpl hier="4" item="1"/>
          <tpl fld="2" item="21"/>
          <tpl fld="4" item="28"/>
          <tpl hier="12" item="4"/>
          <tpl fld="1" item="0"/>
        </tpls>
      </n>
      <n v="4346700000000">
        <tpls c="6">
          <tpl hier="2" item="0"/>
          <tpl hier="4" item="1"/>
          <tpl fld="2" item="5"/>
          <tpl fld="4" item="28"/>
          <tpl hier="12" item="4"/>
          <tpl fld="1" item="0"/>
        </tpls>
      </n>
      <n v="2418949162991.0952">
        <tpls c="6">
          <tpl hier="2" item="0"/>
          <tpl hier="4" item="1"/>
          <tpl fld="2" item="25"/>
          <tpl fld="4" item="27"/>
          <tpl hier="12" item="4"/>
          <tpl fld="1" item="0"/>
        </tpls>
      </n>
      <n v="926926143222.19043">
        <tpls c="6">
          <tpl hier="2" item="0"/>
          <tpl hier="4" item="1"/>
          <tpl fld="2" item="9"/>
          <tpl fld="4" item="27"/>
          <tpl hier="12" item="4"/>
          <tpl fld="1" item="0"/>
        </tpls>
      </n>
      <n v="392064609800.36298">
        <tpls c="6">
          <tpl hier="2" item="0"/>
          <tpl hier="4" item="1"/>
          <tpl fld="2" item="29"/>
          <tpl fld="4" item="26"/>
          <tpl hier="12" item="4"/>
          <tpl fld="1" item="0"/>
        </tpls>
      </n>
      <n v="235139749905.26715">
        <tpls c="6">
          <tpl hier="2" item="0"/>
          <tpl hier="4" item="1"/>
          <tpl fld="2" item="13"/>
          <tpl fld="4" item="26"/>
          <tpl hier="12" item="4"/>
          <tpl fld="1" item="0"/>
        </tpls>
      </n>
      <n v="684919202219.04419">
        <tpls c="6">
          <tpl hier="2" item="0"/>
          <tpl hier="4" item="1"/>
          <tpl fld="2" item="33"/>
          <tpl fld="4" item="25"/>
          <tpl hier="12" item="4"/>
          <tpl fld="1" item="0"/>
        </tpls>
      </n>
      <n v="286601555488.56641">
        <tpls c="6">
          <tpl hier="2" item="0"/>
          <tpl hier="4" item="1"/>
          <tpl fld="2" item="17"/>
          <tpl fld="4" item="25"/>
          <tpl hier="12" item="4"/>
          <tpl fld="1" item="0"/>
        </tpls>
      </n>
      <n v="108718728453.83539">
        <tpls c="6">
          <tpl hier="2" item="0"/>
          <tpl hier="4" item="1"/>
          <tpl fld="2" item="1"/>
          <tpl fld="4" item="25"/>
          <tpl hier="12" item="4"/>
          <tpl fld="1" item="0"/>
        </tpls>
      </n>
      <n v="239916484786.33643">
        <tpls c="6">
          <tpl hier="2" item="0"/>
          <tpl hier="4" item="1"/>
          <tpl fld="2" item="21"/>
          <tpl fld="4" item="24"/>
          <tpl hier="12" item="4"/>
          <tpl fld="1" item="0"/>
        </tpls>
      </n>
      <n v="112514121171.44209">
        <tpls c="6">
          <tpl hier="2" item="0"/>
          <tpl hier="4" item="1"/>
          <tpl fld="2" item="5"/>
          <tpl fld="4" item="24"/>
          <tpl hier="12" item="4"/>
          <tpl fld="1" item="0"/>
        </tpls>
      </n>
      <n v="1157247674476.4463">
        <tpls c="6">
          <tpl hier="2" item="0"/>
          <tpl hier="4" item="1"/>
          <tpl fld="2" item="25"/>
          <tpl fld="4" item="23"/>
          <tpl hier="12" item="4"/>
          <tpl fld="1" item="0"/>
        </tpls>
      </n>
      <n v="413651406815.16602">
        <tpls c="6">
          <tpl hier="2" item="0"/>
          <tpl hier="4" item="1"/>
          <tpl fld="2" item="9"/>
          <tpl fld="4" item="23"/>
          <tpl hier="12" item="4"/>
          <tpl fld="1" item="0"/>
        </tpls>
      </n>
      <n v="900597526880.8783">
        <tpls c="6">
          <tpl hier="2" item="0"/>
          <tpl hier="4" item="1"/>
          <tpl fld="2" item="29"/>
          <tpl fld="4" item="22"/>
          <tpl hier="12" item="4"/>
          <tpl fld="1" item="0"/>
        </tpls>
      </n>
      <n v="386210621357.69904">
        <tpls c="6">
          <tpl hier="2" item="0"/>
          <tpl hier="4" item="1"/>
          <tpl fld="2" item="13"/>
          <tpl fld="4" item="22"/>
          <tpl hier="12" item="4"/>
          <tpl fld="1" item="0"/>
        </tpls>
      </n>
      <n v="302245664508.91071">
        <tpls c="6">
          <tpl hier="2" item="0"/>
          <tpl hier="4" item="1"/>
          <tpl fld="2" item="33"/>
          <tpl fld="4" item="21"/>
          <tpl hier="12" item="4"/>
          <tpl fld="1" item="0"/>
        </tpls>
      </n>
      <n v="100163940631.15863">
        <tpls c="6">
          <tpl hier="2" item="0"/>
          <tpl hier="4" item="1"/>
          <tpl fld="2" item="17"/>
          <tpl fld="4" item="21"/>
          <tpl hier="12" item="4"/>
          <tpl fld="1" item="0"/>
        </tpls>
      </n>
      <n v="14363193645.338787">
        <tpls c="6">
          <tpl hier="2" item="0"/>
          <tpl hier="4" item="1"/>
          <tpl fld="2" item="1"/>
          <tpl fld="4" item="21"/>
          <tpl hier="12" item="4"/>
          <tpl fld="1" item="0"/>
        </tpls>
      </n>
      <n v="121544791545.48952">
        <tpls c="6">
          <tpl hier="2" item="0"/>
          <tpl hier="4" item="1"/>
          <tpl fld="2" item="21"/>
          <tpl fld="4" item="20"/>
          <tpl hier="12" item="4"/>
          <tpl fld="1" item="0"/>
        </tpls>
      </n>
      <n v="27117678299.641991">
        <tpls c="6">
          <tpl hier="2" item="0"/>
          <tpl hier="4" item="1"/>
          <tpl fld="2" item="5"/>
          <tpl fld="4" item="20"/>
          <tpl hier="12" item="4"/>
          <tpl fld="1" item="0"/>
        </tpls>
      </n>
      <n v="308722079937.91229">
        <tpls c="6">
          <tpl hier="2" item="0"/>
          <tpl hier="4" item="1"/>
          <tpl fld="2" item="25"/>
          <tpl fld="4" item="19"/>
          <tpl hier="12" item="4"/>
          <tpl fld="1" item="0"/>
        </tpls>
      </n>
      <n v="102873321746.68695">
        <tpls c="6">
          <tpl hier="2" item="0"/>
          <tpl hier="4" item="1"/>
          <tpl fld="2" item="9"/>
          <tpl fld="4" item="19"/>
          <tpl hier="12" item="4"/>
          <tpl fld="1" item="0"/>
        </tpls>
      </n>
      <n v="121340342573.4127">
        <tpls c="6">
          <tpl hier="2" item="0"/>
          <tpl hier="4" item="1"/>
          <tpl fld="2" item="29"/>
          <tpl fld="4" item="18"/>
          <tpl hier="12" item="4"/>
          <tpl fld="1" item="0"/>
        </tpls>
      </n>
      <n v="45641390418.539551">
        <tpls c="6">
          <tpl hier="2" item="0"/>
          <tpl hier="4" item="1"/>
          <tpl fld="2" item="13"/>
          <tpl fld="4" item="18"/>
          <tpl hier="12" item="4"/>
          <tpl fld="1" item="0"/>
        </tpls>
      </n>
      <n v="864169245072.46924">
        <tpls c="6">
          <tpl hier="2" item="0"/>
          <tpl hier="4" item="1"/>
          <tpl fld="2" item="33"/>
          <tpl fld="4" item="17"/>
          <tpl hier="12" item="4"/>
          <tpl fld="1" item="0"/>
        </tpls>
      </n>
      <n v="412176809814.44324">
        <tpls c="6">
          <tpl hier="2" item="0"/>
          <tpl hier="4" item="1"/>
          <tpl fld="2" item="17"/>
          <tpl fld="4" item="17"/>
          <tpl hier="12" item="4"/>
          <tpl fld="1" item="0"/>
        </tpls>
      </n>
      <n v="162043338687.75748">
        <tpls c="6">
          <tpl hier="2" item="0"/>
          <tpl hier="4" item="1"/>
          <tpl fld="2" item="1"/>
          <tpl fld="4" item="17"/>
          <tpl hier="12" item="4"/>
          <tpl fld="1" item="0"/>
        </tpls>
      </n>
      <n v="4066430802.4239655">
        <tpls c="6">
          <tpl hier="2" item="0"/>
          <tpl hier="4" item="1"/>
          <tpl fld="2" item="21"/>
          <tpl fld="4" item="16"/>
          <tpl hier="12" item="4"/>
          <tpl fld="1" item="0"/>
        </tpls>
      </n>
      <n v="1156128103.9847472">
        <tpls c="6">
          <tpl hier="2" item="0"/>
          <tpl hier="4" item="1"/>
          <tpl fld="2" item="5"/>
          <tpl fld="4" item="16"/>
          <tpl hier="12" item="4"/>
          <tpl fld="1" item="0"/>
        </tpls>
      </n>
      <n v="36976446301.547035">
        <tpls c="6">
          <tpl hier="2" item="0"/>
          <tpl hier="4" item="1"/>
          <tpl fld="2" item="25"/>
          <tpl fld="4" item="15"/>
          <tpl hier="12" item="4"/>
          <tpl fld="1" item="0"/>
        </tpls>
      </n>
      <n v="10495084636.85465">
        <tpls c="6">
          <tpl hier="2" item="0"/>
          <tpl hier="4" item="1"/>
          <tpl fld="2" item="9"/>
          <tpl fld="4" item="15"/>
          <tpl hier="12" item="4"/>
          <tpl fld="1" item="0"/>
        </tpls>
      </n>
      <n v="5033659848287.6299">
        <tpls c="6">
          <tpl hier="2" item="0"/>
          <tpl hier="4" item="1"/>
          <tpl fld="2" item="29"/>
          <tpl fld="4" item="14"/>
          <tpl hier="12" item="4"/>
          <tpl fld="1" item="0"/>
        </tpls>
      </n>
      <n v="4415555381091.6563">
        <tpls c="6">
          <tpl hier="2" item="0"/>
          <tpl hier="4" item="1"/>
          <tpl fld="2" item="13"/>
          <tpl fld="4" item="14"/>
          <tpl hier="12" item="4"/>
          <tpl fld="1" item="0"/>
        </tpls>
      </n>
      <n v="2133539287139.8047">
        <tpls c="6">
          <tpl hier="2" item="0"/>
          <tpl hier="4" item="1"/>
          <tpl fld="2" item="33"/>
          <tpl fld="4" item="13"/>
          <tpl hier="12" item="4"/>
          <tpl fld="1" item="0"/>
        </tpls>
      </n>
      <n v="1239544069038.252">
        <tpls c="6">
          <tpl hier="2" item="0"/>
          <tpl hier="4" item="1"/>
          <tpl fld="2" item="17"/>
          <tpl fld="4" item="13"/>
          <tpl hier="12" item="4"/>
          <tpl fld="1" item="0"/>
        </tpls>
      </n>
      <n v="429445782030.09479">
        <tpls c="6">
          <tpl hier="2" item="0"/>
          <tpl hier="4" item="1"/>
          <tpl fld="2" item="1"/>
          <tpl fld="4" item="13"/>
          <tpl hier="12" item="4"/>
          <tpl fld="1" item="0"/>
        </tpls>
      </n>
      <n v="130753094052.04903">
        <tpls c="6">
          <tpl hier="2" item="0"/>
          <tpl hier="4" item="1"/>
          <tpl fld="2" item="21"/>
          <tpl fld="4" item="12"/>
          <tpl hier="12" item="4"/>
          <tpl fld="1" item="0"/>
        </tpls>
      </n>
      <n v="27586851008.012646">
        <tpls c="6">
          <tpl hier="2" item="0"/>
          <tpl hier="4" item="1"/>
          <tpl fld="2" item="5"/>
          <tpl fld="4" item="12"/>
          <tpl hier="12" item="4"/>
          <tpl fld="1" item="0"/>
        </tpls>
      </n>
      <n v="211383437795.35394">
        <tpls c="6">
          <tpl hier="2" item="0"/>
          <tpl hier="4" item="1"/>
          <tpl fld="2" item="25"/>
          <tpl fld="4" item="11"/>
          <tpl hier="12" item="4"/>
          <tpl fld="1" item="0"/>
        </tpls>
      </n>
      <n v="39284438409.937744">
        <tpls c="6">
          <tpl hier="2" item="0"/>
          <tpl hier="4" item="1"/>
          <tpl fld="2" item="9"/>
          <tpl fld="4" item="11"/>
          <tpl hier="12" item="4"/>
          <tpl fld="1" item="0"/>
        </tpls>
      </n>
      <n v="12855271963.285187">
        <tpls c="6">
          <tpl hier="2" item="0"/>
          <tpl hier="4" item="1"/>
          <tpl fld="2" item="29"/>
          <tpl fld="4" item="10"/>
          <tpl hier="12" item="4"/>
          <tpl fld="1" item="0"/>
        </tpls>
      </n>
      <n v="6271894124.7469683">
        <tpls c="6">
          <tpl hier="2" item="0"/>
          <tpl hier="4" item="1"/>
          <tpl fld="2" item="13"/>
          <tpl fld="4" item="10"/>
          <tpl hier="12" item="4"/>
          <tpl fld="1" item="0"/>
        </tpls>
      </n>
      <n v="239509847041.89624">
        <tpls c="6">
          <tpl hier="2" item="0"/>
          <tpl hier="4" item="1"/>
          <tpl fld="2" item="33"/>
          <tpl fld="4" item="9"/>
          <tpl hier="12" item="4"/>
          <tpl fld="1" item="0"/>
        </tpls>
      </n>
      <n v="143149794184.43268">
        <tpls c="6">
          <tpl hier="2" item="0"/>
          <tpl hier="4" item="1"/>
          <tpl fld="2" item="17"/>
          <tpl fld="4" item="9"/>
          <tpl hier="12" item="4"/>
          <tpl fld="1" item="0"/>
        </tpls>
      </n>
      <n v="52344176679.955956">
        <tpls c="6">
          <tpl hier="2" item="0"/>
          <tpl hier="4" item="1"/>
          <tpl fld="2" item="1"/>
          <tpl fld="4" item="9"/>
          <tpl hier="12" item="4"/>
          <tpl fld="1" item="0"/>
        </tpls>
      </n>
      <n v="1950631314261.1699">
        <tpls c="6">
          <tpl hier="2" item="0"/>
          <tpl hier="4" item="1"/>
          <tpl fld="2" item="21"/>
          <tpl fld="4" item="8"/>
          <tpl hier="12" item="4"/>
          <tpl fld="1" item="0"/>
        </tpls>
      </n>
      <n v="729750536514.01123">
        <tpls c="6">
          <tpl hier="2" item="0"/>
          <tpl hier="4" item="1"/>
          <tpl fld="2" item="5"/>
          <tpl fld="4" item="8"/>
          <tpl hier="12" item="4"/>
          <tpl fld="1" item="0"/>
        </tpls>
      </n>
      <n v="2203623837238.2231">
        <tpls c="6">
          <tpl hier="2" item="0"/>
          <tpl hier="4" item="1"/>
          <tpl fld="2" item="25"/>
          <tpl fld="4" item="7"/>
          <tpl hier="12" item="4"/>
          <tpl fld="1" item="0"/>
        </tpls>
      </n>
      <n v="1030073593142.5352">
        <tpls c="6">
          <tpl hier="2" item="0"/>
          <tpl hier="4" item="1"/>
          <tpl fld="2" item="9"/>
          <tpl fld="4" item="7"/>
          <tpl hier="12" item="4"/>
          <tpl fld="1" item="0"/>
        </tpls>
      </n>
      <n v="251483878381.5412">
        <tpls c="6">
          <tpl hier="2" item="0"/>
          <tpl hier="4" item="1"/>
          <tpl fld="2" item="29"/>
          <tpl fld="4" item="6"/>
          <tpl hier="12" item="4"/>
          <tpl fld="1" item="0"/>
        </tpls>
      </n>
      <n v="89252175167.87529">
        <tpls c="6">
          <tpl hier="2" item="0"/>
          <tpl hier="4" item="1"/>
          <tpl fld="2" item="13"/>
          <tpl fld="4" item="6"/>
          <tpl hier="12" item="4"/>
          <tpl fld="1" item="0"/>
        </tpls>
      </n>
      <n v="338927057769.95959">
        <tpls c="6">
          <tpl hier="2" item="0"/>
          <tpl hier="4" item="1"/>
          <tpl fld="2" item="33"/>
          <tpl fld="4" item="5"/>
          <tpl hier="12" item="4"/>
          <tpl fld="1" item="0"/>
        </tpls>
      </n>
      <n v="173538660061.67468">
        <tpls c="6">
          <tpl hier="2" item="0"/>
          <tpl hier="4" item="1"/>
          <tpl fld="2" item="17"/>
          <tpl fld="4" item="5"/>
          <tpl hier="12" item="4"/>
          <tpl fld="1" item="0"/>
        </tpls>
      </n>
      <n v="61377276842.984932">
        <tpls c="6">
          <tpl hier="2" item="0"/>
          <tpl hier="4" item="1"/>
          <tpl fld="2" item="1"/>
          <tpl fld="4" item="5"/>
          <tpl hier="12" item="4"/>
          <tpl fld="1" item="0"/>
        </tpls>
      </n>
      <n v="10495683708.319592">
        <tpls c="6">
          <tpl hier="2" item="0"/>
          <tpl hier="4" item="1"/>
          <tpl fld="2" item="21"/>
          <tpl fld="4" item="4"/>
          <tpl hier="12" item="4"/>
          <tpl fld="1" item="0"/>
        </tpls>
      </n>
      <n v="2678890793.6669302">
        <tpls c="6">
          <tpl hier="2" item="0"/>
          <tpl hier="4" item="1"/>
          <tpl fld="2" item="5"/>
          <tpl fld="4" item="4"/>
          <tpl hier="12" item="4"/>
          <tpl fld="1" item="0"/>
        </tpls>
      </n>
      <n v="1164179506014.0869">
        <tpls c="6">
          <tpl hier="2" item="0"/>
          <tpl hier="4" item="1"/>
          <tpl fld="2" item="25"/>
          <tpl fld="4" item="3"/>
          <tpl hier="12" item="4"/>
          <tpl fld="1" item="0"/>
        </tpls>
      </n>
      <n v="563643309323.87451">
        <tpls c="6">
          <tpl hier="2" item="0"/>
          <tpl hier="4" item="1"/>
          <tpl fld="2" item="9"/>
          <tpl fld="4" item="3"/>
          <tpl hier="12" item="4"/>
          <tpl fld="1" item="0"/>
        </tpls>
      </n>
      <n v="484523466327.45209">
        <tpls c="6">
          <tpl hier="2" item="0"/>
          <tpl hier="4" item="1"/>
          <tpl fld="2" item="29"/>
          <tpl fld="4" item="2"/>
          <tpl hier="12" item="4"/>
          <tpl fld="1" item="0"/>
        </tpls>
      </n>
      <n v="225918217086.28366">
        <tpls c="6">
          <tpl hier="2" item="0"/>
          <tpl hier="4" item="1"/>
          <tpl fld="2" item="13"/>
          <tpl fld="4" item="2"/>
          <tpl hier="12" item="4"/>
          <tpl fld="1" item="0"/>
        </tpls>
      </n>
      <n v="428698578698.86151">
        <tpls c="6">
          <tpl hier="2" item="0"/>
          <tpl hier="4" item="1"/>
          <tpl fld="2" item="33"/>
          <tpl fld="4" item="1"/>
          <tpl hier="12" item="4"/>
          <tpl fld="1" item="0"/>
        </tpls>
      </n>
      <n v="212319391641.8403">
        <tpls c="6">
          <tpl hier="2" item="0"/>
          <tpl hier="4" item="1"/>
          <tpl fld="2" item="17"/>
          <tpl fld="4" item="1"/>
          <tpl hier="12" item="4"/>
          <tpl fld="1" item="0"/>
        </tpls>
      </n>
      <n v="70860162110.076462">
        <tpls c="6">
          <tpl hier="2" item="0"/>
          <tpl hier="4" item="1"/>
          <tpl fld="2" item="1"/>
          <tpl fld="4" item="1"/>
          <tpl hier="12" item="4"/>
          <tpl fld="1" item="0"/>
        </tpls>
      </n>
      <n v="389715235906.93805">
        <tpls c="6">
          <tpl hier="2" item="0"/>
          <tpl hier="4" item="1"/>
          <tpl fld="2" item="21"/>
          <tpl fld="4" item="0"/>
          <tpl hier="12" item="4"/>
          <tpl fld="1" item="0"/>
        </tpls>
      </n>
      <n v="181740979610.93518">
        <tpls c="6">
          <tpl hier="2" item="0"/>
          <tpl hier="4" item="1"/>
          <tpl fld="2" item="5"/>
          <tpl fld="4" item="0"/>
          <tpl hier="12" item="4"/>
          <tpl fld="1" item="0"/>
        </tpls>
      </n>
      <n v="2295482295482.2954">
        <tpls c="6">
          <tpl hier="2" item="0"/>
          <tpl hier="4" item="1"/>
          <tpl fld="2" item="25"/>
          <tpl fld="3" item="0"/>
          <tpl hier="12" item="4"/>
          <tpl fld="1" item="0"/>
        </tpls>
      </n>
      <n v="458688001086.1839">
        <tpls c="6">
          <tpl hier="2" item="0"/>
          <tpl hier="4" item="1"/>
          <tpl fld="2" item="9"/>
          <tpl fld="3" item="0"/>
          <tpl hier="12" item="4"/>
          <tpl fld="1" item="0"/>
        </tpls>
      </n>
      <n v="56844653917.927673">
        <tpls c="6">
          <tpl hier="2" item="0"/>
          <tpl hier="4" item="1"/>
          <tpl fld="2" item="0"/>
          <tpl fld="4" item="9"/>
          <tpl hier="12" item="4"/>
          <tpl fld="1" item="0"/>
        </tpls>
      </n>
      <n v="70866941366.692993">
        <tpls c="6">
          <tpl hier="2" item="0"/>
          <tpl hier="4" item="1"/>
          <tpl fld="2" item="0"/>
          <tpl fld="4" item="5"/>
          <tpl hier="12" item="4"/>
          <tpl fld="1" item="0"/>
        </tpls>
      </n>
      <n v="236048887398.84769">
        <tpls c="6">
          <tpl hier="2" item="0"/>
          <tpl hier="4" item="1"/>
          <tpl fld="2" item="12"/>
          <tpl fld="4" item="2"/>
          <tpl hier="12" item="4"/>
          <tpl fld="1" item="0"/>
        </tpls>
      </n>
      <n v="408896151711.93719">
        <tpls c="6">
          <tpl hier="2" item="0"/>
          <tpl hier="4" item="1"/>
          <tpl fld="2" item="20"/>
          <tpl fld="4" item="0"/>
          <tpl hier="12" item="4"/>
          <tpl fld="1" item="0"/>
        </tpls>
      </n>
      <n v="511613671481.35706">
        <tpls c="6">
          <tpl hier="2" item="0"/>
          <tpl hier="4" item="1"/>
          <tpl fld="2" item="33"/>
          <tpl fld="4" item="26"/>
          <tpl hier="12" item="4"/>
          <tpl fld="1" item="0"/>
        </tpls>
      </n>
      <n v="107495145749.60574">
        <tpls c="6">
          <tpl hier="2" item="0"/>
          <tpl hier="4" item="1"/>
          <tpl fld="2" item="5"/>
          <tpl fld="4" item="25"/>
          <tpl hier="12" item="4"/>
          <tpl fld="1" item="0"/>
        </tpls>
      </n>
      <n v="386381873238.17584">
        <tpls c="6">
          <tpl hier="2" item="0"/>
          <tpl hier="4" item="1"/>
          <tpl fld="2" item="29"/>
          <tpl fld="4" item="19"/>
          <tpl hier="12" item="4"/>
          <tpl fld="1" item="0"/>
        </tpls>
      </n>
      <n v="2191307070.5962763">
        <tpls c="6">
          <tpl hier="2" item="0"/>
          <tpl hier="4" item="1"/>
          <tpl fld="2" item="9"/>
          <tpl fld="4" item="16"/>
          <tpl hier="12" item="4"/>
          <tpl fld="1" item="0"/>
        </tpls>
      </n>
      <n v="50048046440.00441">
        <tpls c="6">
          <tpl hier="2" item="0"/>
          <tpl hier="4" item="1"/>
          <tpl fld="2" item="9"/>
          <tpl fld="4" item="12"/>
          <tpl hier="12" item="4"/>
          <tpl fld="1" item="0"/>
        </tpls>
      </n>
      <n v="3515968372.5079346">
        <tpls c="6">
          <tpl hier="2" item="0"/>
          <tpl hier="4" item="1"/>
          <tpl fld="2" item="1"/>
          <tpl fld="4" item="10"/>
          <tpl hier="12" item="4"/>
          <tpl fld="1" item="0"/>
        </tpls>
      </n>
      <n v="269190106665.10098">
        <tpls c="6">
          <tpl hier="2" item="0"/>
          <tpl hier="4" item="1"/>
          <tpl fld="2" item="33"/>
          <tpl fld="4" item="6"/>
          <tpl hier="12" item="4"/>
          <tpl fld="1" item="0"/>
        </tpls>
      </n>
      <n v="521402394643.85199">
        <tpls c="6">
          <tpl hier="2" item="0"/>
          <tpl hier="4" item="1"/>
          <tpl fld="2" item="33"/>
          <tpl fld="4" item="2"/>
          <tpl hier="12" item="4"/>
          <tpl fld="1" item="0"/>
        </tpls>
      </n>
      <n v="5065885797950.2197">
        <tpls c="6">
          <tpl hier="2" item="0"/>
          <tpl hier="4" item="1"/>
          <tpl fld="2" item="29"/>
          <tpl fld="3" item="0"/>
          <tpl hier="12" item="4"/>
          <tpl fld="1" item="0"/>
        </tpls>
      </n>
      <n v="58222022419096.078">
        <tpls c="6">
          <tpl hier="2" item="0"/>
          <tpl hier="4" item="1"/>
          <tpl fld="2" item="28"/>
          <tpl hier="6" item="2"/>
          <tpl hier="12" item="4"/>
          <tpl fld="1" item="0"/>
        </tpls>
      </n>
      <n v="24427287137667">
        <tpls c="6">
          <tpl hier="2" item="0"/>
          <tpl hier="4" item="1"/>
          <tpl fld="2" item="12"/>
          <tpl hier="6" item="2"/>
          <tpl hier="12" item="4"/>
          <tpl fld="1" item="0"/>
        </tpls>
      </n>
      <n v="15051752426062.863">
        <tpls c="6">
          <tpl hier="2" item="0"/>
          <tpl hier="4" item="1"/>
          <tpl fld="2" item="32"/>
          <tpl fld="3" item="2"/>
          <tpl hier="12" item="4"/>
          <tpl fld="1" item="0"/>
        </tpls>
      </n>
      <n v="4356344759693.4385">
        <tpls c="6">
          <tpl hier="2" item="0"/>
          <tpl hier="4" item="1"/>
          <tpl fld="2" item="16"/>
          <tpl fld="3" item="2"/>
          <tpl hier="12" item="4"/>
          <tpl fld="1" item="0"/>
        </tpls>
      </n>
      <n v="2076444489424.5806">
        <tpls c="6">
          <tpl hier="2" item="0"/>
          <tpl hier="4" item="1"/>
          <tpl fld="2" item="0"/>
          <tpl fld="3" item="2"/>
          <tpl hier="12" item="4"/>
          <tpl fld="1" item="0"/>
        </tpls>
      </n>
      <n v="10284780000000">
        <tpls c="6">
          <tpl hier="2" item="0"/>
          <tpl hier="4" item="1"/>
          <tpl fld="2" item="20"/>
          <tpl fld="4" item="28"/>
          <tpl hier="12" item="4"/>
          <tpl fld="1" item="0"/>
        </tpls>
      </n>
      <n v="4040700000000">
        <tpls c="6">
          <tpl hier="2" item="0"/>
          <tpl hier="4" item="1"/>
          <tpl fld="2" item="4"/>
          <tpl fld="4" item="28"/>
          <tpl hier="12" item="4"/>
          <tpl fld="1" item="0"/>
        </tpls>
      </n>
      <n v="2297973195649.7856">
        <tpls c="6">
          <tpl hier="2" item="0"/>
          <tpl hier="4" item="1"/>
          <tpl fld="2" item="24"/>
          <tpl fld="4" item="27"/>
          <tpl hier="12" item="4"/>
          <tpl fld="1" item="0"/>
        </tpls>
      </n>
      <n v="910171025260.90979">
        <tpls c="6">
          <tpl hier="2" item="0"/>
          <tpl hier="4" item="1"/>
          <tpl fld="2" item="8"/>
          <tpl fld="4" item="27"/>
          <tpl hier="12" item="4"/>
          <tpl fld="1" item="0"/>
        </tpls>
      </n>
      <n v="416961001902.34625">
        <tpls c="6">
          <tpl hier="2" item="0"/>
          <tpl hier="4" item="1"/>
          <tpl fld="2" item="28"/>
          <tpl fld="4" item="26"/>
          <tpl hier="12" item="4"/>
          <tpl fld="1" item="0"/>
        </tpls>
      </n>
      <n v="223158942766.29572">
        <tpls c="6">
          <tpl hier="2" item="0"/>
          <tpl hier="4" item="1"/>
          <tpl fld="2" item="12"/>
          <tpl fld="4" item="26"/>
          <tpl hier="12" item="4"/>
          <tpl fld="1" item="0"/>
        </tpls>
      </n>
      <n v="665408304507.71667">
        <tpls c="6">
          <tpl hier="2" item="0"/>
          <tpl hier="4" item="1"/>
          <tpl fld="2" item="32"/>
          <tpl fld="4" item="25"/>
          <tpl hier="12" item="4"/>
          <tpl fld="1" item="0"/>
        </tpls>
      </n>
      <n v="329616685949.14282">
        <tpls c="6">
          <tpl hier="2" item="0"/>
          <tpl hier="4" item="1"/>
          <tpl fld="2" item="16"/>
          <tpl fld="4" item="25"/>
          <tpl hier="12" item="4"/>
          <tpl fld="1" item="0"/>
        </tpls>
      </n>
      <n v="118709724120.83894">
        <tpls c="6">
          <tpl hier="2" item="0"/>
          <tpl hier="4" item="1"/>
          <tpl fld="2" item="0"/>
          <tpl fld="4" item="25"/>
          <tpl hier="12" item="4"/>
          <tpl fld="1" item="0"/>
        </tpls>
      </n>
      <n v="259800759294.32224">
        <tpls c="6">
          <tpl hier="2" item="0"/>
          <tpl hier="4" item="1"/>
          <tpl fld="2" item="20"/>
          <tpl fld="4" item="24"/>
          <tpl hier="12" item="4"/>
          <tpl fld="1" item="0"/>
        </tpls>
      </n>
      <n v="107661673396.3587">
        <tpls c="6">
          <tpl hier="2" item="0"/>
          <tpl hier="4" item="1"/>
          <tpl fld="2" item="4"/>
          <tpl fld="4" item="24"/>
          <tpl hier="12" item="4"/>
          <tpl fld="1" item="0"/>
        </tpls>
      </n>
      <n v="1069601981710.1563">
        <tpls c="6">
          <tpl hier="2" item="0"/>
          <tpl hier="4" item="1"/>
          <tpl fld="2" item="24"/>
          <tpl fld="4" item="23"/>
          <tpl hier="12" item="4"/>
          <tpl fld="1" item="0"/>
        </tpls>
      </n>
      <n v="375138739114.64386">
        <tpls c="6">
          <tpl hier="2" item="0"/>
          <tpl hier="4" item="1"/>
          <tpl fld="2" item="8"/>
          <tpl fld="4" item="23"/>
          <tpl hier="12" item="4"/>
          <tpl fld="1" item="0"/>
        </tpls>
      </n>
      <n v="998142819174.54126">
        <tpls c="6">
          <tpl hier="2" item="0"/>
          <tpl hier="4" item="1"/>
          <tpl fld="2" item="28"/>
          <tpl fld="4" item="22"/>
          <tpl hier="12" item="4"/>
          <tpl fld="1" item="0"/>
        </tpls>
      </n>
      <n v="349708204370.96057">
        <tpls c="6">
          <tpl hier="2" item="0"/>
          <tpl hier="4" item="1"/>
          <tpl fld="2" item="12"/>
          <tpl fld="4" item="22"/>
          <tpl hier="12" item="4"/>
          <tpl fld="1" item="0"/>
        </tpls>
      </n>
      <n v="289941506447.83026">
        <tpls c="6">
          <tpl hier="2" item="0"/>
          <tpl hier="4" item="1"/>
          <tpl fld="2" item="32"/>
          <tpl fld="4" item="21"/>
          <tpl hier="12" item="4"/>
          <tpl fld="1" item="0"/>
        </tpls>
      </n>
      <n v="96400756630.588272">
        <tpls c="6">
          <tpl hier="2" item="0"/>
          <tpl hier="4" item="1"/>
          <tpl fld="2" item="16"/>
          <tpl fld="4" item="21"/>
          <tpl hier="12" item="4"/>
          <tpl fld="1" item="0"/>
        </tpls>
      </n>
      <n v="12078694071.940594">
        <tpls c="6">
          <tpl hier="2" item="0"/>
          <tpl hier="4" item="1"/>
          <tpl fld="2" item="0"/>
          <tpl fld="4" item="21"/>
          <tpl hier="12" item="4"/>
          <tpl fld="1" item="0"/>
        </tpls>
      </n>
      <n v="118358398114.3187">
        <tpls c="6">
          <tpl hier="2" item="0"/>
          <tpl hier="4" item="1"/>
          <tpl fld="2" item="20"/>
          <tpl fld="4" item="20"/>
          <tpl hier="12" item="4"/>
          <tpl fld="1" item="0"/>
        </tpls>
      </n>
      <n v="25220731700.803581">
        <tpls c="6">
          <tpl hier="2" item="0"/>
          <tpl hier="4" item="1"/>
          <tpl fld="2" item="4"/>
          <tpl fld="4" item="20"/>
          <tpl hier="12" item="4"/>
          <tpl fld="1" item="0"/>
        </tpls>
      </n>
      <n v="264356188722.24594">
        <tpls c="6">
          <tpl hier="2" item="0"/>
          <tpl hier="4" item="1"/>
          <tpl fld="2" item="24"/>
          <tpl fld="4" item="19"/>
          <tpl hier="12" item="4"/>
          <tpl fld="1" item="0"/>
        </tpls>
      </n>
      <n v="102145265586.3028">
        <tpls c="6">
          <tpl hier="2" item="0"/>
          <tpl hier="4" item="1"/>
          <tpl fld="2" item="8"/>
          <tpl fld="4" item="19"/>
          <tpl hier="12" item="4"/>
          <tpl fld="1" item="0"/>
        </tpls>
      </n>
      <n v="133277871760.05963">
        <tpls c="6">
          <tpl hier="2" item="0"/>
          <tpl hier="4" item="1"/>
          <tpl fld="2" item="28"/>
          <tpl fld="4" item="18"/>
          <tpl hier="12" item="4"/>
          <tpl fld="1" item="0"/>
        </tpls>
      </n>
      <n v="42061096308.464584">
        <tpls c="6">
          <tpl hier="2" item="0"/>
          <tpl hier="4" item="1"/>
          <tpl fld="2" item="12"/>
          <tpl fld="4" item="18"/>
          <tpl hier="12" item="4"/>
          <tpl fld="1" item="0"/>
        </tpls>
      </n>
      <n v="828946813901.59192">
        <tpls c="6">
          <tpl hier="2" item="0"/>
          <tpl hier="4" item="1"/>
          <tpl fld="2" item="32"/>
          <tpl fld="4" item="17"/>
          <tpl hier="12" item="4"/>
          <tpl fld="1" item="0"/>
        </tpls>
      </n>
      <n v="445689083826.48505">
        <tpls c="6">
          <tpl hier="2" item="0"/>
          <tpl hier="4" item="1"/>
          <tpl fld="2" item="16"/>
          <tpl fld="4" item="17"/>
          <tpl hier="12" item="4"/>
          <tpl fld="1" item="0"/>
        </tpls>
      </n>
      <n v="192668214870.53171">
        <tpls c="6">
          <tpl hier="2" item="0"/>
          <tpl hier="4" item="1"/>
          <tpl fld="2" item="0"/>
          <tpl fld="4" item="17"/>
          <tpl hier="12" item="4"/>
          <tpl fld="1" item="0"/>
        </tpls>
      </n>
      <n v="4053340785.0502667">
        <tpls c="6">
          <tpl hier="2" item="0"/>
          <tpl hier="4" item="1"/>
          <tpl fld="2" item="20"/>
          <tpl fld="4" item="16"/>
          <tpl hier="12" item="4"/>
          <tpl fld="1" item="0"/>
        </tpls>
      </n>
      <n v="1139589915.7172406">
        <tpls c="6">
          <tpl hier="2" item="0"/>
          <tpl hier="4" item="1"/>
          <tpl fld="2" item="4"/>
          <tpl fld="4" item="16"/>
          <tpl hier="12" item="4"/>
          <tpl fld="1" item="0"/>
        </tpls>
      </n>
      <n v="34345296852.979706">
        <tpls c="6">
          <tpl hier="2" item="0"/>
          <tpl hier="4" item="1"/>
          <tpl fld="2" item="24"/>
          <tpl fld="4" item="15"/>
          <tpl hier="12" item="4"/>
          <tpl fld="1" item="0"/>
        </tpls>
      </n>
      <n v="9847742176.4859447">
        <tpls c="6">
          <tpl hier="2" item="0"/>
          <tpl hier="4" item="1"/>
          <tpl fld="2" item="8"/>
          <tpl fld="4" item="15"/>
          <tpl hier="12" item="4"/>
          <tpl fld="1" item="0"/>
        </tpls>
      </n>
      <n v="4847160139818.8018">
        <tpls c="6">
          <tpl hier="2" item="0"/>
          <tpl hier="4" item="1"/>
          <tpl fld="2" item="28"/>
          <tpl fld="4" item="14"/>
          <tpl hier="12" item="4"/>
          <tpl fld="1" item="0"/>
        </tpls>
      </n>
      <n v="3853098108010.3936">
        <tpls c="6">
          <tpl hier="2" item="0"/>
          <tpl hier="4" item="1"/>
          <tpl fld="2" item="12"/>
          <tpl fld="4" item="14"/>
          <tpl hier="12" item="4"/>
          <tpl fld="1" item="0"/>
        </tpls>
      </n>
      <n v="2074631604320.0149">
        <tpls c="6">
          <tpl hier="2" item="0"/>
          <tpl hier="4" item="1"/>
          <tpl fld="2" item="32"/>
          <tpl fld="4" item="13"/>
          <tpl hier="12" item="4"/>
          <tpl fld="1" item="0"/>
        </tpls>
      </n>
      <n v="1309463837948.7854">
        <tpls c="6">
          <tpl hier="2" item="0"/>
          <tpl hier="4" item="1"/>
          <tpl fld="2" item="16"/>
          <tpl fld="4" item="13"/>
          <tpl hier="12" item="4"/>
          <tpl fld="1" item="0"/>
        </tpls>
      </n>
      <n v="475836242965.52832">
        <tpls c="6">
          <tpl hier="2" item="0"/>
          <tpl hier="4" item="1"/>
          <tpl fld="2" item="0"/>
          <tpl fld="4" item="13"/>
          <tpl hier="12" item="4"/>
          <tpl fld="1" item="0"/>
        </tpls>
      </n>
      <n v="132395514489.82597">
        <tpls c="6">
          <tpl hier="2" item="0"/>
          <tpl hier="4" item="1"/>
          <tpl fld="2" item="20"/>
          <tpl fld="4" item="12"/>
          <tpl hier="12" item="4"/>
          <tpl fld="1" item="0"/>
        </tpls>
      </n>
      <n v="29245113573.505268">
        <tpls c="6">
          <tpl hier="2" item="0"/>
          <tpl hier="4" item="1"/>
          <tpl fld="2" item="4"/>
          <tpl fld="4" item="12"/>
          <tpl hier="12" item="4"/>
          <tpl fld="1" item="0"/>
        </tpls>
      </n>
      <n v="193920259757.99792">
        <tpls c="6">
          <tpl hier="2" item="0"/>
          <tpl hier="4" item="1"/>
          <tpl fld="2" item="24"/>
          <tpl fld="4" item="11"/>
          <tpl hier="12" item="4"/>
          <tpl fld="1" item="0"/>
        </tpls>
      </n>
      <n v="37813438697.697914">
        <tpls c="6">
          <tpl hier="2" item="0"/>
          <tpl hier="4" item="1"/>
          <tpl fld="2" item="8"/>
          <tpl fld="4" item="11"/>
          <tpl hier="12" item="4"/>
          <tpl fld="1" item="0"/>
        </tpls>
      </n>
      <n v="17530648281.300396">
        <tpls c="6">
          <tpl hier="2" item="0"/>
          <tpl hier="4" item="1"/>
          <tpl fld="2" item="28"/>
          <tpl fld="4" item="10"/>
          <tpl hier="12" item="4"/>
          <tpl fld="1" item="0"/>
        </tpls>
      </n>
      <n v="7142120712.509779">
        <tpls c="6">
          <tpl hier="2" item="0"/>
          <tpl hier="4" item="1"/>
          <tpl fld="2" item="12"/>
          <tpl fld="4" item="10"/>
          <tpl hier="12" item="4"/>
          <tpl fld="1" item="0"/>
        </tpls>
      </n>
      <n v="53646739957646.203">
        <tpls c="6">
          <tpl hier="2" item="0"/>
          <tpl hier="4" item="1"/>
          <tpl fld="2" item="27"/>
          <tpl hier="6" item="2"/>
          <tpl hier="12" item="4"/>
          <tpl fld="1" item="0"/>
        </tpls>
      </n>
      <n v="22678912006236.852">
        <tpls c="6">
          <tpl hier="2" item="0"/>
          <tpl hier="4" item="1"/>
          <tpl fld="2" item="11"/>
          <tpl hier="6" item="2"/>
          <tpl hier="12" item="4"/>
          <tpl fld="1" item="0"/>
        </tpls>
      </n>
      <n v="14691220046455.539">
        <tpls c="6">
          <tpl hier="2" item="0"/>
          <tpl hier="4" item="1"/>
          <tpl fld="2" item="31"/>
          <tpl fld="3" item="2"/>
          <tpl hier="12" item="4"/>
          <tpl fld="1" item="0"/>
        </tpls>
      </n>
      <n v="4037064432822.0127">
        <tpls c="6">
          <tpl hier="2" item="0"/>
          <tpl hier="4" item="1"/>
          <tpl fld="2" item="15"/>
          <tpl fld="3" item="2"/>
          <tpl hier="12" item="4"/>
          <tpl fld="1" item="0"/>
        </tpls>
      </n>
      <n v="324700437000000">
        <tpls c="6">
          <tpl hier="2" item="0"/>
          <tpl hier="4" item="1"/>
          <tpl hier="5" item="3"/>
          <tpl fld="4" item="28"/>
          <tpl hier="12" item="4"/>
          <tpl fld="1" item="0"/>
        </tpls>
      </n>
      <n v="9660620000000">
        <tpls c="6">
          <tpl hier="2" item="0"/>
          <tpl hier="4" item="1"/>
          <tpl fld="2" item="19"/>
          <tpl fld="4" item="28"/>
          <tpl hier="12" item="4"/>
          <tpl fld="1" item="0"/>
        </tpls>
      </n>
      <n v="3638100000000">
        <tpls c="6">
          <tpl hier="2" item="0"/>
          <tpl hier="4" item="1"/>
          <tpl fld="2" item="3"/>
          <tpl fld="4" item="28"/>
          <tpl hier="12" item="4"/>
          <tpl fld="1" item="0"/>
        </tpls>
      </n>
      <n v="1943112547910.3145">
        <tpls c="6">
          <tpl hier="2" item="0"/>
          <tpl hier="4" item="1"/>
          <tpl fld="2" item="23"/>
          <tpl fld="4" item="27"/>
          <tpl hier="12" item="4"/>
          <tpl fld="1" item="0"/>
        </tpls>
      </n>
      <n v="745130338365.80042">
        <tpls c="6">
          <tpl hier="2" item="0"/>
          <tpl hier="4" item="1"/>
          <tpl fld="2" item="7"/>
          <tpl fld="4" item="27"/>
          <tpl hier="12" item="4"/>
          <tpl fld="1" item="0"/>
        </tpls>
      </n>
      <n v="408254019488.42871">
        <tpls c="6">
          <tpl hier="2" item="0"/>
          <tpl hier="4" item="1"/>
          <tpl fld="2" item="27"/>
          <tpl fld="4" item="26"/>
          <tpl hier="12" item="4"/>
          <tpl fld="1" item="0"/>
        </tpls>
      </n>
      <n v="187314056674.12378">
        <tpls c="6">
          <tpl hier="2" item="0"/>
          <tpl hier="4" item="1"/>
          <tpl fld="2" item="11"/>
          <tpl fld="4" item="26"/>
          <tpl hier="12" item="4"/>
          <tpl fld="1" item="0"/>
        </tpls>
      </n>
      <n v="696278711042.53931">
        <tpls c="6">
          <tpl hier="2" item="0"/>
          <tpl hier="4" item="1"/>
          <tpl fld="2" item="31"/>
          <tpl fld="4" item="25"/>
          <tpl hier="12" item="4"/>
          <tpl fld="1" item="0"/>
        </tpls>
      </n>
      <n v="341767912432.72974">
        <tpls c="6">
          <tpl hier="2" item="0"/>
          <tpl hier="4" item="1"/>
          <tpl fld="2" item="15"/>
          <tpl fld="4" item="25"/>
          <tpl hier="12" item="4"/>
          <tpl fld="1" item="0"/>
        </tpls>
      </n>
      <n v="10513490918186.59">
        <tpls c="6">
          <tpl hier="2" item="0"/>
          <tpl hier="4" item="1"/>
          <tpl hier="5" item="3"/>
          <tpl fld="4" item="24"/>
          <tpl hier="12" item="4"/>
          <tpl fld="1" item="0"/>
        </tpls>
      </n>
      <n v="270847009952.26791">
        <tpls c="6">
          <tpl hier="2" item="0"/>
          <tpl hier="4" item="1"/>
          <tpl fld="2" item="19"/>
          <tpl fld="4" item="24"/>
          <tpl hier="12" item="4"/>
          <tpl fld="1" item="0"/>
        </tpls>
      </n>
      <n v="103533590362.87514">
        <tpls c="6">
          <tpl hier="2" item="0"/>
          <tpl hier="4" item="1"/>
          <tpl fld="2" item="3"/>
          <tpl fld="4" item="24"/>
          <tpl hier="12" item="4"/>
          <tpl fld="1" item="0"/>
        </tpls>
      </n>
      <n v="906818300246.81787">
        <tpls c="6">
          <tpl hier="2" item="0"/>
          <tpl hier="4" item="1"/>
          <tpl fld="2" item="23"/>
          <tpl fld="4" item="23"/>
          <tpl hier="12" item="4"/>
          <tpl fld="1" item="0"/>
        </tpls>
      </n>
      <n v="317873734471.3905">
        <tpls c="6">
          <tpl hier="2" item="0"/>
          <tpl hier="4" item="1"/>
          <tpl fld="2" item="7"/>
          <tpl fld="4" item="23"/>
          <tpl hier="12" item="4"/>
          <tpl fld="1" item="0"/>
        </tpls>
      </n>
      <n v="1119173392306.884">
        <tpls c="6">
          <tpl hier="2" item="0"/>
          <tpl hier="4" item="1"/>
          <tpl fld="2" item="27"/>
          <tpl fld="4" item="22"/>
          <tpl hier="12" item="4"/>
          <tpl fld="1" item="0"/>
        </tpls>
      </n>
      <n v="325900204203.06812">
        <tpls c="6">
          <tpl hier="2" item="0"/>
          <tpl hier="4" item="1"/>
          <tpl fld="2" item="11"/>
          <tpl fld="4" item="22"/>
          <tpl hier="12" item="4"/>
          <tpl fld="1" item="0"/>
        </tpls>
      </n>
      <n v="275370199095.08521">
        <tpls c="6">
          <tpl hier="2" item="0"/>
          <tpl hier="4" item="1"/>
          <tpl fld="2" item="31"/>
          <tpl fld="4" item="21"/>
          <tpl hier="12" item="4"/>
          <tpl fld="1" item="0"/>
        </tpls>
      </n>
      <n v="87891348443.425339">
        <tpls c="6">
          <tpl hier="2" item="0"/>
          <tpl hier="4" item="1"/>
          <tpl fld="2" item="15"/>
          <tpl fld="4" item="21"/>
          <tpl hier="12" item="4"/>
          <tpl fld="1" item="0"/>
        </tpls>
      </n>
      <n v="4494260164189.1768">
        <tpls c="6">
          <tpl hier="2" item="0"/>
          <tpl hier="4" item="1"/>
          <tpl hier="5" item="3"/>
          <tpl fld="4" item="20"/>
          <tpl hier="12" item="4"/>
          <tpl fld="1" item="0"/>
        </tpls>
      </n>
      <n v="127461839805.03955">
        <tpls c="6">
          <tpl hier="2" item="0"/>
          <tpl hier="4" item="1"/>
          <tpl fld="2" item="19"/>
          <tpl fld="4" item="20"/>
          <tpl hier="12" item="4"/>
          <tpl fld="1" item="0"/>
        </tpls>
      </n>
      <n v="27243935889.965874">
        <tpls c="6">
          <tpl hier="2" item="0"/>
          <tpl hier="4" item="1"/>
          <tpl fld="2" item="3"/>
          <tpl fld="4" item="20"/>
          <tpl hier="12" item="4"/>
          <tpl fld="1" item="0"/>
        </tpls>
      </n>
      <n v="228751896816.94345">
        <tpls c="6">
          <tpl hier="2" item="0"/>
          <tpl hier="4" item="1"/>
          <tpl fld="2" item="23"/>
          <tpl fld="4" item="19"/>
          <tpl hier="12" item="4"/>
          <tpl fld="1" item="0"/>
        </tpls>
      </n>
      <n v="94377629518.586411">
        <tpls c="6">
          <tpl hier="2" item="0"/>
          <tpl hier="4" item="1"/>
          <tpl fld="2" item="7"/>
          <tpl fld="4" item="19"/>
          <tpl hier="12" item="4"/>
          <tpl fld="1" item="0"/>
        </tpls>
      </n>
      <n v="137318590064.6973">
        <tpls c="6">
          <tpl hier="2" item="0"/>
          <tpl hier="4" item="1"/>
          <tpl fld="2" item="27"/>
          <tpl fld="4" item="18"/>
          <tpl hier="12" item="4"/>
          <tpl fld="1" item="0"/>
        </tpls>
      </n>
      <n v="43833503065.622421">
        <tpls c="6">
          <tpl hier="2" item="0"/>
          <tpl hier="4" item="1"/>
          <tpl fld="2" item="11"/>
          <tpl fld="4" item="18"/>
          <tpl hier="12" item="4"/>
          <tpl fld="1" item="0"/>
        </tpls>
      </n>
      <n v="893757291685.85339">
        <tpls c="6">
          <tpl hier="2" item="0"/>
          <tpl hier="4" item="1"/>
          <tpl fld="2" item="31"/>
          <tpl fld="4" item="17"/>
          <tpl hier="12" item="4"/>
          <tpl fld="1" item="0"/>
        </tpls>
      </n>
      <n v="446514459879.05469">
        <tpls c="6">
          <tpl hier="2" item="0"/>
          <tpl hier="4" item="1"/>
          <tpl fld="2" item="15"/>
          <tpl fld="4" item="17"/>
          <tpl hier="12" item="4"/>
          <tpl fld="1" item="0"/>
        </tpls>
      </n>
      <n v="159567232694.78168">
        <tpls c="6">
          <tpl hier="2" item="0"/>
          <tpl hier="4" item="1"/>
          <tpl hier="5" item="3"/>
          <tpl fld="4" item="16"/>
          <tpl hier="12" item="4"/>
          <tpl fld="1" item="0"/>
        </tpls>
      </n>
      <n v="4093702457.9143591">
        <tpls c="6">
          <tpl hier="2" item="0"/>
          <tpl hier="4" item="1"/>
          <tpl fld="2" item="19"/>
          <tpl fld="4" item="16"/>
          <tpl hier="12" item="4"/>
          <tpl fld="1" item="0"/>
        </tpls>
      </n>
      <n v="1205704732.3652613">
        <tpls c="6">
          <tpl hier="2" item="0"/>
          <tpl hier="4" item="1"/>
          <tpl fld="2" item="3"/>
          <tpl fld="4" item="16"/>
          <tpl hier="12" item="4"/>
          <tpl fld="1" item="0"/>
        </tpls>
      </n>
      <n v="29205758509.290901">
        <tpls c="6">
          <tpl hier="2" item="0"/>
          <tpl hier="4" item="1"/>
          <tpl fld="2" item="23"/>
          <tpl fld="4" item="15"/>
          <tpl hier="12" item="4"/>
          <tpl fld="1" item="0"/>
        </tpls>
      </n>
      <n v="8700191655.6972256">
        <tpls c="6">
          <tpl hier="2" item="0"/>
          <tpl hier="4" item="1"/>
          <tpl fld="2" item="7"/>
          <tpl fld="4" item="15"/>
          <tpl hier="12" item="4"/>
          <tpl fld="1" item="0"/>
        </tpls>
      </n>
      <n v="4356557293866.2646">
        <tpls c="6">
          <tpl hier="2" item="0"/>
          <tpl hier="4" item="1"/>
          <tpl fld="2" item="27"/>
          <tpl fld="4" item="14"/>
          <tpl hier="12" item="4"/>
          <tpl fld="1" item="0"/>
        </tpls>
      </n>
      <n v="3533603792596.1646">
        <tpls c="6">
          <tpl hier="2" item="0"/>
          <tpl hier="4" item="1"/>
          <tpl fld="2" item="11"/>
          <tpl fld="4" item="14"/>
          <tpl hier="12" item="4"/>
          <tpl fld="1" item="0"/>
        </tpls>
      </n>
      <n v="2278230818500.3169">
        <tpls c="6">
          <tpl hier="2" item="0"/>
          <tpl hier="4" item="1"/>
          <tpl fld="2" item="31"/>
          <tpl fld="4" item="13"/>
          <tpl hier="12" item="4"/>
          <tpl fld="1" item="0"/>
        </tpls>
      </n>
      <n v="1171250471769.7307">
        <tpls c="6">
          <tpl hier="2" item="0"/>
          <tpl hier="4" item="1"/>
          <tpl fld="2" item="15"/>
          <tpl fld="4" item="13"/>
          <tpl hier="12" item="4"/>
          <tpl fld="1" item="0"/>
        </tpls>
      </n>
      <n v="4166092838023.2612">
        <tpls c="6">
          <tpl hier="2" item="0"/>
          <tpl hier="4" item="1"/>
          <tpl hier="5" item="3"/>
          <tpl fld="4" item="12"/>
          <tpl hier="12" item="4"/>
          <tpl fld="1" item="0"/>
        </tpls>
      </n>
      <n v="117211892784.83717">
        <tpls c="6">
          <tpl hier="2" item="0"/>
          <tpl hier="4" item="1"/>
          <tpl fld="2" item="19"/>
          <tpl fld="4" item="12"/>
          <tpl hier="12" item="4"/>
          <tpl fld="1" item="0"/>
        </tpls>
      </n>
      <n v="31175483402.944687">
        <tpls c="6">
          <tpl hier="2" item="0"/>
          <tpl hier="4" item="1"/>
          <tpl fld="2" item="3"/>
          <tpl fld="4" item="12"/>
          <tpl hier="12" item="4"/>
          <tpl fld="1" item="0"/>
        </tpls>
      </n>
      <n v="164530223478.85297">
        <tpls c="6">
          <tpl hier="2" item="0"/>
          <tpl hier="4" item="1"/>
          <tpl fld="2" item="23"/>
          <tpl fld="4" item="11"/>
          <tpl hier="12" item="4"/>
          <tpl fld="1" item="0"/>
        </tpls>
      </n>
      <n v="33957517446.293186">
        <tpls c="6">
          <tpl hier="2" item="0"/>
          <tpl hier="4" item="1"/>
          <tpl fld="2" item="7"/>
          <tpl fld="4" item="11"/>
          <tpl hier="12" item="4"/>
          <tpl fld="1" item="0"/>
        </tpls>
      </n>
      <n v="21293841230.192802">
        <tpls c="6">
          <tpl hier="2" item="0"/>
          <tpl hier="4" item="1"/>
          <tpl fld="2" item="27"/>
          <tpl fld="4" item="10"/>
          <tpl hier="12" item="4"/>
          <tpl fld="1" item="0"/>
        </tpls>
      </n>
      <n v="6966533619.9996948">
        <tpls c="6">
          <tpl hier="2" item="0"/>
          <tpl hier="4" item="1"/>
          <tpl fld="2" item="11"/>
          <tpl fld="4" item="10"/>
          <tpl hier="12" item="4"/>
          <tpl fld="1" item="0"/>
        </tpls>
      </n>
      <n v="287797830070.74738">
        <tpls c="6">
          <tpl hier="2" item="0"/>
          <tpl hier="4" item="1"/>
          <tpl fld="2" item="31"/>
          <tpl fld="4" item="9"/>
          <tpl hier="12" item="4"/>
          <tpl fld="1" item="0"/>
        </tpls>
      </n>
      <n v="136886159528.2179">
        <tpls c="6">
          <tpl hier="2" item="0"/>
          <tpl hier="4" item="1"/>
          <tpl fld="2" item="15"/>
          <tpl fld="4" item="9"/>
          <tpl hier="12" item="4"/>
          <tpl fld="1" item="0"/>
        </tpls>
      </n>
      <n v="77750871034622.688">
        <tpls c="6">
          <tpl hier="2" item="0"/>
          <tpl hier="4" item="1"/>
          <tpl hier="5" item="3"/>
          <tpl fld="4" item="8"/>
          <tpl hier="12" item="4"/>
          <tpl fld="1" item="0"/>
        </tpls>
      </n>
      <n v="2199893444392.5391">
        <tpls c="6">
          <tpl hier="2" item="0"/>
          <tpl hier="4" item="1"/>
          <tpl fld="2" item="19"/>
          <tpl fld="4" item="8"/>
          <tpl hier="12" item="4"/>
          <tpl fld="1" item="0"/>
        </tpls>
      </n>
      <n v="767791713007.28174">
        <tpls c="6">
          <tpl hier="2" item="0"/>
          <tpl hier="4" item="1"/>
          <tpl fld="2" item="3"/>
          <tpl fld="4" item="8"/>
          <tpl hier="12" item="4"/>
          <tpl fld="1" item="0"/>
        </tpls>
      </n>
      <n v="1848052880398.5066">
        <tpls c="6">
          <tpl hier="2" item="0"/>
          <tpl hier="4" item="1"/>
          <tpl fld="2" item="23"/>
          <tpl fld="4" item="7"/>
          <tpl hier="12" item="4"/>
          <tpl fld="1" item="0"/>
        </tpls>
      </n>
      <n v="938340935171.82483">
        <tpls c="6">
          <tpl hier="2" item="0"/>
          <tpl hier="4" item="1"/>
          <tpl fld="2" item="7"/>
          <tpl fld="4" item="7"/>
          <tpl hier="12" item="4"/>
          <tpl fld="1" item="0"/>
        </tpls>
      </n>
      <n v="255371507758.63541">
        <tpls c="6">
          <tpl hier="2" item="0"/>
          <tpl hier="4" item="1"/>
          <tpl fld="2" item="27"/>
          <tpl fld="4" item="6"/>
          <tpl hier="12" item="4"/>
          <tpl fld="1" item="0"/>
        </tpls>
      </n>
      <n v="127857377963.3732">
        <tpls c="6">
          <tpl hier="2" item="0"/>
          <tpl hier="4" item="1"/>
          <tpl fld="2" item="11"/>
          <tpl fld="4" item="6"/>
          <tpl hier="12" item="4"/>
          <tpl fld="1" item="0"/>
        </tpls>
      </n>
      <n v="341497955328.76001">
        <tpls c="6">
          <tpl hier="2" item="0"/>
          <tpl hier="4" item="1"/>
          <tpl fld="2" item="31"/>
          <tpl fld="4" item="5"/>
          <tpl hier="12" item="4"/>
          <tpl fld="1" item="0"/>
        </tpls>
      </n>
      <n v="185008060968.23331">
        <tpls c="6">
          <tpl hier="2" item="0"/>
          <tpl hier="4" item="1"/>
          <tpl fld="2" item="15"/>
          <tpl fld="4" item="5"/>
          <tpl hier="12" item="4"/>
          <tpl fld="1" item="0"/>
        </tpls>
      </n>
      <n v="422922203070.00519">
        <tpls c="6">
          <tpl hier="2" item="0"/>
          <tpl hier="4" item="1"/>
          <tpl hier="5" item="3"/>
          <tpl fld="4" item="4"/>
          <tpl hier="12" item="4"/>
          <tpl fld="1" item="0"/>
        </tpls>
      </n>
      <n v="10558043904.107544">
        <tpls c="6">
          <tpl hier="2" item="0"/>
          <tpl hier="4" item="1"/>
          <tpl fld="2" item="19"/>
          <tpl fld="4" item="4"/>
          <tpl hier="12" item="4"/>
          <tpl fld="1" item="0"/>
        </tpls>
      </n>
      <n v="2391845881.7470417">
        <tpls c="6">
          <tpl hier="2" item="0"/>
          <tpl hier="4" item="1"/>
          <tpl fld="2" item="3"/>
          <tpl fld="4" item="4"/>
          <tpl hier="12" item="4"/>
          <tpl fld="1" item="0"/>
        </tpls>
      </n>
      <n v="887782370914.64929">
        <tpls c="6">
          <tpl hier="2" item="0"/>
          <tpl hier="4" item="1"/>
          <tpl fld="2" item="23"/>
          <tpl fld="4" item="3"/>
          <tpl hier="12" item="4"/>
          <tpl fld="1" item="0"/>
        </tpls>
      </n>
      <n v="429023801581.86505">
        <tpls c="6">
          <tpl hier="2" item="0"/>
          <tpl hier="4" item="1"/>
          <tpl fld="2" item="7"/>
          <tpl fld="4" item="3"/>
          <tpl hier="12" item="4"/>
          <tpl fld="1" item="0"/>
        </tpls>
      </n>
      <n v="471797574036.37231">
        <tpls c="6">
          <tpl hier="2" item="0"/>
          <tpl hier="4" item="1"/>
          <tpl fld="2" item="27"/>
          <tpl fld="4" item="2"/>
          <tpl hier="12" item="4"/>
          <tpl fld="1" item="0"/>
        </tpls>
      </n>
      <n v="211634762707.30911">
        <tpls c="6">
          <tpl hier="2" item="0"/>
          <tpl hier="4" item="1"/>
          <tpl fld="2" item="11"/>
          <tpl fld="4" item="2"/>
          <tpl hier="12" item="4"/>
          <tpl fld="1" item="0"/>
        </tpls>
      </n>
      <n v="429037363666.97815">
        <tpls c="6">
          <tpl hier="2" item="0"/>
          <tpl hier="4" item="1"/>
          <tpl fld="2" item="31"/>
          <tpl fld="4" item="1"/>
          <tpl hier="12" item="4"/>
          <tpl fld="1" item="0"/>
        </tpls>
      </n>
      <n v="240473747065.9115">
        <tpls c="6">
          <tpl hier="2" item="0"/>
          <tpl hier="4" item="1"/>
          <tpl fld="2" item="15"/>
          <tpl fld="4" item="1"/>
          <tpl hier="12" item="4"/>
          <tpl fld="1" item="0"/>
        </tpls>
      </n>
      <n v="20416276945961.664">
        <tpls c="6">
          <tpl hier="2" item="0"/>
          <tpl hier="4" item="1"/>
          <tpl hier="5" item="3"/>
          <tpl fld="4" item="0"/>
          <tpl hier="12" item="4"/>
          <tpl fld="1" item="0"/>
        </tpls>
      </n>
      <n v="426326010516.46826">
        <tpls c="6">
          <tpl hier="2" item="0"/>
          <tpl hier="4" item="1"/>
          <tpl fld="2" item="19"/>
          <tpl fld="4" item="0"/>
          <tpl hier="12" item="4"/>
          <tpl fld="1" item="0"/>
        </tpls>
      </n>
      <n v="192219924955.96906">
        <tpls c="6">
          <tpl hier="2" item="0"/>
          <tpl hier="4" item="1"/>
          <tpl fld="2" item="3"/>
          <tpl fld="4" item="0"/>
          <tpl hier="12" item="4"/>
          <tpl fld="1" item="0"/>
        </tpls>
      </n>
      <n v="1660706663291.7068">
        <tpls c="6">
          <tpl hier="2" item="0"/>
          <tpl hier="4" item="1"/>
          <tpl fld="2" item="23"/>
          <tpl fld="3" item="0"/>
          <tpl hier="12" item="4"/>
          <tpl fld="1" item="0"/>
        </tpls>
      </n>
      <n v="328357647564.54688">
        <tpls c="6">
          <tpl hier="2" item="0"/>
          <tpl hier="4" item="1"/>
          <tpl fld="2" item="7"/>
          <tpl fld="3" item="0"/>
          <tpl hier="12" item="4"/>
          <tpl fld="1" item="0"/>
        </tpls>
      </n>
      <n v="241912899920.27829">
        <tpls c="6">
          <tpl hier="2" item="0"/>
          <tpl hier="4" item="1"/>
          <tpl fld="2" item="7"/>
          <tpl fld="4" item="17"/>
          <tpl hier="12" item="4"/>
          <tpl fld="1" item="0"/>
        </tpls>
      </n>
      <n v="5242469502556.085">
        <tpls c="6">
          <tpl hier="2" item="0"/>
          <tpl hier="4" item="1"/>
          <tpl hier="5" item="3"/>
          <tpl fld="4" item="6"/>
          <tpl hier="12" item="4"/>
          <tpl fld="1" item="0"/>
        </tpls>
      </n>
      <n v="9913362903375.1953">
        <tpls c="6">
          <tpl hier="2" item="0"/>
          <tpl hier="4" item="1"/>
          <tpl hier="5" item="3"/>
          <tpl fld="4" item="2"/>
          <tpl hier="12" item="4"/>
          <tpl fld="1" item="0"/>
        </tpls>
      </n>
      <n v="1140443318346.6973">
        <tpls c="6">
          <tpl hier="2" item="0"/>
          <tpl hier="4" item="1"/>
          <tpl fld="2" item="14"/>
          <tpl fld="4" item="27"/>
          <tpl hier="12" item="4"/>
          <tpl fld="1" item="0"/>
        </tpls>
      </n>
      <n v="1415057426639.2441">
        <tpls c="6">
          <tpl hier="2" item="0"/>
          <tpl hier="4" item="1"/>
          <tpl fld="2" item="34"/>
          <tpl fld="4" item="22"/>
          <tpl hier="12" item="4"/>
          <tpl fld="1" item="0"/>
        </tpls>
      </n>
      <n v="25083139584.227413">
        <tpls c="6">
          <tpl hier="2" item="0"/>
          <tpl hier="4" item="1"/>
          <tpl fld="2" item="2"/>
          <tpl fld="4" item="18"/>
          <tpl hier="12" item="4"/>
          <tpl fld="1" item="0"/>
        </tpls>
      </n>
      <n v="52348538984.334641">
        <tpls c="6">
          <tpl hier="2" item="0"/>
          <tpl hier="4" item="1"/>
          <tpl fld="2" item="30"/>
          <tpl fld="4" item="15"/>
          <tpl hier="12" item="4"/>
          <tpl fld="1" item="0"/>
        </tpls>
      </n>
      <n v="638474125570.78699">
        <tpls c="6">
          <tpl hier="2" item="0"/>
          <tpl hier="4" item="1"/>
          <tpl fld="2" item="6"/>
          <tpl fld="4" item="13"/>
          <tpl hier="12" item="4"/>
          <tpl fld="1" item="0"/>
        </tpls>
      </n>
      <n v="17036097847.557558">
        <tpls c="6">
          <tpl hier="2" item="0"/>
          <tpl hier="4" item="1"/>
          <tpl fld="2" item="34"/>
          <tpl fld="4" item="10"/>
          <tpl hier="12" item="4"/>
          <tpl fld="1" item="0"/>
        </tpls>
      </n>
      <n v="1764943693909.3464">
        <tpls c="6">
          <tpl hier="2" item="0"/>
          <tpl hier="4" item="1"/>
          <tpl fld="2" item="10"/>
          <tpl fld="4" item="8"/>
          <tpl hier="12" item="4"/>
          <tpl fld="1" item="0"/>
        </tpls>
      </n>
      <n v="87800373098.887253">
        <tpls c="6">
          <tpl hier="2" item="0"/>
          <tpl hier="4" item="1"/>
          <tpl fld="2" item="6"/>
          <tpl fld="4" item="5"/>
          <tpl hier="12" item="4"/>
          <tpl fld="1" item="0"/>
        </tpls>
      </n>
      <n v="92585711258.652344">
        <tpls c="6">
          <tpl hier="2" item="0"/>
          <tpl hier="4" item="1"/>
          <tpl fld="2" item="2"/>
          <tpl fld="4" item="2"/>
          <tpl hier="12" item="4"/>
          <tpl fld="1" item="0"/>
        </tpls>
      </n>
      <n v="564408309810.66418">
        <tpls c="6">
          <tpl hier="2" item="0"/>
          <tpl hier="4" item="1"/>
          <tpl fld="2" item="14"/>
          <tpl fld="3" item="0"/>
          <tpl hier="12" item="4"/>
          <tpl fld="1" item="0"/>
        </tpls>
      </n>
      <n v="4393153900689.0049">
        <tpls c="6">
          <tpl hier="2" item="0"/>
          <tpl hier="4" item="1"/>
          <tpl fld="2" item="21"/>
          <tpl fld="3" item="2"/>
          <tpl hier="12" item="4"/>
          <tpl fld="1" item="0"/>
        </tpls>
      </n>
      <n v="60600177662.690544">
        <tpls c="6">
          <tpl hier="2" item="0"/>
          <tpl hier="4" item="1"/>
          <tpl fld="2" item="9"/>
          <tpl fld="4" item="20"/>
          <tpl hier="12" item="4"/>
          <tpl fld="1" item="0"/>
        </tpls>
      </n>
      <n v="52474583286.347878">
        <tpls c="6">
          <tpl hier="2" item="0"/>
          <tpl hier="4" item="1"/>
          <tpl fld="2" item="13"/>
          <tpl fld="4" item="11"/>
          <tpl hier="12" item="4"/>
          <tpl fld="1" item="0"/>
        </tpls>
      </n>
      <n v="5054793428.8613462">
        <tpls c="6">
          <tpl hier="2" item="0"/>
          <tpl hier="4" item="1"/>
          <tpl fld="2" item="9"/>
          <tpl fld="4" item="4"/>
          <tpl hier="12" item="4"/>
          <tpl fld="1" item="0"/>
        </tpls>
      </n>
      <n v="47936554918699.008">
        <tpls c="6">
          <tpl hier="2" item="0"/>
          <tpl hier="4" item="1"/>
          <tpl fld="2" item="26"/>
          <tpl hier="6" item="2"/>
          <tpl hier="12" item="4"/>
          <tpl fld="1" item="0"/>
        </tpls>
      </n>
      <n v="21498390549313.777">
        <tpls c="6">
          <tpl hier="2" item="0"/>
          <tpl hier="4" item="1"/>
          <tpl fld="2" item="10"/>
          <tpl hier="6" item="2"/>
          <tpl hier="12" item="4"/>
          <tpl fld="1" item="0"/>
        </tpls>
      </n>
      <n v="12793713257011.844">
        <tpls c="6">
          <tpl hier="2" item="0"/>
          <tpl hier="4" item="1"/>
          <tpl fld="2" item="30"/>
          <tpl fld="3" item="2"/>
          <tpl hier="12" item="4"/>
          <tpl fld="1" item="0"/>
        </tpls>
      </n>
      <n v="3662795623583.4897">
        <tpls c="6">
          <tpl hier="2" item="0"/>
          <tpl hier="4" item="1"/>
          <tpl fld="2" item="14"/>
          <tpl fld="3" item="2"/>
          <tpl hier="12" item="4"/>
          <tpl fld="1" item="0"/>
        </tpls>
      </n>
      <n v="17348072000000">
        <tpls c="6">
          <tpl hier="2" item="0"/>
          <tpl hier="4" item="1"/>
          <tpl fld="2" item="34"/>
          <tpl fld="4" item="28"/>
          <tpl hier="12" item="4"/>
          <tpl fld="1" item="0"/>
        </tpls>
      </n>
      <n v="9089160000000">
        <tpls c="6">
          <tpl hier="2" item="0"/>
          <tpl hier="4" item="1"/>
          <tpl fld="2" item="18"/>
          <tpl fld="4" item="28"/>
          <tpl hier="12" item="4"/>
          <tpl fld="1" item="0"/>
        </tpls>
      </n>
      <n v="3345000000000">
        <tpls c="6">
          <tpl hier="2" item="0"/>
          <tpl hier="4" item="1"/>
          <tpl fld="2" item="2"/>
          <tpl fld="4" item="28"/>
          <tpl hier="12" item="4"/>
          <tpl fld="1" item="0"/>
        </tpls>
      </n>
      <n v="1680197543452.2051">
        <tpls c="6">
          <tpl hier="2" item="0"/>
          <tpl hier="4" item="1"/>
          <tpl fld="2" item="22"/>
          <tpl fld="4" item="27"/>
          <tpl hier="12" item="4"/>
          <tpl fld="1" item="0"/>
        </tpls>
      </n>
      <n v="601455007160.46484">
        <tpls c="6">
          <tpl hier="2" item="0"/>
          <tpl hier="4" item="1"/>
          <tpl fld="2" item="6"/>
          <tpl fld="4" item="27"/>
          <tpl hier="12" item="4"/>
          <tpl fld="1" item="0"/>
        </tpls>
      </n>
      <n v="388589086996.61847">
        <tpls c="6">
          <tpl hier="2" item="0"/>
          <tpl hier="4" item="1"/>
          <tpl fld="2" item="26"/>
          <tpl fld="4" item="26"/>
          <tpl hier="12" item="4"/>
          <tpl fld="1" item="0"/>
        </tpls>
      </n>
      <n v="166615396058.01413">
        <tpls c="6">
          <tpl hier="2" item="0"/>
          <tpl hier="4" item="1"/>
          <tpl fld="2" item="10"/>
          <tpl fld="4" item="26"/>
          <tpl hier="12" item="4"/>
          <tpl fld="1" item="0"/>
        </tpls>
      </n>
      <n v="581208586855.79968">
        <tpls c="6">
          <tpl hier="2" item="0"/>
          <tpl hier="4" item="1"/>
          <tpl fld="2" item="30"/>
          <tpl fld="4" item="25"/>
          <tpl hier="12" item="4"/>
          <tpl fld="1" item="0"/>
        </tpls>
      </n>
      <n v="291915404961.276">
        <tpls c="6">
          <tpl hier="2" item="0"/>
          <tpl hier="4" item="1"/>
          <tpl fld="2" item="14"/>
          <tpl fld="4" item="25"/>
          <tpl hier="12" item="4"/>
          <tpl fld="1" item="0"/>
        </tpls>
      </n>
      <n v="571090480171.00085">
        <tpls c="6">
          <tpl hier="2" item="0"/>
          <tpl hier="4" item="1"/>
          <tpl fld="2" item="34"/>
          <tpl fld="4" item="24"/>
          <tpl hier="12" item="4"/>
          <tpl fld="1" item="0"/>
        </tpls>
      </n>
      <n v="266801530118.44901">
        <tpls c="6">
          <tpl hier="2" item="0"/>
          <tpl hier="4" item="1"/>
          <tpl fld="2" item="18"/>
          <tpl fld="4" item="24"/>
          <tpl hier="12" item="4"/>
          <tpl fld="1" item="0"/>
        </tpls>
      </n>
      <n v="112767695544.54001">
        <tpls c="6">
          <tpl hier="2" item="0"/>
          <tpl hier="4" item="1"/>
          <tpl fld="2" item="2"/>
          <tpl fld="4" item="24"/>
          <tpl hier="12" item="4"/>
          <tpl fld="1" item="0"/>
        </tpls>
      </n>
      <n v="705177922166.04614">
        <tpls c="6">
          <tpl hier="2" item="0"/>
          <tpl hier="4" item="1"/>
          <tpl fld="2" item="22"/>
          <tpl fld="4" item="23"/>
          <tpl hier="12" item="4"/>
          <tpl fld="1" item="0"/>
        </tpls>
      </n>
      <n v="250636168002.69461">
        <tpls c="6">
          <tpl hier="2" item="0"/>
          <tpl hier="4" item="1"/>
          <tpl fld="2" item="6"/>
          <tpl fld="4" item="23"/>
          <tpl hier="12" item="4"/>
          <tpl fld="1" item="0"/>
        </tpls>
      </n>
      <n v="1011740250625.865">
        <tpls c="6">
          <tpl hier="2" item="0"/>
          <tpl hier="4" item="1"/>
          <tpl fld="2" item="26"/>
          <tpl fld="4" item="22"/>
          <tpl hier="12" item="4"/>
          <tpl fld="1" item="0"/>
        </tpls>
      </n>
      <n v="279754201176.9259">
        <tpls c="6">
          <tpl hier="2" item="0"/>
          <tpl hier="4" item="1"/>
          <tpl fld="2" item="10"/>
          <tpl fld="4" item="22"/>
          <tpl hier="12" item="4"/>
          <tpl fld="1" item="0"/>
        </tpls>
      </n>
      <n v="236420269682.2601">
        <tpls c="6">
          <tpl hier="2" item="0"/>
          <tpl hier="4" item="1"/>
          <tpl fld="2" item="30"/>
          <tpl fld="4" item="21"/>
          <tpl hier="12" item="4"/>
          <tpl fld="1" item="0"/>
        </tpls>
      </n>
      <n v="73775526464.403748">
        <tpls c="6">
          <tpl hier="2" item="0"/>
          <tpl hier="4" item="1"/>
          <tpl fld="2" item="14"/>
          <tpl fld="4" item="21"/>
          <tpl hier="12" item="4"/>
          <tpl fld="1" item="0"/>
        </tpls>
      </n>
      <n v="230116911511.39731">
        <tpls c="6">
          <tpl hier="2" item="0"/>
          <tpl hier="4" item="1"/>
          <tpl fld="2" item="34"/>
          <tpl fld="4" item="20"/>
          <tpl hier="12" item="4"/>
          <tpl fld="1" item="0"/>
        </tpls>
      </n>
      <n v="123987618913.70267">
        <tpls c="6">
          <tpl hier="2" item="0"/>
          <tpl hier="4" item="1"/>
          <tpl fld="2" item="18"/>
          <tpl fld="4" item="20"/>
          <tpl hier="12" item="4"/>
          <tpl fld="1" item="0"/>
        </tpls>
      </n>
      <n v="30529887491.608463">
        <tpls c="6">
          <tpl hier="2" item="0"/>
          <tpl hier="4" item="1"/>
          <tpl fld="2" item="2"/>
          <tpl fld="4" item="20"/>
          <tpl hier="12" item="4"/>
          <tpl fld="1" item="0"/>
        </tpls>
      </n>
      <n v="195418866063.77423">
        <tpls c="6">
          <tpl hier="2" item="0"/>
          <tpl hier="4" item="1"/>
          <tpl fld="2" item="22"/>
          <tpl fld="4" item="19"/>
          <tpl hier="12" item="4"/>
          <tpl fld="1" item="0"/>
        </tpls>
      </n>
      <n v="78813433064.200195">
        <tpls c="6">
          <tpl hier="2" item="0"/>
          <tpl hier="4" item="1"/>
          <tpl fld="2" item="6"/>
          <tpl fld="4" item="19"/>
          <tpl hier="12" item="4"/>
          <tpl fld="1" item="0"/>
        </tpls>
      </n>
      <n v="111612044129.66119">
        <tpls c="6">
          <tpl hier="2" item="0"/>
          <tpl hier="4" item="1"/>
          <tpl fld="2" item="26"/>
          <tpl fld="4" item="18"/>
          <tpl hier="12" item="4"/>
          <tpl fld="1" item="0"/>
        </tpls>
      </n>
      <n v="45440192129.439186">
        <tpls c="6">
          <tpl hier="2" item="0"/>
          <tpl hier="4" item="1"/>
          <tpl fld="2" item="10"/>
          <tpl fld="4" item="18"/>
          <tpl hier="12" item="4"/>
          <tpl fld="1" item="0"/>
        </tpls>
      </n>
      <n v="836389939433.40723">
        <tpls c="6">
          <tpl hier="2" item="0"/>
          <tpl hier="4" item="1"/>
          <tpl fld="2" item="30"/>
          <tpl fld="4" item="17"/>
          <tpl hier="12" item="4"/>
          <tpl fld="1" item="0"/>
        </tpls>
      </n>
      <n v="374301518907.59235">
        <tpls c="6">
          <tpl hier="2" item="0"/>
          <tpl hier="4" item="1"/>
          <tpl fld="2" item="14"/>
          <tpl fld="4" item="17"/>
          <tpl hier="12" item="4"/>
          <tpl fld="1" item="0"/>
        </tpls>
      </n>
      <n v="10535990611.182981">
        <tpls c="6">
          <tpl hier="2" item="0"/>
          <tpl hier="4" item="1"/>
          <tpl fld="2" item="34"/>
          <tpl fld="4" item="16"/>
          <tpl hier="12" item="4"/>
          <tpl fld="1" item="0"/>
        </tpls>
      </n>
      <n v="3975721300.5554128">
        <tpls c="6">
          <tpl hier="2" item="0"/>
          <tpl hier="4" item="1"/>
          <tpl fld="2" item="18"/>
          <tpl fld="4" item="16"/>
          <tpl hier="12" item="4"/>
          <tpl fld="1" item="0"/>
        </tpls>
      </n>
      <n v="1276806648.166137">
        <tpls c="6">
          <tpl hier="2" item="0"/>
          <tpl hier="4" item="1"/>
          <tpl fld="2" item="2"/>
          <tpl fld="4" item="16"/>
          <tpl hier="12" item="4"/>
          <tpl fld="1" item="0"/>
        </tpls>
      </n>
      <n v="23309642250.81942">
        <tpls c="6">
          <tpl hier="2" item="0"/>
          <tpl hier="4" item="1"/>
          <tpl fld="2" item="22"/>
          <tpl fld="4" item="15"/>
          <tpl hier="12" item="4"/>
          <tpl fld="1" item="0"/>
        </tpls>
      </n>
      <n v="6990327237.6373262">
        <tpls c="6">
          <tpl hier="2" item="0"/>
          <tpl hier="4" item="1"/>
          <tpl fld="2" item="6"/>
          <tpl fld="4" item="15"/>
          <tpl hier="12" item="4"/>
          <tpl fld="1" item="0"/>
        </tpls>
      </n>
      <n v="4359441169513.3872">
        <tpls c="6">
          <tpl hier="2" item="0"/>
          <tpl hier="4" item="1"/>
          <tpl fld="2" item="26"/>
          <tpl fld="4" item="14"/>
          <tpl hier="12" item="4"/>
          <tpl fld="1" item="0"/>
        </tpls>
      </n>
      <n v="3100989346823.9033">
        <tpls c="6">
          <tpl hier="2" item="0"/>
          <tpl hier="4" item="1"/>
          <tpl fld="2" item="10"/>
          <tpl fld="4" item="14"/>
          <tpl hier="12" item="4"/>
          <tpl fld="1" item="0"/>
        </tpls>
      </n>
      <n v="2126620938263.3442">
        <tpls c="6">
          <tpl hier="2" item="0"/>
          <tpl hier="4" item="1"/>
          <tpl fld="2" item="30"/>
          <tpl fld="4" item="13"/>
          <tpl hier="12" item="4"/>
          <tpl fld="1" item="0"/>
        </tpls>
      </n>
      <n v="1096044874194.8354">
        <tpls c="6">
          <tpl hier="2" item="0"/>
          <tpl hier="4" item="1"/>
          <tpl fld="2" item="14"/>
          <tpl fld="4" item="13"/>
          <tpl hier="12" item="4"/>
          <tpl fld="1" item="0"/>
        </tpls>
      </n>
      <n v="305672813152.87488">
        <tpls c="6">
          <tpl hier="2" item="0"/>
          <tpl hier="4" item="1"/>
          <tpl fld="2" item="34"/>
          <tpl fld="4" item="12"/>
          <tpl hier="12" item="4"/>
          <tpl fld="1" item="0"/>
        </tpls>
      </n>
      <n v="115838695288.90877">
        <tpls c="6">
          <tpl hier="2" item="0"/>
          <tpl hier="4" item="1"/>
          <tpl fld="2" item="18"/>
          <tpl fld="4" item="12"/>
          <tpl hier="12" item="4"/>
          <tpl fld="1" item="0"/>
        </tpls>
      </n>
      <n v="27957212263.567806">
        <tpls c="6">
          <tpl hier="2" item="0"/>
          <tpl hier="4" item="1"/>
          <tpl fld="2" item="2"/>
          <tpl fld="4" item="12"/>
          <tpl hier="12" item="4"/>
          <tpl fld="1" item="0"/>
        </tpls>
      </n>
      <n v="127943026207.57182">
        <tpls c="6">
          <tpl hier="2" item="0"/>
          <tpl hier="4" item="1"/>
          <tpl fld="2" item="22"/>
          <tpl fld="4" item="11"/>
          <tpl hier="12" item="4"/>
          <tpl fld="1" item="0"/>
        </tpls>
      </n>
      <n v="28747491172.805008">
        <tpls c="6">
          <tpl hier="2" item="0"/>
          <tpl hier="4" item="1"/>
          <tpl fld="2" item="6"/>
          <tpl fld="4" item="11"/>
          <tpl hier="12" item="4"/>
          <tpl fld="1" item="0"/>
        </tpls>
      </n>
      <n v="17041293815.901964">
        <tpls c="6">
          <tpl hier="2" item="0"/>
          <tpl hier="4" item="1"/>
          <tpl fld="2" item="26"/>
          <tpl fld="4" item="10"/>
          <tpl hier="12" item="4"/>
          <tpl fld="1" item="0"/>
        </tpls>
      </n>
      <n v="6519824771.130559">
        <tpls c="6">
          <tpl hier="2" item="0"/>
          <tpl hier="4" item="1"/>
          <tpl fld="2" item="10"/>
          <tpl fld="4" item="10"/>
          <tpl hier="12" item="4"/>
          <tpl fld="1" item="0"/>
        </tpls>
      </n>
      <n v="299361581055.53845">
        <tpls c="6">
          <tpl hier="2" item="0"/>
          <tpl hier="4" item="1"/>
          <tpl fld="2" item="30"/>
          <tpl fld="4" item="9"/>
          <tpl hier="12" item="4"/>
          <tpl fld="1" item="0"/>
        </tpls>
      </n>
      <n v="116607177033.07616">
        <tpls c="6">
          <tpl hier="2" item="0"/>
          <tpl hier="4" item="1"/>
          <tpl fld="2" item="14"/>
          <tpl fld="4" item="9"/>
          <tpl hier="12" item="4"/>
          <tpl fld="1" item="0"/>
        </tpls>
      </n>
      <n v="3868291214976.8501">
        <tpls c="6">
          <tpl hier="2" item="0"/>
          <tpl hier="4" item="1"/>
          <tpl fld="2" item="34"/>
          <tpl fld="4" item="8"/>
          <tpl hier="12" item="4"/>
          <tpl fld="1" item="0"/>
        </tpls>
      </n>
      <n v="2243216144834.1621">
        <tpls c="6">
          <tpl hier="2" item="0"/>
          <tpl hier="4" item="1"/>
          <tpl fld="2" item="18"/>
          <tpl fld="4" item="8"/>
          <tpl hier="12" item="4"/>
          <tpl fld="1" item="0"/>
        </tpls>
      </n>
      <n v="773640308194.6062">
        <tpls c="6">
          <tpl hier="2" item="0"/>
          <tpl hier="4" item="1"/>
          <tpl fld="2" item="2"/>
          <tpl fld="4" item="8"/>
          <tpl hier="12" item="4"/>
          <tpl fld="1" item="0"/>
        </tpls>
      </n>
      <n v="1500406050830.2795">
        <tpls c="6">
          <tpl hier="2" item="0"/>
          <tpl hier="4" item="1"/>
          <tpl fld="2" item="22"/>
          <tpl fld="4" item="7"/>
          <tpl hier="12" item="4"/>
          <tpl fld="1" item="0"/>
        </tpls>
      </n>
      <n v="774573763829.63184">
        <tpls c="6">
          <tpl hier="2" item="0"/>
          <tpl hier="4" item="1"/>
          <tpl fld="2" item="6"/>
          <tpl fld="4" item="7"/>
          <tpl hier="12" item="4"/>
          <tpl fld="1" item="0"/>
        </tpls>
      </n>
      <n v="216541410882.19003">
        <tpls c="6">
          <tpl hier="2" item="0"/>
          <tpl hier="4" item="1"/>
          <tpl fld="2" item="26"/>
          <tpl fld="4" item="6"/>
          <tpl hier="12" item="4"/>
          <tpl fld="1" item="0"/>
        </tpls>
      </n>
      <n v="141524827460.53766">
        <tpls c="6">
          <tpl hier="2" item="0"/>
          <tpl hier="4" item="1"/>
          <tpl fld="2" item="10"/>
          <tpl fld="4" item="6"/>
          <tpl hier="12" item="4"/>
          <tpl fld="1" item="0"/>
        </tpls>
      </n>
      <n v="319812413596.90259">
        <tpls c="6">
          <tpl hier="2" item="0"/>
          <tpl hier="4" item="1"/>
          <tpl fld="2" item="30"/>
          <tpl fld="4" item="5"/>
          <tpl hier="12" item="4"/>
          <tpl fld="1" item="0"/>
        </tpls>
      </n>
      <n v="156146088711.1412">
        <tpls c="6">
          <tpl hier="2" item="0"/>
          <tpl hier="4" item="1"/>
          <tpl fld="2" item="14"/>
          <tpl fld="4" item="5"/>
          <tpl hier="12" item="4"/>
          <tpl fld="1" item="0"/>
        </tpls>
      </n>
      <n v="23076808569.596088">
        <tpls c="6">
          <tpl hier="2" item="0"/>
          <tpl hier="4" item="1"/>
          <tpl fld="2" item="34"/>
          <tpl fld="4" item="4"/>
          <tpl hier="12" item="4"/>
          <tpl fld="1" item="0"/>
        </tpls>
      </n>
      <n v="10311638598.75102">
        <tpls c="6">
          <tpl hier="2" item="0"/>
          <tpl hier="4" item="1"/>
          <tpl fld="2" item="18"/>
          <tpl fld="4" item="4"/>
          <tpl hier="12" item="4"/>
          <tpl fld="1" item="0"/>
        </tpls>
      </n>
      <n v="2389114772.4227996">
        <tpls c="6">
          <tpl hier="2" item="0"/>
          <tpl hier="4" item="1"/>
          <tpl fld="2" item="2"/>
          <tpl fld="4" item="4"/>
          <tpl hier="12" item="4"/>
          <tpl fld="1" item="0"/>
        </tpls>
      </n>
      <n v="752522926674.59497">
        <tpls c="6">
          <tpl hier="2" item="0"/>
          <tpl hier="4" item="1"/>
          <tpl fld="2" item="22"/>
          <tpl fld="4" item="3"/>
          <tpl hier="12" item="4"/>
          <tpl fld="1" item="0"/>
        </tpls>
      </n>
      <n v="375653832313.78192">
        <tpls c="6">
          <tpl hier="2" item="0"/>
          <tpl hier="4" item="1"/>
          <tpl fld="2" item="6"/>
          <tpl fld="4" item="3"/>
          <tpl hier="12" item="4"/>
          <tpl fld="1" item="0"/>
        </tpls>
      </n>
      <n v="409792081532.19299">
        <tpls c="6">
          <tpl hier="2" item="0"/>
          <tpl hier="4" item="1"/>
          <tpl fld="2" item="26"/>
          <tpl fld="4" item="2"/>
          <tpl hier="12" item="4"/>
          <tpl fld="1" item="0"/>
        </tpls>
      </n>
      <n v="206428912633.58807">
        <tpls c="6">
          <tpl hier="2" item="0"/>
          <tpl hier="4" item="1"/>
          <tpl fld="2" item="10"/>
          <tpl fld="4" item="2"/>
          <tpl hier="12" item="4"/>
          <tpl fld="1" item="0"/>
        </tpls>
      </n>
      <n v="390211867518.61591">
        <tpls c="6">
          <tpl hier="2" item="0"/>
          <tpl hier="4" item="1"/>
          <tpl fld="2" item="30"/>
          <tpl fld="4" item="1"/>
          <tpl hier="12" item="4"/>
          <tpl fld="1" item="0"/>
        </tpls>
      </n>
      <n v="203055589994.31354">
        <tpls c="6">
          <tpl hier="2" item="0"/>
          <tpl hier="4" item="1"/>
          <tpl fld="2" item="14"/>
          <tpl fld="4" item="1"/>
          <tpl hier="12" item="4"/>
          <tpl fld="1" item="0"/>
        </tpls>
      </n>
      <n v="1471438617087.8376">
        <tpls c="6">
          <tpl hier="2" item="0"/>
          <tpl hier="4" item="1"/>
          <tpl fld="2" item="34"/>
          <tpl fld="4" item="0"/>
          <tpl hier="12" item="4"/>
          <tpl fld="1" item="0"/>
        </tpls>
      </n>
      <n v="389662000606.47247">
        <tpls c="6">
          <tpl hier="2" item="0"/>
          <tpl hier="4" item="1"/>
          <tpl fld="2" item="18"/>
          <tpl fld="4" item="0"/>
          <tpl hier="12" item="4"/>
          <tpl fld="1" item="0"/>
        </tpls>
      </n>
      <n v="191759942912.13922">
        <tpls c="6">
          <tpl hier="2" item="0"/>
          <tpl hier="4" item="1"/>
          <tpl fld="2" item="2"/>
          <tpl fld="4" item="0"/>
          <tpl hier="12" item="4"/>
          <tpl fld="1" item="0"/>
        </tpls>
      </n>
      <n v="1468857366973.311">
        <tpls c="6">
          <tpl hier="2" item="0"/>
          <tpl hier="4" item="1"/>
          <tpl fld="2" item="22"/>
          <tpl fld="3" item="0"/>
          <tpl hier="12" item="4"/>
          <tpl fld="1" item="0"/>
        </tpls>
      </n>
      <n v="301385108172.03363">
        <tpls c="6">
          <tpl hier="2" item="0"/>
          <tpl hier="4" item="1"/>
          <tpl fld="2" item="6"/>
          <tpl fld="3" item="0"/>
          <tpl hier="12" item="4"/>
          <tpl fld="1" item="0"/>
        </tpls>
      </n>
      <n v="571841377178.48962">
        <tpls c="6">
          <tpl hier="2" item="0"/>
          <tpl hier="4" item="1"/>
          <tpl fld="2" item="23"/>
          <tpl fld="4" item="17"/>
          <tpl hier="12" item="4"/>
          <tpl fld="1" item="0"/>
        </tpls>
      </n>
      <n v="1861851557278.9004">
        <tpls c="6">
          <tpl hier="2" item="0"/>
          <tpl hier="4" item="1"/>
          <tpl fld="2" item="11"/>
          <tpl fld="4" item="8"/>
          <tpl hier="12" item="4"/>
          <tpl fld="1" item="0"/>
        </tpls>
      </n>
      <n v="260194866699.37827">
        <tpls c="6">
          <tpl hier="2" item="0"/>
          <tpl hier="4" item="1"/>
          <tpl fld="2" item="19"/>
          <tpl fld="4" item="2"/>
          <tpl hier="12" item="4"/>
          <tpl fld="1" item="0"/>
        </tpls>
      </n>
      <n v="13855890000000">
        <tpls c="6">
          <tpl hier="2" item="0"/>
          <tpl hier="4" item="1"/>
          <tpl fld="2" item="26"/>
          <tpl fld="4" item="28"/>
          <tpl hier="12" item="4"/>
          <tpl fld="1" item="0"/>
        </tpls>
      </n>
      <n v="301126357983.00726">
        <tpls c="6">
          <tpl hier="2" item="0"/>
          <tpl hier="4" item="1"/>
          <tpl fld="2" item="22"/>
          <tpl fld="4" item="25"/>
          <tpl hier="12" item="4"/>
          <tpl fld="1" item="0"/>
        </tpls>
      </n>
      <n v="77772987479.676926">
        <tpls c="6">
          <tpl hier="2" item="0"/>
          <tpl hier="4" item="1"/>
          <tpl fld="2" item="2"/>
          <tpl fld="4" item="22"/>
          <tpl hier="12" item="4"/>
          <tpl fld="1" item="0"/>
        </tpls>
      </n>
      <n v="57179738120.58905">
        <tpls c="6">
          <tpl hier="2" item="0"/>
          <tpl hier="4" item="1"/>
          <tpl fld="2" item="18"/>
          <tpl fld="4" item="18"/>
          <tpl hier="12" item="4"/>
          <tpl fld="1" item="0"/>
        </tpls>
      </n>
      <n v="220063017440.21994">
        <tpls c="6">
          <tpl hier="2" item="0"/>
          <tpl hier="4" item="1"/>
          <tpl fld="2" item="30"/>
          <tpl fld="4" item="11"/>
          <tpl hier="12" item="4"/>
          <tpl fld="1" item="0"/>
        </tpls>
      </n>
      <n v="1401629576804.8301">
        <tpls c="6">
          <tpl hier="2" item="0"/>
          <tpl hier="4" item="1"/>
          <tpl fld="2" item="14"/>
          <tpl fld="4" item="7"/>
          <tpl hier="12" item="4"/>
          <tpl fld="1" item="0"/>
        </tpls>
      </n>
      <n v="531546583863.62219">
        <tpls c="6">
          <tpl hier="2" item="0"/>
          <tpl hier="4" item="1"/>
          <tpl fld="2" item="34"/>
          <tpl fld="4" item="2"/>
          <tpl hier="12" item="4"/>
          <tpl fld="1" item="0"/>
        </tpls>
      </n>
      <n v="5657700000000">
        <tpls c="6">
          <tpl hier="2" item="0"/>
          <tpl hier="4" item="1"/>
          <tpl fld="2" item="9"/>
          <tpl fld="4" item="28"/>
          <tpl hier="12" item="4"/>
          <tpl fld="1" item="0"/>
        </tpls>
      </n>
      <n v="18555098516.010273">
        <tpls c="6">
          <tpl hier="2" item="0"/>
          <tpl hier="4" item="1"/>
          <tpl fld="2" item="5"/>
          <tpl fld="4" item="21"/>
          <tpl hier="12" item="4"/>
          <tpl fld="1" item="0"/>
        </tpls>
      </n>
      <n v="6393114580.957058">
        <tpls c="6">
          <tpl hier="2" item="0"/>
          <tpl hier="4" item="1"/>
          <tpl fld="2" item="25"/>
          <tpl fld="4" item="16"/>
          <tpl hier="12" item="4"/>
          <tpl fld="1" item="0"/>
        </tpls>
      </n>
      <n v="235372998370.08984">
        <tpls c="6">
          <tpl hier="2" item="0"/>
          <tpl hier="4" item="1"/>
          <tpl fld="2" item="29"/>
          <tpl fld="4" item="11"/>
          <tpl hier="12" item="4"/>
          <tpl fld="1" item="0"/>
        </tpls>
      </n>
      <n v="2861339103616.376">
        <tpls c="6">
          <tpl hier="2" item="0"/>
          <tpl hier="4" item="1"/>
          <tpl fld="2" item="25"/>
          <tpl fld="4" item="8"/>
          <tpl hier="12" item="4"/>
          <tpl fld="1" item="0"/>
        </tpls>
      </n>
      <n v="62220649254.953949">
        <tpls c="6">
          <tpl hier="2" item="0"/>
          <tpl hier="4" item="1"/>
          <tpl fld="2" item="5"/>
          <tpl fld="4" item="5"/>
          <tpl hier="12" item="4"/>
          <tpl fld="1" item="0"/>
        </tpls>
      </n>
      <n v="69221249289.854263">
        <tpls c="6">
          <tpl hier="2" item="0"/>
          <tpl hier="4" item="1"/>
          <tpl fld="2" item="5"/>
          <tpl fld="4" item="1"/>
          <tpl hier="12" item="4"/>
          <tpl fld="1" item="0"/>
        </tpls>
      </n>
      <n v="44527176377898.008">
        <tpls c="6">
          <tpl hier="2" item="0"/>
          <tpl hier="4" item="1"/>
          <tpl fld="2" item="25"/>
          <tpl hier="6" item="2"/>
          <tpl hier="12" item="4"/>
          <tpl fld="1" item="0"/>
        </tpls>
      </n>
      <n v="19182619487213.871">
        <tpls c="6">
          <tpl hier="2" item="0"/>
          <tpl hier="4" item="1"/>
          <tpl fld="2" item="9"/>
          <tpl hier="6" item="2"/>
          <tpl hier="12" item="4"/>
          <tpl fld="1" item="0"/>
        </tpls>
      </n>
      <n v="10442152204108.523">
        <tpls c="6">
          <tpl hier="2" item="0"/>
          <tpl hier="4" item="1"/>
          <tpl fld="2" item="29"/>
          <tpl fld="3" item="2"/>
          <tpl hier="12" item="4"/>
          <tpl fld="1" item="0"/>
        </tpls>
      </n>
      <n v="3358506300485.1685">
        <tpls c="6">
          <tpl hier="2" item="0"/>
          <tpl hier="4" item="1"/>
          <tpl fld="2" item="13"/>
          <tpl fld="3" item="2"/>
          <tpl hier="12" item="4"/>
          <tpl fld="1" item="0"/>
        </tpls>
      </n>
      <n v="16663160000000">
        <tpls c="6">
          <tpl hier="2" item="0"/>
          <tpl hier="4" item="1"/>
          <tpl fld="2" item="33"/>
          <tpl fld="4" item="28"/>
          <tpl hier="12" item="4"/>
          <tpl fld="1" item="0"/>
        </tpls>
      </n>
      <n v="8608500000000">
        <tpls c="6">
          <tpl hier="2" item="0"/>
          <tpl hier="4" item="1"/>
          <tpl fld="2" item="17"/>
          <tpl fld="4" item="28"/>
          <tpl hier="12" item="4"/>
          <tpl fld="1" item="0"/>
        </tpls>
      </n>
      <n v="3210900000000">
        <tpls c="6">
          <tpl hier="2" item="0"/>
          <tpl hier="4" item="1"/>
          <tpl fld="2" item="1"/>
          <tpl fld="4" item="28"/>
          <tpl hier="12" item="4"/>
          <tpl fld="1" item="0"/>
        </tpls>
      </n>
      <n v="1536041632177.1238">
        <tpls c="6">
          <tpl hier="2" item="0"/>
          <tpl hier="4" item="1"/>
          <tpl fld="2" item="21"/>
          <tpl fld="4" item="27"/>
          <tpl hier="12" item="4"/>
          <tpl fld="1" item="0"/>
        </tpls>
      </n>
      <n v="489256281071.70264">
        <tpls c="6">
          <tpl hier="2" item="0"/>
          <tpl hier="4" item="1"/>
          <tpl fld="2" item="5"/>
          <tpl fld="4" item="27"/>
          <tpl hier="12" item="4"/>
          <tpl fld="1" item="0"/>
        </tpls>
      </n>
      <n v="375769235550.03107">
        <tpls c="6">
          <tpl hier="2" item="0"/>
          <tpl hier="4" item="1"/>
          <tpl fld="2" item="25"/>
          <tpl fld="4" item="26"/>
          <tpl hier="12" item="4"/>
          <tpl fld="1" item="0"/>
        </tpls>
      </n>
      <n v="152709996213.55548">
        <tpls c="6">
          <tpl hier="2" item="0"/>
          <tpl hier="4" item="1"/>
          <tpl fld="2" item="9"/>
          <tpl fld="4" item="26"/>
          <tpl hier="12" item="4"/>
          <tpl fld="1" item="0"/>
        </tpls>
      </n>
      <n v="539507556782.35657">
        <tpls c="6">
          <tpl hier="2" item="0"/>
          <tpl hier="4" item="1"/>
          <tpl fld="2" item="29"/>
          <tpl fld="4" item="25"/>
          <tpl hier="12" item="4"/>
          <tpl fld="1" item="0"/>
        </tpls>
      </n>
      <n v="263688025453.42105">
        <tpls c="6">
          <tpl hier="2" item="0"/>
          <tpl hier="4" item="1"/>
          <tpl fld="2" item="13"/>
          <tpl fld="4" item="25"/>
          <tpl hier="12" item="4"/>
          <tpl fld="1" item="0"/>
        </tpls>
      </n>
      <n v="578741998526.02979">
        <tpls c="6">
          <tpl hier="2" item="0"/>
          <tpl hier="4" item="1"/>
          <tpl fld="2" item="33"/>
          <tpl fld="4" item="24"/>
          <tpl hier="12" item="4"/>
          <tpl fld="1" item="0"/>
        </tpls>
      </n>
      <n v="264477928194.47324">
        <tpls c="6">
          <tpl hier="2" item="0"/>
          <tpl hier="4" item="1"/>
          <tpl fld="2" item="17"/>
          <tpl fld="4" item="24"/>
          <tpl hier="12" item="4"/>
          <tpl fld="1" item="0"/>
        </tpls>
      </n>
      <n v="127857358365.55597">
        <tpls c="6">
          <tpl hier="2" item="0"/>
          <tpl hier="4" item="1"/>
          <tpl fld="2" item="1"/>
          <tpl fld="4" item="24"/>
          <tpl hier="12" item="4"/>
          <tpl fld="1" item="0"/>
        </tpls>
      </n>
      <n v="625970237402.79724">
        <tpls c="6">
          <tpl hier="2" item="0"/>
          <tpl hier="4" item="1"/>
          <tpl fld="2" item="21"/>
          <tpl fld="4" item="23"/>
          <tpl hier="12" item="4"/>
          <tpl fld="1" item="0"/>
        </tpls>
      </n>
      <n v="180304974972.73691">
        <tpls c="6">
          <tpl hier="2" item="0"/>
          <tpl hier="4" item="1"/>
          <tpl fld="2" item="5"/>
          <tpl fld="4" item="23"/>
          <tpl hier="12" item="4"/>
          <tpl fld="1" item="0"/>
        </tpls>
      </n>
      <n v="898335121378.25696">
        <tpls c="6">
          <tpl hier="2" item="0"/>
          <tpl hier="4" item="1"/>
          <tpl fld="2" item="25"/>
          <tpl fld="4" item="22"/>
          <tpl hier="12" item="4"/>
          <tpl fld="1" item="0"/>
        </tpls>
      </n>
      <n v="244245403305.23306">
        <tpls c="6">
          <tpl hier="2" item="0"/>
          <tpl hier="4" item="1"/>
          <tpl fld="2" item="9"/>
          <tpl fld="4" item="22"/>
          <tpl hier="12" item="4"/>
          <tpl fld="1" item="0"/>
        </tpls>
      </n>
      <n v="192406443193.73328">
        <tpls c="6">
          <tpl hier="2" item="0"/>
          <tpl hier="4" item="1"/>
          <tpl fld="2" item="29"/>
          <tpl fld="4" item="21"/>
          <tpl hier="12" item="4"/>
          <tpl fld="1" item="0"/>
        </tpls>
      </n>
      <n v="60645227092.517174">
        <tpls c="6">
          <tpl hier="2" item="0"/>
          <tpl hier="4" item="1"/>
          <tpl fld="2" item="13"/>
          <tpl fld="4" item="21"/>
          <tpl hier="12" item="4"/>
          <tpl fld="1" item="0"/>
        </tpls>
      </n>
      <n v="226073497504.20621">
        <tpls c="6">
          <tpl hier="2" item="0"/>
          <tpl hier="4" item="1"/>
          <tpl fld="2" item="33"/>
          <tpl fld="4" item="20"/>
          <tpl hier="12" item="4"/>
          <tpl fld="1" item="0"/>
        </tpls>
      </n>
      <n v="117052249207.76064">
        <tpls c="6">
          <tpl hier="2" item="0"/>
          <tpl hier="4" item="1"/>
          <tpl fld="2" item="17"/>
          <tpl fld="4" item="20"/>
          <tpl hier="12" item="4"/>
          <tpl fld="1" item="0"/>
        </tpls>
      </n>
      <n v="31981254757.045479">
        <tpls c="6">
          <tpl hier="2" item="0"/>
          <tpl hier="4" item="1"/>
          <tpl fld="2" item="1"/>
          <tpl fld="4" item="20"/>
          <tpl hier="12" item="4"/>
          <tpl fld="1" item="0"/>
        </tpls>
      </n>
      <n v="174004133744.3782">
        <tpls c="6">
          <tpl hier="2" item="0"/>
          <tpl hier="4" item="1"/>
          <tpl fld="2" item="21"/>
          <tpl fld="4" item="19"/>
          <tpl hier="12" item="4"/>
          <tpl fld="1" item="0"/>
        </tpls>
      </n>
      <n v="65597820871.046974">
        <tpls c="6">
          <tpl hier="2" item="0"/>
          <tpl hier="4" item="1"/>
          <tpl fld="2" item="5"/>
          <tpl fld="4" item="19"/>
          <tpl hier="12" item="4"/>
          <tpl fld="1" item="0"/>
        </tpls>
      </n>
      <n v="114722270041.65044">
        <tpls c="6">
          <tpl hier="2" item="0"/>
          <tpl hier="4" item="1"/>
          <tpl fld="2" item="25"/>
          <tpl fld="4" item="18"/>
          <tpl hier="12" item="4"/>
          <tpl fld="1" item="0"/>
        </tpls>
      </n>
      <n v="44634199012.13308">
        <tpls c="6">
          <tpl hier="2" item="0"/>
          <tpl hier="4" item="1"/>
          <tpl fld="2" item="9"/>
          <tpl fld="4" item="18"/>
          <tpl hier="12" item="4"/>
          <tpl fld="1" item="0"/>
        </tpls>
      </n>
      <n v="857881081239.67407">
        <tpls c="6">
          <tpl hier="2" item="0"/>
          <tpl hier="4" item="1"/>
          <tpl fld="2" item="29"/>
          <tpl fld="4" item="17"/>
          <tpl hier="12" item="4"/>
          <tpl fld="1" item="0"/>
        </tpls>
      </n>
      <n v="349034396123.79724">
        <tpls c="6">
          <tpl hier="2" item="0"/>
          <tpl hier="4" item="1"/>
          <tpl fld="2" item="13"/>
          <tpl fld="4" item="17"/>
          <tpl hier="12" item="4"/>
          <tpl fld="1" item="0"/>
        </tpls>
      </n>
      <n v="10002666368.615463">
        <tpls c="6">
          <tpl hier="2" item="0"/>
          <tpl hier="4" item="1"/>
          <tpl fld="2" item="33"/>
          <tpl fld="4" item="16"/>
          <tpl hier="12" item="4"/>
          <tpl fld="1" item="0"/>
        </tpls>
      </n>
      <n v="3776280721.5302234">
        <tpls c="6">
          <tpl hier="2" item="0"/>
          <tpl hier="4" item="1"/>
          <tpl fld="2" item="17"/>
          <tpl fld="4" item="16"/>
          <tpl hier="12" item="4"/>
          <tpl fld="1" item="0"/>
        </tpls>
      </n>
      <n v="1286151614.4237518">
        <tpls c="6">
          <tpl hier="2" item="0"/>
          <tpl hier="4" item="1"/>
          <tpl fld="2" item="1"/>
          <tpl fld="4" item="16"/>
          <tpl hier="12" item="4"/>
          <tpl fld="1" item="0"/>
        </tpls>
      </n>
      <n v="21051892153.090351">
        <tpls c="6">
          <tpl hier="2" item="0"/>
          <tpl hier="4" item="1"/>
          <tpl fld="2" item="21"/>
          <tpl fld="4" item="15"/>
          <tpl hier="12" item="4"/>
          <tpl fld="1" item="0"/>
        </tpls>
      </n>
      <n v="4785653404.0535021">
        <tpls c="6">
          <tpl hier="2" item="0"/>
          <tpl hier="4" item="1"/>
          <tpl fld="2" item="5"/>
          <tpl fld="4" item="15"/>
          <tpl hier="12" item="4"/>
          <tpl fld="1" item="0"/>
        </tpls>
      </n>
      <n v="4572747098687.2314">
        <tpls c="6">
          <tpl hier="2" item="0"/>
          <tpl hier="4" item="1"/>
          <tpl fld="2" item="25"/>
          <tpl fld="4" item="14"/>
          <tpl hier="12" item="4"/>
          <tpl fld="1" item="0"/>
        </tpls>
      </n>
      <n v="3015270168931.9609">
        <tpls c="6">
          <tpl hier="2" item="0"/>
          <tpl hier="4" item="1"/>
          <tpl fld="2" item="9"/>
          <tpl fld="4" item="14"/>
          <tpl hier="12" item="4"/>
          <tpl fld="1" item="0"/>
        </tpls>
      </n>
      <n v="2186107683204.8572">
        <tpls c="6">
          <tpl hier="2" item="0"/>
          <tpl hier="4" item="1"/>
          <tpl fld="2" item="29"/>
          <tpl fld="4" item="13"/>
          <tpl hier="12" item="4"/>
          <tpl fld="1" item="0"/>
        </tpls>
      </n>
      <n v="1061792026309.7271">
        <tpls c="6">
          <tpl hier="2" item="0"/>
          <tpl hier="4" item="1"/>
          <tpl fld="2" item="13"/>
          <tpl fld="4" item="13"/>
          <tpl hier="12" item="4"/>
          <tpl fld="1" item="0"/>
        </tpls>
      </n>
      <n v="292411679840.21521">
        <tpls c="6">
          <tpl hier="2" item="0"/>
          <tpl hier="4" item="1"/>
          <tpl fld="2" item="33"/>
          <tpl fld="4" item="12"/>
          <tpl hier="12" item="4"/>
          <tpl fld="1" item="0"/>
        </tpls>
      </n>
      <n v="114545630336.1503">
        <tpls c="6">
          <tpl hier="2" item="0"/>
          <tpl hier="4" item="1"/>
          <tpl fld="2" item="17"/>
          <tpl fld="4" item="12"/>
          <tpl hier="12" item="4"/>
          <tpl fld="1" item="0"/>
        </tpls>
      </n>
      <n v="25585719697.267941">
        <tpls c="6">
          <tpl hier="2" item="0"/>
          <tpl hier="4" item="1"/>
          <tpl fld="2" item="1"/>
          <tpl fld="4" item="12"/>
          <tpl hier="12" item="4"/>
          <tpl fld="1" item="0"/>
        </tpls>
      </n>
      <n v="109075757711.34039">
        <tpls c="6">
          <tpl hier="2" item="0"/>
          <tpl hier="4" item="1"/>
          <tpl fld="2" item="21"/>
          <tpl fld="4" item="11"/>
          <tpl hier="12" item="4"/>
          <tpl fld="1" item="0"/>
        </tpls>
      </n>
      <n v="21294203784.278187">
        <tpls c="6">
          <tpl hier="2" item="0"/>
          <tpl hier="4" item="1"/>
          <tpl fld="2" item="5"/>
          <tpl fld="4" item="11"/>
          <tpl hier="12" item="4"/>
          <tpl fld="1" item="0"/>
        </tpls>
      </n>
      <n v="16749318496.126818">
        <tpls c="6">
          <tpl hier="2" item="0"/>
          <tpl hier="4" item="1"/>
          <tpl fld="2" item="25"/>
          <tpl fld="4" item="10"/>
          <tpl hier="12" item="4"/>
          <tpl fld="1" item="0"/>
        </tpls>
      </n>
      <n v="5715107968.5575094">
        <tpls c="6">
          <tpl hier="2" item="0"/>
          <tpl hier="4" item="1"/>
          <tpl fld="2" item="9"/>
          <tpl fld="4" item="10"/>
          <tpl hier="12" item="4"/>
          <tpl fld="1" item="0"/>
        </tpls>
      </n>
      <n v="329980372396.57245">
        <tpls c="6">
          <tpl hier="2" item="0"/>
          <tpl hier="4" item="1"/>
          <tpl fld="2" item="29"/>
          <tpl fld="4" item="9"/>
          <tpl hier="12" item="4"/>
          <tpl fld="1" item="0"/>
        </tpls>
      </n>
      <n v="108812266271.16551">
        <tpls c="6">
          <tpl hier="2" item="0"/>
          <tpl hier="4" item="1"/>
          <tpl fld="2" item="13"/>
          <tpl fld="4" item="9"/>
          <tpl hier="12" item="4"/>
          <tpl fld="1" item="0"/>
        </tpls>
      </n>
      <n v="3745317158585.2539">
        <tpls c="6">
          <tpl hier="2" item="0"/>
          <tpl hier="4" item="1"/>
          <tpl fld="2" item="33"/>
          <tpl fld="4" item="8"/>
          <tpl hier="12" item="4"/>
          <tpl fld="1" item="0"/>
        </tpls>
      </n>
      <n v="2218667678943.4058">
        <tpls c="6">
          <tpl hier="2" item="0"/>
          <tpl hier="4" item="1"/>
          <tpl fld="2" item="17"/>
          <tpl fld="4" item="8"/>
          <tpl hier="12" item="4"/>
          <tpl fld="1" item="0"/>
        </tpls>
      </n>
      <n v="797429849097.33691">
        <tpls c="6">
          <tpl hier="2" item="0"/>
          <tpl hier="4" item="1"/>
          <tpl fld="2" item="1"/>
          <tpl fld="4" item="8"/>
          <tpl hier="12" item="4"/>
          <tpl fld="1" item="0"/>
        </tpls>
      </n>
      <n v="1382205975785.4517">
        <tpls c="6">
          <tpl hier="2" item="0"/>
          <tpl hier="4" item="1"/>
          <tpl fld="2" item="21"/>
          <tpl fld="4" item="7"/>
          <tpl hier="12" item="4"/>
          <tpl fld="1" item="0"/>
        </tpls>
      </n>
      <n v="555201477424.94885">
        <tpls c="6">
          <tpl hier="2" item="0"/>
          <tpl hier="4" item="1"/>
          <tpl fld="2" item="5"/>
          <tpl fld="4" item="7"/>
          <tpl hier="12" item="4"/>
          <tpl fld="1" item="0"/>
        </tpls>
      </n>
      <n v="204430930706.85968">
        <tpls c="6">
          <tpl hier="2" item="0"/>
          <tpl hier="4" item="1"/>
          <tpl fld="2" item="25"/>
          <tpl fld="4" item="6"/>
          <tpl hier="12" item="4"/>
          <tpl fld="1" item="0"/>
        </tpls>
      </n>
      <n v="119059645364.39485">
        <tpls c="6">
          <tpl hier="2" item="0"/>
          <tpl hier="4" item="1"/>
          <tpl fld="2" item="9"/>
          <tpl fld="4" item="6"/>
          <tpl hier="12" item="4"/>
          <tpl fld="1" item="0"/>
        </tpls>
      </n>
      <n v="319764339598.29669">
        <tpls c="6">
          <tpl hier="2" item="0"/>
          <tpl hier="4" item="1"/>
          <tpl fld="2" item="29"/>
          <tpl fld="4" item="5"/>
          <tpl hier="12" item="4"/>
          <tpl fld="1" item="0"/>
        </tpls>
      </n>
      <n v="142962036102.99121">
        <tpls c="6">
          <tpl hier="2" item="0"/>
          <tpl hier="4" item="1"/>
          <tpl fld="2" item="13"/>
          <tpl fld="4" item="5"/>
          <tpl hier="12" item="4"/>
          <tpl fld="1" item="0"/>
        </tpls>
      </n>
      <n v="23985102325.912033">
        <tpls c="6">
          <tpl hier="2" item="0"/>
          <tpl hier="4" item="1"/>
          <tpl fld="2" item="33"/>
          <tpl fld="4" item="4"/>
          <tpl hier="12" item="4"/>
          <tpl fld="1" item="0"/>
        </tpls>
      </n>
      <n v="9544947158.3324833">
        <tpls c="6">
          <tpl hier="2" item="0"/>
          <tpl hier="4" item="1"/>
          <tpl fld="2" item="17"/>
          <tpl fld="4" item="4"/>
          <tpl hier="12" item="4"/>
          <tpl fld="1" item="0"/>
        </tpls>
      </n>
      <n v="2303454781.092391">
        <tpls c="6">
          <tpl hier="2" item="0"/>
          <tpl hier="4" item="1"/>
          <tpl fld="2" item="1"/>
          <tpl fld="4" item="4"/>
          <tpl hier="12" item="4"/>
          <tpl fld="1" item="0"/>
        </tpls>
      </n>
      <n v="732735487623.39551">
        <tpls c="6">
          <tpl hier="2" item="0"/>
          <tpl hier="4" item="1"/>
          <tpl fld="2" item="21"/>
          <tpl fld="4" item="3"/>
          <tpl hier="12" item="4"/>
          <tpl fld="1" item="0"/>
        </tpls>
      </n>
      <n v="362964526918.784">
        <tpls c="6">
          <tpl hier="2" item="0"/>
          <tpl hier="4" item="1"/>
          <tpl fld="2" item="5"/>
          <tpl fld="4" item="3"/>
          <tpl hier="12" item="4"/>
          <tpl fld="1" item="0"/>
        </tpls>
      </n>
      <n v="387356364721.68335">
        <tpls c="6">
          <tpl hier="2" item="0"/>
          <tpl hier="4" item="1"/>
          <tpl fld="2" item="25"/>
          <tpl fld="4" item="2"/>
          <tpl hier="12" item="4"/>
          <tpl fld="1" item="0"/>
        </tpls>
      </n>
      <n v="165100304857.80783">
        <tpls c="6">
          <tpl hier="2" item="0"/>
          <tpl hier="4" item="1"/>
          <tpl fld="2" item="9"/>
          <tpl fld="4" item="2"/>
          <tpl hier="12" item="4"/>
          <tpl fld="1" item="0"/>
        </tpls>
      </n>
      <n v="397570326966.68896">
        <tpls c="6">
          <tpl hier="2" item="0"/>
          <tpl hier="4" item="1"/>
          <tpl fld="2" item="29"/>
          <tpl fld="4" item="1"/>
          <tpl hier="12" item="4"/>
          <tpl fld="1" item="0"/>
        </tpls>
      </n>
      <n v="189911281881.36786">
        <tpls c="6">
          <tpl hier="2" item="0"/>
          <tpl hier="4" item="1"/>
          <tpl fld="2" item="13"/>
          <tpl fld="4" item="1"/>
          <tpl hier="12" item="4"/>
          <tpl fld="1" item="0"/>
        </tpls>
      </n>
      <n v="1528761450455.1897">
        <tpls c="6">
          <tpl hier="2" item="0"/>
          <tpl hier="4" item="1"/>
          <tpl fld="2" item="33"/>
          <tpl fld="4" item="0"/>
          <tpl hier="12" item="4"/>
          <tpl fld="1" item="0"/>
        </tpls>
      </n>
      <n v="436940580979.3822">
        <tpls c="6">
          <tpl hier="2" item="0"/>
          <tpl hier="4" item="1"/>
          <tpl fld="2" item="17"/>
          <tpl fld="4" item="0"/>
          <tpl hier="12" item="4"/>
          <tpl fld="1" item="0"/>
        </tpls>
      </n>
      <n v="201715765323.077">
        <tpls c="6">
          <tpl hier="2" item="0"/>
          <tpl hier="4" item="1"/>
          <tpl fld="2" item="1"/>
          <tpl fld="4" item="0"/>
          <tpl hier="12" item="4"/>
          <tpl fld="1" item="0"/>
        </tpls>
      </n>
      <n v="1336915390682.4714">
        <tpls c="6">
          <tpl hier="2" item="0"/>
          <tpl hier="4" item="1"/>
          <tpl fld="2" item="21"/>
          <tpl fld="3" item="0"/>
          <tpl hier="12" item="4"/>
          <tpl fld="1" item="0"/>
        </tpls>
      </n>
      <n v="310608149405.73779">
        <tpls c="6">
          <tpl hier="2" item="0"/>
          <tpl hier="4" item="1"/>
          <tpl fld="2" item="5"/>
          <tpl fld="3" item="0"/>
          <tpl hier="12" item="4"/>
          <tpl fld="1" item="0"/>
        </tpls>
      </n>
      <n v="1208915253071.9258">
        <tpls c="6">
          <tpl hier="2" item="0"/>
          <tpl hier="4" item="1"/>
          <tpl fld="2" item="20"/>
          <tpl fld="3" item="0"/>
          <tpl hier="12" item="4"/>
          <tpl fld="1" item="0"/>
        </tpls>
      </n>
      <n v="21606534106.89439">
        <tpls c="6">
          <tpl hier="2" item="0"/>
          <tpl hier="4" item="1"/>
          <tpl fld="2" item="7"/>
          <tpl fld="4" item="21"/>
          <tpl hier="12" item="4"/>
          <tpl fld="1" item="0"/>
        </tpls>
      </n>
      <n v="69219454226.005676">
        <tpls c="6">
          <tpl hier="2" item="0"/>
          <tpl hier="4" item="1"/>
          <tpl fld="2" item="15"/>
          <tpl fld="4" item="11"/>
          <tpl hier="12" item="4"/>
          <tpl fld="1" item="0"/>
        </tpls>
      </n>
      <n v="135221938147.8024">
        <tpls c="6">
          <tpl hier="2" item="0"/>
          <tpl hier="4" item="1"/>
          <tpl fld="2" item="19"/>
          <tpl fld="4" item="6"/>
          <tpl hier="12" item="4"/>
          <tpl fld="1" item="0"/>
        </tpls>
      </n>
      <n v="260711423804.34381">
        <tpls c="6">
          <tpl hier="2" item="0"/>
          <tpl hier="4" item="1"/>
          <tpl fld="2" item="23"/>
          <tpl fld="4" item="1"/>
          <tpl hier="12" item="4"/>
          <tpl fld="1" item="0"/>
        </tpls>
      </n>
      <n v="1942931027755.5608">
        <tpls c="6">
          <tpl hier="2" item="0"/>
          <tpl hier="4" item="1"/>
          <tpl fld="2" item="6"/>
          <tpl fld="3" item="2"/>
          <tpl hier="12" item="4"/>
          <tpl fld="1" item="0"/>
        </tpls>
      </n>
      <n v="280368828451.88281">
        <tpls c="6">
          <tpl hier="2" item="0"/>
          <tpl hier="4" item="1"/>
          <tpl fld="2" item="18"/>
          <tpl fld="4" item="26"/>
          <tpl hier="12" item="4"/>
          <tpl fld="1" item="0"/>
        </tpls>
      </n>
      <n v="258154724191.93787">
        <tpls c="6">
          <tpl hier="2" item="0"/>
          <tpl hier="4" item="1"/>
          <tpl fld="2" item="10"/>
          <tpl fld="4" item="24"/>
          <tpl hier="12" item="4"/>
          <tpl fld="1" item="0"/>
        </tpls>
      </n>
      <n v="208556259751.4921">
        <tpls c="6">
          <tpl hier="2" item="0"/>
          <tpl hier="4" item="1"/>
          <tpl fld="2" item="26"/>
          <tpl fld="4" item="20"/>
          <tpl hier="12" item="4"/>
          <tpl fld="1" item="0"/>
        </tpls>
      </n>
      <n v="127117909553.24344">
        <tpls c="6">
          <tpl hier="2" item="0"/>
          <tpl hier="4" item="1"/>
          <tpl fld="2" item="14"/>
          <tpl fld="4" item="19"/>
          <tpl hier="12" item="4"/>
          <tpl fld="1" item="0"/>
        </tpls>
      </n>
      <n v="1116122196430.5208">
        <tpls c="6">
          <tpl hier="2" item="0"/>
          <tpl hier="4" item="1"/>
          <tpl fld="2" item="2"/>
          <tpl fld="4" item="14"/>
          <tpl hier="12" item="4"/>
          <tpl fld="1" item="0"/>
        </tpls>
      </n>
      <n v="57162977529.243942">
        <tpls c="6">
          <tpl hier="2" item="0"/>
          <tpl hier="4" item="1"/>
          <tpl fld="2" item="14"/>
          <tpl fld="4" item="11"/>
          <tpl hier="12" item="4"/>
          <tpl fld="1" item="0"/>
        </tpls>
      </n>
      <n v="56379163907.538872">
        <tpls c="6">
          <tpl hier="2" item="0"/>
          <tpl hier="4" item="1"/>
          <tpl fld="2" item="6"/>
          <tpl fld="4" item="9"/>
          <tpl hier="12" item="4"/>
          <tpl fld="1" item="0"/>
        </tpls>
      </n>
      <n v="133935264325.55319">
        <tpls c="6">
          <tpl hier="2" item="0"/>
          <tpl hier="4" item="1"/>
          <tpl fld="2" item="18"/>
          <tpl fld="4" item="6"/>
          <tpl hier="12" item="4"/>
          <tpl fld="1" item="0"/>
        </tpls>
      </n>
      <n v="575982674182.46838">
        <tpls c="6">
          <tpl hier="2" item="0"/>
          <tpl hier="4" item="1"/>
          <tpl fld="2" item="14"/>
          <tpl fld="4" item="3"/>
          <tpl hier="12" item="4"/>
          <tpl fld="1" item="0"/>
        </tpls>
      </n>
      <n v="818561576609.89294">
        <tpls c="6">
          <tpl hier="2" item="0"/>
          <tpl hier="4" item="1"/>
          <tpl fld="2" item="26"/>
          <tpl fld="4" item="0"/>
          <tpl hier="12" item="4"/>
          <tpl fld="1" item="0"/>
        </tpls>
      </n>
      <n v="70308239770535.32">
        <tpls c="6">
          <tpl hier="2" item="0"/>
          <tpl hier="4" item="1"/>
          <tpl fld="2" item="33"/>
          <tpl hier="6" item="2"/>
          <tpl hier="12" item="4"/>
          <tpl fld="1" item="0"/>
        </tpls>
      </n>
      <n v="557138687913.37122">
        <tpls c="6">
          <tpl hier="2" item="0"/>
          <tpl hier="4" item="1"/>
          <tpl fld="2" item="17"/>
          <tpl fld="4" item="22"/>
          <tpl hier="12" item="4"/>
          <tpl fld="1" item="0"/>
        </tpls>
      </n>
      <n v="1201618802713.373">
        <tpls c="6">
          <tpl hier="2" item="0"/>
          <tpl hier="4" item="1"/>
          <tpl fld="2" item="1"/>
          <tpl fld="4" item="14"/>
          <tpl hier="12" item="4"/>
          <tpl fld="1" item="0"/>
        </tpls>
      </n>
      <n v="164791069851.04504">
        <tpls c="6">
          <tpl hier="2" item="0"/>
          <tpl hier="4" item="1"/>
          <tpl fld="2" item="21"/>
          <tpl fld="4" item="5"/>
          <tpl hier="12" item="4"/>
          <tpl fld="1" item="0"/>
        </tpls>
      </n>
      <n v="41353690907770.703">
        <tpls c="6">
          <tpl hier="2" item="0"/>
          <tpl hier="4" item="1"/>
          <tpl fld="2" item="24"/>
          <tpl hier="6" item="2"/>
          <tpl hier="12" item="4"/>
          <tpl fld="1" item="0"/>
        </tpls>
      </n>
      <n v="18292036995366.809">
        <tpls c="6">
          <tpl hier="2" item="0"/>
          <tpl hier="4" item="1"/>
          <tpl fld="2" item="8"/>
          <tpl hier="6" item="2"/>
          <tpl hier="12" item="4"/>
          <tpl fld="1" item="0"/>
        </tpls>
      </n>
      <n v="10996489079434.816">
        <tpls c="6">
          <tpl hier="2" item="0"/>
          <tpl hier="4" item="1"/>
          <tpl fld="2" item="28"/>
          <tpl fld="3" item="2"/>
          <tpl hier="12" item="4"/>
          <tpl fld="1" item="0"/>
        </tpls>
      </n>
      <n v="3174508579897.3105">
        <tpls c="6">
          <tpl hier="2" item="0"/>
          <tpl hier="4" item="1"/>
          <tpl fld="2" item="12"/>
          <tpl fld="3" item="2"/>
          <tpl hier="12" item="4"/>
          <tpl fld="1" item="0"/>
        </tpls>
      </n>
      <n v="16155255000000">
        <tpls c="6">
          <tpl hier="2" item="0"/>
          <tpl hier="4" item="1"/>
          <tpl fld="2" item="32"/>
          <tpl fld="4" item="28"/>
          <tpl hier="12" item="4"/>
          <tpl fld="1" item="0"/>
        </tpls>
      </n>
      <n v="8100200000000">
        <tpls c="6">
          <tpl hier="2" item="0"/>
          <tpl hier="4" item="1"/>
          <tpl fld="2" item="16"/>
          <tpl fld="4" item="28"/>
          <tpl hier="12" item="4"/>
          <tpl fld="1" item="0"/>
        </tpls>
      </n>
      <n v="2862500000000">
        <tpls c="6">
          <tpl hier="2" item="0"/>
          <tpl hier="4" item="1"/>
          <tpl fld="2" item="0"/>
          <tpl fld="4" item="28"/>
          <tpl hier="12" item="4"/>
          <tpl fld="1" item="0"/>
        </tpls>
      </n>
      <n v="1554728503132.4685">
        <tpls c="6">
          <tpl hier="2" item="0"/>
          <tpl hier="4" item="1"/>
          <tpl fld="2" item="20"/>
          <tpl fld="4" item="27"/>
          <tpl hier="12" item="4"/>
          <tpl fld="1" item="0"/>
        </tpls>
      </n>
      <n v="461483003336.48279">
        <tpls c="6">
          <tpl hier="2" item="0"/>
          <tpl hier="4" item="1"/>
          <tpl fld="2" item="4"/>
          <tpl fld="4" item="27"/>
          <tpl hier="12" item="4"/>
          <tpl fld="1" item="0"/>
        </tpls>
      </n>
      <n v="348478761591.38501">
        <tpls c="6">
          <tpl hier="2" item="0"/>
          <tpl hier="4" item="1"/>
          <tpl fld="2" item="24"/>
          <tpl fld="4" item="26"/>
          <tpl hier="12" item="4"/>
          <tpl fld="1" item="0"/>
        </tpls>
      </n>
      <n v="126365571478.50403">
        <tpls c="6">
          <tpl hier="2" item="0"/>
          <tpl hier="4" item="1"/>
          <tpl fld="2" item="8"/>
          <tpl fld="4" item="26"/>
          <tpl hier="12" item="4"/>
          <tpl fld="1" item="0"/>
        </tpls>
      </n>
      <n v="551552059385.64661">
        <tpls c="6">
          <tpl hier="2" item="0"/>
          <tpl hier="4" item="1"/>
          <tpl fld="2" item="28"/>
          <tpl fld="4" item="25"/>
          <tpl hier="12" item="4"/>
          <tpl fld="1" item="0"/>
        </tpls>
      </n>
      <n v="271130150987.22583">
        <tpls c="6">
          <tpl hier="2" item="0"/>
          <tpl hier="4" item="1"/>
          <tpl fld="2" item="12"/>
          <tpl fld="4" item="25"/>
          <tpl hier="12" item="4"/>
          <tpl fld="1" item="0"/>
        </tpls>
      </n>
      <n v="543880650433.31708">
        <tpls c="6">
          <tpl hier="2" item="0"/>
          <tpl hier="4" item="1"/>
          <tpl fld="2" item="32"/>
          <tpl fld="4" item="24"/>
          <tpl hier="12" item="4"/>
          <tpl fld="1" item="0"/>
        </tpls>
      </n>
      <n v="288105835710.99591">
        <tpls c="6">
          <tpl hier="2" item="0"/>
          <tpl hier="4" item="1"/>
          <tpl fld="2" item="16"/>
          <tpl fld="4" item="24"/>
          <tpl hier="12" item="4"/>
          <tpl fld="1" item="0"/>
        </tpls>
      </n>
      <n v="140089462889.29739">
        <tpls c="6">
          <tpl hier="2" item="0"/>
          <tpl hier="4" item="1"/>
          <tpl fld="2" item="0"/>
          <tpl fld="4" item="24"/>
          <tpl hier="12" item="4"/>
          <tpl fld="1" item="0"/>
        </tpls>
      </n>
      <n v="595402177702.46716">
        <tpls c="6">
          <tpl hier="2" item="0"/>
          <tpl hier="4" item="1"/>
          <tpl fld="2" item="20"/>
          <tpl fld="4" item="23"/>
          <tpl hier="12" item="4"/>
          <tpl fld="1" item="0"/>
        </tpls>
      </n>
      <n v="171636689549.01529">
        <tpls c="6">
          <tpl hier="2" item="0"/>
          <tpl hier="4" item="1"/>
          <tpl fld="2" item="4"/>
          <tpl fld="4" item="23"/>
          <tpl hier="12" item="4"/>
          <tpl fld="1" item="0"/>
        </tpls>
      </n>
      <n v="764852278735.91931">
        <tpls c="6">
          <tpl hier="2" item="0"/>
          <tpl hier="4" item="1"/>
          <tpl fld="2" item="24"/>
          <tpl fld="4" item="22"/>
          <tpl hier="12" item="4"/>
          <tpl fld="1" item="0"/>
        </tpls>
      </n>
      <n v="196864298964.24905">
        <tpls c="6">
          <tpl hier="2" item="0"/>
          <tpl hier="4" item="1"/>
          <tpl fld="2" item="8"/>
          <tpl fld="4" item="22"/>
          <tpl hier="12" item="4"/>
          <tpl fld="1" item="0"/>
        </tpls>
      </n>
      <n v="192230924766.59189">
        <tpls c="6">
          <tpl hier="2" item="0"/>
          <tpl hier="4" item="1"/>
          <tpl fld="2" item="28"/>
          <tpl fld="4" item="21"/>
          <tpl hier="12" item="4"/>
          <tpl fld="1" item="0"/>
        </tpls>
      </n>
      <n v="52157603958.38662">
        <tpls c="6">
          <tpl hier="2" item="0"/>
          <tpl hier="4" item="1"/>
          <tpl fld="2" item="12"/>
          <tpl fld="4" item="21"/>
          <tpl hier="12" item="4"/>
          <tpl fld="1" item="0"/>
        </tpls>
      </n>
      <n v="216368180337.08615">
        <tpls c="6">
          <tpl hier="2" item="0"/>
          <tpl hier="4" item="1"/>
          <tpl fld="2" item="32"/>
          <tpl fld="4" item="20"/>
          <tpl hier="12" item="4"/>
          <tpl fld="1" item="0"/>
        </tpls>
      </n>
      <n v="122635528606.7791">
        <tpls c="6">
          <tpl hier="2" item="0"/>
          <tpl hier="4" item="1"/>
          <tpl fld="2" item="16"/>
          <tpl fld="4" item="20"/>
          <tpl hier="12" item="4"/>
          <tpl fld="1" item="0"/>
        </tpls>
      </n>
      <n v="32898590666.803307">
        <tpls c="6">
          <tpl hier="2" item="0"/>
          <tpl hier="4" item="1"/>
          <tpl fld="2" item="0"/>
          <tpl fld="4" item="20"/>
          <tpl hier="12" item="4"/>
          <tpl fld="1" item="0"/>
        </tpls>
      </n>
      <n v="171314828350.07132">
        <tpls c="6">
          <tpl hier="2" item="0"/>
          <tpl hier="4" item="1"/>
          <tpl fld="2" item="20"/>
          <tpl fld="4" item="19"/>
          <tpl hier="12" item="4"/>
          <tpl fld="1" item="0"/>
        </tpls>
      </n>
      <n v="62373854192.209747">
        <tpls c="6">
          <tpl hier="2" item="0"/>
          <tpl hier="4" item="1"/>
          <tpl fld="2" item="4"/>
          <tpl fld="4" item="19"/>
          <tpl hier="12" item="4"/>
          <tpl fld="1" item="0"/>
        </tpls>
      </n>
      <n v="102446421255.4368">
        <tpls c="6">
          <tpl hier="2" item="0"/>
          <tpl hier="4" item="1"/>
          <tpl fld="2" item="24"/>
          <tpl fld="4" item="18"/>
          <tpl hier="12" item="4"/>
          <tpl fld="1" item="0"/>
        </tpls>
      </n>
      <n v="46270940109.570175">
        <tpls c="6">
          <tpl hier="2" item="0"/>
          <tpl hier="4" item="1"/>
          <tpl fld="2" item="8"/>
          <tpl fld="4" item="18"/>
          <tpl hier="12" item="4"/>
          <tpl fld="1" item="0"/>
        </tpls>
      </n>
      <n v="936262894519.70471">
        <tpls c="6">
          <tpl hier="2" item="0"/>
          <tpl hier="4" item="1"/>
          <tpl fld="2" item="28"/>
          <tpl fld="4" item="17"/>
          <tpl hier="12" item="4"/>
          <tpl fld="1" item="0"/>
        </tpls>
      </n>
      <n v="358349532092.08972">
        <tpls c="6">
          <tpl hier="2" item="0"/>
          <tpl hier="4" item="1"/>
          <tpl fld="2" item="12"/>
          <tpl fld="4" item="17"/>
          <tpl hier="12" item="4"/>
          <tpl fld="1" item="0"/>
        </tpls>
      </n>
      <n v="9257431899.7355232">
        <tpls c="6">
          <tpl hier="2" item="0"/>
          <tpl hier="4" item="1"/>
          <tpl fld="2" item="32"/>
          <tpl fld="4" item="16"/>
          <tpl hier="12" item="4"/>
          <tpl fld="1" item="0"/>
        </tpls>
      </n>
      <n v="3806171745.9551024">
        <tpls c="6">
          <tpl hier="2" item="0"/>
          <tpl hier="4" item="1"/>
          <tpl fld="2" item="16"/>
          <tpl fld="4" item="16"/>
          <tpl hier="12" item="4"/>
          <tpl fld="1" item="0"/>
        </tpls>
      </n>
      <n v="1293070214.8716755">
        <tpls c="6">
          <tpl hier="2" item="0"/>
          <tpl hier="4" item="1"/>
          <tpl fld="2" item="0"/>
          <tpl fld="4" item="16"/>
          <tpl hier="12" item="4"/>
          <tpl fld="1" item="0"/>
        </tpls>
      </n>
      <n v="21375329739.944912">
        <tpls c="6">
          <tpl hier="2" item="0"/>
          <tpl hier="4" item="1"/>
          <tpl fld="2" item="20"/>
          <tpl fld="4" item="15"/>
          <tpl hier="12" item="4"/>
          <tpl fld="1" item="0"/>
        </tpls>
      </n>
      <n v="4640606610.0871258">
        <tpls c="6">
          <tpl hier="2" item="0"/>
          <tpl hier="4" item="1"/>
          <tpl fld="2" item="4"/>
          <tpl fld="4" item="15"/>
          <tpl hier="12" item="4"/>
          <tpl fld="1" item="0"/>
        </tpls>
      </n>
      <n v="4658360551006.4141">
        <tpls c="6">
          <tpl hier="2" item="0"/>
          <tpl hier="4" item="1"/>
          <tpl fld="2" item="24"/>
          <tpl fld="4" item="14"/>
          <tpl hier="12" item="4"/>
          <tpl fld="1" item="0"/>
        </tpls>
      </n>
      <n v="3012055949017.2856">
        <tpls c="6">
          <tpl hier="2" item="0"/>
          <tpl hier="4" item="1"/>
          <tpl fld="2" item="8"/>
          <tpl fld="4" item="14"/>
          <tpl hier="12" item="4"/>
          <tpl fld="1" item="0"/>
        </tpls>
      </n>
      <n v="2391964102493.2651">
        <tpls c="6">
          <tpl hier="2" item="0"/>
          <tpl hier="4" item="1"/>
          <tpl fld="2" item="28"/>
          <tpl fld="4" item="13"/>
          <tpl hier="12" item="4"/>
          <tpl fld="1" item="0"/>
        </tpls>
      </n>
      <n v="1316318480654.2815">
        <tpls c="6">
          <tpl hier="2" item="0"/>
          <tpl hier="4" item="1"/>
          <tpl fld="2" item="12"/>
          <tpl fld="4" item="13"/>
          <tpl hier="12" item="4"/>
          <tpl fld="1" item="0"/>
        </tpls>
      </n>
      <n v="259612007691.64978">
        <tpls c="6">
          <tpl hier="2" item="0"/>
          <tpl hier="4" item="1"/>
          <tpl fld="2" item="32"/>
          <tpl fld="4" item="12"/>
          <tpl hier="12" item="4"/>
          <tpl fld="1" item="0"/>
        </tpls>
      </n>
      <n v="109775874547.64777">
        <tpls c="6">
          <tpl hier="2" item="0"/>
          <tpl hier="4" item="1"/>
          <tpl fld="2" item="16"/>
          <tpl fld="4" item="12"/>
          <tpl hier="12" item="4"/>
          <tpl fld="1" item="0"/>
        </tpls>
      </n>
      <n v="24120582558.754482">
        <tpls c="6">
          <tpl hier="2" item="0"/>
          <tpl hier="4" item="1"/>
          <tpl fld="2" item="0"/>
          <tpl fld="4" item="12"/>
          <tpl hier="12" item="4"/>
          <tpl fld="1" item="0"/>
        </tpls>
      </n>
      <n v="99833886247.365952">
        <tpls c="6">
          <tpl hier="2" item="0"/>
          <tpl hier="4" item="1"/>
          <tpl fld="2" item="20"/>
          <tpl fld="4" item="11"/>
          <tpl hier="12" item="4"/>
          <tpl fld="1" item="0"/>
        </tpls>
      </n>
      <n v="20129215325.268974">
        <tpls c="6">
          <tpl hier="2" item="0"/>
          <tpl hier="4" item="1"/>
          <tpl fld="2" item="4"/>
          <tpl fld="4" item="11"/>
          <tpl hier="12" item="4"/>
          <tpl fld="1" item="0"/>
        </tpls>
      </n>
      <n v="13704447281.470036">
        <tpls c="6">
          <tpl hier="2" item="0"/>
          <tpl hier="4" item="1"/>
          <tpl fld="2" item="24"/>
          <tpl fld="4" item="10"/>
          <tpl hier="12" item="4"/>
          <tpl fld="1" item="0"/>
        </tpls>
      </n>
      <n v="6160787295.6103592">
        <tpls c="6">
          <tpl hier="2" item="0"/>
          <tpl hier="4" item="1"/>
          <tpl fld="2" item="8"/>
          <tpl fld="4" item="10"/>
          <tpl hier="12" item="4"/>
          <tpl fld="1" item="0"/>
        </tpls>
      </n>
      <n v="354473933859.36328">
        <tpls c="6">
          <tpl hier="2" item="0"/>
          <tpl hier="4" item="1"/>
          <tpl fld="2" item="28"/>
          <tpl fld="4" item="9"/>
          <tpl hier="12" item="4"/>
          <tpl fld="1" item="0"/>
        </tpls>
      </n>
      <n v="116219368822.87086">
        <tpls c="6">
          <tpl hier="2" item="0"/>
          <tpl hier="4" item="1"/>
          <tpl fld="2" item="12"/>
          <tpl fld="4" item="9"/>
          <tpl hier="12" item="4"/>
          <tpl fld="1" item="0"/>
        </tpls>
      </n>
      <n v="3539615384220.0425">
        <tpls c="6">
          <tpl hier="2" item="0"/>
          <tpl hier="4" item="1"/>
          <tpl fld="2" item="32"/>
          <tpl fld="4" item="8"/>
          <tpl hier="12" item="4"/>
          <tpl fld="1" item="0"/>
        </tpls>
      </n>
      <n v="2503734148851.8511">
        <tpls c="6">
          <tpl hier="2" item="0"/>
          <tpl hier="4" item="1"/>
          <tpl fld="2" item="16"/>
          <tpl fld="4" item="8"/>
          <tpl hier="12" item="4"/>
          <tpl fld="1" item="0"/>
        </tpls>
      </n>
      <n v="946737964471.20215">
        <tpls c="6">
          <tpl hier="2" item="0"/>
          <tpl hier="4" item="1"/>
          <tpl fld="2" item="0"/>
          <tpl fld="4" item="8"/>
          <tpl hier="12" item="4"/>
          <tpl fld="1" item="0"/>
        </tpls>
      </n>
      <n v="1368437355122.6423">
        <tpls c="6">
          <tpl hier="2" item="0"/>
          <tpl hier="4" item="1"/>
          <tpl fld="2" item="20"/>
          <tpl fld="4" item="7"/>
          <tpl hier="12" item="4"/>
          <tpl fld="1" item="0"/>
        </tpls>
      </n>
      <n v="532661676276.35059">
        <tpls c="6">
          <tpl hier="2" item="0"/>
          <tpl hier="4" item="1"/>
          <tpl fld="2" item="4"/>
          <tpl fld="4" item="7"/>
          <tpl hier="12" item="4"/>
          <tpl fld="1" item="0"/>
        </tpls>
      </n>
      <n v="196776616813.49451">
        <tpls c="6">
          <tpl hier="2" item="0"/>
          <tpl hier="4" item="1"/>
          <tpl fld="2" item="24"/>
          <tpl fld="4" item="6"/>
          <tpl hier="12" item="4"/>
          <tpl fld="1" item="0"/>
        </tpls>
      </n>
      <n v="109102735120.5946">
        <tpls c="6">
          <tpl hier="2" item="0"/>
          <tpl hier="4" item="1"/>
          <tpl fld="2" item="8"/>
          <tpl fld="4" item="6"/>
          <tpl hier="12" item="4"/>
          <tpl fld="1" item="0"/>
        </tpls>
      </n>
      <n v="352589423558.9248">
        <tpls c="6">
          <tpl hier="2" item="0"/>
          <tpl hier="4" item="1"/>
          <tpl fld="2" item="28"/>
          <tpl fld="4" item="5"/>
          <tpl hier="12" item="4"/>
          <tpl fld="1" item="0"/>
        </tpls>
      </n>
      <n v="152689890065.8804">
        <tpls c="6">
          <tpl hier="2" item="0"/>
          <tpl hier="4" item="1"/>
          <tpl fld="2" item="12"/>
          <tpl fld="4" item="5"/>
          <tpl hier="12" item="4"/>
          <tpl fld="1" item="0"/>
        </tpls>
      </n>
      <n v="25014853006.62886">
        <tpls c="6">
          <tpl hier="2" item="0"/>
          <tpl hier="4" item="1"/>
          <tpl fld="2" item="32"/>
          <tpl fld="4" item="4"/>
          <tpl hier="12" item="4"/>
          <tpl fld="1" item="0"/>
        </tpls>
      </n>
      <n v="9886285749.3787155">
        <tpls c="6">
          <tpl hier="2" item="0"/>
          <tpl hier="4" item="1"/>
          <tpl fld="2" item="16"/>
          <tpl fld="4" item="4"/>
          <tpl hier="12" item="4"/>
          <tpl fld="1" item="0"/>
        </tpls>
      </n>
      <n v="2386742769.2192006">
        <tpls c="6">
          <tpl hier="2" item="0"/>
          <tpl hier="4" item="1"/>
          <tpl fld="2" item="0"/>
          <tpl fld="4" item="4"/>
          <tpl hier="12" item="4"/>
          <tpl fld="1" item="0"/>
        </tpls>
      </n>
      <n v="739450949761.29712">
        <tpls c="6">
          <tpl hier="2" item="0"/>
          <tpl hier="4" item="1"/>
          <tpl fld="2" item="20"/>
          <tpl fld="4" item="3"/>
          <tpl hier="12" item="4"/>
          <tpl fld="1" item="0"/>
        </tpls>
      </n>
      <n v="353896830178.70819">
        <tpls c="6">
          <tpl hier="2" item="0"/>
          <tpl hier="4" item="1"/>
          <tpl fld="2" item="4"/>
          <tpl fld="4" item="3"/>
          <tpl hier="12" item="4"/>
          <tpl fld="1" item="0"/>
        </tpls>
      </n>
      <n v="370901392536.30341">
        <tpls c="6">
          <tpl hier="2" item="0"/>
          <tpl hier="4" item="1"/>
          <tpl fld="2" item="24"/>
          <tpl fld="4" item="2"/>
          <tpl hier="12" item="4"/>
          <tpl fld="1" item="0"/>
        </tpls>
      </n>
      <n v="163174600207.10873">
        <tpls c="6">
          <tpl hier="2" item="0"/>
          <tpl hier="4" item="1"/>
          <tpl fld="2" item="8"/>
          <tpl fld="4" item="2"/>
          <tpl hier="12" item="4"/>
          <tpl fld="1" item="0"/>
        </tpls>
      </n>
      <n v="427627368824.01868">
        <tpls c="6">
          <tpl hier="2" item="0"/>
          <tpl hier="4" item="1"/>
          <tpl fld="2" item="28"/>
          <tpl fld="4" item="1"/>
          <tpl hier="12" item="4"/>
          <tpl fld="1" item="0"/>
        </tpls>
      </n>
      <n v="194601853683.70178">
        <tpls c="6">
          <tpl hier="2" item="0"/>
          <tpl hier="4" item="1"/>
          <tpl fld="2" item="12"/>
          <tpl fld="4" item="1"/>
          <tpl hier="12" item="4"/>
          <tpl fld="1" item="0"/>
        </tpls>
      </n>
      <n v="1574800557004.9973">
        <tpls c="6">
          <tpl hier="2" item="0"/>
          <tpl hier="4" item="1"/>
          <tpl fld="2" item="32"/>
          <tpl fld="4" item="0"/>
          <tpl hier="12" item="4"/>
          <tpl fld="1" item="0"/>
        </tpls>
      </n>
      <n v="435614670207.68188">
        <tpls c="6">
          <tpl hier="2" item="0"/>
          <tpl hier="4" item="1"/>
          <tpl fld="2" item="16"/>
          <tpl fld="4" item="0"/>
          <tpl hier="12" item="4"/>
          <tpl fld="1" item="0"/>
        </tpls>
      </n>
      <n v="173151132100.10703">
        <tpls c="6">
          <tpl hier="2" item="0"/>
          <tpl hier="4" item="1"/>
          <tpl fld="2" item="0"/>
          <tpl fld="4" item="0"/>
          <tpl hier="12" item="4"/>
          <tpl fld="1" item="0"/>
        </tpls>
      </n>
      <n v="314377970016.65961">
        <tpls c="6">
          <tpl hier="2" item="0"/>
          <tpl hier="4" item="1"/>
          <tpl fld="2" item="4"/>
          <tpl fld="3" item="0"/>
          <tpl hier="12" item="4"/>
          <tpl fld="1" item="0"/>
        </tpls>
      </n>
      <n v="89245703579.533783">
        <tpls c="6">
          <tpl hier="2" item="0"/>
          <tpl hier="4" item="1"/>
          <tpl fld="2" item="11"/>
          <tpl fld="4" item="20"/>
          <tpl hier="12" item="4"/>
          <tpl fld="1" item="0"/>
        </tpls>
      </n>
      <n v="8930633625.8290958">
        <tpls c="6">
          <tpl hier="2" item="0"/>
          <tpl hier="4" item="1"/>
          <tpl fld="2" item="19"/>
          <tpl fld="4" item="10"/>
          <tpl hier="12" item="4"/>
          <tpl fld="1" item="0"/>
        </tpls>
      </n>
      <n v="1788740882811.8306">
        <tpls c="6">
          <tpl hier="2" item="0"/>
          <tpl hier="4" item="1"/>
          <tpl fld="2" item="31"/>
          <tpl fld="4" item="3"/>
          <tpl hier="12" item="4"/>
          <tpl fld="1" item="0"/>
        </tpls>
      </n>
      <n v="2403581016606.9111">
        <tpls c="6">
          <tpl hier="2" item="0"/>
          <tpl hier="4" item="1"/>
          <tpl fld="2" item="30"/>
          <tpl fld="4" item="27"/>
          <tpl hier="12" item="4"/>
          <tpl fld="1" item="0"/>
        </tpls>
      </n>
      <n v="36882368886655.938">
        <tpls c="6">
          <tpl hier="2" item="0"/>
          <tpl hier="4" item="1"/>
          <tpl fld="2" item="23"/>
          <tpl hier="6" item="2"/>
          <tpl hier="12" item="4"/>
          <tpl fld="1" item="0"/>
        </tpls>
      </n>
      <n v="16215631842954.301">
        <tpls c="6">
          <tpl hier="2" item="0"/>
          <tpl hier="4" item="1"/>
          <tpl fld="2" item="7"/>
          <tpl hier="6" item="2"/>
          <tpl hier="12" item="4"/>
          <tpl fld="1" item="0"/>
        </tpls>
      </n>
      <n v="9483136685002.166">
        <tpls c="6">
          <tpl hier="2" item="0"/>
          <tpl hier="4" item="1"/>
          <tpl fld="2" item="27"/>
          <tpl fld="3" item="2"/>
          <tpl hier="12" item="4"/>
          <tpl fld="1" item="0"/>
        </tpls>
      </n>
      <n v="2948502291179.2661">
        <tpls c="6">
          <tpl hier="2" item="0"/>
          <tpl hier="4" item="1"/>
          <tpl fld="2" item="11"/>
          <tpl fld="3" item="2"/>
          <tpl hier="12" item="4"/>
          <tpl fld="1" item="0"/>
        </tpls>
      </n>
      <n v="15517930000000">
        <tpls c="6">
          <tpl hier="2" item="0"/>
          <tpl hier="4" item="1"/>
          <tpl fld="2" item="31"/>
          <tpl fld="4" item="28"/>
          <tpl hier="12" item="4"/>
          <tpl fld="1" item="0"/>
        </tpls>
      </n>
      <n v="7664060000000">
        <tpls c="6">
          <tpl hier="2" item="0"/>
          <tpl hier="4" item="1"/>
          <tpl fld="2" item="15"/>
          <tpl fld="4" item="28"/>
          <tpl hier="12" item="4"/>
          <tpl fld="1" item="0"/>
        </tpls>
      </n>
      <n v="54382583837998.875">
        <tpls c="6">
          <tpl hier="2" item="0"/>
          <tpl hier="4" item="1"/>
          <tpl hier="5" item="3"/>
          <tpl fld="4" item="27"/>
          <tpl hier="12" item="4"/>
          <tpl fld="1" item="0"/>
        </tpls>
      </n>
      <n v="1565517799859.3496">
        <tpls c="6">
          <tpl hier="2" item="0"/>
          <tpl hier="4" item="1"/>
          <tpl fld="2" item="19"/>
          <tpl fld="4" item="27"/>
          <tpl hier="12" item="4"/>
          <tpl fld="1" item="0"/>
        </tpls>
      </n>
      <n v="489599766011.44678">
        <tpls c="6">
          <tpl hier="2" item="0"/>
          <tpl hier="4" item="1"/>
          <tpl fld="2" item="3"/>
          <tpl fld="4" item="27"/>
          <tpl hier="12" item="4"/>
          <tpl fld="1" item="0"/>
        </tpls>
      </n>
      <n v="318589947704.82275">
        <tpls c="6">
          <tpl hier="2" item="0"/>
          <tpl hier="4" item="1"/>
          <tpl fld="2" item="23"/>
          <tpl fld="4" item="26"/>
          <tpl hier="12" item="4"/>
          <tpl fld="1" item="0"/>
        </tpls>
      </n>
      <n v="104956448070.28554">
        <tpls c="6">
          <tpl hier="2" item="0"/>
          <tpl hier="4" item="1"/>
          <tpl fld="2" item="7"/>
          <tpl fld="4" item="26"/>
          <tpl hier="12" item="4"/>
          <tpl fld="1" item="0"/>
        </tpls>
      </n>
      <n v="477421407707.55054">
        <tpls c="6">
          <tpl hier="2" item="0"/>
          <tpl hier="4" item="1"/>
          <tpl fld="2" item="27"/>
          <tpl fld="4" item="25"/>
          <tpl hier="12" item="4"/>
          <tpl fld="1" item="0"/>
        </tpls>
      </n>
      <n v="260461402949.54288">
        <tpls c="6">
          <tpl hier="2" item="0"/>
          <tpl hier="4" item="1"/>
          <tpl fld="2" item="11"/>
          <tpl fld="4" item="25"/>
          <tpl hier="12" item="4"/>
          <tpl fld="1" item="0"/>
        </tpls>
      </n>
      <n v="563109666181.79016">
        <tpls c="6">
          <tpl hier="2" item="0"/>
          <tpl hier="4" item="1"/>
          <tpl fld="2" item="31"/>
          <tpl fld="4" item="24"/>
          <tpl hier="12" item="4"/>
          <tpl fld="1" item="0"/>
        </tpls>
      </n>
      <n v="264053154989.2775">
        <tpls c="6">
          <tpl hier="2" item="0"/>
          <tpl hier="4" item="1"/>
          <tpl fld="2" item="15"/>
          <tpl fld="4" item="24"/>
          <tpl hier="12" item="4"/>
          <tpl fld="1" item="0"/>
        </tpls>
      </n>
      <n v="26343311812603.703">
        <tpls c="6">
          <tpl hier="2" item="0"/>
          <tpl hier="4" item="1"/>
          <tpl hier="5" item="3"/>
          <tpl fld="4" item="23"/>
          <tpl hier="12" item="4"/>
          <tpl fld="1" item="0"/>
        </tpls>
      </n>
      <n v="633175715924.21655">
        <tpls c="6">
          <tpl hier="2" item="0"/>
          <tpl hier="4" item="1"/>
          <tpl fld="2" item="19"/>
          <tpl fld="4" item="23"/>
          <tpl hier="12" item="4"/>
          <tpl fld="1" item="0"/>
        </tpls>
      </n>
      <n v="170480705129.035">
        <tpls c="6">
          <tpl hier="2" item="0"/>
          <tpl hier="4" item="1"/>
          <tpl fld="2" item="3"/>
          <tpl fld="4" item="23"/>
          <tpl hier="12" item="4"/>
          <tpl fld="1" item="0"/>
        </tpls>
      </n>
      <n v="680589405530.74976">
        <tpls c="6">
          <tpl hier="2" item="0"/>
          <tpl hier="4" item="1"/>
          <tpl fld="2" item="23"/>
          <tpl fld="4" item="22"/>
          <tpl hier="12" item="4"/>
          <tpl fld="1" item="0"/>
        </tpls>
      </n>
      <n v="145884684235.64023">
        <tpls c="6">
          <tpl hier="2" item="0"/>
          <tpl hier="4" item="1"/>
          <tpl fld="2" item="7"/>
          <tpl fld="4" item="22"/>
          <tpl hier="12" item="4"/>
          <tpl fld="1" item="0"/>
        </tpls>
      </n>
      <n v="179981218254.87955">
        <tpls c="6">
          <tpl hier="2" item="0"/>
          <tpl hier="4" item="1"/>
          <tpl fld="2" item="27"/>
          <tpl fld="4" item="21"/>
          <tpl hier="12" item="4"/>
          <tpl fld="1" item="0"/>
        </tpls>
      </n>
      <n v="45473068796.851036">
        <tpls c="6">
          <tpl hier="2" item="0"/>
          <tpl hier="4" item="1"/>
          <tpl fld="2" item="11"/>
          <tpl fld="4" item="21"/>
          <tpl hier="12" item="4"/>
          <tpl fld="1" item="0"/>
        </tpls>
      </n>
      <n v="244895105721.40817">
        <tpls c="6">
          <tpl hier="2" item="0"/>
          <tpl hier="4" item="1"/>
          <tpl fld="2" item="31"/>
          <tpl fld="4" item="20"/>
          <tpl hier="12" item="4"/>
          <tpl fld="1" item="0"/>
        </tpls>
      </n>
      <n v="118131878629.37422">
        <tpls c="6">
          <tpl hier="2" item="0"/>
          <tpl hier="4" item="1"/>
          <tpl fld="2" item="15"/>
          <tpl fld="4" item="20"/>
          <tpl hier="12" item="4"/>
          <tpl fld="1" item="0"/>
        </tpls>
      </n>
      <n v="7571764114929.877">
        <tpls c="6">
          <tpl hier="2" item="0"/>
          <tpl hier="4" item="1"/>
          <tpl hier="5" item="3"/>
          <tpl fld="4" item="19"/>
          <tpl hier="12" item="4"/>
          <tpl fld="1" item="0"/>
        </tpls>
      </n>
      <n v="162286592562.13068">
        <tpls c="6">
          <tpl hier="2" item="0"/>
          <tpl hier="4" item="1"/>
          <tpl fld="2" item="19"/>
          <tpl fld="4" item="19"/>
          <tpl hier="12" item="4"/>
          <tpl fld="1" item="0"/>
        </tpls>
      </n>
      <n v="62048571380.054131">
        <tpls c="6">
          <tpl hier="2" item="0"/>
          <tpl hier="4" item="1"/>
          <tpl fld="2" item="3"/>
          <tpl fld="4" item="19"/>
          <tpl hier="12" item="4"/>
          <tpl fld="1" item="0"/>
        </tpls>
      </n>
      <n v="83910385877.32843">
        <tpls c="6">
          <tpl hier="2" item="0"/>
          <tpl hier="4" item="1"/>
          <tpl fld="2" item="23"/>
          <tpl fld="4" item="18"/>
          <tpl hier="12" item="4"/>
          <tpl fld="1" item="0"/>
        </tpls>
      </n>
      <n v="38456572346.061584">
        <tpls c="6">
          <tpl hier="2" item="0"/>
          <tpl hier="4" item="1"/>
          <tpl fld="2" item="7"/>
          <tpl fld="4" item="18"/>
          <tpl hier="12" item="4"/>
          <tpl fld="1" item="0"/>
        </tpls>
      </n>
      <n v="839376571829.39551">
        <tpls c="6">
          <tpl hier="2" item="0"/>
          <tpl hier="4" item="1"/>
          <tpl fld="2" item="27"/>
          <tpl fld="4" item="17"/>
          <tpl hier="12" item="4"/>
          <tpl fld="1" item="0"/>
        </tpls>
      </n>
      <n v="323313725146.7655">
        <tpls c="6">
          <tpl hier="2" item="0"/>
          <tpl hier="4" item="1"/>
          <tpl fld="2" item="11"/>
          <tpl fld="4" item="17"/>
          <tpl hier="12" item="4"/>
          <tpl fld="1" item="0"/>
        </tpls>
      </n>
      <n v="9581913804.0627346">
        <tpls c="6">
          <tpl hier="2" item="0"/>
          <tpl hier="4" item="1"/>
          <tpl fld="2" item="31"/>
          <tpl fld="4" item="16"/>
          <tpl hier="12" item="4"/>
          <tpl fld="1" item="0"/>
        </tpls>
      </n>
      <n v="3697323775.7142868">
        <tpls c="6">
          <tpl hier="2" item="0"/>
          <tpl hier="4" item="1"/>
          <tpl fld="2" item="15"/>
          <tpl fld="4" item="16"/>
          <tpl hier="12" item="4"/>
          <tpl fld="1" item="0"/>
        </tpls>
      </n>
      <n v="909308176738.20447">
        <tpls c="6">
          <tpl hier="2" item="0"/>
          <tpl hier="4" item="1"/>
          <tpl hier="5" item="3"/>
          <tpl fld="4" item="15"/>
          <tpl hier="12" item="4"/>
          <tpl fld="1" item="0"/>
        </tpls>
      </n>
      <n v="22342694961.944855">
        <tpls c="6">
          <tpl hier="2" item="0"/>
          <tpl hier="4" item="1"/>
          <tpl fld="2" item="19"/>
          <tpl fld="4" item="15"/>
          <tpl hier="12" item="4"/>
          <tpl fld="1" item="0"/>
        </tpls>
      </n>
      <n v="4730303934.2388754">
        <tpls c="6">
          <tpl hier="2" item="0"/>
          <tpl hier="4" item="1"/>
          <tpl fld="2" item="3"/>
          <tpl fld="4" item="15"/>
          <tpl hier="12" item="4"/>
          <tpl fld="1" item="0"/>
        </tpls>
      </n>
      <n v="4304193112152.4365">
        <tpls c="6">
          <tpl hier="2" item="0"/>
          <tpl hier="4" item="1"/>
          <tpl fld="2" item="23"/>
          <tpl fld="4" item="14"/>
          <tpl hier="12" item="4"/>
          <tpl fld="1" item="0"/>
        </tpls>
      </n>
      <n v="2488981073373.0879">
        <tpls c="6">
          <tpl hier="2" item="0"/>
          <tpl hier="4" item="1"/>
          <tpl fld="2" item="7"/>
          <tpl fld="4" item="14"/>
          <tpl hier="12" item="4"/>
          <tpl fld="1" item="0"/>
        </tpls>
      </n>
      <n v="2203972421344.3735">
        <tpls c="6">
          <tpl hier="2" item="0"/>
          <tpl hier="4" item="1"/>
          <tpl fld="2" item="27"/>
          <tpl fld="4" item="13"/>
          <tpl hier="12" item="4"/>
          <tpl fld="1" item="0"/>
        </tpls>
      </n>
      <n v="1242516769953.0586">
        <tpls c="6">
          <tpl hier="2" item="0"/>
          <tpl hier="4" item="1"/>
          <tpl fld="2" item="11"/>
          <tpl fld="4" item="13"/>
          <tpl hier="12" item="4"/>
          <tpl fld="1" item="0"/>
        </tpls>
      </n>
      <n v="261762189532.94952">
        <tpls c="6">
          <tpl hier="2" item="0"/>
          <tpl hier="4" item="1"/>
          <tpl fld="2" item="31"/>
          <tpl fld="4" item="12"/>
          <tpl hier="12" item="4"/>
          <tpl fld="1" item="0"/>
        </tpls>
      </n>
      <n v="99969166055.882263">
        <tpls c="6">
          <tpl hier="2" item="0"/>
          <tpl hier="4" item="1"/>
          <tpl fld="2" item="15"/>
          <tpl fld="4" item="12"/>
          <tpl hier="12" item="4"/>
          <tpl fld="1" item="0"/>
        </tpls>
      </n>
      <n v="4041512482784.8159">
        <tpls c="6">
          <tpl hier="2" item="0"/>
          <tpl hier="4" item="1"/>
          <tpl hier="5" item="3"/>
          <tpl fld="4" item="11"/>
          <tpl hier="12" item="4"/>
          <tpl fld="1" item="0"/>
        </tpls>
      </n>
      <n v="98686017308.169449">
        <tpls c="6">
          <tpl hier="2" item="0"/>
          <tpl hier="4" item="1"/>
          <tpl fld="2" item="19"/>
          <tpl fld="4" item="11"/>
          <tpl hier="12" item="4"/>
          <tpl fld="1" item="0"/>
        </tpls>
      </n>
      <n v="20788764000.515987">
        <tpls c="6">
          <tpl hier="2" item="0"/>
          <tpl hier="4" item="1"/>
          <tpl fld="2" item="3"/>
          <tpl fld="4" item="11"/>
          <tpl hier="12" item="4"/>
          <tpl fld="1" item="0"/>
        </tpls>
      </n>
      <n v="11297021106.380722">
        <tpls c="6">
          <tpl hier="2" item="0"/>
          <tpl hier="4" item="1"/>
          <tpl fld="2" item="23"/>
          <tpl fld="4" item="10"/>
          <tpl hier="12" item="4"/>
          <tpl fld="1" item="0"/>
        </tpls>
      </n>
      <n v="5558832968.78162">
        <tpls c="6">
          <tpl hier="2" item="0"/>
          <tpl hier="4" item="1"/>
          <tpl fld="2" item="7"/>
          <tpl fld="4" item="10"/>
          <tpl hier="12" item="4"/>
          <tpl fld="1" item="0"/>
        </tpls>
      </n>
      <n v="318481586285.94891">
        <tpls c="6">
          <tpl hier="2" item="0"/>
          <tpl hier="4" item="1"/>
          <tpl fld="2" item="27"/>
          <tpl fld="4" item="9"/>
          <tpl hier="12" item="4"/>
          <tpl fld="1" item="0"/>
        </tpls>
      </n>
      <n v="105143670724.22081">
        <tpls c="6">
          <tpl hier="2" item="0"/>
          <tpl hier="4" item="1"/>
          <tpl fld="2" item="11"/>
          <tpl fld="4" item="9"/>
          <tpl hier="12" item="4"/>
          <tpl fld="1" item="0"/>
        </tpls>
      </n>
      <n v="3757698299970.7031">
        <tpls c="6">
          <tpl hier="2" item="0"/>
          <tpl hier="4" item="1"/>
          <tpl fld="2" item="31"/>
          <tpl fld="4" item="8"/>
          <tpl hier="12" item="4"/>
          <tpl fld="1" item="0"/>
        </tpls>
      </n>
      <n v="2591446694687.4482">
        <tpls c="6">
          <tpl hier="2" item="0"/>
          <tpl hier="4" item="1"/>
          <tpl fld="2" item="15"/>
          <tpl fld="4" item="8"/>
          <tpl hier="12" item="4"/>
          <tpl fld="1" item="0"/>
        </tpls>
      </n>
      <n v="56573668003868.32">
        <tpls c="6">
          <tpl hier="2" item="0"/>
          <tpl hier="4" item="1"/>
          <tpl hier="5" item="3"/>
          <tpl fld="4" item="7"/>
          <tpl hier="12" item="4"/>
          <tpl fld="1" item="0"/>
        </tpls>
      </n>
      <n v="1500232339294.4641">
        <tpls c="6">
          <tpl hier="2" item="0"/>
          <tpl hier="4" item="1"/>
          <tpl fld="2" item="19"/>
          <tpl fld="4" item="7"/>
          <tpl hier="12" item="4"/>
          <tpl fld="1" item="0"/>
        </tpls>
      </n>
      <n v="561871842558.43909">
        <tpls c="6">
          <tpl hier="2" item="0"/>
          <tpl hier="4" item="1"/>
          <tpl fld="2" item="3"/>
          <tpl fld="4" item="7"/>
          <tpl hier="12" item="4"/>
          <tpl fld="1" item="0"/>
        </tpls>
      </n>
      <n v="171064508719.79352">
        <tpls c="6">
          <tpl hier="2" item="0"/>
          <tpl hier="4" item="1"/>
          <tpl fld="2" item="23"/>
          <tpl fld="4" item="6"/>
          <tpl hier="12" item="4"/>
          <tpl fld="1" item="0"/>
        </tpls>
      </n>
      <n v="91644454092.257431">
        <tpls c="6">
          <tpl hier="2" item="0"/>
          <tpl hier="4" item="1"/>
          <tpl fld="2" item="7"/>
          <tpl fld="4" item="6"/>
          <tpl hier="12" item="4"/>
          <tpl fld="1" item="0"/>
        </tpls>
      </n>
      <n v="319500292888.98462">
        <tpls c="6">
          <tpl hier="2" item="0"/>
          <tpl hier="4" item="1"/>
          <tpl fld="2" item="27"/>
          <tpl fld="4" item="5"/>
          <tpl hier="12" item="4"/>
          <tpl fld="1" item="0"/>
        </tpls>
      </n>
      <n v="138965816442.51477">
        <tpls c="6">
          <tpl hier="2" item="0"/>
          <tpl hier="4" item="1"/>
          <tpl fld="2" item="11"/>
          <tpl fld="4" item="5"/>
          <tpl hier="12" item="4"/>
          <tpl fld="1" item="0"/>
        </tpls>
      </n>
      <n v="27173083118.528709">
        <tpls c="6">
          <tpl hier="2" item="0"/>
          <tpl hier="4" item="1"/>
          <tpl fld="2" item="31"/>
          <tpl fld="4" item="4"/>
          <tpl hier="12" item="4"/>
          <tpl fld="1" item="0"/>
        </tpls>
      </n>
      <n v="9813769173.1271076">
        <tpls c="6">
          <tpl hier="2" item="0"/>
          <tpl hier="4" item="1"/>
          <tpl fld="2" item="15"/>
          <tpl fld="4" item="4"/>
          <tpl hier="12" item="4"/>
          <tpl fld="1" item="0"/>
        </tpls>
      </n>
      <n v="29788101361058.211">
        <tpls c="6">
          <tpl hier="2" item="0"/>
          <tpl hier="4" item="1"/>
          <tpl hier="5" item="3"/>
          <tpl fld="4" item="3"/>
          <tpl hier="12" item="4"/>
          <tpl fld="1" item="0"/>
        </tpls>
      </n>
      <n v="674310846298.83032">
        <tpls c="6">
          <tpl hier="2" item="0"/>
          <tpl hier="4" item="1"/>
          <tpl fld="2" item="19"/>
          <tpl fld="4" item="3"/>
          <tpl hier="12" item="4"/>
          <tpl fld="1" item="0"/>
        </tpls>
      </n>
      <n v="340314278441.69916">
        <tpls c="6">
          <tpl hier="2" item="0"/>
          <tpl hier="4" item="1"/>
          <tpl fld="2" item="3"/>
          <tpl fld="4" item="3"/>
          <tpl hier="12" item="4"/>
          <tpl fld="1" item="0"/>
        </tpls>
      </n>
      <n v="318991083605.72595">
        <tpls c="6">
          <tpl hier="2" item="0"/>
          <tpl hier="4" item="1"/>
          <tpl fld="2" item="23"/>
          <tpl fld="4" item="2"/>
          <tpl hier="12" item="4"/>
          <tpl fld="1" item="0"/>
        </tpls>
      </n>
      <n v="150196207351.2048">
        <tpls c="6">
          <tpl hier="2" item="0"/>
          <tpl hier="4" item="1"/>
          <tpl fld="2" item="7"/>
          <tpl fld="4" item="2"/>
          <tpl hier="12" item="4"/>
          <tpl fld="1" item="0"/>
        </tpls>
      </n>
      <n v="386439116524.95251">
        <tpls c="6">
          <tpl hier="2" item="0"/>
          <tpl hier="4" item="1"/>
          <tpl fld="2" item="27"/>
          <tpl fld="4" item="1"/>
          <tpl hier="12" item="4"/>
          <tpl fld="1" item="0"/>
        </tpls>
      </n>
      <n v="173371022713.42511">
        <tpls c="6">
          <tpl hier="2" item="0"/>
          <tpl hier="4" item="1"/>
          <tpl fld="2" item="11"/>
          <tpl fld="4" item="1"/>
          <tpl hier="12" item="4"/>
          <tpl fld="1" item="0"/>
        </tpls>
      </n>
      <n v="1534898900752.499">
        <tpls c="6">
          <tpl hier="2" item="0"/>
          <tpl hier="4" item="1"/>
          <tpl fld="2" item="31"/>
          <tpl fld="4" item="0"/>
          <tpl hier="12" item="4"/>
          <tpl fld="1" item="0"/>
        </tpls>
      </n>
      <n v="392175874191.31854">
        <tpls c="6">
          <tpl hier="2" item="0"/>
          <tpl hier="4" item="1"/>
          <tpl fld="2" item="15"/>
          <tpl fld="4" item="0"/>
          <tpl hier="12" item="4"/>
          <tpl fld="1" item="0"/>
        </tpls>
      </n>
      <n v="78200357290465.047">
        <tpls c="6">
          <tpl hier="2" item="0"/>
          <tpl hier="4" item="1"/>
          <tpl hier="5" item="3"/>
          <tpl fld="3" item="0"/>
          <tpl hier="12" item="4"/>
          <tpl fld="1" item="0"/>
        </tpls>
      </n>
      <n v="1092589617370.8212">
        <tpls c="6">
          <tpl hier="2" item="0"/>
          <tpl hier="4" item="1"/>
          <tpl fld="2" item="19"/>
          <tpl fld="3" item="0"/>
          <tpl hier="12" item="4"/>
          <tpl fld="1" item="0"/>
        </tpls>
      </n>
      <n v="305384235767.52246">
        <tpls c="6">
          <tpl hier="2" item="0"/>
          <tpl hier="4" item="1"/>
          <tpl fld="2" item="3"/>
          <tpl fld="3" item="0"/>
          <tpl hier="12" item="4"/>
          <tpl fld="1" item="0"/>
        </tpls>
      </n>
      <n v="487818493601.64642">
        <tpls c="6">
          <tpl hier="2" item="0"/>
          <tpl hier="4" item="1"/>
          <tpl fld="2" item="27"/>
          <tpl fld="4" item="24"/>
          <tpl hier="12" item="4"/>
          <tpl fld="1" item="0"/>
        </tpls>
      </n>
      <n v="1216782316422.5994">
        <tpls c="6">
          <tpl hier="2" item="0"/>
          <tpl hier="4" item="1"/>
          <tpl fld="2" item="3"/>
          <tpl fld="4" item="14"/>
          <tpl hier="12" item="4"/>
          <tpl fld="1" item="0"/>
        </tpls>
      </n>
      <n v="3439776907152.9995">
        <tpls c="6">
          <tpl hier="2" item="0"/>
          <tpl hier="4" item="1"/>
          <tpl fld="2" item="27"/>
          <tpl fld="4" item="8"/>
          <tpl hier="12" item="4"/>
          <tpl fld="1" item="0"/>
        </tpls>
      </n>
      <n v="23972438439.579376">
        <tpls c="6">
          <tpl hier="2" item="0"/>
          <tpl hier="4" item="1"/>
          <tpl fld="2" item="27"/>
          <tpl fld="4" item="4"/>
          <tpl hier="12" item="4"/>
          <tpl fld="1" item="0"/>
        </tpls>
      </n>
      <n v="123873860807.97847">
        <tpls c="6">
          <tpl hier="2" item="0"/>
          <tpl hier="4" item="1"/>
          <tpl fld="2" item="7"/>
          <tpl fld="4" item="1"/>
          <tpl hier="12" item="4"/>
          <tpl fld="1" item="0"/>
        </tpls>
      </n>
      <n v="5979600000000">
        <tpls c="6">
          <tpl hier="2" item="0"/>
          <tpl hier="4" item="1"/>
          <tpl fld="2" item="10"/>
          <tpl fld="4" item="28"/>
          <tpl hier="12" item="4"/>
          <tpl fld="1" item="0"/>
        </tpls>
      </n>
      <n v="1431587616075.043">
        <tpls c="6">
          <tpl hier="2" item="0"/>
          <tpl hier="4" item="1"/>
          <tpl fld="2" item="30"/>
          <tpl fld="4" item="23"/>
          <tpl hier="12" item="4"/>
          <tpl fld="1" item="0"/>
        </tpls>
      </n>
      <n v="465390060549.52435">
        <tpls c="6">
          <tpl hier="2" item="0"/>
          <tpl hier="4" item="1"/>
          <tpl fld="2" item="22"/>
          <tpl fld="4" item="17"/>
          <tpl hier="12" item="4"/>
          <tpl fld="1" item="0"/>
        </tpls>
      </n>
      <n v="1267100885538.0872">
        <tpls c="6">
          <tpl hier="2" item="0"/>
          <tpl hier="4" item="1"/>
          <tpl fld="2" item="22"/>
          <tpl fld="4" item="13"/>
          <tpl hier="12" item="4"/>
          <tpl fld="1" item="0"/>
        </tpls>
      </n>
      <n v="3002292581098.8755">
        <tpls c="6">
          <tpl hier="2" item="0"/>
          <tpl hier="4" item="1"/>
          <tpl fld="2" item="26"/>
          <tpl fld="4" item="8"/>
          <tpl hier="12" item="4"/>
          <tpl fld="1" item="0"/>
        </tpls>
      </n>
      <n v="6183315494.7473097">
        <tpls c="6">
          <tpl hier="2" item="0"/>
          <tpl hier="4" item="1"/>
          <tpl fld="2" item="10"/>
          <tpl fld="4" item="4"/>
          <tpl hier="12" item="4"/>
          <tpl fld="1" item="0"/>
        </tpls>
      </n>
      <n v="323873252448.54504">
        <tpls c="6">
          <tpl hier="2" item="0"/>
          <tpl hier="4" item="1"/>
          <tpl fld="2" item="10"/>
          <tpl fld="4" item="0"/>
          <tpl hier="12" item="4"/>
          <tpl fld="1" item="0"/>
        </tpls>
      </n>
      <n v="2007927481151.895">
        <tpls c="6">
          <tpl hier="2" item="0"/>
          <tpl hier="4" item="1"/>
          <tpl fld="2" item="5"/>
          <tpl fld="3" item="2"/>
          <tpl hier="12" item="4"/>
          <tpl fld="1" item="0"/>
        </tpls>
      </n>
      <n v="523683366570.54718">
        <tpls c="6">
          <tpl hier="2" item="0"/>
          <tpl hier="4" item="1"/>
          <tpl fld="2" item="13"/>
          <tpl fld="4" item="23"/>
          <tpl hier="12" item="4"/>
          <tpl fld="1" item="0"/>
        </tpls>
      </n>
      <n v="426569784610.42853">
        <tpls c="6">
          <tpl hier="2" item="0"/>
          <tpl hier="4" item="1"/>
          <tpl fld="2" item="21"/>
          <tpl fld="4" item="17"/>
          <tpl hier="12" item="4"/>
          <tpl fld="1" item="0"/>
        </tpls>
      </n>
      <n v="1393746730039.1477">
        <tpls c="6">
          <tpl hier="2" item="0"/>
          <tpl hier="4" item="1"/>
          <tpl fld="2" item="9"/>
          <tpl fld="4" item="8"/>
          <tpl hier="12" item="4"/>
          <tpl fld="1" item="0"/>
        </tpls>
      </n>
      <n v="762114049977.19312">
        <tpls c="6">
          <tpl hier="2" item="0"/>
          <tpl hier="4" item="1"/>
          <tpl fld="2" item="25"/>
          <tpl fld="4" item="0"/>
          <tpl hier="12" item="4"/>
          <tpl fld="1" item="0"/>
        </tpls>
      </n>
      <n v="32877363995559.867">
        <tpls c="6">
          <tpl hier="2" item="0"/>
          <tpl hier="4" item="1"/>
          <tpl fld="2" item="22"/>
          <tpl hier="6" item="2"/>
          <tpl hier="12" item="4"/>
          <tpl fld="1" item="0"/>
        </tpls>
      </n>
      <n v="14139327319225.467">
        <tpls c="6">
          <tpl hier="2" item="0"/>
          <tpl hier="4" item="1"/>
          <tpl fld="2" item="6"/>
          <tpl hier="6" item="2"/>
          <tpl hier="12" item="4"/>
          <tpl fld="1" item="0"/>
        </tpls>
      </n>
      <n v="7941575981641.9453">
        <tpls c="6">
          <tpl hier="2" item="0"/>
          <tpl hier="4" item="1"/>
          <tpl fld="2" item="26"/>
          <tpl fld="3" item="2"/>
          <tpl hier="12" item="4"/>
          <tpl fld="1" item="0"/>
        </tpls>
      </n>
      <n v="2812417670275.6113">
        <tpls c="6">
          <tpl hier="2" item="0"/>
          <tpl hier="4" item="1"/>
          <tpl fld="2" item="10"/>
          <tpl fld="3" item="2"/>
          <tpl hier="12" item="4"/>
          <tpl fld="1" item="0"/>
        </tpls>
      </n>
      <n v="14964380000000">
        <tpls c="6">
          <tpl hier="2" item="0"/>
          <tpl hier="4" item="1"/>
          <tpl fld="2" item="30"/>
          <tpl fld="4" item="28"/>
          <tpl hier="12" item="4"/>
          <tpl fld="1" item="0"/>
        </tpls>
      </n>
      <n v="7308700000000">
        <tpls c="6">
          <tpl hier="2" item="0"/>
          <tpl hier="4" item="1"/>
          <tpl fld="2" item="14"/>
          <tpl fld="4" item="28"/>
          <tpl hier="12" item="4"/>
          <tpl fld="1" item="0"/>
        </tpls>
      </n>
      <n v="2988893268212.0503">
        <tpls c="6">
          <tpl hier="2" item="0"/>
          <tpl hier="4" item="1"/>
          <tpl fld="2" item="34"/>
          <tpl fld="4" item="27"/>
          <tpl hier="12" item="4"/>
          <tpl fld="1" item="0"/>
        </tpls>
      </n>
      <n v="1537043294383.3811">
        <tpls c="6">
          <tpl hier="2" item="0"/>
          <tpl hier="4" item="1"/>
          <tpl fld="2" item="18"/>
          <tpl fld="4" item="27"/>
          <tpl hier="12" item="4"/>
          <tpl fld="1" item="0"/>
        </tpls>
      </n>
      <n v="515006782376.62708">
        <tpls c="6">
          <tpl hier="2" item="0"/>
          <tpl hier="4" item="1"/>
          <tpl fld="2" item="2"/>
          <tpl fld="4" item="27"/>
          <tpl hier="12" item="4"/>
          <tpl fld="1" item="0"/>
        </tpls>
      </n>
      <n v="308874580682.47546">
        <tpls c="6">
          <tpl hier="2" item="0"/>
          <tpl hier="4" item="1"/>
          <tpl fld="2" item="22"/>
          <tpl fld="4" item="26"/>
          <tpl hier="12" item="4"/>
          <tpl fld="1" item="0"/>
        </tpls>
      </n>
      <n v="78386023778.071335">
        <tpls c="6">
          <tpl hier="2" item="0"/>
          <tpl hier="4" item="1"/>
          <tpl fld="2" item="6"/>
          <tpl fld="4" item="26"/>
          <tpl hier="12" item="4"/>
          <tpl fld="1" item="0"/>
        </tpls>
      </n>
      <n v="429180767644.56934">
        <tpls c="6">
          <tpl hier="2" item="0"/>
          <tpl hier="4" item="1"/>
          <tpl fld="2" item="26"/>
          <tpl fld="4" item="25"/>
          <tpl hier="12" item="4"/>
          <tpl fld="1" item="0"/>
        </tpls>
      </n>
      <n v="257428019542.4812">
        <tpls c="6">
          <tpl hier="2" item="0"/>
          <tpl hier="4" item="1"/>
          <tpl fld="2" item="10"/>
          <tpl fld="4" item="25"/>
          <tpl hier="12" item="4"/>
          <tpl fld="1" item="0"/>
        </tpls>
      </n>
      <n v="488377687306.27362">
        <tpls c="6">
          <tpl hier="2" item="0"/>
          <tpl hier="4" item="1"/>
          <tpl fld="2" item="30"/>
          <tpl fld="4" item="24"/>
          <tpl hier="12" item="4"/>
          <tpl fld="1" item="0"/>
        </tpls>
      </n>
      <n v="226080842719.7099">
        <tpls c="6">
          <tpl hier="2" item="0"/>
          <tpl hier="4" item="1"/>
          <tpl fld="2" item="14"/>
          <tpl fld="4" item="24"/>
          <tpl hier="12" item="4"/>
          <tpl fld="1" item="0"/>
        </tpls>
      </n>
      <n v="1381342095719.7527">
        <tpls c="6">
          <tpl hier="2" item="0"/>
          <tpl hier="4" item="1"/>
          <tpl fld="2" item="34"/>
          <tpl fld="4" item="23"/>
          <tpl hier="12" item="4"/>
          <tpl fld="1" item="0"/>
        </tpls>
      </n>
      <n v="617052961728.25342">
        <tpls c="6">
          <tpl hier="2" item="0"/>
          <tpl hier="4" item="1"/>
          <tpl fld="2" item="18"/>
          <tpl fld="4" item="23"/>
          <tpl hier="12" item="4"/>
          <tpl fld="1" item="0"/>
        </tpls>
      </n>
      <n v="195474211950.86731">
        <tpls c="6">
          <tpl hier="2" item="0"/>
          <tpl hier="4" item="1"/>
          <tpl fld="2" item="2"/>
          <tpl fld="4" item="23"/>
          <tpl hier="12" item="4"/>
          <tpl fld="1" item="0"/>
        </tpls>
      </n>
      <n v="609069719539.38025">
        <tpls c="6">
          <tpl hier="2" item="0"/>
          <tpl hier="4" item="1"/>
          <tpl fld="2" item="22"/>
          <tpl fld="4" item="22"/>
          <tpl hier="12" item="4"/>
          <tpl fld="1" item="0"/>
        </tpls>
      </n>
      <n v="115717871072.07173">
        <tpls c="6">
          <tpl hier="2" item="0"/>
          <tpl hier="4" item="1"/>
          <tpl fld="2" item="6"/>
          <tpl fld="4" item="22"/>
          <tpl hier="12" item="4"/>
          <tpl fld="1" item="0"/>
        </tpls>
      </n>
      <n v="147794120747.54803">
        <tpls c="6">
          <tpl hier="2" item="0"/>
          <tpl hier="4" item="1"/>
          <tpl fld="2" item="26"/>
          <tpl fld="4" item="21"/>
          <tpl hier="12" item="4"/>
          <tpl fld="1" item="0"/>
        </tpls>
      </n>
      <n v="38899699111.73494">
        <tpls c="6">
          <tpl hier="2" item="0"/>
          <tpl hier="4" item="1"/>
          <tpl fld="2" item="10"/>
          <tpl fld="4" item="21"/>
          <tpl hier="12" item="4"/>
          <tpl fld="1" item="0"/>
        </tpls>
      </n>
      <n v="238303441404.3826">
        <tpls c="6">
          <tpl hier="2" item="0"/>
          <tpl hier="4" item="1"/>
          <tpl fld="2" item="30"/>
          <tpl fld="4" item="20"/>
          <tpl hier="12" item="4"/>
          <tpl fld="1" item="0"/>
        </tpls>
      </n>
      <n v="99702248327.134384">
        <tpls c="6">
          <tpl hier="2" item="0"/>
          <tpl hier="4" item="1"/>
          <tpl fld="2" item="14"/>
          <tpl fld="4" item="20"/>
          <tpl hier="12" item="4"/>
          <tpl fld="1" item="0"/>
        </tpls>
      </n>
      <n v="500519013485.74969">
        <tpls c="6">
          <tpl hier="2" item="0"/>
          <tpl hier="4" item="1"/>
          <tpl fld="2" item="34"/>
          <tpl fld="4" item="19"/>
          <tpl hier="12" item="4"/>
          <tpl fld="1" item="0"/>
        </tpls>
      </n>
      <n v="154165270892.78833">
        <tpls c="6">
          <tpl hier="2" item="0"/>
          <tpl hier="4" item="1"/>
          <tpl fld="2" item="18"/>
          <tpl fld="4" item="19"/>
          <tpl hier="12" item="4"/>
          <tpl fld="1" item="0"/>
        </tpls>
      </n>
      <n v="63140966440.318802">
        <tpls c="6">
          <tpl hier="2" item="0"/>
          <tpl hier="4" item="1"/>
          <tpl fld="2" item="2"/>
          <tpl fld="4" item="19"/>
          <tpl hier="12" item="4"/>
          <tpl fld="1" item="0"/>
        </tpls>
      </n>
      <n v="62520384417.508392">
        <tpls c="6">
          <tpl hier="2" item="0"/>
          <tpl hier="4" item="1"/>
          <tpl fld="2" item="22"/>
          <tpl fld="4" item="18"/>
          <tpl hier="12" item="4"/>
          <tpl fld="1" item="0"/>
        </tpls>
      </n>
      <n v="30291755925.586601">
        <tpls c="6">
          <tpl hier="2" item="0"/>
          <tpl hier="4" item="1"/>
          <tpl fld="2" item="6"/>
          <tpl fld="4" item="18"/>
          <tpl hier="12" item="4"/>
          <tpl fld="1" item="0"/>
        </tpls>
      </n>
      <n v="726611883624.12695">
        <tpls c="6">
          <tpl hier="2" item="0"/>
          <tpl hier="4" item="1"/>
          <tpl fld="2" item="26"/>
          <tpl fld="4" item="17"/>
          <tpl hier="12" item="4"/>
          <tpl fld="1" item="0"/>
        </tpls>
      </n>
      <n v="314264922989.30438">
        <tpls c="6">
          <tpl hier="2" item="0"/>
          <tpl hier="4" item="1"/>
          <tpl fld="2" item="10"/>
          <tpl fld="4" item="17"/>
          <tpl hier="12" item="4"/>
          <tpl fld="1" item="0"/>
        </tpls>
      </n>
      <n v="8740539222.201273">
        <tpls c="6">
          <tpl hier="2" item="0"/>
          <tpl hier="4" item="1"/>
          <tpl fld="2" item="30"/>
          <tpl fld="4" item="16"/>
          <tpl hier="12" item="4"/>
          <tpl fld="1" item="0"/>
        </tpls>
      </n>
      <n v="3101327481.9414392">
        <tpls c="6">
          <tpl hier="2" item="0"/>
          <tpl hier="4" item="1"/>
          <tpl fld="2" item="14"/>
          <tpl fld="4" item="16"/>
          <tpl hier="12" item="4"/>
          <tpl fld="1" item="0"/>
        </tpls>
      </n>
      <n v="64873962815.952026">
        <tpls c="6">
          <tpl hier="2" item="0"/>
          <tpl hier="4" item="1"/>
          <tpl fld="2" item="34"/>
          <tpl fld="4" item="15"/>
          <tpl hier="12" item="4"/>
          <tpl fld="1" item="0"/>
        </tpls>
      </n>
      <n v="20408798517.214226">
        <tpls c="6">
          <tpl hier="2" item="0"/>
          <tpl hier="4" item="1"/>
          <tpl fld="2" item="18"/>
          <tpl fld="4" item="15"/>
          <tpl hier="12" item="4"/>
          <tpl fld="1" item="0"/>
        </tpls>
      </n>
      <n v="4811869614.3523092">
        <tpls c="6">
          <tpl hier="2" item="0"/>
          <tpl hier="4" item="1"/>
          <tpl fld="2" item="2"/>
          <tpl fld="4" item="15"/>
          <tpl hier="12" item="4"/>
          <tpl fld="1" item="0"/>
        </tpls>
      </n>
      <n v="3979646540395.167">
        <tpls c="6">
          <tpl hier="2" item="0"/>
          <tpl hier="4" item="1"/>
          <tpl fld="2" item="22"/>
          <tpl fld="4" item="14"/>
          <tpl hier="12" item="4"/>
          <tpl fld="1" item="0"/>
        </tpls>
      </n>
      <n v="2053170834554.0105">
        <tpls c="6">
          <tpl hier="2" item="0"/>
          <tpl hier="4" item="1"/>
          <tpl fld="2" item="6"/>
          <tpl fld="4" item="14"/>
          <tpl hier="12" item="4"/>
          <tpl fld="1" item="0"/>
        </tpls>
      </n>
      <n v="1943430748616.9036">
        <tpls c="6">
          <tpl hier="2" item="0"/>
          <tpl hier="4" item="1"/>
          <tpl fld="2" item="26"/>
          <tpl fld="4" item="13"/>
          <tpl hier="12" item="4"/>
          <tpl fld="1" item="0"/>
        </tpls>
      </n>
      <n v="1177816440275.0906">
        <tpls c="6">
          <tpl hier="2" item="0"/>
          <tpl hier="4" item="1"/>
          <tpl fld="2" item="10"/>
          <tpl fld="4" item="13"/>
          <tpl hier="12" item="4"/>
          <tpl fld="1" item="0"/>
        </tpls>
      </n>
      <n v="234323374721.68176">
        <tpls c="6">
          <tpl hier="2" item="0"/>
          <tpl hier="4" item="1"/>
          <tpl fld="2" item="30"/>
          <tpl fld="4" item="12"/>
          <tpl hier="12" item="4"/>
          <tpl fld="1" item="0"/>
        </tpls>
      </n>
      <n v="86597459256.143829">
        <tpls c="6">
          <tpl hier="2" item="0"/>
          <tpl hier="4" item="1"/>
          <tpl fld="2" item="14"/>
          <tpl fld="4" item="12"/>
          <tpl hier="12" item="4"/>
          <tpl fld="1" item="0"/>
        </tpls>
      </n>
      <n v="250813612829.43033">
        <tpls c="6">
          <tpl hier="2" item="0"/>
          <tpl hier="4" item="1"/>
          <tpl fld="2" item="34"/>
          <tpl fld="4" item="11"/>
          <tpl hier="12" item="4"/>
          <tpl fld="1" item="0"/>
        </tpls>
      </n>
      <n v="90074781073.007019">
        <tpls c="6">
          <tpl hier="2" item="0"/>
          <tpl hier="4" item="1"/>
          <tpl fld="2" item="18"/>
          <tpl fld="4" item="11"/>
          <tpl hier="12" item="4"/>
          <tpl fld="1" item="0"/>
        </tpls>
      </n>
      <n v="21498669910.155361">
        <tpls c="6">
          <tpl hier="2" item="0"/>
          <tpl hier="4" item="1"/>
          <tpl fld="2" item="2"/>
          <tpl fld="4" item="11"/>
          <tpl hier="12" item="4"/>
          <tpl fld="1" item="0"/>
        </tpls>
      </n>
      <n v="9161801519.4945126">
        <tpls c="6">
          <tpl hier="2" item="0"/>
          <tpl hier="4" item="1"/>
          <tpl fld="2" item="22"/>
          <tpl fld="4" item="10"/>
          <tpl hier="12" item="4"/>
          <tpl fld="1" item="0"/>
        </tpls>
      </n>
      <n v="4014192432.7947555">
        <tpls c="6">
          <tpl hier="2" item="0"/>
          <tpl hier="4" item="1"/>
          <tpl fld="2" item="6"/>
          <tpl fld="4" item="10"/>
          <tpl hier="12" item="4"/>
          <tpl fld="1" item="0"/>
        </tpls>
      </n>
      <n v="273303739817.21649">
        <tpls c="6">
          <tpl hier="2" item="0"/>
          <tpl hier="4" item="1"/>
          <tpl fld="2" item="26"/>
          <tpl fld="4" item="9"/>
          <tpl hier="12" item="4"/>
          <tpl fld="1" item="0"/>
        </tpls>
      </n>
      <n v="97892933237.521835">
        <tpls c="6">
          <tpl hier="2" item="0"/>
          <tpl hier="4" item="1"/>
          <tpl fld="2" item="10"/>
          <tpl fld="4" item="9"/>
          <tpl hier="12" item="4"/>
          <tpl fld="1" item="0"/>
        </tpls>
      </n>
      <n v="3417094571654.3101">
        <tpls c="6">
          <tpl hier="2" item="0"/>
          <tpl hier="4" item="1"/>
          <tpl fld="2" item="30"/>
          <tpl fld="4" item="8"/>
          <tpl hier="12" item="4"/>
          <tpl fld="1" item="0"/>
        </tpls>
      </n>
      <n v="2205908903310.542">
        <tpls c="6">
          <tpl hier="2" item="0"/>
          <tpl hier="4" item="1"/>
          <tpl fld="2" item="14"/>
          <tpl fld="4" item="8"/>
          <tpl hier="12" item="4"/>
          <tpl fld="1" item="0"/>
        </tpls>
      </n>
      <n v="2829192026850.3315">
        <tpls c="6">
          <tpl hier="2" item="0"/>
          <tpl hier="4" item="1"/>
          <tpl fld="2" item="34"/>
          <tpl fld="4" item="7"/>
          <tpl hier="12" item="4"/>
          <tpl fld="1" item="0"/>
        </tpls>
      </n>
      <n v="1510799656432.6638">
        <tpls c="6">
          <tpl hier="2" item="0"/>
          <tpl hier="4" item="1"/>
          <tpl fld="2" item="18"/>
          <tpl fld="4" item="7"/>
          <tpl hier="12" item="4"/>
          <tpl fld="1" item="0"/>
        </tpls>
      </n>
      <n v="586830725947.29553">
        <tpls c="6">
          <tpl hier="2" item="0"/>
          <tpl hier="4" item="1"/>
          <tpl fld="2" item="2"/>
          <tpl fld="4" item="7"/>
          <tpl hier="12" item="4"/>
          <tpl fld="1" item="0"/>
        </tpls>
      </n>
      <n v="139559326854.40152">
        <tpls c="6">
          <tpl hier="2" item="0"/>
          <tpl hier="4" item="1"/>
          <tpl fld="2" item="22"/>
          <tpl fld="4" item="6"/>
          <tpl hier="12" item="4"/>
          <tpl fld="1" item="0"/>
        </tpls>
      </n>
      <n v="73583909101.424118">
        <tpls c="6">
          <tpl hier="2" item="0"/>
          <tpl hier="4" item="1"/>
          <tpl fld="2" item="6"/>
          <tpl fld="4" item="6"/>
          <tpl hier="12" item="4"/>
          <tpl fld="1" item="0"/>
        </tpls>
      </n>
      <n v="282962120851.2179">
        <tpls c="6">
          <tpl hier="2" item="0"/>
          <tpl hier="4" item="1"/>
          <tpl fld="2" item="26"/>
          <tpl fld="4" item="5"/>
          <tpl hier="12" item="4"/>
          <tpl fld="1" item="0"/>
        </tpls>
      </n>
      <n v="138095803347.28363">
        <tpls c="6">
          <tpl hier="2" item="0"/>
          <tpl hier="4" item="1"/>
          <tpl fld="2" item="10"/>
          <tpl fld="4" item="5"/>
          <tpl hier="12" item="4"/>
          <tpl fld="1" item="0"/>
        </tpls>
      </n>
      <n v="25319949494.397652">
        <tpls c="6">
          <tpl hier="2" item="0"/>
          <tpl hier="4" item="1"/>
          <tpl fld="2" item="30"/>
          <tpl fld="4" item="4"/>
          <tpl hier="12" item="4"/>
          <tpl fld="1" item="0"/>
        </tpls>
      </n>
      <n v="8215651371.5157681">
        <tpls c="6">
          <tpl hier="2" item="0"/>
          <tpl hier="4" item="1"/>
          <tpl fld="2" item="14"/>
          <tpl fld="4" item="4"/>
          <tpl hier="12" item="4"/>
          <tpl fld="1" item="0"/>
        </tpls>
      </n>
      <n v="1785386720554.262">
        <tpls c="6">
          <tpl hier="2" item="0"/>
          <tpl hier="4" item="1"/>
          <tpl fld="2" item="34"/>
          <tpl fld="4" item="3"/>
          <tpl hier="12" item="4"/>
          <tpl fld="1" item="0"/>
        </tpls>
      </n>
      <n v="631448129717.55078">
        <tpls c="6">
          <tpl hier="2" item="0"/>
          <tpl hier="4" item="1"/>
          <tpl fld="2" item="18"/>
          <tpl fld="4" item="3"/>
          <tpl hier="12" item="4"/>
          <tpl fld="1" item="0"/>
        </tpls>
      </n>
      <n v="313444566990.28876">
        <tpls c="6">
          <tpl hier="2" item="0"/>
          <tpl hier="4" item="1"/>
          <tpl fld="2" item="2"/>
          <tpl fld="4" item="3"/>
          <tpl hier="12" item="4"/>
          <tpl fld="1" item="0"/>
        </tpls>
      </n>
      <n v="258872109470.06155">
        <tpls c="6">
          <tpl hier="2" item="0"/>
          <tpl hier="4" item="1"/>
          <tpl fld="2" item="22"/>
          <tpl fld="4" item="2"/>
          <tpl hier="12" item="4"/>
          <tpl fld="1" item="0"/>
        </tpls>
      </n>
      <n v="120662651271.51921">
        <tpls c="6">
          <tpl hier="2" item="0"/>
          <tpl hier="4" item="1"/>
          <tpl fld="2" item="6"/>
          <tpl fld="4" item="2"/>
          <tpl hier="12" item="4"/>
          <tpl fld="1" item="0"/>
        </tpls>
      </n>
      <n v="334292247958.24347">
        <tpls c="6">
          <tpl hier="2" item="0"/>
          <tpl hier="4" item="1"/>
          <tpl fld="2" item="26"/>
          <tpl fld="4" item="1"/>
          <tpl hier="12" item="4"/>
          <tpl fld="1" item="0"/>
        </tpls>
      </n>
      <n v="166066793911.168">
        <tpls c="6">
          <tpl hier="2" item="0"/>
          <tpl hier="4" item="1"/>
          <tpl fld="2" item="10"/>
          <tpl fld="4" item="1"/>
          <tpl hier="12" item="4"/>
          <tpl fld="1" item="0"/>
        </tpls>
      </n>
      <n v="1291430290705.1675">
        <tpls c="6">
          <tpl hier="2" item="0"/>
          <tpl hier="4" item="1"/>
          <tpl fld="2" item="30"/>
          <tpl fld="4" item="0"/>
          <tpl hier="12" item="4"/>
          <tpl fld="1" item="0"/>
        </tpls>
      </n>
      <n v="362385457935.75848">
        <tpls c="6">
          <tpl hier="2" item="0"/>
          <tpl hier="4" item="1"/>
          <tpl fld="2" item="14"/>
          <tpl fld="4" item="0"/>
          <tpl hier="12" item="4"/>
          <tpl fld="1" item="0"/>
        </tpls>
      </n>
      <n v="10439739413680.783">
        <tpls c="6">
          <tpl hier="2" item="0"/>
          <tpl hier="4" item="1"/>
          <tpl fld="2" item="34"/>
          <tpl fld="3" item="0"/>
          <tpl hier="12" item="4"/>
          <tpl fld="1" item="0"/>
        </tpls>
      </n>
      <n v="1028805761710.3834">
        <tpls c="6">
          <tpl hier="2" item="0"/>
          <tpl hier="4" item="1"/>
          <tpl fld="2" item="18"/>
          <tpl fld="3" item="0"/>
          <tpl hier="12" item="4"/>
          <tpl fld="1" item="0"/>
        </tpls>
      </n>
      <n v="284585539119.16443">
        <tpls c="6">
          <tpl hier="2" item="0"/>
          <tpl hier="4" item="1"/>
          <tpl fld="2" item="2"/>
          <tpl fld="3" item="0"/>
          <tpl hier="12" item="4"/>
          <tpl fld="1" item="0"/>
        </tpls>
      </n>
      <n v="304170901766.34644">
        <tpls c="6">
          <tpl hier="2" item="0"/>
          <tpl hier="4" item="1"/>
          <tpl fld="2" item="19"/>
          <tpl fld="4" item="26"/>
          <tpl hier="12" item="4"/>
          <tpl fld="1" item="0"/>
        </tpls>
      </n>
      <n v="21803629855.515915">
        <tpls c="6">
          <tpl hier="2" item="0"/>
          <tpl hier="4" item="1"/>
          <tpl fld="2" item="15"/>
          <tpl fld="4" item="15"/>
          <tpl hier="12" item="4"/>
          <tpl fld="1" item="0"/>
        </tpls>
      </n>
      <n v="65645260804.919746">
        <tpls c="6">
          <tpl hier="2" item="0"/>
          <tpl hier="4" item="1"/>
          <tpl fld="2" item="7"/>
          <tpl fld="4" item="9"/>
          <tpl hier="12" item="4"/>
          <tpl fld="1" item="0"/>
        </tpls>
      </n>
      <n v="6382733863.3577442">
        <tpls c="6">
          <tpl hier="2" item="0"/>
          <tpl hier="4" item="1"/>
          <tpl fld="2" item="11"/>
          <tpl fld="4" item="4"/>
          <tpl hier="12" item="4"/>
          <tpl fld="1" item="0"/>
        </tpls>
      </n>
      <n v="7445820433436.5322">
        <tpls c="6">
          <tpl hier="2" item="0"/>
          <tpl hier="4" item="1"/>
          <tpl fld="2" item="31"/>
          <tpl fld="3" item="0"/>
          <tpl hier="12" item="4"/>
          <tpl fld="1" item="0"/>
        </tpls>
      </n>
      <n v="4357694908308.6846">
        <tpls c="6">
          <tpl hier="2" item="0"/>
          <tpl hier="4" item="1"/>
          <tpl fld="2" item="22"/>
          <tpl fld="3" item="2"/>
          <tpl hier="12" item="4"/>
          <tpl fld="1" item="0"/>
        </tpls>
      </n>
      <n v="374615564156.4118">
        <tpls c="6">
          <tpl hier="2" item="0"/>
          <tpl hier="4" item="1"/>
          <tpl fld="2" item="18"/>
          <tpl fld="4" item="22"/>
          <tpl hier="12" item="4"/>
          <tpl fld="1" item="0"/>
        </tpls>
      </n>
      <n v="3911224373650.2642">
        <tpls c="6">
          <tpl hier="2" item="0"/>
          <tpl hier="4" item="1"/>
          <tpl fld="2" item="18"/>
          <tpl fld="4" item="14"/>
          <tpl hier="12" item="4"/>
          <tpl fld="1" item="0"/>
        </tpls>
      </n>
      <n v="153837935603.50992">
        <tpls c="6">
          <tpl hier="2" item="0"/>
          <tpl hier="4" item="1"/>
          <tpl fld="2" item="22"/>
          <tpl fld="4" item="9"/>
          <tpl hier="12" item="4"/>
          <tpl fld="1" item="0"/>
        </tpls>
      </n>
      <n v="52829782246.716408">
        <tpls c="6">
          <tpl hier="2" item="0"/>
          <tpl hier="4" item="1"/>
          <tpl fld="2" item="2"/>
          <tpl fld="4" item="6"/>
          <tpl hier="12" item="4"/>
          <tpl fld="1" item="0"/>
        </tpls>
      </n>
      <n v="260596621679.14066">
        <tpls c="6">
          <tpl hier="2" item="0"/>
          <tpl hier="4" item="1"/>
          <tpl fld="2" item="18"/>
          <tpl fld="4" item="2"/>
          <tpl hier="12" item="4"/>
          <tpl fld="1" item="0"/>
        </tpls>
      </n>
      <n v="6011816838995.5693">
        <tpls c="6">
          <tpl hier="2" item="0"/>
          <tpl hier="4" item="1"/>
          <tpl fld="2" item="30"/>
          <tpl fld="3" item="0"/>
          <tpl hier="12" item="4"/>
          <tpl fld="1" item="0"/>
        </tpls>
      </n>
      <n v="13093720000000">
        <tpls c="6">
          <tpl hier="2" item="0"/>
          <tpl hier="4" item="1"/>
          <tpl fld="2" item="25"/>
          <tpl fld="4" item="28"/>
          <tpl hier="12" item="4"/>
          <tpl fld="1" item="0"/>
        </tpls>
      </n>
      <n v="89285031582.736725">
        <tpls c="6">
          <tpl hier="2" item="0"/>
          <tpl hier="4" item="1"/>
          <tpl fld="2" item="21"/>
          <tpl fld="4" item="21"/>
          <tpl hier="12" item="4"/>
          <tpl fld="1" item="0"/>
        </tpls>
      </n>
      <n v="50383461201.892586">
        <tpls c="6">
          <tpl hier="2" item="0"/>
          <tpl hier="4" item="1"/>
          <tpl fld="2" item="29"/>
          <tpl fld="4" item="15"/>
          <tpl hier="12" item="4"/>
          <tpl fld="1" item="0"/>
        </tpls>
      </n>
      <n v="136190137001.01117">
        <tpls c="6">
          <tpl hier="2" item="0"/>
          <tpl hier="4" item="1"/>
          <tpl fld="2" item="21"/>
          <tpl fld="4" item="9"/>
          <tpl hier="12" item="4"/>
          <tpl fld="1" item="0"/>
        </tpls>
      </n>
      <n v="254810607515.85352">
        <tpls c="6">
          <tpl hier="2" item="0"/>
          <tpl hier="4" item="1"/>
          <tpl fld="2" item="17"/>
          <tpl fld="4" item="2"/>
          <tpl hier="12" item="4"/>
          <tpl fld="1" item="0"/>
        </tpls>
      </n>
      <n v="31661608770125.043">
        <tpls c="6">
          <tpl hier="2" item="0"/>
          <tpl hier="4" item="1"/>
          <tpl fld="2" item="21"/>
          <tpl hier="6" item="2"/>
          <tpl hier="12" item="4"/>
          <tpl fld="1" item="0"/>
        </tpls>
      </n>
      <n v="12042472466604.529">
        <tpls c="6">
          <tpl hier="2" item="0"/>
          <tpl hier="4" item="1"/>
          <tpl fld="2" item="5"/>
          <tpl hier="6" item="2"/>
          <tpl hier="12" item="4"/>
          <tpl fld="1" item="0"/>
        </tpls>
      </n>
      <n v="6794983967177.3145">
        <tpls c="6">
          <tpl hier="2" item="0"/>
          <tpl hier="4" item="1"/>
          <tpl fld="2" item="25"/>
          <tpl fld="3" item="2"/>
          <tpl hier="12" item="4"/>
          <tpl fld="1" item="0"/>
        </tpls>
      </n>
      <n v="2448783336335.7695">
        <tpls c="6">
          <tpl hier="2" item="0"/>
          <tpl hier="4" item="1"/>
          <tpl fld="2" item="9"/>
          <tpl fld="3" item="2"/>
          <tpl hier="12" item="4"/>
          <tpl fld="1" item="0"/>
        </tpls>
      </n>
      <n v="14418740000000">
        <tpls c="6">
          <tpl hier="2" item="0"/>
          <tpl hier="4" item="1"/>
          <tpl fld="2" item="29"/>
          <tpl fld="4" item="28"/>
          <tpl hier="12" item="4"/>
          <tpl fld="1" item="0"/>
        </tpls>
      </n>
      <n v="6878700000000">
        <tpls c="6">
          <tpl hier="2" item="0"/>
          <tpl hier="4" item="1"/>
          <tpl fld="2" item="13"/>
          <tpl fld="4" item="28"/>
          <tpl hier="12" item="4"/>
          <tpl fld="1" item="0"/>
        </tpls>
      </n>
      <n v="2712296261870.6313">
        <tpls c="6">
          <tpl hier="2" item="0"/>
          <tpl hier="4" item="1"/>
          <tpl fld="2" item="33"/>
          <tpl fld="4" item="27"/>
          <tpl hier="12" item="4"/>
          <tpl fld="1" item="0"/>
        </tpls>
      </n>
      <n v="1446358500318.5222">
        <tpls c="6">
          <tpl hier="2" item="0"/>
          <tpl hier="4" item="1"/>
          <tpl fld="2" item="17"/>
          <tpl fld="4" item="27"/>
          <tpl hier="12" item="4"/>
          <tpl fld="1" item="0"/>
        </tpls>
      </n>
      <n v="540720763687.37299">
        <tpls c="6">
          <tpl hier="2" item="0"/>
          <tpl hier="4" item="1"/>
          <tpl fld="2" item="1"/>
          <tpl fld="4" item="27"/>
          <tpl hier="12" item="4"/>
          <tpl fld="1" item="0"/>
        </tpls>
      </n>
      <n v="300449837326.2348">
        <tpls c="6">
          <tpl hier="2" item="0"/>
          <tpl hier="4" item="1"/>
          <tpl fld="2" item="21"/>
          <tpl fld="4" item="26"/>
          <tpl hier="12" item="4"/>
          <tpl fld="1" item="0"/>
        </tpls>
      </n>
      <n v="63622980431.510284">
        <tpls c="6">
          <tpl hier="2" item="0"/>
          <tpl hier="4" item="1"/>
          <tpl fld="2" item="5"/>
          <tpl fld="4" item="26"/>
          <tpl hier="12" item="4"/>
          <tpl fld="1" item="0"/>
        </tpls>
      </n>
      <n v="407543282812.79272">
        <tpls c="6">
          <tpl hier="2" item="0"/>
          <tpl hier="4" item="1"/>
          <tpl fld="2" item="25"/>
          <tpl fld="4" item="25"/>
          <tpl hier="12" item="4"/>
          <tpl fld="1" item="0"/>
        </tpls>
      </n>
      <n v="201569570732.15457">
        <tpls c="6">
          <tpl hier="2" item="0"/>
          <tpl hier="4" item="1"/>
          <tpl fld="2" item="9"/>
          <tpl fld="4" item="25"/>
          <tpl hier="12" item="4"/>
          <tpl fld="1" item="0"/>
        </tpls>
      </n>
      <n v="429655955290.92194">
        <tpls c="6">
          <tpl hier="2" item="0"/>
          <tpl hier="4" item="1"/>
          <tpl fld="2" item="29"/>
          <tpl fld="4" item="24"/>
          <tpl hier="12" item="4"/>
          <tpl fld="1" item="0"/>
        </tpls>
      </n>
      <n v="209950072504.69772">
        <tpls c="6">
          <tpl hier="2" item="0"/>
          <tpl hier="4" item="1"/>
          <tpl fld="2" item="13"/>
          <tpl fld="4" item="24"/>
          <tpl hier="12" item="4"/>
          <tpl fld="1" item="0"/>
        </tpls>
      </n>
      <n v="1369261674537.3799">
        <tpls c="6">
          <tpl hier="2" item="0"/>
          <tpl hier="4" item="1"/>
          <tpl fld="2" item="33"/>
          <tpl fld="4" item="23"/>
          <tpl hier="12" item="4"/>
          <tpl fld="1" item="0"/>
        </tpls>
      </n>
      <n v="588716376834.80164">
        <tpls c="6">
          <tpl hier="2" item="0"/>
          <tpl hier="4" item="1"/>
          <tpl fld="2" item="17"/>
          <tpl fld="4" item="23"/>
          <tpl hier="12" item="4"/>
          <tpl fld="1" item="0"/>
        </tpls>
      </n>
      <n v="202269653185.61319">
        <tpls c="6">
          <tpl hier="2" item="0"/>
          <tpl hier="4" item="1"/>
          <tpl fld="2" item="1"/>
          <tpl fld="4" item="23"/>
          <tpl hier="12" item="4"/>
          <tpl fld="1" item="0"/>
        </tpls>
      </n>
      <n v="532922445996.28845">
        <tpls c="6">
          <tpl hier="2" item="0"/>
          <tpl hier="4" item="1"/>
          <tpl fld="2" item="21"/>
          <tpl fld="4" item="22"/>
          <tpl hier="12" item="4"/>
          <tpl fld="1" item="0"/>
        </tpls>
      </n>
      <n v="100273097170.17999">
        <tpls c="6">
          <tpl hier="2" item="0"/>
          <tpl hier="4" item="1"/>
          <tpl fld="2" item="5"/>
          <tpl fld="4" item="22"/>
          <tpl hier="12" item="4"/>
          <tpl fld="1" item="0"/>
        </tpls>
      </n>
      <n v="127417879442.86147">
        <tpls c="6">
          <tpl hier="2" item="0"/>
          <tpl hier="4" item="1"/>
          <tpl fld="2" item="25"/>
          <tpl fld="4" item="21"/>
          <tpl hier="12" item="4"/>
          <tpl fld="1" item="0"/>
        </tpls>
      </n>
      <n v="31392764743.008656">
        <tpls c="6">
          <tpl hier="2" item="0"/>
          <tpl hier="4" item="1"/>
          <tpl fld="2" item="9"/>
          <tpl fld="4" item="21"/>
          <tpl hier="12" item="4"/>
          <tpl fld="1" item="0"/>
        </tpls>
      </n>
      <n v="243731066714.29184">
        <tpls c="6">
          <tpl hier="2" item="0"/>
          <tpl hier="4" item="1"/>
          <tpl fld="2" item="29"/>
          <tpl fld="4" item="20"/>
          <tpl hier="12" item="4"/>
          <tpl fld="1" item="0"/>
        </tpls>
      </n>
      <n v="95022900491.161636">
        <tpls c="6">
          <tpl hier="2" item="0"/>
          <tpl hier="4" item="1"/>
          <tpl fld="2" item="13"/>
          <tpl fld="4" item="20"/>
          <tpl hier="12" item="4"/>
          <tpl fld="1" item="0"/>
        </tpls>
      </n>
      <n v="522746212765.95746">
        <tpls c="6">
          <tpl hier="2" item="0"/>
          <tpl hier="4" item="1"/>
          <tpl fld="2" item="33"/>
          <tpl fld="4" item="19"/>
          <tpl hier="12" item="4"/>
          <tpl fld="1" item="0"/>
        </tpls>
      </n>
      <n v="161354351643.69592">
        <tpls c="6">
          <tpl hier="2" item="0"/>
          <tpl hier="4" item="1"/>
          <tpl fld="2" item="17"/>
          <tpl fld="4" item="19"/>
          <tpl hier="12" item="4"/>
          <tpl fld="1" item="0"/>
        </tpls>
      </n>
      <n v="64179102241.214638">
        <tpls c="6">
          <tpl hier="2" item="0"/>
          <tpl hier="4" item="1"/>
          <tpl fld="2" item="1"/>
          <tpl fld="4" item="19"/>
          <tpl hier="12" item="4"/>
          <tpl fld="1" item="0"/>
        </tpls>
      </n>
      <n v="54109072711.609802">
        <tpls c="6">
          <tpl hier="2" item="0"/>
          <tpl hier="4" item="1"/>
          <tpl fld="2" item="21"/>
          <tpl fld="4" item="18"/>
          <tpl hier="12" item="4"/>
          <tpl fld="1" item="0"/>
        </tpls>
      </n>
      <n v="24107770566.220509">
        <tpls c="6">
          <tpl hier="2" item="0"/>
          <tpl hier="4" item="1"/>
          <tpl fld="2" item="5"/>
          <tpl fld="4" item="18"/>
          <tpl hier="12" item="4"/>
          <tpl fld="1" item="0"/>
        </tpls>
      </n>
      <n v="678516888026.66272">
        <tpls c="6">
          <tpl hier="2" item="0"/>
          <tpl hier="4" item="1"/>
          <tpl fld="2" item="25"/>
          <tpl fld="4" item="17"/>
          <tpl hier="12" item="4"/>
          <tpl fld="1" item="0"/>
        </tpls>
      </n>
      <n v="255026680972.77667">
        <tpls c="6">
          <tpl hier="2" item="0"/>
          <tpl hier="4" item="1"/>
          <tpl fld="2" item="9"/>
          <tpl fld="4" item="17"/>
          <tpl hier="12" item="4"/>
          <tpl fld="1" item="0"/>
        </tpls>
      </n>
      <n v="8527688579.3598204">
        <tpls c="6">
          <tpl hier="2" item="0"/>
          <tpl hier="4" item="1"/>
          <tpl fld="2" item="29"/>
          <tpl fld="4" item="16"/>
          <tpl hier="12" item="4"/>
          <tpl fld="1" item="0"/>
        </tpls>
      </n>
      <n v="2802097059.3196187">
        <tpls c="6">
          <tpl hier="2" item="0"/>
          <tpl hier="4" item="1"/>
          <tpl fld="2" item="13"/>
          <tpl fld="4" item="16"/>
          <tpl hier="12" item="4"/>
          <tpl fld="1" item="0"/>
        </tpls>
      </n>
      <n v="61794506707.068214">
        <tpls c="6">
          <tpl hier="2" item="0"/>
          <tpl hier="4" item="1"/>
          <tpl fld="2" item="33"/>
          <tpl fld="4" item="15"/>
          <tpl hier="12" item="4"/>
          <tpl fld="1" item="0"/>
        </tpls>
      </n>
      <n v="19526149855.574169">
        <tpls c="6">
          <tpl hier="2" item="0"/>
          <tpl hier="4" item="1"/>
          <tpl fld="2" item="17"/>
          <tpl fld="4" item="15"/>
          <tpl hier="12" item="4"/>
          <tpl fld="1" item="0"/>
        </tpls>
      </n>
      <n v="5283898186.8157959">
        <tpls c="6">
          <tpl hier="2" item="0"/>
          <tpl hier="4" item="1"/>
          <tpl fld="2" item="1"/>
          <tpl fld="4" item="15"/>
          <tpl hier="12" item="4"/>
          <tpl fld="1" item="0"/>
        </tpls>
      </n>
      <n v="4163616981797.3413">
        <tpls c="6">
          <tpl hier="2" item="0"/>
          <tpl hier="4" item="1"/>
          <tpl fld="2" item="21"/>
          <tpl fld="4" item="14"/>
          <tpl hier="12" item="4"/>
          <tpl fld="1" item="0"/>
        </tpls>
      </n>
      <n v="1383439963715.3042">
        <tpls c="6">
          <tpl hier="2" item="0"/>
          <tpl hier="4" item="1"/>
          <tpl fld="2" item="5"/>
          <tpl fld="4" item="14"/>
          <tpl hier="12" item="4"/>
          <tpl fld="1" item="0"/>
        </tpls>
      </n>
      <n v="1853466398050.0425">
        <tpls c="6">
          <tpl hier="2" item="0"/>
          <tpl hier="4" item="1"/>
          <tpl fld="2" item="25"/>
          <tpl fld="4" item="13"/>
          <tpl hier="12" item="4"/>
          <tpl fld="1" item="0"/>
        </tpls>
      </n>
      <n v="925899965972.22852">
        <tpls c="6">
          <tpl hier="2" item="0"/>
          <tpl hier="4" item="1"/>
          <tpl fld="2" item="9"/>
          <tpl fld="4" item="13"/>
          <tpl hier="12" item="4"/>
          <tpl fld="1" item="0"/>
        </tpls>
      </n>
      <n v="208066954103.9924">
        <tpls c="6">
          <tpl hier="2" item="0"/>
          <tpl hier="4" item="1"/>
          <tpl fld="2" item="29"/>
          <tpl fld="4" item="12"/>
          <tpl hier="12" item="4"/>
          <tpl fld="1" item="0"/>
        </tpls>
      </n>
      <n v="76209456449.568115">
        <tpls c="6">
          <tpl hier="2" item="0"/>
          <tpl hier="4" item="1"/>
          <tpl fld="2" item="13"/>
          <tpl fld="4" item="12"/>
          <tpl hier="12" item="4"/>
          <tpl fld="1" item="0"/>
        </tpls>
      </n>
      <n v="238259951900.20786">
        <tpls c="6">
          <tpl hier="2" item="0"/>
          <tpl hier="4" item="1"/>
          <tpl fld="2" item="33"/>
          <tpl fld="4" item="11"/>
          <tpl hier="12" item="4"/>
          <tpl fld="1" item="0"/>
        </tpls>
      </n>
      <n v="82819349693.280823">
        <tpls c="6">
          <tpl hier="2" item="0"/>
          <tpl hier="4" item="1"/>
          <tpl fld="2" item="17"/>
          <tpl fld="4" item="11"/>
          <tpl hier="12" item="4"/>
          <tpl fld="1" item="0"/>
        </tpls>
      </n>
      <n v="20693784566.869064">
        <tpls c="6">
          <tpl hier="2" item="0"/>
          <tpl hier="4" item="1"/>
          <tpl fld="2" item="1"/>
          <tpl fld="4" item="11"/>
          <tpl hier="12" item="4"/>
          <tpl fld="1" item="0"/>
        </tpls>
      </n>
      <n v="8126160904.1404047">
        <tpls c="6">
          <tpl hier="2" item="0"/>
          <tpl hier="4" item="1"/>
          <tpl fld="2" item="21"/>
          <tpl fld="4" item="10"/>
          <tpl hier="12" item="4"/>
          <tpl fld="1" item="0"/>
        </tpls>
      </n>
      <n v="3011491828.7264857">
        <tpls c="6">
          <tpl hier="2" item="0"/>
          <tpl hier="4" item="1"/>
          <tpl fld="2" item="5"/>
          <tpl fld="4" item="10"/>
          <tpl hier="12" item="4"/>
          <tpl fld="1" item="0"/>
        </tpls>
      </n>
      <n v="247776836790.52881">
        <tpls c="6">
          <tpl hier="2" item="0"/>
          <tpl hier="4" item="1"/>
          <tpl fld="2" item="25"/>
          <tpl fld="4" item="9"/>
          <tpl hier="12" item="4"/>
          <tpl fld="1" item="0"/>
        </tpls>
      </n>
      <n v="79161666870.277573">
        <tpls c="6">
          <tpl hier="2" item="0"/>
          <tpl hier="4" item="1"/>
          <tpl fld="2" item="9"/>
          <tpl fld="4" item="9"/>
          <tpl hier="12" item="4"/>
          <tpl fld="1" item="0"/>
        </tpls>
      </n>
      <n v="3417799116741.1753">
        <tpls c="6">
          <tpl hier="2" item="0"/>
          <tpl hier="4" item="1"/>
          <tpl fld="2" item="29"/>
          <tpl fld="4" item="8"/>
          <tpl hier="12" item="4"/>
          <tpl fld="1" item="0"/>
        </tpls>
      </n>
      <n v="2068483305776.4268">
        <tpls c="6">
          <tpl hier="2" item="0"/>
          <tpl hier="4" item="1"/>
          <tpl fld="2" item="13"/>
          <tpl fld="4" item="8"/>
          <tpl hier="12" item="4"/>
          <tpl fld="1" item="0"/>
        </tpls>
      </n>
      <n v="2810249222481.7598">
        <tpls c="6">
          <tpl hier="2" item="0"/>
          <tpl hier="4" item="1"/>
          <tpl fld="2" item="33"/>
          <tpl fld="4" item="7"/>
          <tpl hier="12" item="4"/>
          <tpl fld="1" item="0"/>
        </tpls>
      </n>
      <n v="1460712579106.8672">
        <tpls c="6">
          <tpl hier="2" item="0"/>
          <tpl hier="4" item="1"/>
          <tpl fld="2" item="17"/>
          <tpl fld="4" item="7"/>
          <tpl hier="12" item="4"/>
          <tpl fld="1" item="0"/>
        </tpls>
      </n>
      <n v="617589013503.54932">
        <tpls c="6">
          <tpl hier="2" item="0"/>
          <tpl hier="4" item="1"/>
          <tpl fld="2" item="1"/>
          <tpl fld="4" item="7"/>
          <tpl hier="12" item="4"/>
          <tpl fld="1" item="0"/>
        </tpls>
      </n>
      <n v="129248955266.61954">
        <tpls c="6">
          <tpl hier="2" item="0"/>
          <tpl hier="4" item="1"/>
          <tpl fld="2" item="21"/>
          <tpl fld="4" item="6"/>
          <tpl hier="12" item="4"/>
          <tpl fld="1" item="0"/>
        </tpls>
      </n>
      <n v="55913635617.115387">
        <tpls c="6">
          <tpl hier="2" item="0"/>
          <tpl hier="4" item="1"/>
          <tpl fld="2" item="5"/>
          <tpl fld="4" item="6"/>
          <tpl hier="12" item="4"/>
          <tpl fld="1" item="0"/>
        </tpls>
      </n>
      <n v="264559081260.18234">
        <tpls c="6">
          <tpl hier="2" item="0"/>
          <tpl hier="4" item="1"/>
          <tpl fld="2" item="25"/>
          <tpl fld="4" item="5"/>
          <tpl hier="12" item="4"/>
          <tpl fld="1" item="0"/>
        </tpls>
      </n>
      <n v="111887227049.96802">
        <tpls c="6">
          <tpl hier="2" item="0"/>
          <tpl hier="4" item="1"/>
          <tpl fld="2" item="9"/>
          <tpl fld="4" item="5"/>
          <tpl hier="12" item="4"/>
          <tpl fld="1" item="0"/>
        </tpls>
      </n>
      <n v="25675446947.235851">
        <tpls c="6">
          <tpl hier="2" item="0"/>
          <tpl hier="4" item="1"/>
          <tpl fld="2" item="29"/>
          <tpl fld="4" item="4"/>
          <tpl hier="12" item="4"/>
          <tpl fld="1" item="0"/>
        </tpls>
      </n>
      <n v="7296302346.9149609">
        <tpls c="6">
          <tpl hier="2" item="0"/>
          <tpl hier="4" item="1"/>
          <tpl fld="2" item="13"/>
          <tpl fld="4" item="4"/>
          <tpl hier="12" item="4"/>
          <tpl fld="1" item="0"/>
        </tpls>
      </n>
      <n v="1838964121652.7612">
        <tpls c="6">
          <tpl hier="2" item="0"/>
          <tpl hier="4" item="1"/>
          <tpl fld="2" item="33"/>
          <tpl fld="4" item="3"/>
          <tpl hier="12" item="4"/>
          <tpl fld="1" item="0"/>
        </tpls>
      </n>
      <n v="650993159334.27637">
        <tpls c="6">
          <tpl hier="2" item="0"/>
          <tpl hier="4" item="1"/>
          <tpl fld="2" item="17"/>
          <tpl fld="4" item="3"/>
          <tpl hier="12" item="4"/>
          <tpl fld="1" item="0"/>
        </tpls>
      </n>
      <n v="305746486199.15302">
        <tpls c="6">
          <tpl hier="2" item="0"/>
          <tpl hier="4" item="1"/>
          <tpl fld="2" item="1"/>
          <tpl fld="4" item="3"/>
          <tpl hier="12" item="4"/>
          <tpl fld="1" item="0"/>
        </tpls>
      </n>
      <n v="237839482420.73895">
        <tpls c="6">
          <tpl hier="2" item="0"/>
          <tpl hier="4" item="1"/>
          <tpl fld="2" item="21"/>
          <tpl fld="4" item="2"/>
          <tpl hier="12" item="4"/>
          <tpl fld="1" item="0"/>
        </tpls>
      </n>
      <n v="86727631017.033142">
        <tpls c="6">
          <tpl hier="2" item="0"/>
          <tpl hier="4" item="1"/>
          <tpl fld="2" item="5"/>
          <tpl fld="4" item="2"/>
          <tpl hier="12" item="4"/>
          <tpl fld="1" item="0"/>
        </tpls>
      </n>
      <n v="314641160523.30499">
        <tpls c="6">
          <tpl hier="2" item="0"/>
          <tpl hier="4" item="1"/>
          <tpl fld="2" item="25"/>
          <tpl fld="4" item="1"/>
          <tpl hier="12" item="4"/>
          <tpl fld="1" item="0"/>
        </tpls>
      </n>
      <n v="132783772075.84853">
        <tpls c="6">
          <tpl hier="2" item="0"/>
          <tpl hier="4" item="1"/>
          <tpl fld="2" item="9"/>
          <tpl fld="4" item="1"/>
          <tpl hier="12" item="4"/>
          <tpl fld="1" item="0"/>
        </tpls>
      </n>
      <n v="1010558663435.5253">
        <tpls c="6">
          <tpl hier="2" item="0"/>
          <tpl hier="4" item="1"/>
          <tpl fld="2" item="29"/>
          <tpl fld="4" item="0"/>
          <tpl hier="12" item="4"/>
          <tpl fld="1" item="0"/>
        </tpls>
      </n>
      <n v="317372293548.03613">
        <tpls c="6">
          <tpl hier="2" item="0"/>
          <tpl hier="4" item="1"/>
          <tpl fld="2" item="13"/>
          <tpl fld="4" item="0"/>
          <tpl hier="12" item="4"/>
          <tpl fld="1" item="0"/>
        </tpls>
      </n>
      <n v="9516129032258.0645">
        <tpls c="6">
          <tpl hier="2" item="0"/>
          <tpl hier="4" item="1"/>
          <tpl fld="2" item="33"/>
          <tpl fld="3" item="0"/>
          <tpl hier="12" item="4"/>
          <tpl fld="1" item="0"/>
        </tpls>
      </n>
      <n v="961893403505.53235">
        <tpls c="6">
          <tpl hier="2" item="0"/>
          <tpl hier="4" item="1"/>
          <tpl fld="2" item="17"/>
          <tpl fld="3" item="0"/>
          <tpl hier="12" item="4"/>
          <tpl fld="1" item="0"/>
        </tpls>
      </n>
      <n v="288618591376.30225">
        <tpls c="6">
          <tpl hier="2" item="0"/>
          <tpl hier="4" item="1"/>
          <tpl fld="2" item="1"/>
          <tpl fld="3" item="0"/>
          <tpl hier="12" item="4"/>
          <tpl fld="1" item="0"/>
        </tpls>
      </n>
      <n v="11235337231050.506">
        <tpls c="6">
          <tpl hier="2" item="0"/>
          <tpl hier="4" item="1"/>
          <tpl fld="2" item="3"/>
          <tpl hier="6" item="2"/>
          <tpl hier="12" item="4"/>
          <tpl fld="1" item="0"/>
        </tpls>
      </n>
      <n v="1488017220976.7009">
        <tpls c="6">
          <tpl hier="2" item="0"/>
          <tpl hier="4" item="1"/>
          <tpl fld="2" item="31"/>
          <tpl fld="4" item="23"/>
          <tpl hier="12" item="4"/>
          <tpl fld="1" item="0"/>
        </tpls>
      </n>
      <n v="87024615315.639801">
        <tpls c="6">
          <tpl hier="2" item="0"/>
          <tpl hier="4" item="1"/>
          <tpl fld="2" item="3"/>
          <tpl fld="4" item="22"/>
          <tpl hier="12" item="4"/>
          <tpl fld="1" item="0"/>
        </tpls>
      </n>
      <n v="240157013566.91928">
        <tpls c="6">
          <tpl hier="2" item="0"/>
          <tpl hier="4" item="1"/>
          <tpl fld="2" item="27"/>
          <tpl fld="4" item="20"/>
          <tpl hier="12" item="4"/>
          <tpl fld="1" item="0"/>
        </tpls>
      </n>
      <n v="2711323074606.5093">
        <tpls c="6">
          <tpl hier="2" item="0"/>
          <tpl hier="4" item="1"/>
          <tpl hier="5" item="3"/>
          <tpl fld="4" item="18"/>
          <tpl hier="12" item="4"/>
          <tpl fld="1" item="0"/>
        </tpls>
      </n>
      <n v="24888872616.848522">
        <tpls c="6">
          <tpl hier="2" item="0"/>
          <tpl hier="4" item="1"/>
          <tpl fld="2" item="3"/>
          <tpl fld="4" item="18"/>
          <tpl hier="12" item="4"/>
          <tpl fld="1" item="0"/>
        </tpls>
      </n>
      <n v="58701038186.626152">
        <tpls c="6">
          <tpl hier="2" item="0"/>
          <tpl hier="4" item="1"/>
          <tpl fld="2" item="31"/>
          <tpl fld="4" item="15"/>
          <tpl hier="12" item="4"/>
          <tpl fld="1" item="0"/>
        </tpls>
      </n>
      <n v="132242824687828.56">
        <tpls c="6">
          <tpl hier="2" item="0"/>
          <tpl hier="4" item="1"/>
          <tpl hier="5" item="3"/>
          <tpl fld="4" item="14"/>
          <tpl hier="12" item="4"/>
          <tpl fld="1" item="0"/>
        </tpls>
      </n>
      <n v="1570269914082.4333">
        <tpls c="6">
          <tpl hier="2" item="0"/>
          <tpl hier="4" item="1"/>
          <tpl fld="2" item="23"/>
          <tpl fld="4" item="13"/>
          <tpl hier="12" item="4"/>
          <tpl fld="1" item="0"/>
        </tpls>
      </n>
      <n v="179564913356.54398">
        <tpls c="6">
          <tpl hier="2" item="0"/>
          <tpl hier="4" item="1"/>
          <tpl fld="2" item="27"/>
          <tpl fld="4" item="12"/>
          <tpl hier="12" item="4"/>
          <tpl fld="1" item="0"/>
        </tpls>
      </n>
      <n v="241799833948.52542">
        <tpls c="6">
          <tpl hier="2" item="0"/>
          <tpl hier="4" item="1"/>
          <tpl fld="2" item="31"/>
          <tpl fld="4" item="11"/>
          <tpl hier="12" item="4"/>
          <tpl fld="1" item="0"/>
        </tpls>
      </n>
      <n v="201916321127.88608">
        <tpls c="6">
          <tpl hier="2" item="0"/>
          <tpl hier="4" item="1"/>
          <tpl fld="2" item="23"/>
          <tpl fld="4" item="9"/>
          <tpl hier="12" item="4"/>
          <tpl fld="1" item="0"/>
        </tpls>
      </n>
      <n v="1609793643864.1028">
        <tpls c="6">
          <tpl hier="2" item="0"/>
          <tpl hier="4" item="1"/>
          <tpl fld="2" item="15"/>
          <tpl fld="4" item="7"/>
          <tpl hier="12" item="4"/>
          <tpl fld="1" item="0"/>
        </tpls>
      </n>
      <n v="218096881033.85455">
        <tpls c="6">
          <tpl hier="2" item="0"/>
          <tpl hier="4" item="1"/>
          <tpl fld="2" item="23"/>
          <tpl fld="4" item="5"/>
          <tpl hier="12" item="4"/>
          <tpl fld="1" item="0"/>
        </tpls>
      </n>
      <n v="602003379672.18701">
        <tpls c="6">
          <tpl hier="2" item="0"/>
          <tpl hier="4" item="1"/>
          <tpl fld="2" item="15"/>
          <tpl fld="4" item="3"/>
          <tpl hier="12" item="4"/>
          <tpl fld="1" item="0"/>
        </tpls>
      </n>
      <n v="986067372481.58582">
        <tpls c="6">
          <tpl hier="2" item="0"/>
          <tpl hier="4" item="1"/>
          <tpl fld="2" item="27"/>
          <tpl fld="4" item="0"/>
          <tpl hier="12" item="4"/>
          <tpl fld="1" item="0"/>
        </tpls>
      </n>
      <n v="10949958697458.904">
        <tpls c="6">
          <tpl hier="2" item="0"/>
          <tpl hier="4" item="1"/>
          <tpl fld="2" item="2"/>
          <tpl hier="6" item="2"/>
          <tpl hier="12" item="4"/>
          <tpl fld="1" item="0"/>
        </tpls>
      </n>
      <n v="154094083400.3042">
        <tpls c="6">
          <tpl hier="2" item="0"/>
          <tpl hier="4" item="1"/>
          <tpl fld="2" item="6"/>
          <tpl fld="4" item="25"/>
          <tpl hier="12" item="4"/>
          <tpl fld="1" item="0"/>
        </tpls>
      </n>
      <n v="78726024705.928513">
        <tpls c="6">
          <tpl hier="2" item="0"/>
          <tpl hier="4" item="1"/>
          <tpl fld="2" item="10"/>
          <tpl fld="4" item="20"/>
          <tpl hier="12" item="4"/>
          <tpl fld="1" item="0"/>
        </tpls>
      </n>
      <n v="59185274095.750618">
        <tpls c="6">
          <tpl hier="2" item="0"/>
          <tpl hier="4" item="1"/>
          <tpl fld="2" item="10"/>
          <tpl fld="4" item="12"/>
          <tpl hier="12" item="4"/>
          <tpl fld="1" item="0"/>
        </tpls>
      </n>
      <n v="178634838991.38489">
        <tpls c="6">
          <tpl hier="2" item="0"/>
          <tpl hier="4" item="1"/>
          <tpl fld="2" item="22"/>
          <tpl fld="4" item="5"/>
          <tpl hier="12" item="4"/>
          <tpl fld="1" item="0"/>
        </tpls>
      </n>
      <n v="11116857206162.076">
        <tpls c="6">
          <tpl hier="2" item="0"/>
          <tpl hier="4" item="1"/>
          <tpl fld="2" item="1"/>
          <tpl hier="6" item="2"/>
          <tpl hier="12" item="4"/>
          <tpl fld="1" item="0"/>
        </tpls>
      </n>
      <n v="72425768249.611588">
        <tpls c="6">
          <tpl hier="2" item="0"/>
          <tpl hier="4" item="1"/>
          <tpl fld="2" item="1"/>
          <tpl fld="4" item="22"/>
          <tpl hier="12" item="4"/>
          <tpl fld="1" item="0"/>
        </tpls>
      </n>
      <n v="450870377292.02423">
        <tpls c="6">
          <tpl hier="2" item="0"/>
          <tpl hier="4" item="1"/>
          <tpl fld="2" item="5"/>
          <tpl fld="4" item="13"/>
          <tpl hier="12" item="4"/>
          <tpl fld="1" item="0"/>
        </tpls>
      </n>
      <n v="18849769799.037106">
        <tpls c="6">
          <tpl hier="2" item="0"/>
          <tpl hier="4" item="1"/>
          <tpl fld="2" item="25"/>
          <tpl fld="4" item="4"/>
          <tpl hier="12" item="4"/>
          <tpl fld="1" item="0"/>
        </tpls>
      </n>
      <n v="31934959795326.691">
        <tpls c="6">
          <tpl hier="2" item="0"/>
          <tpl hier="4" item="1"/>
          <tpl fld="2" item="20"/>
          <tpl hier="6" item="2"/>
          <tpl hier="12" item="4"/>
          <tpl fld="1" item="0"/>
        </tpls>
      </n>
      <n v="11665330783161.939">
        <tpls c="6">
          <tpl hier="2" item="0"/>
          <tpl hier="4" item="1"/>
          <tpl fld="2" item="4"/>
          <tpl hier="6" item="2"/>
          <tpl hier="12" item="4"/>
          <tpl fld="1" item="0"/>
        </tpls>
      </n>
      <n v="5691369766879.4219">
        <tpls c="6">
          <tpl hier="2" item="0"/>
          <tpl hier="4" item="1"/>
          <tpl fld="2" item="24"/>
          <tpl fld="3" item="2"/>
          <tpl hier="12" item="4"/>
          <tpl fld="1" item="0"/>
        </tpls>
      </n>
      <n v="2297172234750.0522">
        <tpls c="6">
          <tpl hier="2" item="0"/>
          <tpl hier="4" item="1"/>
          <tpl fld="2" item="8"/>
          <tpl fld="3" item="2"/>
          <tpl hier="12" item="4"/>
          <tpl fld="1" item="0"/>
        </tpls>
      </n>
      <n v="14718590000000">
        <tpls c="6">
          <tpl hier="2" item="0"/>
          <tpl hier="4" item="1"/>
          <tpl fld="2" item="28"/>
          <tpl fld="4" item="28"/>
          <tpl hier="12" item="4"/>
          <tpl fld="1" item="0"/>
        </tpls>
      </n>
      <n v="6539300000000">
        <tpls c="6">
          <tpl hier="2" item="0"/>
          <tpl hier="4" item="1"/>
          <tpl fld="2" item="12"/>
          <tpl fld="4" item="28"/>
          <tpl hier="12" item="4"/>
          <tpl fld="1" item="0"/>
        </tpls>
      </n>
      <n v="2630472976421.5449">
        <tpls c="6">
          <tpl hier="2" item="0"/>
          <tpl hier="4" item="1"/>
          <tpl fld="2" item="32"/>
          <tpl fld="4" item="27"/>
          <tpl hier="12" item="4"/>
          <tpl fld="1" item="0"/>
        </tpls>
      </n>
      <n v="1306660748860.6201">
        <tpls c="6">
          <tpl hier="2" item="0"/>
          <tpl hier="4" item="1"/>
          <tpl fld="2" item="16"/>
          <tpl fld="4" item="27"/>
          <tpl hier="12" item="4"/>
          <tpl fld="1" item="0"/>
        </tpls>
      </n>
      <n v="564954275555.14246">
        <tpls c="6">
          <tpl hier="2" item="0"/>
          <tpl hier="4" item="1"/>
          <tpl fld="2" item="0"/>
          <tpl fld="4" item="27"/>
          <tpl hier="12" item="4"/>
          <tpl fld="1" item="0"/>
        </tpls>
      </n>
      <n v="331452449567.72333">
        <tpls c="6">
          <tpl hier="2" item="0"/>
          <tpl hier="4" item="1"/>
          <tpl fld="2" item="20"/>
          <tpl fld="4" item="26"/>
          <tpl hier="12" item="4"/>
          <tpl fld="1" item="0"/>
        </tpls>
      </n>
      <n v="61052094901.564873">
        <tpls c="6">
          <tpl hier="2" item="0"/>
          <tpl hier="4" item="1"/>
          <tpl fld="2" item="4"/>
          <tpl fld="4" item="26"/>
          <tpl hier="12" item="4"/>
          <tpl fld="1" item="0"/>
        </tpls>
      </n>
      <n v="393543026039.97534">
        <tpls c="6">
          <tpl hier="2" item="0"/>
          <tpl hier="4" item="1"/>
          <tpl fld="2" item="24"/>
          <tpl fld="4" item="25"/>
          <tpl hier="12" item="4"/>
          <tpl fld="1" item="0"/>
        </tpls>
      </n>
      <n v="208774024465.24979">
        <tpls c="6">
          <tpl hier="2" item="0"/>
          <tpl hier="4" item="1"/>
          <tpl fld="2" item="8"/>
          <tpl fld="4" item="25"/>
          <tpl hier="12" item="4"/>
          <tpl fld="1" item="0"/>
        </tpls>
      </n>
      <n v="513965713033.11591">
        <tpls c="6">
          <tpl hier="2" item="0"/>
          <tpl hier="4" item="1"/>
          <tpl fld="2" item="28"/>
          <tpl fld="4" item="24"/>
          <tpl hier="12" item="4"/>
          <tpl fld="1" item="0"/>
        </tpls>
      </n>
      <n v="280310719058.52795">
        <tpls c="6">
          <tpl hier="2" item="0"/>
          <tpl hier="4" item="1"/>
          <tpl fld="2" item="12"/>
          <tpl fld="4" item="24"/>
          <tpl hier="12" item="4"/>
          <tpl fld="1" item="0"/>
        </tpls>
      </n>
      <n v="1339946775869.6719">
        <tpls c="6">
          <tpl hier="2" item="0"/>
          <tpl hier="4" item="1"/>
          <tpl fld="2" item="32"/>
          <tpl fld="4" item="23"/>
          <tpl hier="12" item="4"/>
          <tpl fld="1" item="0"/>
        </tpls>
      </n>
      <n v="641039173061.67358">
        <tpls c="6">
          <tpl hier="2" item="0"/>
          <tpl hier="4" item="1"/>
          <tpl fld="2" item="16"/>
          <tpl fld="4" item="23"/>
          <tpl hier="12" item="4"/>
          <tpl fld="1" item="0"/>
        </tpls>
      </n>
      <n v="232114563328.48499">
        <tpls c="6">
          <tpl hier="2" item="0"/>
          <tpl hier="4" item="1"/>
          <tpl fld="2" item="0"/>
          <tpl fld="4" item="23"/>
          <tpl hier="12" item="4"/>
          <tpl fld="1" item="0"/>
        </tpls>
      </n>
      <n v="561471142814.82727">
        <tpls c="6">
          <tpl hier="2" item="0"/>
          <tpl hier="4" item="1"/>
          <tpl fld="2" item="20"/>
          <tpl fld="4" item="22"/>
          <tpl hier="12" item="4"/>
          <tpl fld="1" item="0"/>
        </tpls>
      </n>
      <n v="96597933960.376953">
        <tpls c="6">
          <tpl hier="2" item="0"/>
          <tpl hier="4" item="1"/>
          <tpl fld="2" item="4"/>
          <tpl fld="4" item="22"/>
          <tpl hier="12" item="4"/>
          <tpl fld="1" item="0"/>
        </tpls>
      </n>
      <n v="114186941491.86829">
        <tpls c="6">
          <tpl hier="2" item="0"/>
          <tpl hier="4" item="1"/>
          <tpl fld="2" item="24"/>
          <tpl fld="4" item="21"/>
          <tpl hier="12" item="4"/>
          <tpl fld="1" item="0"/>
        </tpls>
      </n>
      <n v="26515273861.137684">
        <tpls c="6">
          <tpl hier="2" item="0"/>
          <tpl hier="4" item="1"/>
          <tpl fld="2" item="8"/>
          <tpl fld="4" item="21"/>
          <tpl hier="12" item="4"/>
          <tpl fld="1" item="0"/>
        </tpls>
      </n>
      <n v="262017293712.25717">
        <tpls c="6">
          <tpl hier="2" item="0"/>
          <tpl hier="4" item="1"/>
          <tpl fld="2" item="28"/>
          <tpl fld="4" item="20"/>
          <tpl hier="12" item="4"/>
          <tpl fld="1" item="0"/>
        </tpls>
      </n>
      <n v="107608066545.05382">
        <tpls c="6">
          <tpl hier="2" item="0"/>
          <tpl hier="4" item="1"/>
          <tpl fld="2" item="12"/>
          <tpl fld="4" item="20"/>
          <tpl hier="12" item="4"/>
          <tpl fld="1" item="0"/>
        </tpls>
      </n>
      <n v="509704856037.81696">
        <tpls c="6">
          <tpl hier="2" item="0"/>
          <tpl hier="4" item="1"/>
          <tpl fld="2" item="32"/>
          <tpl fld="4" item="19"/>
          <tpl hier="12" item="4"/>
          <tpl fld="1" item="0"/>
        </tpls>
      </n>
      <n v="163517573072.67566">
        <tpls c="6">
          <tpl hier="2" item="0"/>
          <tpl hier="4" item="1"/>
          <tpl fld="2" item="16"/>
          <tpl fld="4" item="19"/>
          <tpl hier="12" item="4"/>
          <tpl fld="1" item="0"/>
        </tpls>
      </n>
      <n v="65043584772.914772">
        <tpls c="6">
          <tpl hier="2" item="0"/>
          <tpl hier="4" item="1"/>
          <tpl fld="2" item="0"/>
          <tpl fld="4" item="19"/>
          <tpl hier="12" item="4"/>
          <tpl fld="1" item="0"/>
        </tpls>
      </n>
      <n v="54443378940.418938">
        <tpls c="6">
          <tpl hier="2" item="0"/>
          <tpl hier="4" item="1"/>
          <tpl fld="2" item="20"/>
          <tpl fld="4" item="18"/>
          <tpl hier="12" item="4"/>
          <tpl fld="1" item="0"/>
        </tpls>
      </n>
      <n v="23947947624.493866">
        <tpls c="6">
          <tpl hier="2" item="0"/>
          <tpl hier="4" item="1"/>
          <tpl fld="2" item="4"/>
          <tpl fld="4" item="18"/>
          <tpl hier="12" item="4"/>
          <tpl fld="1" item="0"/>
        </tpls>
      </n>
      <n v="650560925791.41138">
        <tpls c="6">
          <tpl hier="2" item="0"/>
          <tpl hier="4" item="1"/>
          <tpl fld="2" item="24"/>
          <tpl fld="4" item="17"/>
          <tpl hier="12" item="4"/>
          <tpl fld="1" item="0"/>
        </tpls>
      </n>
      <n v="258557813608.68964">
        <tpls c="6">
          <tpl hier="2" item="0"/>
          <tpl hier="4" item="1"/>
          <tpl fld="2" item="8"/>
          <tpl fld="4" item="17"/>
          <tpl hier="12" item="4"/>
          <tpl fld="1" item="0"/>
        </tpls>
      </n>
      <n v="8977482115.8967495">
        <tpls c="6">
          <tpl hier="2" item="0"/>
          <tpl hier="4" item="1"/>
          <tpl fld="2" item="28"/>
          <tpl fld="4" item="16"/>
          <tpl hier="12" item="4"/>
          <tpl fld="1" item="0"/>
        </tpls>
      </n>
      <n v="3125571508.4004259">
        <tpls c="6">
          <tpl hier="2" item="0"/>
          <tpl hier="4" item="1"/>
          <tpl fld="2" item="12"/>
          <tpl fld="4" item="16"/>
          <tpl hier="12" item="4"/>
          <tpl fld="1" item="0"/>
        </tpls>
      </n>
      <n v="55986712469.433128">
        <tpls c="6">
          <tpl hier="2" item="0"/>
          <tpl hier="4" item="1"/>
          <tpl fld="2" item="32"/>
          <tpl fld="4" item="15"/>
          <tpl hier="12" item="4"/>
          <tpl fld="1" item="0"/>
        </tpls>
      </n>
      <n v="21703530377.814857">
        <tpls c="6">
          <tpl hier="2" item="0"/>
          <tpl hier="4" item="1"/>
          <tpl fld="2" item="16"/>
          <tpl fld="4" item="15"/>
          <tpl hier="12" item="4"/>
          <tpl fld="1" item="0"/>
        </tpls>
      </n>
      <n v="6294278690.718729">
        <tpls c="6">
          <tpl hier="2" item="0"/>
          <tpl hier="4" item="1"/>
          <tpl fld="2" item="0"/>
          <tpl fld="4" item="15"/>
          <tpl hier="12" item="4"/>
          <tpl fld="1" item="0"/>
        </tpls>
      </n>
      <n v="4732497877335.5107">
        <tpls c="6">
          <tpl hier="2" item="0"/>
          <tpl hier="4" item="1"/>
          <tpl fld="2" item="20"/>
          <tpl fld="4" item="14"/>
          <tpl hier="12" item="4"/>
          <tpl fld="1" item="0"/>
        </tpls>
      </n>
      <n v="1296719258175.5413">
        <tpls c="6">
          <tpl hier="2" item="0"/>
          <tpl hier="4" item="1"/>
          <tpl fld="2" item="4"/>
          <tpl fld="4" item="14"/>
          <tpl hier="12" item="4"/>
          <tpl fld="1" item="0"/>
        </tpls>
      </n>
      <n v="1799204087587.6155">
        <tpls c="6">
          <tpl hier="2" item="0"/>
          <tpl hier="4" item="1"/>
          <tpl fld="2" item="24"/>
          <tpl fld="4" item="13"/>
          <tpl hier="12" item="4"/>
          <tpl fld="1" item="0"/>
        </tpls>
      </n>
      <n v="888946104372.80444">
        <tpls c="6">
          <tpl hier="2" item="0"/>
          <tpl hier="4" item="1"/>
          <tpl fld="2" item="8"/>
          <tpl fld="4" item="13"/>
          <tpl hier="12" item="4"/>
          <tpl fld="1" item="0"/>
        </tpls>
      </n>
      <n v="216759070431.35641">
        <tpls c="6">
          <tpl hier="2" item="0"/>
          <tpl hier="4" item="1"/>
          <tpl fld="2" item="28"/>
          <tpl fld="4" item="12"/>
          <tpl hier="12" item="4"/>
          <tpl fld="1" item="0"/>
        </tpls>
      </n>
      <n v="75829513380.046951">
        <tpls c="6">
          <tpl hier="2" item="0"/>
          <tpl hier="4" item="1"/>
          <tpl fld="2" item="12"/>
          <tpl fld="4" item="12"/>
          <tpl hier="12" item="4"/>
          <tpl fld="1" item="0"/>
        </tpls>
      </n>
      <n v="224650697371.78873">
        <tpls c="6">
          <tpl hier="2" item="0"/>
          <tpl hier="4" item="1"/>
          <tpl fld="2" item="32"/>
          <tpl fld="4" item="11"/>
          <tpl hier="12" item="4"/>
          <tpl fld="1" item="0"/>
        </tpls>
      </n>
      <n v="75848380877.191055">
        <tpls c="6">
          <tpl hier="2" item="0"/>
          <tpl hier="4" item="1"/>
          <tpl fld="2" item="16"/>
          <tpl fld="4" item="11"/>
          <tpl hier="12" item="4"/>
          <tpl fld="1" item="0"/>
        </tpls>
      </n>
      <n v="21771865782.061798">
        <tpls c="6">
          <tpl hier="2" item="0"/>
          <tpl hier="4" item="1"/>
          <tpl fld="2" item="0"/>
          <tpl fld="4" item="11"/>
          <tpl hier="12" item="4"/>
          <tpl fld="1" item="0"/>
        </tpls>
      </n>
      <n v="8924741439.5453377">
        <tpls c="6">
          <tpl hier="2" item="0"/>
          <tpl hier="4" item="1"/>
          <tpl fld="2" item="20"/>
          <tpl fld="4" item="10"/>
          <tpl hier="12" item="4"/>
          <tpl fld="1" item="0"/>
        </tpls>
      </n>
      <n v="2887005264.3200035">
        <tpls c="6">
          <tpl hier="2" item="0"/>
          <tpl hier="4" item="1"/>
          <tpl fld="2" item="4"/>
          <tpl fld="4" item="10"/>
          <tpl hier="12" item="4"/>
          <tpl fld="1" item="0"/>
        </tpls>
      </n>
      <n v="240531709225.00977">
        <tpls c="6">
          <tpl hier="2" item="0"/>
          <tpl hier="4" item="1"/>
          <tpl fld="2" item="24"/>
          <tpl fld="4" item="9"/>
          <tpl hier="12" item="4"/>
          <tpl fld="1" item="0"/>
        </tpls>
      </n>
      <n v="76257903745.887573">
        <tpls c="6">
          <tpl hier="2" item="0"/>
          <tpl hier="4" item="1"/>
          <tpl fld="2" item="8"/>
          <tpl fld="4" item="9"/>
          <tpl hier="12" item="4"/>
          <tpl fld="1" item="0"/>
        </tpls>
      </n>
      <n v="3752504615265.4458">
        <tpls c="6">
          <tpl hier="2" item="0"/>
          <tpl hier="4" item="1"/>
          <tpl fld="2" item="28"/>
          <tpl fld="4" item="8"/>
          <tpl hier="12" item="4"/>
          <tpl fld="1" item="0"/>
        </tpls>
      </n>
      <n v="2123239970614.8958">
        <tpls c="6">
          <tpl hier="2" item="0"/>
          <tpl hier="4" item="1"/>
          <tpl fld="2" item="12"/>
          <tpl fld="4" item="8"/>
          <tpl hier="12" item="4"/>
          <tpl fld="1" item="0"/>
        </tpls>
      </n>
      <n v="2681416113405.0181">
        <tpls c="6">
          <tpl hier="2" item="0"/>
          <tpl hier="4" item="1"/>
          <tpl fld="2" item="32"/>
          <tpl fld="4" item="7"/>
          <tpl hier="12" item="4"/>
          <tpl fld="1" item="0"/>
        </tpls>
      </n>
      <n v="1614335706274.5322">
        <tpls c="6">
          <tpl hier="2" item="0"/>
          <tpl hier="4" item="1"/>
          <tpl fld="2" item="16"/>
          <tpl fld="4" item="7"/>
          <tpl hier="12" item="4"/>
          <tpl fld="1" item="0"/>
        </tpls>
      </n>
      <n v="703541387722.36707">
        <tpls c="6">
          <tpl hier="2" item="0"/>
          <tpl hier="4" item="1"/>
          <tpl fld="2" item="0"/>
          <tpl fld="4" item="7"/>
          <tpl hier="12" item="4"/>
          <tpl fld="1" item="0"/>
        </tpls>
      </n>
      <n v="125539800597.1619">
        <tpls c="6">
          <tpl hier="2" item="0"/>
          <tpl hier="4" item="1"/>
          <tpl fld="2" item="20"/>
          <tpl fld="4" item="6"/>
          <tpl hier="12" item="4"/>
          <tpl fld="1" item="0"/>
        </tpls>
      </n>
      <n v="52925902746.848213">
        <tpls c="6">
          <tpl hier="2" item="0"/>
          <tpl hier="4" item="1"/>
          <tpl fld="2" item="4"/>
          <tpl fld="4" item="6"/>
          <tpl hier="12" item="4"/>
          <tpl fld="1" item="0"/>
        </tpls>
      </n>
      <n v="251244659393.72601">
        <tpls c="6">
          <tpl hier="2" item="0"/>
          <tpl hier="4" item="1"/>
          <tpl fld="2" item="24"/>
          <tpl fld="4" item="5"/>
          <tpl hier="12" item="4"/>
          <tpl fld="1" item="0"/>
        </tpls>
      </n>
      <n v="115111489595.59683">
        <tpls c="6">
          <tpl hier="2" item="0"/>
          <tpl hier="4" item="1"/>
          <tpl fld="2" item="8"/>
          <tpl fld="4" item="5"/>
          <tpl hier="12" item="4"/>
          <tpl fld="1" item="0"/>
        </tpls>
      </n>
      <n v="27570964215.153069">
        <tpls c="6">
          <tpl hier="2" item="0"/>
          <tpl hier="4" item="1"/>
          <tpl fld="2" item="28"/>
          <tpl fld="4" item="4"/>
          <tpl hier="12" item="4"/>
          <tpl fld="1" item="0"/>
        </tpls>
      </n>
      <n v="7649040353.3209553">
        <tpls c="6">
          <tpl hier="2" item="0"/>
          <tpl hier="4" item="1"/>
          <tpl fld="2" item="12"/>
          <tpl fld="4" item="4"/>
          <tpl hier="12" item="4"/>
          <tpl fld="1" item="0"/>
        </tpls>
      </n>
      <n v="1832715596922.8665">
        <tpls c="6">
          <tpl hier="2" item="0"/>
          <tpl hier="4" item="1"/>
          <tpl fld="2" item="32"/>
          <tpl fld="4" item="3"/>
          <tpl hier="12" item="4"/>
          <tpl fld="1" item="0"/>
        </tpls>
      </n>
      <n v="626965071355.16089">
        <tpls c="6">
          <tpl hier="2" item="0"/>
          <tpl hier="4" item="1"/>
          <tpl fld="2" item="16"/>
          <tpl fld="4" item="3"/>
          <tpl hier="12" item="4"/>
          <tpl fld="1" item="0"/>
        </tpls>
      </n>
      <n v="273432931637.0524">
        <tpls c="6">
          <tpl hier="2" item="0"/>
          <tpl hier="4" item="1"/>
          <tpl fld="2" item="0"/>
          <tpl fld="4" item="3"/>
          <tpl hier="12" item="4"/>
          <tpl fld="1" item="0"/>
        </tpls>
      </n>
      <n v="237904744496.22665">
        <tpls c="6">
          <tpl hier="2" item="0"/>
          <tpl hier="4" item="1"/>
          <tpl fld="2" item="20"/>
          <tpl fld="4" item="2"/>
          <tpl hier="12" item="4"/>
          <tpl fld="1" item="0"/>
        </tpls>
      </n>
      <n v="83794247227.727463">
        <tpls c="6">
          <tpl hier="2" item="0"/>
          <tpl hier="4" item="1"/>
          <tpl fld="2" item="4"/>
          <tpl fld="4" item="2"/>
          <tpl hier="12" item="4"/>
          <tpl fld="1" item="0"/>
        </tpls>
      </n>
      <n v="299870270001.80042">
        <tpls c="6">
          <tpl hier="2" item="0"/>
          <tpl hier="4" item="1"/>
          <tpl fld="2" item="24"/>
          <tpl fld="4" item="1"/>
          <tpl hier="12" item="4"/>
          <tpl fld="1" item="0"/>
        </tpls>
      </n>
      <n v="133012268828.82611">
        <tpls c="6">
          <tpl hier="2" item="0"/>
          <tpl hier="4" item="1"/>
          <tpl fld="2" item="8"/>
          <tpl fld="4" item="1"/>
          <tpl hier="12" item="4"/>
          <tpl fld="1" item="0"/>
        </tpls>
      </n>
      <n v="1055273359697.958">
        <tpls c="6">
          <tpl hier="2" item="0"/>
          <tpl hier="4" item="1"/>
          <tpl fld="2" item="28"/>
          <tpl fld="4" item="0"/>
          <tpl hier="12" item="4"/>
          <tpl fld="1" item="0"/>
        </tpls>
      </n>
      <n v="326133407576.68481">
        <tpls c="6">
          <tpl hier="2" item="0"/>
          <tpl hier="4" item="1"/>
          <tpl fld="2" item="12"/>
          <tpl fld="4" item="0"/>
          <tpl hier="12" item="4"/>
          <tpl fld="1" item="0"/>
        </tpls>
      </n>
      <n v="8478605388272.584">
        <tpls c="6">
          <tpl hier="2" item="0"/>
          <tpl hier="4" item="1"/>
          <tpl fld="2" item="32"/>
          <tpl fld="3" item="0"/>
          <tpl hier="12" item="4"/>
          <tpl fld="1" item="0"/>
        </tpls>
      </n>
      <n v="864321475071.1886">
        <tpls c="6">
          <tpl hier="2" item="0"/>
          <tpl hier="4" item="1"/>
          <tpl fld="2" item="16"/>
          <tpl fld="3" item="0"/>
          <tpl hier="12" item="4"/>
          <tpl fld="1" item="0"/>
        </tpls>
      </n>
      <n v="302943139348.63855">
        <tpls c="6">
          <tpl hier="2" item="0"/>
          <tpl hier="4" item="1"/>
          <tpl fld="2" item="0"/>
          <tpl fld="3" item="0"/>
          <tpl hier="12" item="4"/>
          <tpl fld="1" item="0"/>
        </tpls>
      </n>
      <n v="31089631588536.973">
        <tpls c="6">
          <tpl hier="2" item="0"/>
          <tpl hier="4" item="1"/>
          <tpl fld="2" item="19"/>
          <tpl hier="6" item="2"/>
          <tpl hier="12" item="4"/>
          <tpl fld="1" item="0"/>
        </tpls>
      </n>
      <n v="19891884454611.633">
        <tpls c="6">
          <tpl hier="2" item="0"/>
          <tpl hier="4" item="1"/>
          <tpl hier="5" item="3"/>
          <tpl fld="4" item="22"/>
          <tpl hier="12" item="4"/>
          <tpl fld="1" item="0"/>
        </tpls>
      </n>
      <n v="152028441537.99701">
        <tpls c="6">
          <tpl hier="2" item="0"/>
          <tpl hier="4" item="1"/>
          <tpl fld="2" item="15"/>
          <tpl fld="4" item="19"/>
          <tpl hier="12" item="4"/>
          <tpl fld="1" item="0"/>
        </tpls>
      </n>
      <n v="2844523866.8979478">
        <tpls c="6">
          <tpl hier="2" item="0"/>
          <tpl hier="4" item="1"/>
          <tpl fld="2" item="11"/>
          <tpl fld="4" item="16"/>
          <tpl hier="12" item="4"/>
          <tpl fld="1" item="0"/>
        </tpls>
      </n>
      <n v="4433448711275.4717">
        <tpls c="6">
          <tpl hier="2" item="0"/>
          <tpl hier="4" item="1"/>
          <tpl fld="2" item="19"/>
          <tpl fld="4" item="14"/>
          <tpl hier="12" item="4"/>
          <tpl fld="1" item="0"/>
        </tpls>
      </n>
      <n v="67756126376.267426">
        <tpls c="6">
          <tpl hier="2" item="0"/>
          <tpl hier="4" item="1"/>
          <tpl fld="2" item="11"/>
          <tpl fld="4" item="12"/>
          <tpl hier="12" item="4"/>
          <tpl fld="1" item="0"/>
        </tpls>
      </n>
      <n v="324537897927.53857">
        <tpls c="6">
          <tpl hier="2" item="0"/>
          <tpl hier="4" item="1"/>
          <tpl hier="5" item="3"/>
          <tpl fld="4" item="10"/>
          <tpl hier="12" item="4"/>
          <tpl fld="1" item="0"/>
        </tpls>
      </n>
      <n v="2862680156987.8027">
        <tpls c="6">
          <tpl hier="2" item="0"/>
          <tpl hier="4" item="1"/>
          <tpl fld="2" item="31"/>
          <tpl fld="4" item="7"/>
          <tpl hier="12" item="4"/>
          <tpl fld="1" item="0"/>
        </tpls>
      </n>
      <n v="109149785418.56111">
        <tpls c="6">
          <tpl hier="2" item="0"/>
          <tpl hier="4" item="1"/>
          <tpl fld="2" item="7"/>
          <tpl fld="4" item="5"/>
          <tpl hier="12" item="4"/>
          <tpl fld="1" item="0"/>
        </tpls>
      </n>
      <n v="87649552760.826263">
        <tpls c="6">
          <tpl hier="2" item="0"/>
          <tpl hier="4" item="1"/>
          <tpl fld="2" item="3"/>
          <tpl fld="4" item="2"/>
          <tpl hier="12" item="4"/>
          <tpl fld="1" item="0"/>
        </tpls>
      </n>
      <n v="734353250508.98254">
        <tpls c="6">
          <tpl hier="2" item="0"/>
          <tpl hier="4" item="1"/>
          <tpl fld="2" item="15"/>
          <tpl fld="3" item="0"/>
          <tpl hier="12" item="4"/>
          <tpl fld="1" item="0"/>
        </tpls>
      </n>
      <n v="72376655585679.563">
        <tpls c="6">
          <tpl hier="2" item="0"/>
          <tpl hier="4" item="1"/>
          <tpl fld="2" item="34"/>
          <tpl hier="6" item="2"/>
          <tpl hier="12" item="4"/>
          <tpl fld="1" item="0"/>
        </tpls>
      </n>
      <n v="530063749637.78613">
        <tpls c="6">
          <tpl hier="2" item="0"/>
          <tpl hier="4" item="1"/>
          <tpl fld="2" item="34"/>
          <tpl fld="4" item="26"/>
          <tpl hier="12" item="4"/>
          <tpl fld="1" item="0"/>
        </tpls>
      </n>
      <n v="420029320777.07544">
        <tpls c="6">
          <tpl hier="2" item="0"/>
          <tpl hier="4" item="1"/>
          <tpl fld="2" item="26"/>
          <tpl fld="4" item="24"/>
          <tpl hier="12" item="4"/>
          <tpl fld="1" item="0"/>
        </tpls>
      </n>
      <n v="91941849502.758392">
        <tpls c="6">
          <tpl hier="2" item="0"/>
          <tpl hier="4" item="1"/>
          <tpl fld="2" item="22"/>
          <tpl fld="4" item="21"/>
          <tpl hier="12" item="4"/>
          <tpl fld="1" item="0"/>
        </tpls>
      </n>
      <n v="198651955701.19043">
        <tpls c="6">
          <tpl hier="2" item="0"/>
          <tpl hier="4" item="1"/>
          <tpl fld="2" item="34"/>
          <tpl fld="4" item="18"/>
          <tpl hier="12" item="4"/>
          <tpl fld="1" item="0"/>
        </tpls>
      </n>
      <n v="2634682017.6281424">
        <tpls c="6">
          <tpl hier="2" item="0"/>
          <tpl hier="4" item="1"/>
          <tpl fld="2" item="10"/>
          <tpl fld="4" item="16"/>
          <tpl hier="12" item="4"/>
          <tpl fld="1" item="0"/>
        </tpls>
      </n>
      <n v="4606173140385.0195">
        <tpls c="6">
          <tpl hier="2" item="0"/>
          <tpl hier="4" item="1"/>
          <tpl fld="2" item="34"/>
          <tpl fld="4" item="14"/>
          <tpl hier="12" item="4"/>
          <tpl fld="1" item="0"/>
        </tpls>
      </n>
      <n v="154511133254.99213">
        <tpls c="6">
          <tpl hier="2" item="0"/>
          <tpl hier="4" item="1"/>
          <tpl fld="2" item="26"/>
          <tpl fld="4" item="12"/>
          <tpl hier="12" item="4"/>
          <tpl fld="1" item="0"/>
        </tpls>
      </n>
      <n v="8469759288.1726809">
        <tpls c="6">
          <tpl hier="2" item="0"/>
          <tpl hier="4" item="1"/>
          <tpl fld="2" item="18"/>
          <tpl fld="4" item="10"/>
          <tpl hier="12" item="4"/>
          <tpl fld="1" item="0"/>
        </tpls>
      </n>
      <n v="2646837118770.2134">
        <tpls c="6">
          <tpl hier="2" item="0"/>
          <tpl hier="4" item="1"/>
          <tpl fld="2" item="30"/>
          <tpl fld="4" item="7"/>
          <tpl hier="12" item="4"/>
          <tpl fld="1" item="0"/>
        </tpls>
      </n>
      <n v="20584885087.694633">
        <tpls c="6">
          <tpl hier="2" item="0"/>
          <tpl hier="4" item="1"/>
          <tpl fld="2" item="26"/>
          <tpl fld="4" item="4"/>
          <tpl hier="12" item="4"/>
          <tpl fld="1" item="0"/>
        </tpls>
      </n>
      <n v="212980366037.71844">
        <tpls c="6">
          <tpl hier="2" item="0"/>
          <tpl hier="4" item="1"/>
          <tpl fld="2" item="22"/>
          <tpl fld="4" item="1"/>
          <tpl hier="12" item="4"/>
          <tpl fld="1" item="0"/>
        </tpls>
      </n>
      <n v="2314507590876.7715">
        <tpls c="6">
          <tpl hier="2" item="0"/>
          <tpl hier="4" item="1"/>
          <tpl fld="2" item="29"/>
          <tpl fld="4" item="27"/>
          <tpl hier="12" item="4"/>
          <tpl fld="1" item="0"/>
        </tpls>
      </n>
      <n v="1498984445727.1926">
        <tpls c="6">
          <tpl hier="2" item="0"/>
          <tpl hier="4" item="1"/>
          <tpl fld="2" item="29"/>
          <tpl fld="4" item="23"/>
          <tpl hier="12" item="4"/>
          <tpl fld="1" item="0"/>
        </tpls>
      </n>
      <n v="69302141308.820938">
        <tpls c="6">
          <tpl hier="2" item="0"/>
          <tpl hier="4" item="1"/>
          <tpl fld="2" item="17"/>
          <tpl fld="4" item="18"/>
          <tpl hier="12" item="4"/>
          <tpl fld="1" item="0"/>
        </tpls>
      </n>
      <n v="16650739160.170582">
        <tpls c="6">
          <tpl hier="2" item="0"/>
          <tpl hier="4" item="1"/>
          <tpl fld="2" item="13"/>
          <tpl fld="4" item="15"/>
          <tpl hier="12" item="4"/>
          <tpl fld="1" item="0"/>
        </tpls>
      </n>
      <n v="7601796624.6922913">
        <tpls c="6">
          <tpl hier="2" item="0"/>
          <tpl hier="4" item="1"/>
          <tpl fld="2" item="17"/>
          <tpl fld="4" item="10"/>
          <tpl hier="12" item="4"/>
          <tpl fld="1" item="0"/>
        </tpls>
      </n>
      <n v="1330166536003.7488">
        <tpls c="6">
          <tpl hier="2" item="0"/>
          <tpl hier="4" item="1"/>
          <tpl fld="2" item="13"/>
          <tpl fld="4" item="7"/>
          <tpl hier="12" item="4"/>
          <tpl fld="1" item="0"/>
        </tpls>
      </n>
      <n v="574845229832.5166">
        <tpls c="6">
          <tpl hier="2" item="0"/>
          <tpl hier="4" item="1"/>
          <tpl fld="2" item="13"/>
          <tpl fld="4" item="3"/>
          <tpl hier="12" item="4"/>
          <tpl fld="1" item="0"/>
        </tpls>
      </n>
      <n v="319527166249.91986">
        <tpls c="6">
          <tpl hier="2" item="0"/>
          <tpl hier="4" item="1"/>
          <tpl fld="2" item="9"/>
          <tpl fld="4" item="0"/>
          <tpl hier="12" item="4"/>
          <tpl fld="1" item="0"/>
        </tpls>
      </n>
    </entries>
    <sets count="5">
      <set count="1" maxRank="1" setDefinition="{[Data].[GDP and other output measures].[Output Definition].&amp;[Expenditure Approach]}">
        <tpls c="1">
          <tpl fld="0" item="0"/>
        </tpls>
      </set>
      <set count="1" maxRank="1" setDefinition="{[Data].[Original Source Data].[Source].&amp;[PENN]}">
        <tpls c="1">
          <tpl fld="5" item="0"/>
        </tpls>
      </set>
      <set count="3" maxRank="1" setDefinition="{([Geography].[Blocs].[Major_Blocs].&amp;[South]),([Geography].[Blocs].[Major_Blocs].&amp;[North]),([Geography].[Blocs].[Major_Blocs].&amp;[China Mainland])}">
        <tpls c="1">
          <tpl fld="3" item="2"/>
        </tpls>
      </set>
      <set count="35" maxRank="1" setDefinition="{([Dates].[Year].&amp;[2014]),([Dates].[Year].&amp;[2013]),([Dates].[Year].&amp;[2012]),([Dates].[Year].&amp;[2011]),([Dates].[Year].&amp;[2010]),([Dates].[Year].&amp;[2009]),([Dates].[Year].&amp;[2008]),([Dates].[Year].&amp;[2007]),([Dates].[Year].&amp;[2006]),([Dates].[Year].&amp;[2005]),([Dates].[Year].&amp;[2004]),([Dates].[Year].&amp;[2003]),([Dates].[Year].&amp;[2002]),([Dates].[Year].&amp;[2001]),([Dates].[Year].&amp;[2000]),([Dates].[Year].&amp;[1999]),([Dates].[Year].&amp;[1998]),([Dates].[Year].&amp;[1997]),([Dates].[Year].&amp;[1996]),([Dates].[Year].&amp;[1995]),([Dates].[Year].&amp;[1994]),([Dates].[Year].&amp;[1993]),([Dates].[Year].&amp;[1992]),([Dates].[Year].&amp;[1991]),([Dates].[Year].&amp;[1990]),([Dates].[Year].&amp;[1989]),([Dates].[Year].&amp;[1988]),([Dates].[Year].&amp;[1987]),([Dates].[Year].&amp;[1986]),([Dates].[Year].&amp;[1985]),([Dates].[Year].&amp;[1984]),([Dates].[Year].&amp;[1983]),([Dates].[Year].&amp;[1982]),([Dates].[Year].&amp;[1981]),([Dates].[Year].&amp;[1980])}">
        <tpls c="1">
          <tpl fld="2" item="34"/>
        </tpls>
      </set>
      <set count="1" maxRank="1" setDefinition="{[Indicator Detail].[Units].[Measure Type (Stock/Flow/etc)].&amp;[Flow].&amp;[Money].&amp;[USD]}">
        <tpls c="1">
          <tpl fld="8" item="0"/>
        </tpls>
      </set>
    </sets>
    <queryCache count="72">
      <query mdx="[Measures].[Item]">
        <tpls c="1">
          <tpl fld="1" item="0"/>
        </tpls>
      </query>
      <query mdx="[Dates].[Year].&amp;[1980]">
        <tpls c="1">
          <tpl fld="2" item="0"/>
        </tpls>
      </query>
      <query mdx="[Dates].[Year].&amp;[1981]">
        <tpls c="1">
          <tpl fld="2" item="1"/>
        </tpls>
      </query>
      <query mdx="[Dates].[Year].&amp;[1982]">
        <tpls c="1">
          <tpl fld="2" item="2"/>
        </tpls>
      </query>
      <query mdx="[Dates].[Year].&amp;[1983]">
        <tpls c="1">
          <tpl fld="2" item="3"/>
        </tpls>
      </query>
      <query mdx="[Dates].[Year].&amp;[1984]">
        <tpls c="1">
          <tpl fld="2" item="4"/>
        </tpls>
      </query>
      <query mdx="[Dates].[Year].&amp;[1985]">
        <tpls c="1">
          <tpl fld="2" item="5"/>
        </tpls>
      </query>
      <query mdx="[Dates].[Year].&amp;[1986]">
        <tpls c="1">
          <tpl fld="2" item="6"/>
        </tpls>
      </query>
      <query mdx="[Dates].[Year].&amp;[1987]">
        <tpls c="1">
          <tpl fld="2" item="7"/>
        </tpls>
      </query>
      <query mdx="[Dates].[Year].&amp;[1988]">
        <tpls c="1">
          <tpl fld="2" item="8"/>
        </tpls>
      </query>
      <query mdx="[Dates].[Year].&amp;[1989]">
        <tpls c="1">
          <tpl fld="2" item="9"/>
        </tpls>
      </query>
      <query mdx="[Dates].[Year].&amp;[1990]">
        <tpls c="1">
          <tpl fld="2" item="10"/>
        </tpls>
      </query>
      <query mdx="[Dates].[Year].&amp;[1991]">
        <tpls c="1">
          <tpl fld="2" item="11"/>
        </tpls>
      </query>
      <query mdx="[Dates].[Year].&amp;[1992]">
        <tpls c="1">
          <tpl fld="2" item="12"/>
        </tpls>
      </query>
      <query mdx="[Dates].[Year].&amp;[1993]">
        <tpls c="1">
          <tpl fld="2" item="13"/>
        </tpls>
      </query>
      <query mdx="[Dates].[Year].&amp;[1994]">
        <tpls c="1">
          <tpl fld="2" item="14"/>
        </tpls>
      </query>
      <query mdx="[Dates].[Year].&amp;[1995]">
        <tpls c="1">
          <tpl fld="2" item="15"/>
        </tpls>
      </query>
      <query mdx="[Dates].[Year].&amp;[1996]">
        <tpls c="1">
          <tpl fld="2" item="16"/>
        </tpls>
      </query>
      <query mdx="[Dates].[Year].&amp;[1997]">
        <tpls c="1">
          <tpl fld="2" item="17"/>
        </tpls>
      </query>
      <query mdx="[Dates].[Year].&amp;[1998]">
        <tpls c="1">
          <tpl fld="2" item="18"/>
        </tpls>
      </query>
      <query mdx="[Dates].[Year].&amp;[1999]">
        <tpls c="1">
          <tpl fld="2" item="19"/>
        </tpls>
      </query>
      <query mdx="[Dates].[Year].&amp;[2000]">
        <tpls c="1">
          <tpl fld="2" item="20"/>
        </tpls>
      </query>
      <query mdx="[Dates].[Year].&amp;[2001]">
        <tpls c="1">
          <tpl fld="2" item="21"/>
        </tpls>
      </query>
      <query mdx="[Dates].[Year].&amp;[2002]">
        <tpls c="1">
          <tpl fld="2" item="22"/>
        </tpls>
      </query>
      <query mdx="[Dates].[Year].&amp;[2003]">
        <tpls c="1">
          <tpl fld="2" item="23"/>
        </tpls>
      </query>
      <query mdx="[Dates].[Year].&amp;[2004]">
        <tpls c="1">
          <tpl fld="2" item="24"/>
        </tpls>
      </query>
      <query mdx="[Dates].[Year].&amp;[2005]">
        <tpls c="1">
          <tpl fld="2" item="25"/>
        </tpls>
      </query>
      <query mdx="[Dates].[Year].&amp;[2006]">
        <tpls c="1">
          <tpl fld="2" item="26"/>
        </tpls>
      </query>
      <query mdx="[Dates].[Year].&amp;[2007]">
        <tpls c="1">
          <tpl fld="2" item="27"/>
        </tpls>
      </query>
      <query mdx="[Dates].[Year].&amp;[2008]">
        <tpls c="1">
          <tpl fld="2" item="28"/>
        </tpls>
      </query>
      <query mdx="[Dates].[Year].&amp;[2009]">
        <tpls c="1">
          <tpl fld="2" item="29"/>
        </tpls>
      </query>
      <query mdx="[Dates].[Year].&amp;[2010]">
        <tpls c="1">
          <tpl fld="2" item="30"/>
        </tpls>
      </query>
      <query mdx="[Dates].[Year].&amp;[2011]">
        <tpls c="1">
          <tpl fld="2" item="31"/>
        </tpls>
      </query>
      <query mdx="[Dates].[Year].&amp;[2012]">
        <tpls c="1">
          <tpl fld="2" item="32"/>
        </tpls>
      </query>
      <query mdx="[Dates].[Year].&amp;[2013]">
        <tpls c="1">
          <tpl fld="2" item="33"/>
        </tpls>
      </query>
      <query mdx="[Dates].[Year].&amp;[2014]">
        <tpls c="1">
          <tpl fld="2" item="34"/>
        </tpls>
      </query>
      <query mdx="[Geography].[Blocs].[Major_Blocs].&amp;[China Mainland]">
        <tpls c="1">
          <tpl fld="3" item="0"/>
        </tpls>
      </query>
      <query mdx="[Geography].[Blocs].[Major_Blocs].&amp;[North]">
        <tpls c="1">
          <tpl fld="3" item="1"/>
        </tpls>
      </query>
      <query mdx="[Geography].[Blocs].[Country].&amp;[Australia]">
        <tpls c="1">
          <tpl fld="4" item="0"/>
        </tpls>
      </query>
      <query mdx="[Geography].[Blocs].[Country].&amp;[Austria]">
        <tpls c="1">
          <tpl fld="4" item="1"/>
        </tpls>
      </query>
      <query mdx="[Geography].[Blocs].[Country].&amp;[Belgium]">
        <tpls c="1">
          <tpl fld="4" item="2"/>
        </tpls>
      </query>
      <query mdx="[Geography].[Blocs].[Country].&amp;[Canada]">
        <tpls c="1">
          <tpl fld="4" item="3"/>
        </tpls>
      </query>
      <query mdx="[Geography].[Blocs].[Country].&amp;[Cyprus]">
        <tpls c="1">
          <tpl fld="4" item="4"/>
        </tpls>
      </query>
      <query mdx="[Geography].[Blocs].[Country].&amp;[Denmark]">
        <tpls c="1">
          <tpl fld="4" item="5"/>
        </tpls>
      </query>
      <query mdx="[Geography].[Blocs].[Country].&amp;[Finland]">
        <tpls c="1">
          <tpl fld="4" item="6"/>
        </tpls>
      </query>
      <query mdx="[Geography].[Blocs].[Country].&amp;[France]">
        <tpls c="1">
          <tpl fld="4" item="7"/>
        </tpls>
      </query>
      <query mdx="[Geography].[Blocs].[Country].&amp;[Germany]">
        <tpls c="1">
          <tpl fld="4" item="8"/>
        </tpls>
      </query>
      <query mdx="[Geography].[Blocs].[Country].&amp;[Greece]">
        <tpls c="1">
          <tpl fld="4" item="9"/>
        </tpls>
      </query>
      <query mdx="[Geography].[Blocs].[Country].&amp;[Iceland]">
        <tpls c="1">
          <tpl fld="4" item="10"/>
        </tpls>
      </query>
      <query mdx="[Geography].[Blocs].[Country].&amp;[Ireland]">
        <tpls c="1">
          <tpl fld="4" item="11"/>
        </tpls>
      </query>
      <query mdx="[Geography].[Blocs].[Country].&amp;[Israel]">
        <tpls c="1">
          <tpl fld="4" item="12"/>
        </tpls>
      </query>
      <query mdx="[Geography].[Blocs].[Country].&amp;[Italy]">
        <tpls c="1">
          <tpl fld="4" item="13"/>
        </tpls>
      </query>
      <query mdx="[Geography].[Blocs].[Country].&amp;[Japan]">
        <tpls c="1">
          <tpl fld="4" item="14"/>
        </tpls>
      </query>
      <query mdx="[Geography].[Blocs].[Country].&amp;[Luxemburg]">
        <tpls c="1">
          <tpl fld="4" item="15"/>
        </tpls>
      </query>
      <query mdx="[Geography].[Blocs].[Country].&amp;[Malta]">
        <tpls c="1">
          <tpl fld="4" item="16"/>
        </tpls>
      </query>
      <query mdx="[Geography].[Blocs].[Country].&amp;[Netherlands]">
        <tpls c="1">
          <tpl fld="4" item="17"/>
        </tpls>
      </query>
      <query mdx="[Geography].[Blocs].[Country].&amp;[New Zealand]">
        <tpls c="1">
          <tpl fld="4" item="18"/>
        </tpls>
      </query>
      <query mdx="[Geography].[Blocs].[Country].&amp;[Norway]">
        <tpls c="1">
          <tpl fld="4" item="19"/>
        </tpls>
      </query>
      <query mdx="[Geography].[Blocs].[Country].&amp;[Portugal]">
        <tpls c="1">
          <tpl fld="4" item="20"/>
        </tpls>
      </query>
      <query mdx="[Geography].[Blocs].[Country].&amp;[Singapore]">
        <tpls c="1">
          <tpl fld="4" item="21"/>
        </tpls>
      </query>
      <query mdx="[Geography].[Blocs].[Country].&amp;[South Korea]">
        <tpls c="1">
          <tpl fld="4" item="22"/>
        </tpls>
      </query>
      <query mdx="[Geography].[Blocs].[Country].&amp;[Spain]">
        <tpls c="1">
          <tpl fld="4" item="23"/>
        </tpls>
      </query>
      <query mdx="[Geography].[Blocs].[Country].&amp;[Sweden]">
        <tpls c="1">
          <tpl fld="4" item="24"/>
        </tpls>
      </query>
      <query mdx="[Geography].[Blocs].[Country].&amp;[Switzerland]">
        <tpls c="1">
          <tpl fld="4" item="25"/>
        </tpls>
      </query>
      <query mdx="[Geography].[Blocs].[Country].&amp;[Taiwan]">
        <tpls c="1">
          <tpl fld="4" item="26"/>
        </tpls>
      </query>
      <query mdx="[Geography].[Blocs].[Country].&amp;[United Kingdom]">
        <tpls c="1">
          <tpl fld="4" item="27"/>
        </tpls>
      </query>
      <query mdx="[Geography].[Blocs].[Country].&amp;[United States]">
        <tpls c="1">
          <tpl fld="4" item="28"/>
        </tpls>
      </query>
      <query mdx="[Geography].[Blocs].[Major_Blocs].&amp;[South]">
        <tpls c="1">
          <tpl fld="3" item="2"/>
        </tpls>
      </query>
      <query mdx="Expenditure_Approach"/>
      <query mdx="Expenditure Approach"/>
      <query mdx="1981"/>
      <query mdx="[Dates].[All].[8]"/>
    </queryCache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an Freeman" refreshedDate="44168.707743749997" backgroundQuery="1" createdVersion="6" refreshedVersion="6" minRefreshableVersion="3" recordCount="0" supportSubquery="1" supportAdvancedDrill="1" xr:uid="{4ADE2A6D-4545-4BE5-84CA-6EC175454B9D}">
  <cacheSource type="external" connectionId="1"/>
  <cacheFields count="11">
    <cacheField name="[Data].[GDP and other output measures].[Output Definition]" caption="Output Definition" numFmtId="0" hierarchy="2" level="1">
      <sharedItems containsSemiMixedTypes="0" containsString="0"/>
    </cacheField>
    <cacheField name="[Dates].[Year].[Year]" caption="Year" numFmtId="0" hierarchy="5" level="1">
      <sharedItems count="35">
        <s v="[Dates].[Year].&amp;[1980]" c="1980"/>
        <s v="[Dates].[Year].&amp;[1981]" c="1981"/>
        <s v="[Dates].[Year].&amp;[1982]" c="1982"/>
        <s v="[Dates].[Year].&amp;[1983]" c="1983"/>
        <s v="[Dates].[Year].&amp;[1984]" c="1984"/>
        <s v="[Dates].[Year].&amp;[1985]" c="1985"/>
        <s v="[Dates].[Year].&amp;[1986]" c="1986"/>
        <s v="[Dates].[Year].&amp;[1987]" c="1987"/>
        <s v="[Dates].[Year].&amp;[1988]" c="1988"/>
        <s v="[Dates].[Year].&amp;[1989]" c="1989"/>
        <s v="[Dates].[Year].&amp;[1990]" c="1990"/>
        <s v="[Dates].[Year].&amp;[1991]" c="1991"/>
        <s v="[Dates].[Year].&amp;[1992]" c="1992"/>
        <s v="[Dates].[Year].&amp;[1993]" c="1993"/>
        <s v="[Dates].[Year].&amp;[1994]" c="1994"/>
        <s v="[Dates].[Year].&amp;[1995]" c="1995"/>
        <s v="[Dates].[Year].&amp;[1996]" c="1996"/>
        <s v="[Dates].[Year].&amp;[1997]" c="1997"/>
        <s v="[Dates].[Year].&amp;[1998]" c="1998"/>
        <s v="[Dates].[Year].&amp;[1999]" c="1999"/>
        <s v="[Dates].[Year].&amp;[2000]" c="2000"/>
        <s v="[Dates].[Year].&amp;[2001]" c="2001"/>
        <s v="[Dates].[Year].&amp;[2002]" c="2002"/>
        <s v="[Dates].[Year].&amp;[2003]" c="2003"/>
        <s v="[Dates].[Year].&amp;[2004]" c="2004"/>
        <s v="[Dates].[Year].&amp;[2005]" c="2005"/>
        <s v="[Dates].[Year].&amp;[2006]" c="2006"/>
        <s v="[Dates].[Year].&amp;[2007]" c="2007"/>
        <s v="[Dates].[Year].&amp;[2008]" c="2008"/>
        <s v="[Dates].[Year].&amp;[2009]" c="2009"/>
        <s v="[Dates].[Year].&amp;[2010]" c="2010"/>
        <s v="[Dates].[Year].&amp;[2011]" c="2011"/>
        <s v="[Dates].[Year].&amp;[2012]" c="2012"/>
        <s v="[Dates].[Year].&amp;[2013]" c="2013"/>
        <s v="[Dates].[Year].&amp;[2014]" c="2014"/>
      </sharedItems>
    </cacheField>
    <cacheField name="[Geography].[Blocs].[Major_Blocs]" caption="Major_Blocs" numFmtId="0" hierarchy="6" level="1">
      <sharedItems count="3">
        <s v="[Geography].[Blocs].[Major_Blocs].&amp;[China Mainland]" c="China Mainland"/>
        <s v="[Geography].[Blocs].[Major_Blocs].&amp;[North]" c="North"/>
        <s v="[Geography].[Blocs].[Major_Blocs].&amp;[South]" c="South"/>
      </sharedItems>
    </cacheField>
    <cacheField name="[Geography].[Blocs].[Country]" caption="Country" numFmtId="0" hierarchy="6" level="2">
      <sharedItems count="29">
        <s v="[Geography].[Blocs].[Country].&amp;[Australia]" c="Australia"/>
        <s v="[Geography].[Blocs].[Country].&amp;[Austria]" c="Austria"/>
        <s v="[Geography].[Blocs].[Country].&amp;[Belgium]" c="Belgium"/>
        <s v="[Geography].[Blocs].[Country].&amp;[Canada]" c="Canada"/>
        <s v="[Geography].[Blocs].[Country].&amp;[Cyprus]" c="Cyprus"/>
        <s v="[Geography].[Blocs].[Country].&amp;[Denmark]" c="Denmark"/>
        <s v="[Geography].[Blocs].[Country].&amp;[Finland]" c="Finland"/>
        <s v="[Geography].[Blocs].[Country].&amp;[France]" c="France"/>
        <s v="[Geography].[Blocs].[Country].&amp;[Germany]" c="Germany"/>
        <s v="[Geography].[Blocs].[Country].&amp;[Greece]" c="Greece"/>
        <s v="[Geography].[Blocs].[Country].&amp;[Iceland]" c="Iceland"/>
        <s v="[Geography].[Blocs].[Country].&amp;[Ireland]" c="Ireland"/>
        <s v="[Geography].[Blocs].[Country].&amp;[Israel]" c="Israel"/>
        <s v="[Geography].[Blocs].[Country].&amp;[Italy]" c="Italy"/>
        <s v="[Geography].[Blocs].[Country].&amp;[Japan]" c="Japan"/>
        <s v="[Geography].[Blocs].[Country].&amp;[Luxemburg]" c="Luxemburg"/>
        <s v="[Geography].[Blocs].[Country].&amp;[Malta]" c="Malta"/>
        <s v="[Geography].[Blocs].[Country].&amp;[Netherlands]" c="Netherlands"/>
        <s v="[Geography].[Blocs].[Country].&amp;[New Zealand]" c="New Zealand"/>
        <s v="[Geography].[Blocs].[Country].&amp;[Norway]" c="Norway"/>
        <s v="[Geography].[Blocs].[Country].&amp;[Portugal]" c="Portugal"/>
        <s v="[Geography].[Blocs].[Country].&amp;[Singapore]" c="Singapore"/>
        <s v="[Geography].[Blocs].[Country].&amp;[South Korea]" c="South Korea"/>
        <s v="[Geography].[Blocs].[Country].&amp;[Spain]" c="Spain"/>
        <s v="[Geography].[Blocs].[Country].&amp;[Sweden]" c="Sweden"/>
        <s v="[Geography].[Blocs].[Country].&amp;[Switzerland]" c="Switzerland"/>
        <s v="[Geography].[Blocs].[Country].&amp;[Taiwan]" c="Taiwan"/>
        <s v="[Geography].[Blocs].[Country].&amp;[United Kingdom]" c="United Kingdom"/>
        <s v="[Geography].[Blocs].[Country].&amp;[United States]" c="United States"/>
      </sharedItems>
    </cacheField>
    <cacheField name="[Geography].[Blocs].[Nation]" caption="Nation" numFmtId="0" hierarchy="6" level="3">
      <sharedItems containsSemiMixedTypes="0" containsString="0"/>
    </cacheField>
    <cacheField name="[Data].[Original Source Data].[Source]" caption="Source" numFmtId="0" hierarchy="4" level="1">
      <sharedItems containsSemiMixedTypes="0" containsString="0"/>
    </cacheField>
    <cacheField name="[Data].[Original Source Data].[IndicatorSourceDescription]" caption="IndicatorSourceDescription" numFmtId="0" hierarchy="4" level="2">
      <sharedItems containsSemiMixedTypes="0" containsString="0"/>
    </cacheField>
    <cacheField name="[Indicator Detail].[Units].[Measure Type (Stock/Flow/etc)]" caption="Measure Type (Stock/Flow/etc)" numFmtId="0" hierarchy="12" level="1">
      <sharedItems containsSemiMixedTypes="0" containsString="0"/>
    </cacheField>
    <cacheField name="[Indicator Detail].[Units].[Dimension (Money/Quantity/PPP)]" caption="Dimension (Money/Quantity/PPP)" numFmtId="0" hierarchy="12" level="2">
      <sharedItems containsSemiMixedTypes="0" containsString="0"/>
    </cacheField>
    <cacheField name="[Indicator Detail].[Units].[Units (USD/EUR/LCU/etc)]" caption="Units (USD/EUR/LCU/etc)" numFmtId="0" hierarchy="12" level="3">
      <sharedItems containsSemiMixedTypes="0" containsString="0"/>
    </cacheField>
    <cacheField name="[Indicator Detail].[Units].[Metric (Current/Constant/etc)]" caption="Metric (Current/Constant/etc)" numFmtId="0" hierarchy="12" level="4">
      <sharedItems containsSemiMixedTypes="0" containsString="0"/>
    </cacheField>
  </cacheFields>
  <cacheHierarchies count="76">
    <cacheHierarchy uniqueName="[Data].[Balance of Payments Component]" caption="Balance of Payments Component" defaultMemberUniqueName="[Data].[Balance of Payments Component].[All]" allUniqueName="[Data].[Balance of Payments Component].[All]" dimensionUniqueName="[Data]" displayFolder="" count="0" unbalanced="0"/>
    <cacheHierarchy uniqueName="[Data].[Demographics]" caption="Demographics" defaultMemberUniqueName="[Data].[Demographics].[All]" allUniqueName="[Data].[Demographics].[All]" dimensionUniqueName="[Data]" displayFolder="" count="0" unbalanced="0"/>
    <cacheHierarchy uniqueName="[Data].[GDP and other output measures]" caption="GDP and other output measures" defaultMemberUniqueName="[Data].[GDP and other output measures].[All]" allUniqueName="[Data].[GDP and other output measures].[All]" dimensionUniqueName="[Data]" displayFolder="" count="2" unbalanced="0">
      <fieldsUsage count="2">
        <fieldUsage x="-1"/>
        <fieldUsage x="0"/>
      </fieldsUsage>
    </cacheHierarchy>
    <cacheHierarchy uniqueName="[Data].[Indicator Source and Code]" caption="Indicator Source and Code" attribute="1" defaultMemberUniqueName="[Data].[Indicator Source and Code].[All]" allUniqueName="[Data].[Indicator Source and Code].[All]" dimensionUniqueName="[Data]" displayFolder="" count="0" unbalanced="0"/>
    <cacheHierarchy uniqueName="[Data].[Original Source Data]" caption="Original Source Data" defaultMemberUniqueName="[Data].[Original Source Data].[All]" allUniqueName="[Data].[Original Source Data].[All]" dimensionUniqueName="[Data]" displayFolder="" count="3" unbalanced="0">
      <fieldsUsage count="3">
        <fieldUsage x="-1"/>
        <fieldUsage x="5"/>
        <fieldUsage x="6"/>
      </fieldsUsage>
    </cacheHierarchy>
    <cacheHierarchy uniqueName="[Dates].[Year]" caption="Year" attribute="1" defaultMemberUniqueName="[Dates].[Year].[All]" allUniqueName="[Dates].[Year].[All]" dimensionUniqueName="[Dates]" displayFolder="" count="2" unbalanced="0">
      <fieldsUsage count="2">
        <fieldUsage x="-1"/>
        <fieldUsage x="1"/>
      </fieldsUsage>
    </cacheHierarchy>
    <cacheHierarchy uniqueName="[Geography].[Blocs]" caption="Blocs" defaultMemberUniqueName="[Geography].[Blocs].[All]" allUniqueName="[Geography].[Blocs].[All]" dimensionUniqueName="[Geography]" displayFolder="" count="4" unbalanced="0">
      <fieldsUsage count="4">
        <fieldUsage x="-1"/>
        <fieldUsage x="2"/>
        <fieldUsage x="3"/>
        <fieldUsage x="4"/>
      </fieldsUsage>
    </cacheHierarchy>
    <cacheHierarchy uniqueName="[Geography].[GeoEconomic Region]" caption="GeoEconomic Region" defaultMemberUniqueName="[Geography].[GeoEconomic Region].[All]" allUniqueName="[Geography].[GeoEconomic Region].[All]" dimensionUniqueName="[Geography]" displayFolder="" count="0" unbalanced="0"/>
    <cacheHierarchy uniqueName="[Geography].[Penn Availability]" caption="Penn Availability" defaultMemberUniqueName="[Geography].[Penn Availability].[All]" allUniqueName="[Geography].[Penn Availability].[All]" dimensionUniqueName="[Geography]" displayFolder="" count="0" unbalanced="0"/>
    <cacheHierarchy uniqueName="[Geography].[WDI Availability]" caption="WDI Availability" defaultMemberUniqueName="[Geography].[WDI Availability].[All]" allUniqueName="[Geography].[WDI Availability].[All]" dimensionUniqueName="[Geography]" displayFolder="" count="0" unbalanced="0"/>
    <cacheHierarchy uniqueName="[Indicator Detail].[Accounting Basis (net/gross,paid/received, etc)]" caption="Accounting Basis (net/gross,paid/received, etc)" attribute="1" defaultMemberUniqueName="[Indicator Detail].[Accounting Basis (net/gross,paid/received, etc)].[All]" allUniqueName="[Indicator Detail].[Accounting Basis (net/gross,paid/received, etc)].[All]" dimensionUniqueName="[Indicator Detail]" displayFolder="" count="0" unbalanced="0"/>
    <cacheHierarchy uniqueName="[Indicator Detail].[Industrial Sector (Agriculture/Manufacturing/etc)]" caption="Industrial Sector (Agriculture/Manufacturing/etc)" attribute="1" defaultMemberUniqueName="[Indicator Detail].[Industrial Sector (Agriculture/Manufacturing/etc)].[All]" allUniqueName="[Indicator Detail].[Industrial Sector (Agriculture/Manufacturing/etc)].[All]" dimensionUniqueName="[Indicator Detail]" displayFolder="" count="0" unbalanced="0"/>
    <cacheHierarchy uniqueName="[Indicator Detail].[Units]" caption="Units" defaultMemberUniqueName="[Indicator Detail].[Units].[All]" allUniqueName="[Indicator Detail].[Units].[All]" dimensionUniqueName="[Indicator Detail]" displayFolder="" count="5" unbalanced="0">
      <fieldsUsage count="5">
        <fieldUsage x="-1"/>
        <fieldUsage x="7"/>
        <fieldUsage x="8"/>
        <fieldUsage x="9"/>
        <fieldUsage x="10"/>
      </fieldsUsage>
    </cacheHierarchy>
    <cacheHierarchy uniqueName="[Data].[Accounting Basis]" caption="Accounting Basis" attribute="1" defaultMemberUniqueName="[Data].[Accounting Basis].[All]" allUniqueName="[Data].[Accounting Basis].[All]" dimensionUniqueName="[Data]" displayFolder="" count="0" unbalanced="0" hidden="1"/>
    <cacheHierarchy uniqueName="[Data].[Balance of Payments]" caption="Balance of Payments" attribute="1" defaultMemberUniqueName="[Data].[Balance of Payments].[All]" allUniqueName="[Data].[Balance of Payments].[All]" dimensionUniqueName="[Data]" displayFolder="" count="0" unbalanced="0" hidden="1"/>
    <cacheHierarchy uniqueName="[Data].[DateField]" caption="DateField" attribute="1" defaultMemberUniqueName="[Data].[DateField].[All]" allUniqueName="[Data].[DateField].[All]" dimensionUniqueName="[Data]" displayFolder="" count="0" unbalanced="0" hidden="1"/>
    <cacheHierarchy uniqueName="[Data].[DimGeoID]" caption="DimGeoID" attribute="1" defaultMemberUniqueName="[Data].[DimGeoID].[All]" allUniqueName="[Data].[DimGeoID].[All]" dimensionUniqueName="[Data]" displayFolder="" count="0" unbalanced="0" hidden="1"/>
    <cacheHierarchy uniqueName="[Data].[DimIndicatorID]" caption="DimIndicatorID" attribute="1" defaultMemberUniqueName="[Data].[DimIndicatorID].[All]" allUniqueName="[Data].[DimIndicatorID].[All]" dimensionUniqueName="[Data]" displayFolder="" count="0" unbalanced="0" hidden="1"/>
    <cacheHierarchy uniqueName="[Data].[DimSourceID]" caption="DimSourceID" attribute="1" defaultMemberUniqueName="[Data].[DimSourceID].[All]" allUniqueName="[Data].[DimSourceID].[All]" dimensionUniqueName="[Data]" displayFolder="" count="0" unbalanced="0" hidden="1"/>
    <cacheHierarchy uniqueName="[Data].[FactID]" caption="FactID" attribute="1" defaultMemberUniqueName="[Data].[FactID].[All]" allUniqueName="[Data].[FactID].[All]" dimensionUniqueName="[Data]" displayFolder="" count="0" unbalanced="0" hidden="1"/>
    <cacheHierarchy uniqueName="[Data].[Indicator_Type]" caption="Indicator_Type" attribute="1" defaultMemberUniqueName="[Data].[Indicator_Type].[All]" allUniqueName="[Data].[Indicator_Type].[All]" dimensionUniqueName="[Data]" displayFolder="" count="0" unbalanced="0" hidden="1"/>
    <cacheHierarchy uniqueName="[Data].[IndicatorSourceDescription]" caption="IndicatorSourceDescription" attribute="1" defaultMemberUniqueName="[Data].[IndicatorSourceDescription].[All]" allUniqueName="[Data].[IndicatorSourceDescription].[All]" dimensionUniqueName="[Data]" displayFolder="" count="0" unbalanced="0" hidden="1"/>
    <cacheHierarchy uniqueName="[Data].[IndicatorStandardNamesID]" caption="IndicatorStandardNamesID" attribute="1" defaultMemberUniqueName="[Data].[IndicatorStandardNamesID].[All]" allUniqueName="[Data].[IndicatorStandardNamesID].[All]" dimensionUniqueName="[Data]" displayFolder="" count="0" unbalanced="0" hidden="1"/>
    <cacheHierarchy uniqueName="[Data].[Nation]" caption="Nation" attribute="1" defaultMemberUniqueName="[Data].[Nation].[All]" allUniqueName="[Data].[Nation].[All]" dimensionUniqueName="[Data]" displayFolder="" count="0" unbalanced="0" hidden="1"/>
    <cacheHierarchy uniqueName="[Data].[Output Definition]" caption="Output Definition" attribute="1" defaultMemberUniqueName="[Data].[Output Definition].[All]" allUniqueName="[Data].[Output Definition].[All]" dimensionUniqueName="[Data]" displayFolder="" count="0" unbalanced="0" hidden="1"/>
    <cacheHierarchy uniqueName="[Data].[Population]" caption="Population" attribute="1" defaultMemberUniqueName="[Data].[Population].[All]" allUniqueName="[Data].[Population].[All]" dimensionUniqueName="[Data]" displayFolder="" count="0" unbalanced="0" hidden="1"/>
    <cacheHierarchy uniqueName="[Data].[Source]" caption="Source" attribute="1" defaultMemberUniqueName="[Data].[Source].[All]" allUniqueName="[Data].[Source].[All]" dimensionUniqueName="[Data]" displayFolder="" count="0" unbalanced="0" hidden="1"/>
    <cacheHierarchy uniqueName="[Data].[Value]" caption="Value" attribute="1" defaultMemberUniqueName="[Data].[Value].[All]" allUniqueName="[Data].[Value].[All]" dimensionUniqueName="[Data]" displayFolder="" count="0" unbalanced="0" hidden="1"/>
    <cacheHierarchy uniqueName="[Dates].[CalendarKey]" caption="CalendarKey" attribute="1" defaultMemberUniqueName="[Dates].[CalendarKey].[All]" allUniqueName="[Dates].[CalendarKey].[All]" dimensionUniqueName="[Dates]" displayFolder="" count="0" unbalanced="0" hidden="1"/>
    <cacheHierarchy uniqueName="[Dates].[Date]" caption="Date" attribute="1" defaultMemberUniqueName="[Dates].[Date].[All]" allUniqueName="[Dates].[Date].[All]" dimensionUniqueName="[Dates]" displayFolder="" count="0" unbalanced="0" hidden="1"/>
    <cacheHierarchy uniqueName="[Geography].[Country]" caption="Country" attribute="1" defaultMemberUniqueName="[Geography].[Country].[All]" allUniqueName="[Geography].[Country].[All]" dimensionUniqueName="[Geography]" displayFolder="" count="0" unbalanced="0" hidden="1"/>
    <cacheHierarchy uniqueName="[Geography].[DimGeoID]" caption="DimGeoID" attribute="1" defaultMemberUniqueName="[Geography].[DimGeoID].[All]" allUniqueName="[Geography].[DimGeoID].[All]" dimensionUniqueName="[Geography]" displayFolder="" count="0" unbalanced="0" hidden="1"/>
    <cacheHierarchy uniqueName="[Geography].[GeoEconomic_Region]" caption="GeoEconomic_Region" attribute="1" defaultMemberUniqueName="[Geography].[GeoEconomic_Region].[All]" allUniqueName="[Geography].[GeoEconomic_Region].[All]" dimensionUniqueName="[Geography]" displayFolder="" count="0" unbalanced="0" hidden="1"/>
    <cacheHierarchy uniqueName="[Geography].[Geopolitical_Region]" caption="Geopolitical_Region" attribute="1" defaultMemberUniqueName="[Geography].[Geopolitical_Region].[All]" allUniqueName="[Geography].[Geopolitical_Region].[All]" dimensionUniqueName="[Geography]" displayFolder="" count="0" unbalanced="0" hidden="1"/>
    <cacheHierarchy uniqueName="[Geography].[GeoPolitical_Type]" caption="GeoPolitical_Type" attribute="1" defaultMemberUniqueName="[Geography].[GeoPolitical_Type].[All]" allUniqueName="[Geography].[GeoPolitical_Type].[All]" dimensionUniqueName="[Geography]" displayFolder="" count="0" unbalanced="0" hidden="1"/>
    <cacheHierarchy uniqueName="[Geography].[IMF_main_category]" caption="IMF_main_category" attribute="1" defaultMemberUniqueName="[Geography].[IMF_main_category].[All]" allUniqueName="[Geography].[IMF_main_category].[All]" dimensionUniqueName="[Geography]" displayFolder="" count="0" unbalanced="0" hidden="1"/>
    <cacheHierarchy uniqueName="[Geography].[IMF_sub_category]" caption="IMF_sub_category" attribute="1" defaultMemberUniqueName="[Geography].[IMF_sub_category].[All]" allUniqueName="[Geography].[IMF_sub_category].[All]" dimensionUniqueName="[Geography]" displayFolder="" count="0" unbalanced="0" hidden="1"/>
    <cacheHierarchy uniqueName="[Geography].[MACROHISTORY_Geography]" caption="MACROHISTORY_Geography" attribute="1" defaultMemberUniqueName="[Geography].[MACROHISTORY_Geography].[All]" allUniqueName="[Geography].[MACROHISTORY_Geography].[All]" dimensionUniqueName="[Geography]" displayFolder="" count="0" unbalanced="0" hidden="1"/>
    <cacheHierarchy uniqueName="[Geography].[Major_Blocs]" caption="Major_Blocs" attribute="1" defaultMemberUniqueName="[Geography].[Major_Blocs].[All]" allUniqueName="[Geography].[Major_Blocs].[All]" dimensionUniqueName="[Geography]" displayFolder="" count="0" unbalanced="0" hidden="1"/>
    <cacheHierarchy uniqueName="[Geography].[Nation]" caption="Nation" attribute="1" defaultMemberUniqueName="[Geography].[Nation].[All]" allUniqueName="[Geography].[Nation].[All]" dimensionUniqueName="[Geography]" displayFolder="" count="0" unbalanced="0" hidden="1"/>
    <cacheHierarchy uniqueName="[Geography].[penn_availability]" caption="penn_availability" attribute="1" defaultMemberUniqueName="[Geography].[penn_availability].[All]" allUniqueName="[Geography].[penn_availability].[All]" dimensionUniqueName="[Geography]" displayFolder="" count="0" unbalanced="0" hidden="1"/>
    <cacheHierarchy uniqueName="[Geography].[Size]" caption="Size" attribute="1" defaultMemberUniqueName="[Geography].[Size].[All]" allUniqueName="[Geography].[Size].[All]" dimensionUniqueName="[Geography]" displayFolder="" count="0" unbalanced="0" hidden="1"/>
    <cacheHierarchy uniqueName="[Geography].[wdi_availability]" caption="wdi_availability" attribute="1" defaultMemberUniqueName="[Geography].[wdi_availability].[All]" allUniqueName="[Geography].[wdi_availability].[All]" dimensionUniqueName="[Geography]" displayFolder="" count="0" unbalanced="0" hidden="1"/>
    <cacheHierarchy uniqueName="[Geography].[WID_Geography]" caption="WID_Geography" attribute="1" defaultMemberUniqueName="[Geography].[WID_Geography].[All]" allUniqueName="[Geography].[WID_Geography].[All]" dimensionUniqueName="[Geography]" displayFolder="" count="0" unbalanced="0" hidden="1"/>
    <cacheHierarchy uniqueName="[Indicator Detail].[balance_of_payments_component]" caption="balance_of_payments_component" attribute="1" defaultMemberUniqueName="[Indicator Detail].[balance_of_payments_component].[All]" allUniqueName="[Indicator Detail].[balance_of_payments_component].[All]" dimensionUniqueName="[Indicator Detail]" displayFolder="" count="0" unbalanced="0" hidden="1"/>
    <cacheHierarchy uniqueName="[Indicator Detail].[capital_component]" caption="capital_component" attribute="1" defaultMemberUniqueName="[Indicator Detail].[capital_component].[All]" allUniqueName="[Indicator Detail].[capital_component].[All]" dimensionUniqueName="[Indicator Detail]" displayFolder="" count="0" unbalanced="0" hidden="1"/>
    <cacheHierarchy uniqueName="[Indicator Detail].[DimIndicatorID]" caption="DimIndicatorID" attribute="1" defaultMemberUniqueName="[Indicator Detail].[DimIndicatorID].[All]" allUniqueName="[Indicator Detail].[DimIndicatorID].[All]" dimensionUniqueName="[Indicator Detail]" displayFolder="" count="0" unbalanced="0" hidden="1"/>
    <cacheHierarchy uniqueName="[Indicator Detail].[gdp_expenditure_component]" caption="gdp_expenditure_component" attribute="1" defaultMemberUniqueName="[Indicator Detail].[gdp_expenditure_component].[All]" allUniqueName="[Indicator Detail].[gdp_expenditure_component].[All]" dimensionUniqueName="[Indicator Detail]" displayFolder="" count="0" unbalanced="0" hidden="1"/>
    <cacheHierarchy uniqueName="[Indicator Detail].[indicator_dimension]" caption="indicator_dimension" attribute="1" defaultMemberUniqueName="[Indicator Detail].[indicator_dimension].[All]" allUniqueName="[Indicator Detail].[indicator_dimension].[All]" dimensionUniqueName="[Indicator Detail]" displayFolder="" count="0" unbalanced="0" hidden="1"/>
    <cacheHierarchy uniqueName="[Indicator Detail].[indicator_metrics]" caption="indicator_metrics" attribute="1" defaultMemberUniqueName="[Indicator Detail].[indicator_metrics].[All]" allUniqueName="[Indicator Detail].[indicator_metrics].[All]" dimensionUniqueName="[Indicator Detail]" displayFolder="" count="0" unbalanced="0" hidden="1"/>
    <cacheHierarchy uniqueName="[Indicator Detail].[indicator_type]" caption="indicator_type" attribute="1" defaultMemberUniqueName="[Indicator Detail].[indicator_type].[All]" allUniqueName="[Indicator Detail].[indicator_type].[All]" dimensionUniqueName="[Indicator Detail]" displayFolder="" count="0" unbalanced="0" hidden="1"/>
    <cacheHierarchy uniqueName="[Indicator Detail].[indicator_units]" caption="indicator_units" attribute="1" defaultMemberUniqueName="[Indicator Detail].[indicator_units].[All]" allUniqueName="[Indicator Detail].[indicator_units].[All]" dimensionUniqueName="[Indicator Detail]" displayFolder="" count="0" unbalanced="0" hidden="1"/>
    <cacheHierarchy uniqueName="[Indicator Detail].[IndicatorStandardName]" caption="IndicatorStandardName" attribute="1" defaultMemberUniqueName="[Indicator Detail].[IndicatorStandardName].[All]" allUniqueName="[Indicator Detail].[IndicatorStandardName].[All]" dimensionUniqueName="[Indicator Detail]" displayFolder="" count="0" unbalanced="0" hidden="1"/>
    <cacheHierarchy uniqueName="[Indicator Detail].[measure_type]" caption="measure_type" attribute="1" defaultMemberUniqueName="[Indicator Detail].[measure_type].[All]" allUniqueName="[Indicator Detail].[measure_type].[All]" dimensionUniqueName="[Indicator Detail]" displayFolder="" count="0" unbalanced="0" hidden="1"/>
    <cacheHierarchy uniqueName="[Indicator Detail].[other_indicator_description]" caption="other_indicator_description" attribute="1" defaultMemberUniqueName="[Indicator Detail].[other_indicator_description].[All]" allUniqueName="[Indicator Detail].[other_indicator_description].[All]" dimensionUniqueName="[Indicator Detail]" displayFolder="" count="0" unbalanced="0" hidden="1"/>
    <cacheHierarchy uniqueName="[Indicator Detail].[output_definition]" caption="output_definition" attribute="1" defaultMemberUniqueName="[Indicator Detail].[output_definition].[All]" allUniqueName="[Indicator Detail].[output_definition].[All]" dimensionUniqueName="[Indicator Detail]" displayFolder="" count="0" unbalanced="0" hidden="1"/>
    <cacheHierarchy uniqueName="[Indicator Detail].[population_component]" caption="population_component" attribute="1" defaultMemberUniqueName="[Indicator Detail].[population_component].[All]" allUniqueName="[Indicator Detail].[population_component].[All]" dimensionUniqueName="[Indicator Detail]" displayFolder="" count="0" unbalanced="0" hidden="1"/>
    <cacheHierarchy uniqueName="[Indicator Detail].[source_component]" caption="source_component" attribute="1" defaultMemberUniqueName="[Indicator Detail].[source_component].[All]" allUniqueName="[Indicator Detail].[source_component].[All]" dimensionUniqueName="[Indicator Detail]" displayFolder="" count="0" unbalanced="0" hidden="1"/>
    <cacheHierarchy uniqueName="[IndicatorStandardNames].[IndicatorSource]" caption="IndicatorSource" attribute="1" defaultMemberUniqueName="[IndicatorStandardNames].[IndicatorSource].[All]" allUniqueName="[IndicatorStandardNames].[IndicatorSource].[All]" dimensionUniqueName="[IndicatorStandardNames]" displayFolder="" count="0" unbalanced="0" hidden="1"/>
    <cacheHierarchy uniqueName="[IndicatorStandardNames].[IndicatorSourceCode]" caption="IndicatorSourceCode" attribute="1" defaultMemberUniqueName="[IndicatorStandardNames].[IndicatorSourceCode].[All]" allUniqueName="[IndicatorStandardNames].[IndicatorSourceCode].[All]" dimensionUniqueName="[IndicatorStandardNames]" displayFolder="" count="0" unbalanced="0" hidden="1"/>
    <cacheHierarchy uniqueName="[IndicatorStandardNames].[IndicatorSourceDescription]" caption="IndicatorSourceDescription" attribute="1" defaultMemberUniqueName="[IndicatorStandardNames].[IndicatorSourceDescription].[All]" allUniqueName="[IndicatorStandardNames].[IndicatorSourceDescription].[All]" dimensionUniqueName="[IndicatorStandardNames]" displayFolder="" count="0" unbalanced="0" hidden="1"/>
    <cacheHierarchy uniqueName="[IndicatorStandardNames].[IndicatorStandardName]" caption="IndicatorStandardName" attribute="1" defaultMemberUniqueName="[IndicatorStandardNames].[IndicatorStandardName].[All]" allUniqueName="[IndicatorStandardNames].[IndicatorStandardName].[All]" dimensionUniqueName="[IndicatorStandardNames]" displayFolder="" count="0" unbalanced="0" hidden="1"/>
    <cacheHierarchy uniqueName="[IndicatorStandardNames].[IndicatorStandardNamesID]" caption="IndicatorStandardNamesID" attribute="1" defaultMemberUniqueName="[IndicatorStandardNames].[IndicatorStandardNamesID].[All]" allUniqueName="[IndicatorStandardNames].[IndicatorStandardNamesID].[All]" dimensionUniqueName="[IndicatorStandardNames]" displayFolder="" count="0" unbalanced="0" hidden="1"/>
    <cacheHierarchy uniqueName="[Sources].[DataNotes]" caption="DataNotes" attribute="1" defaultMemberUniqueName="[Sources].[DataNotes].[All]" allUniqueName="[Sources].[DataNotes].[All]" dimensionUniqueName="[Sources]" displayFolder="" count="0" unbalanced="0" hidden="1"/>
    <cacheHierarchy uniqueName="[Sources].[DataOriginFile]" caption="DataOriginFile" attribute="1" defaultMemberUniqueName="[Sources].[DataOriginFile].[All]" allUniqueName="[Sources].[DataOriginFile].[All]" dimensionUniqueName="[Sources]" displayFolder="" count="0" unbalanced="0" hidden="1"/>
    <cacheHierarchy uniqueName="[Sources].[DataOriginURL]" caption="DataOriginURL" attribute="1" defaultMemberUniqueName="[Sources].[DataOriginURL].[All]" allUniqueName="[Sources].[DataOriginURL].[All]" dimensionUniqueName="[Sources]" displayFolder="" count="0" unbalanced="0" hidden="1"/>
    <cacheHierarchy uniqueName="[Sources].[Description]" caption="Description" attribute="1" defaultMemberUniqueName="[Sources].[Description].[All]" allUniqueName="[Sources].[Description].[All]" dimensionUniqueName="[Sources]" displayFolder="" count="0" unbalanced="0" hidden="1"/>
    <cacheHierarchy uniqueName="[Sources].[DimSourceID]" caption="DimSourceID" attribute="1" defaultMemberUniqueName="[Sources].[DimSourceID].[All]" allUniqueName="[Sources].[DimSourceID].[All]" dimensionUniqueName="[Sources]" displayFolder="" count="0" unbalanced="0" hidden="1"/>
    <cacheHierarchy uniqueName="[Sources].[PreparationNotes]" caption="PreparationNotes" attribute="1" defaultMemberUniqueName="[Sources].[PreparationNotes].[All]" allUniqueName="[Sources].[PreparationNotes].[All]" dimensionUniqueName="[Sources]" displayFolder="" count="0" unbalanced="0" hidden="1"/>
    <cacheHierarchy uniqueName="[Sources].[SourceName]" caption="SourceName" attribute="1" defaultMemberUniqueName="[Sources].[SourceName].[All]" allUniqueName="[Sources].[SourceName].[All]" dimensionUniqueName="[Sources]" displayFolder="" count="0" unbalanced="0" hidden="1"/>
    <cacheHierarchy uniqueName="[Sources].[SourceNameDetail]" caption="SourceNameDetail" attribute="1" defaultMemberUniqueName="[Sources].[SourceNameDetail].[All]" allUniqueName="[Sources].[SourceNameDetail].[All]" dimensionUniqueName="[Sources]" displayFolder="" count="0" unbalanced="0" hidden="1"/>
    <cacheHierarchy uniqueName="[Sources].[SourceNameParent]" caption="SourceNameParent" attribute="1" defaultMemberUniqueName="[Sources].[SourceNameParent].[All]" allUniqueName="[Sources].[SourceNameParent].[All]" dimensionUniqueName="[Sources]" displayFolder="" count="0" unbalanced="0" hidden="1"/>
    <cacheHierarchy uniqueName="[Sources].[SourceNotes]" caption="SourceNotes" attribute="1" defaultMemberUniqueName="[Sources].[SourceNotes].[All]" allUniqueName="[Sources].[SourceNotes].[All]" dimensionUniqueName="[Sources]" displayFolder="" count="0" unbalanced="0" hidden="1"/>
    <cacheHierarchy uniqueName="[Measures].[Item]" caption="Item" measure="1" displayFolder="" measureGroup="Data" count="0"/>
    <cacheHierarchy uniqueName="[Measures].[Count]" caption="Count" measure="1" displayFolder="" measureGroup="Data" count="0"/>
    <cacheHierarchy uniqueName="[Measures].[__Default measure]" caption="__Default measure" measure="1" displayFolder="" count="0" hidden="1"/>
  </cacheHierarchies>
  <kpis count="0"/>
  <dimensions count="5">
    <dimension name="Data" uniqueName="[Data]" caption="Data"/>
    <dimension name="Dates" uniqueName="[Dates]" caption="Dates"/>
    <dimension name="Geography" uniqueName="[Geography]" caption="Geography"/>
    <dimension name="Indicator Detail" uniqueName="[Indicator Detail]" caption="Indicator Detail"/>
    <dimension measure="1" name="Measures" uniqueName="[Measures]" caption="Measures"/>
  </dimensions>
  <measureGroups count="6">
    <measureGroup name="Data" caption="Data"/>
    <measureGroup name="Dates" caption="Dates"/>
    <measureGroup name="Geography" caption="Geography"/>
    <measureGroup name="Indicator Detail" caption="Indicator Detail"/>
    <measureGroup name="IndicatorStandardNames" caption="IndicatorStandardNames"/>
    <measureGroup name="Sources" caption="Sources"/>
  </measureGroups>
  <maps count="7">
    <map measureGroup="0" dimension="0"/>
    <map measureGroup="0" dimension="1"/>
    <map measureGroup="0" dimension="2"/>
    <map measureGroup="0" dimension="3"/>
    <map measureGroup="1" dimension="1"/>
    <map measureGroup="2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99B000-BD70-4D16-927E-3109CF84E048}" name="PivotTable1" cacheId="61" applyNumberFormats="0" applyBorderFormats="0" applyFontFormats="0" applyPatternFormats="0" applyAlignmentFormats="0" applyWidthHeightFormats="1" dataCaption="Values" updatedVersion="6" minRefreshableVersion="3" itemPrintTitles="1" createdVersion="6" indent="0" outline="1" outlineData="1" multipleFieldFilters="0" fieldListSortAscending="1">
  <location ref="A5" firstHeaderRow="0" firstDataRow="0" firstDataCol="0" rowPageCount="3" colPageCount="1"/>
  <pivotFields count="11">
    <pivotField axis="axisPage" allDrilled="1" subtotalTop="0" showAll="0" dataSourceSort="1" defaultSubtotal="0"/>
    <pivotField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allDrilled="1" subtotalTop="0" showAll="0" dataSourceSort="1" defaultSubtotal="0">
      <items count="3">
        <item s="1" c="1" x="0"/>
        <item s="1" c="1" x="1"/>
        <item s="1" c="1" x="2"/>
      </items>
    </pivotField>
    <pivotField subtotalTop="0" showAll="0" dataSourceSort="1" defaultSubtotal="0">
      <items count="29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  <item c="1" x="22"/>
        <item c="1" x="23"/>
        <item c="1" x="24"/>
        <item c="1" x="25"/>
        <item c="1" x="26"/>
        <item c="1" x="27"/>
        <item c="1" x="28"/>
      </items>
    </pivotField>
    <pivotField subtotalTop="0" showAll="0" dataSourceSort="1" defaultSubtotal="0"/>
    <pivotField axis="axisPage" allDrilled="1" subtotalTop="0" showAll="0" dataSourceSort="1" defaultSubtotal="0"/>
    <pivotField axis="axisPage" subtotalTop="0" showAll="0" dataSourceSort="1" defaultSubtotal="0"/>
    <pivotField axis="axisPage" allDrilled="1" subtotalTop="0" showAll="0" dataSourceSort="1" defaultSubtotal="0"/>
    <pivotField axis="axisPage" subtotalTop="0" showAll="0" dataSourceSort="1" defaultSubtotal="0"/>
    <pivotField axis="axisPage" subtotalTop="0" showAll="0" dataSourceSort="1" defaultSubtotal="0"/>
    <pivotField axis="axisPage" subtotalTop="0" showAll="0" dataSourceSort="1" defaultSubtotal="0"/>
  </pivotFields>
  <pageFields count="3">
    <pageField fld="0" hier="2" name="[Data].[GDP and other output measures].[Output Definition].&amp;[Expenditure Approach]" cap="Expenditure Approach"/>
    <pageField fld="5" hier="4" name="[Data].[Original Source Data].[Source].&amp;[PENN]" cap="PENN"/>
    <pageField fld="7" hier="12" name="[Indicator Detail].[Units].[Measure Type (Stock/Flow/etc)].&amp;[Flow].&amp;[Money].&amp;[USD]" cap="USD"/>
  </pageFields>
  <pivotHierarchies count="76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1" type="captionGreaterThanOrEqual" evalOrder="-1" id="1" stringValue1="1980">
      <autoFilter ref="A1">
        <filterColumn colId="0">
          <customFilters>
            <customFilter operator="greaterThanOrEqual" val="198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3437-4723-4F3D-BC4A-78F38C1FB5F9}">
  <sheetPr codeName="Sheet1"/>
  <dimension ref="A1:AK39"/>
  <sheetViews>
    <sheetView tabSelected="1" workbookViewId="0">
      <selection activeCell="E2" sqref="E2"/>
    </sheetView>
  </sheetViews>
  <sheetFormatPr defaultRowHeight="14.25" x14ac:dyDescent="0.45"/>
  <cols>
    <col min="1" max="1" width="26.265625" bestFit="1" customWidth="1"/>
    <col min="2" max="2" width="20.53125" bestFit="1" customWidth="1"/>
    <col min="3" max="36" width="11.73046875" bestFit="1" customWidth="1"/>
    <col min="37" max="39" width="11.59765625" bestFit="1" customWidth="1"/>
    <col min="40" max="43" width="11.73046875" bestFit="1" customWidth="1"/>
    <col min="44" max="45" width="11.59765625" bestFit="1" customWidth="1"/>
    <col min="46" max="51" width="11.73046875" bestFit="1" customWidth="1"/>
    <col min="52" max="75" width="11.59765625" bestFit="1" customWidth="1"/>
    <col min="76" max="77" width="11.73046875" bestFit="1" customWidth="1"/>
    <col min="78" max="81" width="11.59765625" bestFit="1" customWidth="1"/>
    <col min="82" max="91" width="11.73046875" bestFit="1" customWidth="1"/>
    <col min="92" max="110" width="11.59765625" bestFit="1" customWidth="1"/>
    <col min="111" max="146" width="11.73046875" bestFit="1" customWidth="1"/>
    <col min="147" max="149" width="11.59765625" bestFit="1" customWidth="1"/>
    <col min="150" max="153" width="11.73046875" bestFit="1" customWidth="1"/>
    <col min="154" max="155" width="11.59765625" bestFit="1" customWidth="1"/>
  </cols>
  <sheetData>
    <row r="1" spans="1:37" x14ac:dyDescent="0.45">
      <c r="A1" t="s">
        <v>0</v>
      </c>
      <c r="B1" t="s" vm="2">
        <v>5</v>
      </c>
    </row>
    <row r="2" spans="1:37" x14ac:dyDescent="0.45">
      <c r="A2" t="s">
        <v>3</v>
      </c>
      <c r="B2" t="s" vm="1">
        <v>4</v>
      </c>
      <c r="D2" t="e" cm="1">
        <f t="array" ref="D2">CubeCalculate(Expenditure_Approach,PENN,USD,$A$5,$A7,C$6)</f>
        <v>#VALUE!</v>
      </c>
    </row>
    <row r="3" spans="1:37" x14ac:dyDescent="0.45">
      <c r="A3" t="s">
        <v>6</v>
      </c>
      <c r="B3" t="s" vm="3">
        <v>7</v>
      </c>
    </row>
    <row r="5" spans="1:37" x14ac:dyDescent="0.45">
      <c r="A5" t="str" vm="18">
        <f>CUBEMEMBER("DESKTOP-KSAPEQM AS Model","[Measures].[Item]")</f>
        <v>Item</v>
      </c>
      <c r="B5" t="s">
        <v>1</v>
      </c>
    </row>
    <row r="6" spans="1:37" x14ac:dyDescent="0.45">
      <c r="A6" t="s">
        <v>2</v>
      </c>
      <c r="B6" t="str" vm="13">
        <f>CUBEMEMBER("DESKTOP-KSAPEQM AS Model","[Dates].[Year].&amp;[1980]")</f>
        <v>1980</v>
      </c>
      <c r="C6" t="str" vm="10">
        <f>CUBEMEMBER("DESKTOP-KSAPEQM AS Model","[Dates].[Year].&amp;[1981]")</f>
        <v>1981</v>
      </c>
      <c r="D6" t="str" vm="15">
        <f>CUBEMEMBER("DESKTOP-KSAPEQM AS Model","[Dates].[Year].&amp;[1982]")</f>
        <v>1982</v>
      </c>
      <c r="E6" t="str" vm="4">
        <f>CUBEMEMBER("DESKTOP-KSAPEQM AS Model","[Dates].[Year].&amp;[1983]")</f>
        <v>1983</v>
      </c>
      <c r="F6" t="str" vm="55">
        <f>CUBEMEMBER("DESKTOP-KSAPEQM AS Model","[Dates].[Year].&amp;[1984]")</f>
        <v>1984</v>
      </c>
      <c r="G6" t="str" vm="70">
        <f>CUBEMEMBER("DESKTOP-KSAPEQM AS Model","[Dates].[Year].&amp;[1985]")</f>
        <v>1985</v>
      </c>
      <c r="H6" t="str" vm="63">
        <f>CUBEMEMBER("DESKTOP-KSAPEQM AS Model","[Dates].[Year].&amp;[1986]")</f>
        <v>1986</v>
      </c>
      <c r="I6" t="str" vm="59">
        <f>CUBEMEMBER("DESKTOP-KSAPEQM AS Model","[Dates].[Year].&amp;[1987]")</f>
        <v>1987</v>
      </c>
      <c r="J6" t="str" vm="54">
        <f>CUBEMEMBER("DESKTOP-KSAPEQM AS Model","[Dates].[Year].&amp;[1988]")</f>
        <v>1988</v>
      </c>
      <c r="K6" t="str" vm="44">
        <f>CUBEMEMBER("DESKTOP-KSAPEQM AS Model","[Dates].[Year].&amp;[1989]")</f>
        <v>1989</v>
      </c>
      <c r="L6" t="str" vm="42">
        <f>CUBEMEMBER("DESKTOP-KSAPEQM AS Model","[Dates].[Year].&amp;[1990]")</f>
        <v>1990</v>
      </c>
      <c r="M6" t="str" vm="37">
        <f>CUBEMEMBER("DESKTOP-KSAPEQM AS Model","[Dates].[Year].&amp;[1991]")</f>
        <v>1991</v>
      </c>
      <c r="N6" t="str" vm="33">
        <f>CUBEMEMBER("DESKTOP-KSAPEQM AS Model","[Dates].[Year].&amp;[1992]")</f>
        <v>1992</v>
      </c>
      <c r="O6" t="str" vm="29">
        <f>CUBEMEMBER("DESKTOP-KSAPEQM AS Model","[Dates].[Year].&amp;[1993]")</f>
        <v>1993</v>
      </c>
      <c r="P6" t="str" vm="24">
        <f>CUBEMEMBER("DESKTOP-KSAPEQM AS Model","[Dates].[Year].&amp;[1994]")</f>
        <v>1994</v>
      </c>
      <c r="Q6" t="str" vm="22">
        <f>CUBEMEMBER("DESKTOP-KSAPEQM AS Model","[Dates].[Year].&amp;[1995]")</f>
        <v>1995</v>
      </c>
      <c r="R6" t="str" vm="17">
        <f>CUBEMEMBER("DESKTOP-KSAPEQM AS Model","[Dates].[Year].&amp;[1996]")</f>
        <v>1996</v>
      </c>
      <c r="S6" t="str" vm="9">
        <f>CUBEMEMBER("DESKTOP-KSAPEQM AS Model","[Dates].[Year].&amp;[1997]")</f>
        <v>1997</v>
      </c>
      <c r="T6" t="str" vm="71">
        <f>CUBEMEMBER("DESKTOP-KSAPEQM AS Model","[Dates].[Year].&amp;[1998]")</f>
        <v>1998</v>
      </c>
      <c r="U6" t="str" vm="46">
        <f>CUBEMEMBER("DESKTOP-KSAPEQM AS Model","[Dates].[Year].&amp;[1999]")</f>
        <v>1999</v>
      </c>
      <c r="V6" t="str" vm="45">
        <f>CUBEMEMBER("DESKTOP-KSAPEQM AS Model","[Dates].[Year].&amp;[2000]")</f>
        <v>2000</v>
      </c>
      <c r="W6" t="str" vm="69">
        <f>CUBEMEMBER("DESKTOP-KSAPEQM AS Model","[Dates].[Year].&amp;[2001]")</f>
        <v>2001</v>
      </c>
      <c r="X6" t="str" vm="62">
        <f>CUBEMEMBER("DESKTOP-KSAPEQM AS Model","[Dates].[Year].&amp;[2002]")</f>
        <v>2002</v>
      </c>
      <c r="Y6" t="str" vm="58">
        <f>CUBEMEMBER("DESKTOP-KSAPEQM AS Model","[Dates].[Year].&amp;[2003]")</f>
        <v>2003</v>
      </c>
      <c r="Z6" t="str" vm="53">
        <f>CUBEMEMBER("DESKTOP-KSAPEQM AS Model","[Dates].[Year].&amp;[2004]")</f>
        <v>2004</v>
      </c>
      <c r="AA6" t="str" vm="49">
        <f>CUBEMEMBER("DESKTOP-KSAPEQM AS Model","[Dates].[Year].&amp;[2005]")</f>
        <v>2005</v>
      </c>
      <c r="AB6" t="str" vm="41">
        <f>CUBEMEMBER("DESKTOP-KSAPEQM AS Model","[Dates].[Year].&amp;[2006]")</f>
        <v>2006</v>
      </c>
      <c r="AC6" t="str" vm="34">
        <f>CUBEMEMBER("DESKTOP-KSAPEQM AS Model","[Dates].[Year].&amp;[2007]")</f>
        <v>2007</v>
      </c>
      <c r="AD6" t="str" vm="32">
        <f>CUBEMEMBER("DESKTOP-KSAPEQM AS Model","[Dates].[Year].&amp;[2008]")</f>
        <v>2008</v>
      </c>
      <c r="AE6" t="str" vm="25">
        <f>CUBEMEMBER("DESKTOP-KSAPEQM AS Model","[Dates].[Year].&amp;[2009]")</f>
        <v>2009</v>
      </c>
      <c r="AF6" t="str" vm="23">
        <f>CUBEMEMBER("DESKTOP-KSAPEQM AS Model","[Dates].[Year].&amp;[2010]")</f>
        <v>2010</v>
      </c>
      <c r="AG6" t="str" vm="21">
        <f>CUBEMEMBER("DESKTOP-KSAPEQM AS Model","[Dates].[Year].&amp;[2011]")</f>
        <v>2011</v>
      </c>
      <c r="AH6" t="str" vm="12">
        <f>CUBEMEMBER("DESKTOP-KSAPEQM AS Model","[Dates].[Year].&amp;[2012]")</f>
        <v>2012</v>
      </c>
      <c r="AI6" t="str" vm="8">
        <f>CUBEMEMBER("DESKTOP-KSAPEQM AS Model","[Dates].[Year].&amp;[2013]")</f>
        <v>2013</v>
      </c>
      <c r="AJ6" t="str" vm="66">
        <f>CUBEMEMBER("DESKTOP-KSAPEQM AS Model","[Dates].[Year].&amp;[2014]")</f>
        <v>2014</v>
      </c>
      <c r="AK6" t="str" vm="73">
        <f>CUBESET("DESKTOP-KSAPEQM AS Model",($AJ$6,$AI$6,$AH$6,$AG$6,$AF$6,$AE$6,$AD$6,$AC$6,$AB$6,$AA$6,$Z$6,$Y$6,$X$6,$W$6,$V$6,$U$6,$T$6,$S$6,$R$6,$Q$6,$P$6,$O$6,$N$6,$M$6,$L$6,$K$6,$J$6,$I$6,$H$6,$G$6,$F$6,$E$6,$D$6,$C$6,$B$6),"Grand Total")</f>
        <v>Grand Total</v>
      </c>
    </row>
    <row r="7" spans="1:37" x14ac:dyDescent="0.45">
      <c r="A7" s="1" t="str" vm="64">
        <f>CUBEMEMBER("DESKTOP-KSAPEQM AS Model","[Geography].[Blocs].[Major_Blocs].&amp;[China Mainland]")</f>
        <v>China Mainland</v>
      </c>
      <c r="B7" vm="1194">
        <f>CUBEVALUE("DESKTOP-KSAPEQM AS Model",Expenditure_Approach,PENN,USD,PivotTableID,Place,Year)</f>
        <v>302943139348.63855</v>
      </c>
      <c r="C7" vm="1097">
        <f t="shared" ref="C7:AK7" si="0">CUBEVALUE("DESKTOP-KSAPEQM AS Model",Expenditure_Approach,PENN,USD,$A$5,$A7,C$6)</f>
        <v>288618591376.30225</v>
      </c>
      <c r="D7" vm="1008">
        <f t="shared" si="0"/>
        <v>284585539119.16443</v>
      </c>
      <c r="E7" vm="919">
        <f t="shared" si="0"/>
        <v>305384235767.52246</v>
      </c>
      <c r="F7" vm="843">
        <f t="shared" si="0"/>
        <v>314377970016.65961</v>
      </c>
      <c r="G7" vm="752">
        <f t="shared" si="0"/>
        <v>310608149405.73779</v>
      </c>
      <c r="H7" vm="663">
        <f t="shared" si="0"/>
        <v>301385108172.03363</v>
      </c>
      <c r="I7" vm="574">
        <f t="shared" si="0"/>
        <v>328357647564.54688</v>
      </c>
      <c r="J7" vm="273">
        <f t="shared" si="0"/>
        <v>409792858869.99274</v>
      </c>
      <c r="K7" vm="442">
        <f t="shared" si="0"/>
        <v>458688001086.1839</v>
      </c>
      <c r="L7" vm="353">
        <f t="shared" si="0"/>
        <v>396562282265.65002</v>
      </c>
      <c r="M7" vm="269">
        <f t="shared" si="0"/>
        <v>413535227926.211</v>
      </c>
      <c r="N7" vm="184">
        <f t="shared" si="0"/>
        <v>493381948839.47614</v>
      </c>
      <c r="O7" vm="198">
        <f t="shared" si="0"/>
        <v>620469606661.33252</v>
      </c>
      <c r="P7" vm="587">
        <f t="shared" si="0"/>
        <v>564408309810.66418</v>
      </c>
      <c r="Q7" vm="1205">
        <f t="shared" si="0"/>
        <v>734353250508.98254</v>
      </c>
      <c r="R7" vm="1193">
        <f t="shared" si="0"/>
        <v>864321475071.1886</v>
      </c>
      <c r="S7" vm="1096">
        <f t="shared" si="0"/>
        <v>961893403505.53235</v>
      </c>
      <c r="T7" vm="1007">
        <f t="shared" si="0"/>
        <v>1028805761710.3834</v>
      </c>
      <c r="U7" vm="918">
        <f t="shared" si="0"/>
        <v>1092589617370.8212</v>
      </c>
      <c r="V7" vm="753">
        <f t="shared" si="0"/>
        <v>1208915253071.9258</v>
      </c>
      <c r="W7" vm="751">
        <f t="shared" si="0"/>
        <v>1336915390682.4714</v>
      </c>
      <c r="X7" vm="662">
        <f t="shared" si="0"/>
        <v>1468857366973.311</v>
      </c>
      <c r="Y7" vm="573">
        <f t="shared" si="0"/>
        <v>1660706663291.7068</v>
      </c>
      <c r="Z7" vm="365">
        <f t="shared" si="0"/>
        <v>1952643344998.7102</v>
      </c>
      <c r="AA7" vm="441">
        <f t="shared" si="0"/>
        <v>2295482295482.2954</v>
      </c>
      <c r="AB7" vm="352">
        <f t="shared" si="0"/>
        <v>2747804265997.4907</v>
      </c>
      <c r="AC7" vm="185">
        <f t="shared" si="0"/>
        <v>3534822601839.6846</v>
      </c>
      <c r="AD7" vm="183">
        <f t="shared" si="0"/>
        <v>4561151079136.6904</v>
      </c>
      <c r="AE7" vm="455">
        <f t="shared" si="0"/>
        <v>5065885797950.2197</v>
      </c>
      <c r="AF7" vm="1020">
        <f t="shared" si="0"/>
        <v>6011816838995.5693</v>
      </c>
      <c r="AG7" vm="1013">
        <f t="shared" si="0"/>
        <v>7445820433436.5322</v>
      </c>
      <c r="AH7" vm="1192">
        <f t="shared" si="0"/>
        <v>8478605388272.584</v>
      </c>
      <c r="AI7" vm="1095">
        <f t="shared" si="0"/>
        <v>9516129032258.0645</v>
      </c>
      <c r="AJ7" vm="1006">
        <f t="shared" si="0"/>
        <v>10439739413680.783</v>
      </c>
      <c r="AK7" vm="917">
        <f t="shared" si="0"/>
        <v>78200357290465.047</v>
      </c>
    </row>
    <row r="8" spans="1:37" x14ac:dyDescent="0.45">
      <c r="A8" s="1" t="str" vm="68">
        <f>CUBEMEMBER("DESKTOP-KSAPEQM AS Model","[Geography].[Blocs].[Major_Blocs].&amp;[North]")</f>
        <v>North</v>
      </c>
    </row>
    <row r="9" spans="1:37" x14ac:dyDescent="0.45">
      <c r="A9" s="2" t="str" vm="61">
        <f>CUBEMEMBER("DESKTOP-KSAPEQM AS Model","[Geography].[Blocs].[Country].&amp;[Australia]")</f>
        <v>Australia</v>
      </c>
      <c r="B9" vm="842">
        <f t="shared" ref="B9:K18" si="1">CUBEVALUE("DESKTOP-KSAPEQM AS Model",Expenditure_Approach,PENN,USD,$A$5,$A9,B$6)</f>
        <v>173151132100.10703</v>
      </c>
      <c r="C9" vm="750">
        <f t="shared" si="1"/>
        <v>201715765323.077</v>
      </c>
      <c r="D9" vm="661">
        <f t="shared" si="1"/>
        <v>191759942912.13922</v>
      </c>
      <c r="E9" vm="572">
        <f t="shared" si="1"/>
        <v>192219924955.96906</v>
      </c>
      <c r="F9" vm="190">
        <f t="shared" si="1"/>
        <v>206180817313.12643</v>
      </c>
      <c r="G9" vm="440">
        <f t="shared" si="1"/>
        <v>181740979610.93518</v>
      </c>
      <c r="H9" vm="351">
        <f t="shared" si="1"/>
        <v>191038053998.52484</v>
      </c>
      <c r="I9" vm="268">
        <f t="shared" si="1"/>
        <v>226908372894.173</v>
      </c>
      <c r="J9" vm="182">
        <f t="shared" si="1"/>
        <v>287352617371.10388</v>
      </c>
      <c r="K9" vm="1225">
        <f t="shared" si="1"/>
        <v>319527166249.91986</v>
      </c>
      <c r="L9" vm="931">
        <f t="shared" ref="L9:U18" si="2">CUBEVALUE("DESKTOP-KSAPEQM AS Model",Expenditure_Approach,PENN,USD,$A$5,$A9,L$6)</f>
        <v>323873252448.54504</v>
      </c>
      <c r="M9" vm="95">
        <f t="shared" si="2"/>
        <v>329505814111.99854</v>
      </c>
      <c r="N9" vm="1191">
        <f t="shared" si="2"/>
        <v>326133407576.68481</v>
      </c>
      <c r="O9" vm="1094">
        <f t="shared" si="2"/>
        <v>317372293548.03613</v>
      </c>
      <c r="P9" vm="1005">
        <f t="shared" si="2"/>
        <v>362385457935.75848</v>
      </c>
      <c r="Q9" vm="916">
        <f t="shared" si="2"/>
        <v>392175874191.31854</v>
      </c>
      <c r="R9" vm="841">
        <f t="shared" si="2"/>
        <v>435614670207.68188</v>
      </c>
      <c r="S9" vm="749">
        <f t="shared" si="2"/>
        <v>436940580979.3822</v>
      </c>
      <c r="T9" vm="660">
        <f t="shared" si="2"/>
        <v>389662000606.47247</v>
      </c>
      <c r="U9" vm="571">
        <f t="shared" si="2"/>
        <v>426326010516.46826</v>
      </c>
      <c r="V9" vm="446">
        <f t="shared" ref="V9:AE18" si="3">CUBEVALUE("DESKTOP-KSAPEQM AS Model",Expenditure_Approach,PENN,USD,$A$5,$A9,V$6)</f>
        <v>408896151711.93719</v>
      </c>
      <c r="W9" vm="439">
        <f t="shared" si="3"/>
        <v>389715235906.93805</v>
      </c>
      <c r="X9" vm="350">
        <f t="shared" si="3"/>
        <v>435137084451.0849</v>
      </c>
      <c r="Y9" vm="267">
        <f t="shared" si="3"/>
        <v>558769742181.50403</v>
      </c>
      <c r="Z9" vm="181">
        <f t="shared" si="3"/>
        <v>678269758650.93103</v>
      </c>
      <c r="AA9" vm="936">
        <f t="shared" si="3"/>
        <v>762114049977.19312</v>
      </c>
      <c r="AB9" vm="768">
        <f t="shared" si="3"/>
        <v>818561576609.89294</v>
      </c>
      <c r="AC9" vm="1113">
        <f t="shared" si="3"/>
        <v>986067372481.58582</v>
      </c>
      <c r="AD9" vm="1190">
        <f t="shared" si="3"/>
        <v>1055273359697.958</v>
      </c>
      <c r="AE9" vm="1093">
        <f t="shared" si="3"/>
        <v>1010558663435.5253</v>
      </c>
      <c r="AF9" vm="1004">
        <f t="shared" ref="AF9:AK18" si="4">CUBEVALUE("DESKTOP-KSAPEQM AS Model",Expenditure_Approach,PENN,USD,$A$5,$A9,AF$6)</f>
        <v>1291430290705.1675</v>
      </c>
      <c r="AG9" vm="915">
        <f t="shared" si="4"/>
        <v>1534898900752.499</v>
      </c>
      <c r="AH9" vm="840">
        <f t="shared" si="4"/>
        <v>1574800557004.9973</v>
      </c>
      <c r="AI9" vm="748">
        <f t="shared" si="4"/>
        <v>1528761450455.1897</v>
      </c>
      <c r="AJ9" vm="659">
        <f t="shared" si="4"/>
        <v>1471438617087.8376</v>
      </c>
      <c r="AK9" vm="570">
        <f t="shared" si="4"/>
        <v>20416276945961.664</v>
      </c>
    </row>
    <row r="10" spans="1:37" x14ac:dyDescent="0.45">
      <c r="A10" s="2" t="str" vm="57">
        <f>CUBEMEMBER("DESKTOP-KSAPEQM AS Model","[Geography].[Blocs].[Country].&amp;[Austria]")</f>
        <v>Austria</v>
      </c>
      <c r="B10" vm="364">
        <f t="shared" si="1"/>
        <v>81857651770.668655</v>
      </c>
      <c r="C10" vm="438">
        <f t="shared" si="1"/>
        <v>70860162110.076462</v>
      </c>
      <c r="D10" vm="349">
        <f t="shared" si="1"/>
        <v>71101061993.443817</v>
      </c>
      <c r="E10" vm="266">
        <f t="shared" si="1"/>
        <v>71944725723.302444</v>
      </c>
      <c r="F10" vm="180">
        <f t="shared" si="1"/>
        <v>67820785097.86834</v>
      </c>
      <c r="G10" vm="680">
        <f t="shared" si="1"/>
        <v>69221249289.854263</v>
      </c>
      <c r="H10" vm="107">
        <f t="shared" si="1"/>
        <v>98797068027.945419</v>
      </c>
      <c r="I10" vm="924">
        <f t="shared" si="1"/>
        <v>123873860807.97847</v>
      </c>
      <c r="J10" vm="1189">
        <f t="shared" si="1"/>
        <v>133012268828.82611</v>
      </c>
      <c r="K10" vm="1092">
        <f t="shared" si="1"/>
        <v>132783772075.84853</v>
      </c>
      <c r="L10" vm="1003">
        <f t="shared" si="2"/>
        <v>166066793911.168</v>
      </c>
      <c r="M10" vm="914">
        <f t="shared" si="2"/>
        <v>173371022713.42511</v>
      </c>
      <c r="N10" vm="839">
        <f t="shared" si="2"/>
        <v>194601853683.70178</v>
      </c>
      <c r="O10" vm="747">
        <f t="shared" si="2"/>
        <v>189911281881.36786</v>
      </c>
      <c r="P10" vm="658">
        <f t="shared" si="2"/>
        <v>203055589994.31354</v>
      </c>
      <c r="Q10" vm="569">
        <f t="shared" si="2"/>
        <v>240473747065.9115</v>
      </c>
      <c r="R10" vm="272">
        <f t="shared" si="2"/>
        <v>236734299325.01651</v>
      </c>
      <c r="S10" vm="437">
        <f t="shared" si="2"/>
        <v>212319391641.8403</v>
      </c>
      <c r="T10" vm="348">
        <f t="shared" si="2"/>
        <v>217678365576.18094</v>
      </c>
      <c r="U10" vm="265">
        <f t="shared" si="2"/>
        <v>216718962184.86215</v>
      </c>
      <c r="V10" vm="179">
        <f t="shared" si="3"/>
        <v>196421561509.81281</v>
      </c>
      <c r="W10" vm="197">
        <f t="shared" si="3"/>
        <v>196951866202.53958</v>
      </c>
      <c r="X10" vm="1217">
        <f t="shared" si="3"/>
        <v>212980366037.71844</v>
      </c>
      <c r="Y10" vm="757">
        <f t="shared" si="3"/>
        <v>260711423804.34381</v>
      </c>
      <c r="Z10" vm="1188">
        <f t="shared" si="3"/>
        <v>299870270001.80042</v>
      </c>
      <c r="AA10" vm="1091">
        <f t="shared" si="3"/>
        <v>314641160523.30499</v>
      </c>
      <c r="AB10" vm="1002">
        <f t="shared" si="3"/>
        <v>334292247958.24347</v>
      </c>
      <c r="AC10" vm="913">
        <f t="shared" si="3"/>
        <v>386439116524.95251</v>
      </c>
      <c r="AD10" vm="838">
        <f t="shared" si="3"/>
        <v>427627368824.01868</v>
      </c>
      <c r="AE10" vm="746">
        <f t="shared" si="3"/>
        <v>397570326966.68896</v>
      </c>
      <c r="AF10" vm="657">
        <f t="shared" si="4"/>
        <v>390211867518.61591</v>
      </c>
      <c r="AG10" vm="568">
        <f t="shared" si="4"/>
        <v>429037363666.97815</v>
      </c>
      <c r="AH10" vm="189">
        <f t="shared" si="4"/>
        <v>407373027351.11786</v>
      </c>
      <c r="AI10" vm="436">
        <f t="shared" si="4"/>
        <v>428698578698.86151</v>
      </c>
      <c r="AJ10" vm="347">
        <f t="shared" si="4"/>
        <v>436887541564.24615</v>
      </c>
      <c r="AK10" vm="264">
        <f t="shared" si="4"/>
        <v>8091918000856.8447</v>
      </c>
    </row>
    <row r="11" spans="1:37" x14ac:dyDescent="0.45">
      <c r="A11" s="2" t="str" vm="52">
        <f>CUBEMEMBER("DESKTOP-KSAPEQM AS Model","[Geography].[Blocs].[Country].&amp;[Belgium]")</f>
        <v>Belgium</v>
      </c>
      <c r="B11" vm="178">
        <f t="shared" si="1"/>
        <v>127511492284.57851</v>
      </c>
      <c r="C11" vm="370">
        <f t="shared" si="1"/>
        <v>105289561858.00966</v>
      </c>
      <c r="D11" vm="586">
        <f t="shared" si="1"/>
        <v>92585711258.652344</v>
      </c>
      <c r="E11" vm="1204">
        <f t="shared" si="1"/>
        <v>87649552760.826263</v>
      </c>
      <c r="F11" vm="1187">
        <f t="shared" si="1"/>
        <v>83794247227.727463</v>
      </c>
      <c r="G11" vm="1090">
        <f t="shared" si="1"/>
        <v>86727631017.033142</v>
      </c>
      <c r="H11" vm="1001">
        <f t="shared" si="1"/>
        <v>120662651271.51921</v>
      </c>
      <c r="I11" vm="912">
        <f t="shared" si="1"/>
        <v>150196207351.2048</v>
      </c>
      <c r="J11" vm="837">
        <f t="shared" si="1"/>
        <v>163174600207.10873</v>
      </c>
      <c r="K11" vm="745">
        <f t="shared" si="1"/>
        <v>165100304857.80783</v>
      </c>
      <c r="L11" vm="656">
        <f t="shared" si="2"/>
        <v>206428912633.58807</v>
      </c>
      <c r="M11" vm="567">
        <f t="shared" si="2"/>
        <v>211634762707.30911</v>
      </c>
      <c r="N11" vm="445">
        <f t="shared" si="2"/>
        <v>236048887398.84769</v>
      </c>
      <c r="O11" vm="435">
        <f t="shared" si="2"/>
        <v>225918217086.28366</v>
      </c>
      <c r="P11" vm="346">
        <f t="shared" si="2"/>
        <v>246205593627.05615</v>
      </c>
      <c r="Q11" vm="263">
        <f t="shared" si="2"/>
        <v>289571353498.12695</v>
      </c>
      <c r="R11" vm="177">
        <f t="shared" si="2"/>
        <v>281351837063.64276</v>
      </c>
      <c r="S11" vm="1025">
        <f t="shared" si="2"/>
        <v>254810607515.85352</v>
      </c>
      <c r="T11" vm="1019">
        <f t="shared" si="2"/>
        <v>260596621679.14066</v>
      </c>
      <c r="U11" vm="666">
        <f t="shared" si="2"/>
        <v>260194866699.37827</v>
      </c>
      <c r="V11" vm="1186">
        <f t="shared" si="3"/>
        <v>237904744496.22665</v>
      </c>
      <c r="W11" vm="1089">
        <f t="shared" si="3"/>
        <v>237839482420.73895</v>
      </c>
      <c r="X11" vm="1000">
        <f t="shared" si="3"/>
        <v>258872109470.06155</v>
      </c>
      <c r="Y11" vm="911">
        <f t="shared" si="3"/>
        <v>318991083605.72595</v>
      </c>
      <c r="Z11" vm="836">
        <f t="shared" si="3"/>
        <v>370901392536.30341</v>
      </c>
      <c r="AA11" vm="744">
        <f t="shared" si="3"/>
        <v>387356364721.68335</v>
      </c>
      <c r="AB11" vm="655">
        <f t="shared" si="3"/>
        <v>409792081532.19299</v>
      </c>
      <c r="AC11" vm="566">
        <f t="shared" si="3"/>
        <v>471797574036.37231</v>
      </c>
      <c r="AD11" vm="363">
        <f t="shared" si="3"/>
        <v>518645256391.58362</v>
      </c>
      <c r="AE11" vm="434">
        <f t="shared" si="3"/>
        <v>484523466327.45209</v>
      </c>
      <c r="AF11" vm="345">
        <f t="shared" si="4"/>
        <v>483548694683.67407</v>
      </c>
      <c r="AG11" vm="262">
        <f t="shared" si="4"/>
        <v>527008039490.91913</v>
      </c>
      <c r="AH11" vm="176">
        <f t="shared" si="4"/>
        <v>497780015151.0946</v>
      </c>
      <c r="AI11" vm="454">
        <f t="shared" si="4"/>
        <v>521402394643.85199</v>
      </c>
      <c r="AJ11" vm="673">
        <f t="shared" si="4"/>
        <v>531546583863.62219</v>
      </c>
      <c r="AK11" vm="577">
        <f t="shared" si="4"/>
        <v>9913362903375.1953</v>
      </c>
    </row>
    <row r="12" spans="1:37" x14ac:dyDescent="0.45">
      <c r="A12" s="2" t="str" vm="43">
        <f>CUBEMEMBER("DESKTOP-KSAPEQM AS Model","[Geography].[Blocs].[Country].&amp;[Canada]")</f>
        <v>Canada</v>
      </c>
      <c r="B12" vm="1185">
        <f t="shared" si="1"/>
        <v>273432931637.0524</v>
      </c>
      <c r="C12" vm="1088">
        <f t="shared" si="1"/>
        <v>305746486199.15302</v>
      </c>
      <c r="D12" vm="999">
        <f t="shared" si="1"/>
        <v>313444566990.28876</v>
      </c>
      <c r="E12" vm="910">
        <f t="shared" si="1"/>
        <v>340314278441.69916</v>
      </c>
      <c r="F12" vm="835">
        <f t="shared" si="1"/>
        <v>353896830178.70819</v>
      </c>
      <c r="G12" vm="743">
        <f t="shared" si="1"/>
        <v>362964526918.784</v>
      </c>
      <c r="H12" vm="654">
        <f t="shared" si="1"/>
        <v>375653832313.78192</v>
      </c>
      <c r="I12" vm="565">
        <f t="shared" si="1"/>
        <v>429023801581.86505</v>
      </c>
      <c r="J12" vm="362">
        <f t="shared" si="1"/>
        <v>506014300870.48242</v>
      </c>
      <c r="K12" vm="433">
        <f t="shared" si="1"/>
        <v>563643309323.87451</v>
      </c>
      <c r="L12" vm="344">
        <f t="shared" si="2"/>
        <v>592027597437.38086</v>
      </c>
      <c r="M12" vm="261">
        <f t="shared" si="2"/>
        <v>608249840471.03442</v>
      </c>
      <c r="N12" vm="175">
        <f t="shared" si="2"/>
        <v>590135886988.35547</v>
      </c>
      <c r="O12" vm="1224">
        <f t="shared" si="2"/>
        <v>574845229832.5166</v>
      </c>
      <c r="P12" vm="767">
        <f t="shared" si="2"/>
        <v>575982674182.46838</v>
      </c>
      <c r="Q12" vm="1112">
        <f t="shared" si="2"/>
        <v>602003379672.18701</v>
      </c>
      <c r="R12" vm="1184">
        <f t="shared" si="2"/>
        <v>626965071355.16089</v>
      </c>
      <c r="S12" vm="1087">
        <f t="shared" si="2"/>
        <v>650993159334.27637</v>
      </c>
      <c r="T12" vm="998">
        <f t="shared" si="2"/>
        <v>631448129717.55078</v>
      </c>
      <c r="U12" vm="909">
        <f t="shared" si="2"/>
        <v>674310846298.83032</v>
      </c>
      <c r="V12" vm="834">
        <f t="shared" si="3"/>
        <v>739450949761.29712</v>
      </c>
      <c r="W12" vm="742">
        <f t="shared" si="3"/>
        <v>732735487623.39551</v>
      </c>
      <c r="X12" vm="653">
        <f t="shared" si="3"/>
        <v>752522926674.59497</v>
      </c>
      <c r="Y12" vm="564">
        <f t="shared" si="3"/>
        <v>887782370914.64929</v>
      </c>
      <c r="Z12" vm="188">
        <f t="shared" si="3"/>
        <v>1018386200603.3423</v>
      </c>
      <c r="AA12" vm="432">
        <f t="shared" si="3"/>
        <v>1164179506014.0869</v>
      </c>
      <c r="AB12" vm="343">
        <f t="shared" si="3"/>
        <v>1310795227595.9563</v>
      </c>
      <c r="AC12" vm="260">
        <f t="shared" si="3"/>
        <v>1457872792382.6775</v>
      </c>
      <c r="AD12" vm="174">
        <f t="shared" si="3"/>
        <v>1542560728744.9392</v>
      </c>
      <c r="AE12" vm="281">
        <f t="shared" si="3"/>
        <v>1370839102000.2964</v>
      </c>
      <c r="AF12" vm="106">
        <f t="shared" si="4"/>
        <v>1614072067055.8091</v>
      </c>
      <c r="AG12" vm="846">
        <f t="shared" si="4"/>
        <v>1788740882811.8306</v>
      </c>
      <c r="AH12" vm="1183">
        <f t="shared" si="4"/>
        <v>1832715596922.8665</v>
      </c>
      <c r="AI12" vm="1086">
        <f t="shared" si="4"/>
        <v>1838964121652.7612</v>
      </c>
      <c r="AJ12" vm="997">
        <f t="shared" si="4"/>
        <v>1785386720554.262</v>
      </c>
      <c r="AK12" vm="908">
        <f t="shared" si="4"/>
        <v>29788101361058.211</v>
      </c>
    </row>
    <row r="13" spans="1:37" x14ac:dyDescent="0.45">
      <c r="A13" s="2" t="str" vm="40">
        <f>CUBEMEMBER("DESKTOP-KSAPEQM AS Model","[Geography].[Blocs].[Country].&amp;[Cyprus]")</f>
        <v>Cyprus</v>
      </c>
      <c r="B13" vm="833">
        <f t="shared" si="1"/>
        <v>2386742769.2192006</v>
      </c>
      <c r="C13" vm="741">
        <f t="shared" si="1"/>
        <v>2303454781.092391</v>
      </c>
      <c r="D13" vm="652">
        <f t="shared" si="1"/>
        <v>2389114772.4227996</v>
      </c>
      <c r="E13" vm="563">
        <f t="shared" si="1"/>
        <v>2391845881.7470417</v>
      </c>
      <c r="F13" vm="271">
        <f t="shared" si="1"/>
        <v>2518841869.663188</v>
      </c>
      <c r="G13" vm="431">
        <f t="shared" si="1"/>
        <v>2678890793.6669302</v>
      </c>
      <c r="H13" vm="342">
        <f t="shared" si="1"/>
        <v>3423220864.718833</v>
      </c>
      <c r="I13" vm="259">
        <f t="shared" si="1"/>
        <v>4101896330.4142504</v>
      </c>
      <c r="J13" vm="173">
        <f t="shared" si="1"/>
        <v>4731586299.3139067</v>
      </c>
      <c r="K13" vm="591">
        <f t="shared" si="1"/>
        <v>5054793428.8613462</v>
      </c>
      <c r="L13" vm="930">
        <f t="shared" si="2"/>
        <v>6183315494.7473097</v>
      </c>
      <c r="M13" vm="1012">
        <f t="shared" si="2"/>
        <v>6382733863.3577442</v>
      </c>
      <c r="N13" vm="1182">
        <f t="shared" si="2"/>
        <v>7649040353.3209553</v>
      </c>
      <c r="O13" vm="1085">
        <f t="shared" si="2"/>
        <v>7296302346.9149609</v>
      </c>
      <c r="P13" vm="996">
        <f t="shared" si="2"/>
        <v>8215651371.5157681</v>
      </c>
      <c r="Q13" vm="907">
        <f t="shared" si="2"/>
        <v>9813769173.1271076</v>
      </c>
      <c r="R13" vm="832">
        <f t="shared" si="2"/>
        <v>9886285749.3787155</v>
      </c>
      <c r="S13" vm="740">
        <f t="shared" si="2"/>
        <v>9544947158.3324833</v>
      </c>
      <c r="T13" vm="651">
        <f t="shared" si="2"/>
        <v>10311638598.75102</v>
      </c>
      <c r="U13" vm="562">
        <f t="shared" si="2"/>
        <v>10558043904.107544</v>
      </c>
      <c r="V13" vm="361">
        <f t="shared" si="3"/>
        <v>10108711361.92602</v>
      </c>
      <c r="W13" vm="430">
        <f t="shared" si="3"/>
        <v>10495683708.319592</v>
      </c>
      <c r="X13" vm="341">
        <f t="shared" si="3"/>
        <v>11511782202.842794</v>
      </c>
      <c r="Y13" vm="258">
        <f t="shared" si="3"/>
        <v>14464696077.148365</v>
      </c>
      <c r="Z13" vm="172">
        <f t="shared" si="3"/>
        <v>17295912911.331543</v>
      </c>
      <c r="AA13" vm="1122">
        <f t="shared" si="3"/>
        <v>18849769799.037106</v>
      </c>
      <c r="AB13" vm="1216">
        <f t="shared" si="3"/>
        <v>20584885087.694633</v>
      </c>
      <c r="AC13" vm="923">
        <f t="shared" si="3"/>
        <v>23972438439.579376</v>
      </c>
      <c r="AD13" vm="1181">
        <f t="shared" si="3"/>
        <v>27570964215.153069</v>
      </c>
      <c r="AE13" vm="1084">
        <f t="shared" si="3"/>
        <v>25675446947.235851</v>
      </c>
      <c r="AF13" vm="995">
        <f t="shared" si="4"/>
        <v>25319949494.397652</v>
      </c>
      <c r="AG13" vm="906">
        <f t="shared" si="4"/>
        <v>27173083118.528709</v>
      </c>
      <c r="AH13" vm="831">
        <f t="shared" si="4"/>
        <v>25014853006.62886</v>
      </c>
      <c r="AI13" vm="739">
        <f t="shared" si="4"/>
        <v>23985102325.912033</v>
      </c>
      <c r="AJ13" vm="650">
        <f t="shared" si="4"/>
        <v>23076808569.596088</v>
      </c>
      <c r="AK13" vm="561">
        <f t="shared" si="4"/>
        <v>422922203070.00519</v>
      </c>
    </row>
    <row r="14" spans="1:37" x14ac:dyDescent="0.45">
      <c r="A14" s="2" t="str" vm="36">
        <f>CUBEMEMBER("DESKTOP-KSAPEQM AS Model","[Geography].[Blocs].[Country].&amp;[Denmark]")</f>
        <v>Denmark</v>
      </c>
      <c r="B14" vm="444">
        <f t="shared" si="1"/>
        <v>70866941366.692993</v>
      </c>
      <c r="C14" vm="429">
        <f t="shared" si="1"/>
        <v>61377276842.984932</v>
      </c>
      <c r="D14" vm="340">
        <f t="shared" si="1"/>
        <v>59916001572.50425</v>
      </c>
      <c r="E14" vm="257">
        <f t="shared" si="1"/>
        <v>60188452658.737785</v>
      </c>
      <c r="F14" vm="171">
        <f t="shared" si="1"/>
        <v>58673471929.76223</v>
      </c>
      <c r="G14" vm="679">
        <f t="shared" si="1"/>
        <v>62220649254.953949</v>
      </c>
      <c r="H14" vm="585">
        <f t="shared" si="1"/>
        <v>87800373098.887253</v>
      </c>
      <c r="I14" vm="1203">
        <f t="shared" si="1"/>
        <v>109149785418.56111</v>
      </c>
      <c r="J14" vm="1180">
        <f t="shared" si="1"/>
        <v>115111489595.59683</v>
      </c>
      <c r="K14" vm="1083">
        <f t="shared" si="1"/>
        <v>111887227049.96802</v>
      </c>
      <c r="L14" vm="994">
        <f t="shared" si="2"/>
        <v>138095803347.28363</v>
      </c>
      <c r="M14" vm="905">
        <f t="shared" si="2"/>
        <v>138965816442.51477</v>
      </c>
      <c r="N14" vm="830">
        <f t="shared" si="2"/>
        <v>152689890065.8804</v>
      </c>
      <c r="O14" vm="738">
        <f t="shared" si="2"/>
        <v>142962036102.99121</v>
      </c>
      <c r="P14" vm="649">
        <f t="shared" si="2"/>
        <v>156146088711.1412</v>
      </c>
      <c r="Q14" vm="560">
        <f t="shared" si="2"/>
        <v>185008060968.23331</v>
      </c>
      <c r="R14" vm="360">
        <f t="shared" si="2"/>
        <v>187633316092.02847</v>
      </c>
      <c r="S14" vm="428">
        <f t="shared" si="2"/>
        <v>173538660061.67468</v>
      </c>
      <c r="T14" vm="339">
        <f t="shared" si="2"/>
        <v>176991295715.79578</v>
      </c>
      <c r="U14" vm="256">
        <f t="shared" si="2"/>
        <v>177964204213.15781</v>
      </c>
      <c r="V14" vm="170">
        <f t="shared" si="3"/>
        <v>164157902812.12601</v>
      </c>
      <c r="W14" vm="772">
        <f t="shared" si="3"/>
        <v>164791069851.04504</v>
      </c>
      <c r="X14" vm="1118">
        <f t="shared" si="3"/>
        <v>178634838991.38489</v>
      </c>
      <c r="Y14" vm="1111">
        <f t="shared" si="3"/>
        <v>218096881033.85455</v>
      </c>
      <c r="Z14" vm="1179">
        <f t="shared" si="3"/>
        <v>251244659393.72601</v>
      </c>
      <c r="AA14" vm="1082">
        <f t="shared" si="3"/>
        <v>264559081260.18234</v>
      </c>
      <c r="AB14" vm="993">
        <f t="shared" si="3"/>
        <v>282962120851.2179</v>
      </c>
      <c r="AC14" vm="904">
        <f t="shared" si="3"/>
        <v>319500292888.98462</v>
      </c>
      <c r="AD14" vm="829">
        <f t="shared" si="3"/>
        <v>352589423558.9248</v>
      </c>
      <c r="AE14" vm="737">
        <f t="shared" si="3"/>
        <v>319764339598.29669</v>
      </c>
      <c r="AF14" vm="648">
        <f t="shared" si="4"/>
        <v>319812413596.90259</v>
      </c>
      <c r="AG14" vm="559">
        <f t="shared" si="4"/>
        <v>341497955328.76001</v>
      </c>
      <c r="AH14" vm="359">
        <f t="shared" si="4"/>
        <v>325012164488.22272</v>
      </c>
      <c r="AI14" vm="427">
        <f t="shared" si="4"/>
        <v>338927057769.95959</v>
      </c>
      <c r="AJ14" vm="338">
        <f t="shared" si="4"/>
        <v>346119470071.867</v>
      </c>
      <c r="AK14" vm="255">
        <f t="shared" si="4"/>
        <v>6614856512004.8066</v>
      </c>
    </row>
    <row r="15" spans="1:37" x14ac:dyDescent="0.45">
      <c r="A15" s="2" t="str" vm="31">
        <f>CUBEMEMBER("DESKTOP-KSAPEQM AS Model","[Geography].[Blocs].[Country].&amp;[Finland]")</f>
        <v>Finland</v>
      </c>
      <c r="B15" vm="169">
        <f t="shared" si="1"/>
        <v>53688901935.551704</v>
      </c>
      <c r="C15" vm="111">
        <f t="shared" si="1"/>
        <v>52487489372.537239</v>
      </c>
      <c r="D15" vm="1018">
        <f t="shared" si="1"/>
        <v>52829782246.716408</v>
      </c>
      <c r="E15" vm="94">
        <f t="shared" si="1"/>
        <v>51012959501.314217</v>
      </c>
      <c r="F15" vm="1178">
        <f t="shared" si="1"/>
        <v>52925902746.848213</v>
      </c>
      <c r="G15" vm="1081">
        <f t="shared" si="1"/>
        <v>55913635617.115387</v>
      </c>
      <c r="H15" vm="992">
        <f t="shared" si="1"/>
        <v>73583909101.424118</v>
      </c>
      <c r="I15" vm="903">
        <f t="shared" si="1"/>
        <v>91644454092.257431</v>
      </c>
      <c r="J15" vm="828">
        <f t="shared" si="1"/>
        <v>109102735120.5946</v>
      </c>
      <c r="K15" vm="736">
        <f t="shared" si="1"/>
        <v>119059645364.39485</v>
      </c>
      <c r="L15" vm="647">
        <f t="shared" si="2"/>
        <v>141524827460.53766</v>
      </c>
      <c r="M15" vm="558">
        <f t="shared" si="2"/>
        <v>127857377963.3732</v>
      </c>
      <c r="N15" vm="187">
        <f t="shared" si="2"/>
        <v>112627265644.47765</v>
      </c>
      <c r="O15" vm="426">
        <f t="shared" si="2"/>
        <v>89252175167.87529</v>
      </c>
      <c r="P15" vm="337">
        <f t="shared" si="2"/>
        <v>103317838010.04161</v>
      </c>
      <c r="Q15" vm="254">
        <f t="shared" si="2"/>
        <v>134195580377.29904</v>
      </c>
      <c r="R15" vm="168">
        <f t="shared" si="2"/>
        <v>132102884149.22656</v>
      </c>
      <c r="S15" vm="196">
        <f t="shared" si="2"/>
        <v>126827793710.05472</v>
      </c>
      <c r="T15" vm="766">
        <f t="shared" si="2"/>
        <v>133935264325.55319</v>
      </c>
      <c r="U15" vm="756">
        <f t="shared" si="2"/>
        <v>135221938147.8024</v>
      </c>
      <c r="V15" vm="1177">
        <f t="shared" si="3"/>
        <v>125539800597.1619</v>
      </c>
      <c r="W15" vm="1080">
        <f t="shared" si="3"/>
        <v>129248955266.61954</v>
      </c>
      <c r="X15" vm="991">
        <f t="shared" si="3"/>
        <v>139559326854.40152</v>
      </c>
      <c r="Y15" vm="902">
        <f t="shared" si="3"/>
        <v>171064508719.79352</v>
      </c>
      <c r="Z15" vm="827">
        <f t="shared" si="3"/>
        <v>196776616813.49451</v>
      </c>
      <c r="AA15" vm="735">
        <f t="shared" si="3"/>
        <v>204430930706.85968</v>
      </c>
      <c r="AB15" vm="646">
        <f t="shared" si="3"/>
        <v>216541410882.19003</v>
      </c>
      <c r="AC15" vm="557">
        <f t="shared" si="3"/>
        <v>255371507758.63541</v>
      </c>
      <c r="AD15" vm="358">
        <f t="shared" si="3"/>
        <v>283753004414.06421</v>
      </c>
      <c r="AE15" vm="425">
        <f t="shared" si="3"/>
        <v>251483878381.5412</v>
      </c>
      <c r="AF15" vm="336">
        <f t="shared" si="4"/>
        <v>247799816421.5256</v>
      </c>
      <c r="AG15" vm="253">
        <f t="shared" si="4"/>
        <v>273674238145.89523</v>
      </c>
      <c r="AH15" vm="167">
        <f t="shared" si="4"/>
        <v>256706466557.0936</v>
      </c>
      <c r="AI15" vm="453">
        <f t="shared" si="4"/>
        <v>269190106665.10098</v>
      </c>
      <c r="AJ15" vm="105">
        <f t="shared" si="4"/>
        <v>272216574316.71158</v>
      </c>
      <c r="AK15" vm="576">
        <f t="shared" si="4"/>
        <v>5242469502556.085</v>
      </c>
    </row>
    <row r="16" spans="1:37" x14ac:dyDescent="0.45">
      <c r="A16" s="2" t="str" vm="14">
        <f>CUBEMEMBER("DESKTOP-KSAPEQM AS Model","[Geography].[Blocs].[Country].&amp;[France]")</f>
        <v>France</v>
      </c>
      <c r="B16" vm="1176">
        <f t="shared" si="1"/>
        <v>703541387722.36707</v>
      </c>
      <c r="C16" vm="1079">
        <f t="shared" si="1"/>
        <v>617589013503.54932</v>
      </c>
      <c r="D16" vm="990">
        <f t="shared" si="1"/>
        <v>586830725947.29553</v>
      </c>
      <c r="E16" vm="901">
        <f t="shared" si="1"/>
        <v>561871842558.43909</v>
      </c>
      <c r="F16" vm="826">
        <f t="shared" si="1"/>
        <v>532661676276.35059</v>
      </c>
      <c r="G16" vm="734">
        <f t="shared" si="1"/>
        <v>555201477424.94885</v>
      </c>
      <c r="H16" vm="645">
        <f t="shared" si="1"/>
        <v>774573763829.63184</v>
      </c>
      <c r="I16" vm="556">
        <f t="shared" si="1"/>
        <v>938340935171.82483</v>
      </c>
      <c r="J16" vm="357">
        <f t="shared" si="1"/>
        <v>1023469836198.5438</v>
      </c>
      <c r="K16" vm="424">
        <f t="shared" si="1"/>
        <v>1030073593142.5352</v>
      </c>
      <c r="L16" vm="335">
        <f t="shared" si="2"/>
        <v>1275259122455.5303</v>
      </c>
      <c r="M16" vm="252">
        <f t="shared" si="2"/>
        <v>1275510845888.7053</v>
      </c>
      <c r="N16" vm="166">
        <f t="shared" si="2"/>
        <v>1408660658466.448</v>
      </c>
      <c r="O16" vm="1223">
        <f t="shared" si="2"/>
        <v>1330166536003.7488</v>
      </c>
      <c r="P16" vm="672">
        <f t="shared" si="2"/>
        <v>1401629576804.8301</v>
      </c>
      <c r="Q16" vm="1110">
        <f t="shared" si="2"/>
        <v>1609793643864.1028</v>
      </c>
      <c r="R16" vm="1175">
        <f t="shared" si="2"/>
        <v>1614335706274.5322</v>
      </c>
      <c r="S16" vm="1078">
        <f t="shared" si="2"/>
        <v>1460712579106.8672</v>
      </c>
      <c r="T16" vm="989">
        <f t="shared" si="2"/>
        <v>1510799656432.6638</v>
      </c>
      <c r="U16" vm="900">
        <f t="shared" si="2"/>
        <v>1500232339294.4641</v>
      </c>
      <c r="V16" vm="825">
        <f t="shared" si="3"/>
        <v>1368437355122.6423</v>
      </c>
      <c r="W16" vm="733">
        <f t="shared" si="3"/>
        <v>1382205975785.4517</v>
      </c>
      <c r="X16" vm="644">
        <f t="shared" si="3"/>
        <v>1500406050830.2795</v>
      </c>
      <c r="Y16" vm="555">
        <f t="shared" si="3"/>
        <v>1848052880398.5066</v>
      </c>
      <c r="Z16" vm="356">
        <f t="shared" si="3"/>
        <v>2124204553215.002</v>
      </c>
      <c r="AA16" vm="423">
        <f t="shared" si="3"/>
        <v>2203623837238.2231</v>
      </c>
      <c r="AB16" vm="334">
        <f t="shared" si="3"/>
        <v>2324892829790.189</v>
      </c>
      <c r="AC16" vm="251">
        <f t="shared" si="3"/>
        <v>2662975825905.459</v>
      </c>
      <c r="AD16" vm="165">
        <f t="shared" si="3"/>
        <v>2923573952226.8228</v>
      </c>
      <c r="AE16" vm="369">
        <f t="shared" si="3"/>
        <v>2693665188493.23</v>
      </c>
      <c r="AF16" vm="1215">
        <f t="shared" si="4"/>
        <v>2646837118770.2134</v>
      </c>
      <c r="AG16" vm="1202">
        <f t="shared" si="4"/>
        <v>2862680156987.8027</v>
      </c>
      <c r="AH16" vm="1174">
        <f t="shared" si="4"/>
        <v>2681416113405.0181</v>
      </c>
      <c r="AI16" vm="1077">
        <f t="shared" si="4"/>
        <v>2810249222481.7598</v>
      </c>
      <c r="AJ16" vm="988">
        <f t="shared" si="4"/>
        <v>2829192026850.3315</v>
      </c>
      <c r="AK16" vm="899">
        <f t="shared" si="4"/>
        <v>56573668003868.32</v>
      </c>
    </row>
    <row r="17" spans="1:37" x14ac:dyDescent="0.45">
      <c r="A17" s="2" t="str" vm="27">
        <f>CUBEMEMBER("DESKTOP-KSAPEQM AS Model","[Geography].[Blocs].[Country].&amp;[Germany]")</f>
        <v>Germany</v>
      </c>
      <c r="B17" vm="824">
        <f t="shared" si="1"/>
        <v>946737964471.20215</v>
      </c>
      <c r="C17" vm="732">
        <f t="shared" si="1"/>
        <v>797429849097.33691</v>
      </c>
      <c r="D17" vm="643">
        <f t="shared" si="1"/>
        <v>773640308194.6062</v>
      </c>
      <c r="E17" vm="554">
        <f t="shared" si="1"/>
        <v>767791713007.28174</v>
      </c>
      <c r="F17" vm="270">
        <f t="shared" si="1"/>
        <v>722364178191.99402</v>
      </c>
      <c r="G17" vm="422">
        <f t="shared" si="1"/>
        <v>729750536514.01123</v>
      </c>
      <c r="H17" vm="333">
        <f t="shared" si="1"/>
        <v>1042336591243.6149</v>
      </c>
      <c r="I17" vm="250">
        <f t="shared" si="1"/>
        <v>1293275890816.7371</v>
      </c>
      <c r="J17" vm="164">
        <f t="shared" si="1"/>
        <v>1395863757943.4558</v>
      </c>
      <c r="K17" vm="935">
        <f t="shared" si="1"/>
        <v>1393746730039.1477</v>
      </c>
      <c r="L17" vm="584">
        <f t="shared" si="2"/>
        <v>1764943693909.3464</v>
      </c>
      <c r="M17" vm="665">
        <f t="shared" si="2"/>
        <v>1861851557278.9004</v>
      </c>
      <c r="N17" vm="1173">
        <f t="shared" si="2"/>
        <v>2123239970614.8958</v>
      </c>
      <c r="O17" vm="1076">
        <f t="shared" si="2"/>
        <v>2068483305776.4268</v>
      </c>
      <c r="P17" vm="987">
        <f t="shared" si="2"/>
        <v>2205908903310.542</v>
      </c>
      <c r="Q17" vm="898">
        <f t="shared" si="2"/>
        <v>2591446694687.4482</v>
      </c>
      <c r="R17" vm="823">
        <f t="shared" si="2"/>
        <v>2503734148851.8511</v>
      </c>
      <c r="S17" vm="731">
        <f t="shared" si="2"/>
        <v>2218667678943.4058</v>
      </c>
      <c r="T17" vm="642">
        <f t="shared" si="2"/>
        <v>2243216144834.1621</v>
      </c>
      <c r="U17" vm="553">
        <f t="shared" si="2"/>
        <v>2199893444392.5391</v>
      </c>
      <c r="V17" vm="355">
        <f t="shared" si="3"/>
        <v>1949952496810.395</v>
      </c>
      <c r="W17" vm="421">
        <f t="shared" si="3"/>
        <v>1950631314261.1699</v>
      </c>
      <c r="X17" vm="332">
        <f t="shared" si="3"/>
        <v>2079230591791.4395</v>
      </c>
      <c r="Y17" vm="249">
        <f t="shared" si="3"/>
        <v>2505637000433.0645</v>
      </c>
      <c r="Z17" vm="163">
        <f t="shared" si="3"/>
        <v>2819367615925.6982</v>
      </c>
      <c r="AA17" vm="678">
        <f t="shared" si="3"/>
        <v>2861339103616.376</v>
      </c>
      <c r="AB17" vm="929">
        <f t="shared" si="3"/>
        <v>3002292581098.8755</v>
      </c>
      <c r="AC17" vm="922">
        <f t="shared" si="3"/>
        <v>3439776907152.9995</v>
      </c>
      <c r="AD17" vm="1172">
        <f t="shared" si="3"/>
        <v>3752504615265.4458</v>
      </c>
      <c r="AE17" vm="1075">
        <f t="shared" si="3"/>
        <v>3417799116741.1753</v>
      </c>
      <c r="AF17" vm="986">
        <f t="shared" si="4"/>
        <v>3417094571654.3101</v>
      </c>
      <c r="AG17" vm="897">
        <f t="shared" si="4"/>
        <v>3757698299970.7031</v>
      </c>
      <c r="AH17" vm="822">
        <f t="shared" si="4"/>
        <v>3539615384220.0425</v>
      </c>
      <c r="AI17" vm="730">
        <f t="shared" si="4"/>
        <v>3745317158585.2539</v>
      </c>
      <c r="AJ17" vm="641">
        <f t="shared" si="4"/>
        <v>3868291214976.8501</v>
      </c>
      <c r="AK17" vm="552">
        <f t="shared" si="4"/>
        <v>77750871034622.688</v>
      </c>
    </row>
    <row r="18" spans="1:37" x14ac:dyDescent="0.45">
      <c r="A18" s="2" t="str" vm="20">
        <f>CUBEMEMBER("DESKTOP-KSAPEQM AS Model","[Geography].[Blocs].[Country].&amp;[Greece]")</f>
        <v>Greece</v>
      </c>
      <c r="B18" vm="443">
        <f t="shared" si="1"/>
        <v>56844653917.927673</v>
      </c>
      <c r="C18" vm="420">
        <f t="shared" si="1"/>
        <v>52344176679.955956</v>
      </c>
      <c r="D18" vm="331">
        <f t="shared" si="1"/>
        <v>54604773212.034805</v>
      </c>
      <c r="E18" vm="248">
        <f t="shared" si="1"/>
        <v>49420762637.215767</v>
      </c>
      <c r="F18" vm="162">
        <f t="shared" si="1"/>
        <v>48021522315.931992</v>
      </c>
      <c r="G18" vm="280">
        <f t="shared" si="1"/>
        <v>47816312623.867157</v>
      </c>
      <c r="H18" vm="765">
        <f t="shared" si="1"/>
        <v>56379163907.538872</v>
      </c>
      <c r="I18" vm="1011">
        <f t="shared" si="1"/>
        <v>65645260804.919746</v>
      </c>
      <c r="J18" vm="1171">
        <f t="shared" si="1"/>
        <v>76257903745.887573</v>
      </c>
      <c r="K18" vm="1074">
        <f t="shared" si="1"/>
        <v>79161666870.277573</v>
      </c>
      <c r="L18" vm="985">
        <f t="shared" si="2"/>
        <v>97892933237.521835</v>
      </c>
      <c r="M18" vm="896">
        <f t="shared" si="2"/>
        <v>105143670724.22081</v>
      </c>
      <c r="N18" vm="821">
        <f t="shared" si="2"/>
        <v>116219368822.87086</v>
      </c>
      <c r="O18" vm="729">
        <f t="shared" si="2"/>
        <v>108812266271.16551</v>
      </c>
      <c r="P18" vm="640">
        <f t="shared" si="2"/>
        <v>116607177033.07616</v>
      </c>
      <c r="Q18" vm="551">
        <f t="shared" si="2"/>
        <v>136886159528.2179</v>
      </c>
      <c r="R18" vm="186">
        <f t="shared" si="2"/>
        <v>145858128950.34991</v>
      </c>
      <c r="S18" vm="419">
        <f t="shared" si="2"/>
        <v>143149794184.43268</v>
      </c>
      <c r="T18" vm="330">
        <f t="shared" si="2"/>
        <v>144429814840.15768</v>
      </c>
      <c r="U18" vm="247">
        <f t="shared" si="2"/>
        <v>149154315210.53113</v>
      </c>
      <c r="V18" vm="161">
        <f t="shared" si="3"/>
        <v>132084872263.00854</v>
      </c>
      <c r="W18" vm="1024">
        <f t="shared" si="3"/>
        <v>136190137001.01117</v>
      </c>
      <c r="X18" vm="1017">
        <f t="shared" si="3"/>
        <v>153837935603.50992</v>
      </c>
      <c r="Y18" vm="1109">
        <f t="shared" si="3"/>
        <v>201916321127.88608</v>
      </c>
      <c r="Z18" vm="1170">
        <f t="shared" si="3"/>
        <v>240531709225.00977</v>
      </c>
      <c r="AA18" vm="1073">
        <f t="shared" si="3"/>
        <v>247776836790.52881</v>
      </c>
      <c r="AB18" vm="984">
        <f t="shared" si="3"/>
        <v>273303739817.21649</v>
      </c>
      <c r="AC18" vm="895">
        <f t="shared" si="3"/>
        <v>318481586285.94891</v>
      </c>
      <c r="AD18" vm="820">
        <f t="shared" si="3"/>
        <v>354473933859.36328</v>
      </c>
      <c r="AE18" vm="728">
        <f t="shared" si="3"/>
        <v>329980372396.57245</v>
      </c>
      <c r="AF18" vm="639">
        <f t="shared" si="4"/>
        <v>299361581055.53845</v>
      </c>
      <c r="AG18" vm="550">
        <f t="shared" si="4"/>
        <v>287797830070.74738</v>
      </c>
      <c r="AH18" vm="354">
        <f t="shared" si="4"/>
        <v>245670669783.22833</v>
      </c>
      <c r="AI18" vm="418">
        <f t="shared" si="4"/>
        <v>239509847041.89624</v>
      </c>
      <c r="AJ18" vm="329">
        <f t="shared" si="4"/>
        <v>235574072512.95071</v>
      </c>
      <c r="AK18" vm="246">
        <f t="shared" si="4"/>
        <v>5547141270352.5186</v>
      </c>
    </row>
    <row r="19" spans="1:37" x14ac:dyDescent="0.45">
      <c r="A19" s="2" t="str" vm="16">
        <f>CUBEMEMBER("DESKTOP-KSAPEQM AS Model","[Geography].[Blocs].[Country].&amp;[Iceland]")</f>
        <v>Iceland</v>
      </c>
      <c r="B19" vm="160">
        <f t="shared" ref="B19:K28" si="5">CUBEVALUE("DESKTOP-KSAPEQM AS Model",Expenditure_Approach,PENN,USD,$A$5,$A19,B$6)</f>
        <v>3418346142.855979</v>
      </c>
      <c r="C19" vm="452">
        <f t="shared" si="5"/>
        <v>3515968372.5079346</v>
      </c>
      <c r="D19" vm="104">
        <f t="shared" si="5"/>
        <v>3230368246.5974064</v>
      </c>
      <c r="E19" vm="93">
        <f t="shared" si="5"/>
        <v>2789544336.9895148</v>
      </c>
      <c r="F19" vm="1169">
        <f t="shared" si="5"/>
        <v>2887005264.3200035</v>
      </c>
      <c r="G19" vm="1072">
        <f t="shared" si="5"/>
        <v>3011491828.7264857</v>
      </c>
      <c r="H19" vm="983">
        <f t="shared" si="5"/>
        <v>4014192432.7947555</v>
      </c>
      <c r="I19" vm="894">
        <f t="shared" si="5"/>
        <v>5558832968.78162</v>
      </c>
      <c r="J19" vm="819">
        <f t="shared" si="5"/>
        <v>6160787295.6103592</v>
      </c>
      <c r="K19" vm="727">
        <f t="shared" si="5"/>
        <v>5715107968.5575094</v>
      </c>
      <c r="L19" vm="638">
        <f t="shared" ref="L19:U28" si="6">CUBEVALUE("DESKTOP-KSAPEQM AS Model",Expenditure_Approach,PENN,USD,$A$5,$A19,L$6)</f>
        <v>6519824771.130559</v>
      </c>
      <c r="M19" vm="549">
        <f t="shared" si="6"/>
        <v>6966533619.9996948</v>
      </c>
      <c r="N19" vm="502">
        <f t="shared" si="6"/>
        <v>7142120712.509779</v>
      </c>
      <c r="O19" vm="417">
        <f t="shared" si="6"/>
        <v>6271894124.7469683</v>
      </c>
      <c r="P19" vm="328">
        <f t="shared" si="6"/>
        <v>6447980708.32798</v>
      </c>
      <c r="Q19" vm="245">
        <f t="shared" si="6"/>
        <v>7187942768.5794525</v>
      </c>
      <c r="R19" vm="159">
        <f t="shared" si="6"/>
        <v>7503759398.4962406</v>
      </c>
      <c r="S19" vm="1222">
        <f t="shared" si="6"/>
        <v>7601796624.6922913</v>
      </c>
      <c r="T19" vm="1214">
        <f t="shared" si="6"/>
        <v>8469759288.1726809</v>
      </c>
      <c r="U19" vm="845">
        <f t="shared" si="6"/>
        <v>8930633625.8290958</v>
      </c>
      <c r="V19" vm="1168">
        <f t="shared" ref="V19:AE28" si="7">CUBEVALUE("DESKTOP-KSAPEQM AS Model",Expenditure_Approach,PENN,USD,$A$5,$A19,V$6)</f>
        <v>8924741439.5453377</v>
      </c>
      <c r="W19" vm="1071">
        <f t="shared" si="7"/>
        <v>8126160904.1404047</v>
      </c>
      <c r="X19" vm="982">
        <f t="shared" si="7"/>
        <v>9161801519.4945126</v>
      </c>
      <c r="Y19" vm="893">
        <f t="shared" si="7"/>
        <v>11297021106.380722</v>
      </c>
      <c r="Z19" vm="818">
        <f t="shared" si="7"/>
        <v>13704447281.470036</v>
      </c>
      <c r="AA19" vm="726">
        <f t="shared" si="7"/>
        <v>16749318496.126818</v>
      </c>
      <c r="AB19" vm="637">
        <f t="shared" si="7"/>
        <v>17041293815.901964</v>
      </c>
      <c r="AC19" vm="548">
        <f t="shared" si="7"/>
        <v>21293841230.192802</v>
      </c>
      <c r="AD19" vm="501">
        <f t="shared" si="7"/>
        <v>17530648281.300396</v>
      </c>
      <c r="AE19" vm="416">
        <f t="shared" si="7"/>
        <v>12855271963.285187</v>
      </c>
      <c r="AF19" vm="327">
        <f t="shared" ref="AF19:AK28" si="8">CUBEVALUE("DESKTOP-KSAPEQM AS Model",Expenditure_Approach,PENN,USD,$A$5,$A19,AF$6)</f>
        <v>13236886790.207048</v>
      </c>
      <c r="AG19" vm="244">
        <f t="shared" si="8"/>
        <v>14665353617.691975</v>
      </c>
      <c r="AH19" vm="158">
        <f t="shared" si="8"/>
        <v>14194518686.383635</v>
      </c>
      <c r="AI19" vm="195">
        <f t="shared" si="8"/>
        <v>15376604447.633934</v>
      </c>
      <c r="AJ19" vm="583">
        <f t="shared" si="8"/>
        <v>17036097847.557558</v>
      </c>
      <c r="AK19" vm="1201">
        <f t="shared" si="8"/>
        <v>324537897927.53857</v>
      </c>
    </row>
    <row r="20" spans="1:37" x14ac:dyDescent="0.45">
      <c r="A20" s="2" t="str" vm="7">
        <f>CUBEMEMBER("DESKTOP-KSAPEQM AS Model","[Geography].[Blocs].[Country].&amp;[Ireland]")</f>
        <v>Ireland</v>
      </c>
      <c r="B20" vm="1167">
        <f t="shared" si="5"/>
        <v>21771865782.061798</v>
      </c>
      <c r="C20" vm="1070">
        <f t="shared" si="5"/>
        <v>20693784566.869064</v>
      </c>
      <c r="D20" vm="981">
        <f t="shared" si="5"/>
        <v>21498669910.155361</v>
      </c>
      <c r="E20" vm="892">
        <f t="shared" si="5"/>
        <v>20788764000.515987</v>
      </c>
      <c r="F20" vm="817">
        <f t="shared" si="5"/>
        <v>20129215325.268974</v>
      </c>
      <c r="G20" vm="725">
        <f t="shared" si="5"/>
        <v>21294203784.278187</v>
      </c>
      <c r="H20" vm="636">
        <f t="shared" si="5"/>
        <v>28747491172.805008</v>
      </c>
      <c r="I20" vm="547">
        <f t="shared" si="5"/>
        <v>33957517446.293186</v>
      </c>
      <c r="J20" vm="500">
        <f t="shared" si="5"/>
        <v>37813438697.697914</v>
      </c>
      <c r="K20" vm="415">
        <f t="shared" si="5"/>
        <v>39284438409.937744</v>
      </c>
      <c r="L20" vm="326">
        <f t="shared" si="6"/>
        <v>49363029367.754845</v>
      </c>
      <c r="M20" vm="243">
        <f t="shared" si="6"/>
        <v>49844379743.569504</v>
      </c>
      <c r="N20" vm="157">
        <f t="shared" si="6"/>
        <v>55984996854.679779</v>
      </c>
      <c r="O20" vm="590">
        <f t="shared" si="6"/>
        <v>52474583286.347878</v>
      </c>
      <c r="P20" vm="764">
        <f t="shared" si="6"/>
        <v>57162977529.243942</v>
      </c>
      <c r="Q20" vm="755">
        <f t="shared" si="6"/>
        <v>69219454226.005676</v>
      </c>
      <c r="R20" vm="1166">
        <f t="shared" si="6"/>
        <v>75848380877.191055</v>
      </c>
      <c r="S20" vm="1069">
        <f t="shared" si="6"/>
        <v>82819349693.280823</v>
      </c>
      <c r="T20" vm="980">
        <f t="shared" si="6"/>
        <v>90074781073.007019</v>
      </c>
      <c r="U20" vm="891">
        <f t="shared" si="6"/>
        <v>98686017308.169449</v>
      </c>
      <c r="V20" vm="816">
        <f t="shared" si="7"/>
        <v>99833886247.365952</v>
      </c>
      <c r="W20" vm="724">
        <f t="shared" si="7"/>
        <v>109075757711.34039</v>
      </c>
      <c r="X20" vm="635">
        <f t="shared" si="7"/>
        <v>127943026207.57182</v>
      </c>
      <c r="Y20" vm="546">
        <f t="shared" si="7"/>
        <v>164530223478.85297</v>
      </c>
      <c r="Z20" vm="499">
        <f t="shared" si="7"/>
        <v>193920259757.99792</v>
      </c>
      <c r="AA20" vm="414">
        <f t="shared" si="7"/>
        <v>211383437795.35394</v>
      </c>
      <c r="AB20" vm="325">
        <f t="shared" si="7"/>
        <v>231983211799.60132</v>
      </c>
      <c r="AC20" vm="242">
        <f t="shared" si="7"/>
        <v>269701048741.68106</v>
      </c>
      <c r="AD20" vm="156">
        <f t="shared" si="7"/>
        <v>274724180129.655</v>
      </c>
      <c r="AE20" vm="677">
        <f t="shared" si="7"/>
        <v>235372998370.08984</v>
      </c>
      <c r="AF20" vm="671">
        <f t="shared" si="8"/>
        <v>220063017440.21994</v>
      </c>
      <c r="AG20" vm="1108">
        <f t="shared" si="8"/>
        <v>241799833948.52542</v>
      </c>
      <c r="AH20" vm="1165">
        <f t="shared" si="8"/>
        <v>224650697371.78873</v>
      </c>
      <c r="AI20" vm="1068">
        <f t="shared" si="8"/>
        <v>238259951900.20786</v>
      </c>
      <c r="AJ20" vm="979">
        <f t="shared" si="8"/>
        <v>250813612829.43033</v>
      </c>
      <c r="AK20" vm="890">
        <f t="shared" si="8"/>
        <v>4041512482784.8159</v>
      </c>
    </row>
    <row r="21" spans="1:37" x14ac:dyDescent="0.45">
      <c r="A21" s="2" t="str" vm="47">
        <f>CUBEMEMBER("DESKTOP-KSAPEQM AS Model","[Geography].[Blocs].[Country].&amp;[Israel]")</f>
        <v>Israel</v>
      </c>
      <c r="B21" vm="815">
        <f t="shared" si="5"/>
        <v>24120582558.754482</v>
      </c>
      <c r="C21" vm="723">
        <f t="shared" si="5"/>
        <v>25585719697.267941</v>
      </c>
      <c r="D21" vm="634">
        <f t="shared" si="5"/>
        <v>27957212263.567806</v>
      </c>
      <c r="E21" vm="545">
        <f t="shared" si="5"/>
        <v>31175483402.944687</v>
      </c>
      <c r="F21" vm="498">
        <f t="shared" si="5"/>
        <v>29245113573.505268</v>
      </c>
      <c r="G21" vm="413">
        <f t="shared" si="5"/>
        <v>27586851008.012646</v>
      </c>
      <c r="H21" vm="324">
        <f t="shared" si="5"/>
        <v>34196716626.506706</v>
      </c>
      <c r="I21" vm="241">
        <f t="shared" si="5"/>
        <v>41082475768.694626</v>
      </c>
      <c r="J21" vm="155">
        <f t="shared" si="5"/>
        <v>50245430500.44677</v>
      </c>
      <c r="K21" vm="451">
        <f t="shared" si="5"/>
        <v>50048046440.00441</v>
      </c>
      <c r="L21" vm="1117">
        <f t="shared" si="6"/>
        <v>59185274095.750618</v>
      </c>
      <c r="M21" vm="1200">
        <f t="shared" si="6"/>
        <v>67756126376.267426</v>
      </c>
      <c r="N21" vm="1164">
        <f t="shared" si="6"/>
        <v>75829513380.046951</v>
      </c>
      <c r="O21" vm="1067">
        <f t="shared" si="6"/>
        <v>76209456449.568115</v>
      </c>
      <c r="P21" vm="978">
        <f t="shared" si="6"/>
        <v>86597459256.143829</v>
      </c>
      <c r="Q21" vm="889">
        <f t="shared" si="6"/>
        <v>99969166055.882263</v>
      </c>
      <c r="R21" vm="814">
        <f t="shared" si="6"/>
        <v>109775874547.64777</v>
      </c>
      <c r="S21" vm="722">
        <f t="shared" si="6"/>
        <v>114545630336.1503</v>
      </c>
      <c r="T21" vm="633">
        <f t="shared" si="6"/>
        <v>115838695288.90877</v>
      </c>
      <c r="U21" vm="544">
        <f t="shared" si="6"/>
        <v>117211892784.83717</v>
      </c>
      <c r="V21" vm="497">
        <f t="shared" si="7"/>
        <v>132395514489.82597</v>
      </c>
      <c r="W21" vm="412">
        <f t="shared" si="7"/>
        <v>130753094052.04903</v>
      </c>
      <c r="X21" vm="323">
        <f t="shared" si="7"/>
        <v>121091998965.77016</v>
      </c>
      <c r="Y21" vm="240">
        <f t="shared" si="7"/>
        <v>126748826170.72275</v>
      </c>
      <c r="Z21" vm="154">
        <f t="shared" si="7"/>
        <v>135418996317.99165</v>
      </c>
      <c r="AA21" vm="279">
        <f t="shared" si="7"/>
        <v>142837551529.73682</v>
      </c>
      <c r="AB21" vm="1213">
        <f t="shared" si="7"/>
        <v>154511133254.99213</v>
      </c>
      <c r="AC21" vm="1107">
        <f t="shared" si="7"/>
        <v>179564913356.54398</v>
      </c>
      <c r="AD21" vm="1163">
        <f t="shared" si="7"/>
        <v>216759070431.35641</v>
      </c>
      <c r="AE21" vm="1066">
        <f t="shared" si="7"/>
        <v>208066954103.9924</v>
      </c>
      <c r="AF21" vm="977">
        <f t="shared" si="8"/>
        <v>234323374721.68176</v>
      </c>
      <c r="AG21" vm="888">
        <f t="shared" si="8"/>
        <v>261762189532.94952</v>
      </c>
      <c r="AH21" vm="813">
        <f t="shared" si="8"/>
        <v>259612007691.64978</v>
      </c>
      <c r="AI21" vm="721">
        <f t="shared" si="8"/>
        <v>292411679840.21521</v>
      </c>
      <c r="AJ21" vm="632">
        <f t="shared" si="8"/>
        <v>305672813152.87488</v>
      </c>
      <c r="AK21" vm="543">
        <f t="shared" si="8"/>
        <v>4166092838023.2612</v>
      </c>
    </row>
    <row r="22" spans="1:37" x14ac:dyDescent="0.45">
      <c r="A22" s="2" t="str" vm="38">
        <f>CUBEMEMBER("DESKTOP-KSAPEQM AS Model","[Geography].[Blocs].[Country].&amp;[Italy]")</f>
        <v>Italy</v>
      </c>
      <c r="B22" vm="496">
        <f t="shared" si="5"/>
        <v>475836242965.52832</v>
      </c>
      <c r="C22" vm="411">
        <f t="shared" si="5"/>
        <v>429445782030.09479</v>
      </c>
      <c r="D22" vm="322">
        <f t="shared" si="5"/>
        <v>426010423397.63068</v>
      </c>
      <c r="E22" vm="239">
        <f t="shared" si="5"/>
        <v>441730772442.35449</v>
      </c>
      <c r="F22" vm="153">
        <f t="shared" si="5"/>
        <v>436604941440.35736</v>
      </c>
      <c r="G22" vm="1121">
        <f t="shared" si="5"/>
        <v>450870377292.02423</v>
      </c>
      <c r="H22" vm="582">
        <f t="shared" si="5"/>
        <v>638474125570.78699</v>
      </c>
      <c r="I22" vm="92">
        <f t="shared" si="5"/>
        <v>803390886000.20789</v>
      </c>
      <c r="J22" vm="1162">
        <f t="shared" si="5"/>
        <v>888946104372.80444</v>
      </c>
      <c r="K22" vm="1065">
        <f t="shared" si="5"/>
        <v>925899965972.22852</v>
      </c>
      <c r="L22" vm="976">
        <f t="shared" si="6"/>
        <v>1177816440275.0906</v>
      </c>
      <c r="M22" vm="887">
        <f t="shared" si="6"/>
        <v>1242516769953.0586</v>
      </c>
      <c r="N22" vm="812">
        <f t="shared" si="6"/>
        <v>1316318480654.2815</v>
      </c>
      <c r="O22" vm="720">
        <f t="shared" si="6"/>
        <v>1061792026309.7271</v>
      </c>
      <c r="P22" vm="631">
        <f t="shared" si="6"/>
        <v>1096044874194.8354</v>
      </c>
      <c r="Q22" vm="542">
        <f t="shared" si="6"/>
        <v>1171250471769.7307</v>
      </c>
      <c r="R22" vm="495">
        <f t="shared" si="6"/>
        <v>1309463837948.7854</v>
      </c>
      <c r="S22" vm="410">
        <f t="shared" si="6"/>
        <v>1239544069038.252</v>
      </c>
      <c r="T22" vm="321">
        <f t="shared" si="6"/>
        <v>1266823853085.5305</v>
      </c>
      <c r="U22" vm="238">
        <f t="shared" si="6"/>
        <v>1249021123698.8552</v>
      </c>
      <c r="V22" vm="152">
        <f t="shared" si="7"/>
        <v>1142212904210.1313</v>
      </c>
      <c r="W22" vm="368">
        <f t="shared" si="7"/>
        <v>1162774203362.8335</v>
      </c>
      <c r="X22" vm="928">
        <f t="shared" si="7"/>
        <v>1267100885538.0872</v>
      </c>
      <c r="Y22" vm="1106">
        <f t="shared" si="7"/>
        <v>1570269914082.4333</v>
      </c>
      <c r="Z22" vm="1161">
        <f t="shared" si="7"/>
        <v>1799204087587.6155</v>
      </c>
      <c r="AA22" vm="1064">
        <f t="shared" si="7"/>
        <v>1853466398050.0425</v>
      </c>
      <c r="AB22" vm="975">
        <f t="shared" si="7"/>
        <v>1943430748616.9036</v>
      </c>
      <c r="AC22" vm="886">
        <f t="shared" si="7"/>
        <v>2203972421344.3735</v>
      </c>
      <c r="AD22" vm="811">
        <f t="shared" si="7"/>
        <v>2391964102493.2651</v>
      </c>
      <c r="AE22" vm="719">
        <f t="shared" si="7"/>
        <v>2186107683204.8572</v>
      </c>
      <c r="AF22" vm="630">
        <f t="shared" si="8"/>
        <v>2126620938263.3442</v>
      </c>
      <c r="AG22" vm="541">
        <f t="shared" si="8"/>
        <v>2278230818500.3169</v>
      </c>
      <c r="AH22" vm="494">
        <f t="shared" si="8"/>
        <v>2074631604320.0149</v>
      </c>
      <c r="AI22" vm="409">
        <f t="shared" si="8"/>
        <v>2133539287139.8047</v>
      </c>
      <c r="AJ22" vm="320">
        <f t="shared" si="8"/>
        <v>2141161311796.8362</v>
      </c>
      <c r="AK22" vm="237">
        <f t="shared" si="8"/>
        <v>46322488876923.031</v>
      </c>
    </row>
    <row r="23" spans="1:37" x14ac:dyDescent="0.45">
      <c r="A23" s="2" t="str" vm="50">
        <f>CUBEMEMBER("DESKTOP-KSAPEQM AS Model","[Geography].[Blocs].[Country].&amp;[Japan]")</f>
        <v>Japan</v>
      </c>
      <c r="B23" vm="151">
        <f t="shared" si="5"/>
        <v>1089349456822.5758</v>
      </c>
      <c r="C23" vm="771">
        <f t="shared" si="5"/>
        <v>1201618802713.373</v>
      </c>
      <c r="D23" vm="763">
        <f t="shared" si="5"/>
        <v>1116122196430.5208</v>
      </c>
      <c r="E23" vm="921">
        <f t="shared" si="5"/>
        <v>1216782316422.5994</v>
      </c>
      <c r="F23" vm="1160">
        <f t="shared" si="5"/>
        <v>1296719258175.5413</v>
      </c>
      <c r="G23" vm="1063">
        <f t="shared" si="5"/>
        <v>1383439963715.3042</v>
      </c>
      <c r="H23" vm="974">
        <f t="shared" si="5"/>
        <v>2053170834554.0105</v>
      </c>
      <c r="I23" vm="885">
        <f t="shared" si="5"/>
        <v>2488981073373.0879</v>
      </c>
      <c r="J23" vm="810">
        <f t="shared" si="5"/>
        <v>3012055949017.2856</v>
      </c>
      <c r="K23" vm="718">
        <f t="shared" si="5"/>
        <v>3015270168931.9609</v>
      </c>
      <c r="L23" vm="629">
        <f t="shared" si="6"/>
        <v>3100989346823.9033</v>
      </c>
      <c r="M23" vm="540">
        <f t="shared" si="6"/>
        <v>3533603792596.1646</v>
      </c>
      <c r="N23" vm="493">
        <f t="shared" si="6"/>
        <v>3853098108010.3936</v>
      </c>
      <c r="O23" vm="408">
        <f t="shared" si="6"/>
        <v>4415555381091.6563</v>
      </c>
      <c r="P23" vm="319">
        <f t="shared" si="6"/>
        <v>4852858113288.9941</v>
      </c>
      <c r="Q23" vm="236">
        <f t="shared" si="6"/>
        <v>5337042811981.9678</v>
      </c>
      <c r="R23" vm="150">
        <f t="shared" si="6"/>
        <v>4706788236633.043</v>
      </c>
      <c r="S23" vm="110">
        <f t="shared" si="6"/>
        <v>4322640569709.1499</v>
      </c>
      <c r="T23" vm="1016">
        <f t="shared" si="6"/>
        <v>3911224373650.2642</v>
      </c>
      <c r="U23" vm="1199">
        <f t="shared" si="6"/>
        <v>4433448711275.4717</v>
      </c>
      <c r="V23" vm="1159">
        <f t="shared" si="7"/>
        <v>4732497877335.5107</v>
      </c>
      <c r="W23" vm="1062">
        <f t="shared" si="7"/>
        <v>4163616981797.3413</v>
      </c>
      <c r="X23" vm="973">
        <f t="shared" si="7"/>
        <v>3979646540395.167</v>
      </c>
      <c r="Y23" vm="884">
        <f t="shared" si="7"/>
        <v>4304193112152.4365</v>
      </c>
      <c r="Z23" vm="809">
        <f t="shared" si="7"/>
        <v>4658360551006.4141</v>
      </c>
      <c r="AA23" vm="717">
        <f t="shared" si="7"/>
        <v>4572747098687.2314</v>
      </c>
      <c r="AB23" vm="628">
        <f t="shared" si="7"/>
        <v>4359441169513.3872</v>
      </c>
      <c r="AC23" vm="539">
        <f t="shared" si="7"/>
        <v>4356557293866.2646</v>
      </c>
      <c r="AD23" vm="492">
        <f t="shared" si="7"/>
        <v>4847160139818.8018</v>
      </c>
      <c r="AE23" vm="407">
        <f t="shared" si="7"/>
        <v>5033659848287.6299</v>
      </c>
      <c r="AF23" vm="318">
        <f t="shared" si="8"/>
        <v>5502400179995.6992</v>
      </c>
      <c r="AG23" vm="235">
        <f t="shared" si="8"/>
        <v>5914266689822.5244</v>
      </c>
      <c r="AH23" vm="149">
        <f t="shared" si="8"/>
        <v>5953093010937.2109</v>
      </c>
      <c r="AI23" vm="194">
        <f t="shared" si="8"/>
        <v>4918251588610.6328</v>
      </c>
      <c r="AJ23" vm="1212">
        <f t="shared" si="8"/>
        <v>4606173140385.0195</v>
      </c>
      <c r="AK23" vm="1105">
        <f t="shared" si="8"/>
        <v>132242824687828.56</v>
      </c>
    </row>
    <row r="24" spans="1:37" x14ac:dyDescent="0.45">
      <c r="A24" s="2" t="str" vm="67">
        <f>CUBEMEMBER("DESKTOP-KSAPEQM AS Model","[Geography].[Blocs].[Country].&amp;[Luxemburg]")</f>
        <v>Luxemburg</v>
      </c>
      <c r="B24" vm="1158">
        <f t="shared" si="5"/>
        <v>6294278690.718729</v>
      </c>
      <c r="C24" vm="1061">
        <f t="shared" si="5"/>
        <v>5283898186.8157959</v>
      </c>
      <c r="D24" vm="972">
        <f t="shared" si="5"/>
        <v>4811869614.3523092</v>
      </c>
      <c r="E24" vm="883">
        <f t="shared" si="5"/>
        <v>4730303934.2388754</v>
      </c>
      <c r="F24" vm="808">
        <f t="shared" si="5"/>
        <v>4640606610.0871258</v>
      </c>
      <c r="G24" vm="716">
        <f t="shared" si="5"/>
        <v>4785653404.0535021</v>
      </c>
      <c r="H24" vm="627">
        <f t="shared" si="5"/>
        <v>6990327237.6373262</v>
      </c>
      <c r="I24" vm="538">
        <f t="shared" si="5"/>
        <v>8700191655.6972256</v>
      </c>
      <c r="J24" vm="491">
        <f t="shared" si="5"/>
        <v>9847742176.4859447</v>
      </c>
      <c r="K24" vm="406">
        <f t="shared" si="5"/>
        <v>10495084636.85465</v>
      </c>
      <c r="L24" vm="317">
        <f t="shared" si="6"/>
        <v>13360970744.241018</v>
      </c>
      <c r="M24" vm="234">
        <f t="shared" si="6"/>
        <v>14464407345.611853</v>
      </c>
      <c r="N24" vm="148">
        <f t="shared" si="6"/>
        <v>16226579955.571213</v>
      </c>
      <c r="O24" vm="1221">
        <f t="shared" si="6"/>
        <v>16650739160.170582</v>
      </c>
      <c r="P24" vm="103">
        <f t="shared" si="6"/>
        <v>18509233770.210991</v>
      </c>
      <c r="Q24" vm="1010">
        <f t="shared" si="6"/>
        <v>21803629855.515915</v>
      </c>
      <c r="R24" vm="1157">
        <f t="shared" si="6"/>
        <v>21703530377.814857</v>
      </c>
      <c r="S24" vm="1060">
        <f t="shared" si="6"/>
        <v>19526149855.574169</v>
      </c>
      <c r="T24" vm="971">
        <f t="shared" si="6"/>
        <v>20408798517.214226</v>
      </c>
      <c r="U24" vm="882">
        <f t="shared" si="6"/>
        <v>22342694961.944855</v>
      </c>
      <c r="V24" vm="807">
        <f t="shared" si="7"/>
        <v>21375329739.944912</v>
      </c>
      <c r="W24" vm="715">
        <f t="shared" si="7"/>
        <v>21051892153.090351</v>
      </c>
      <c r="X24" vm="626">
        <f t="shared" si="7"/>
        <v>23309642250.81942</v>
      </c>
      <c r="Y24" vm="537">
        <f t="shared" si="7"/>
        <v>29205758509.290901</v>
      </c>
      <c r="Z24" vm="490">
        <f t="shared" si="7"/>
        <v>34345296852.979706</v>
      </c>
      <c r="AA24" vm="405">
        <f t="shared" si="7"/>
        <v>36976446301.547035</v>
      </c>
      <c r="AB24" vm="316">
        <f t="shared" si="7"/>
        <v>41911414824.906166</v>
      </c>
      <c r="AC24" vm="233">
        <f t="shared" si="7"/>
        <v>50320576209.132431</v>
      </c>
      <c r="AD24" vm="147">
        <f t="shared" si="7"/>
        <v>55146908840.375816</v>
      </c>
      <c r="AE24" vm="1023">
        <f t="shared" si="7"/>
        <v>50383461201.892586</v>
      </c>
      <c r="AF24" vm="581">
        <f t="shared" si="8"/>
        <v>52348538984.334641</v>
      </c>
      <c r="AG24" vm="1104">
        <f t="shared" si="8"/>
        <v>58701038186.626152</v>
      </c>
      <c r="AH24" vm="1156">
        <f t="shared" si="8"/>
        <v>55986712469.433128</v>
      </c>
      <c r="AI24" vm="1059">
        <f t="shared" si="8"/>
        <v>61794506707.068214</v>
      </c>
      <c r="AJ24" vm="970">
        <f t="shared" si="8"/>
        <v>64873962815.952026</v>
      </c>
      <c r="AK24" vm="881">
        <f t="shared" si="8"/>
        <v>909308176738.20447</v>
      </c>
    </row>
    <row r="25" spans="1:37" x14ac:dyDescent="0.45">
      <c r="A25" s="2" t="str" vm="60">
        <f>CUBEMEMBER("DESKTOP-KSAPEQM AS Model","[Geography].[Blocs].[Country].&amp;[Malta]")</f>
        <v>Malta</v>
      </c>
      <c r="B25" vm="806">
        <f t="shared" si="5"/>
        <v>1293070214.8716755</v>
      </c>
      <c r="C25" vm="714">
        <f t="shared" si="5"/>
        <v>1286151614.4237518</v>
      </c>
      <c r="D25" vm="625">
        <f t="shared" si="5"/>
        <v>1276806648.166137</v>
      </c>
      <c r="E25" vm="536">
        <f t="shared" si="5"/>
        <v>1205704732.3652613</v>
      </c>
      <c r="F25" vm="489">
        <f t="shared" si="5"/>
        <v>1139589915.7172406</v>
      </c>
      <c r="G25" vm="404">
        <f t="shared" si="5"/>
        <v>1156128103.9847472</v>
      </c>
      <c r="H25" vm="315">
        <f t="shared" si="5"/>
        <v>1484247551.6897719</v>
      </c>
      <c r="I25" vm="232">
        <f t="shared" si="5"/>
        <v>1811347610.7915826</v>
      </c>
      <c r="J25" vm="146">
        <f t="shared" si="5"/>
        <v>2088755496.5122623</v>
      </c>
      <c r="K25" vm="450">
        <f t="shared" si="5"/>
        <v>2191307070.5962763</v>
      </c>
      <c r="L25" vm="1211">
        <f t="shared" si="6"/>
        <v>2634682017.6281424</v>
      </c>
      <c r="M25" vm="1198">
        <f t="shared" si="6"/>
        <v>2844523866.8979478</v>
      </c>
      <c r="N25" vm="1155">
        <f t="shared" si="6"/>
        <v>3125571508.4004259</v>
      </c>
      <c r="O25" vm="1058">
        <f t="shared" si="6"/>
        <v>2802097059.3196187</v>
      </c>
      <c r="P25" vm="969">
        <f t="shared" si="6"/>
        <v>3101327481.9414392</v>
      </c>
      <c r="Q25" vm="880">
        <f t="shared" si="6"/>
        <v>3697323775.7142868</v>
      </c>
      <c r="R25" vm="805">
        <f t="shared" si="6"/>
        <v>3806171745.9551024</v>
      </c>
      <c r="S25" vm="713">
        <f t="shared" si="6"/>
        <v>3776280721.5302234</v>
      </c>
      <c r="T25" vm="624">
        <f t="shared" si="6"/>
        <v>3975721300.5554128</v>
      </c>
      <c r="U25" vm="535">
        <f t="shared" si="6"/>
        <v>4093702457.9143591</v>
      </c>
      <c r="V25" vm="488">
        <f t="shared" si="7"/>
        <v>4053340785.0502667</v>
      </c>
      <c r="W25" vm="403">
        <f t="shared" si="7"/>
        <v>4066430802.4239655</v>
      </c>
      <c r="X25" vm="314">
        <f t="shared" si="7"/>
        <v>4467144002.898035</v>
      </c>
      <c r="Y25" vm="231">
        <f t="shared" si="7"/>
        <v>5415735019.8492165</v>
      </c>
      <c r="Z25" vm="145">
        <f t="shared" si="7"/>
        <v>6043974084.100771</v>
      </c>
      <c r="AA25" vm="676">
        <f t="shared" si="7"/>
        <v>6393114580.957058</v>
      </c>
      <c r="AB25" vm="102">
        <f t="shared" si="7"/>
        <v>6782910531.154623</v>
      </c>
      <c r="AC25" vm="91">
        <f t="shared" si="7"/>
        <v>7930359392.3175306</v>
      </c>
      <c r="AD25" vm="1154">
        <f t="shared" si="7"/>
        <v>8977482115.8967495</v>
      </c>
      <c r="AE25" vm="1057">
        <f t="shared" si="7"/>
        <v>8527688579.3598204</v>
      </c>
      <c r="AF25" vm="968">
        <f t="shared" si="8"/>
        <v>8740539222.201273</v>
      </c>
      <c r="AG25" vm="879">
        <f t="shared" si="8"/>
        <v>9581913804.0627346</v>
      </c>
      <c r="AH25" vm="804">
        <f t="shared" si="8"/>
        <v>9257431899.7355232</v>
      </c>
      <c r="AI25" vm="712">
        <f t="shared" si="8"/>
        <v>10002666368.615463</v>
      </c>
      <c r="AJ25" vm="623">
        <f t="shared" si="8"/>
        <v>10535990611.182981</v>
      </c>
      <c r="AK25" vm="534">
        <f t="shared" si="8"/>
        <v>159567232694.78168</v>
      </c>
    </row>
    <row r="26" spans="1:37" x14ac:dyDescent="0.45">
      <c r="A26" s="2" t="str" vm="56">
        <f>CUBEMEMBER("DESKTOP-KSAPEQM AS Model","[Geography].[Blocs].[Country].&amp;[Netherlands]")</f>
        <v>Netherlands</v>
      </c>
      <c r="B26" vm="487">
        <f t="shared" si="5"/>
        <v>192668214870.53171</v>
      </c>
      <c r="C26" vm="402">
        <f t="shared" si="5"/>
        <v>162043338687.75748</v>
      </c>
      <c r="D26" vm="313">
        <f t="shared" si="5"/>
        <v>156458466979.56909</v>
      </c>
      <c r="E26" vm="230">
        <f t="shared" si="5"/>
        <v>151481744715.16907</v>
      </c>
      <c r="F26" vm="144">
        <f t="shared" si="5"/>
        <v>142072282503.81</v>
      </c>
      <c r="G26" vm="278">
        <f t="shared" si="5"/>
        <v>142011309025.24548</v>
      </c>
      <c r="H26" vm="101">
        <f t="shared" si="5"/>
        <v>198303358536.62198</v>
      </c>
      <c r="I26" vm="575">
        <f t="shared" si="5"/>
        <v>241912899920.27829</v>
      </c>
      <c r="J26" vm="1153">
        <f t="shared" si="5"/>
        <v>258557813608.68964</v>
      </c>
      <c r="K26" vm="1056">
        <f t="shared" si="5"/>
        <v>255026680972.77667</v>
      </c>
      <c r="L26" vm="967">
        <f t="shared" si="6"/>
        <v>314264922989.30438</v>
      </c>
      <c r="M26" vm="878">
        <f t="shared" si="6"/>
        <v>323313725146.7655</v>
      </c>
      <c r="N26" vm="803">
        <f t="shared" si="6"/>
        <v>358349532092.08972</v>
      </c>
      <c r="O26" vm="711">
        <f t="shared" si="6"/>
        <v>349034396123.79724</v>
      </c>
      <c r="P26" vm="622">
        <f t="shared" si="6"/>
        <v>374301518907.59235</v>
      </c>
      <c r="Q26" vm="533">
        <f t="shared" si="6"/>
        <v>446514459879.05469</v>
      </c>
      <c r="R26" vm="486">
        <f t="shared" si="6"/>
        <v>445689083826.48505</v>
      </c>
      <c r="S26" vm="401">
        <f t="shared" si="6"/>
        <v>412176809814.44324</v>
      </c>
      <c r="T26" vm="312">
        <f t="shared" si="6"/>
        <v>432486306414.75122</v>
      </c>
      <c r="U26" vm="229">
        <f t="shared" si="6"/>
        <v>441962436889.75244</v>
      </c>
      <c r="V26" vm="143">
        <f t="shared" si="7"/>
        <v>412806955734.69269</v>
      </c>
      <c r="W26" vm="934">
        <f t="shared" si="7"/>
        <v>426569784610.42853</v>
      </c>
      <c r="X26" vm="927">
        <f t="shared" si="7"/>
        <v>465390060549.52435</v>
      </c>
      <c r="Y26" vm="664">
        <f t="shared" si="7"/>
        <v>571841377178.48962</v>
      </c>
      <c r="Z26" vm="1152">
        <f t="shared" si="7"/>
        <v>650560925791.41138</v>
      </c>
      <c r="AA26" vm="1055">
        <f t="shared" si="7"/>
        <v>678516888026.66272</v>
      </c>
      <c r="AB26" vm="966">
        <f t="shared" si="7"/>
        <v>726611883624.12695</v>
      </c>
      <c r="AC26" vm="877">
        <f t="shared" si="7"/>
        <v>839376571829.39551</v>
      </c>
      <c r="AD26" vm="802">
        <f t="shared" si="7"/>
        <v>936262894519.70471</v>
      </c>
      <c r="AE26" vm="710">
        <f t="shared" si="7"/>
        <v>857881081239.67407</v>
      </c>
      <c r="AF26" vm="621">
        <f t="shared" si="8"/>
        <v>836389939433.40723</v>
      </c>
      <c r="AG26" vm="532">
        <f t="shared" si="8"/>
        <v>893757291685.85339</v>
      </c>
      <c r="AH26" vm="485">
        <f t="shared" si="8"/>
        <v>828946813901.59192</v>
      </c>
      <c r="AI26" vm="400">
        <f t="shared" si="8"/>
        <v>864169245072.46924</v>
      </c>
      <c r="AJ26" vm="311">
        <f t="shared" si="8"/>
        <v>879319317665.08557</v>
      </c>
      <c r="AK26" vm="228">
        <f t="shared" si="8"/>
        <v>16667030332767.006</v>
      </c>
    </row>
    <row r="27" spans="1:37" x14ac:dyDescent="0.45">
      <c r="A27" s="2" t="str" vm="51">
        <f>CUBEMEMBER("DESKTOP-KSAPEQM AS Model","[Geography].[Blocs].[Country].&amp;[New Zealand]")</f>
        <v>New Zealand</v>
      </c>
      <c r="B27" vm="142">
        <f t="shared" si="5"/>
        <v>23364631628.160671</v>
      </c>
      <c r="C27" vm="193">
        <f t="shared" si="5"/>
        <v>25180539471.4585</v>
      </c>
      <c r="D27" vm="580">
        <f t="shared" si="5"/>
        <v>25083139584.227413</v>
      </c>
      <c r="E27" vm="1103">
        <f t="shared" si="5"/>
        <v>24888872616.848522</v>
      </c>
      <c r="F27" vm="1151">
        <f t="shared" si="5"/>
        <v>23947947624.493866</v>
      </c>
      <c r="G27" vm="1054">
        <f t="shared" si="5"/>
        <v>24107770566.220509</v>
      </c>
      <c r="H27" vm="965">
        <f t="shared" si="5"/>
        <v>30291755925.586601</v>
      </c>
      <c r="I27" vm="876">
        <f t="shared" si="5"/>
        <v>38456572346.061584</v>
      </c>
      <c r="J27" vm="801">
        <f t="shared" si="5"/>
        <v>46270940109.570175</v>
      </c>
      <c r="K27" vm="709">
        <f t="shared" si="5"/>
        <v>44634199012.13308</v>
      </c>
      <c r="L27" vm="620">
        <f t="shared" si="6"/>
        <v>45440192129.439186</v>
      </c>
      <c r="M27" vm="531">
        <f t="shared" si="6"/>
        <v>43833503065.622421</v>
      </c>
      <c r="N27" vm="484">
        <f t="shared" si="6"/>
        <v>42061096308.464584</v>
      </c>
      <c r="O27" vm="399">
        <f t="shared" si="6"/>
        <v>45641390418.539551</v>
      </c>
      <c r="P27" vm="310">
        <f t="shared" si="6"/>
        <v>53564089925.436478</v>
      </c>
      <c r="Q27" vm="227">
        <f t="shared" si="6"/>
        <v>63151434758.468323</v>
      </c>
      <c r="R27" vm="141">
        <f t="shared" si="6"/>
        <v>69492506946.60437</v>
      </c>
      <c r="S27" vm="1220">
        <f t="shared" si="6"/>
        <v>69302141308.820938</v>
      </c>
      <c r="T27" vm="670">
        <f t="shared" si="6"/>
        <v>57179738120.58905</v>
      </c>
      <c r="U27" vm="90">
        <f t="shared" si="6"/>
        <v>59921764970.081978</v>
      </c>
      <c r="V27" vm="1150">
        <f t="shared" si="7"/>
        <v>54443378940.418938</v>
      </c>
      <c r="W27" vm="1053">
        <f t="shared" si="7"/>
        <v>54109072711.609802</v>
      </c>
      <c r="X27" vm="964">
        <f t="shared" si="7"/>
        <v>62520384417.508392</v>
      </c>
      <c r="Y27" vm="875">
        <f t="shared" si="7"/>
        <v>83910385877.32843</v>
      </c>
      <c r="Z27" vm="800">
        <f t="shared" si="7"/>
        <v>102446421255.4368</v>
      </c>
      <c r="AA27" vm="708">
        <f t="shared" si="7"/>
        <v>114722270041.65044</v>
      </c>
      <c r="AB27" vm="619">
        <f t="shared" si="7"/>
        <v>111612044129.66119</v>
      </c>
      <c r="AC27" vm="530">
        <f t="shared" si="7"/>
        <v>137318590064.6973</v>
      </c>
      <c r="AD27" vm="483">
        <f t="shared" si="7"/>
        <v>133277871760.05963</v>
      </c>
      <c r="AE27" vm="398">
        <f t="shared" si="7"/>
        <v>121340342573.4127</v>
      </c>
      <c r="AF27" vm="309">
        <f t="shared" si="8"/>
        <v>146583113914.64886</v>
      </c>
      <c r="AG27" vm="226">
        <f t="shared" si="8"/>
        <v>168461998306.69781</v>
      </c>
      <c r="AH27" vm="140">
        <f t="shared" si="8"/>
        <v>176616607672.93613</v>
      </c>
      <c r="AI27" vm="277">
        <f t="shared" si="8"/>
        <v>189494410402.42477</v>
      </c>
      <c r="AJ27" vm="1210">
        <f t="shared" si="8"/>
        <v>198651955701.19043</v>
      </c>
      <c r="AK27" vm="1102">
        <f t="shared" si="8"/>
        <v>2711323074606.5093</v>
      </c>
    </row>
    <row r="28" spans="1:37" x14ac:dyDescent="0.45">
      <c r="A28" s="2" t="str" vm="48">
        <f>CUBEMEMBER("DESKTOP-KSAPEQM AS Model","[Geography].[Blocs].[Country].&amp;[Norway]")</f>
        <v>Norway</v>
      </c>
      <c r="B28" vm="1149">
        <f t="shared" si="5"/>
        <v>65043584772.914772</v>
      </c>
      <c r="C28" vm="1052">
        <f t="shared" si="5"/>
        <v>64179102241.214638</v>
      </c>
      <c r="D28" vm="963">
        <f t="shared" si="5"/>
        <v>63140966440.318802</v>
      </c>
      <c r="E28" vm="874">
        <f t="shared" si="5"/>
        <v>62048571380.054131</v>
      </c>
      <c r="F28" vm="799">
        <f t="shared" si="5"/>
        <v>62373854192.209747</v>
      </c>
      <c r="G28" vm="707">
        <f t="shared" si="5"/>
        <v>65597820871.046974</v>
      </c>
      <c r="H28" vm="618">
        <f t="shared" si="5"/>
        <v>78813433064.200195</v>
      </c>
      <c r="I28" vm="529">
        <f t="shared" si="5"/>
        <v>94377629518.586411</v>
      </c>
      <c r="J28" vm="482">
        <f t="shared" si="5"/>
        <v>102145265586.3028</v>
      </c>
      <c r="K28" vm="397">
        <f t="shared" si="5"/>
        <v>102873321746.68695</v>
      </c>
      <c r="L28" vm="308">
        <f t="shared" si="6"/>
        <v>120077379550.66101</v>
      </c>
      <c r="M28" vm="225">
        <f t="shared" si="6"/>
        <v>122153534448.28487</v>
      </c>
      <c r="N28" vm="139">
        <f t="shared" si="6"/>
        <v>130976216142.73508</v>
      </c>
      <c r="O28" vm="367">
        <f t="shared" si="6"/>
        <v>120633696662.86877</v>
      </c>
      <c r="P28" vm="762">
        <f t="shared" si="6"/>
        <v>127117909553.24344</v>
      </c>
      <c r="Q28" vm="1197">
        <f t="shared" si="6"/>
        <v>152028441537.99701</v>
      </c>
      <c r="R28" vm="1148">
        <f t="shared" si="6"/>
        <v>163517573072.67566</v>
      </c>
      <c r="S28" vm="1051">
        <f t="shared" si="6"/>
        <v>161354351643.69592</v>
      </c>
      <c r="T28" vm="962">
        <f t="shared" si="6"/>
        <v>154165270892.78833</v>
      </c>
      <c r="U28" vm="873">
        <f t="shared" si="6"/>
        <v>162286592562.13068</v>
      </c>
      <c r="V28" vm="798">
        <f t="shared" si="7"/>
        <v>171314828350.07132</v>
      </c>
      <c r="W28" vm="706">
        <f t="shared" si="7"/>
        <v>174004133744.3782</v>
      </c>
      <c r="X28" vm="617">
        <f t="shared" si="7"/>
        <v>195418866063.77423</v>
      </c>
      <c r="Y28" vm="528">
        <f t="shared" si="7"/>
        <v>228751896816.94345</v>
      </c>
      <c r="Z28" vm="481">
        <f t="shared" si="7"/>
        <v>264356188722.24594</v>
      </c>
      <c r="AA28" vm="396">
        <f t="shared" si="7"/>
        <v>308722079937.91229</v>
      </c>
      <c r="AB28" vm="307">
        <f t="shared" si="7"/>
        <v>345422870818.20618</v>
      </c>
      <c r="AC28" vm="224">
        <f t="shared" si="7"/>
        <v>400886150691.57721</v>
      </c>
      <c r="AD28" vm="138">
        <f t="shared" si="7"/>
        <v>461946808510.63831</v>
      </c>
      <c r="AE28" vm="449">
        <f t="shared" si="7"/>
        <v>386381873238.17584</v>
      </c>
      <c r="AF28" vm="100">
        <f t="shared" si="8"/>
        <v>428527062299.58881</v>
      </c>
      <c r="AG28" vm="89">
        <f t="shared" si="8"/>
        <v>498156757566.22595</v>
      </c>
      <c r="AH28" vm="1147">
        <f t="shared" si="8"/>
        <v>509704856037.81696</v>
      </c>
      <c r="AI28" vm="1050">
        <f t="shared" si="8"/>
        <v>522746212765.95746</v>
      </c>
      <c r="AJ28" vm="961">
        <f t="shared" si="8"/>
        <v>500519013485.74969</v>
      </c>
      <c r="AK28" vm="872">
        <f t="shared" si="8"/>
        <v>7571764114929.877</v>
      </c>
    </row>
    <row r="29" spans="1:37" x14ac:dyDescent="0.45">
      <c r="A29" s="2" t="str" vm="39">
        <f>CUBEMEMBER("DESKTOP-KSAPEQM AS Model","[Geography].[Blocs].[Country].&amp;[Portugal]")</f>
        <v>Portugal</v>
      </c>
      <c r="B29" vm="797">
        <f t="shared" ref="B29:K39" si="9">CUBEVALUE("DESKTOP-KSAPEQM AS Model",Expenditure_Approach,PENN,USD,$A$5,$A29,B$6)</f>
        <v>32898590666.803307</v>
      </c>
      <c r="C29" vm="705">
        <f t="shared" si="9"/>
        <v>31981254757.045479</v>
      </c>
      <c r="D29" vm="616">
        <f t="shared" si="9"/>
        <v>30529887491.608463</v>
      </c>
      <c r="E29" vm="527">
        <f t="shared" si="9"/>
        <v>27243935889.965874</v>
      </c>
      <c r="F29" vm="480">
        <f t="shared" si="9"/>
        <v>25220731700.803581</v>
      </c>
      <c r="G29" vm="395">
        <f t="shared" si="9"/>
        <v>27117678299.641991</v>
      </c>
      <c r="H29" vm="306">
        <f t="shared" si="9"/>
        <v>38747869086.952507</v>
      </c>
      <c r="I29" vm="223">
        <f t="shared" si="9"/>
        <v>48186396906.311844</v>
      </c>
      <c r="J29" vm="137">
        <f t="shared" si="9"/>
        <v>56349727245.358543</v>
      </c>
      <c r="K29" vm="589">
        <f t="shared" si="9"/>
        <v>60600177662.690544</v>
      </c>
      <c r="L29" vm="1116">
        <f t="shared" ref="L29:U39" si="10">CUBEVALUE("DESKTOP-KSAPEQM AS Model",Expenditure_Approach,PENN,USD,$A$5,$A29,L$6)</f>
        <v>78726024705.928513</v>
      </c>
      <c r="M29" vm="844">
        <f t="shared" si="10"/>
        <v>89245703579.533783</v>
      </c>
      <c r="N29" vm="1146">
        <f t="shared" si="10"/>
        <v>107608066545.05382</v>
      </c>
      <c r="O29" vm="1049">
        <f t="shared" si="10"/>
        <v>95022900491.161636</v>
      </c>
      <c r="P29" vm="960">
        <f t="shared" si="10"/>
        <v>99702248327.134384</v>
      </c>
      <c r="Q29" vm="871">
        <f t="shared" si="10"/>
        <v>118131878629.37422</v>
      </c>
      <c r="R29" vm="796">
        <f t="shared" si="10"/>
        <v>122635528606.7791</v>
      </c>
      <c r="S29" vm="704">
        <f t="shared" si="10"/>
        <v>117052249207.76064</v>
      </c>
      <c r="T29" vm="615">
        <f t="shared" si="10"/>
        <v>123987618913.70267</v>
      </c>
      <c r="U29" vm="526">
        <f t="shared" si="10"/>
        <v>127461839805.03955</v>
      </c>
      <c r="V29" vm="479">
        <f t="shared" ref="V29:AE39" si="11">CUBEVALUE("DESKTOP-KSAPEQM AS Model",Expenditure_Approach,PENN,USD,$A$5,$A29,V$6)</f>
        <v>118358398114.3187</v>
      </c>
      <c r="W29" vm="394">
        <f t="shared" si="11"/>
        <v>121544791545.48952</v>
      </c>
      <c r="X29" vm="305">
        <f t="shared" si="11"/>
        <v>134234795351.60501</v>
      </c>
      <c r="Y29" vm="222">
        <f t="shared" si="11"/>
        <v>164957836784.10507</v>
      </c>
      <c r="Z29" vm="136">
        <f t="shared" si="11"/>
        <v>189195656627.7402</v>
      </c>
      <c r="AA29" vm="112">
        <f t="shared" si="11"/>
        <v>197299607023.8273</v>
      </c>
      <c r="AB29" vm="761">
        <f t="shared" si="11"/>
        <v>208556259751.4921</v>
      </c>
      <c r="AC29" vm="1101">
        <f t="shared" si="11"/>
        <v>240157013566.91928</v>
      </c>
      <c r="AD29" vm="1145">
        <f t="shared" si="11"/>
        <v>262017293712.25717</v>
      </c>
      <c r="AE29" vm="1048">
        <f t="shared" si="11"/>
        <v>243731066714.29184</v>
      </c>
      <c r="AF29" vm="959">
        <f t="shared" ref="AF29:AK39" si="12">CUBEVALUE("DESKTOP-KSAPEQM AS Model",Expenditure_Approach,PENN,USD,$A$5,$A29,AF$6)</f>
        <v>238303441404.3826</v>
      </c>
      <c r="AG29" vm="870">
        <f t="shared" si="12"/>
        <v>244895105721.40817</v>
      </c>
      <c r="AH29" vm="795">
        <f t="shared" si="12"/>
        <v>216368180337.08615</v>
      </c>
      <c r="AI29" vm="703">
        <f t="shared" si="12"/>
        <v>226073497504.20621</v>
      </c>
      <c r="AJ29" vm="614">
        <f t="shared" si="12"/>
        <v>230116911511.39731</v>
      </c>
      <c r="AK29" vm="525">
        <f t="shared" si="12"/>
        <v>4494260164189.1768</v>
      </c>
    </row>
    <row r="30" spans="1:37" x14ac:dyDescent="0.45">
      <c r="A30" s="2" t="str" vm="35">
        <f>CUBEMEMBER("DESKTOP-KSAPEQM AS Model","[Geography].[Blocs].[Country].&amp;[Singapore]")</f>
        <v>Singapore</v>
      </c>
      <c r="B30" vm="478">
        <f t="shared" si="9"/>
        <v>12078694071.940594</v>
      </c>
      <c r="C30" vm="393">
        <f t="shared" si="9"/>
        <v>14363193645.338787</v>
      </c>
      <c r="D30" vm="304">
        <f t="shared" si="9"/>
        <v>15873646335.90729</v>
      </c>
      <c r="E30" vm="221">
        <f t="shared" si="9"/>
        <v>18001940323.229458</v>
      </c>
      <c r="F30" vm="135">
        <f t="shared" si="9"/>
        <v>19550103833.263332</v>
      </c>
      <c r="G30" vm="675">
        <f t="shared" si="9"/>
        <v>18555098516.010273</v>
      </c>
      <c r="H30" vm="99">
        <f t="shared" si="9"/>
        <v>18762600654.25235</v>
      </c>
      <c r="I30" vm="754">
        <f t="shared" si="9"/>
        <v>21606534106.89439</v>
      </c>
      <c r="J30" vm="1144">
        <f t="shared" si="9"/>
        <v>26515273861.137684</v>
      </c>
      <c r="K30" vm="1047">
        <f t="shared" si="9"/>
        <v>31392764743.008656</v>
      </c>
      <c r="L30" vm="958">
        <f t="shared" si="10"/>
        <v>38899699111.73494</v>
      </c>
      <c r="M30" vm="869">
        <f t="shared" si="10"/>
        <v>45473068796.851036</v>
      </c>
      <c r="N30" vm="794">
        <f t="shared" si="10"/>
        <v>52157603958.38662</v>
      </c>
      <c r="O30" vm="702">
        <f t="shared" si="10"/>
        <v>60645227092.517174</v>
      </c>
      <c r="P30" vm="613">
        <f t="shared" si="10"/>
        <v>73775526464.403748</v>
      </c>
      <c r="Q30" vm="524">
        <f t="shared" si="10"/>
        <v>87891348443.425339</v>
      </c>
      <c r="R30" vm="477">
        <f t="shared" si="10"/>
        <v>96400756630.588272</v>
      </c>
      <c r="S30" vm="392">
        <f t="shared" si="10"/>
        <v>100163940631.15863</v>
      </c>
      <c r="T30" vm="303">
        <f t="shared" si="10"/>
        <v>85707369919.617065</v>
      </c>
      <c r="U30" vm="220">
        <f t="shared" si="10"/>
        <v>86285390063.356781</v>
      </c>
      <c r="V30" vm="134">
        <f t="shared" si="11"/>
        <v>95836146859.970856</v>
      </c>
      <c r="W30" vm="1022">
        <f t="shared" si="11"/>
        <v>89285031582.736725</v>
      </c>
      <c r="X30" vm="1209">
        <f t="shared" si="11"/>
        <v>91941849502.758392</v>
      </c>
      <c r="Y30" vm="88">
        <f t="shared" si="11"/>
        <v>97002422190.592697</v>
      </c>
      <c r="Z30" vm="1143">
        <f t="shared" si="11"/>
        <v>114186941491.86829</v>
      </c>
      <c r="AA30" vm="1046">
        <f t="shared" si="11"/>
        <v>127417879442.86147</v>
      </c>
      <c r="AB30" vm="957">
        <f t="shared" si="11"/>
        <v>147794120747.54803</v>
      </c>
      <c r="AC30" vm="868">
        <f t="shared" si="11"/>
        <v>179981218254.87955</v>
      </c>
      <c r="AD30" vm="793">
        <f t="shared" si="11"/>
        <v>192230924766.59189</v>
      </c>
      <c r="AE30" vm="701">
        <f t="shared" si="11"/>
        <v>192406443193.73328</v>
      </c>
      <c r="AF30" vm="612">
        <f t="shared" si="12"/>
        <v>236420269682.2601</v>
      </c>
      <c r="AG30" vm="523">
        <f t="shared" si="12"/>
        <v>275370199095.08521</v>
      </c>
      <c r="AH30" vm="476">
        <f t="shared" si="12"/>
        <v>289941506447.83026</v>
      </c>
      <c r="AI30" vm="391">
        <f t="shared" si="12"/>
        <v>302245664508.91071</v>
      </c>
      <c r="AJ30" vm="302">
        <f t="shared" si="12"/>
        <v>307871828262.49951</v>
      </c>
      <c r="AK30" vm="219">
        <f t="shared" si="12"/>
        <v>3664032227233.1494</v>
      </c>
    </row>
    <row r="31" spans="1:37" x14ac:dyDescent="0.45">
      <c r="A31" s="2" t="str" vm="30">
        <f>CUBEMEMBER("DESKTOP-KSAPEQM AS Model","[Geography].[Blocs].[Country].&amp;[South Korea]")</f>
        <v>South Korea</v>
      </c>
      <c r="B31" vm="133">
        <f t="shared" si="9"/>
        <v>64980553394.821648</v>
      </c>
      <c r="C31" vm="1120">
        <f t="shared" si="9"/>
        <v>72425768249.611588</v>
      </c>
      <c r="D31" vm="669">
        <f t="shared" si="9"/>
        <v>77772987479.676926</v>
      </c>
      <c r="E31" vm="1100">
        <f t="shared" si="9"/>
        <v>87024615315.639801</v>
      </c>
      <c r="F31" vm="1142">
        <f t="shared" si="9"/>
        <v>96597933960.376953</v>
      </c>
      <c r="G31" vm="1045">
        <f t="shared" si="9"/>
        <v>100273097170.17999</v>
      </c>
      <c r="H31" vm="956">
        <f t="shared" si="9"/>
        <v>115717871072.07173</v>
      </c>
      <c r="I31" vm="867">
        <f t="shared" si="9"/>
        <v>145884684235.64023</v>
      </c>
      <c r="J31" vm="792">
        <f t="shared" si="9"/>
        <v>196864298964.24905</v>
      </c>
      <c r="K31" vm="700">
        <f t="shared" si="9"/>
        <v>244245403305.23306</v>
      </c>
      <c r="L31" vm="611">
        <f t="shared" si="10"/>
        <v>279754201176.9259</v>
      </c>
      <c r="M31" vm="522">
        <f t="shared" si="10"/>
        <v>325900204203.06812</v>
      </c>
      <c r="N31" vm="475">
        <f t="shared" si="10"/>
        <v>349708204370.96057</v>
      </c>
      <c r="O31" vm="390">
        <f t="shared" si="10"/>
        <v>386210621357.69904</v>
      </c>
      <c r="P31" vm="301">
        <f t="shared" si="10"/>
        <v>455537867437.80847</v>
      </c>
      <c r="Q31" vm="218">
        <f t="shared" si="10"/>
        <v>556223044818.62476</v>
      </c>
      <c r="R31" vm="132">
        <f t="shared" si="10"/>
        <v>597921572404.95227</v>
      </c>
      <c r="S31" vm="770">
        <f t="shared" si="10"/>
        <v>557138687913.37122</v>
      </c>
      <c r="T31" vm="1015">
        <f t="shared" si="10"/>
        <v>374615564156.4118</v>
      </c>
      <c r="U31" vm="87">
        <f t="shared" si="10"/>
        <v>485356573473.43787</v>
      </c>
      <c r="V31" vm="1141">
        <f t="shared" si="11"/>
        <v>561471142814.82727</v>
      </c>
      <c r="W31" vm="1044">
        <f t="shared" si="11"/>
        <v>532922445996.28845</v>
      </c>
      <c r="X31" vm="955">
        <f t="shared" si="11"/>
        <v>609069719539.38025</v>
      </c>
      <c r="Y31" vm="866">
        <f t="shared" si="11"/>
        <v>680589405530.74976</v>
      </c>
      <c r="Z31" vm="791">
        <f t="shared" si="11"/>
        <v>764852278735.91931</v>
      </c>
      <c r="AA31" vm="699">
        <f t="shared" si="11"/>
        <v>898335121378.25696</v>
      </c>
      <c r="AB31" vm="610">
        <f t="shared" si="11"/>
        <v>1011740250625.865</v>
      </c>
      <c r="AC31" vm="521">
        <f t="shared" si="11"/>
        <v>1119173392306.884</v>
      </c>
      <c r="AD31" vm="474">
        <f t="shared" si="11"/>
        <v>998142819174.54126</v>
      </c>
      <c r="AE31" vm="389">
        <f t="shared" si="11"/>
        <v>900597526880.8783</v>
      </c>
      <c r="AF31" vm="300">
        <f t="shared" si="12"/>
        <v>1098557948066.7544</v>
      </c>
      <c r="AG31" vm="217">
        <f t="shared" si="12"/>
        <v>1200044645269.9609</v>
      </c>
      <c r="AH31" vm="131">
        <f t="shared" si="12"/>
        <v>1225065043852.0022</v>
      </c>
      <c r="AI31" vm="276">
        <f t="shared" si="12"/>
        <v>1306111533339.3188</v>
      </c>
      <c r="AJ31" vm="579">
        <f t="shared" si="12"/>
        <v>1415057426639.2441</v>
      </c>
      <c r="AK31" vm="1196">
        <f t="shared" si="12"/>
        <v>19891884454611.633</v>
      </c>
    </row>
    <row r="32" spans="1:37" x14ac:dyDescent="0.45">
      <c r="A32" s="2" t="str" vm="28">
        <f>CUBEMEMBER("DESKTOP-KSAPEQM AS Model","[Geography].[Blocs].[Country].&amp;[Spain]")</f>
        <v>Spain</v>
      </c>
      <c r="B32" vm="1140">
        <f t="shared" si="9"/>
        <v>232114563328.48499</v>
      </c>
      <c r="C32" vm="1043">
        <f t="shared" si="9"/>
        <v>202269653185.61319</v>
      </c>
      <c r="D32" vm="954">
        <f t="shared" si="9"/>
        <v>195474211950.86731</v>
      </c>
      <c r="E32" vm="865">
        <f t="shared" si="9"/>
        <v>170480705129.035</v>
      </c>
      <c r="F32" vm="790">
        <f t="shared" si="9"/>
        <v>171636689549.01529</v>
      </c>
      <c r="G32" vm="698">
        <f t="shared" si="9"/>
        <v>180304974972.73691</v>
      </c>
      <c r="H32" vm="609">
        <f t="shared" si="9"/>
        <v>250636168002.69461</v>
      </c>
      <c r="I32" vm="520">
        <f t="shared" si="9"/>
        <v>317873734471.3905</v>
      </c>
      <c r="J32" vm="473">
        <f t="shared" si="9"/>
        <v>375138739114.64386</v>
      </c>
      <c r="K32" vm="388">
        <f t="shared" si="9"/>
        <v>413651406815.16602</v>
      </c>
      <c r="L32" vm="299">
        <f t="shared" si="10"/>
        <v>535070512927.44897</v>
      </c>
      <c r="M32" vm="216">
        <f t="shared" si="10"/>
        <v>575579012779.37427</v>
      </c>
      <c r="N32" vm="130">
        <f t="shared" si="10"/>
        <v>629191467958.91797</v>
      </c>
      <c r="O32" vm="933">
        <f t="shared" si="10"/>
        <v>523683366570.54718</v>
      </c>
      <c r="P32" vm="98">
        <f t="shared" si="10"/>
        <v>529119261582.65961</v>
      </c>
      <c r="Q32" vm="86">
        <f t="shared" si="10"/>
        <v>612942973086.13806</v>
      </c>
      <c r="R32" vm="1139">
        <f t="shared" si="10"/>
        <v>641039173061.67358</v>
      </c>
      <c r="S32" vm="1042">
        <f t="shared" si="10"/>
        <v>588716376834.80164</v>
      </c>
      <c r="T32" vm="953">
        <f t="shared" si="10"/>
        <v>617052961728.25342</v>
      </c>
      <c r="U32" vm="864">
        <f t="shared" si="10"/>
        <v>633175715924.21655</v>
      </c>
      <c r="V32" vm="789">
        <f t="shared" si="11"/>
        <v>595402177702.46716</v>
      </c>
      <c r="W32" vm="697">
        <f t="shared" si="11"/>
        <v>625970237402.79724</v>
      </c>
      <c r="X32" vm="608">
        <f t="shared" si="11"/>
        <v>705177922166.04614</v>
      </c>
      <c r="Y32" vm="519">
        <f t="shared" si="11"/>
        <v>906818300246.81787</v>
      </c>
      <c r="Z32" vm="472">
        <f t="shared" si="11"/>
        <v>1069601981710.1563</v>
      </c>
      <c r="AA32" vm="387">
        <f t="shared" si="11"/>
        <v>1157247674476.4463</v>
      </c>
      <c r="AB32" vm="298">
        <f t="shared" si="11"/>
        <v>1264486728148.1492</v>
      </c>
      <c r="AC32" vm="215">
        <f t="shared" si="11"/>
        <v>1479265709739.782</v>
      </c>
      <c r="AD32" vm="129">
        <f t="shared" si="11"/>
        <v>1635049583131.6206</v>
      </c>
      <c r="AE32" vm="1219">
        <f t="shared" si="11"/>
        <v>1498984445727.1926</v>
      </c>
      <c r="AF32" vm="926">
        <f t="shared" si="12"/>
        <v>1431587616075.043</v>
      </c>
      <c r="AG32" vm="1099">
        <f t="shared" si="12"/>
        <v>1488017220976.7009</v>
      </c>
      <c r="AH32" vm="1138">
        <f t="shared" si="12"/>
        <v>1339946775869.6719</v>
      </c>
      <c r="AI32" vm="1041">
        <f t="shared" si="12"/>
        <v>1369261674537.3799</v>
      </c>
      <c r="AJ32" vm="952">
        <f t="shared" si="12"/>
        <v>1381342095719.7527</v>
      </c>
      <c r="AK32" vm="863">
        <f t="shared" si="12"/>
        <v>26343311812603.703</v>
      </c>
    </row>
    <row r="33" spans="1:37" x14ac:dyDescent="0.45">
      <c r="A33" s="2" t="str" vm="26">
        <f>CUBEMEMBER("DESKTOP-KSAPEQM AS Model","[Geography].[Blocs].[Country].&amp;[Sweden]")</f>
        <v>Sweden</v>
      </c>
      <c r="B33" vm="788">
        <f t="shared" si="9"/>
        <v>140089462889.29739</v>
      </c>
      <c r="C33" vm="696">
        <f t="shared" si="9"/>
        <v>127857358365.55597</v>
      </c>
      <c r="D33" vm="607">
        <f t="shared" si="9"/>
        <v>112767695544.54001</v>
      </c>
      <c r="E33" vm="518">
        <f t="shared" si="9"/>
        <v>103533590362.87514</v>
      </c>
      <c r="F33" vm="471">
        <f t="shared" si="9"/>
        <v>107661673396.3587</v>
      </c>
      <c r="G33" vm="386">
        <f t="shared" si="9"/>
        <v>112514121171.44209</v>
      </c>
      <c r="H33" vm="297">
        <f t="shared" si="9"/>
        <v>148376449812.83505</v>
      </c>
      <c r="I33" vm="214">
        <f t="shared" si="9"/>
        <v>180428092257.35803</v>
      </c>
      <c r="J33" vm="128">
        <f t="shared" si="9"/>
        <v>204069918314.3876</v>
      </c>
      <c r="K33" vm="192">
        <f t="shared" si="9"/>
        <v>214876157533.54517</v>
      </c>
      <c r="L33" vm="760">
        <f t="shared" si="10"/>
        <v>258154724191.93787</v>
      </c>
      <c r="M33" vm="85">
        <f t="shared" si="10"/>
        <v>270364018705.55151</v>
      </c>
      <c r="N33" vm="1137">
        <f t="shared" si="10"/>
        <v>280310719058.52795</v>
      </c>
      <c r="O33" vm="1040">
        <f t="shared" si="10"/>
        <v>209950072504.69772</v>
      </c>
      <c r="P33" vm="951">
        <f t="shared" si="10"/>
        <v>226080842719.7099</v>
      </c>
      <c r="Q33" vm="862">
        <f t="shared" si="10"/>
        <v>264053154989.2775</v>
      </c>
      <c r="R33" vm="787">
        <f t="shared" si="10"/>
        <v>288105835710.99591</v>
      </c>
      <c r="S33" vm="695">
        <f t="shared" si="10"/>
        <v>264477928194.47324</v>
      </c>
      <c r="T33" vm="606">
        <f t="shared" si="10"/>
        <v>266801530118.44901</v>
      </c>
      <c r="U33" vm="517">
        <f t="shared" si="10"/>
        <v>270847009952.26791</v>
      </c>
      <c r="V33" vm="470">
        <f t="shared" si="11"/>
        <v>259800759294.32224</v>
      </c>
      <c r="W33" vm="385">
        <f t="shared" si="11"/>
        <v>239916484786.33643</v>
      </c>
      <c r="X33" vm="296">
        <f t="shared" si="11"/>
        <v>263925588782.46924</v>
      </c>
      <c r="Y33" vm="213">
        <f t="shared" si="11"/>
        <v>331108740628.38245</v>
      </c>
      <c r="Z33" vm="127">
        <f t="shared" si="11"/>
        <v>381706116111.43762</v>
      </c>
      <c r="AA33" vm="109">
        <f t="shared" si="11"/>
        <v>389042907468.38898</v>
      </c>
      <c r="AB33" vm="1208">
        <f t="shared" si="11"/>
        <v>420029320777.07544</v>
      </c>
      <c r="AC33" vm="920">
        <f t="shared" si="11"/>
        <v>487818493601.64642</v>
      </c>
      <c r="AD33" vm="1136">
        <f t="shared" si="11"/>
        <v>513965713033.11591</v>
      </c>
      <c r="AE33" vm="1039">
        <f t="shared" si="11"/>
        <v>429655955290.92194</v>
      </c>
      <c r="AF33" vm="950">
        <f t="shared" si="12"/>
        <v>488377687306.27362</v>
      </c>
      <c r="AG33" vm="861">
        <f t="shared" si="12"/>
        <v>563109666181.79016</v>
      </c>
      <c r="AH33" vm="786">
        <f t="shared" si="12"/>
        <v>543880650433.31708</v>
      </c>
      <c r="AI33" vm="694">
        <f t="shared" si="12"/>
        <v>578741998526.02979</v>
      </c>
      <c r="AJ33" vm="605">
        <f t="shared" si="12"/>
        <v>571090480171.00085</v>
      </c>
      <c r="AK33" vm="516">
        <f t="shared" si="12"/>
        <v>10513490918186.59</v>
      </c>
    </row>
    <row r="34" spans="1:37" x14ac:dyDescent="0.45">
      <c r="A34" s="2" t="str" vm="19">
        <f>CUBEMEMBER("DESKTOP-KSAPEQM AS Model","[Geography].[Blocs].[Country].&amp;[Switzerland]")</f>
        <v>Switzerland</v>
      </c>
      <c r="B34" vm="469">
        <f t="shared" si="9"/>
        <v>118709724120.83894</v>
      </c>
      <c r="C34" vm="384">
        <f t="shared" si="9"/>
        <v>108718728453.83539</v>
      </c>
      <c r="D34" vm="295">
        <f t="shared" si="9"/>
        <v>111433111278.02884</v>
      </c>
      <c r="E34" vm="212">
        <f t="shared" si="9"/>
        <v>111033366637.42137</v>
      </c>
      <c r="F34" vm="126">
        <f t="shared" si="9"/>
        <v>106019866592.23393</v>
      </c>
      <c r="G34" vm="448">
        <f t="shared" si="9"/>
        <v>107495145749.60574</v>
      </c>
      <c r="H34" vm="1115">
        <f t="shared" si="9"/>
        <v>154094083400.3042</v>
      </c>
      <c r="I34" vm="84">
        <f t="shared" si="9"/>
        <v>192982692969.65643</v>
      </c>
      <c r="J34" vm="1135">
        <f t="shared" si="9"/>
        <v>208774024465.24979</v>
      </c>
      <c r="K34" vm="1038">
        <f t="shared" si="9"/>
        <v>201569570732.15457</v>
      </c>
      <c r="L34" vm="949">
        <f t="shared" si="10"/>
        <v>257428019542.4812</v>
      </c>
      <c r="M34" vm="860">
        <f t="shared" si="10"/>
        <v>260461402949.54288</v>
      </c>
      <c r="N34" vm="785">
        <f t="shared" si="10"/>
        <v>271130150987.22583</v>
      </c>
      <c r="O34" vm="693">
        <f t="shared" si="10"/>
        <v>263688025453.42105</v>
      </c>
      <c r="P34" vm="604">
        <f t="shared" si="10"/>
        <v>291915404961.276</v>
      </c>
      <c r="Q34" vm="515">
        <f t="shared" si="10"/>
        <v>341767912432.72974</v>
      </c>
      <c r="R34" vm="468">
        <f t="shared" si="10"/>
        <v>329616685949.14282</v>
      </c>
      <c r="S34" vm="383">
        <f t="shared" si="10"/>
        <v>286601555488.56641</v>
      </c>
      <c r="T34" vm="294">
        <f t="shared" si="10"/>
        <v>294974815033.08044</v>
      </c>
      <c r="U34" vm="211">
        <f t="shared" si="10"/>
        <v>289892813990.56689</v>
      </c>
      <c r="V34" vm="125">
        <f t="shared" si="11"/>
        <v>271652892439.64432</v>
      </c>
      <c r="W34" vm="275">
        <f t="shared" si="11"/>
        <v>278626298059.68774</v>
      </c>
      <c r="X34" vm="668">
        <f t="shared" si="11"/>
        <v>301126357983.00726</v>
      </c>
      <c r="Y34" vm="83">
        <f t="shared" si="11"/>
        <v>351995491333.01672</v>
      </c>
      <c r="Z34" vm="1134">
        <f t="shared" si="11"/>
        <v>393543026039.97534</v>
      </c>
      <c r="AA34" vm="1037">
        <f t="shared" si="11"/>
        <v>407543282812.79272</v>
      </c>
      <c r="AB34" vm="948">
        <f t="shared" si="11"/>
        <v>429180767644.56934</v>
      </c>
      <c r="AC34" vm="859">
        <f t="shared" si="11"/>
        <v>477421407707.55054</v>
      </c>
      <c r="AD34" vm="784">
        <f t="shared" si="11"/>
        <v>551552059385.64661</v>
      </c>
      <c r="AE34" vm="692">
        <f t="shared" si="11"/>
        <v>539507556782.35657</v>
      </c>
      <c r="AF34" vm="603">
        <f t="shared" si="12"/>
        <v>581208586855.79968</v>
      </c>
      <c r="AG34" vm="514">
        <f t="shared" si="12"/>
        <v>696278711042.53931</v>
      </c>
      <c r="AH34" vm="467">
        <f t="shared" si="12"/>
        <v>665408304507.71667</v>
      </c>
      <c r="AI34" vm="382">
        <f t="shared" si="12"/>
        <v>684919202219.04419</v>
      </c>
      <c r="AJ34" vm="293">
        <f t="shared" si="12"/>
        <v>701037137926.1095</v>
      </c>
      <c r="AK34" vm="210">
        <f t="shared" si="12"/>
        <v>11639308183926.822</v>
      </c>
    </row>
    <row r="35" spans="1:37" x14ac:dyDescent="0.45">
      <c r="A35" s="2" t="str" vm="11">
        <f>CUBEMEMBER("DESKTOP-KSAPEQM AS Model","[Geography].[Blocs].[Country].&amp;[Taiwan]")</f>
        <v>Taiwan</v>
      </c>
      <c r="B35" vm="124">
        <f t="shared" si="9"/>
        <v>42220722222.222221</v>
      </c>
      <c r="C35" vm="366">
        <f t="shared" si="9"/>
        <v>49063413971.18782</v>
      </c>
      <c r="D35" vm="97">
        <f t="shared" si="9"/>
        <v>49549948875.25563</v>
      </c>
      <c r="E35" vm="82">
        <f t="shared" si="9"/>
        <v>54168871692.461304</v>
      </c>
      <c r="F35" vm="1133">
        <f t="shared" si="9"/>
        <v>61052094901.564873</v>
      </c>
      <c r="G35" vm="1036">
        <f t="shared" si="9"/>
        <v>63622980431.510284</v>
      </c>
      <c r="H35" vm="947">
        <f t="shared" si="9"/>
        <v>78386023778.071335</v>
      </c>
      <c r="I35" vm="858">
        <f t="shared" si="9"/>
        <v>104956448070.28554</v>
      </c>
      <c r="J35" vm="783">
        <f t="shared" si="9"/>
        <v>126365571478.50403</v>
      </c>
      <c r="K35" vm="691">
        <f t="shared" si="9"/>
        <v>152709996213.55548</v>
      </c>
      <c r="L35" vm="602">
        <f t="shared" si="10"/>
        <v>166615396058.01413</v>
      </c>
      <c r="M35" vm="513">
        <f t="shared" si="10"/>
        <v>187314056674.12378</v>
      </c>
      <c r="N35" vm="466">
        <f t="shared" si="10"/>
        <v>223158942766.29572</v>
      </c>
      <c r="O35" vm="381">
        <f t="shared" si="10"/>
        <v>235139749905.26715</v>
      </c>
      <c r="P35" vm="292">
        <f t="shared" si="10"/>
        <v>256403703703.7037</v>
      </c>
      <c r="Q35" vm="209">
        <f t="shared" si="10"/>
        <v>279224235560.58893</v>
      </c>
      <c r="R35" vm="123">
        <f t="shared" si="10"/>
        <v>292665331391.11432</v>
      </c>
      <c r="S35" vm="274">
        <f t="shared" si="10"/>
        <v>303736620209.05927</v>
      </c>
      <c r="T35" vm="759">
        <f t="shared" si="10"/>
        <v>280368828451.88281</v>
      </c>
      <c r="U35" vm="1009">
        <f t="shared" si="10"/>
        <v>304170901766.34644</v>
      </c>
      <c r="V35" vm="1132">
        <f t="shared" si="11"/>
        <v>331452449567.72333</v>
      </c>
      <c r="W35" vm="1035">
        <f t="shared" si="11"/>
        <v>300449837326.2348</v>
      </c>
      <c r="X35" vm="946">
        <f t="shared" si="11"/>
        <v>308874580682.47546</v>
      </c>
      <c r="Y35" vm="857">
        <f t="shared" si="11"/>
        <v>318589947704.82275</v>
      </c>
      <c r="Z35" vm="782">
        <f t="shared" si="11"/>
        <v>348478761591.38501</v>
      </c>
      <c r="AA35" vm="690">
        <f t="shared" si="11"/>
        <v>375769235550.03107</v>
      </c>
      <c r="AB35" vm="601">
        <f t="shared" si="11"/>
        <v>388589086996.61847</v>
      </c>
      <c r="AC35" vm="512">
        <f t="shared" si="11"/>
        <v>408254019488.42871</v>
      </c>
      <c r="AD35" vm="465">
        <f t="shared" si="11"/>
        <v>416961001902.34625</v>
      </c>
      <c r="AE35" vm="380">
        <f t="shared" si="11"/>
        <v>392064609800.36298</v>
      </c>
      <c r="AF35" vm="291">
        <f t="shared" si="12"/>
        <v>446104676145.33966</v>
      </c>
      <c r="AG35" vm="208">
        <f t="shared" si="12"/>
        <v>485653206650.83136</v>
      </c>
      <c r="AH35" vm="122">
        <f t="shared" si="12"/>
        <v>495844598244.42944</v>
      </c>
      <c r="AI35" vm="447">
        <f t="shared" si="12"/>
        <v>511613671481.35706</v>
      </c>
      <c r="AJ35" vm="1207">
        <f t="shared" si="12"/>
        <v>530063749637.78613</v>
      </c>
      <c r="AK35" vm="81">
        <f t="shared" si="12"/>
        <v>9369657270891.1855</v>
      </c>
    </row>
    <row r="36" spans="1:37" x14ac:dyDescent="0.45">
      <c r="A36" s="2" t="str" vm="6">
        <f>CUBEMEMBER("DESKTOP-KSAPEQM AS Model","[Geography].[Blocs].[Country].&amp;[United Kingdom]")</f>
        <v>United Kingdom</v>
      </c>
      <c r="B36" vm="1131">
        <f t="shared" si="9"/>
        <v>564954275555.14246</v>
      </c>
      <c r="C36" vm="1034">
        <f t="shared" si="9"/>
        <v>540720763687.37299</v>
      </c>
      <c r="D36" vm="945">
        <f t="shared" si="9"/>
        <v>515006782376.62708</v>
      </c>
      <c r="E36" vm="856">
        <f t="shared" si="9"/>
        <v>489599766011.44678</v>
      </c>
      <c r="F36" vm="781">
        <f t="shared" si="9"/>
        <v>461483003336.48279</v>
      </c>
      <c r="G36" vm="689">
        <f t="shared" si="9"/>
        <v>489256281071.70264</v>
      </c>
      <c r="H36" vm="600">
        <f t="shared" si="9"/>
        <v>601455007160.46484</v>
      </c>
      <c r="I36" vm="511">
        <f t="shared" si="9"/>
        <v>745130338365.80042</v>
      </c>
      <c r="J36" vm="464">
        <f t="shared" si="9"/>
        <v>910171025260.90979</v>
      </c>
      <c r="K36" vm="379">
        <f t="shared" si="9"/>
        <v>926926143222.19043</v>
      </c>
      <c r="L36" vm="290">
        <f t="shared" si="10"/>
        <v>1093213703957.4952</v>
      </c>
      <c r="M36" vm="207">
        <f t="shared" si="10"/>
        <v>1142766281116.2441</v>
      </c>
      <c r="N36" vm="121">
        <f t="shared" si="10"/>
        <v>1179713008050.1895</v>
      </c>
      <c r="O36" vm="191">
        <f t="shared" si="10"/>
        <v>1061457888940.1237</v>
      </c>
      <c r="P36" vm="578">
        <f t="shared" si="10"/>
        <v>1140443318346.6973</v>
      </c>
      <c r="Q36" vm="80">
        <f t="shared" si="10"/>
        <v>1237624199872.9556</v>
      </c>
      <c r="R36" vm="1130">
        <f t="shared" si="10"/>
        <v>1306660748860.6201</v>
      </c>
      <c r="S36" vm="1033">
        <f t="shared" si="10"/>
        <v>1446358500318.5222</v>
      </c>
      <c r="T36" vm="944">
        <f t="shared" si="10"/>
        <v>1537043294383.3811</v>
      </c>
      <c r="U36" vm="855">
        <f t="shared" si="10"/>
        <v>1565517799859.3496</v>
      </c>
      <c r="V36" vm="780">
        <f t="shared" si="11"/>
        <v>1554728503132.4685</v>
      </c>
      <c r="W36" vm="688">
        <f t="shared" si="11"/>
        <v>1536041632177.1238</v>
      </c>
      <c r="X36" vm="599">
        <f t="shared" si="11"/>
        <v>1680197543452.2051</v>
      </c>
      <c r="Y36" vm="510">
        <f t="shared" si="11"/>
        <v>1943112547910.3145</v>
      </c>
      <c r="Z36" vm="463">
        <f t="shared" si="11"/>
        <v>2297973195649.7856</v>
      </c>
      <c r="AA36" vm="378">
        <f t="shared" si="11"/>
        <v>2418949162991.0952</v>
      </c>
      <c r="AB36" vm="289">
        <f t="shared" si="11"/>
        <v>2588140754215.7383</v>
      </c>
      <c r="AC36" vm="206">
        <f t="shared" si="11"/>
        <v>2969902235554.8887</v>
      </c>
      <c r="AD36" vm="120">
        <f t="shared" si="11"/>
        <v>2793550151319.1309</v>
      </c>
      <c r="AE36" vm="1218">
        <f t="shared" si="11"/>
        <v>2314507590876.7715</v>
      </c>
      <c r="AF36" vm="847">
        <f t="shared" si="12"/>
        <v>2403581016606.9111</v>
      </c>
      <c r="AG36" vm="79">
        <f t="shared" si="12"/>
        <v>2594734867854.5054</v>
      </c>
      <c r="AH36" vm="1129">
        <f t="shared" si="12"/>
        <v>2630472976421.5449</v>
      </c>
      <c r="AI36" vm="1032">
        <f t="shared" si="12"/>
        <v>2712296261870.6313</v>
      </c>
      <c r="AJ36" vm="943">
        <f t="shared" si="12"/>
        <v>2988893268212.0503</v>
      </c>
      <c r="AK36" vm="854">
        <f t="shared" si="12"/>
        <v>54382583837998.875</v>
      </c>
    </row>
    <row r="37" spans="1:37" x14ac:dyDescent="0.45">
      <c r="A37" s="2" t="str" vm="5">
        <f>CUBEMEMBER("DESKTOP-KSAPEQM AS Model","[Geography].[Blocs].[Country].&amp;[United States]")</f>
        <v>United States</v>
      </c>
      <c r="B37" vm="779">
        <f t="shared" si="9"/>
        <v>2862500000000</v>
      </c>
      <c r="C37" vm="687">
        <f t="shared" si="9"/>
        <v>3210900000000</v>
      </c>
      <c r="D37" vm="598">
        <f t="shared" si="9"/>
        <v>3345000000000</v>
      </c>
      <c r="E37" vm="509">
        <f t="shared" si="9"/>
        <v>3638100000000</v>
      </c>
      <c r="F37" vm="462">
        <f t="shared" si="9"/>
        <v>4040700000000</v>
      </c>
      <c r="G37" vm="377">
        <f t="shared" si="9"/>
        <v>4346700000000</v>
      </c>
      <c r="H37" vm="288">
        <f t="shared" si="9"/>
        <v>4590100000000</v>
      </c>
      <c r="I37" vm="205">
        <f t="shared" si="9"/>
        <v>4870200000000</v>
      </c>
      <c r="J37" vm="119">
        <f t="shared" si="9"/>
        <v>5252600000000</v>
      </c>
      <c r="K37" vm="674">
        <f t="shared" si="9"/>
        <v>5657700000000</v>
      </c>
      <c r="L37" vm="925">
        <f t="shared" si="10"/>
        <v>5979600000000</v>
      </c>
      <c r="M37" vm="78">
        <f t="shared" si="10"/>
        <v>6174000000000</v>
      </c>
      <c r="N37" vm="1128">
        <f t="shared" si="10"/>
        <v>6539300000000</v>
      </c>
      <c r="O37" vm="1031">
        <f t="shared" si="10"/>
        <v>6878700000000</v>
      </c>
      <c r="P37" vm="942">
        <f t="shared" si="10"/>
        <v>7308700000000</v>
      </c>
      <c r="Q37" vm="853">
        <f t="shared" si="10"/>
        <v>7664060000000</v>
      </c>
      <c r="R37" vm="778">
        <f t="shared" si="10"/>
        <v>8100200000000</v>
      </c>
      <c r="S37" vm="686">
        <f t="shared" si="10"/>
        <v>8608500000000</v>
      </c>
      <c r="T37" vm="597">
        <f t="shared" si="10"/>
        <v>9089160000000</v>
      </c>
      <c r="U37" vm="508">
        <f t="shared" si="10"/>
        <v>9660620000000</v>
      </c>
      <c r="V37" vm="461">
        <f t="shared" si="11"/>
        <v>10284780000000</v>
      </c>
      <c r="W37" vm="376">
        <f t="shared" si="11"/>
        <v>10621830000000</v>
      </c>
      <c r="X37" vm="287">
        <f t="shared" si="11"/>
        <v>10977520000000</v>
      </c>
      <c r="Y37" vm="204">
        <f t="shared" si="11"/>
        <v>11510670000000</v>
      </c>
      <c r="Z37" vm="118">
        <f t="shared" si="11"/>
        <v>12274930000000</v>
      </c>
      <c r="AA37" vm="1021">
        <f t="shared" si="11"/>
        <v>13093720000000</v>
      </c>
      <c r="AB37" vm="667">
        <f t="shared" si="11"/>
        <v>13855890000000</v>
      </c>
      <c r="AC37" vm="77">
        <f t="shared" si="11"/>
        <v>14477630000000</v>
      </c>
      <c r="AD37" vm="1127">
        <f t="shared" si="11"/>
        <v>14718590000000</v>
      </c>
      <c r="AE37" vm="1030">
        <f t="shared" si="11"/>
        <v>14418740000000</v>
      </c>
      <c r="AF37" vm="941">
        <f t="shared" si="12"/>
        <v>14964380000000</v>
      </c>
      <c r="AG37" vm="852">
        <f t="shared" si="12"/>
        <v>15517930000000</v>
      </c>
      <c r="AH37" vm="777">
        <f t="shared" si="12"/>
        <v>16155255000000</v>
      </c>
      <c r="AI37" vm="685">
        <f t="shared" si="12"/>
        <v>16663160000000</v>
      </c>
      <c r="AJ37" vm="596">
        <f t="shared" si="12"/>
        <v>17348072000000</v>
      </c>
      <c r="AK37" vm="507">
        <f t="shared" si="12"/>
        <v>324700437000000</v>
      </c>
    </row>
    <row r="38" spans="1:37" x14ac:dyDescent="0.45">
      <c r="A38" s="1" t="str" vm="65">
        <f>CUBEMEMBER("DESKTOP-KSAPEQM AS Model","[Geography].[Blocs].[Major_Blocs].&amp;[South]")</f>
        <v>South</v>
      </c>
      <c r="B38" vm="460">
        <f t="shared" si="9"/>
        <v>2076444489424.5806</v>
      </c>
      <c r="C38" vm="375">
        <f t="shared" si="9"/>
        <v>2263962157120.6582</v>
      </c>
      <c r="D38" vm="286">
        <f t="shared" si="9"/>
        <v>2167272778392.0186</v>
      </c>
      <c r="E38" vm="203">
        <f t="shared" si="9"/>
        <v>2088338067810.2949</v>
      </c>
      <c r="F38" vm="117">
        <f t="shared" si="9"/>
        <v>2112412628101.8879</v>
      </c>
      <c r="G38" vm="932">
        <f t="shared" si="9"/>
        <v>2007927481151.895</v>
      </c>
      <c r="H38" vm="758">
        <f t="shared" si="9"/>
        <v>1942931027755.5608</v>
      </c>
      <c r="I38" vm="76">
        <f t="shared" si="9"/>
        <v>2069635382128.0029</v>
      </c>
      <c r="J38" vm="1126">
        <f t="shared" si="9"/>
        <v>2297172234750.0522</v>
      </c>
      <c r="K38" vm="1029">
        <f t="shared" si="9"/>
        <v>2448783336335.7695</v>
      </c>
      <c r="L38" vm="940">
        <f t="shared" si="10"/>
        <v>2812417670275.6113</v>
      </c>
      <c r="M38" vm="851">
        <f t="shared" si="10"/>
        <v>2948502291179.2661</v>
      </c>
      <c r="N38" vm="776">
        <f t="shared" si="10"/>
        <v>3174508579897.3105</v>
      </c>
      <c r="O38" vm="684">
        <f t="shared" si="10"/>
        <v>3358506300485.1685</v>
      </c>
      <c r="P38" vm="595">
        <f t="shared" si="10"/>
        <v>3662795623583.4897</v>
      </c>
      <c r="Q38" vm="506">
        <f t="shared" si="10"/>
        <v>4037064432822.0127</v>
      </c>
      <c r="R38" vm="459">
        <f t="shared" si="10"/>
        <v>4356344759693.4385</v>
      </c>
      <c r="S38" vm="374">
        <f t="shared" si="10"/>
        <v>4564761332787.6797</v>
      </c>
      <c r="T38" vm="285">
        <f t="shared" si="10"/>
        <v>4326146621901.6616</v>
      </c>
      <c r="U38" vm="202">
        <f t="shared" si="10"/>
        <v>4225233384934.4551</v>
      </c>
      <c r="V38" vm="116">
        <f t="shared" si="11"/>
        <v>4539748768609.9189</v>
      </c>
      <c r="W38" vm="588">
        <f t="shared" si="11"/>
        <v>4393153900689.0049</v>
      </c>
      <c r="X38" vm="1014">
        <f t="shared" si="11"/>
        <v>4357694908308.6846</v>
      </c>
      <c r="Y38" vm="75">
        <f t="shared" si="11"/>
        <v>4835166372346.21</v>
      </c>
      <c r="Z38" vm="1125">
        <f t="shared" si="11"/>
        <v>5691369766879.4219</v>
      </c>
      <c r="AA38" vm="1028">
        <f t="shared" si="11"/>
        <v>6794983967177.3145</v>
      </c>
      <c r="AB38" vm="939">
        <f t="shared" si="11"/>
        <v>7941575981641.9453</v>
      </c>
      <c r="AC38" vm="850">
        <f t="shared" si="11"/>
        <v>9483136685002.166</v>
      </c>
      <c r="AD38" vm="775">
        <f t="shared" si="11"/>
        <v>10996489079434.816</v>
      </c>
      <c r="AE38" vm="683">
        <f t="shared" si="11"/>
        <v>10442152204108.523</v>
      </c>
      <c r="AF38" vm="594">
        <f t="shared" si="12"/>
        <v>12793713257011.844</v>
      </c>
      <c r="AG38" vm="505">
        <f t="shared" si="12"/>
        <v>14691220046455.539</v>
      </c>
      <c r="AH38" vm="458">
        <f t="shared" si="12"/>
        <v>15051752426062.863</v>
      </c>
      <c r="AI38" vm="373">
        <f t="shared" si="12"/>
        <v>15446636040714.775</v>
      </c>
      <c r="AJ38" vm="284">
        <f t="shared" si="12"/>
        <v>15688884427259.789</v>
      </c>
      <c r="AK38" vm="201">
        <f t="shared" si="12"/>
        <v>202088838412232.94</v>
      </c>
    </row>
    <row r="39" spans="1:37" x14ac:dyDescent="0.45">
      <c r="A39" s="1" t="str" vm="72">
        <f>CUBESET("DESKTOP-KSAPEQM AS Model",($A$38,$A$8,$A$7),"Grand Total")</f>
        <v>Grand Total</v>
      </c>
      <c r="B39" vm="115">
        <f t="shared" si="9"/>
        <v>10843114289447.115</v>
      </c>
      <c r="C39" vm="1119">
        <f t="shared" si="9"/>
        <v>11116857206162.076</v>
      </c>
      <c r="D39" vm="1114">
        <f t="shared" si="9"/>
        <v>10949958697458.904</v>
      </c>
      <c r="E39" vm="1098">
        <f t="shared" si="9"/>
        <v>11235337231050.506</v>
      </c>
      <c r="F39" vm="1124">
        <f t="shared" si="9"/>
        <v>11665330783161.939</v>
      </c>
      <c r="G39" vm="1027">
        <f t="shared" si="9"/>
        <v>12042472466604.529</v>
      </c>
      <c r="H39" vm="938">
        <f t="shared" si="9"/>
        <v>14139327319225.467</v>
      </c>
      <c r="I39" vm="849">
        <f t="shared" si="9"/>
        <v>16215631842954.301</v>
      </c>
      <c r="J39" vm="774">
        <f t="shared" si="9"/>
        <v>18292036995366.809</v>
      </c>
      <c r="K39" vm="682">
        <f t="shared" si="9"/>
        <v>19182619487213.871</v>
      </c>
      <c r="L39" vm="593">
        <f t="shared" si="10"/>
        <v>21498390549313.777</v>
      </c>
      <c r="M39" vm="504">
        <f t="shared" si="10"/>
        <v>22678912006236.852</v>
      </c>
      <c r="N39" vm="457">
        <f t="shared" si="10"/>
        <v>24427287137667</v>
      </c>
      <c r="O39" vm="372">
        <f t="shared" si="10"/>
        <v>24895559064166.008</v>
      </c>
      <c r="P39" vm="283">
        <f t="shared" si="10"/>
        <v>26664042142534.25</v>
      </c>
      <c r="Q39" vm="200">
        <f t="shared" si="10"/>
        <v>29496569830798.992</v>
      </c>
      <c r="R39" vm="114">
        <f t="shared" si="10"/>
        <v>30083717170774.055</v>
      </c>
      <c r="S39" vm="108">
        <f t="shared" si="10"/>
        <v>29920192936472.641</v>
      </c>
      <c r="T39" vm="96">
        <f t="shared" si="10"/>
        <v>29804380596275.039</v>
      </c>
      <c r="U39" vm="1195">
        <f t="shared" si="10"/>
        <v>31089631588536.973</v>
      </c>
      <c r="V39" vm="1123">
        <f t="shared" si="11"/>
        <v>31934959795326.691</v>
      </c>
      <c r="W39" vm="1026">
        <f t="shared" si="11"/>
        <v>31661608770125.043</v>
      </c>
      <c r="X39" vm="937">
        <f t="shared" si="11"/>
        <v>32877363995559.867</v>
      </c>
      <c r="Y39" vm="848">
        <f t="shared" si="11"/>
        <v>36882368886655.938</v>
      </c>
      <c r="Z39" vm="773">
        <f t="shared" si="11"/>
        <v>41353690907770.703</v>
      </c>
      <c r="AA39" vm="681">
        <f t="shared" si="11"/>
        <v>44527176377898.008</v>
      </c>
      <c r="AB39" vm="592">
        <f t="shared" si="11"/>
        <v>47936554918699.008</v>
      </c>
      <c r="AC39" vm="503">
        <f t="shared" si="11"/>
        <v>53646739957646.203</v>
      </c>
      <c r="AD39" vm="456">
        <f t="shared" si="11"/>
        <v>58222022419096.078</v>
      </c>
      <c r="AE39" vm="371">
        <f t="shared" si="11"/>
        <v>55840670301375.633</v>
      </c>
      <c r="AF39" vm="282">
        <f t="shared" si="12"/>
        <v>60998773300171.68</v>
      </c>
      <c r="AG39" vm="199">
        <f t="shared" si="12"/>
        <v>67372664738001.023</v>
      </c>
      <c r="AH39" vm="113">
        <f t="shared" si="12"/>
        <v>68585339959327.922</v>
      </c>
      <c r="AI39" vm="769">
        <f t="shared" si="12"/>
        <v>70308239770535.32</v>
      </c>
      <c r="AJ39" vm="1206">
        <f t="shared" si="12"/>
        <v>72376655585679.563</v>
      </c>
      <c r="AK39" vm="74">
        <f t="shared" si="12"/>
        <v>1180766199025289.5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ommand">
                <anchor moveWithCells="1" sizeWithCells="1">
                  <from>
                    <xdr:col>5</xdr:col>
                    <xdr:colOff>295275</xdr:colOff>
                    <xdr:row>2</xdr:row>
                    <xdr:rowOff>42863</xdr:rowOff>
                  </from>
                  <to>
                    <xdr:col>8</xdr:col>
                    <xdr:colOff>295275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Expenditure_Approach</vt:lpstr>
      <vt:lpstr>Item</vt:lpstr>
      <vt:lpstr>PENN</vt:lpstr>
      <vt:lpstr>PivotTableID</vt:lpstr>
      <vt:lpstr>Place</vt:lpstr>
      <vt:lpstr>USD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Freeman</dc:creator>
  <cp:lastModifiedBy>Alan Freeman</cp:lastModifiedBy>
  <dcterms:created xsi:type="dcterms:W3CDTF">2020-12-03T21:21:12Z</dcterms:created>
  <dcterms:modified xsi:type="dcterms:W3CDTF">2020-12-04T17:46:21Z</dcterms:modified>
</cp:coreProperties>
</file>