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afree\Documents\Github\MacroEconomic History\DATA\EXPORT\2020 Updates\"/>
    </mc:Choice>
  </mc:AlternateContent>
  <xr:revisionPtr revIDLastSave="0" documentId="13_ncr:1_{6586C556-E1FC-4904-8CED-795F20916E3C}" xr6:coauthVersionLast="45" xr6:coauthVersionMax="45" xr10:uidLastSave="{00000000-0000-0000-0000-000000000000}"/>
  <bookViews>
    <workbookView xWindow="-98" yWindow="-98" windowWidth="28996" windowHeight="15945" firstSheet="2" activeTab="10" xr2:uid="{00000000-000D-0000-FFFF-FFFF00000000}"/>
  </bookViews>
  <sheets>
    <sheet name="Copyright" sheetId="2" r:id="rId1"/>
    <sheet name="Population" sheetId="1" r:id="rId2"/>
    <sheet name="GDP" sheetId="6" r:id="rId3"/>
    <sheet name="GDPCap" sheetId="17" r:id="rId4"/>
    <sheet name="Dispersion Measures" sheetId="7" r:id="rId5"/>
    <sheet name="Quartile Test" sheetId="14" r:id="rId6"/>
    <sheet name="Theil Percent Contributions" sheetId="11" r:id="rId7"/>
    <sheet name="Gini1" sheetId="12" r:id="rId8"/>
    <sheet name="Gini2" sheetId="13" r:id="rId9"/>
    <sheet name="Theil Decomposition Chart" sheetId="10" r:id="rId10"/>
    <sheet name="Weighted InterQuartile Range" sheetId="16" r:id="rId11"/>
  </sheets>
  <externalReferences>
    <externalReference r:id="rId12"/>
    <externalReference r:id="rId13"/>
    <externalReference r:id="rId14"/>
    <externalReference r:id="rId15"/>
  </externalReferences>
  <definedNames>
    <definedName name="_xlnm._FilterDatabase" localSheetId="5" hidden="1">'Quartile Test'!$I$3:$M$61</definedName>
    <definedName name="GrowthRelatives">'[1]Dispersion UN Ratios'!$AZ$5:$BD$159</definedName>
    <definedName name="North_GDP">[2]GDP!$B$11:$BI$29</definedName>
    <definedName name="North_paper_2">'[3]Dispersion UN GD-Cap'!$E$3:$AZ$35</definedName>
    <definedName name="North_Pop">[2]POP!$B$11:$BI$29</definedName>
  </definedNames>
  <calcPr calcId="191029"/>
  <pivotCaches>
    <pivotCache cacheId="2" r:id="rId16"/>
    <pivotCache cacheId="3" r:id="rId17"/>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A70" i="7" l="1" a="1"/>
  <c r="M70" i="7" a="1"/>
  <c r="AD69" i="7" a="1"/>
  <c r="AU68" i="7" a="1"/>
  <c r="AT68" i="7" a="1"/>
  <c r="BI70" i="7" a="1"/>
  <c r="AS70" i="7" a="1"/>
  <c r="AK70" i="7" a="1"/>
  <c r="AC70" i="7" a="1"/>
  <c r="U70" i="7" a="1"/>
  <c r="BB69" i="7" a="1"/>
  <c r="AL69" i="7" a="1"/>
  <c r="F69" i="7" a="1"/>
  <c r="G68" i="7" a="1"/>
  <c r="AZ70" i="7" a="1"/>
  <c r="AB70" i="7" a="1"/>
  <c r="BI69" i="7" a="1"/>
  <c r="AS69" i="7" a="1"/>
  <c r="U69" i="7" a="1"/>
  <c r="N68" i="7" a="1"/>
  <c r="BH70" i="7" a="1"/>
  <c r="AR70" i="7" a="1"/>
  <c r="AJ70" i="7" a="1"/>
  <c r="T70" i="7" a="1"/>
  <c r="L70" i="7" a="1"/>
  <c r="BA69" i="7" a="1"/>
  <c r="AK69" i="7" a="1"/>
  <c r="M69" i="7" a="1"/>
  <c r="AZ69" i="7" a="1"/>
  <c r="BA68" i="7" a="1"/>
  <c r="AC68" i="7" a="1"/>
  <c r="M68" i="7" a="1"/>
  <c r="AR68" i="7" a="1"/>
  <c r="L68" i="7" a="1"/>
  <c r="AW70" i="7" a="1"/>
  <c r="I70" i="7" a="1"/>
  <c r="AP69" i="7" a="1"/>
  <c r="AH69" i="7" a="1"/>
  <c r="R69" i="7" a="1"/>
  <c r="J69" i="7" a="1"/>
  <c r="AI68" i="7" a="1"/>
  <c r="K68" i="7" a="1"/>
  <c r="P70" i="7" a="1"/>
  <c r="Q69" i="7" a="1"/>
  <c r="R68" i="7" a="1"/>
  <c r="BB68" i="7" a="1"/>
  <c r="BG70" i="7" a="1"/>
  <c r="AY70" i="7" a="1"/>
  <c r="AQ70" i="7" a="1"/>
  <c r="AI70" i="7" a="1"/>
  <c r="AA70" i="7" a="1"/>
  <c r="S70" i="7" a="1"/>
  <c r="K70" i="7" a="1"/>
  <c r="BH69" i="7" a="1"/>
  <c r="AR69" i="7" a="1"/>
  <c r="AJ69" i="7" a="1"/>
  <c r="AB69" i="7" a="1"/>
  <c r="T69" i="7" a="1"/>
  <c r="L69" i="7" a="1"/>
  <c r="BI68" i="7" a="1"/>
  <c r="AS68" i="7" a="1"/>
  <c r="AK68" i="7" a="1"/>
  <c r="U68" i="7" a="1"/>
  <c r="E68" i="7" a="1"/>
  <c r="T68" i="7" a="1"/>
  <c r="AO70" i="7" a="1"/>
  <c r="AX69" i="7" a="1"/>
  <c r="Z69" i="7" a="1"/>
  <c r="AA68" i="7" a="1"/>
  <c r="AF70" i="7" a="1"/>
  <c r="AO69" i="7" a="1"/>
  <c r="AP68" i="7" a="1"/>
  <c r="AE68" i="7" a="1"/>
  <c r="V68" i="7" a="1"/>
  <c r="BG69" i="7" a="1"/>
  <c r="BH68" i="7" a="1"/>
  <c r="AB68" i="7" a="1"/>
  <c r="AG70" i="7" a="1"/>
  <c r="AQ68" i="7" a="1"/>
  <c r="BE69" i="7" a="1"/>
  <c r="I69" i="7" a="1"/>
  <c r="J68" i="7" a="1"/>
  <c r="AD68" i="7" a="1"/>
  <c r="BF70" i="7" a="1"/>
  <c r="AX70" i="7" a="1"/>
  <c r="AP70" i="7" a="1"/>
  <c r="AH70" i="7" a="1"/>
  <c r="Z70" i="7" a="1"/>
  <c r="R70" i="7" a="1"/>
  <c r="J70" i="7" a="1"/>
  <c r="AY69" i="7" a="1"/>
  <c r="AQ69" i="7" a="1"/>
  <c r="AI69" i="7" a="1"/>
  <c r="AA69" i="7" a="1"/>
  <c r="S69" i="7" a="1"/>
  <c r="K69" i="7" a="1"/>
  <c r="AZ68" i="7" a="1"/>
  <c r="AJ68" i="7" a="1"/>
  <c r="Y70" i="7" a="1"/>
  <c r="BF69" i="7" a="1"/>
  <c r="AY68" i="7" a="1"/>
  <c r="S68" i="7" a="1"/>
  <c r="X70" i="7" a="1"/>
  <c r="BF68" i="7" a="1"/>
  <c r="AL68" i="7" a="1"/>
  <c r="Q70" i="7" a="1"/>
  <c r="AH68" i="7" a="1"/>
  <c r="AC69" i="7" a="1"/>
  <c r="BE70" i="7" a="1"/>
  <c r="BG68" i="7" a="1"/>
  <c r="AW69" i="7" a="1"/>
  <c r="AX68" i="7" a="1"/>
  <c r="O68" i="7" a="1"/>
  <c r="F68" i="7" a="1"/>
  <c r="AV70" i="7" a="1"/>
  <c r="AG69" i="7" a="1"/>
  <c r="Z68" i="7" a="1"/>
  <c r="BD70" i="7" a="1"/>
  <c r="AN70" i="7" a="1"/>
  <c r="H70" i="7" a="1"/>
  <c r="Y69" i="7" a="1"/>
  <c r="AV69" i="7" a="1"/>
  <c r="AW68" i="7" a="1"/>
  <c r="Y68" i="7" a="1"/>
  <c r="I68" i="7" a="1"/>
  <c r="BB70" i="7" a="1"/>
  <c r="AD70" i="7" a="1"/>
  <c r="V70" i="7" a="1"/>
  <c r="N70" i="7" a="1"/>
  <c r="F70" i="7" a="1"/>
  <c r="BC69" i="7" a="1"/>
  <c r="AM69" i="7" a="1"/>
  <c r="AE69" i="7" a="1"/>
  <c r="O69" i="7" a="1"/>
  <c r="BD68" i="7" a="1"/>
  <c r="AN68" i="7" a="1"/>
  <c r="X68" i="7" a="1"/>
  <c r="H68" i="7" a="1"/>
  <c r="E70" i="7" a="1"/>
  <c r="V69" i="7" a="1"/>
  <c r="BC68" i="7" a="1"/>
  <c r="W68" i="7" a="1"/>
  <c r="BC70" i="7" a="1"/>
  <c r="AU70" i="7" a="1"/>
  <c r="AM70" i="7" a="1"/>
  <c r="AE70" i="7" a="1"/>
  <c r="W70" i="7" a="1"/>
  <c r="O70" i="7" a="1"/>
  <c r="G70" i="7" a="1"/>
  <c r="BD69" i="7" a="1"/>
  <c r="AN69" i="7" a="1"/>
  <c r="AF69" i="7" a="1"/>
  <c r="X69" i="7" a="1"/>
  <c r="P69" i="7" a="1"/>
  <c r="H69" i="7" a="1"/>
  <c r="BE68" i="7" a="1"/>
  <c r="AO68" i="7" a="1"/>
  <c r="AG68" i="7" a="1"/>
  <c r="Q68" i="7" a="1"/>
  <c r="AT70" i="7" a="1"/>
  <c r="AL70" i="7" a="1"/>
  <c r="AU69" i="7" a="1"/>
  <c r="W69" i="7" a="1"/>
  <c r="G69" i="7" a="1"/>
  <c r="AV68" i="7" a="1"/>
  <c r="AF68" i="7" a="1"/>
  <c r="P68" i="7" a="1"/>
  <c r="AT69" i="7" a="1"/>
  <c r="N69" i="7" a="1"/>
  <c r="AM68" i="7" a="1"/>
  <c r="E69" i="7" a="1"/>
  <c r="D70" i="7" a="1"/>
  <c r="E69" i="7" l="1"/>
  <c r="AM68" i="7"/>
  <c r="N69" i="7"/>
  <c r="AT69" i="7"/>
  <c r="P68" i="7"/>
  <c r="AF68" i="7"/>
  <c r="AV68" i="7"/>
  <c r="G69" i="7"/>
  <c r="W69" i="7"/>
  <c r="AU69" i="7"/>
  <c r="AL70" i="7"/>
  <c r="AT70" i="7"/>
  <c r="Q68" i="7"/>
  <c r="AG68" i="7"/>
  <c r="AO68" i="7"/>
  <c r="BE68" i="7"/>
  <c r="H69" i="7"/>
  <c r="P69" i="7"/>
  <c r="X69" i="7"/>
  <c r="AF69" i="7"/>
  <c r="AN69" i="7"/>
  <c r="BD69" i="7"/>
  <c r="G70" i="7"/>
  <c r="O70" i="7"/>
  <c r="W70" i="7"/>
  <c r="AE70" i="7"/>
  <c r="AM70" i="7"/>
  <c r="AU70" i="7"/>
  <c r="BC70" i="7"/>
  <c r="W68" i="7"/>
  <c r="BC68" i="7"/>
  <c r="V69" i="7"/>
  <c r="E70" i="7"/>
  <c r="H68" i="7"/>
  <c r="X68" i="7"/>
  <c r="AN68" i="7"/>
  <c r="BD68" i="7"/>
  <c r="O69" i="7"/>
  <c r="AE69" i="7"/>
  <c r="AM69" i="7"/>
  <c r="BC69" i="7"/>
  <c r="F70" i="7"/>
  <c r="N70" i="7"/>
  <c r="V70" i="7"/>
  <c r="AD70" i="7"/>
  <c r="BB70" i="7"/>
  <c r="I68" i="7"/>
  <c r="Y68" i="7"/>
  <c r="AW68" i="7"/>
  <c r="AV69" i="7"/>
  <c r="Y69" i="7"/>
  <c r="H70" i="7"/>
  <c r="AN70" i="7"/>
  <c r="BD70" i="7"/>
  <c r="Z68" i="7"/>
  <c r="AG69" i="7"/>
  <c r="AV70" i="7"/>
  <c r="F68" i="7"/>
  <c r="O68" i="7"/>
  <c r="AX68" i="7"/>
  <c r="AW69" i="7"/>
  <c r="BG68" i="7"/>
  <c r="BE70" i="7"/>
  <c r="AC69" i="7"/>
  <c r="AH68" i="7"/>
  <c r="Q70" i="7"/>
  <c r="AL68" i="7"/>
  <c r="BF68" i="7"/>
  <c r="X70" i="7"/>
  <c r="S68" i="7"/>
  <c r="AY68" i="7"/>
  <c r="BF69" i="7"/>
  <c r="Y70" i="7"/>
  <c r="AJ68" i="7"/>
  <c r="AZ68" i="7"/>
  <c r="K69" i="7"/>
  <c r="S69" i="7"/>
  <c r="AA69" i="7"/>
  <c r="AI69" i="7"/>
  <c r="AQ69" i="7"/>
  <c r="AY69" i="7"/>
  <c r="J70" i="7"/>
  <c r="R70" i="7"/>
  <c r="Z70" i="7"/>
  <c r="AH70" i="7"/>
  <c r="AP70" i="7"/>
  <c r="AX70" i="7"/>
  <c r="BF70" i="7"/>
  <c r="AD68" i="7"/>
  <c r="J68" i="7"/>
  <c r="I69" i="7"/>
  <c r="BE69" i="7"/>
  <c r="AQ68" i="7"/>
  <c r="AG70" i="7"/>
  <c r="AB68" i="7"/>
  <c r="BH68" i="7"/>
  <c r="BG69" i="7"/>
  <c r="V68" i="7"/>
  <c r="AE68" i="7"/>
  <c r="AP68" i="7"/>
  <c r="AO69" i="7"/>
  <c r="AF70" i="7"/>
  <c r="AA68" i="7"/>
  <c r="Z69" i="7"/>
  <c r="AX69" i="7"/>
  <c r="AO70" i="7"/>
  <c r="T68" i="7"/>
  <c r="E68" i="7"/>
  <c r="U68" i="7"/>
  <c r="AK68" i="7"/>
  <c r="AS68" i="7"/>
  <c r="BI68" i="7"/>
  <c r="L69" i="7"/>
  <c r="T69" i="7"/>
  <c r="AB69" i="7"/>
  <c r="AJ69" i="7"/>
  <c r="AR69" i="7"/>
  <c r="BH69" i="7"/>
  <c r="K70" i="7"/>
  <c r="S70" i="7"/>
  <c r="AA70" i="7"/>
  <c r="AI70" i="7"/>
  <c r="AQ70" i="7"/>
  <c r="AY70" i="7"/>
  <c r="BG70" i="7"/>
  <c r="BB68" i="7"/>
  <c r="R68" i="7"/>
  <c r="Q69" i="7"/>
  <c r="P70" i="7"/>
  <c r="K68" i="7"/>
  <c r="AI68" i="7"/>
  <c r="J69" i="7"/>
  <c r="R69" i="7"/>
  <c r="AH69" i="7"/>
  <c r="AP69" i="7"/>
  <c r="I70" i="7"/>
  <c r="AW70" i="7"/>
  <c r="L68" i="7"/>
  <c r="AR68" i="7"/>
  <c r="M68" i="7"/>
  <c r="AC68" i="7"/>
  <c r="BA68" i="7"/>
  <c r="AZ69" i="7"/>
  <c r="M69" i="7"/>
  <c r="AK69" i="7"/>
  <c r="BA69" i="7"/>
  <c r="L70" i="7"/>
  <c r="T70" i="7"/>
  <c r="AJ70" i="7"/>
  <c r="AR70" i="7"/>
  <c r="BH70" i="7"/>
  <c r="N68" i="7"/>
  <c r="U69" i="7"/>
  <c r="AS69" i="7"/>
  <c r="BI69" i="7"/>
  <c r="AB70" i="7"/>
  <c r="AZ70" i="7"/>
  <c r="G68" i="7"/>
  <c r="F69" i="7"/>
  <c r="AL69" i="7"/>
  <c r="BB69" i="7"/>
  <c r="U70" i="7"/>
  <c r="AC70" i="7"/>
  <c r="AK70" i="7"/>
  <c r="AS70" i="7"/>
  <c r="BI70" i="7"/>
  <c r="AT68" i="7"/>
  <c r="AU68" i="7"/>
  <c r="AD69" i="7"/>
  <c r="M70" i="7"/>
  <c r="BA70" i="7"/>
  <c r="D70" i="7"/>
  <c r="I147" i="17" l="1"/>
  <c r="H147" i="17"/>
  <c r="I146" i="17"/>
  <c r="H146" i="17"/>
  <c r="I145" i="17"/>
  <c r="H145" i="17"/>
  <c r="I144" i="17"/>
  <c r="H144" i="17"/>
  <c r="I143" i="17"/>
  <c r="H143" i="17"/>
  <c r="I142" i="17"/>
  <c r="H142" i="17"/>
  <c r="I141" i="17"/>
  <c r="H141" i="17"/>
  <c r="I140" i="17"/>
  <c r="H140" i="17"/>
  <c r="I139" i="17"/>
  <c r="H139" i="17"/>
  <c r="I138" i="17"/>
  <c r="H138" i="17"/>
  <c r="I137" i="17"/>
  <c r="H137" i="17"/>
  <c r="I136" i="17"/>
  <c r="H136" i="17"/>
  <c r="I135" i="17"/>
  <c r="H135" i="17"/>
  <c r="I134" i="17"/>
  <c r="H134" i="17"/>
  <c r="I133" i="17"/>
  <c r="H133" i="17"/>
  <c r="I132" i="17"/>
  <c r="H132" i="17"/>
  <c r="I131" i="17"/>
  <c r="H131" i="17"/>
  <c r="I130" i="17"/>
  <c r="H130" i="17"/>
  <c r="I129" i="17"/>
  <c r="H129" i="17"/>
  <c r="I128" i="17"/>
  <c r="H128" i="17"/>
  <c r="I127" i="17"/>
  <c r="H127" i="17"/>
  <c r="I126" i="17"/>
  <c r="H126" i="17"/>
  <c r="I125" i="17"/>
  <c r="H125" i="17"/>
  <c r="I124" i="17"/>
  <c r="H124" i="17"/>
  <c r="I123" i="17"/>
  <c r="H123" i="17"/>
  <c r="I122" i="17"/>
  <c r="H122" i="17"/>
  <c r="I121" i="17"/>
  <c r="H121" i="17"/>
  <c r="I120" i="17"/>
  <c r="H120" i="17"/>
  <c r="I119" i="17"/>
  <c r="H119" i="17"/>
  <c r="I118" i="17"/>
  <c r="H118" i="17"/>
  <c r="I117" i="17"/>
  <c r="H117" i="17"/>
  <c r="I116" i="17"/>
  <c r="H116" i="17"/>
  <c r="I115" i="17"/>
  <c r="H115" i="17"/>
  <c r="I114" i="17"/>
  <c r="H114" i="17"/>
  <c r="I113" i="17"/>
  <c r="H113" i="17"/>
  <c r="I112" i="17"/>
  <c r="H112" i="17"/>
  <c r="I111" i="17"/>
  <c r="H111" i="17"/>
  <c r="I110" i="17"/>
  <c r="H110" i="17"/>
  <c r="I109" i="17"/>
  <c r="H109" i="17"/>
  <c r="I108" i="17"/>
  <c r="H108" i="17"/>
  <c r="I107" i="17"/>
  <c r="H107" i="17"/>
  <c r="I106" i="17"/>
  <c r="H106" i="17"/>
  <c r="I105" i="17"/>
  <c r="H105" i="17"/>
  <c r="I104" i="17"/>
  <c r="H104" i="17"/>
  <c r="I103" i="17"/>
  <c r="H103" i="17"/>
  <c r="I102" i="17"/>
  <c r="H102" i="17"/>
  <c r="I101" i="17"/>
  <c r="H101" i="17"/>
  <c r="I100" i="17"/>
  <c r="H100" i="17"/>
  <c r="I99" i="17"/>
  <c r="H99" i="17"/>
  <c r="I98" i="17"/>
  <c r="H98" i="17"/>
  <c r="I97" i="17"/>
  <c r="H97" i="17"/>
  <c r="I96" i="17"/>
  <c r="H96" i="17"/>
  <c r="I95" i="17"/>
  <c r="H95" i="17"/>
  <c r="I94" i="17"/>
  <c r="H94" i="17"/>
  <c r="I93" i="17"/>
  <c r="H93" i="17"/>
  <c r="I92" i="17"/>
  <c r="H92" i="17"/>
  <c r="I91" i="17"/>
  <c r="H91" i="17"/>
  <c r="H90" i="17"/>
  <c r="I90" i="17"/>
  <c r="Z62" i="7" a="1"/>
  <c r="AL61" i="7" a="1"/>
  <c r="V61" i="7" a="1"/>
  <c r="F61" i="7" a="1"/>
  <c r="E61" i="7" a="1"/>
  <c r="K62" i="7" a="1"/>
  <c r="G61" i="7" a="1"/>
  <c r="BJ63" i="7" a="1"/>
  <c r="BB63" i="7" a="1"/>
  <c r="AT63" i="7" a="1"/>
  <c r="AL63" i="7" a="1"/>
  <c r="AD63" i="7" a="1"/>
  <c r="V63" i="7" a="1"/>
  <c r="N63" i="7" a="1"/>
  <c r="F63" i="7" a="1"/>
  <c r="BF62" i="7" a="1"/>
  <c r="AX62" i="7" a="1"/>
  <c r="AP62" i="7" a="1"/>
  <c r="AH62" i="7" a="1"/>
  <c r="R62" i="7" a="1"/>
  <c r="J62" i="7" a="1"/>
  <c r="BJ61" i="7" a="1"/>
  <c r="BB61" i="7" a="1"/>
  <c r="AT61" i="7" a="1"/>
  <c r="AD61" i="7" a="1"/>
  <c r="N61" i="7" a="1"/>
  <c r="H61" i="7" a="1"/>
  <c r="BG62" i="7" a="1"/>
  <c r="BI63" i="7" a="1"/>
  <c r="BA63" i="7" a="1"/>
  <c r="AS63" i="7" a="1"/>
  <c r="AK63" i="7" a="1"/>
  <c r="AC63" i="7" a="1"/>
  <c r="U63" i="7" a="1"/>
  <c r="M63" i="7" a="1"/>
  <c r="E63" i="7" a="1"/>
  <c r="BE62" i="7" a="1"/>
  <c r="AW62" i="7" a="1"/>
  <c r="AO62" i="7" a="1"/>
  <c r="AG62" i="7" a="1"/>
  <c r="Y62" i="7" a="1"/>
  <c r="Q62" i="7" a="1"/>
  <c r="I62" i="7" a="1"/>
  <c r="BI61" i="7" a="1"/>
  <c r="BA61" i="7" a="1"/>
  <c r="AS61" i="7" a="1"/>
  <c r="AK61" i="7" a="1"/>
  <c r="AC61" i="7" a="1"/>
  <c r="U61" i="7" a="1"/>
  <c r="M61" i="7" a="1"/>
  <c r="C62" i="7" a="1"/>
  <c r="AF62" i="7" a="1"/>
  <c r="BH61" i="7" a="1"/>
  <c r="AR61" i="7" a="1"/>
  <c r="AB61" i="7" a="1"/>
  <c r="T61" i="7" a="1"/>
  <c r="D61" i="7" a="1"/>
  <c r="AJ62" i="7" a="1"/>
  <c r="AF61" i="7" a="1"/>
  <c r="AI62" i="7" a="1"/>
  <c r="AM61" i="7" a="1"/>
  <c r="BH63" i="7" a="1"/>
  <c r="AZ63" i="7" a="1"/>
  <c r="AR63" i="7" a="1"/>
  <c r="AJ63" i="7" a="1"/>
  <c r="AB63" i="7" a="1"/>
  <c r="T63" i="7" a="1"/>
  <c r="L63" i="7" a="1"/>
  <c r="D63" i="7" a="1"/>
  <c r="BD62" i="7" a="1"/>
  <c r="AV62" i="7" a="1"/>
  <c r="AN62" i="7" a="1"/>
  <c r="X62" i="7" a="1"/>
  <c r="P62" i="7" a="1"/>
  <c r="H62" i="7" a="1"/>
  <c r="AZ61" i="7" a="1"/>
  <c r="AJ61" i="7" a="1"/>
  <c r="L61" i="7" a="1"/>
  <c r="AZ62" i="7" a="1"/>
  <c r="G63" i="7" a="1"/>
  <c r="W62" i="7" a="1"/>
  <c r="AI61" i="7" a="1"/>
  <c r="K61" i="7" a="1"/>
  <c r="Z61" i="7" a="1"/>
  <c r="T62" i="7" a="1"/>
  <c r="X61" i="7" a="1"/>
  <c r="AY62" i="7" a="1"/>
  <c r="O61" i="7" a="1"/>
  <c r="BG63" i="7" a="1"/>
  <c r="AY63" i="7" a="1"/>
  <c r="AQ63" i="7" a="1"/>
  <c r="AI63" i="7" a="1"/>
  <c r="AA63" i="7" a="1"/>
  <c r="S63" i="7" a="1"/>
  <c r="K63" i="7" a="1"/>
  <c r="C63" i="7" a="1"/>
  <c r="BC62" i="7" a="1"/>
  <c r="AU62" i="7" a="1"/>
  <c r="AM62" i="7" a="1"/>
  <c r="AE62" i="7" a="1"/>
  <c r="O62" i="7" a="1"/>
  <c r="G62" i="7" a="1"/>
  <c r="BG61" i="7" a="1"/>
  <c r="AY61" i="7" a="1"/>
  <c r="AQ61" i="7" a="1"/>
  <c r="AA61" i="7" a="1"/>
  <c r="S61" i="7" a="1"/>
  <c r="C61" i="7" a="1"/>
  <c r="R61" i="7" a="1"/>
  <c r="AB62" i="7" a="1"/>
  <c r="AT62" i="7" a="1"/>
  <c r="AP61" i="7" a="1"/>
  <c r="L62" i="7" a="1"/>
  <c r="P61" i="7" a="1"/>
  <c r="AQ62" i="7" a="1"/>
  <c r="BC61" i="7" a="1"/>
  <c r="BF63" i="7" a="1"/>
  <c r="AX63" i="7" a="1"/>
  <c r="AP63" i="7" a="1"/>
  <c r="AH63" i="7" a="1"/>
  <c r="Z63" i="7" a="1"/>
  <c r="R63" i="7" a="1"/>
  <c r="J63" i="7" a="1"/>
  <c r="BJ62" i="7" a="1"/>
  <c r="BB62" i="7" a="1"/>
  <c r="AL62" i="7" a="1"/>
  <c r="AD62" i="7" a="1"/>
  <c r="V62" i="7" a="1"/>
  <c r="N62" i="7" a="1"/>
  <c r="F62" i="7" a="1"/>
  <c r="BF61" i="7" a="1"/>
  <c r="AX61" i="7" a="1"/>
  <c r="AH61" i="7" a="1"/>
  <c r="J61" i="7" a="1"/>
  <c r="AN61" i="7" a="1"/>
  <c r="U62" i="7" a="1"/>
  <c r="AG61" i="7" a="1"/>
  <c r="Q61" i="7" a="1"/>
  <c r="P63" i="7" a="1"/>
  <c r="D62" i="7" a="1"/>
  <c r="AA62" i="7" a="1"/>
  <c r="W61" i="7" a="1"/>
  <c r="BE63" i="7" a="1"/>
  <c r="AW63" i="7" a="1"/>
  <c r="AO63" i="7" a="1"/>
  <c r="AG63" i="7" a="1"/>
  <c r="Y63" i="7" a="1"/>
  <c r="Q63" i="7" a="1"/>
  <c r="I63" i="7" a="1"/>
  <c r="BI62" i="7" a="1"/>
  <c r="BA62" i="7" a="1"/>
  <c r="AS62" i="7" a="1"/>
  <c r="AK62" i="7" a="1"/>
  <c r="AC62" i="7" a="1"/>
  <c r="M62" i="7" a="1"/>
  <c r="E62" i="7" a="1"/>
  <c r="BE61" i="7" a="1"/>
  <c r="AW61" i="7" a="1"/>
  <c r="AO61" i="7" a="1"/>
  <c r="Y61" i="7" a="1"/>
  <c r="I61" i="7" a="1"/>
  <c r="BH62" i="7" a="1"/>
  <c r="AV61" i="7" a="1"/>
  <c r="AU61" i="7" a="1"/>
  <c r="BD63" i="7" a="1"/>
  <c r="AV63" i="7" a="1"/>
  <c r="AN63" i="7" a="1"/>
  <c r="AF63" i="7" a="1"/>
  <c r="X63" i="7" a="1"/>
  <c r="H63" i="7" a="1"/>
  <c r="AR62" i="7" a="1"/>
  <c r="BD61" i="7" a="1"/>
  <c r="S62" i="7" a="1"/>
  <c r="AE61" i="7" a="1"/>
  <c r="BC63" i="7" a="1"/>
  <c r="AU63" i="7" a="1"/>
  <c r="AM63" i="7" a="1"/>
  <c r="AE63" i="7" a="1"/>
  <c r="W63" i="7" a="1"/>
  <c r="O63" i="7" a="1"/>
  <c r="D69" i="7" a="1"/>
  <c r="D68" i="7" a="1"/>
  <c r="C70" i="7" a="1"/>
  <c r="C69" i="7" a="1"/>
  <c r="C68" i="7" a="1"/>
  <c r="B69" i="7" a="1"/>
  <c r="B70" i="7" a="1"/>
  <c r="B68" i="7" a="1"/>
  <c r="D69" i="7" l="1"/>
  <c r="D68" i="7"/>
  <c r="C70" i="7"/>
  <c r="C69" i="7"/>
  <c r="C68" i="7"/>
  <c r="B70" i="7"/>
  <c r="B69" i="7"/>
  <c r="B68" i="7"/>
  <c r="O63" i="7"/>
  <c r="W63" i="7"/>
  <c r="AE63" i="7"/>
  <c r="AM63" i="7"/>
  <c r="AU63" i="7"/>
  <c r="BC63" i="7"/>
  <c r="AE61" i="7"/>
  <c r="S62" i="7"/>
  <c r="BD61" i="7"/>
  <c r="AR62" i="7"/>
  <c r="H63" i="7"/>
  <c r="X63" i="7"/>
  <c r="AF63" i="7"/>
  <c r="AN63" i="7"/>
  <c r="AV63" i="7"/>
  <c r="BD63" i="7"/>
  <c r="AU61" i="7"/>
  <c r="AV61" i="7"/>
  <c r="BH62" i="7"/>
  <c r="I61" i="7"/>
  <c r="Y61" i="7"/>
  <c r="AO61" i="7"/>
  <c r="AW61" i="7"/>
  <c r="BE61" i="7"/>
  <c r="E62" i="7"/>
  <c r="M62" i="7"/>
  <c r="AC62" i="7"/>
  <c r="AK62" i="7"/>
  <c r="AS62" i="7"/>
  <c r="BA62" i="7"/>
  <c r="BI62" i="7"/>
  <c r="I63" i="7"/>
  <c r="Q63" i="7"/>
  <c r="Y63" i="7"/>
  <c r="AG63" i="7"/>
  <c r="AO63" i="7"/>
  <c r="AW63" i="7"/>
  <c r="BE63" i="7"/>
  <c r="W61" i="7"/>
  <c r="AA62" i="7"/>
  <c r="D62" i="7"/>
  <c r="P63" i="7"/>
  <c r="Q61" i="7"/>
  <c r="AG61" i="7"/>
  <c r="U62" i="7"/>
  <c r="AN61" i="7"/>
  <c r="J61" i="7"/>
  <c r="AH61" i="7"/>
  <c r="AX61" i="7"/>
  <c r="BF61" i="7"/>
  <c r="F62" i="7"/>
  <c r="N62" i="7"/>
  <c r="V62" i="7"/>
  <c r="AD62" i="7"/>
  <c r="AL62" i="7"/>
  <c r="BB62" i="7"/>
  <c r="BJ62" i="7"/>
  <c r="J63" i="7"/>
  <c r="R63" i="7"/>
  <c r="Z63" i="7"/>
  <c r="AH63" i="7"/>
  <c r="AP63" i="7"/>
  <c r="AX63" i="7"/>
  <c r="BF63" i="7"/>
  <c r="BC61" i="7"/>
  <c r="AQ62" i="7"/>
  <c r="P61" i="7"/>
  <c r="L62" i="7"/>
  <c r="AP61" i="7"/>
  <c r="AT62" i="7"/>
  <c r="AB62" i="7"/>
  <c r="R61" i="7"/>
  <c r="C61" i="7"/>
  <c r="S61" i="7"/>
  <c r="AA61" i="7"/>
  <c r="AQ61" i="7"/>
  <c r="AY61" i="7"/>
  <c r="BG61" i="7"/>
  <c r="G62" i="7"/>
  <c r="O62" i="7"/>
  <c r="AE62" i="7"/>
  <c r="AM62" i="7"/>
  <c r="AU62" i="7"/>
  <c r="BC62" i="7"/>
  <c r="C63" i="7"/>
  <c r="K63" i="7"/>
  <c r="S63" i="7"/>
  <c r="AA63" i="7"/>
  <c r="AI63" i="7"/>
  <c r="AQ63" i="7"/>
  <c r="AY63" i="7"/>
  <c r="BG63" i="7"/>
  <c r="O61" i="7"/>
  <c r="AY62" i="7"/>
  <c r="X61" i="7"/>
  <c r="T62" i="7"/>
  <c r="Z61" i="7"/>
  <c r="K61" i="7"/>
  <c r="AI61" i="7"/>
  <c r="W62" i="7"/>
  <c r="G63" i="7"/>
  <c r="AZ62" i="7"/>
  <c r="L61" i="7"/>
  <c r="AJ61" i="7"/>
  <c r="AZ61" i="7"/>
  <c r="H62" i="7"/>
  <c r="P62" i="7"/>
  <c r="X62" i="7"/>
  <c r="AN62" i="7"/>
  <c r="AV62" i="7"/>
  <c r="BD62" i="7"/>
  <c r="D63" i="7"/>
  <c r="L63" i="7"/>
  <c r="T63" i="7"/>
  <c r="AB63" i="7"/>
  <c r="AJ63" i="7"/>
  <c r="AR63" i="7"/>
  <c r="AZ63" i="7"/>
  <c r="BH63" i="7"/>
  <c r="AM61" i="7"/>
  <c r="AI62" i="7"/>
  <c r="AF61" i="7"/>
  <c r="AJ62" i="7"/>
  <c r="D61" i="7"/>
  <c r="T61" i="7"/>
  <c r="AB61" i="7"/>
  <c r="AR61" i="7"/>
  <c r="BH61" i="7"/>
  <c r="AF62" i="7"/>
  <c r="C62" i="7"/>
  <c r="M61" i="7"/>
  <c r="U61" i="7"/>
  <c r="AC61" i="7"/>
  <c r="AK61" i="7"/>
  <c r="AS61" i="7"/>
  <c r="BA61" i="7"/>
  <c r="BI61" i="7"/>
  <c r="I62" i="7"/>
  <c r="Q62" i="7"/>
  <c r="Y62" i="7"/>
  <c r="AG62" i="7"/>
  <c r="AO62" i="7"/>
  <c r="AW62" i="7"/>
  <c r="BE62" i="7"/>
  <c r="E63" i="7"/>
  <c r="M63" i="7"/>
  <c r="U63" i="7"/>
  <c r="AC63" i="7"/>
  <c r="AK63" i="7"/>
  <c r="AS63" i="7"/>
  <c r="BA63" i="7"/>
  <c r="BI63" i="7"/>
  <c r="BG62" i="7"/>
  <c r="H61" i="7"/>
  <c r="N61" i="7"/>
  <c r="AD61" i="7"/>
  <c r="AT61" i="7"/>
  <c r="BB61" i="7"/>
  <c r="BJ61" i="7"/>
  <c r="J62" i="7"/>
  <c r="R62" i="7"/>
  <c r="AH62" i="7"/>
  <c r="AP62" i="7"/>
  <c r="AX62" i="7"/>
  <c r="BF62" i="7"/>
  <c r="F63" i="7"/>
  <c r="N63" i="7"/>
  <c r="V63" i="7"/>
  <c r="AD63" i="7"/>
  <c r="AL63" i="7"/>
  <c r="AT63" i="7"/>
  <c r="BB63" i="7"/>
  <c r="BJ63" i="7"/>
  <c r="G61" i="7"/>
  <c r="K62" i="7"/>
  <c r="E61" i="7"/>
  <c r="F61" i="7"/>
  <c r="V61" i="7"/>
  <c r="AL61" i="7"/>
  <c r="Z62" i="7"/>
  <c r="BJ88" i="17"/>
  <c r="BI88" i="17"/>
  <c r="BH88" i="17"/>
  <c r="BG88" i="17"/>
  <c r="BF88" i="17"/>
  <c r="BE88" i="17"/>
  <c r="BD88" i="17"/>
  <c r="BC88" i="17"/>
  <c r="BB88" i="17"/>
  <c r="BA88" i="17"/>
  <c r="AZ88" i="17"/>
  <c r="AY88" i="17"/>
  <c r="AX88" i="17"/>
  <c r="AW88" i="17"/>
  <c r="AV88" i="17"/>
  <c r="AU88" i="17"/>
  <c r="AT88" i="17"/>
  <c r="AS88" i="17"/>
  <c r="AR88" i="17"/>
  <c r="AQ88" i="17"/>
  <c r="AP88" i="17"/>
  <c r="AO88" i="17"/>
  <c r="AN88" i="17"/>
  <c r="AM88" i="17"/>
  <c r="AL88" i="17"/>
  <c r="AK88" i="17"/>
  <c r="AJ88" i="17"/>
  <c r="AI88" i="17"/>
  <c r="AH88" i="17"/>
  <c r="AG88" i="17"/>
  <c r="AF88" i="17"/>
  <c r="AE88" i="17"/>
  <c r="AD88" i="17"/>
  <c r="AC88" i="17"/>
  <c r="AB88" i="17"/>
  <c r="AA88" i="17"/>
  <c r="Z88" i="17"/>
  <c r="Y88" i="17"/>
  <c r="X88" i="17"/>
  <c r="W88" i="17"/>
  <c r="V88" i="17"/>
  <c r="U88" i="17"/>
  <c r="T88" i="17"/>
  <c r="S88" i="17"/>
  <c r="R88" i="17"/>
  <c r="Q88" i="17"/>
  <c r="P88" i="17"/>
  <c r="O88" i="17"/>
  <c r="N88" i="17"/>
  <c r="M88" i="17"/>
  <c r="L88" i="17"/>
  <c r="K88" i="17"/>
  <c r="J88" i="17"/>
  <c r="I88" i="17"/>
  <c r="H88" i="17"/>
  <c r="G88" i="17"/>
  <c r="F88" i="17"/>
  <c r="E88" i="17"/>
  <c r="D88" i="17"/>
  <c r="C88" i="17"/>
  <c r="BJ87" i="17"/>
  <c r="BI87" i="17"/>
  <c r="BH87" i="17"/>
  <c r="BG87" i="17"/>
  <c r="BF87" i="17"/>
  <c r="BE87" i="17"/>
  <c r="BD87" i="17"/>
  <c r="BC87" i="17"/>
  <c r="BB87" i="17"/>
  <c r="BA87" i="17"/>
  <c r="AZ87" i="17"/>
  <c r="AY87" i="17"/>
  <c r="AX87" i="17"/>
  <c r="AW87" i="17"/>
  <c r="AV87" i="17"/>
  <c r="AU87" i="17"/>
  <c r="AT87" i="17"/>
  <c r="AS87" i="17"/>
  <c r="AR87" i="17"/>
  <c r="AQ87" i="17"/>
  <c r="AP87" i="17"/>
  <c r="AO87" i="17"/>
  <c r="AN87" i="17"/>
  <c r="AM87" i="17"/>
  <c r="AL87" i="17"/>
  <c r="AK87" i="17"/>
  <c r="AJ87" i="17"/>
  <c r="AI87" i="17"/>
  <c r="AH87" i="17"/>
  <c r="AG87" i="17"/>
  <c r="AF87" i="17"/>
  <c r="AE87" i="17"/>
  <c r="AD87" i="17"/>
  <c r="AC87" i="17"/>
  <c r="AB87" i="17"/>
  <c r="AA87" i="17"/>
  <c r="Z87" i="17"/>
  <c r="Y87" i="17"/>
  <c r="X87" i="17"/>
  <c r="W87" i="17"/>
  <c r="V87" i="17"/>
  <c r="U87" i="17"/>
  <c r="T87" i="17"/>
  <c r="S87" i="17"/>
  <c r="R87" i="17"/>
  <c r="Q87" i="17"/>
  <c r="P87" i="17"/>
  <c r="O87" i="17"/>
  <c r="N87" i="17"/>
  <c r="M87" i="17"/>
  <c r="L87" i="17"/>
  <c r="K87" i="17"/>
  <c r="J87" i="17"/>
  <c r="I87" i="17"/>
  <c r="H87" i="17"/>
  <c r="G87" i="17"/>
  <c r="F87" i="17"/>
  <c r="E87" i="17"/>
  <c r="D87" i="17"/>
  <c r="C87" i="17"/>
  <c r="BJ86" i="17"/>
  <c r="BI86" i="17"/>
  <c r="BH86" i="17"/>
  <c r="BG86" i="17"/>
  <c r="BF86" i="17"/>
  <c r="BE86" i="17"/>
  <c r="BD86" i="17"/>
  <c r="BC86" i="17"/>
  <c r="BB86" i="17"/>
  <c r="BA86" i="17"/>
  <c r="AZ86" i="17"/>
  <c r="AY86" i="17"/>
  <c r="AX86" i="17"/>
  <c r="AW86" i="17"/>
  <c r="AV86" i="17"/>
  <c r="AU86" i="17"/>
  <c r="AT86" i="17"/>
  <c r="AS86" i="17"/>
  <c r="AR86" i="17"/>
  <c r="AQ86" i="17"/>
  <c r="AP86" i="17"/>
  <c r="AO86" i="17"/>
  <c r="AN86" i="17"/>
  <c r="AM86" i="17"/>
  <c r="AL86" i="17"/>
  <c r="AK86" i="17"/>
  <c r="AJ86" i="17"/>
  <c r="AI86" i="17"/>
  <c r="AH86" i="17"/>
  <c r="AG86" i="17"/>
  <c r="AF86" i="17"/>
  <c r="AE86" i="17"/>
  <c r="AD86" i="17"/>
  <c r="AC86" i="17"/>
  <c r="AB86" i="17"/>
  <c r="AA86" i="17"/>
  <c r="Z86" i="17"/>
  <c r="Y86" i="17"/>
  <c r="X86" i="17"/>
  <c r="W86" i="17"/>
  <c r="V86" i="17"/>
  <c r="U86" i="17"/>
  <c r="T86" i="17"/>
  <c r="S86" i="17"/>
  <c r="R86" i="17"/>
  <c r="Q86" i="17"/>
  <c r="P86" i="17"/>
  <c r="O86" i="17"/>
  <c r="N86" i="17"/>
  <c r="M86" i="17"/>
  <c r="L86" i="17"/>
  <c r="K86" i="17"/>
  <c r="J86" i="17"/>
  <c r="I86" i="17"/>
  <c r="H86" i="17"/>
  <c r="G86" i="17"/>
  <c r="F86" i="17"/>
  <c r="E86" i="17"/>
  <c r="D86" i="17"/>
  <c r="C86" i="17"/>
  <c r="BJ85" i="17"/>
  <c r="BI85" i="17"/>
  <c r="BH85" i="17"/>
  <c r="BG85" i="17"/>
  <c r="BF85" i="17"/>
  <c r="BE85" i="17"/>
  <c r="BD85" i="17"/>
  <c r="BC85" i="17"/>
  <c r="BB85" i="17"/>
  <c r="BA85" i="17"/>
  <c r="AZ85" i="17"/>
  <c r="AY85" i="17"/>
  <c r="AX85" i="17"/>
  <c r="AW85" i="17"/>
  <c r="AV85" i="17"/>
  <c r="AU85" i="17"/>
  <c r="AT85" i="17"/>
  <c r="AS85" i="17"/>
  <c r="AR85" i="17"/>
  <c r="AQ85" i="17"/>
  <c r="AP85" i="17"/>
  <c r="AO85" i="17"/>
  <c r="AN85" i="17"/>
  <c r="AM85" i="17"/>
  <c r="AL85" i="17"/>
  <c r="AK85" i="17"/>
  <c r="AJ85" i="17"/>
  <c r="AI85" i="17"/>
  <c r="AH85" i="17"/>
  <c r="AG85" i="17"/>
  <c r="AF85" i="17"/>
  <c r="AE85" i="17"/>
  <c r="AD85" i="17"/>
  <c r="AC85" i="17"/>
  <c r="AB85" i="17"/>
  <c r="AA85" i="17"/>
  <c r="Z85" i="17"/>
  <c r="Y85" i="17"/>
  <c r="X85" i="17"/>
  <c r="W85" i="17"/>
  <c r="V85" i="17"/>
  <c r="U85" i="17"/>
  <c r="T85" i="17"/>
  <c r="S85" i="17"/>
  <c r="R85" i="17"/>
  <c r="Q85" i="17"/>
  <c r="P85" i="17"/>
  <c r="O85" i="17"/>
  <c r="N85" i="17"/>
  <c r="M85" i="17"/>
  <c r="L85" i="17"/>
  <c r="K85" i="17"/>
  <c r="J85" i="17"/>
  <c r="I85" i="17"/>
  <c r="H85" i="17"/>
  <c r="G85" i="17"/>
  <c r="F85" i="17"/>
  <c r="E85" i="17"/>
  <c r="D85" i="17"/>
  <c r="C85" i="17"/>
  <c r="BJ84" i="17"/>
  <c r="BI84" i="17"/>
  <c r="BH84" i="17"/>
  <c r="BG84" i="17"/>
  <c r="BF84" i="17"/>
  <c r="BE84" i="17"/>
  <c r="BD84" i="17"/>
  <c r="BC84" i="17"/>
  <c r="BB84" i="17"/>
  <c r="BA84" i="17"/>
  <c r="AZ84" i="17"/>
  <c r="AY84" i="17"/>
  <c r="AX84" i="17"/>
  <c r="AW84" i="17"/>
  <c r="AV84" i="17"/>
  <c r="AU84" i="17"/>
  <c r="AT84" i="17"/>
  <c r="AS84" i="17"/>
  <c r="AR84" i="17"/>
  <c r="AQ84" i="17"/>
  <c r="AP84" i="17"/>
  <c r="AO84" i="17"/>
  <c r="AN84" i="17"/>
  <c r="AM84" i="17"/>
  <c r="AL84" i="17"/>
  <c r="AK84" i="17"/>
  <c r="AJ84" i="17"/>
  <c r="AI84" i="17"/>
  <c r="AH84" i="17"/>
  <c r="AG84" i="17"/>
  <c r="AF84" i="17"/>
  <c r="AE84" i="17"/>
  <c r="AD84" i="17"/>
  <c r="AC84" i="17"/>
  <c r="AB84" i="17"/>
  <c r="AA84" i="17"/>
  <c r="Z84" i="17"/>
  <c r="Y84" i="17"/>
  <c r="X84" i="17"/>
  <c r="W84" i="17"/>
  <c r="V84" i="17"/>
  <c r="U84" i="17"/>
  <c r="T84" i="17"/>
  <c r="S84" i="17"/>
  <c r="R84" i="17"/>
  <c r="Q84" i="17"/>
  <c r="P84" i="17"/>
  <c r="O84" i="17"/>
  <c r="N84" i="17"/>
  <c r="M84" i="17"/>
  <c r="L84" i="17"/>
  <c r="K84" i="17"/>
  <c r="J84" i="17"/>
  <c r="I84" i="17"/>
  <c r="H84" i="17"/>
  <c r="G84" i="17"/>
  <c r="F84" i="17"/>
  <c r="E84" i="17"/>
  <c r="D84" i="17"/>
  <c r="C84" i="17"/>
  <c r="BJ83" i="17"/>
  <c r="BI83" i="17"/>
  <c r="BH83" i="17"/>
  <c r="BG83" i="17"/>
  <c r="BF83" i="17"/>
  <c r="BE83" i="17"/>
  <c r="BD83" i="17"/>
  <c r="BC83" i="17"/>
  <c r="BB83" i="17"/>
  <c r="BA83" i="17"/>
  <c r="AZ83" i="17"/>
  <c r="AY83" i="17"/>
  <c r="AX83" i="17"/>
  <c r="AW83" i="17"/>
  <c r="AV83" i="17"/>
  <c r="AU83" i="17"/>
  <c r="AT83" i="17"/>
  <c r="AS83" i="17"/>
  <c r="AR83" i="17"/>
  <c r="AQ83" i="17"/>
  <c r="AP83" i="17"/>
  <c r="AO83" i="17"/>
  <c r="AN83" i="17"/>
  <c r="AM83" i="17"/>
  <c r="AL83" i="17"/>
  <c r="AK83" i="17"/>
  <c r="AJ83" i="17"/>
  <c r="AI83" i="17"/>
  <c r="AH83" i="17"/>
  <c r="AG83" i="17"/>
  <c r="AF83" i="17"/>
  <c r="AE83" i="17"/>
  <c r="AD83" i="17"/>
  <c r="AC83" i="17"/>
  <c r="AB83" i="17"/>
  <c r="AA83" i="17"/>
  <c r="Z83" i="17"/>
  <c r="Y83" i="17"/>
  <c r="X83" i="17"/>
  <c r="W83" i="17"/>
  <c r="V83" i="17"/>
  <c r="U83" i="17"/>
  <c r="T83" i="17"/>
  <c r="S83" i="17"/>
  <c r="R83" i="17"/>
  <c r="Q83" i="17"/>
  <c r="P83" i="17"/>
  <c r="O83" i="17"/>
  <c r="N83" i="17"/>
  <c r="M83" i="17"/>
  <c r="L83" i="17"/>
  <c r="K83" i="17"/>
  <c r="J83" i="17"/>
  <c r="I83" i="17"/>
  <c r="H83" i="17"/>
  <c r="G83" i="17"/>
  <c r="F83" i="17"/>
  <c r="E83" i="17"/>
  <c r="D83" i="17"/>
  <c r="C83" i="17"/>
  <c r="BJ82" i="17"/>
  <c r="BI82" i="17"/>
  <c r="BH82" i="17"/>
  <c r="BG82" i="17"/>
  <c r="BF82" i="17"/>
  <c r="BE82" i="17"/>
  <c r="BD82" i="17"/>
  <c r="BC82" i="17"/>
  <c r="BB82" i="17"/>
  <c r="BA82" i="17"/>
  <c r="AZ82" i="17"/>
  <c r="AY82" i="17"/>
  <c r="AX82" i="17"/>
  <c r="AW82" i="17"/>
  <c r="AV82" i="17"/>
  <c r="AU82" i="17"/>
  <c r="AT82" i="17"/>
  <c r="AS82" i="17"/>
  <c r="AR82" i="17"/>
  <c r="AQ82" i="17"/>
  <c r="AP82" i="17"/>
  <c r="AO82" i="17"/>
  <c r="AN82" i="17"/>
  <c r="AM82" i="17"/>
  <c r="AL82" i="17"/>
  <c r="AK82" i="17"/>
  <c r="AJ82" i="17"/>
  <c r="AI82" i="17"/>
  <c r="AH82" i="17"/>
  <c r="AG82" i="17"/>
  <c r="AF82" i="17"/>
  <c r="AE82" i="17"/>
  <c r="AD82" i="17"/>
  <c r="AC82" i="17"/>
  <c r="AB82" i="17"/>
  <c r="AA82" i="17"/>
  <c r="Z82" i="17"/>
  <c r="Y82" i="17"/>
  <c r="X82" i="17"/>
  <c r="W82" i="17"/>
  <c r="V82" i="17"/>
  <c r="U82" i="17"/>
  <c r="T82" i="17"/>
  <c r="S82" i="17"/>
  <c r="R82" i="17"/>
  <c r="Q82" i="17"/>
  <c r="P82" i="17"/>
  <c r="O82" i="17"/>
  <c r="N82" i="17"/>
  <c r="M82" i="17"/>
  <c r="L82" i="17"/>
  <c r="K82" i="17"/>
  <c r="J82" i="17"/>
  <c r="I82" i="17"/>
  <c r="H82" i="17"/>
  <c r="G82" i="17"/>
  <c r="F82" i="17"/>
  <c r="E82" i="17"/>
  <c r="D82" i="17"/>
  <c r="C82" i="17"/>
  <c r="BJ81" i="17"/>
  <c r="BI81" i="17"/>
  <c r="BH81" i="17"/>
  <c r="BG81" i="17"/>
  <c r="BF81" i="17"/>
  <c r="BE81" i="17"/>
  <c r="BD81" i="17"/>
  <c r="BC81" i="17"/>
  <c r="BB81" i="17"/>
  <c r="BA81" i="17"/>
  <c r="AZ81" i="17"/>
  <c r="AY81" i="17"/>
  <c r="AX81" i="17"/>
  <c r="AW81" i="17"/>
  <c r="AV81" i="17"/>
  <c r="AU81" i="17"/>
  <c r="AT81" i="17"/>
  <c r="AS81" i="17"/>
  <c r="AR81" i="17"/>
  <c r="AQ81" i="17"/>
  <c r="AP81" i="17"/>
  <c r="AO81" i="17"/>
  <c r="AN81" i="17"/>
  <c r="AM81" i="17"/>
  <c r="AL81" i="17"/>
  <c r="AK81" i="17"/>
  <c r="AJ81" i="17"/>
  <c r="AI81" i="17"/>
  <c r="AH81" i="17"/>
  <c r="AG81" i="17"/>
  <c r="AF81" i="17"/>
  <c r="AE81" i="17"/>
  <c r="AD81" i="17"/>
  <c r="AC81" i="17"/>
  <c r="AB81" i="17"/>
  <c r="AA81" i="17"/>
  <c r="Z81" i="17"/>
  <c r="Y81" i="17"/>
  <c r="X81" i="17"/>
  <c r="W81" i="17"/>
  <c r="V81" i="17"/>
  <c r="U81" i="17"/>
  <c r="T81" i="17"/>
  <c r="S81" i="17"/>
  <c r="R81" i="17"/>
  <c r="Q81" i="17"/>
  <c r="P81" i="17"/>
  <c r="O81" i="17"/>
  <c r="N81" i="17"/>
  <c r="M81" i="17"/>
  <c r="L81" i="17"/>
  <c r="K81" i="17"/>
  <c r="J81" i="17"/>
  <c r="I81" i="17"/>
  <c r="H81" i="17"/>
  <c r="G81" i="17"/>
  <c r="F81" i="17"/>
  <c r="E81" i="17"/>
  <c r="D81" i="17"/>
  <c r="C81" i="17"/>
  <c r="BJ80" i="17"/>
  <c r="BI80" i="17"/>
  <c r="BH80" i="17"/>
  <c r="BG80" i="17"/>
  <c r="BF80" i="17"/>
  <c r="BE80" i="17"/>
  <c r="BD80" i="17"/>
  <c r="BC80" i="17"/>
  <c r="BB80" i="17"/>
  <c r="BA80" i="17"/>
  <c r="AZ80" i="17"/>
  <c r="AY80" i="17"/>
  <c r="AX80" i="17"/>
  <c r="AW80" i="17"/>
  <c r="AV80" i="17"/>
  <c r="AU80" i="17"/>
  <c r="AT80" i="17"/>
  <c r="AS80" i="17"/>
  <c r="AR80" i="17"/>
  <c r="AQ80" i="17"/>
  <c r="AP80" i="17"/>
  <c r="AO80" i="17"/>
  <c r="AN80" i="17"/>
  <c r="AM80" i="17"/>
  <c r="AL80" i="17"/>
  <c r="AK80" i="17"/>
  <c r="AJ80" i="17"/>
  <c r="AI80" i="17"/>
  <c r="AH80" i="17"/>
  <c r="AG80" i="17"/>
  <c r="AF80" i="17"/>
  <c r="AE80" i="17"/>
  <c r="AD80" i="17"/>
  <c r="AC80" i="17"/>
  <c r="AB80" i="17"/>
  <c r="AA80" i="17"/>
  <c r="Z80" i="17"/>
  <c r="Y80" i="17"/>
  <c r="X80" i="17"/>
  <c r="W80" i="17"/>
  <c r="V80" i="17"/>
  <c r="U80" i="17"/>
  <c r="T80" i="17"/>
  <c r="S80" i="17"/>
  <c r="R80" i="17"/>
  <c r="Q80" i="17"/>
  <c r="P80" i="17"/>
  <c r="O80" i="17"/>
  <c r="N80" i="17"/>
  <c r="M80" i="17"/>
  <c r="L80" i="17"/>
  <c r="K80" i="17"/>
  <c r="J80" i="17"/>
  <c r="I80" i="17"/>
  <c r="H80" i="17"/>
  <c r="G80" i="17"/>
  <c r="F80" i="17"/>
  <c r="E80" i="17"/>
  <c r="D80" i="17"/>
  <c r="C80" i="17"/>
  <c r="BJ79" i="17"/>
  <c r="BI79" i="17"/>
  <c r="BH79" i="17"/>
  <c r="BG79" i="17"/>
  <c r="BF79" i="17"/>
  <c r="BE79" i="17"/>
  <c r="BD79" i="17"/>
  <c r="BC79" i="17"/>
  <c r="BB79" i="17"/>
  <c r="BA79" i="17"/>
  <c r="AZ79" i="17"/>
  <c r="AY79" i="17"/>
  <c r="AX79" i="17"/>
  <c r="AW79" i="17"/>
  <c r="AV79" i="17"/>
  <c r="AU79" i="17"/>
  <c r="AT79" i="17"/>
  <c r="AS79" i="17"/>
  <c r="AR79" i="17"/>
  <c r="AQ79" i="17"/>
  <c r="AP79" i="17"/>
  <c r="AO79" i="17"/>
  <c r="AN79" i="17"/>
  <c r="AM79" i="17"/>
  <c r="AL79" i="17"/>
  <c r="AK79" i="17"/>
  <c r="AJ79" i="17"/>
  <c r="AI79" i="17"/>
  <c r="AH79" i="17"/>
  <c r="AG79" i="17"/>
  <c r="AF79" i="17"/>
  <c r="AE79" i="17"/>
  <c r="AD79" i="17"/>
  <c r="AC79" i="17"/>
  <c r="AB79" i="17"/>
  <c r="AA79" i="17"/>
  <c r="Z79" i="17"/>
  <c r="Y79" i="17"/>
  <c r="X79" i="17"/>
  <c r="W79" i="17"/>
  <c r="V79" i="17"/>
  <c r="U79" i="17"/>
  <c r="T79" i="17"/>
  <c r="S79" i="17"/>
  <c r="R79" i="17"/>
  <c r="Q79" i="17"/>
  <c r="P79" i="17"/>
  <c r="O79" i="17"/>
  <c r="N79" i="17"/>
  <c r="M79" i="17"/>
  <c r="L79" i="17"/>
  <c r="K79" i="17"/>
  <c r="J79" i="17"/>
  <c r="I79" i="17"/>
  <c r="H79" i="17"/>
  <c r="G79" i="17"/>
  <c r="F79" i="17"/>
  <c r="E79" i="17"/>
  <c r="D79" i="17"/>
  <c r="C79" i="17"/>
  <c r="BJ78" i="17"/>
  <c r="BI78" i="17"/>
  <c r="BH78" i="17"/>
  <c r="BG78" i="17"/>
  <c r="BF78" i="17"/>
  <c r="BE78" i="17"/>
  <c r="BD78" i="17"/>
  <c r="BC78" i="17"/>
  <c r="BB78" i="17"/>
  <c r="BA78" i="17"/>
  <c r="AZ78" i="17"/>
  <c r="AY78" i="17"/>
  <c r="AX78" i="17"/>
  <c r="AW78" i="17"/>
  <c r="AV78" i="17"/>
  <c r="AU78" i="17"/>
  <c r="AT78" i="17"/>
  <c r="AS78" i="17"/>
  <c r="AR78" i="17"/>
  <c r="AQ78" i="17"/>
  <c r="AP78" i="17"/>
  <c r="AO78" i="17"/>
  <c r="AN78" i="17"/>
  <c r="AM78" i="17"/>
  <c r="AL78" i="17"/>
  <c r="AK78" i="17"/>
  <c r="AJ78" i="17"/>
  <c r="AI78" i="17"/>
  <c r="AH78" i="17"/>
  <c r="AG78" i="17"/>
  <c r="AF78" i="17"/>
  <c r="AE78" i="17"/>
  <c r="AD78" i="17"/>
  <c r="AC78" i="17"/>
  <c r="AB78" i="17"/>
  <c r="AA78" i="17"/>
  <c r="Z78" i="17"/>
  <c r="Y78" i="17"/>
  <c r="X78" i="17"/>
  <c r="W78" i="17"/>
  <c r="V78" i="17"/>
  <c r="U78" i="17"/>
  <c r="T78" i="17"/>
  <c r="S78" i="17"/>
  <c r="R78" i="17"/>
  <c r="Q78" i="17"/>
  <c r="P78" i="17"/>
  <c r="O78" i="17"/>
  <c r="N78" i="17"/>
  <c r="M78" i="17"/>
  <c r="L78" i="17"/>
  <c r="K78" i="17"/>
  <c r="J78" i="17"/>
  <c r="I78" i="17"/>
  <c r="H78" i="17"/>
  <c r="G78" i="17"/>
  <c r="F78" i="17"/>
  <c r="E78" i="17"/>
  <c r="D78" i="17"/>
  <c r="C78" i="17"/>
  <c r="BJ77" i="17"/>
  <c r="BI77" i="17"/>
  <c r="BH77" i="17"/>
  <c r="BG77" i="17"/>
  <c r="BF77" i="17"/>
  <c r="BE77" i="17"/>
  <c r="BD77" i="17"/>
  <c r="BC77" i="17"/>
  <c r="BB77" i="17"/>
  <c r="BA77" i="17"/>
  <c r="AZ77" i="17"/>
  <c r="AY77" i="17"/>
  <c r="AX77" i="17"/>
  <c r="AW77" i="17"/>
  <c r="AV77" i="17"/>
  <c r="AU77" i="17"/>
  <c r="AT77" i="17"/>
  <c r="AS77" i="17"/>
  <c r="AR77" i="17"/>
  <c r="AQ77" i="17"/>
  <c r="AP77" i="17"/>
  <c r="AO77" i="17"/>
  <c r="AN77" i="17"/>
  <c r="AM77" i="17"/>
  <c r="AL77" i="17"/>
  <c r="AK77" i="17"/>
  <c r="AJ77" i="17"/>
  <c r="AI77" i="17"/>
  <c r="AH77" i="17"/>
  <c r="AG77" i="17"/>
  <c r="AF77" i="17"/>
  <c r="AE77" i="17"/>
  <c r="AD77" i="17"/>
  <c r="AC77" i="17"/>
  <c r="AB77" i="17"/>
  <c r="AA77" i="17"/>
  <c r="Z77" i="17"/>
  <c r="Y77" i="17"/>
  <c r="X77" i="17"/>
  <c r="W77" i="17"/>
  <c r="V77" i="17"/>
  <c r="U77" i="17"/>
  <c r="T77" i="17"/>
  <c r="S77" i="17"/>
  <c r="R77" i="17"/>
  <c r="Q77" i="17"/>
  <c r="P77" i="17"/>
  <c r="O77" i="17"/>
  <c r="N77" i="17"/>
  <c r="M77" i="17"/>
  <c r="L77" i="17"/>
  <c r="K77" i="17"/>
  <c r="J77" i="17"/>
  <c r="I77" i="17"/>
  <c r="H77" i="17"/>
  <c r="G77" i="17"/>
  <c r="F77" i="17"/>
  <c r="E77" i="17"/>
  <c r="D77" i="17"/>
  <c r="C77" i="17"/>
  <c r="BJ76" i="17"/>
  <c r="BI76" i="17"/>
  <c r="BH76" i="17"/>
  <c r="BG76" i="17"/>
  <c r="BF76" i="17"/>
  <c r="BE76" i="17"/>
  <c r="BD76" i="17"/>
  <c r="BC76" i="17"/>
  <c r="BB76" i="17"/>
  <c r="BA76" i="17"/>
  <c r="AZ76" i="17"/>
  <c r="AY76" i="17"/>
  <c r="AX76" i="17"/>
  <c r="AW76" i="17"/>
  <c r="AV76" i="17"/>
  <c r="AU76" i="17"/>
  <c r="AT76" i="17"/>
  <c r="AS76" i="17"/>
  <c r="AR76" i="17"/>
  <c r="AQ76" i="17"/>
  <c r="AP76" i="17"/>
  <c r="AO76" i="17"/>
  <c r="AN76" i="17"/>
  <c r="AM76" i="17"/>
  <c r="AL76" i="17"/>
  <c r="AK76" i="17"/>
  <c r="AJ76" i="17"/>
  <c r="AI76" i="17"/>
  <c r="AH76" i="17"/>
  <c r="AG76" i="17"/>
  <c r="AF76" i="17"/>
  <c r="AE76" i="17"/>
  <c r="AD76" i="17"/>
  <c r="AC76" i="17"/>
  <c r="AB76" i="17"/>
  <c r="AA76" i="17"/>
  <c r="Z76" i="17"/>
  <c r="Y76" i="17"/>
  <c r="X76" i="17"/>
  <c r="W76" i="17"/>
  <c r="V76" i="17"/>
  <c r="U76" i="17"/>
  <c r="T76" i="17"/>
  <c r="S76" i="17"/>
  <c r="R76" i="17"/>
  <c r="Q76" i="17"/>
  <c r="P76" i="17"/>
  <c r="O76" i="17"/>
  <c r="N76" i="17"/>
  <c r="M76" i="17"/>
  <c r="L76" i="17"/>
  <c r="K76" i="17"/>
  <c r="J76" i="17"/>
  <c r="I76" i="17"/>
  <c r="H76" i="17"/>
  <c r="G76" i="17"/>
  <c r="F76" i="17"/>
  <c r="E76" i="17"/>
  <c r="D76" i="17"/>
  <c r="C76" i="17"/>
  <c r="BJ75" i="17"/>
  <c r="BI75" i="17"/>
  <c r="BH75" i="17"/>
  <c r="BG75" i="17"/>
  <c r="BF75" i="17"/>
  <c r="BE75" i="17"/>
  <c r="BD75" i="17"/>
  <c r="BC75" i="17"/>
  <c r="BB75" i="17"/>
  <c r="BA75" i="17"/>
  <c r="AZ75" i="17"/>
  <c r="AY75" i="17"/>
  <c r="AX75" i="17"/>
  <c r="AW75" i="17"/>
  <c r="AV75" i="17"/>
  <c r="AU75" i="17"/>
  <c r="AT75" i="17"/>
  <c r="AS75" i="17"/>
  <c r="AR75" i="17"/>
  <c r="AQ75" i="17"/>
  <c r="AP75" i="17"/>
  <c r="AO75" i="17"/>
  <c r="AN75" i="17"/>
  <c r="AM75" i="17"/>
  <c r="AL75" i="17"/>
  <c r="AK75" i="17"/>
  <c r="AJ75" i="17"/>
  <c r="AI75" i="17"/>
  <c r="AH75" i="17"/>
  <c r="AG75" i="17"/>
  <c r="AF75" i="17"/>
  <c r="AE75" i="17"/>
  <c r="AD75" i="17"/>
  <c r="AC75" i="17"/>
  <c r="AB75" i="17"/>
  <c r="AA75" i="17"/>
  <c r="Z75" i="17"/>
  <c r="Y75" i="17"/>
  <c r="X75" i="17"/>
  <c r="W75" i="17"/>
  <c r="V75" i="17"/>
  <c r="U75" i="17"/>
  <c r="T75" i="17"/>
  <c r="S75" i="17"/>
  <c r="R75" i="17"/>
  <c r="Q75" i="17"/>
  <c r="P75" i="17"/>
  <c r="O75" i="17"/>
  <c r="N75" i="17"/>
  <c r="M75" i="17"/>
  <c r="L75" i="17"/>
  <c r="K75" i="17"/>
  <c r="J75" i="17"/>
  <c r="I75" i="17"/>
  <c r="H75" i="17"/>
  <c r="G75" i="17"/>
  <c r="F75" i="17"/>
  <c r="E75" i="17"/>
  <c r="D75" i="17"/>
  <c r="C75" i="17"/>
  <c r="BJ74" i="17"/>
  <c r="BI74" i="17"/>
  <c r="BH74" i="17"/>
  <c r="BG74" i="17"/>
  <c r="BF74" i="17"/>
  <c r="BE74" i="17"/>
  <c r="BD74" i="17"/>
  <c r="BC74" i="17"/>
  <c r="BB74" i="17"/>
  <c r="BA74" i="17"/>
  <c r="AZ74" i="17"/>
  <c r="AY74" i="17"/>
  <c r="AX74" i="17"/>
  <c r="AW74" i="17"/>
  <c r="AV74" i="17"/>
  <c r="AU74" i="17"/>
  <c r="AT74" i="17"/>
  <c r="AS74" i="17"/>
  <c r="AR74" i="17"/>
  <c r="AQ74" i="17"/>
  <c r="AP74" i="17"/>
  <c r="AO74" i="17"/>
  <c r="AN74" i="17"/>
  <c r="AM74" i="17"/>
  <c r="AL74" i="17"/>
  <c r="AK74" i="17"/>
  <c r="AJ74" i="17"/>
  <c r="AI74" i="17"/>
  <c r="AH74" i="17"/>
  <c r="AG74" i="17"/>
  <c r="AF74" i="17"/>
  <c r="AE74" i="17"/>
  <c r="AD74" i="17"/>
  <c r="AC74" i="17"/>
  <c r="AB74" i="17"/>
  <c r="AA74" i="17"/>
  <c r="Z74" i="17"/>
  <c r="Y74" i="17"/>
  <c r="X74" i="17"/>
  <c r="W74" i="17"/>
  <c r="V74" i="17"/>
  <c r="U74" i="17"/>
  <c r="T74" i="17"/>
  <c r="S74" i="17"/>
  <c r="R74" i="17"/>
  <c r="Q74" i="17"/>
  <c r="P74" i="17"/>
  <c r="O74" i="17"/>
  <c r="N74" i="17"/>
  <c r="M74" i="17"/>
  <c r="L74" i="17"/>
  <c r="K74" i="17"/>
  <c r="J74" i="17"/>
  <c r="I74" i="17"/>
  <c r="H74" i="17"/>
  <c r="G74" i="17"/>
  <c r="F74" i="17"/>
  <c r="E74" i="17"/>
  <c r="D74" i="17"/>
  <c r="C74" i="17"/>
  <c r="BJ73" i="17"/>
  <c r="BI73" i="17"/>
  <c r="BH73" i="17"/>
  <c r="BG73" i="17"/>
  <c r="BF73" i="17"/>
  <c r="BE73" i="17"/>
  <c r="BD73" i="17"/>
  <c r="BC73" i="17"/>
  <c r="BB73" i="17"/>
  <c r="BA73" i="17"/>
  <c r="AZ73" i="17"/>
  <c r="AY73" i="17"/>
  <c r="AX73" i="17"/>
  <c r="AW73" i="17"/>
  <c r="AV73" i="17"/>
  <c r="AU73" i="17"/>
  <c r="AT73" i="17"/>
  <c r="AS73" i="17"/>
  <c r="AR73" i="17"/>
  <c r="AQ73" i="17"/>
  <c r="AP73" i="17"/>
  <c r="AO73" i="17"/>
  <c r="AN73" i="17"/>
  <c r="AM73" i="17"/>
  <c r="AL73" i="17"/>
  <c r="AK73" i="17"/>
  <c r="AJ73" i="17"/>
  <c r="AI73" i="17"/>
  <c r="AH73" i="17"/>
  <c r="AG73" i="17"/>
  <c r="AF73" i="17"/>
  <c r="AE73" i="17"/>
  <c r="AD73" i="17"/>
  <c r="AC73" i="17"/>
  <c r="AB73" i="17"/>
  <c r="AA73" i="17"/>
  <c r="Z73" i="17"/>
  <c r="Y73" i="17"/>
  <c r="X73" i="17"/>
  <c r="W73" i="17"/>
  <c r="V73" i="17"/>
  <c r="U73" i="17"/>
  <c r="T73" i="17"/>
  <c r="S73" i="17"/>
  <c r="R73" i="17"/>
  <c r="Q73" i="17"/>
  <c r="P73" i="17"/>
  <c r="O73" i="17"/>
  <c r="N73" i="17"/>
  <c r="M73" i="17"/>
  <c r="L73" i="17"/>
  <c r="K73" i="17"/>
  <c r="J73" i="17"/>
  <c r="I73" i="17"/>
  <c r="H73" i="17"/>
  <c r="G73" i="17"/>
  <c r="F73" i="17"/>
  <c r="E73" i="17"/>
  <c r="D73" i="17"/>
  <c r="C73" i="17"/>
  <c r="BJ72" i="17"/>
  <c r="BI72" i="17"/>
  <c r="BH72" i="17"/>
  <c r="BG72" i="17"/>
  <c r="BF72" i="17"/>
  <c r="BE72" i="17"/>
  <c r="BD72" i="17"/>
  <c r="BC72" i="17"/>
  <c r="BB72" i="17"/>
  <c r="BA72" i="17"/>
  <c r="AZ72" i="17"/>
  <c r="AY72" i="17"/>
  <c r="AX72" i="17"/>
  <c r="AW72" i="17"/>
  <c r="AV72" i="17"/>
  <c r="AU72" i="17"/>
  <c r="AT72" i="17"/>
  <c r="AS72" i="17"/>
  <c r="AR72" i="17"/>
  <c r="AQ72" i="17"/>
  <c r="AP72" i="17"/>
  <c r="AO72" i="17"/>
  <c r="AN72" i="17"/>
  <c r="AM72" i="17"/>
  <c r="AL72" i="17"/>
  <c r="AK72" i="17"/>
  <c r="AJ72" i="17"/>
  <c r="AI72" i="17"/>
  <c r="AH72" i="17"/>
  <c r="AG72" i="17"/>
  <c r="AF72" i="17"/>
  <c r="AE72" i="17"/>
  <c r="AD72" i="17"/>
  <c r="AC72" i="17"/>
  <c r="AB72" i="17"/>
  <c r="AA72" i="17"/>
  <c r="Z72" i="17"/>
  <c r="Y72" i="17"/>
  <c r="X72" i="17"/>
  <c r="W72" i="17"/>
  <c r="V72" i="17"/>
  <c r="U72" i="17"/>
  <c r="T72" i="17"/>
  <c r="S72" i="17"/>
  <c r="R72" i="17"/>
  <c r="Q72" i="17"/>
  <c r="P72" i="17"/>
  <c r="O72" i="17"/>
  <c r="N72" i="17"/>
  <c r="M72" i="17"/>
  <c r="L72" i="17"/>
  <c r="K72" i="17"/>
  <c r="J72" i="17"/>
  <c r="I72" i="17"/>
  <c r="H72" i="17"/>
  <c r="G72" i="17"/>
  <c r="F72" i="17"/>
  <c r="E72" i="17"/>
  <c r="D72" i="17"/>
  <c r="C72" i="17"/>
  <c r="BJ71" i="17"/>
  <c r="BI71" i="17"/>
  <c r="BH71" i="17"/>
  <c r="BG71" i="17"/>
  <c r="BF71" i="17"/>
  <c r="BE71" i="17"/>
  <c r="BD71" i="17"/>
  <c r="BC71" i="17"/>
  <c r="BB71" i="17"/>
  <c r="BA71" i="17"/>
  <c r="AZ71" i="17"/>
  <c r="AY71" i="17"/>
  <c r="AX71" i="17"/>
  <c r="AW71" i="17"/>
  <c r="AV71" i="17"/>
  <c r="AU71" i="17"/>
  <c r="AT71" i="17"/>
  <c r="AS71" i="17"/>
  <c r="AR71" i="17"/>
  <c r="AQ71" i="17"/>
  <c r="AP71" i="17"/>
  <c r="AO71" i="17"/>
  <c r="AN71" i="17"/>
  <c r="AM71" i="17"/>
  <c r="AL71" i="17"/>
  <c r="AK71" i="17"/>
  <c r="AJ71" i="17"/>
  <c r="AI71" i="17"/>
  <c r="AH71" i="17"/>
  <c r="AG71" i="17"/>
  <c r="AF71" i="17"/>
  <c r="AE71" i="17"/>
  <c r="AD71" i="17"/>
  <c r="AC71" i="17"/>
  <c r="AB71" i="17"/>
  <c r="AA71" i="17"/>
  <c r="Z71" i="17"/>
  <c r="Y71" i="17"/>
  <c r="X71" i="17"/>
  <c r="W71" i="17"/>
  <c r="V71" i="17"/>
  <c r="U71" i="17"/>
  <c r="T71" i="17"/>
  <c r="S71" i="17"/>
  <c r="R71" i="17"/>
  <c r="Q71" i="17"/>
  <c r="P71" i="17"/>
  <c r="O71" i="17"/>
  <c r="N71" i="17"/>
  <c r="M71" i="17"/>
  <c r="L71" i="17"/>
  <c r="K71" i="17"/>
  <c r="J71" i="17"/>
  <c r="I71" i="17"/>
  <c r="H71" i="17"/>
  <c r="G71" i="17"/>
  <c r="F71" i="17"/>
  <c r="E71" i="17"/>
  <c r="D71" i="17"/>
  <c r="C71" i="17"/>
  <c r="BJ70" i="17"/>
  <c r="BI70" i="17"/>
  <c r="BH70" i="17"/>
  <c r="BG70" i="17"/>
  <c r="BF70" i="17"/>
  <c r="BE70" i="17"/>
  <c r="BD70" i="17"/>
  <c r="BC70" i="17"/>
  <c r="BB70" i="17"/>
  <c r="BA70" i="17"/>
  <c r="AZ70" i="17"/>
  <c r="AY70" i="17"/>
  <c r="AX70" i="17"/>
  <c r="AW70" i="17"/>
  <c r="AV70" i="17"/>
  <c r="AU70" i="17"/>
  <c r="AT70" i="17"/>
  <c r="AS70" i="17"/>
  <c r="AR70" i="17"/>
  <c r="AQ70" i="17"/>
  <c r="AP70" i="17"/>
  <c r="AO70" i="17"/>
  <c r="AN70" i="17"/>
  <c r="AM70" i="17"/>
  <c r="AL70" i="17"/>
  <c r="AK70" i="17"/>
  <c r="AJ70" i="17"/>
  <c r="AI70" i="17"/>
  <c r="AH70" i="17"/>
  <c r="AG70" i="17"/>
  <c r="AF70" i="17"/>
  <c r="AE70" i="17"/>
  <c r="AD70" i="17"/>
  <c r="AC70" i="17"/>
  <c r="AB70" i="17"/>
  <c r="AA70" i="17"/>
  <c r="Z70" i="17"/>
  <c r="Y70" i="17"/>
  <c r="X70" i="17"/>
  <c r="W70" i="17"/>
  <c r="V70" i="17"/>
  <c r="U70" i="17"/>
  <c r="T70" i="17"/>
  <c r="S70" i="17"/>
  <c r="R70" i="17"/>
  <c r="Q70" i="17"/>
  <c r="P70" i="17"/>
  <c r="O70" i="17"/>
  <c r="N70" i="17"/>
  <c r="M70" i="17"/>
  <c r="L70" i="17"/>
  <c r="K70" i="17"/>
  <c r="J70" i="17"/>
  <c r="I70" i="17"/>
  <c r="H70" i="17"/>
  <c r="G70" i="17"/>
  <c r="F70" i="17"/>
  <c r="E70" i="17"/>
  <c r="D70" i="17"/>
  <c r="C70" i="17"/>
  <c r="BJ69" i="17"/>
  <c r="BI69" i="17"/>
  <c r="BH69" i="17"/>
  <c r="BG69" i="17"/>
  <c r="BF69" i="17"/>
  <c r="BE69" i="17"/>
  <c r="BD69" i="17"/>
  <c r="BC69" i="17"/>
  <c r="BB69" i="17"/>
  <c r="BA69" i="17"/>
  <c r="AZ69" i="17"/>
  <c r="AY69" i="17"/>
  <c r="AX69" i="17"/>
  <c r="AW69" i="17"/>
  <c r="AV69" i="17"/>
  <c r="AU69" i="17"/>
  <c r="AT69" i="17"/>
  <c r="AS69" i="17"/>
  <c r="AR69" i="17"/>
  <c r="AQ69" i="17"/>
  <c r="AP69" i="17"/>
  <c r="AO69" i="17"/>
  <c r="AN69" i="17"/>
  <c r="AM69" i="17"/>
  <c r="AL69" i="17"/>
  <c r="AK69" i="17"/>
  <c r="AJ69" i="17"/>
  <c r="AI69" i="17"/>
  <c r="AH69" i="17"/>
  <c r="AG69" i="17"/>
  <c r="AF69" i="17"/>
  <c r="AE69" i="17"/>
  <c r="AD69" i="17"/>
  <c r="AC69" i="17"/>
  <c r="AB69" i="17"/>
  <c r="AA69" i="17"/>
  <c r="Z69" i="17"/>
  <c r="Y69" i="17"/>
  <c r="X69" i="17"/>
  <c r="W69" i="17"/>
  <c r="V69" i="17"/>
  <c r="U69" i="17"/>
  <c r="T69" i="17"/>
  <c r="S69" i="17"/>
  <c r="R69" i="17"/>
  <c r="Q69" i="17"/>
  <c r="P69" i="17"/>
  <c r="O69" i="17"/>
  <c r="N69" i="17"/>
  <c r="M69" i="17"/>
  <c r="L69" i="17"/>
  <c r="K69" i="17"/>
  <c r="J69" i="17"/>
  <c r="I69" i="17"/>
  <c r="H69" i="17"/>
  <c r="G69" i="17"/>
  <c r="F69" i="17"/>
  <c r="E69" i="17"/>
  <c r="D69" i="17"/>
  <c r="C69" i="17"/>
  <c r="BJ68" i="17"/>
  <c r="BI68" i="17"/>
  <c r="BH68" i="17"/>
  <c r="BG68" i="17"/>
  <c r="BF68" i="17"/>
  <c r="BE68" i="17"/>
  <c r="BD68" i="17"/>
  <c r="BC68" i="17"/>
  <c r="BB68" i="17"/>
  <c r="BA68" i="17"/>
  <c r="AZ68" i="17"/>
  <c r="AY68" i="17"/>
  <c r="AX68" i="17"/>
  <c r="AW68" i="17"/>
  <c r="AV68" i="17"/>
  <c r="AU68" i="17"/>
  <c r="AT68" i="17"/>
  <c r="AS68" i="17"/>
  <c r="AR68" i="17"/>
  <c r="AQ68" i="17"/>
  <c r="AP68" i="17"/>
  <c r="AO68" i="17"/>
  <c r="AN68" i="17"/>
  <c r="AM68" i="17"/>
  <c r="AL68" i="17"/>
  <c r="AK68" i="17"/>
  <c r="AJ68" i="17"/>
  <c r="AI68" i="17"/>
  <c r="AH68" i="17"/>
  <c r="AG68" i="17"/>
  <c r="AF68" i="17"/>
  <c r="AE68" i="17"/>
  <c r="AD68" i="17"/>
  <c r="AC68" i="17"/>
  <c r="AB68" i="17"/>
  <c r="AA68" i="17"/>
  <c r="Z68" i="17"/>
  <c r="Y68" i="17"/>
  <c r="X68" i="17"/>
  <c r="W68" i="17"/>
  <c r="V68" i="17"/>
  <c r="U68" i="17"/>
  <c r="T68" i="17"/>
  <c r="S68" i="17"/>
  <c r="R68" i="17"/>
  <c r="Q68" i="17"/>
  <c r="P68" i="17"/>
  <c r="O68" i="17"/>
  <c r="N68" i="17"/>
  <c r="M68" i="17"/>
  <c r="L68" i="17"/>
  <c r="K68" i="17"/>
  <c r="J68" i="17"/>
  <c r="I68" i="17"/>
  <c r="H68" i="17"/>
  <c r="G68" i="17"/>
  <c r="F68" i="17"/>
  <c r="E68" i="17"/>
  <c r="D68" i="17"/>
  <c r="C68" i="17"/>
  <c r="BJ67" i="17"/>
  <c r="BI67" i="17"/>
  <c r="BH67" i="17"/>
  <c r="BG67" i="17"/>
  <c r="BF67" i="17"/>
  <c r="BE67" i="17"/>
  <c r="BD67" i="17"/>
  <c r="BC67" i="17"/>
  <c r="BB67" i="17"/>
  <c r="BA67" i="17"/>
  <c r="AZ67" i="17"/>
  <c r="AY67" i="17"/>
  <c r="AX67" i="17"/>
  <c r="AW67" i="17"/>
  <c r="AV67" i="17"/>
  <c r="AU67" i="17"/>
  <c r="AT67" i="17"/>
  <c r="AS67" i="17"/>
  <c r="AR67" i="17"/>
  <c r="AQ67" i="17"/>
  <c r="AP67" i="17"/>
  <c r="AO67" i="17"/>
  <c r="AN67" i="17"/>
  <c r="AM67" i="17"/>
  <c r="AL67" i="17"/>
  <c r="AK67" i="17"/>
  <c r="AJ67" i="17"/>
  <c r="AI67" i="17"/>
  <c r="AH67" i="17"/>
  <c r="AG67" i="17"/>
  <c r="AF67" i="17"/>
  <c r="AE67" i="17"/>
  <c r="AD67" i="17"/>
  <c r="AC67" i="17"/>
  <c r="AB67" i="17"/>
  <c r="AA67" i="17"/>
  <c r="Z67" i="17"/>
  <c r="Y67" i="17"/>
  <c r="X67" i="17"/>
  <c r="W67" i="17"/>
  <c r="V67" i="17"/>
  <c r="U67" i="17"/>
  <c r="T67" i="17"/>
  <c r="S67" i="17"/>
  <c r="R67" i="17"/>
  <c r="Q67" i="17"/>
  <c r="P67" i="17"/>
  <c r="O67" i="17"/>
  <c r="N67" i="17"/>
  <c r="M67" i="17"/>
  <c r="L67" i="17"/>
  <c r="K67" i="17"/>
  <c r="J67" i="17"/>
  <c r="I67" i="17"/>
  <c r="H67" i="17"/>
  <c r="G67" i="17"/>
  <c r="F67" i="17"/>
  <c r="E67" i="17"/>
  <c r="D67" i="17"/>
  <c r="C67" i="17"/>
  <c r="BJ66" i="17"/>
  <c r="BI66" i="17"/>
  <c r="BH66" i="17"/>
  <c r="BG66" i="17"/>
  <c r="BF66" i="17"/>
  <c r="BE66" i="17"/>
  <c r="BD66" i="17"/>
  <c r="BC66" i="17"/>
  <c r="BB66" i="17"/>
  <c r="BA66" i="17"/>
  <c r="AZ66" i="17"/>
  <c r="AY66" i="17"/>
  <c r="AX66" i="17"/>
  <c r="AW66" i="17"/>
  <c r="AV66" i="17"/>
  <c r="AU66" i="17"/>
  <c r="AT66" i="17"/>
  <c r="AS66" i="17"/>
  <c r="AR66" i="17"/>
  <c r="AQ66" i="17"/>
  <c r="AP66" i="17"/>
  <c r="AO66" i="17"/>
  <c r="AN66" i="17"/>
  <c r="AM66" i="17"/>
  <c r="AL66" i="17"/>
  <c r="AK66" i="17"/>
  <c r="AJ66" i="17"/>
  <c r="AI66" i="17"/>
  <c r="AH66" i="17"/>
  <c r="AG66" i="17"/>
  <c r="AF66" i="17"/>
  <c r="AE66" i="17"/>
  <c r="AD66" i="17"/>
  <c r="AC66" i="17"/>
  <c r="AB66" i="17"/>
  <c r="AA66" i="17"/>
  <c r="Z66" i="17"/>
  <c r="Y66" i="17"/>
  <c r="X66" i="17"/>
  <c r="W66" i="17"/>
  <c r="V66" i="17"/>
  <c r="U66" i="17"/>
  <c r="T66" i="17"/>
  <c r="S66" i="17"/>
  <c r="R66" i="17"/>
  <c r="Q66" i="17"/>
  <c r="P66" i="17"/>
  <c r="O66" i="17"/>
  <c r="N66" i="17"/>
  <c r="M66" i="17"/>
  <c r="L66" i="17"/>
  <c r="K66" i="17"/>
  <c r="J66" i="17"/>
  <c r="I66" i="17"/>
  <c r="H66" i="17"/>
  <c r="G66" i="17"/>
  <c r="F66" i="17"/>
  <c r="E66" i="17"/>
  <c r="D66" i="17"/>
  <c r="C66" i="17"/>
  <c r="BJ65" i="17"/>
  <c r="BI65" i="17"/>
  <c r="BH65" i="17"/>
  <c r="BG65" i="17"/>
  <c r="BF65" i="17"/>
  <c r="BE65" i="17"/>
  <c r="BD65" i="17"/>
  <c r="BC65" i="17"/>
  <c r="BB65" i="17"/>
  <c r="BA65" i="17"/>
  <c r="AZ65" i="17"/>
  <c r="AY65" i="17"/>
  <c r="AX65" i="17"/>
  <c r="AW65" i="17"/>
  <c r="AV65" i="17"/>
  <c r="AU65" i="17"/>
  <c r="AT65" i="17"/>
  <c r="AS65" i="17"/>
  <c r="AR65" i="17"/>
  <c r="AQ65" i="17"/>
  <c r="AP65" i="17"/>
  <c r="AO65" i="17"/>
  <c r="AN65" i="17"/>
  <c r="AM65" i="17"/>
  <c r="AL65" i="17"/>
  <c r="AK65" i="17"/>
  <c r="AJ65" i="17"/>
  <c r="AI65" i="17"/>
  <c r="AH65" i="17"/>
  <c r="AG65" i="17"/>
  <c r="AF65" i="17"/>
  <c r="AE65" i="17"/>
  <c r="AD65" i="17"/>
  <c r="AC65" i="17"/>
  <c r="AB65" i="17"/>
  <c r="AA65" i="17"/>
  <c r="Z65" i="17"/>
  <c r="Y65" i="17"/>
  <c r="X65" i="17"/>
  <c r="W65" i="17"/>
  <c r="V65" i="17"/>
  <c r="U65" i="17"/>
  <c r="T65" i="17"/>
  <c r="S65" i="17"/>
  <c r="R65" i="17"/>
  <c r="Q65" i="17"/>
  <c r="P65" i="17"/>
  <c r="O65" i="17"/>
  <c r="N65" i="17"/>
  <c r="M65" i="17"/>
  <c r="L65" i="17"/>
  <c r="K65" i="17"/>
  <c r="J65" i="17"/>
  <c r="I65" i="17"/>
  <c r="H65" i="17"/>
  <c r="G65" i="17"/>
  <c r="F65" i="17"/>
  <c r="E65" i="17"/>
  <c r="D65" i="17"/>
  <c r="C65" i="17"/>
  <c r="BJ64" i="17"/>
  <c r="BI64" i="17"/>
  <c r="BH64" i="17"/>
  <c r="BG64" i="17"/>
  <c r="BF64" i="17"/>
  <c r="BE64" i="17"/>
  <c r="BD64" i="17"/>
  <c r="BC64" i="17"/>
  <c r="BB64" i="17"/>
  <c r="BA64" i="17"/>
  <c r="AZ64" i="17"/>
  <c r="AY64" i="17"/>
  <c r="AX64" i="17"/>
  <c r="AW64" i="17"/>
  <c r="AV64" i="17"/>
  <c r="AU64" i="17"/>
  <c r="AT64" i="17"/>
  <c r="AS64" i="17"/>
  <c r="AR64" i="17"/>
  <c r="AQ64" i="17"/>
  <c r="AP64" i="17"/>
  <c r="AO64" i="17"/>
  <c r="AN64" i="17"/>
  <c r="AM64" i="17"/>
  <c r="AL64" i="17"/>
  <c r="AK64" i="17"/>
  <c r="AJ64" i="17"/>
  <c r="AI64" i="17"/>
  <c r="AH64" i="17"/>
  <c r="AG64" i="17"/>
  <c r="AF64" i="17"/>
  <c r="AE64" i="17"/>
  <c r="AD64" i="17"/>
  <c r="AC64" i="17"/>
  <c r="AB64" i="17"/>
  <c r="AA64" i="17"/>
  <c r="Z64" i="17"/>
  <c r="Y64" i="17"/>
  <c r="X64" i="17"/>
  <c r="W64" i="17"/>
  <c r="V64" i="17"/>
  <c r="U64" i="17"/>
  <c r="T64" i="17"/>
  <c r="S64" i="17"/>
  <c r="R64" i="17"/>
  <c r="Q64" i="17"/>
  <c r="P64" i="17"/>
  <c r="O64" i="17"/>
  <c r="N64" i="17"/>
  <c r="M64" i="17"/>
  <c r="L64" i="17"/>
  <c r="K64" i="17"/>
  <c r="J64" i="17"/>
  <c r="I64" i="17"/>
  <c r="H64" i="17"/>
  <c r="G64" i="17"/>
  <c r="F64" i="17"/>
  <c r="E64" i="17"/>
  <c r="D64" i="17"/>
  <c r="C64" i="17"/>
  <c r="BJ63" i="17"/>
  <c r="BI63" i="17"/>
  <c r="BH63" i="17"/>
  <c r="BG63" i="17"/>
  <c r="BF63" i="17"/>
  <c r="BE63" i="17"/>
  <c r="BD63" i="17"/>
  <c r="BC63" i="17"/>
  <c r="BB63" i="17"/>
  <c r="BA63" i="17"/>
  <c r="AZ63" i="17"/>
  <c r="AY63" i="17"/>
  <c r="AX63" i="17"/>
  <c r="AW63" i="17"/>
  <c r="AV63" i="17"/>
  <c r="AU63" i="17"/>
  <c r="AT63" i="17"/>
  <c r="AS63" i="17"/>
  <c r="AR63" i="17"/>
  <c r="AQ63" i="17"/>
  <c r="AP63" i="17"/>
  <c r="AO63" i="17"/>
  <c r="AN63" i="17"/>
  <c r="AM63" i="17"/>
  <c r="AL63" i="17"/>
  <c r="AK63" i="17"/>
  <c r="AJ63" i="17"/>
  <c r="AI63" i="17"/>
  <c r="AH63" i="17"/>
  <c r="AG63" i="17"/>
  <c r="AF63" i="17"/>
  <c r="AE63" i="17"/>
  <c r="AD63" i="17"/>
  <c r="AC63" i="17"/>
  <c r="AB63" i="17"/>
  <c r="AA63" i="17"/>
  <c r="Z63" i="17"/>
  <c r="Y63" i="17"/>
  <c r="X63" i="17"/>
  <c r="W63" i="17"/>
  <c r="V63" i="17"/>
  <c r="U63" i="17"/>
  <c r="T63" i="17"/>
  <c r="S63" i="17"/>
  <c r="R63" i="17"/>
  <c r="Q63" i="17"/>
  <c r="P63" i="17"/>
  <c r="O63" i="17"/>
  <c r="N63" i="17"/>
  <c r="M63" i="17"/>
  <c r="L63" i="17"/>
  <c r="K63" i="17"/>
  <c r="J63" i="17"/>
  <c r="I63" i="17"/>
  <c r="H63" i="17"/>
  <c r="G63" i="17"/>
  <c r="F63" i="17"/>
  <c r="E63" i="17"/>
  <c r="D63" i="17"/>
  <c r="C63" i="17"/>
  <c r="BJ62" i="17"/>
  <c r="BI62" i="17"/>
  <c r="BH62" i="17"/>
  <c r="BG62" i="17"/>
  <c r="BF62" i="17"/>
  <c r="BE62" i="17"/>
  <c r="BD62" i="17"/>
  <c r="BC62" i="17"/>
  <c r="BB62" i="17"/>
  <c r="BA62" i="17"/>
  <c r="AZ62" i="17"/>
  <c r="AY62" i="17"/>
  <c r="AX62" i="17"/>
  <c r="AW62" i="17"/>
  <c r="AV62" i="17"/>
  <c r="AU62" i="17"/>
  <c r="AT62" i="17"/>
  <c r="AS62" i="17"/>
  <c r="AR62" i="17"/>
  <c r="AQ62" i="17"/>
  <c r="AP62" i="17"/>
  <c r="AO62" i="17"/>
  <c r="AN62" i="17"/>
  <c r="AM62" i="17"/>
  <c r="AL62" i="17"/>
  <c r="AK62" i="17"/>
  <c r="AJ62" i="17"/>
  <c r="AI62" i="17"/>
  <c r="AH62" i="17"/>
  <c r="AG62" i="17"/>
  <c r="AF62" i="17"/>
  <c r="AE62" i="17"/>
  <c r="AD62" i="17"/>
  <c r="AC62" i="17"/>
  <c r="AB62" i="17"/>
  <c r="AA62" i="17"/>
  <c r="Z62" i="17"/>
  <c r="Y62" i="17"/>
  <c r="X62" i="17"/>
  <c r="W62" i="17"/>
  <c r="V62" i="17"/>
  <c r="U62" i="17"/>
  <c r="T62" i="17"/>
  <c r="S62" i="17"/>
  <c r="R62" i="17"/>
  <c r="Q62" i="17"/>
  <c r="P62" i="17"/>
  <c r="O62" i="17"/>
  <c r="N62" i="17"/>
  <c r="M62" i="17"/>
  <c r="L62" i="17"/>
  <c r="K62" i="17"/>
  <c r="J62" i="17"/>
  <c r="I62" i="17"/>
  <c r="H62" i="17"/>
  <c r="G62" i="17"/>
  <c r="F62" i="17"/>
  <c r="E62" i="17"/>
  <c r="D62" i="17"/>
  <c r="C62" i="17"/>
  <c r="BJ61" i="17"/>
  <c r="BI61" i="17"/>
  <c r="BH61" i="17"/>
  <c r="BG61" i="17"/>
  <c r="BF61" i="17"/>
  <c r="BE61" i="17"/>
  <c r="BD61" i="17"/>
  <c r="BC61" i="17"/>
  <c r="BB61" i="17"/>
  <c r="BA61" i="17"/>
  <c r="AZ61" i="17"/>
  <c r="AY61" i="17"/>
  <c r="AX61" i="17"/>
  <c r="AW61" i="17"/>
  <c r="AV61" i="17"/>
  <c r="AU61" i="17"/>
  <c r="AT61" i="17"/>
  <c r="AS61" i="17"/>
  <c r="AR61" i="17"/>
  <c r="AQ61" i="17"/>
  <c r="AP61" i="17"/>
  <c r="AO61" i="17"/>
  <c r="AN61" i="17"/>
  <c r="AM61" i="17"/>
  <c r="AL61" i="17"/>
  <c r="AK61" i="17"/>
  <c r="AJ61" i="17"/>
  <c r="AI61" i="17"/>
  <c r="AH61" i="17"/>
  <c r="AG61" i="17"/>
  <c r="AF61" i="17"/>
  <c r="AE61" i="17"/>
  <c r="AD61" i="17"/>
  <c r="AC61" i="17"/>
  <c r="AB61" i="17"/>
  <c r="AA61" i="17"/>
  <c r="Z61" i="17"/>
  <c r="Y61" i="17"/>
  <c r="X61" i="17"/>
  <c r="W61" i="17"/>
  <c r="V61" i="17"/>
  <c r="U61" i="17"/>
  <c r="T61" i="17"/>
  <c r="S61" i="17"/>
  <c r="R61" i="17"/>
  <c r="Q61" i="17"/>
  <c r="P61" i="17"/>
  <c r="O61" i="17"/>
  <c r="N61" i="17"/>
  <c r="M61" i="17"/>
  <c r="L61" i="17"/>
  <c r="K61" i="17"/>
  <c r="J61" i="17"/>
  <c r="I61" i="17"/>
  <c r="H61" i="17"/>
  <c r="G61" i="17"/>
  <c r="F61" i="17"/>
  <c r="E61" i="17"/>
  <c r="D61" i="17"/>
  <c r="C61" i="17"/>
  <c r="BJ60" i="17"/>
  <c r="BI60" i="17"/>
  <c r="BH60" i="17"/>
  <c r="BG60" i="17"/>
  <c r="BF60" i="17"/>
  <c r="BE60" i="17"/>
  <c r="BD60" i="17"/>
  <c r="BC60" i="17"/>
  <c r="BB60" i="17"/>
  <c r="BA60" i="17"/>
  <c r="AZ60" i="17"/>
  <c r="AY60" i="17"/>
  <c r="AX60" i="17"/>
  <c r="AW60" i="17"/>
  <c r="AV60" i="17"/>
  <c r="AU60" i="17"/>
  <c r="AT60" i="17"/>
  <c r="AS60" i="17"/>
  <c r="AR60" i="17"/>
  <c r="AQ60" i="17"/>
  <c r="AP60" i="17"/>
  <c r="AO60" i="17"/>
  <c r="AN60" i="17"/>
  <c r="AM60" i="17"/>
  <c r="AL60" i="17"/>
  <c r="AK60" i="17"/>
  <c r="AJ60" i="17"/>
  <c r="AI60" i="17"/>
  <c r="AH60" i="17"/>
  <c r="AG60" i="17"/>
  <c r="AF60" i="17"/>
  <c r="AE60" i="17"/>
  <c r="AD60" i="17"/>
  <c r="AC60" i="17"/>
  <c r="AB60" i="17"/>
  <c r="AA60" i="17"/>
  <c r="Z60" i="17"/>
  <c r="Y60" i="17"/>
  <c r="X60" i="17"/>
  <c r="W60" i="17"/>
  <c r="V60" i="17"/>
  <c r="U60" i="17"/>
  <c r="T60" i="17"/>
  <c r="S60" i="17"/>
  <c r="R60" i="17"/>
  <c r="Q60" i="17"/>
  <c r="P60" i="17"/>
  <c r="O60" i="17"/>
  <c r="N60" i="17"/>
  <c r="M60" i="17"/>
  <c r="L60" i="17"/>
  <c r="K60" i="17"/>
  <c r="J60" i="17"/>
  <c r="I60" i="17"/>
  <c r="H60" i="17"/>
  <c r="G60" i="17"/>
  <c r="F60" i="17"/>
  <c r="E60" i="17"/>
  <c r="D60" i="17"/>
  <c r="C60" i="17"/>
  <c r="BJ59" i="17"/>
  <c r="BI59" i="17"/>
  <c r="BH59" i="17"/>
  <c r="BG59" i="17"/>
  <c r="BF59" i="17"/>
  <c r="BE59" i="17"/>
  <c r="BD59" i="17"/>
  <c r="BC59" i="17"/>
  <c r="BB59" i="17"/>
  <c r="BA59" i="17"/>
  <c r="AZ59" i="17"/>
  <c r="AY59" i="17"/>
  <c r="AX59" i="17"/>
  <c r="AW59" i="17"/>
  <c r="AV59" i="17"/>
  <c r="AU59" i="17"/>
  <c r="AT59" i="17"/>
  <c r="AS59" i="17"/>
  <c r="AR59" i="17"/>
  <c r="AQ59" i="17"/>
  <c r="AP59" i="17"/>
  <c r="AO59" i="17"/>
  <c r="AN59" i="17"/>
  <c r="AM59" i="17"/>
  <c r="AL59" i="17"/>
  <c r="AK59" i="17"/>
  <c r="AJ59" i="17"/>
  <c r="AI59" i="17"/>
  <c r="AH59" i="17"/>
  <c r="AG59" i="17"/>
  <c r="AF59" i="17"/>
  <c r="AE59" i="17"/>
  <c r="AD59" i="17"/>
  <c r="AC59" i="17"/>
  <c r="AB59" i="17"/>
  <c r="AA59" i="17"/>
  <c r="Z59" i="17"/>
  <c r="Y59" i="17"/>
  <c r="X59" i="17"/>
  <c r="W59" i="17"/>
  <c r="V59" i="17"/>
  <c r="U59" i="17"/>
  <c r="T59" i="17"/>
  <c r="S59" i="17"/>
  <c r="R59" i="17"/>
  <c r="Q59" i="17"/>
  <c r="P59" i="17"/>
  <c r="O59" i="17"/>
  <c r="N59" i="17"/>
  <c r="M59" i="17"/>
  <c r="L59" i="17"/>
  <c r="K59" i="17"/>
  <c r="J59" i="17"/>
  <c r="I59" i="17"/>
  <c r="H59" i="17"/>
  <c r="G59" i="17"/>
  <c r="F59" i="17"/>
  <c r="E59" i="17"/>
  <c r="D59" i="17"/>
  <c r="C59" i="17"/>
  <c r="BJ58" i="17"/>
  <c r="BI58" i="17"/>
  <c r="BH58" i="17"/>
  <c r="BG58" i="17"/>
  <c r="BF58" i="17"/>
  <c r="BE58" i="17"/>
  <c r="BD58" i="17"/>
  <c r="BC58" i="17"/>
  <c r="BB58" i="17"/>
  <c r="BA58" i="17"/>
  <c r="AZ58" i="17"/>
  <c r="AY58" i="17"/>
  <c r="AX58" i="17"/>
  <c r="AW58" i="17"/>
  <c r="AV58" i="17"/>
  <c r="AU58" i="17"/>
  <c r="AT58" i="17"/>
  <c r="AS58" i="17"/>
  <c r="AR58" i="17"/>
  <c r="AQ58" i="17"/>
  <c r="AP58" i="17"/>
  <c r="AO58" i="17"/>
  <c r="AN58" i="17"/>
  <c r="AM58" i="17"/>
  <c r="AL58" i="17"/>
  <c r="AK58" i="17"/>
  <c r="AJ58" i="17"/>
  <c r="AI58" i="17"/>
  <c r="AH58" i="17"/>
  <c r="AG58" i="17"/>
  <c r="AF58" i="17"/>
  <c r="AE58" i="17"/>
  <c r="AD58" i="17"/>
  <c r="AC58" i="17"/>
  <c r="AB58" i="17"/>
  <c r="AA58" i="17"/>
  <c r="Z58" i="17"/>
  <c r="Y58" i="17"/>
  <c r="X58" i="17"/>
  <c r="W58" i="17"/>
  <c r="V58" i="17"/>
  <c r="U58" i="17"/>
  <c r="T58" i="17"/>
  <c r="S58" i="17"/>
  <c r="R58" i="17"/>
  <c r="Q58" i="17"/>
  <c r="P58" i="17"/>
  <c r="O58" i="17"/>
  <c r="N58" i="17"/>
  <c r="M58" i="17"/>
  <c r="L58" i="17"/>
  <c r="K58" i="17"/>
  <c r="J58" i="17"/>
  <c r="I58" i="17"/>
  <c r="H58" i="17"/>
  <c r="G58" i="17"/>
  <c r="F58" i="17"/>
  <c r="E58" i="17"/>
  <c r="D58" i="17"/>
  <c r="C58" i="17"/>
  <c r="BJ57" i="17"/>
  <c r="BI57" i="17"/>
  <c r="BH57" i="17"/>
  <c r="BG57" i="17"/>
  <c r="BF57" i="17"/>
  <c r="BE57" i="17"/>
  <c r="BD57" i="17"/>
  <c r="BC57" i="17"/>
  <c r="BB57" i="17"/>
  <c r="BA57" i="17"/>
  <c r="AZ57" i="17"/>
  <c r="AY57" i="17"/>
  <c r="AX57" i="17"/>
  <c r="AW57" i="17"/>
  <c r="AV57" i="17"/>
  <c r="AU57" i="17"/>
  <c r="AT57" i="17"/>
  <c r="AS57" i="17"/>
  <c r="AR57" i="17"/>
  <c r="AQ57" i="17"/>
  <c r="AP57" i="17"/>
  <c r="AO57" i="17"/>
  <c r="AN57" i="17"/>
  <c r="AM57" i="17"/>
  <c r="AL57" i="17"/>
  <c r="AK57" i="17"/>
  <c r="AJ57" i="17"/>
  <c r="AI57" i="17"/>
  <c r="AH57" i="17"/>
  <c r="AG57" i="17"/>
  <c r="AF57" i="17"/>
  <c r="AE57" i="17"/>
  <c r="AD57" i="17"/>
  <c r="AC57" i="17"/>
  <c r="AB57" i="17"/>
  <c r="AA57" i="17"/>
  <c r="Z57" i="17"/>
  <c r="Y57" i="17"/>
  <c r="X57" i="17"/>
  <c r="W57" i="17"/>
  <c r="V57" i="17"/>
  <c r="U57" i="17"/>
  <c r="T57" i="17"/>
  <c r="S57" i="17"/>
  <c r="R57" i="17"/>
  <c r="Q57" i="17"/>
  <c r="P57" i="17"/>
  <c r="O57" i="17"/>
  <c r="N57" i="17"/>
  <c r="M57" i="17"/>
  <c r="L57" i="17"/>
  <c r="K57" i="17"/>
  <c r="J57" i="17"/>
  <c r="I57" i="17"/>
  <c r="H57" i="17"/>
  <c r="G57" i="17"/>
  <c r="F57" i="17"/>
  <c r="E57" i="17"/>
  <c r="D57" i="17"/>
  <c r="C57" i="17"/>
  <c r="BJ56" i="17"/>
  <c r="BI56" i="17"/>
  <c r="BH56" i="17"/>
  <c r="BG56" i="17"/>
  <c r="BF56" i="17"/>
  <c r="BE56" i="17"/>
  <c r="BD56" i="17"/>
  <c r="BC56" i="17"/>
  <c r="BB56" i="17"/>
  <c r="BA56" i="17"/>
  <c r="AZ56" i="17"/>
  <c r="AY56" i="17"/>
  <c r="AX56" i="17"/>
  <c r="AW56" i="17"/>
  <c r="AV56" i="17"/>
  <c r="AU56" i="17"/>
  <c r="AT56" i="17"/>
  <c r="AS56" i="17"/>
  <c r="AR56" i="17"/>
  <c r="AQ56" i="17"/>
  <c r="AP56" i="17"/>
  <c r="AO56" i="17"/>
  <c r="AN56" i="17"/>
  <c r="AM56" i="17"/>
  <c r="AL56" i="17"/>
  <c r="AK56" i="17"/>
  <c r="AJ56" i="17"/>
  <c r="AI56" i="17"/>
  <c r="AH56" i="17"/>
  <c r="AG56" i="17"/>
  <c r="AF56" i="17"/>
  <c r="AE56" i="17"/>
  <c r="AD56" i="17"/>
  <c r="AC56" i="17"/>
  <c r="AB56" i="17"/>
  <c r="AA56" i="17"/>
  <c r="Z56" i="17"/>
  <c r="Y56" i="17"/>
  <c r="X56" i="17"/>
  <c r="W56" i="17"/>
  <c r="V56" i="17"/>
  <c r="U56" i="17"/>
  <c r="T56" i="17"/>
  <c r="S56" i="17"/>
  <c r="R56" i="17"/>
  <c r="Q56" i="17"/>
  <c r="P56" i="17"/>
  <c r="O56" i="17"/>
  <c r="N56" i="17"/>
  <c r="M56" i="17"/>
  <c r="L56" i="17"/>
  <c r="K56" i="17"/>
  <c r="J56" i="17"/>
  <c r="I56" i="17"/>
  <c r="H56" i="17"/>
  <c r="G56" i="17"/>
  <c r="F56" i="17"/>
  <c r="E56" i="17"/>
  <c r="D56" i="17"/>
  <c r="C56" i="17"/>
  <c r="BJ55" i="17"/>
  <c r="BI55" i="17"/>
  <c r="BH55" i="17"/>
  <c r="BG55" i="17"/>
  <c r="BF55" i="17"/>
  <c r="BE55" i="17"/>
  <c r="BD55" i="17"/>
  <c r="BC55" i="17"/>
  <c r="BB55" i="17"/>
  <c r="BA55" i="17"/>
  <c r="AZ55" i="17"/>
  <c r="AY55" i="17"/>
  <c r="AX55" i="17"/>
  <c r="AW55" i="17"/>
  <c r="AV55" i="17"/>
  <c r="AU55" i="17"/>
  <c r="AT55" i="17"/>
  <c r="AS55" i="17"/>
  <c r="AR55" i="17"/>
  <c r="AQ55" i="17"/>
  <c r="AP55" i="17"/>
  <c r="AO55" i="17"/>
  <c r="AN55" i="17"/>
  <c r="AM55" i="17"/>
  <c r="AL55" i="17"/>
  <c r="AK55" i="17"/>
  <c r="AJ55" i="17"/>
  <c r="AI55" i="17"/>
  <c r="AH55" i="17"/>
  <c r="AG55" i="17"/>
  <c r="AF55" i="17"/>
  <c r="AE55" i="17"/>
  <c r="AD55" i="17"/>
  <c r="AC55" i="17"/>
  <c r="AB55" i="17"/>
  <c r="AA55" i="17"/>
  <c r="Z55" i="17"/>
  <c r="Y55" i="17"/>
  <c r="X55" i="17"/>
  <c r="W55" i="17"/>
  <c r="V55" i="17"/>
  <c r="U55" i="17"/>
  <c r="T55" i="17"/>
  <c r="S55" i="17"/>
  <c r="R55" i="17"/>
  <c r="Q55" i="17"/>
  <c r="P55" i="17"/>
  <c r="O55" i="17"/>
  <c r="N55" i="17"/>
  <c r="M55" i="17"/>
  <c r="L55" i="17"/>
  <c r="K55" i="17"/>
  <c r="J55" i="17"/>
  <c r="I55" i="17"/>
  <c r="H55" i="17"/>
  <c r="G55" i="17"/>
  <c r="F55" i="17"/>
  <c r="E55" i="17"/>
  <c r="D55" i="17"/>
  <c r="C55" i="17"/>
  <c r="BJ54" i="17"/>
  <c r="BI54" i="17"/>
  <c r="BH54" i="17"/>
  <c r="BG54" i="17"/>
  <c r="BF54" i="17"/>
  <c r="BE54" i="17"/>
  <c r="BD54" i="17"/>
  <c r="BC54" i="17"/>
  <c r="BB54" i="17"/>
  <c r="BA54" i="17"/>
  <c r="AZ54" i="17"/>
  <c r="AY54" i="17"/>
  <c r="AX54" i="17"/>
  <c r="AW54" i="17"/>
  <c r="AV54" i="17"/>
  <c r="AU54" i="17"/>
  <c r="AT54" i="17"/>
  <c r="AS54" i="17"/>
  <c r="AR54" i="17"/>
  <c r="AQ54" i="17"/>
  <c r="AP54" i="17"/>
  <c r="AO54" i="17"/>
  <c r="AN54" i="17"/>
  <c r="AM54" i="17"/>
  <c r="AL54" i="17"/>
  <c r="AK54" i="17"/>
  <c r="AJ54" i="17"/>
  <c r="AI54" i="17"/>
  <c r="AH54" i="17"/>
  <c r="AG54" i="17"/>
  <c r="AF54" i="17"/>
  <c r="AE54" i="17"/>
  <c r="AD54" i="17"/>
  <c r="AC54" i="17"/>
  <c r="AB54" i="17"/>
  <c r="AA54" i="17"/>
  <c r="Z54" i="17"/>
  <c r="Y54" i="17"/>
  <c r="X54" i="17"/>
  <c r="W54" i="17"/>
  <c r="V54" i="17"/>
  <c r="U54" i="17"/>
  <c r="T54" i="17"/>
  <c r="S54" i="17"/>
  <c r="R54" i="17"/>
  <c r="Q54" i="17"/>
  <c r="P54" i="17"/>
  <c r="O54" i="17"/>
  <c r="N54" i="17"/>
  <c r="M54" i="17"/>
  <c r="L54" i="17"/>
  <c r="K54" i="17"/>
  <c r="J54" i="17"/>
  <c r="I54" i="17"/>
  <c r="H54" i="17"/>
  <c r="G54" i="17"/>
  <c r="F54" i="17"/>
  <c r="E54" i="17"/>
  <c r="D54" i="17"/>
  <c r="C54" i="17"/>
  <c r="BJ53" i="17"/>
  <c r="BI53" i="17"/>
  <c r="BH53" i="17"/>
  <c r="BG53" i="17"/>
  <c r="BF53" i="17"/>
  <c r="BE53" i="17"/>
  <c r="BD53" i="17"/>
  <c r="BC53" i="17"/>
  <c r="BB53" i="17"/>
  <c r="BA53" i="17"/>
  <c r="AZ53" i="17"/>
  <c r="AY53" i="17"/>
  <c r="AX53" i="17"/>
  <c r="AW53" i="17"/>
  <c r="AV53" i="17"/>
  <c r="AU53" i="17"/>
  <c r="AT53" i="17"/>
  <c r="AS53" i="17"/>
  <c r="AR53" i="17"/>
  <c r="AQ53" i="17"/>
  <c r="AP53" i="17"/>
  <c r="AO53" i="17"/>
  <c r="AN53" i="17"/>
  <c r="AM53" i="17"/>
  <c r="AL53" i="17"/>
  <c r="AK53" i="17"/>
  <c r="AJ53" i="17"/>
  <c r="AI53" i="17"/>
  <c r="AH53" i="17"/>
  <c r="AG53" i="17"/>
  <c r="AF53" i="17"/>
  <c r="AE53" i="17"/>
  <c r="AD53" i="17"/>
  <c r="AC53" i="17"/>
  <c r="AB53" i="17"/>
  <c r="AA53" i="17"/>
  <c r="Z53" i="17"/>
  <c r="Y53" i="17"/>
  <c r="X53" i="17"/>
  <c r="W53" i="17"/>
  <c r="V53" i="17"/>
  <c r="U53" i="17"/>
  <c r="T53" i="17"/>
  <c r="S53" i="17"/>
  <c r="R53" i="17"/>
  <c r="Q53" i="17"/>
  <c r="P53" i="17"/>
  <c r="O53" i="17"/>
  <c r="N53" i="17"/>
  <c r="M53" i="17"/>
  <c r="L53" i="17"/>
  <c r="K53" i="17"/>
  <c r="J53" i="17"/>
  <c r="I53" i="17"/>
  <c r="H53" i="17"/>
  <c r="G53" i="17"/>
  <c r="F53" i="17"/>
  <c r="E53" i="17"/>
  <c r="D53" i="17"/>
  <c r="C53" i="17"/>
  <c r="BJ52" i="17"/>
  <c r="BI52" i="17"/>
  <c r="BH52" i="17"/>
  <c r="BG52" i="17"/>
  <c r="BF52" i="17"/>
  <c r="BE52" i="17"/>
  <c r="BD52" i="17"/>
  <c r="BC52" i="17"/>
  <c r="BB52" i="17"/>
  <c r="BA52" i="17"/>
  <c r="AZ52" i="17"/>
  <c r="AY52" i="17"/>
  <c r="AX52" i="17"/>
  <c r="AW52" i="17"/>
  <c r="AV52" i="17"/>
  <c r="AU52" i="17"/>
  <c r="AT52" i="17"/>
  <c r="AS52" i="17"/>
  <c r="AR52" i="17"/>
  <c r="AQ52" i="17"/>
  <c r="AP52" i="17"/>
  <c r="AO52" i="17"/>
  <c r="AN52" i="17"/>
  <c r="AM52" i="17"/>
  <c r="AL52" i="17"/>
  <c r="AK52" i="17"/>
  <c r="AJ52" i="17"/>
  <c r="AI52" i="17"/>
  <c r="AH52" i="17"/>
  <c r="AG52" i="17"/>
  <c r="AF52" i="17"/>
  <c r="AE52" i="17"/>
  <c r="AD52" i="17"/>
  <c r="AC52" i="17"/>
  <c r="AB52" i="17"/>
  <c r="AA52" i="17"/>
  <c r="Z52" i="17"/>
  <c r="Y52" i="17"/>
  <c r="X52" i="17"/>
  <c r="W52" i="17"/>
  <c r="V52" i="17"/>
  <c r="U52" i="17"/>
  <c r="T52" i="17"/>
  <c r="S52" i="17"/>
  <c r="R52" i="17"/>
  <c r="Q52" i="17"/>
  <c r="P52" i="17"/>
  <c r="O52" i="17"/>
  <c r="N52" i="17"/>
  <c r="M52" i="17"/>
  <c r="L52" i="17"/>
  <c r="K52" i="17"/>
  <c r="J52" i="17"/>
  <c r="I52" i="17"/>
  <c r="H52" i="17"/>
  <c r="G52" i="17"/>
  <c r="F52" i="17"/>
  <c r="E52" i="17"/>
  <c r="D52" i="17"/>
  <c r="C52" i="17"/>
  <c r="BJ51" i="17"/>
  <c r="BI51" i="17"/>
  <c r="BH51" i="17"/>
  <c r="BG51" i="17"/>
  <c r="BF51" i="17"/>
  <c r="BE51" i="17"/>
  <c r="BD51" i="17"/>
  <c r="BC51" i="17"/>
  <c r="BB51" i="17"/>
  <c r="BA51" i="17"/>
  <c r="AZ51" i="17"/>
  <c r="AY51" i="17"/>
  <c r="AX51" i="17"/>
  <c r="AW51" i="17"/>
  <c r="AV51" i="17"/>
  <c r="AU51" i="17"/>
  <c r="AT51" i="17"/>
  <c r="AS51" i="17"/>
  <c r="AR51" i="17"/>
  <c r="AQ51" i="17"/>
  <c r="AP51" i="17"/>
  <c r="AO51" i="17"/>
  <c r="AN51" i="17"/>
  <c r="AM51" i="17"/>
  <c r="AL51" i="17"/>
  <c r="AK51" i="17"/>
  <c r="AJ51" i="17"/>
  <c r="AI51" i="17"/>
  <c r="AH51" i="17"/>
  <c r="AG51" i="17"/>
  <c r="AF51" i="17"/>
  <c r="AE51" i="17"/>
  <c r="AD51" i="17"/>
  <c r="AC51" i="17"/>
  <c r="AB51" i="17"/>
  <c r="AA51" i="17"/>
  <c r="Z51" i="17"/>
  <c r="Y51" i="17"/>
  <c r="X51" i="17"/>
  <c r="W51" i="17"/>
  <c r="V51" i="17"/>
  <c r="U51" i="17"/>
  <c r="T51" i="17"/>
  <c r="S51" i="17"/>
  <c r="R51" i="17"/>
  <c r="Q51" i="17"/>
  <c r="P51" i="17"/>
  <c r="O51" i="17"/>
  <c r="N51" i="17"/>
  <c r="M51" i="17"/>
  <c r="L51" i="17"/>
  <c r="K51" i="17"/>
  <c r="J51" i="17"/>
  <c r="I51" i="17"/>
  <c r="H51" i="17"/>
  <c r="G51" i="17"/>
  <c r="F51" i="17"/>
  <c r="E51" i="17"/>
  <c r="D51" i="17"/>
  <c r="C51" i="17"/>
  <c r="BJ50" i="17"/>
  <c r="BI50" i="17"/>
  <c r="BH50" i="17"/>
  <c r="BG50" i="17"/>
  <c r="BF50" i="17"/>
  <c r="BE50" i="17"/>
  <c r="BD50" i="17"/>
  <c r="BC50" i="17"/>
  <c r="BB50" i="17"/>
  <c r="BA50" i="17"/>
  <c r="AZ50" i="17"/>
  <c r="AY50" i="17"/>
  <c r="AX50" i="17"/>
  <c r="AW50" i="17"/>
  <c r="AV50" i="17"/>
  <c r="AU50" i="17"/>
  <c r="AT50" i="17"/>
  <c r="AS50" i="17"/>
  <c r="AR50" i="17"/>
  <c r="AQ50" i="17"/>
  <c r="AP50" i="17"/>
  <c r="AO50" i="17"/>
  <c r="AN50" i="17"/>
  <c r="AM50" i="17"/>
  <c r="AL50" i="17"/>
  <c r="AK50" i="17"/>
  <c r="AJ50" i="17"/>
  <c r="AI50" i="17"/>
  <c r="AH50" i="17"/>
  <c r="AG50" i="17"/>
  <c r="AF50" i="17"/>
  <c r="AE50" i="17"/>
  <c r="AD50" i="17"/>
  <c r="AC50" i="17"/>
  <c r="AB50" i="17"/>
  <c r="AA50" i="17"/>
  <c r="Z50" i="17"/>
  <c r="Y50" i="17"/>
  <c r="X50" i="17"/>
  <c r="W50" i="17"/>
  <c r="V50" i="17"/>
  <c r="U50" i="17"/>
  <c r="T50" i="17"/>
  <c r="S50" i="17"/>
  <c r="R50" i="17"/>
  <c r="Q50" i="17"/>
  <c r="P50" i="17"/>
  <c r="O50" i="17"/>
  <c r="N50" i="17"/>
  <c r="M50" i="17"/>
  <c r="L50" i="17"/>
  <c r="K50" i="17"/>
  <c r="J50" i="17"/>
  <c r="I50" i="17"/>
  <c r="H50" i="17"/>
  <c r="G50" i="17"/>
  <c r="F50" i="17"/>
  <c r="E50" i="17"/>
  <c r="D50" i="17"/>
  <c r="C50" i="17"/>
  <c r="BJ49" i="17"/>
  <c r="BI49" i="17"/>
  <c r="BH49" i="17"/>
  <c r="BG49" i="17"/>
  <c r="BF49" i="17"/>
  <c r="BE49" i="17"/>
  <c r="BD49" i="17"/>
  <c r="BC49" i="17"/>
  <c r="BB49" i="17"/>
  <c r="BA49" i="17"/>
  <c r="AZ49" i="17"/>
  <c r="AY49" i="17"/>
  <c r="AX49" i="17"/>
  <c r="AW49" i="17"/>
  <c r="AV49" i="17"/>
  <c r="AU49" i="17"/>
  <c r="AT49" i="17"/>
  <c r="AS49" i="17"/>
  <c r="AR49" i="17"/>
  <c r="AQ49" i="17"/>
  <c r="AP49" i="17"/>
  <c r="AO49" i="17"/>
  <c r="AN49" i="17"/>
  <c r="AM49" i="17"/>
  <c r="AL49" i="17"/>
  <c r="AK49" i="17"/>
  <c r="AJ49" i="17"/>
  <c r="AI49" i="17"/>
  <c r="AH49" i="17"/>
  <c r="AG49" i="17"/>
  <c r="AF49" i="17"/>
  <c r="AE49" i="17"/>
  <c r="AD49" i="17"/>
  <c r="AC49" i="17"/>
  <c r="AB49" i="17"/>
  <c r="AA49" i="17"/>
  <c r="Z49" i="17"/>
  <c r="Y49" i="17"/>
  <c r="X49" i="17"/>
  <c r="W49" i="17"/>
  <c r="V49" i="17"/>
  <c r="U49" i="17"/>
  <c r="T49" i="17"/>
  <c r="S49" i="17"/>
  <c r="R49" i="17"/>
  <c r="Q49" i="17"/>
  <c r="P49" i="17"/>
  <c r="O49" i="17"/>
  <c r="N49" i="17"/>
  <c r="M49" i="17"/>
  <c r="L49" i="17"/>
  <c r="K49" i="17"/>
  <c r="J49" i="17"/>
  <c r="I49" i="17"/>
  <c r="H49" i="17"/>
  <c r="G49" i="17"/>
  <c r="F49" i="17"/>
  <c r="E49" i="17"/>
  <c r="D49" i="17"/>
  <c r="C49" i="17"/>
  <c r="BJ48" i="17"/>
  <c r="BI48" i="17"/>
  <c r="BH48" i="17"/>
  <c r="BG48" i="17"/>
  <c r="BF48" i="17"/>
  <c r="BE48" i="17"/>
  <c r="BD48" i="17"/>
  <c r="BC48" i="17"/>
  <c r="BB48" i="17"/>
  <c r="BA48" i="17"/>
  <c r="AZ48" i="17"/>
  <c r="AY48" i="17"/>
  <c r="AX48" i="17"/>
  <c r="AW48" i="17"/>
  <c r="AV48" i="17"/>
  <c r="AU48" i="17"/>
  <c r="AT48" i="17"/>
  <c r="AS48" i="17"/>
  <c r="AR48" i="17"/>
  <c r="AQ48" i="17"/>
  <c r="AP48" i="17"/>
  <c r="AO48" i="17"/>
  <c r="AN48" i="17"/>
  <c r="AM48" i="17"/>
  <c r="AL48" i="17"/>
  <c r="AK48" i="17"/>
  <c r="AJ48" i="17"/>
  <c r="AI48" i="17"/>
  <c r="AH48" i="17"/>
  <c r="AG48" i="17"/>
  <c r="AF48" i="17"/>
  <c r="AE48" i="17"/>
  <c r="AD48" i="17"/>
  <c r="AC48" i="17"/>
  <c r="AB48" i="17"/>
  <c r="AA48" i="17"/>
  <c r="Z48" i="17"/>
  <c r="Y48" i="17"/>
  <c r="X48" i="17"/>
  <c r="W48" i="17"/>
  <c r="V48" i="17"/>
  <c r="U48" i="17"/>
  <c r="T48" i="17"/>
  <c r="S48" i="17"/>
  <c r="R48" i="17"/>
  <c r="Q48" i="17"/>
  <c r="P48" i="17"/>
  <c r="O48" i="17"/>
  <c r="N48" i="17"/>
  <c r="M48" i="17"/>
  <c r="L48" i="17"/>
  <c r="K48" i="17"/>
  <c r="J48" i="17"/>
  <c r="I48" i="17"/>
  <c r="H48" i="17"/>
  <c r="G48" i="17"/>
  <c r="F48" i="17"/>
  <c r="E48" i="17"/>
  <c r="D48" i="17"/>
  <c r="C48" i="17"/>
  <c r="BJ47" i="17"/>
  <c r="BI47" i="17"/>
  <c r="BH47" i="17"/>
  <c r="BG47" i="17"/>
  <c r="BF47" i="17"/>
  <c r="BE47" i="17"/>
  <c r="BD47" i="17"/>
  <c r="BC47" i="17"/>
  <c r="BB47" i="17"/>
  <c r="BA47" i="17"/>
  <c r="AZ47" i="17"/>
  <c r="AY47" i="17"/>
  <c r="AX47" i="17"/>
  <c r="AW47" i="17"/>
  <c r="AV47" i="17"/>
  <c r="AU47" i="17"/>
  <c r="AT47" i="17"/>
  <c r="AS47" i="17"/>
  <c r="AR47" i="17"/>
  <c r="AQ47" i="17"/>
  <c r="AP47" i="17"/>
  <c r="AO47" i="17"/>
  <c r="AN47" i="17"/>
  <c r="AM47" i="17"/>
  <c r="AL47" i="17"/>
  <c r="AK47" i="17"/>
  <c r="AJ47" i="17"/>
  <c r="AI47" i="17"/>
  <c r="AH47" i="17"/>
  <c r="AG47" i="17"/>
  <c r="AF47" i="17"/>
  <c r="AE47" i="17"/>
  <c r="AD47" i="17"/>
  <c r="AC47" i="17"/>
  <c r="AB47" i="17"/>
  <c r="AA47" i="17"/>
  <c r="Z47" i="17"/>
  <c r="Y47" i="17"/>
  <c r="X47" i="17"/>
  <c r="W47" i="17"/>
  <c r="V47" i="17"/>
  <c r="U47" i="17"/>
  <c r="T47" i="17"/>
  <c r="S47" i="17"/>
  <c r="R47" i="17"/>
  <c r="Q47" i="17"/>
  <c r="P47" i="17"/>
  <c r="O47" i="17"/>
  <c r="N47" i="17"/>
  <c r="M47" i="17"/>
  <c r="L47" i="17"/>
  <c r="K47" i="17"/>
  <c r="J47" i="17"/>
  <c r="I47" i="17"/>
  <c r="H47" i="17"/>
  <c r="G47" i="17"/>
  <c r="F47" i="17"/>
  <c r="E47" i="17"/>
  <c r="D47" i="17"/>
  <c r="C47" i="17"/>
  <c r="BJ46" i="17"/>
  <c r="BI46" i="17"/>
  <c r="BH46" i="17"/>
  <c r="BG46" i="17"/>
  <c r="BF46" i="17"/>
  <c r="BE46" i="17"/>
  <c r="BD46" i="17"/>
  <c r="BC46" i="17"/>
  <c r="BB46" i="17"/>
  <c r="BA46" i="17"/>
  <c r="AZ46" i="17"/>
  <c r="AY46" i="17"/>
  <c r="AX46" i="17"/>
  <c r="AW46" i="17"/>
  <c r="AV46" i="17"/>
  <c r="AU46" i="17"/>
  <c r="AT46" i="17"/>
  <c r="AS46" i="17"/>
  <c r="AR46" i="17"/>
  <c r="AQ46" i="17"/>
  <c r="AP46" i="17"/>
  <c r="AO46" i="17"/>
  <c r="AN46" i="17"/>
  <c r="AM46" i="17"/>
  <c r="AL46" i="17"/>
  <c r="AK46" i="17"/>
  <c r="AJ46" i="17"/>
  <c r="AI46" i="17"/>
  <c r="AH46" i="17"/>
  <c r="AG46" i="17"/>
  <c r="AF46" i="17"/>
  <c r="AE46" i="17"/>
  <c r="AD46" i="17"/>
  <c r="AC46" i="17"/>
  <c r="AB46" i="17"/>
  <c r="AA46" i="17"/>
  <c r="Z46" i="17"/>
  <c r="Y46" i="17"/>
  <c r="X46" i="17"/>
  <c r="W46" i="17"/>
  <c r="V46" i="17"/>
  <c r="U46" i="17"/>
  <c r="T46" i="17"/>
  <c r="S46" i="17"/>
  <c r="R46" i="17"/>
  <c r="Q46" i="17"/>
  <c r="P46" i="17"/>
  <c r="O46" i="17"/>
  <c r="N46" i="17"/>
  <c r="M46" i="17"/>
  <c r="L46" i="17"/>
  <c r="K46" i="17"/>
  <c r="J46" i="17"/>
  <c r="I46" i="17"/>
  <c r="H46" i="17"/>
  <c r="G46" i="17"/>
  <c r="F46" i="17"/>
  <c r="E46" i="17"/>
  <c r="D46" i="17"/>
  <c r="C46" i="17"/>
  <c r="BJ45" i="17"/>
  <c r="BI45" i="17"/>
  <c r="BH45" i="17"/>
  <c r="BG45" i="17"/>
  <c r="BF45" i="17"/>
  <c r="BE45" i="17"/>
  <c r="BD45" i="17"/>
  <c r="BC45" i="17"/>
  <c r="BB45" i="17"/>
  <c r="BA45" i="17"/>
  <c r="AZ45" i="17"/>
  <c r="AY45" i="17"/>
  <c r="AX45" i="17"/>
  <c r="AW45" i="17"/>
  <c r="AV45" i="17"/>
  <c r="AU45" i="17"/>
  <c r="AT45" i="17"/>
  <c r="AS45" i="17"/>
  <c r="AR45" i="17"/>
  <c r="AQ45" i="17"/>
  <c r="AP45" i="17"/>
  <c r="AO45" i="17"/>
  <c r="AN45" i="17"/>
  <c r="AM45" i="17"/>
  <c r="AL45" i="17"/>
  <c r="AK45" i="17"/>
  <c r="AJ45" i="17"/>
  <c r="AI45" i="17"/>
  <c r="AH45" i="17"/>
  <c r="AG45" i="17"/>
  <c r="AF45" i="17"/>
  <c r="AE45" i="17"/>
  <c r="AD45" i="17"/>
  <c r="AC45" i="17"/>
  <c r="AB45" i="17"/>
  <c r="AA45" i="17"/>
  <c r="Z45" i="17"/>
  <c r="Y45" i="17"/>
  <c r="X45" i="17"/>
  <c r="W45" i="17"/>
  <c r="V45" i="17"/>
  <c r="U45" i="17"/>
  <c r="T45" i="17"/>
  <c r="S45" i="17"/>
  <c r="R45" i="17"/>
  <c r="Q45" i="17"/>
  <c r="P45" i="17"/>
  <c r="O45" i="17"/>
  <c r="N45" i="17"/>
  <c r="M45" i="17"/>
  <c r="L45" i="17"/>
  <c r="K45" i="17"/>
  <c r="J45" i="17"/>
  <c r="I45" i="17"/>
  <c r="H45" i="17"/>
  <c r="G45" i="17"/>
  <c r="F45" i="17"/>
  <c r="E45" i="17"/>
  <c r="D45" i="17"/>
  <c r="C45" i="17"/>
  <c r="BJ44" i="17"/>
  <c r="BI44" i="17"/>
  <c r="BH44" i="17"/>
  <c r="BG44" i="17"/>
  <c r="BF44" i="17"/>
  <c r="BE44" i="17"/>
  <c r="BD44" i="17"/>
  <c r="BC44" i="17"/>
  <c r="BB44" i="17"/>
  <c r="BA44" i="17"/>
  <c r="AZ44" i="17"/>
  <c r="AY44" i="17"/>
  <c r="AX44" i="17"/>
  <c r="AW44" i="17"/>
  <c r="AV44" i="17"/>
  <c r="AU44" i="17"/>
  <c r="AT44" i="17"/>
  <c r="AS44" i="17"/>
  <c r="AR44" i="17"/>
  <c r="AQ44" i="17"/>
  <c r="AP44" i="17"/>
  <c r="AO44" i="17"/>
  <c r="AN44" i="17"/>
  <c r="AM44" i="17"/>
  <c r="AL44" i="17"/>
  <c r="AK44" i="17"/>
  <c r="AJ44" i="17"/>
  <c r="AI44" i="17"/>
  <c r="AH44" i="17"/>
  <c r="AG44" i="17"/>
  <c r="AF44" i="17"/>
  <c r="AE44" i="17"/>
  <c r="AD44" i="17"/>
  <c r="AC44" i="17"/>
  <c r="AB44" i="17"/>
  <c r="AA44" i="17"/>
  <c r="Z44" i="17"/>
  <c r="Y44" i="17"/>
  <c r="X44" i="17"/>
  <c r="W44" i="17"/>
  <c r="V44" i="17"/>
  <c r="U44" i="17"/>
  <c r="T44" i="17"/>
  <c r="S44" i="17"/>
  <c r="R44" i="17"/>
  <c r="Q44" i="17"/>
  <c r="P44" i="17"/>
  <c r="O44" i="17"/>
  <c r="N44" i="17"/>
  <c r="M44" i="17"/>
  <c r="L44" i="17"/>
  <c r="K44" i="17"/>
  <c r="J44" i="17"/>
  <c r="I44" i="17"/>
  <c r="H44" i="17"/>
  <c r="G44" i="17"/>
  <c r="F44" i="17"/>
  <c r="E44" i="17"/>
  <c r="D44" i="17"/>
  <c r="C44" i="17"/>
  <c r="BJ43" i="17"/>
  <c r="BI43" i="17"/>
  <c r="BH43" i="17"/>
  <c r="BG43" i="17"/>
  <c r="BF43" i="17"/>
  <c r="BE43" i="17"/>
  <c r="BD43" i="17"/>
  <c r="BC43" i="17"/>
  <c r="BB43" i="17"/>
  <c r="BA43" i="17"/>
  <c r="AZ43" i="17"/>
  <c r="AY43" i="17"/>
  <c r="AX43" i="17"/>
  <c r="AW43" i="17"/>
  <c r="AV43" i="17"/>
  <c r="AU43" i="17"/>
  <c r="AT43" i="17"/>
  <c r="AS43" i="17"/>
  <c r="AR43" i="17"/>
  <c r="AQ43" i="17"/>
  <c r="AP43" i="17"/>
  <c r="AO43" i="17"/>
  <c r="AN43" i="17"/>
  <c r="AM43" i="17"/>
  <c r="AL43" i="17"/>
  <c r="AK43" i="17"/>
  <c r="AJ43" i="17"/>
  <c r="AI43" i="17"/>
  <c r="AH43" i="17"/>
  <c r="AG43" i="17"/>
  <c r="AF43" i="17"/>
  <c r="AE43" i="17"/>
  <c r="AD43" i="17"/>
  <c r="AC43" i="17"/>
  <c r="AB43" i="17"/>
  <c r="AA43" i="17"/>
  <c r="Z43" i="17"/>
  <c r="Y43" i="17"/>
  <c r="X43" i="17"/>
  <c r="W43" i="17"/>
  <c r="V43" i="17"/>
  <c r="U43" i="17"/>
  <c r="T43" i="17"/>
  <c r="S43" i="17"/>
  <c r="R43" i="17"/>
  <c r="Q43" i="17"/>
  <c r="P43" i="17"/>
  <c r="O43" i="17"/>
  <c r="N43" i="17"/>
  <c r="M43" i="17"/>
  <c r="L43" i="17"/>
  <c r="K43" i="17"/>
  <c r="J43" i="17"/>
  <c r="I43" i="17"/>
  <c r="H43" i="17"/>
  <c r="G43" i="17"/>
  <c r="F43" i="17"/>
  <c r="E43" i="17"/>
  <c r="D43" i="17"/>
  <c r="C43" i="17"/>
  <c r="BJ42" i="17"/>
  <c r="BI42" i="17"/>
  <c r="BH42" i="17"/>
  <c r="BG42" i="17"/>
  <c r="BF42" i="17"/>
  <c r="BE42" i="17"/>
  <c r="BD42" i="17"/>
  <c r="BC42" i="17"/>
  <c r="BB42" i="17"/>
  <c r="BA42" i="17"/>
  <c r="AZ42" i="17"/>
  <c r="AY42" i="17"/>
  <c r="AX42" i="17"/>
  <c r="AW42" i="17"/>
  <c r="AV42" i="17"/>
  <c r="AU42" i="17"/>
  <c r="AT42" i="17"/>
  <c r="AS42" i="17"/>
  <c r="AR42" i="17"/>
  <c r="AQ42" i="17"/>
  <c r="AP42" i="17"/>
  <c r="AO42" i="17"/>
  <c r="AN42" i="17"/>
  <c r="AM42" i="17"/>
  <c r="AL42" i="17"/>
  <c r="AK42" i="17"/>
  <c r="AJ42" i="17"/>
  <c r="AI42" i="17"/>
  <c r="AH42" i="17"/>
  <c r="AG42" i="17"/>
  <c r="AF42" i="17"/>
  <c r="AE42" i="17"/>
  <c r="AD42" i="17"/>
  <c r="AC42" i="17"/>
  <c r="AB42" i="17"/>
  <c r="AA42" i="17"/>
  <c r="Z42" i="17"/>
  <c r="Y42" i="17"/>
  <c r="X42" i="17"/>
  <c r="W42" i="17"/>
  <c r="V42" i="17"/>
  <c r="U42" i="17"/>
  <c r="T42" i="17"/>
  <c r="S42" i="17"/>
  <c r="R42" i="17"/>
  <c r="Q42" i="17"/>
  <c r="P42" i="17"/>
  <c r="O42" i="17"/>
  <c r="N42" i="17"/>
  <c r="M42" i="17"/>
  <c r="L42" i="17"/>
  <c r="K42" i="17"/>
  <c r="J42" i="17"/>
  <c r="I42" i="17"/>
  <c r="H42" i="17"/>
  <c r="G42" i="17"/>
  <c r="F42" i="17"/>
  <c r="E42" i="17"/>
  <c r="D42" i="17"/>
  <c r="C42" i="17"/>
  <c r="BJ41" i="17"/>
  <c r="BI41" i="17"/>
  <c r="BH41" i="17"/>
  <c r="BG41" i="17"/>
  <c r="BF41" i="17"/>
  <c r="BE41" i="17"/>
  <c r="BD41" i="17"/>
  <c r="BC41" i="17"/>
  <c r="BB41" i="17"/>
  <c r="BA41" i="17"/>
  <c r="AZ41" i="17"/>
  <c r="AY41" i="17"/>
  <c r="AX41" i="17"/>
  <c r="AW41" i="17"/>
  <c r="AV41" i="17"/>
  <c r="AU41" i="17"/>
  <c r="AT41" i="17"/>
  <c r="AS41" i="17"/>
  <c r="AR41" i="17"/>
  <c r="AQ41" i="17"/>
  <c r="AP41" i="17"/>
  <c r="AO41" i="17"/>
  <c r="AN41" i="17"/>
  <c r="AM41" i="17"/>
  <c r="AL41" i="17"/>
  <c r="AK41" i="17"/>
  <c r="AJ41" i="17"/>
  <c r="AI41" i="17"/>
  <c r="AH41" i="17"/>
  <c r="AG41" i="17"/>
  <c r="AF41" i="17"/>
  <c r="AE41" i="17"/>
  <c r="AD41" i="17"/>
  <c r="AC41" i="17"/>
  <c r="AB41" i="17"/>
  <c r="AA41" i="17"/>
  <c r="Z41" i="17"/>
  <c r="Y41" i="17"/>
  <c r="X41" i="17"/>
  <c r="W41" i="17"/>
  <c r="V41" i="17"/>
  <c r="U41" i="17"/>
  <c r="T41" i="17"/>
  <c r="S41" i="17"/>
  <c r="R41" i="17"/>
  <c r="Q41" i="17"/>
  <c r="P41" i="17"/>
  <c r="O41" i="17"/>
  <c r="N41" i="17"/>
  <c r="M41" i="17"/>
  <c r="L41" i="17"/>
  <c r="K41" i="17"/>
  <c r="J41" i="17"/>
  <c r="I41" i="17"/>
  <c r="H41" i="17"/>
  <c r="G41" i="17"/>
  <c r="F41" i="17"/>
  <c r="E41" i="17"/>
  <c r="D41" i="17"/>
  <c r="C41" i="17"/>
  <c r="BJ40" i="17"/>
  <c r="BI40" i="17"/>
  <c r="BH40" i="17"/>
  <c r="BG40" i="17"/>
  <c r="BF40" i="17"/>
  <c r="BE40" i="17"/>
  <c r="BD40" i="17"/>
  <c r="BC40" i="17"/>
  <c r="BB40" i="17"/>
  <c r="BA40" i="17"/>
  <c r="AZ40" i="17"/>
  <c r="AY40" i="17"/>
  <c r="AX40" i="17"/>
  <c r="AW40" i="17"/>
  <c r="AV40" i="17"/>
  <c r="AU40" i="17"/>
  <c r="AT40" i="17"/>
  <c r="AS40" i="17"/>
  <c r="AR40" i="17"/>
  <c r="AQ40" i="17"/>
  <c r="AP40" i="17"/>
  <c r="AO40" i="17"/>
  <c r="AN40" i="17"/>
  <c r="AM40" i="17"/>
  <c r="AL40" i="17"/>
  <c r="AK40" i="17"/>
  <c r="AJ40" i="17"/>
  <c r="AI40" i="17"/>
  <c r="AH40" i="17"/>
  <c r="AG40" i="17"/>
  <c r="AF40" i="17"/>
  <c r="AE40" i="17"/>
  <c r="AD40" i="17"/>
  <c r="AC40" i="17"/>
  <c r="AB40" i="17"/>
  <c r="AA40" i="17"/>
  <c r="Z40" i="17"/>
  <c r="Y40" i="17"/>
  <c r="X40" i="17"/>
  <c r="W40" i="17"/>
  <c r="V40" i="17"/>
  <c r="U40" i="17"/>
  <c r="T40" i="17"/>
  <c r="S40" i="17"/>
  <c r="R40" i="17"/>
  <c r="Q40" i="17"/>
  <c r="P40" i="17"/>
  <c r="O40" i="17"/>
  <c r="N40" i="17"/>
  <c r="M40" i="17"/>
  <c r="L40" i="17"/>
  <c r="K40" i="17"/>
  <c r="J40" i="17"/>
  <c r="I40" i="17"/>
  <c r="H40" i="17"/>
  <c r="G40" i="17"/>
  <c r="F40" i="17"/>
  <c r="E40" i="17"/>
  <c r="D40" i="17"/>
  <c r="C40" i="17"/>
  <c r="BJ39" i="17"/>
  <c r="BI39" i="17"/>
  <c r="BH39" i="17"/>
  <c r="BG39" i="17"/>
  <c r="BF39" i="17"/>
  <c r="BE39" i="17"/>
  <c r="BD39" i="17"/>
  <c r="BC39" i="17"/>
  <c r="BB39" i="17"/>
  <c r="BA39" i="17"/>
  <c r="AZ39" i="17"/>
  <c r="AY39" i="17"/>
  <c r="AX39" i="17"/>
  <c r="AW39" i="17"/>
  <c r="AV39" i="17"/>
  <c r="AU39" i="17"/>
  <c r="AT39" i="17"/>
  <c r="AS39" i="17"/>
  <c r="AR39" i="17"/>
  <c r="AQ39" i="17"/>
  <c r="AP39" i="17"/>
  <c r="AO39" i="17"/>
  <c r="AN39" i="17"/>
  <c r="AM39" i="17"/>
  <c r="AL39" i="17"/>
  <c r="AK39" i="17"/>
  <c r="AJ39" i="17"/>
  <c r="AI39" i="17"/>
  <c r="AH39" i="17"/>
  <c r="AG39" i="17"/>
  <c r="AF39" i="17"/>
  <c r="AE39" i="17"/>
  <c r="AD39" i="17"/>
  <c r="AC39" i="17"/>
  <c r="AB39" i="17"/>
  <c r="AA39" i="17"/>
  <c r="Z39" i="17"/>
  <c r="Y39" i="17"/>
  <c r="X39" i="17"/>
  <c r="W39" i="17"/>
  <c r="V39" i="17"/>
  <c r="U39" i="17"/>
  <c r="T39" i="17"/>
  <c r="S39" i="17"/>
  <c r="R39" i="17"/>
  <c r="Q39" i="17"/>
  <c r="P39" i="17"/>
  <c r="O39" i="17"/>
  <c r="N39" i="17"/>
  <c r="M39" i="17"/>
  <c r="L39" i="17"/>
  <c r="K39" i="17"/>
  <c r="J39" i="17"/>
  <c r="I39" i="17"/>
  <c r="H39" i="17"/>
  <c r="G39" i="17"/>
  <c r="F39" i="17"/>
  <c r="E39" i="17"/>
  <c r="D39" i="17"/>
  <c r="C39" i="17"/>
  <c r="BJ38" i="17"/>
  <c r="BI38" i="17"/>
  <c r="BH38" i="17"/>
  <c r="BG38" i="17"/>
  <c r="BF38" i="17"/>
  <c r="BE38" i="17"/>
  <c r="BD38" i="17"/>
  <c r="BC38" i="17"/>
  <c r="BB38" i="17"/>
  <c r="BA38" i="17"/>
  <c r="AZ38" i="17"/>
  <c r="AY38" i="17"/>
  <c r="AX38" i="17"/>
  <c r="AW38" i="17"/>
  <c r="AV38" i="17"/>
  <c r="AU38" i="17"/>
  <c r="AT38" i="17"/>
  <c r="AS38" i="17"/>
  <c r="AR38" i="17"/>
  <c r="AQ38" i="17"/>
  <c r="AP38" i="17"/>
  <c r="AO38" i="17"/>
  <c r="AN38" i="17"/>
  <c r="AM38" i="17"/>
  <c r="AL38" i="17"/>
  <c r="AK38" i="17"/>
  <c r="AJ38" i="17"/>
  <c r="AI38" i="17"/>
  <c r="AH38" i="17"/>
  <c r="AG38" i="17"/>
  <c r="AF38" i="17"/>
  <c r="AE38" i="17"/>
  <c r="AD38" i="17"/>
  <c r="AC38" i="17"/>
  <c r="AB38" i="17"/>
  <c r="AA38" i="17"/>
  <c r="Z38" i="17"/>
  <c r="Y38" i="17"/>
  <c r="X38" i="17"/>
  <c r="W38" i="17"/>
  <c r="V38" i="17"/>
  <c r="U38" i="17"/>
  <c r="T38" i="17"/>
  <c r="S38" i="17"/>
  <c r="R38" i="17"/>
  <c r="Q38" i="17"/>
  <c r="P38" i="17"/>
  <c r="O38" i="17"/>
  <c r="N38" i="17"/>
  <c r="M38" i="17"/>
  <c r="L38" i="17"/>
  <c r="K38" i="17"/>
  <c r="J38" i="17"/>
  <c r="I38" i="17"/>
  <c r="H38" i="17"/>
  <c r="G38" i="17"/>
  <c r="F38" i="17"/>
  <c r="E38" i="17"/>
  <c r="D38" i="17"/>
  <c r="C38" i="17"/>
  <c r="BJ37" i="17"/>
  <c r="BI37" i="17"/>
  <c r="BH37" i="17"/>
  <c r="BG37" i="17"/>
  <c r="BF37" i="17"/>
  <c r="BE37" i="17"/>
  <c r="BD37" i="17"/>
  <c r="BC37" i="17"/>
  <c r="BB37" i="17"/>
  <c r="BA37" i="17"/>
  <c r="AZ37" i="17"/>
  <c r="AY37" i="17"/>
  <c r="AX37" i="17"/>
  <c r="AW37" i="17"/>
  <c r="AV37" i="17"/>
  <c r="AU37" i="17"/>
  <c r="AT37" i="17"/>
  <c r="AS37" i="17"/>
  <c r="AR37" i="17"/>
  <c r="AQ37" i="17"/>
  <c r="AP37" i="17"/>
  <c r="AO37" i="17"/>
  <c r="AN37" i="17"/>
  <c r="AM37" i="17"/>
  <c r="AL37" i="17"/>
  <c r="AK37" i="17"/>
  <c r="AJ37" i="17"/>
  <c r="AI37" i="17"/>
  <c r="AH37" i="17"/>
  <c r="AG37" i="17"/>
  <c r="AF37" i="17"/>
  <c r="AE37" i="17"/>
  <c r="AD37" i="17"/>
  <c r="AC37" i="17"/>
  <c r="AB37" i="17"/>
  <c r="AA37" i="17"/>
  <c r="Z37" i="17"/>
  <c r="Y37" i="17"/>
  <c r="X37" i="17"/>
  <c r="W37" i="17"/>
  <c r="V37" i="17"/>
  <c r="U37" i="17"/>
  <c r="T37" i="17"/>
  <c r="S37" i="17"/>
  <c r="R37" i="17"/>
  <c r="Q37" i="17"/>
  <c r="P37" i="17"/>
  <c r="O37" i="17"/>
  <c r="N37" i="17"/>
  <c r="M37" i="17"/>
  <c r="L37" i="17"/>
  <c r="K37" i="17"/>
  <c r="J37" i="17"/>
  <c r="I37" i="17"/>
  <c r="H37" i="17"/>
  <c r="G37" i="17"/>
  <c r="F37" i="17"/>
  <c r="E37" i="17"/>
  <c r="D37" i="17"/>
  <c r="C37" i="17"/>
  <c r="BJ36" i="17"/>
  <c r="BI36" i="17"/>
  <c r="BH36" i="17"/>
  <c r="BG36" i="17"/>
  <c r="BF36" i="17"/>
  <c r="BE36" i="17"/>
  <c r="BD36" i="17"/>
  <c r="BC36" i="17"/>
  <c r="BB36" i="17"/>
  <c r="BA36" i="17"/>
  <c r="AZ36" i="17"/>
  <c r="AY36" i="17"/>
  <c r="AX36" i="17"/>
  <c r="AW36" i="17"/>
  <c r="AV36" i="17"/>
  <c r="AU36" i="17"/>
  <c r="AT36" i="17"/>
  <c r="AS36" i="17"/>
  <c r="AR36" i="17"/>
  <c r="AQ36" i="17"/>
  <c r="AP36" i="17"/>
  <c r="AO36" i="17"/>
  <c r="AN36" i="17"/>
  <c r="AM36" i="17"/>
  <c r="AL36" i="17"/>
  <c r="AK36" i="17"/>
  <c r="AJ36" i="17"/>
  <c r="AI36" i="17"/>
  <c r="AH36" i="17"/>
  <c r="AG36" i="17"/>
  <c r="AF36" i="17"/>
  <c r="AE36" i="17"/>
  <c r="AD36" i="17"/>
  <c r="AC36" i="17"/>
  <c r="AB36" i="17"/>
  <c r="AA36" i="17"/>
  <c r="Z36" i="17"/>
  <c r="Y36" i="17"/>
  <c r="X36" i="17"/>
  <c r="W36" i="17"/>
  <c r="V36" i="17"/>
  <c r="U36" i="17"/>
  <c r="T36" i="17"/>
  <c r="S36" i="17"/>
  <c r="R36" i="17"/>
  <c r="Q36" i="17"/>
  <c r="P36" i="17"/>
  <c r="O36" i="17"/>
  <c r="N36" i="17"/>
  <c r="M36" i="17"/>
  <c r="L36" i="17"/>
  <c r="K36" i="17"/>
  <c r="J36" i="17"/>
  <c r="I36" i="17"/>
  <c r="H36" i="17"/>
  <c r="G36" i="17"/>
  <c r="F36" i="17"/>
  <c r="E36" i="17"/>
  <c r="D36" i="17"/>
  <c r="C36" i="17"/>
  <c r="BJ35" i="17"/>
  <c r="BI35" i="17"/>
  <c r="BH35" i="17"/>
  <c r="BG35" i="17"/>
  <c r="BF35" i="17"/>
  <c r="BE35" i="17"/>
  <c r="BD35" i="17"/>
  <c r="BC35" i="17"/>
  <c r="BB35" i="17"/>
  <c r="BA35" i="17"/>
  <c r="AZ35" i="17"/>
  <c r="AY35" i="17"/>
  <c r="AX35" i="17"/>
  <c r="AW35" i="17"/>
  <c r="AV35" i="17"/>
  <c r="AU35" i="17"/>
  <c r="AT35" i="17"/>
  <c r="AS35" i="17"/>
  <c r="AR35" i="17"/>
  <c r="AQ35" i="17"/>
  <c r="AP35" i="17"/>
  <c r="AO35" i="17"/>
  <c r="AN35" i="17"/>
  <c r="AM35" i="17"/>
  <c r="AL35" i="17"/>
  <c r="AK35" i="17"/>
  <c r="AJ35" i="17"/>
  <c r="AI35" i="17"/>
  <c r="AH35" i="17"/>
  <c r="AG35" i="17"/>
  <c r="AF35" i="17"/>
  <c r="AE35" i="17"/>
  <c r="AD35" i="17"/>
  <c r="AC35" i="17"/>
  <c r="AB35" i="17"/>
  <c r="AA35" i="17"/>
  <c r="Z35" i="17"/>
  <c r="Y35" i="17"/>
  <c r="X35" i="17"/>
  <c r="W35" i="17"/>
  <c r="V35" i="17"/>
  <c r="U35" i="17"/>
  <c r="T35" i="17"/>
  <c r="S35" i="17"/>
  <c r="R35" i="17"/>
  <c r="Q35" i="17"/>
  <c r="P35" i="17"/>
  <c r="O35" i="17"/>
  <c r="N35" i="17"/>
  <c r="M35" i="17"/>
  <c r="L35" i="17"/>
  <c r="K35" i="17"/>
  <c r="J35" i="17"/>
  <c r="I35" i="17"/>
  <c r="H35" i="17"/>
  <c r="G35" i="17"/>
  <c r="F35" i="17"/>
  <c r="E35" i="17"/>
  <c r="D35" i="17"/>
  <c r="C35" i="17"/>
  <c r="BJ34" i="17"/>
  <c r="BI34" i="17"/>
  <c r="BH34" i="17"/>
  <c r="BG34" i="17"/>
  <c r="BF34" i="17"/>
  <c r="BE34" i="17"/>
  <c r="BD34" i="17"/>
  <c r="BC34" i="17"/>
  <c r="BB34" i="17"/>
  <c r="BA34" i="17"/>
  <c r="AZ34" i="17"/>
  <c r="AY34" i="17"/>
  <c r="AX34" i="17"/>
  <c r="AW34" i="17"/>
  <c r="AV34" i="17"/>
  <c r="AU34" i="17"/>
  <c r="AT34" i="17"/>
  <c r="AS34" i="17"/>
  <c r="AR34" i="17"/>
  <c r="AQ34" i="17"/>
  <c r="AP34" i="17"/>
  <c r="AO34" i="17"/>
  <c r="AN34" i="17"/>
  <c r="AM34" i="17"/>
  <c r="AL34" i="17"/>
  <c r="AK34" i="17"/>
  <c r="AJ34" i="17"/>
  <c r="AI34" i="17"/>
  <c r="AH34" i="17"/>
  <c r="AG34" i="17"/>
  <c r="AF34" i="17"/>
  <c r="AE34" i="17"/>
  <c r="AD34" i="17"/>
  <c r="AC34" i="17"/>
  <c r="AB34" i="17"/>
  <c r="AA34" i="17"/>
  <c r="Z34" i="17"/>
  <c r="Y34" i="17"/>
  <c r="X34" i="17"/>
  <c r="W34" i="17"/>
  <c r="V34" i="17"/>
  <c r="U34" i="17"/>
  <c r="T34" i="17"/>
  <c r="S34" i="17"/>
  <c r="R34" i="17"/>
  <c r="Q34" i="17"/>
  <c r="P34" i="17"/>
  <c r="O34" i="17"/>
  <c r="N34" i="17"/>
  <c r="M34" i="17"/>
  <c r="L34" i="17"/>
  <c r="K34" i="17"/>
  <c r="J34" i="17"/>
  <c r="I34" i="17"/>
  <c r="H34" i="17"/>
  <c r="G34" i="17"/>
  <c r="F34" i="17"/>
  <c r="E34" i="17"/>
  <c r="D34" i="17"/>
  <c r="C34" i="17"/>
  <c r="BJ33" i="17"/>
  <c r="BI33" i="17"/>
  <c r="BH33" i="17"/>
  <c r="BG33" i="17"/>
  <c r="BF33" i="17"/>
  <c r="BE33" i="17"/>
  <c r="BD33" i="17"/>
  <c r="BC33" i="17"/>
  <c r="BB33" i="17"/>
  <c r="BA33" i="17"/>
  <c r="AZ33" i="17"/>
  <c r="AY33" i="17"/>
  <c r="AX33" i="17"/>
  <c r="AW33" i="17"/>
  <c r="AV33" i="17"/>
  <c r="AU33" i="17"/>
  <c r="AT33" i="17"/>
  <c r="AS33" i="17"/>
  <c r="AR33" i="17"/>
  <c r="AQ33" i="17"/>
  <c r="AP33" i="17"/>
  <c r="AO33" i="17"/>
  <c r="AN33" i="17"/>
  <c r="AM33" i="17"/>
  <c r="AL33" i="17"/>
  <c r="AK33" i="17"/>
  <c r="AJ33" i="17"/>
  <c r="AI33" i="17"/>
  <c r="AH33" i="17"/>
  <c r="AG33" i="17"/>
  <c r="AF33" i="17"/>
  <c r="AE33" i="17"/>
  <c r="AD33" i="17"/>
  <c r="AC33" i="17"/>
  <c r="AB33" i="17"/>
  <c r="AA33" i="17"/>
  <c r="Z33" i="17"/>
  <c r="Y33" i="17"/>
  <c r="X33" i="17"/>
  <c r="W33" i="17"/>
  <c r="V33" i="17"/>
  <c r="U33" i="17"/>
  <c r="T33" i="17"/>
  <c r="S33" i="17"/>
  <c r="R33" i="17"/>
  <c r="Q33" i="17"/>
  <c r="P33" i="17"/>
  <c r="O33" i="17"/>
  <c r="N33" i="17"/>
  <c r="M33" i="17"/>
  <c r="L33" i="17"/>
  <c r="K33" i="17"/>
  <c r="J33" i="17"/>
  <c r="I33" i="17"/>
  <c r="H33" i="17"/>
  <c r="G33" i="17"/>
  <c r="F33" i="17"/>
  <c r="E33" i="17"/>
  <c r="D33" i="17"/>
  <c r="C33" i="17"/>
  <c r="BJ32" i="17"/>
  <c r="BI32" i="17"/>
  <c r="BH32" i="17"/>
  <c r="BG32" i="17"/>
  <c r="BF32" i="17"/>
  <c r="BE32" i="17"/>
  <c r="BD32" i="17"/>
  <c r="BC32" i="17"/>
  <c r="BB32" i="17"/>
  <c r="BA32" i="17"/>
  <c r="AZ32" i="17"/>
  <c r="AY32" i="17"/>
  <c r="AX32" i="17"/>
  <c r="AW32" i="17"/>
  <c r="AV32" i="17"/>
  <c r="AU32" i="17"/>
  <c r="AT32" i="17"/>
  <c r="AS32" i="17"/>
  <c r="AR32" i="17"/>
  <c r="AQ32" i="17"/>
  <c r="AP32" i="17"/>
  <c r="AO32" i="17"/>
  <c r="AN32" i="17"/>
  <c r="AM32" i="17"/>
  <c r="AL32" i="17"/>
  <c r="AK32" i="17"/>
  <c r="AJ32" i="17"/>
  <c r="AI32" i="17"/>
  <c r="AH32" i="17"/>
  <c r="AG32" i="17"/>
  <c r="AF32" i="17"/>
  <c r="AE32" i="17"/>
  <c r="AD32" i="17"/>
  <c r="AC32" i="17"/>
  <c r="AB32" i="17"/>
  <c r="AA32" i="17"/>
  <c r="Z32" i="17"/>
  <c r="Y32" i="17"/>
  <c r="X32" i="17"/>
  <c r="W32" i="17"/>
  <c r="V32" i="17"/>
  <c r="U32" i="17"/>
  <c r="T32" i="17"/>
  <c r="S32" i="17"/>
  <c r="R32" i="17"/>
  <c r="Q32" i="17"/>
  <c r="P32" i="17"/>
  <c r="O32" i="17"/>
  <c r="N32" i="17"/>
  <c r="M32" i="17"/>
  <c r="L32" i="17"/>
  <c r="K32" i="17"/>
  <c r="J32" i="17"/>
  <c r="I32" i="17"/>
  <c r="H32" i="17"/>
  <c r="G32" i="17"/>
  <c r="F32" i="17"/>
  <c r="E32" i="17"/>
  <c r="D32" i="17"/>
  <c r="C32" i="17"/>
  <c r="BJ31" i="17"/>
  <c r="BI31" i="17"/>
  <c r="BH31" i="17"/>
  <c r="BG31" i="17"/>
  <c r="BF31" i="17"/>
  <c r="BE31" i="17"/>
  <c r="BD31" i="17"/>
  <c r="BC31" i="17"/>
  <c r="BB31" i="17"/>
  <c r="BA31" i="17"/>
  <c r="AZ31" i="17"/>
  <c r="AY31" i="17"/>
  <c r="AX31" i="17"/>
  <c r="AW31" i="17"/>
  <c r="AV31" i="17"/>
  <c r="AU31" i="17"/>
  <c r="AT31" i="17"/>
  <c r="AS31" i="17"/>
  <c r="AR31" i="17"/>
  <c r="AQ31" i="17"/>
  <c r="AP31" i="17"/>
  <c r="AO31" i="17"/>
  <c r="AN31" i="17"/>
  <c r="AM31" i="17"/>
  <c r="AL31" i="17"/>
  <c r="AK31" i="17"/>
  <c r="AJ31" i="17"/>
  <c r="AI31" i="17"/>
  <c r="AH31" i="17"/>
  <c r="AG31" i="17"/>
  <c r="AF31" i="17"/>
  <c r="AE31" i="17"/>
  <c r="AD31" i="17"/>
  <c r="AC31" i="17"/>
  <c r="AB31" i="17"/>
  <c r="AA31" i="17"/>
  <c r="Z31" i="17"/>
  <c r="Y31" i="17"/>
  <c r="X31" i="17"/>
  <c r="W31" i="17"/>
  <c r="V31" i="17"/>
  <c r="U31" i="17"/>
  <c r="T31" i="17"/>
  <c r="S31" i="17"/>
  <c r="R31" i="17"/>
  <c r="Q31" i="17"/>
  <c r="P31" i="17"/>
  <c r="O31" i="17"/>
  <c r="N31" i="17"/>
  <c r="M31" i="17"/>
  <c r="L31" i="17"/>
  <c r="K31" i="17"/>
  <c r="J31" i="17"/>
  <c r="I31" i="17"/>
  <c r="H31" i="17"/>
  <c r="G31" i="17"/>
  <c r="F31" i="17"/>
  <c r="E31" i="17"/>
  <c r="D31" i="17"/>
  <c r="C31" i="17"/>
  <c r="BJ30" i="17"/>
  <c r="BI30" i="17"/>
  <c r="BH30" i="17"/>
  <c r="BG30" i="17"/>
  <c r="BF30" i="17"/>
  <c r="BE30" i="17"/>
  <c r="BD30" i="17"/>
  <c r="BC30" i="17"/>
  <c r="BB30" i="17"/>
  <c r="BA30" i="17"/>
  <c r="AZ30" i="17"/>
  <c r="AY30" i="17"/>
  <c r="AX30" i="17"/>
  <c r="AW30" i="17"/>
  <c r="AV30" i="17"/>
  <c r="AU30" i="17"/>
  <c r="AT30" i="17"/>
  <c r="AS30" i="17"/>
  <c r="AR30" i="17"/>
  <c r="AQ30" i="17"/>
  <c r="AP30" i="17"/>
  <c r="AO30" i="17"/>
  <c r="AN30" i="17"/>
  <c r="AM30" i="17"/>
  <c r="AL30" i="17"/>
  <c r="AK30" i="17"/>
  <c r="AJ30" i="17"/>
  <c r="AI30" i="17"/>
  <c r="AH30" i="17"/>
  <c r="AG30" i="17"/>
  <c r="AF30" i="17"/>
  <c r="AE30" i="17"/>
  <c r="AD30" i="17"/>
  <c r="AC30" i="17"/>
  <c r="AB30" i="17"/>
  <c r="AA30" i="17"/>
  <c r="Z30" i="17"/>
  <c r="Y30" i="17"/>
  <c r="X30" i="17"/>
  <c r="W30" i="17"/>
  <c r="V30" i="17"/>
  <c r="U30" i="17"/>
  <c r="T30" i="17"/>
  <c r="S30" i="17"/>
  <c r="R30" i="17"/>
  <c r="Q30" i="17"/>
  <c r="P30" i="17"/>
  <c r="O30" i="17"/>
  <c r="N30" i="17"/>
  <c r="M30" i="17"/>
  <c r="L30" i="17"/>
  <c r="K30" i="17"/>
  <c r="J30" i="17"/>
  <c r="I30" i="17"/>
  <c r="H30" i="17"/>
  <c r="G30" i="17"/>
  <c r="F30" i="17"/>
  <c r="E30" i="17"/>
  <c r="D30" i="17"/>
  <c r="C30" i="17"/>
  <c r="BJ29" i="17"/>
  <c r="BI29" i="17"/>
  <c r="BH29" i="17"/>
  <c r="BG29" i="17"/>
  <c r="BF29" i="17"/>
  <c r="BE29" i="17"/>
  <c r="BD29" i="17"/>
  <c r="BC29" i="17"/>
  <c r="BB29" i="17"/>
  <c r="BA29" i="17"/>
  <c r="AZ29" i="17"/>
  <c r="AY29" i="17"/>
  <c r="AX29" i="17"/>
  <c r="AW29" i="17"/>
  <c r="AV29" i="17"/>
  <c r="AU29" i="17"/>
  <c r="AT29" i="17"/>
  <c r="AS29" i="17"/>
  <c r="AR29" i="17"/>
  <c r="AQ29" i="17"/>
  <c r="AP29" i="17"/>
  <c r="AO29" i="17"/>
  <c r="AN29" i="17"/>
  <c r="AM29" i="17"/>
  <c r="AL29" i="17"/>
  <c r="AK29" i="17"/>
  <c r="AJ29" i="17"/>
  <c r="AI29" i="17"/>
  <c r="AH29" i="17"/>
  <c r="AG29" i="17"/>
  <c r="AF29" i="17"/>
  <c r="AE29" i="17"/>
  <c r="AD29" i="17"/>
  <c r="AC29" i="17"/>
  <c r="AB29" i="17"/>
  <c r="AA29" i="17"/>
  <c r="Z29" i="17"/>
  <c r="Y29" i="17"/>
  <c r="X29" i="17"/>
  <c r="W29" i="17"/>
  <c r="V29" i="17"/>
  <c r="U29" i="17"/>
  <c r="T29" i="17"/>
  <c r="S29" i="17"/>
  <c r="R29" i="17"/>
  <c r="Q29" i="17"/>
  <c r="P29" i="17"/>
  <c r="O29" i="17"/>
  <c r="N29" i="17"/>
  <c r="M29" i="17"/>
  <c r="L29" i="17"/>
  <c r="K29" i="17"/>
  <c r="J29" i="17"/>
  <c r="I29" i="17"/>
  <c r="H29" i="17"/>
  <c r="G29" i="17"/>
  <c r="F29" i="17"/>
  <c r="E29" i="17"/>
  <c r="D29" i="17"/>
  <c r="C29" i="17"/>
  <c r="BJ28" i="17"/>
  <c r="BI28" i="17"/>
  <c r="BH28" i="17"/>
  <c r="BG28" i="17"/>
  <c r="BF28" i="17"/>
  <c r="BE28" i="17"/>
  <c r="BD28" i="17"/>
  <c r="BC28" i="17"/>
  <c r="BB28" i="17"/>
  <c r="BA28" i="17"/>
  <c r="AZ28" i="17"/>
  <c r="AY28" i="17"/>
  <c r="AX28" i="17"/>
  <c r="AW28" i="17"/>
  <c r="AV28" i="17"/>
  <c r="AU28" i="17"/>
  <c r="AT28" i="17"/>
  <c r="AS28" i="17"/>
  <c r="AR28" i="17"/>
  <c r="AQ28" i="17"/>
  <c r="AP28" i="17"/>
  <c r="AO28" i="17"/>
  <c r="AN28" i="17"/>
  <c r="AM28" i="17"/>
  <c r="AL28" i="17"/>
  <c r="AK28" i="17"/>
  <c r="AJ28" i="17"/>
  <c r="AI28" i="17"/>
  <c r="AH28" i="17"/>
  <c r="AG28" i="17"/>
  <c r="AF28" i="17"/>
  <c r="AE28" i="17"/>
  <c r="AD28" i="17"/>
  <c r="AC28" i="17"/>
  <c r="AB28" i="17"/>
  <c r="AA28" i="17"/>
  <c r="Z28" i="17"/>
  <c r="Y28" i="17"/>
  <c r="X28" i="17"/>
  <c r="W28" i="17"/>
  <c r="V28" i="17"/>
  <c r="U28" i="17"/>
  <c r="T28" i="17"/>
  <c r="S28" i="17"/>
  <c r="R28" i="17"/>
  <c r="Q28" i="17"/>
  <c r="P28" i="17"/>
  <c r="O28" i="17"/>
  <c r="N28" i="17"/>
  <c r="M28" i="17"/>
  <c r="L28" i="17"/>
  <c r="K28" i="17"/>
  <c r="J28" i="17"/>
  <c r="I28" i="17"/>
  <c r="H28" i="17"/>
  <c r="G28" i="17"/>
  <c r="F28" i="17"/>
  <c r="E28" i="17"/>
  <c r="D28" i="17"/>
  <c r="C28" i="17"/>
  <c r="BJ27" i="17"/>
  <c r="BI27" i="17"/>
  <c r="BH27" i="17"/>
  <c r="BG27" i="17"/>
  <c r="BF27" i="17"/>
  <c r="BE27" i="17"/>
  <c r="BD27" i="17"/>
  <c r="BC27" i="17"/>
  <c r="BB27" i="17"/>
  <c r="BA27" i="17"/>
  <c r="AZ27" i="17"/>
  <c r="AY27" i="17"/>
  <c r="AX27" i="17"/>
  <c r="AW27" i="17"/>
  <c r="AV27" i="17"/>
  <c r="AU27" i="17"/>
  <c r="AT27" i="17"/>
  <c r="AS27" i="17"/>
  <c r="AR27" i="17"/>
  <c r="AQ27" i="17"/>
  <c r="AP27" i="17"/>
  <c r="AO27" i="17"/>
  <c r="AN27" i="17"/>
  <c r="AM27" i="17"/>
  <c r="AL27" i="17"/>
  <c r="AK27" i="17"/>
  <c r="AJ27" i="17"/>
  <c r="AI27" i="17"/>
  <c r="AH27" i="17"/>
  <c r="AG27" i="17"/>
  <c r="AF27" i="17"/>
  <c r="AE27" i="17"/>
  <c r="AD27" i="17"/>
  <c r="AC27" i="17"/>
  <c r="AB27" i="17"/>
  <c r="AA27" i="17"/>
  <c r="Z27" i="17"/>
  <c r="Y27" i="17"/>
  <c r="X27" i="17"/>
  <c r="W27" i="17"/>
  <c r="V27" i="17"/>
  <c r="U27" i="17"/>
  <c r="T27" i="17"/>
  <c r="S27" i="17"/>
  <c r="R27" i="17"/>
  <c r="Q27" i="17"/>
  <c r="P27" i="17"/>
  <c r="O27" i="17"/>
  <c r="N27" i="17"/>
  <c r="M27" i="17"/>
  <c r="L27" i="17"/>
  <c r="K27" i="17"/>
  <c r="J27" i="17"/>
  <c r="I27" i="17"/>
  <c r="H27" i="17"/>
  <c r="G27" i="17"/>
  <c r="F27" i="17"/>
  <c r="E27" i="17"/>
  <c r="D27" i="17"/>
  <c r="C27" i="17"/>
  <c r="BJ26" i="17"/>
  <c r="BI26" i="17"/>
  <c r="BH26" i="17"/>
  <c r="BG26" i="17"/>
  <c r="BF26" i="17"/>
  <c r="BE26" i="17"/>
  <c r="BD26" i="17"/>
  <c r="BC26" i="17"/>
  <c r="BB26" i="17"/>
  <c r="BA26" i="17"/>
  <c r="AZ26" i="17"/>
  <c r="AY26" i="17"/>
  <c r="AX26" i="17"/>
  <c r="AW26" i="17"/>
  <c r="AV26" i="17"/>
  <c r="AU26" i="17"/>
  <c r="AT26" i="17"/>
  <c r="AS26" i="17"/>
  <c r="AR26" i="17"/>
  <c r="AQ26" i="17"/>
  <c r="AP26" i="17"/>
  <c r="AO26" i="17"/>
  <c r="AN26" i="17"/>
  <c r="AM26" i="17"/>
  <c r="AL26" i="17"/>
  <c r="AK26" i="17"/>
  <c r="AJ26" i="17"/>
  <c r="AI26" i="17"/>
  <c r="AH26" i="17"/>
  <c r="AG26" i="17"/>
  <c r="AF26" i="17"/>
  <c r="AE26" i="17"/>
  <c r="AD26" i="17"/>
  <c r="AC26" i="17"/>
  <c r="AB26" i="17"/>
  <c r="AA26" i="17"/>
  <c r="Z26" i="17"/>
  <c r="Y26" i="17"/>
  <c r="X26" i="17"/>
  <c r="W26" i="17"/>
  <c r="V26" i="17"/>
  <c r="U26" i="17"/>
  <c r="T26" i="17"/>
  <c r="S26" i="17"/>
  <c r="R26" i="17"/>
  <c r="Q26" i="17"/>
  <c r="P26" i="17"/>
  <c r="O26" i="17"/>
  <c r="N26" i="17"/>
  <c r="M26" i="17"/>
  <c r="L26" i="17"/>
  <c r="K26" i="17"/>
  <c r="J26" i="17"/>
  <c r="I26" i="17"/>
  <c r="H26" i="17"/>
  <c r="G26" i="17"/>
  <c r="F26" i="17"/>
  <c r="E26" i="17"/>
  <c r="D26" i="17"/>
  <c r="C26" i="17"/>
  <c r="BJ25" i="17"/>
  <c r="BI25" i="17"/>
  <c r="BH25" i="17"/>
  <c r="BG25" i="17"/>
  <c r="BF25" i="17"/>
  <c r="BE25" i="17"/>
  <c r="BD25" i="17"/>
  <c r="BC25" i="17"/>
  <c r="BB25" i="17"/>
  <c r="BA25" i="17"/>
  <c r="AZ25" i="17"/>
  <c r="AY25" i="17"/>
  <c r="AX25" i="17"/>
  <c r="AW25" i="17"/>
  <c r="AV25" i="17"/>
  <c r="AU25" i="17"/>
  <c r="AT25" i="17"/>
  <c r="AS25" i="17"/>
  <c r="AR25" i="17"/>
  <c r="AQ25" i="17"/>
  <c r="AP25" i="17"/>
  <c r="AO25" i="17"/>
  <c r="AN25" i="17"/>
  <c r="AM25" i="17"/>
  <c r="AL25" i="17"/>
  <c r="AK25" i="17"/>
  <c r="AJ25" i="17"/>
  <c r="AI25" i="17"/>
  <c r="AH25" i="17"/>
  <c r="AG25" i="17"/>
  <c r="AF25" i="17"/>
  <c r="AE25" i="17"/>
  <c r="AD25" i="17"/>
  <c r="AC25" i="17"/>
  <c r="AB25" i="17"/>
  <c r="AA25" i="17"/>
  <c r="Z25" i="17"/>
  <c r="Y25" i="17"/>
  <c r="X25" i="17"/>
  <c r="W25" i="17"/>
  <c r="V25" i="17"/>
  <c r="U25" i="17"/>
  <c r="T25" i="17"/>
  <c r="S25" i="17"/>
  <c r="R25" i="17"/>
  <c r="Q25" i="17"/>
  <c r="P25" i="17"/>
  <c r="O25" i="17"/>
  <c r="N25" i="17"/>
  <c r="M25" i="17"/>
  <c r="L25" i="17"/>
  <c r="K25" i="17"/>
  <c r="J25" i="17"/>
  <c r="I25" i="17"/>
  <c r="H25" i="17"/>
  <c r="G25" i="17"/>
  <c r="F25" i="17"/>
  <c r="E25" i="17"/>
  <c r="D25" i="17"/>
  <c r="C25" i="17"/>
  <c r="BJ24" i="17"/>
  <c r="BI24" i="17"/>
  <c r="BH24" i="17"/>
  <c r="BG24" i="17"/>
  <c r="BF24" i="17"/>
  <c r="BE24" i="17"/>
  <c r="BD24" i="17"/>
  <c r="BC24" i="17"/>
  <c r="BB24" i="17"/>
  <c r="BA24" i="17"/>
  <c r="AZ24" i="17"/>
  <c r="AY24" i="17"/>
  <c r="AX24" i="17"/>
  <c r="AW24" i="17"/>
  <c r="AV24" i="17"/>
  <c r="AU24" i="17"/>
  <c r="AT24" i="17"/>
  <c r="AS24" i="17"/>
  <c r="AR24" i="17"/>
  <c r="AQ24" i="17"/>
  <c r="AP24" i="17"/>
  <c r="AO24" i="17"/>
  <c r="AN24" i="17"/>
  <c r="AM24" i="17"/>
  <c r="AL24" i="17"/>
  <c r="AK24" i="17"/>
  <c r="AJ24" i="17"/>
  <c r="AI24" i="17"/>
  <c r="AH24" i="17"/>
  <c r="AG24" i="17"/>
  <c r="AF24" i="17"/>
  <c r="AE24" i="17"/>
  <c r="AD24" i="17"/>
  <c r="AC24" i="17"/>
  <c r="AB24" i="17"/>
  <c r="AA24" i="17"/>
  <c r="Z24" i="17"/>
  <c r="Y24" i="17"/>
  <c r="X24" i="17"/>
  <c r="W24" i="17"/>
  <c r="V24" i="17"/>
  <c r="U24" i="17"/>
  <c r="T24" i="17"/>
  <c r="S24" i="17"/>
  <c r="R24" i="17"/>
  <c r="Q24" i="17"/>
  <c r="P24" i="17"/>
  <c r="O24" i="17"/>
  <c r="N24" i="17"/>
  <c r="M24" i="17"/>
  <c r="L24" i="17"/>
  <c r="K24" i="17"/>
  <c r="J24" i="17"/>
  <c r="I24" i="17"/>
  <c r="H24" i="17"/>
  <c r="G24" i="17"/>
  <c r="F24" i="17"/>
  <c r="E24" i="17"/>
  <c r="D24" i="17"/>
  <c r="C24" i="17"/>
  <c r="BJ23" i="17"/>
  <c r="BI23" i="17"/>
  <c r="BH23" i="17"/>
  <c r="BG23" i="17"/>
  <c r="BF23" i="17"/>
  <c r="BE23" i="17"/>
  <c r="BD23" i="17"/>
  <c r="BC23" i="17"/>
  <c r="BB23" i="17"/>
  <c r="BA23" i="17"/>
  <c r="AZ23" i="17"/>
  <c r="AY23" i="17"/>
  <c r="AX23" i="17"/>
  <c r="AW23" i="17"/>
  <c r="AV23" i="17"/>
  <c r="AU23" i="17"/>
  <c r="AT23" i="17"/>
  <c r="AS23" i="17"/>
  <c r="AR23" i="17"/>
  <c r="AQ23" i="17"/>
  <c r="AP23" i="17"/>
  <c r="AO23" i="17"/>
  <c r="AN23" i="17"/>
  <c r="AM23" i="17"/>
  <c r="AL23" i="17"/>
  <c r="AK23" i="17"/>
  <c r="AJ23" i="17"/>
  <c r="AI23" i="17"/>
  <c r="AH23" i="17"/>
  <c r="AG23" i="17"/>
  <c r="AF23" i="17"/>
  <c r="AE23" i="17"/>
  <c r="AD23" i="17"/>
  <c r="AC23" i="17"/>
  <c r="AB23" i="17"/>
  <c r="AA23" i="17"/>
  <c r="Z23" i="17"/>
  <c r="Y23" i="17"/>
  <c r="X23" i="17"/>
  <c r="W23" i="17"/>
  <c r="V23" i="17"/>
  <c r="U23" i="17"/>
  <c r="T23" i="17"/>
  <c r="S23" i="17"/>
  <c r="R23" i="17"/>
  <c r="Q23" i="17"/>
  <c r="P23" i="17"/>
  <c r="O23" i="17"/>
  <c r="N23" i="17"/>
  <c r="M23" i="17"/>
  <c r="L23" i="17"/>
  <c r="K23" i="17"/>
  <c r="J23" i="17"/>
  <c r="I23" i="17"/>
  <c r="H23" i="17"/>
  <c r="G23" i="17"/>
  <c r="F23" i="17"/>
  <c r="E23" i="17"/>
  <c r="D23" i="17"/>
  <c r="C23" i="17"/>
  <c r="BJ22" i="17"/>
  <c r="BI22" i="17"/>
  <c r="BH22" i="17"/>
  <c r="BG22" i="17"/>
  <c r="BF22" i="17"/>
  <c r="BE22" i="17"/>
  <c r="BD22" i="17"/>
  <c r="BC22" i="17"/>
  <c r="BB22" i="17"/>
  <c r="BA22" i="17"/>
  <c r="AZ22" i="17"/>
  <c r="AY22" i="17"/>
  <c r="AX22" i="17"/>
  <c r="AW22" i="17"/>
  <c r="AV22" i="17"/>
  <c r="AU22" i="17"/>
  <c r="AT22" i="17"/>
  <c r="AS22" i="17"/>
  <c r="AR22" i="17"/>
  <c r="AQ22" i="17"/>
  <c r="AP22" i="17"/>
  <c r="AO22" i="17"/>
  <c r="AN22" i="17"/>
  <c r="AM22" i="17"/>
  <c r="AL22" i="17"/>
  <c r="AK22" i="17"/>
  <c r="AJ22" i="17"/>
  <c r="AI22" i="17"/>
  <c r="AH22" i="17"/>
  <c r="AG22" i="17"/>
  <c r="AF22" i="17"/>
  <c r="AE22" i="17"/>
  <c r="AD22" i="17"/>
  <c r="AC22" i="17"/>
  <c r="AB22" i="17"/>
  <c r="AA22" i="17"/>
  <c r="Z22" i="17"/>
  <c r="Y22" i="17"/>
  <c r="X22" i="17"/>
  <c r="W22" i="17"/>
  <c r="V22" i="17"/>
  <c r="U22" i="17"/>
  <c r="T22" i="17"/>
  <c r="S22" i="17"/>
  <c r="R22" i="17"/>
  <c r="Q22" i="17"/>
  <c r="P22" i="17"/>
  <c r="O22" i="17"/>
  <c r="N22" i="17"/>
  <c r="M22" i="17"/>
  <c r="L22" i="17"/>
  <c r="K22" i="17"/>
  <c r="J22" i="17"/>
  <c r="I22" i="17"/>
  <c r="H22" i="17"/>
  <c r="G22" i="17"/>
  <c r="F22" i="17"/>
  <c r="E22" i="17"/>
  <c r="D22" i="17"/>
  <c r="C22" i="17"/>
  <c r="BJ21" i="17"/>
  <c r="BI21" i="17"/>
  <c r="BH21" i="17"/>
  <c r="BG21" i="17"/>
  <c r="BF21" i="17"/>
  <c r="BE21" i="17"/>
  <c r="BD21" i="17"/>
  <c r="BC21" i="17"/>
  <c r="BB21" i="17"/>
  <c r="BA21" i="17"/>
  <c r="AZ21" i="17"/>
  <c r="AY21" i="17"/>
  <c r="AX21" i="17"/>
  <c r="AW21" i="17"/>
  <c r="AV21" i="17"/>
  <c r="AU21" i="17"/>
  <c r="AT21" i="17"/>
  <c r="AS21" i="17"/>
  <c r="AR21" i="17"/>
  <c r="AQ21" i="17"/>
  <c r="AP21" i="17"/>
  <c r="AO21" i="17"/>
  <c r="AN21" i="17"/>
  <c r="AM21" i="17"/>
  <c r="AL21" i="17"/>
  <c r="AK21" i="17"/>
  <c r="AJ21" i="17"/>
  <c r="AI21" i="17"/>
  <c r="AH21" i="17"/>
  <c r="AG21" i="17"/>
  <c r="AF21" i="17"/>
  <c r="AE21" i="17"/>
  <c r="AD21" i="17"/>
  <c r="AC21" i="17"/>
  <c r="AB21" i="17"/>
  <c r="AA21" i="17"/>
  <c r="Z21" i="17"/>
  <c r="Y21" i="17"/>
  <c r="X21" i="17"/>
  <c r="W21" i="17"/>
  <c r="V21" i="17"/>
  <c r="U21" i="17"/>
  <c r="T21" i="17"/>
  <c r="S21" i="17"/>
  <c r="R21" i="17"/>
  <c r="Q21" i="17"/>
  <c r="P21" i="17"/>
  <c r="O21" i="17"/>
  <c r="N21" i="17"/>
  <c r="M21" i="17"/>
  <c r="L21" i="17"/>
  <c r="K21" i="17"/>
  <c r="J21" i="17"/>
  <c r="I21" i="17"/>
  <c r="H21" i="17"/>
  <c r="G21" i="17"/>
  <c r="F21" i="17"/>
  <c r="E21" i="17"/>
  <c r="D21" i="17"/>
  <c r="C21" i="17"/>
  <c r="BJ20" i="17"/>
  <c r="BI20" i="17"/>
  <c r="BH20" i="17"/>
  <c r="BG20" i="17"/>
  <c r="BF20" i="17"/>
  <c r="BE20" i="17"/>
  <c r="BD20" i="17"/>
  <c r="BC20" i="17"/>
  <c r="BB20" i="17"/>
  <c r="BA20" i="17"/>
  <c r="AZ20" i="17"/>
  <c r="AY20" i="17"/>
  <c r="AX20" i="17"/>
  <c r="AW20" i="17"/>
  <c r="AV20" i="17"/>
  <c r="AU20" i="17"/>
  <c r="AT20" i="17"/>
  <c r="AS20" i="17"/>
  <c r="AR20" i="17"/>
  <c r="AQ20" i="17"/>
  <c r="AP20" i="17"/>
  <c r="AO20" i="17"/>
  <c r="AN20" i="17"/>
  <c r="AM20" i="17"/>
  <c r="AL20" i="17"/>
  <c r="AK20" i="17"/>
  <c r="AJ20" i="17"/>
  <c r="AI20" i="17"/>
  <c r="AH20" i="17"/>
  <c r="AG20" i="17"/>
  <c r="AF20" i="17"/>
  <c r="AE20" i="17"/>
  <c r="AD20" i="17"/>
  <c r="AC20" i="17"/>
  <c r="AB20" i="17"/>
  <c r="AA20" i="17"/>
  <c r="Z20" i="17"/>
  <c r="Y20" i="17"/>
  <c r="X20" i="17"/>
  <c r="W20" i="17"/>
  <c r="V20" i="17"/>
  <c r="U20" i="17"/>
  <c r="T20" i="17"/>
  <c r="S20" i="17"/>
  <c r="R20" i="17"/>
  <c r="Q20" i="17"/>
  <c r="P20" i="17"/>
  <c r="O20" i="17"/>
  <c r="N20" i="17"/>
  <c r="M20" i="17"/>
  <c r="L20" i="17"/>
  <c r="K20" i="17"/>
  <c r="J20" i="17"/>
  <c r="I20" i="17"/>
  <c r="H20" i="17"/>
  <c r="G20" i="17"/>
  <c r="F20" i="17"/>
  <c r="E20" i="17"/>
  <c r="D20" i="17"/>
  <c r="C20" i="17"/>
  <c r="BJ19" i="17"/>
  <c r="BI19" i="17"/>
  <c r="BH19" i="17"/>
  <c r="BG19" i="17"/>
  <c r="BF19" i="17"/>
  <c r="BE19" i="17"/>
  <c r="BD19" i="17"/>
  <c r="BC19" i="17"/>
  <c r="BB19" i="17"/>
  <c r="BA19" i="17"/>
  <c r="AZ19" i="17"/>
  <c r="AY19" i="17"/>
  <c r="AX19" i="17"/>
  <c r="AW19" i="17"/>
  <c r="AV19" i="17"/>
  <c r="AU19" i="17"/>
  <c r="AT19" i="17"/>
  <c r="AS19" i="17"/>
  <c r="AR19" i="17"/>
  <c r="AQ19" i="17"/>
  <c r="AP19" i="17"/>
  <c r="AO19" i="17"/>
  <c r="AN19" i="17"/>
  <c r="AM19" i="17"/>
  <c r="AL19" i="17"/>
  <c r="AK19" i="17"/>
  <c r="AJ19" i="17"/>
  <c r="AI19" i="17"/>
  <c r="AH19" i="17"/>
  <c r="AG19" i="17"/>
  <c r="AF19" i="17"/>
  <c r="AE19" i="17"/>
  <c r="AD19" i="17"/>
  <c r="AC19" i="17"/>
  <c r="AB19" i="17"/>
  <c r="AA19" i="17"/>
  <c r="Z19" i="17"/>
  <c r="Y19" i="17"/>
  <c r="X19" i="17"/>
  <c r="W19" i="17"/>
  <c r="V19" i="17"/>
  <c r="U19" i="17"/>
  <c r="T19" i="17"/>
  <c r="S19" i="17"/>
  <c r="R19" i="17"/>
  <c r="Q19" i="17"/>
  <c r="P19" i="17"/>
  <c r="O19" i="17"/>
  <c r="N19" i="17"/>
  <c r="M19" i="17"/>
  <c r="L19" i="17"/>
  <c r="K19" i="17"/>
  <c r="J19" i="17"/>
  <c r="I19" i="17"/>
  <c r="H19" i="17"/>
  <c r="G19" i="17"/>
  <c r="F19" i="17"/>
  <c r="E19" i="17"/>
  <c r="D19" i="17"/>
  <c r="C19" i="17"/>
  <c r="BJ18" i="17"/>
  <c r="BI18" i="17"/>
  <c r="BH18" i="17"/>
  <c r="BG18" i="17"/>
  <c r="BF18" i="17"/>
  <c r="BE18" i="17"/>
  <c r="BD18" i="17"/>
  <c r="BC18" i="17"/>
  <c r="BB18" i="17"/>
  <c r="BA18" i="17"/>
  <c r="AZ18" i="17"/>
  <c r="AY18" i="17"/>
  <c r="AX18" i="17"/>
  <c r="AW18" i="17"/>
  <c r="AV18" i="17"/>
  <c r="AU18" i="17"/>
  <c r="AT18" i="17"/>
  <c r="AS18" i="17"/>
  <c r="AR18" i="17"/>
  <c r="AQ18" i="17"/>
  <c r="AP18" i="17"/>
  <c r="AO18" i="17"/>
  <c r="AN18" i="17"/>
  <c r="AM18" i="17"/>
  <c r="AL18" i="17"/>
  <c r="AK18" i="17"/>
  <c r="AJ18" i="17"/>
  <c r="AI18" i="17"/>
  <c r="AH18" i="17"/>
  <c r="AG18" i="17"/>
  <c r="AF18" i="17"/>
  <c r="AE18" i="17"/>
  <c r="AD18" i="17"/>
  <c r="AC18" i="17"/>
  <c r="AB18" i="17"/>
  <c r="AA18" i="17"/>
  <c r="Z18" i="17"/>
  <c r="Y18" i="17"/>
  <c r="X18" i="17"/>
  <c r="W18" i="17"/>
  <c r="V18" i="17"/>
  <c r="U18" i="17"/>
  <c r="T18" i="17"/>
  <c r="S18" i="17"/>
  <c r="R18" i="17"/>
  <c r="Q18" i="17"/>
  <c r="P18" i="17"/>
  <c r="O18" i="17"/>
  <c r="N18" i="17"/>
  <c r="M18" i="17"/>
  <c r="L18" i="17"/>
  <c r="K18" i="17"/>
  <c r="J18" i="17"/>
  <c r="I18" i="17"/>
  <c r="H18" i="17"/>
  <c r="G18" i="17"/>
  <c r="F18" i="17"/>
  <c r="E18" i="17"/>
  <c r="D18" i="17"/>
  <c r="C18" i="17"/>
  <c r="BJ17" i="17"/>
  <c r="BI17" i="17"/>
  <c r="BH17" i="17"/>
  <c r="BG17" i="17"/>
  <c r="BF17" i="17"/>
  <c r="BE17" i="17"/>
  <c r="BD17" i="17"/>
  <c r="BC17" i="17"/>
  <c r="BB17" i="17"/>
  <c r="BA17" i="17"/>
  <c r="AZ17" i="17"/>
  <c r="AY17" i="17"/>
  <c r="AX17" i="17"/>
  <c r="AW17" i="17"/>
  <c r="AV17" i="17"/>
  <c r="AU17" i="17"/>
  <c r="AT17" i="17"/>
  <c r="AS17" i="17"/>
  <c r="AR17" i="17"/>
  <c r="AQ17" i="17"/>
  <c r="AP17" i="17"/>
  <c r="AO17" i="17"/>
  <c r="AN17" i="17"/>
  <c r="AM17" i="17"/>
  <c r="AL17" i="17"/>
  <c r="AK17" i="17"/>
  <c r="AJ17" i="17"/>
  <c r="AI17" i="17"/>
  <c r="AH17" i="17"/>
  <c r="AG17" i="17"/>
  <c r="AF17" i="17"/>
  <c r="AE17" i="17"/>
  <c r="AD17" i="17"/>
  <c r="AC17" i="17"/>
  <c r="AB17" i="17"/>
  <c r="AA17" i="17"/>
  <c r="Z17" i="17"/>
  <c r="Y17" i="17"/>
  <c r="X17" i="17"/>
  <c r="W17" i="17"/>
  <c r="V17" i="17"/>
  <c r="U17" i="17"/>
  <c r="T17" i="17"/>
  <c r="S17" i="17"/>
  <c r="R17" i="17"/>
  <c r="Q17" i="17"/>
  <c r="P17" i="17"/>
  <c r="O17" i="17"/>
  <c r="N17" i="17"/>
  <c r="M17" i="17"/>
  <c r="L17" i="17"/>
  <c r="K17" i="17"/>
  <c r="J17" i="17"/>
  <c r="I17" i="17"/>
  <c r="H17" i="17"/>
  <c r="G17" i="17"/>
  <c r="F17" i="17"/>
  <c r="E17" i="17"/>
  <c r="D17" i="17"/>
  <c r="C17" i="17"/>
  <c r="BJ16" i="17"/>
  <c r="BI16" i="17"/>
  <c r="BH16" i="17"/>
  <c r="BG16" i="17"/>
  <c r="BF16" i="17"/>
  <c r="BE16" i="17"/>
  <c r="BD16" i="17"/>
  <c r="BC16" i="17"/>
  <c r="BB16" i="17"/>
  <c r="BA16" i="17"/>
  <c r="AZ16" i="17"/>
  <c r="AY16" i="17"/>
  <c r="AX16" i="17"/>
  <c r="AW16" i="17"/>
  <c r="AV16" i="17"/>
  <c r="AU16" i="17"/>
  <c r="AT16" i="17"/>
  <c r="AS16" i="17"/>
  <c r="AR16" i="17"/>
  <c r="AQ16" i="17"/>
  <c r="AP16" i="17"/>
  <c r="AO16" i="17"/>
  <c r="AN16" i="17"/>
  <c r="AM16" i="17"/>
  <c r="AL16" i="17"/>
  <c r="AK16" i="17"/>
  <c r="AJ16" i="17"/>
  <c r="AI16" i="17"/>
  <c r="AH16" i="17"/>
  <c r="AG16" i="17"/>
  <c r="AF16" i="17"/>
  <c r="AE16" i="17"/>
  <c r="AD16" i="17"/>
  <c r="AC16" i="17"/>
  <c r="AB16" i="17"/>
  <c r="AA16" i="17"/>
  <c r="Z16" i="17"/>
  <c r="Y16" i="17"/>
  <c r="X16" i="17"/>
  <c r="W16" i="17"/>
  <c r="V16" i="17"/>
  <c r="U16" i="17"/>
  <c r="T16" i="17"/>
  <c r="S16" i="17"/>
  <c r="R16" i="17"/>
  <c r="Q16" i="17"/>
  <c r="P16" i="17"/>
  <c r="O16" i="17"/>
  <c r="N16" i="17"/>
  <c r="M16" i="17"/>
  <c r="L16" i="17"/>
  <c r="K16" i="17"/>
  <c r="J16" i="17"/>
  <c r="I16" i="17"/>
  <c r="H16" i="17"/>
  <c r="G16" i="17"/>
  <c r="F16" i="17"/>
  <c r="E16" i="17"/>
  <c r="D16" i="17"/>
  <c r="C16" i="17"/>
  <c r="BJ15" i="17"/>
  <c r="BI15" i="17"/>
  <c r="BH15" i="17"/>
  <c r="BG15" i="17"/>
  <c r="BF15" i="17"/>
  <c r="BE15" i="17"/>
  <c r="BD15" i="17"/>
  <c r="BC15" i="17"/>
  <c r="BB15" i="17"/>
  <c r="BA15" i="17"/>
  <c r="AZ15" i="17"/>
  <c r="AY15" i="17"/>
  <c r="AX15" i="17"/>
  <c r="AW15" i="17"/>
  <c r="AV15" i="17"/>
  <c r="AU15" i="17"/>
  <c r="AT15" i="17"/>
  <c r="AS15" i="17"/>
  <c r="AR15" i="17"/>
  <c r="AQ15" i="17"/>
  <c r="AP15" i="17"/>
  <c r="AO15" i="17"/>
  <c r="AN15" i="17"/>
  <c r="AM15" i="17"/>
  <c r="AL15" i="17"/>
  <c r="AK15" i="17"/>
  <c r="AJ15" i="17"/>
  <c r="AI15" i="17"/>
  <c r="AH15" i="17"/>
  <c r="AG15" i="17"/>
  <c r="AF15" i="17"/>
  <c r="AE15" i="17"/>
  <c r="AD15" i="17"/>
  <c r="AC15" i="17"/>
  <c r="AB15" i="17"/>
  <c r="AA15" i="17"/>
  <c r="Z15" i="17"/>
  <c r="Y15" i="17"/>
  <c r="X15" i="17"/>
  <c r="W15" i="17"/>
  <c r="V15" i="17"/>
  <c r="U15" i="17"/>
  <c r="T15" i="17"/>
  <c r="S15" i="17"/>
  <c r="R15" i="17"/>
  <c r="Q15" i="17"/>
  <c r="P15" i="17"/>
  <c r="O15" i="17"/>
  <c r="N15" i="17"/>
  <c r="M15" i="17"/>
  <c r="L15" i="17"/>
  <c r="K15" i="17"/>
  <c r="J15" i="17"/>
  <c r="I15" i="17"/>
  <c r="H15" i="17"/>
  <c r="G15" i="17"/>
  <c r="F15" i="17"/>
  <c r="E15" i="17"/>
  <c r="D15" i="17"/>
  <c r="C15" i="17"/>
  <c r="BJ14" i="17"/>
  <c r="BI14" i="17"/>
  <c r="BH14" i="17"/>
  <c r="BG14" i="17"/>
  <c r="BF14" i="17"/>
  <c r="BE14" i="17"/>
  <c r="BD14" i="17"/>
  <c r="BC14" i="17"/>
  <c r="BB14" i="17"/>
  <c r="BA14" i="17"/>
  <c r="AZ14" i="17"/>
  <c r="AY14" i="17"/>
  <c r="AX14" i="17"/>
  <c r="AW14" i="17"/>
  <c r="AV14" i="17"/>
  <c r="AU14" i="17"/>
  <c r="AT14" i="17"/>
  <c r="AS14" i="17"/>
  <c r="AR14" i="17"/>
  <c r="AQ14" i="17"/>
  <c r="AP14" i="17"/>
  <c r="AO14" i="17"/>
  <c r="AN14" i="17"/>
  <c r="AM14" i="17"/>
  <c r="AL14" i="17"/>
  <c r="AK14" i="17"/>
  <c r="AJ14" i="17"/>
  <c r="AI14" i="17"/>
  <c r="AH14" i="17"/>
  <c r="AG14" i="17"/>
  <c r="AF14" i="17"/>
  <c r="AE14" i="17"/>
  <c r="AD14" i="17"/>
  <c r="AC14" i="17"/>
  <c r="AB14" i="17"/>
  <c r="AA14" i="17"/>
  <c r="Z14" i="17"/>
  <c r="Y14" i="17"/>
  <c r="X14" i="17"/>
  <c r="W14" i="17"/>
  <c r="V14" i="17"/>
  <c r="U14" i="17"/>
  <c r="T14" i="17"/>
  <c r="S14" i="17"/>
  <c r="R14" i="17"/>
  <c r="Q14" i="17"/>
  <c r="P14" i="17"/>
  <c r="O14" i="17"/>
  <c r="N14" i="17"/>
  <c r="M14" i="17"/>
  <c r="L14" i="17"/>
  <c r="K14" i="17"/>
  <c r="J14" i="17"/>
  <c r="I14" i="17"/>
  <c r="H14" i="17"/>
  <c r="G14" i="17"/>
  <c r="F14" i="17"/>
  <c r="E14" i="17"/>
  <c r="D14" i="17"/>
  <c r="C14" i="17"/>
  <c r="BJ13" i="17"/>
  <c r="BI13" i="17"/>
  <c r="BH13" i="17"/>
  <c r="BG13" i="17"/>
  <c r="BF13" i="17"/>
  <c r="BE13" i="17"/>
  <c r="BD13" i="17"/>
  <c r="BC13" i="17"/>
  <c r="BB13" i="17"/>
  <c r="BA13" i="17"/>
  <c r="AZ13" i="17"/>
  <c r="AY13" i="17"/>
  <c r="AX13" i="17"/>
  <c r="AW13" i="17"/>
  <c r="AV13" i="17"/>
  <c r="AU13" i="17"/>
  <c r="AT13" i="17"/>
  <c r="AS13" i="17"/>
  <c r="AR13" i="17"/>
  <c r="AQ13" i="17"/>
  <c r="AP13" i="17"/>
  <c r="AO13" i="17"/>
  <c r="AN13" i="17"/>
  <c r="AM13" i="17"/>
  <c r="AL13" i="17"/>
  <c r="AK13" i="17"/>
  <c r="AJ13" i="17"/>
  <c r="AI13" i="17"/>
  <c r="AH13" i="17"/>
  <c r="AG13" i="17"/>
  <c r="AF13" i="17"/>
  <c r="AE13" i="17"/>
  <c r="AD13" i="17"/>
  <c r="AC13" i="17"/>
  <c r="AB13" i="17"/>
  <c r="AA13" i="17"/>
  <c r="Z13" i="17"/>
  <c r="Y13" i="17"/>
  <c r="X13" i="17"/>
  <c r="W13" i="17"/>
  <c r="V13" i="17"/>
  <c r="U13" i="17"/>
  <c r="T13" i="17"/>
  <c r="S13" i="17"/>
  <c r="R13" i="17"/>
  <c r="Q13" i="17"/>
  <c r="P13" i="17"/>
  <c r="O13" i="17"/>
  <c r="N13" i="17"/>
  <c r="M13" i="17"/>
  <c r="L13" i="17"/>
  <c r="K13" i="17"/>
  <c r="J13" i="17"/>
  <c r="I13" i="17"/>
  <c r="H13" i="17"/>
  <c r="G13" i="17"/>
  <c r="F13" i="17"/>
  <c r="E13" i="17"/>
  <c r="D13" i="17"/>
  <c r="C13" i="17"/>
  <c r="BJ12" i="17"/>
  <c r="BI12" i="17"/>
  <c r="BH12" i="17"/>
  <c r="BG12" i="17"/>
  <c r="BF12" i="17"/>
  <c r="BE12" i="17"/>
  <c r="BD12" i="17"/>
  <c r="BC12" i="17"/>
  <c r="BB12" i="17"/>
  <c r="BA12" i="17"/>
  <c r="AZ12" i="17"/>
  <c r="AY12" i="17"/>
  <c r="AX12" i="17"/>
  <c r="AW12" i="17"/>
  <c r="AV12" i="17"/>
  <c r="AU12" i="17"/>
  <c r="AT12" i="17"/>
  <c r="AS12" i="17"/>
  <c r="AR12" i="17"/>
  <c r="AQ12" i="17"/>
  <c r="AP12" i="17"/>
  <c r="AO12" i="17"/>
  <c r="AN12" i="17"/>
  <c r="AM12" i="17"/>
  <c r="AL12" i="17"/>
  <c r="AK12" i="17"/>
  <c r="AJ12" i="17"/>
  <c r="AI12" i="17"/>
  <c r="AH12" i="17"/>
  <c r="AG12" i="17"/>
  <c r="AF12" i="17"/>
  <c r="AE12" i="17"/>
  <c r="AD12" i="17"/>
  <c r="AC12" i="17"/>
  <c r="AB12" i="17"/>
  <c r="AA12" i="17"/>
  <c r="Z12" i="17"/>
  <c r="Y12" i="17"/>
  <c r="X12" i="17"/>
  <c r="W12" i="17"/>
  <c r="V12" i="17"/>
  <c r="U12" i="17"/>
  <c r="T12" i="17"/>
  <c r="S12" i="17"/>
  <c r="R12" i="17"/>
  <c r="Q12" i="17"/>
  <c r="P12" i="17"/>
  <c r="O12" i="17"/>
  <c r="N12" i="17"/>
  <c r="M12" i="17"/>
  <c r="L12" i="17"/>
  <c r="K12" i="17"/>
  <c r="J12" i="17"/>
  <c r="I12" i="17"/>
  <c r="H12" i="17"/>
  <c r="G12" i="17"/>
  <c r="F12" i="17"/>
  <c r="E12" i="17"/>
  <c r="D12" i="17"/>
  <c r="C12" i="17"/>
  <c r="BJ11" i="17"/>
  <c r="BI11" i="17"/>
  <c r="BH11" i="17"/>
  <c r="BG11" i="17"/>
  <c r="BF11" i="17"/>
  <c r="BE11" i="17"/>
  <c r="BD11" i="17"/>
  <c r="BC11" i="17"/>
  <c r="BB11" i="17"/>
  <c r="BA11" i="17"/>
  <c r="AZ11" i="17"/>
  <c r="AY11" i="17"/>
  <c r="AX11" i="17"/>
  <c r="AW11" i="17"/>
  <c r="AV11" i="17"/>
  <c r="AU11" i="17"/>
  <c r="AT11" i="17"/>
  <c r="AS11" i="17"/>
  <c r="AR11" i="17"/>
  <c r="AQ11" i="17"/>
  <c r="AP11" i="17"/>
  <c r="AO11" i="17"/>
  <c r="AN11" i="17"/>
  <c r="AM11" i="17"/>
  <c r="AL11" i="17"/>
  <c r="AK11" i="17"/>
  <c r="AJ11" i="17"/>
  <c r="AI11" i="17"/>
  <c r="AH11" i="17"/>
  <c r="AG11" i="17"/>
  <c r="AF11" i="17"/>
  <c r="AE11" i="17"/>
  <c r="AD11" i="17"/>
  <c r="AC11" i="17"/>
  <c r="AB11" i="17"/>
  <c r="AA11" i="17"/>
  <c r="Z11" i="17"/>
  <c r="Y11" i="17"/>
  <c r="X11" i="17"/>
  <c r="W11" i="17"/>
  <c r="V11" i="17"/>
  <c r="U11" i="17"/>
  <c r="T11" i="17"/>
  <c r="S11" i="17"/>
  <c r="R11" i="17"/>
  <c r="Q11" i="17"/>
  <c r="P11" i="17"/>
  <c r="O11" i="17"/>
  <c r="N11" i="17"/>
  <c r="M11" i="17"/>
  <c r="L11" i="17"/>
  <c r="K11" i="17"/>
  <c r="J11" i="17"/>
  <c r="I11" i="17"/>
  <c r="H11" i="17"/>
  <c r="G11" i="17"/>
  <c r="F11" i="17"/>
  <c r="E11" i="17"/>
  <c r="D11" i="17"/>
  <c r="C11" i="17"/>
  <c r="B88" i="17"/>
  <c r="A88" i="17"/>
  <c r="B87" i="17"/>
  <c r="A87" i="17"/>
  <c r="B86" i="17"/>
  <c r="A86" i="17"/>
  <c r="B85" i="17"/>
  <c r="A85" i="17"/>
  <c r="B84" i="17"/>
  <c r="A84" i="17"/>
  <c r="B83" i="17"/>
  <c r="A83" i="17"/>
  <c r="B82" i="17"/>
  <c r="A82" i="17"/>
  <c r="B81" i="17"/>
  <c r="A81" i="17"/>
  <c r="B80" i="17"/>
  <c r="A80" i="17"/>
  <c r="B79" i="17"/>
  <c r="A79" i="17"/>
  <c r="B78" i="17"/>
  <c r="A78" i="17"/>
  <c r="B77" i="17"/>
  <c r="A77" i="17"/>
  <c r="B76" i="17"/>
  <c r="A76" i="17"/>
  <c r="B75" i="17"/>
  <c r="A75" i="17"/>
  <c r="B74" i="17"/>
  <c r="A74" i="17"/>
  <c r="B73" i="17"/>
  <c r="A73" i="17"/>
  <c r="B72" i="17"/>
  <c r="A72" i="17"/>
  <c r="B71" i="17"/>
  <c r="A71" i="17"/>
  <c r="B70" i="17"/>
  <c r="A70" i="17"/>
  <c r="B69" i="17"/>
  <c r="A69" i="17"/>
  <c r="B68" i="17"/>
  <c r="A68" i="17"/>
  <c r="B67" i="17"/>
  <c r="A67" i="17"/>
  <c r="B66" i="17"/>
  <c r="A66" i="17"/>
  <c r="B65" i="17"/>
  <c r="A65" i="17"/>
  <c r="B64" i="17"/>
  <c r="A64" i="17"/>
  <c r="B63" i="17"/>
  <c r="A63" i="17"/>
  <c r="B62" i="17"/>
  <c r="A62" i="17"/>
  <c r="B61" i="17"/>
  <c r="A61" i="17"/>
  <c r="B60" i="17"/>
  <c r="A60" i="17"/>
  <c r="B59" i="17"/>
  <c r="A59" i="17"/>
  <c r="B58" i="17"/>
  <c r="A58" i="17"/>
  <c r="B57" i="17"/>
  <c r="A57" i="17"/>
  <c r="B56" i="17"/>
  <c r="A56" i="17"/>
  <c r="B55" i="17"/>
  <c r="A55" i="17"/>
  <c r="B54" i="17"/>
  <c r="A54" i="17"/>
  <c r="B53" i="17"/>
  <c r="A53" i="17"/>
  <c r="B52" i="17"/>
  <c r="A52" i="17"/>
  <c r="B51" i="17"/>
  <c r="A51" i="17"/>
  <c r="B50" i="17"/>
  <c r="A50" i="17"/>
  <c r="B49" i="17"/>
  <c r="A49" i="17"/>
  <c r="B48" i="17"/>
  <c r="A48" i="17"/>
  <c r="B47" i="17"/>
  <c r="A47" i="17"/>
  <c r="B46" i="17"/>
  <c r="A46" i="17"/>
  <c r="B45" i="17"/>
  <c r="A45" i="17"/>
  <c r="B44" i="17"/>
  <c r="A44" i="17"/>
  <c r="B43" i="17"/>
  <c r="A43" i="17"/>
  <c r="B42" i="17"/>
  <c r="A42" i="17"/>
  <c r="B41" i="17"/>
  <c r="A41" i="17"/>
  <c r="B40" i="17"/>
  <c r="A40" i="17"/>
  <c r="B39" i="17"/>
  <c r="A39" i="17"/>
  <c r="B38" i="17"/>
  <c r="A38" i="17"/>
  <c r="B37" i="17"/>
  <c r="A37" i="17"/>
  <c r="B36" i="17"/>
  <c r="A36" i="17"/>
  <c r="B35" i="17"/>
  <c r="A35" i="17"/>
  <c r="B34" i="17"/>
  <c r="A34" i="17"/>
  <c r="B33" i="17"/>
  <c r="A33" i="17"/>
  <c r="B32" i="17"/>
  <c r="A32" i="17"/>
  <c r="B31" i="17"/>
  <c r="A31" i="17"/>
  <c r="B30" i="17"/>
  <c r="A30" i="17"/>
  <c r="B29" i="17"/>
  <c r="A29" i="17"/>
  <c r="B28" i="17"/>
  <c r="A28" i="17"/>
  <c r="B27" i="17"/>
  <c r="A27" i="17"/>
  <c r="B26" i="17"/>
  <c r="A26" i="17"/>
  <c r="B25" i="17"/>
  <c r="A25" i="17"/>
  <c r="B24" i="17"/>
  <c r="A24" i="17"/>
  <c r="B23" i="17"/>
  <c r="A23" i="17"/>
  <c r="B22" i="17"/>
  <c r="A22" i="17"/>
  <c r="B21" i="17"/>
  <c r="A21" i="17"/>
  <c r="B20" i="17"/>
  <c r="A20" i="17"/>
  <c r="B19" i="17"/>
  <c r="A19" i="17"/>
  <c r="B18" i="17"/>
  <c r="A18" i="17"/>
  <c r="B17" i="17"/>
  <c r="A17" i="17"/>
  <c r="B16" i="17"/>
  <c r="A16" i="17"/>
  <c r="B15" i="17"/>
  <c r="A15" i="17"/>
  <c r="B14" i="17"/>
  <c r="A14" i="17"/>
  <c r="B13" i="17"/>
  <c r="A13" i="17"/>
  <c r="B12" i="17"/>
  <c r="A12" i="17"/>
  <c r="D29" i="14" a="1"/>
  <c r="G26" i="14" a="1"/>
  <c r="C30" i="14" a="1"/>
  <c r="G27" i="14" a="1"/>
  <c r="G28" i="14" a="1"/>
  <c r="D30" i="14" a="1"/>
  <c r="C29" i="14" a="1"/>
  <c r="C25" i="14" a="1"/>
  <c r="D25" i="14" a="1"/>
  <c r="C25" i="14" l="1"/>
  <c r="D30" i="14"/>
  <c r="G27" i="14"/>
  <c r="C29" i="14"/>
  <c r="G28" i="14"/>
  <c r="D25" i="14"/>
  <c r="G26" i="14"/>
  <c r="D29" i="14"/>
  <c r="C30" i="14"/>
  <c r="AX57" i="7" a="1"/>
  <c r="J58" i="7" a="1"/>
  <c r="BA56" i="7" a="1"/>
  <c r="T58" i="7" a="1"/>
  <c r="L56" i="7" a="1"/>
  <c r="F57" i="7" a="1"/>
  <c r="S56" i="7" a="1"/>
  <c r="BF58" i="7" a="1"/>
  <c r="AK57" i="7" a="1"/>
  <c r="Q58" i="7" a="1"/>
  <c r="BC56" i="7" a="1"/>
  <c r="AU58" i="7" a="1"/>
  <c r="BA5" i="7" a="1"/>
  <c r="BE5" i="7" a="1"/>
  <c r="AN5" i="7" a="1"/>
  <c r="D5" i="7" a="1"/>
  <c r="AY3" i="7" a="1"/>
  <c r="AH3" i="7" a="1"/>
  <c r="AV3" i="7" a="1"/>
  <c r="V3" i="7" a="1"/>
  <c r="N2" i="7" a="1"/>
  <c r="L2" i="7" a="1"/>
  <c r="AH2" i="7" a="1"/>
  <c r="W2" i="7" a="1"/>
  <c r="AP58" i="7" a="1"/>
  <c r="AJ5" i="7" a="1"/>
  <c r="AS2" i="7" a="1"/>
  <c r="AY58" i="7" a="1"/>
  <c r="AK2" i="7" a="1"/>
  <c r="AP57" i="7" a="1"/>
  <c r="V57" i="7" a="1"/>
  <c r="AK56" i="7" a="1"/>
  <c r="L58" i="7" a="1"/>
  <c r="D56" i="7" a="1"/>
  <c r="J56" i="7" a="1"/>
  <c r="R58" i="7" a="1"/>
  <c r="Z58" i="7" a="1"/>
  <c r="M57" i="7" a="1"/>
  <c r="BI57" i="7" a="1"/>
  <c r="T57" i="7" a="1"/>
  <c r="AM58" i="7" a="1"/>
  <c r="E5" i="7" a="1"/>
  <c r="I5" i="7" a="1"/>
  <c r="AF5" i="7" a="1"/>
  <c r="C5" i="7" a="1"/>
  <c r="AQ3" i="7" a="1"/>
  <c r="Z3" i="7" a="1"/>
  <c r="BD3" i="7" a="1"/>
  <c r="N3" i="7" a="1"/>
  <c r="BI2" i="7" a="1"/>
  <c r="I2" i="7" a="1"/>
  <c r="J2" i="7" a="1"/>
  <c r="BC2" i="7" a="1"/>
  <c r="V56" i="7" a="1"/>
  <c r="BD57" i="7" a="1"/>
  <c r="BF56" i="7" a="1"/>
  <c r="BG58" i="7" a="1"/>
  <c r="R56" i="7" a="1"/>
  <c r="K57" i="7" a="1"/>
  <c r="C57" i="7" a="1"/>
  <c r="BH3" i="7" a="1"/>
  <c r="AQ57" i="7" a="1"/>
  <c r="L5" i="7" a="1"/>
  <c r="BE3" i="7" a="1"/>
  <c r="R57" i="7" a="1"/>
  <c r="AP56" i="7" a="1"/>
  <c r="M56" i="7" a="1"/>
  <c r="D58" i="7" a="1"/>
  <c r="BB57" i="7" a="1"/>
  <c r="AA57" i="7" a="1"/>
  <c r="N57" i="7" a="1"/>
  <c r="AL57" i="7" a="1"/>
  <c r="BE56" i="7" a="1"/>
  <c r="BA57" i="7" a="1"/>
  <c r="H56" i="7" a="1"/>
  <c r="BG57" i="7" a="1"/>
  <c r="BH5" i="7" a="1"/>
  <c r="O5" i="7" a="1"/>
  <c r="X5" i="7" a="1"/>
  <c r="AI3" i="7" a="1"/>
  <c r="R3" i="7" a="1"/>
  <c r="AF3" i="7" a="1"/>
  <c r="F3" i="7" a="1"/>
  <c r="BA2" i="7" a="1"/>
  <c r="BG2" i="7" a="1"/>
  <c r="H2" i="7" a="1"/>
  <c r="F2" i="7" a="1"/>
  <c r="AX56" i="7" a="1"/>
  <c r="J3" i="7" a="1"/>
  <c r="E2" i="7" a="1"/>
  <c r="AS3" i="7" a="1"/>
  <c r="AL2" i="7" a="1"/>
  <c r="J57" i="7" a="1"/>
  <c r="BB5" i="7" a="1"/>
  <c r="AY2" i="7" a="1"/>
  <c r="G56" i="7" a="1"/>
  <c r="D2" i="7" a="1"/>
  <c r="W56" i="7" a="1"/>
  <c r="BI58" i="7" a="1"/>
  <c r="AD57" i="7" a="1"/>
  <c r="AV57" i="7" a="1"/>
  <c r="G58" i="7" a="1"/>
  <c r="AL56" i="7" a="1"/>
  <c r="AC57" i="7" a="1"/>
  <c r="BC5" i="7" a="1"/>
  <c r="S3" i="7" a="1"/>
  <c r="G2" i="7" a="1"/>
  <c r="V58" i="7" a="1"/>
  <c r="N56" i="7" a="1"/>
  <c r="BA58" i="7" a="1"/>
  <c r="AH56" i="7" a="1"/>
  <c r="AN57" i="7" a="1"/>
  <c r="AQ58" i="7" a="1"/>
  <c r="O56" i="7" a="1"/>
  <c r="Q56" i="7" a="1"/>
  <c r="U57" i="7" a="1"/>
  <c r="BJ56" i="7" a="1"/>
  <c r="F56" i="7" a="1"/>
  <c r="BF5" i="7" a="1"/>
  <c r="BG5" i="7" a="1"/>
  <c r="G5" i="7" a="1"/>
  <c r="K3" i="7" a="1"/>
  <c r="AW3" i="7" a="1"/>
  <c r="AU3" i="7" a="1"/>
  <c r="AK3" i="7" a="1"/>
  <c r="AC2" i="7" a="1"/>
  <c r="AI2" i="7" a="1"/>
  <c r="BE2" i="7" a="1"/>
  <c r="C2" i="7" a="1"/>
  <c r="H58" i="7" a="1"/>
  <c r="AE2" i="7" a="1"/>
  <c r="AR58" i="7" a="1"/>
  <c r="BH57" i="7" a="1"/>
  <c r="Z57" i="7" a="1"/>
  <c r="AS58" i="7" a="1"/>
  <c r="AY57" i="7" a="1"/>
  <c r="AF57" i="7" a="1"/>
  <c r="K58" i="7" a="1"/>
  <c r="AI58" i="7" a="1"/>
  <c r="AB57" i="7" a="1"/>
  <c r="E57" i="7" a="1"/>
  <c r="AD56" i="7" a="1"/>
  <c r="BD58" i="7" a="1"/>
  <c r="AZ5" i="7" a="1"/>
  <c r="J5" i="7" a="1"/>
  <c r="AI5" i="7" a="1"/>
  <c r="AD5" i="7" a="1"/>
  <c r="AN3" i="7" a="1"/>
  <c r="AO3" i="7" a="1"/>
  <c r="AM3" i="7" a="1"/>
  <c r="AC3" i="7" a="1"/>
  <c r="U2" i="7" a="1"/>
  <c r="AA2" i="7" a="1"/>
  <c r="AW2" i="7" a="1"/>
  <c r="AZ58" i="7" a="1"/>
  <c r="AE56" i="7" a="1"/>
  <c r="W5" i="7" a="1"/>
  <c r="BB3" i="7" a="1"/>
  <c r="AU56" i="7" a="1"/>
  <c r="AT5" i="7" a="1"/>
  <c r="AK58" i="7" a="1"/>
  <c r="AM56" i="7" a="1"/>
  <c r="X57" i="7" a="1"/>
  <c r="AM57" i="7" a="1"/>
  <c r="AA58" i="7" a="1"/>
  <c r="L57" i="7" a="1"/>
  <c r="AW56" i="7" a="1"/>
  <c r="AV58" i="7" a="1"/>
  <c r="AR5" i="7" a="1"/>
  <c r="AO5" i="7" a="1"/>
  <c r="S5" i="7" a="1"/>
  <c r="F5" i="7" a="1"/>
  <c r="X3" i="7" a="1"/>
  <c r="AG3" i="7" a="1"/>
  <c r="AE3" i="7" a="1"/>
  <c r="E3" i="7" a="1"/>
  <c r="M2" i="7" a="1"/>
  <c r="S2" i="7" a="1"/>
  <c r="AO2" i="7" a="1"/>
  <c r="AR56" i="7" a="1"/>
  <c r="AU5" i="7" a="1"/>
  <c r="AR2" i="7" a="1"/>
  <c r="AJ56" i="7" a="1"/>
  <c r="AL5" i="7" a="1"/>
  <c r="AZ3" i="7" a="1"/>
  <c r="BJ58" i="7" a="1"/>
  <c r="M58" i="7" a="1"/>
  <c r="AC58" i="7" a="1"/>
  <c r="AH58" i="7" a="1"/>
  <c r="P57" i="7" a="1"/>
  <c r="W57" i="7" a="1"/>
  <c r="S58" i="7" a="1"/>
  <c r="BD56" i="7" a="1"/>
  <c r="AG56" i="7" a="1"/>
  <c r="AN58" i="7" a="1"/>
  <c r="AB5" i="7" a="1"/>
  <c r="AM5" i="7" a="1"/>
  <c r="AH5" i="7" a="1"/>
  <c r="BI5" i="7" a="1"/>
  <c r="P3" i="7" a="1"/>
  <c r="Y3" i="7" a="1"/>
  <c r="W3" i="7" a="1"/>
  <c r="D3" i="7" a="1"/>
  <c r="R2" i="7" a="1"/>
  <c r="K2" i="7" a="1"/>
  <c r="AG2" i="7" a="1"/>
  <c r="AE57" i="7" a="1"/>
  <c r="AT2" i="7" a="1"/>
  <c r="N58" i="7" a="1"/>
  <c r="Y5" i="7" a="1"/>
  <c r="AJ2" i="7" a="1"/>
  <c r="BB58" i="7" a="1"/>
  <c r="AO57" i="7" a="1"/>
  <c r="U58" i="7" a="1"/>
  <c r="S57" i="7" a="1"/>
  <c r="H57" i="7" a="1"/>
  <c r="G57" i="7" a="1"/>
  <c r="C58" i="7" a="1"/>
  <c r="AN56" i="7" a="1"/>
  <c r="I56" i="7" a="1"/>
  <c r="AF58" i="7" a="1"/>
  <c r="T5" i="7" a="1"/>
  <c r="V5" i="7" a="1"/>
  <c r="Z5" i="7" a="1"/>
  <c r="M5" i="7" a="1"/>
  <c r="U3" i="7" a="1"/>
  <c r="Q3" i="7" a="1"/>
  <c r="O3" i="7" a="1"/>
  <c r="C3" i="7" a="1"/>
  <c r="AM2" i="7" a="1"/>
  <c r="Z2" i="7" a="1"/>
  <c r="Y2" i="7" a="1"/>
  <c r="AW5" i="7" a="1"/>
  <c r="T3" i="7" a="1"/>
  <c r="AF56" i="7" a="1"/>
  <c r="BF3" i="7" a="1"/>
  <c r="AT58" i="7" a="1"/>
  <c r="Q57" i="7" a="1"/>
  <c r="E58" i="7" a="1"/>
  <c r="AH57" i="7" a="1"/>
  <c r="BH56" i="7" a="1"/>
  <c r="AY56" i="7" a="1"/>
  <c r="BC57" i="7" a="1"/>
  <c r="AX58" i="7" a="1"/>
  <c r="X56" i="7" a="1"/>
  <c r="AJ57" i="7" a="1"/>
  <c r="X58" i="7" a="1"/>
  <c r="AX5" i="7" a="1"/>
  <c r="U5" i="7" a="1"/>
  <c r="AG5" i="7" a="1"/>
  <c r="AV5" i="7" a="1"/>
  <c r="AR3" i="7" a="1"/>
  <c r="I3" i="7" a="1"/>
  <c r="G3" i="7" a="1"/>
  <c r="BJ2" i="7" a="1"/>
  <c r="BH2" i="7" a="1"/>
  <c r="AF2" i="7" a="1"/>
  <c r="Q2" i="7" a="1"/>
  <c r="Z56" i="7" a="1"/>
  <c r="BD2" i="7" a="1"/>
  <c r="K56" i="7" a="1"/>
  <c r="AV2" i="7" a="1"/>
  <c r="AL58" i="7" a="1"/>
  <c r="BI56" i="7" a="1"/>
  <c r="BE57" i="7" a="1"/>
  <c r="BB56" i="7" a="1"/>
  <c r="BH58" i="7" a="1"/>
  <c r="AZ56" i="7" a="1"/>
  <c r="AI56" i="7" a="1"/>
  <c r="AU57" i="7" a="1"/>
  <c r="AT57" i="7" a="1"/>
  <c r="AE58" i="7" a="1"/>
  <c r="BE58" i="7" a="1"/>
  <c r="D57" i="7" a="1"/>
  <c r="P58" i="7" a="1"/>
  <c r="R5" i="7" a="1"/>
  <c r="AY5" i="7" a="1"/>
  <c r="Q5" i="7" a="1"/>
  <c r="P5" i="7" a="1"/>
  <c r="AJ3" i="7" a="1"/>
  <c r="H3" i="7" a="1"/>
  <c r="BJ3" i="7" a="1"/>
  <c r="BB2" i="7" a="1"/>
  <c r="AZ2" i="7" a="1"/>
  <c r="P2" i="7" a="1"/>
  <c r="AU2" i="7" a="1"/>
  <c r="AS56" i="7" a="1"/>
  <c r="AW57" i="7" a="1"/>
  <c r="AA56" i="7" a="1"/>
  <c r="AW58" i="7" a="1"/>
  <c r="AQ5" i="7" a="1"/>
  <c r="M3" i="7" a="1"/>
  <c r="AG57" i="7" a="1"/>
  <c r="AO58" i="7" a="1"/>
  <c r="AD58" i="7" a="1"/>
  <c r="AV56" i="7" a="1"/>
  <c r="O57" i="7" a="1"/>
  <c r="AA5" i="7" a="1"/>
  <c r="AT3" i="7" a="1"/>
  <c r="AC56" i="7" a="1"/>
  <c r="F58" i="7" a="1"/>
  <c r="U56" i="7" a="1"/>
  <c r="Y57" i="7" a="1"/>
  <c r="AJ58" i="7" a="1"/>
  <c r="AB56" i="7" a="1"/>
  <c r="C56" i="7" a="1"/>
  <c r="BG56" i="7" a="1"/>
  <c r="AG58" i="7" a="1"/>
  <c r="P56" i="7" a="1"/>
  <c r="AZ57" i="7" a="1"/>
  <c r="AE5" i="7" a="1"/>
  <c r="K5" i="7" a="1"/>
  <c r="AC5" i="7" a="1"/>
  <c r="N5" i="7" a="1"/>
  <c r="BA3" i="7" a="1"/>
  <c r="AX3" i="7" a="1"/>
  <c r="AB3" i="7" a="1"/>
  <c r="AL3" i="7" a="1"/>
  <c r="AD2" i="7" a="1"/>
  <c r="AB2" i="7" a="1"/>
  <c r="AX2" i="7" a="1"/>
  <c r="AN2" i="7" a="1"/>
  <c r="AO56" i="7" a="1"/>
  <c r="BI3" i="7" a="1"/>
  <c r="AI57" i="7" a="1"/>
  <c r="AK5" i="7" a="1"/>
  <c r="BC3" i="7" a="1"/>
  <c r="BF2" i="7" a="1"/>
  <c r="BF57" i="7" a="1"/>
  <c r="E56" i="7" a="1"/>
  <c r="I57" i="7" a="1"/>
  <c r="AB58" i="7" a="1"/>
  <c r="T56" i="7" a="1"/>
  <c r="BJ57" i="7" a="1"/>
  <c r="AQ56" i="7" a="1"/>
  <c r="I58" i="7" a="1"/>
  <c r="Y58" i="7" a="1"/>
  <c r="O58" i="7" a="1"/>
  <c r="AR57" i="7" a="1"/>
  <c r="BC58" i="7" a="1"/>
  <c r="BJ5" i="7" a="1"/>
  <c r="AP5" i="7" a="1"/>
  <c r="BD5" i="7" a="1"/>
  <c r="AS5" i="7" a="1"/>
  <c r="BG3" i="7" a="1"/>
  <c r="AP3" i="7" a="1"/>
  <c r="L3" i="7" a="1"/>
  <c r="AD3" i="7" a="1"/>
  <c r="V2" i="7" a="1"/>
  <c r="T2" i="7" a="1"/>
  <c r="AP2" i="7" a="1"/>
  <c r="X2" i="7" a="1"/>
  <c r="W58" i="7" a="1"/>
  <c r="AS57" i="7" a="1"/>
  <c r="H5" i="7" a="1"/>
  <c r="AA3" i="7" a="1"/>
  <c r="O2" i="7" a="1"/>
  <c r="Y56" i="7" a="1"/>
  <c r="AT56" i="7" a="1"/>
  <c r="AQ2" i="7" a="1"/>
  <c r="AS5" i="7" l="1"/>
  <c r="N5" i="7"/>
  <c r="AT5" i="7"/>
  <c r="AU5" i="7"/>
  <c r="P5" i="7"/>
  <c r="AV5" i="7"/>
  <c r="M5" i="7"/>
  <c r="BI5" i="7"/>
  <c r="F5" i="7"/>
  <c r="AD5" i="7"/>
  <c r="G5" i="7"/>
  <c r="BC5" i="7"/>
  <c r="H5" i="7"/>
  <c r="X5" i="7"/>
  <c r="AF5" i="7"/>
  <c r="AN5" i="7"/>
  <c r="BD5" i="7"/>
  <c r="AC5" i="7"/>
  <c r="AL5" i="7"/>
  <c r="W5" i="7"/>
  <c r="Q5" i="7"/>
  <c r="AG5" i="7"/>
  <c r="Z5" i="7"/>
  <c r="AH5" i="7"/>
  <c r="S5" i="7"/>
  <c r="AI5" i="7"/>
  <c r="BG5" i="7"/>
  <c r="AK5" i="7"/>
  <c r="BB5" i="7"/>
  <c r="O5" i="7"/>
  <c r="I5" i="7"/>
  <c r="BE5" i="7"/>
  <c r="AP5" i="7"/>
  <c r="K5" i="7"/>
  <c r="AA5" i="7"/>
  <c r="AQ5" i="7"/>
  <c r="AY5" i="7"/>
  <c r="U5" i="7"/>
  <c r="V5" i="7"/>
  <c r="AM5" i="7"/>
  <c r="AO5" i="7"/>
  <c r="J5" i="7"/>
  <c r="BF5" i="7"/>
  <c r="L5" i="7"/>
  <c r="AJ5" i="7"/>
  <c r="BH5" i="7"/>
  <c r="E5" i="7"/>
  <c r="BA5" i="7"/>
  <c r="BJ5" i="7"/>
  <c r="AE5" i="7"/>
  <c r="Y5" i="7"/>
  <c r="AW5" i="7"/>
  <c r="R5" i="7"/>
  <c r="AX5" i="7"/>
  <c r="T5" i="7"/>
  <c r="AB5" i="7"/>
  <c r="AR5" i="7"/>
  <c r="AZ5" i="7"/>
  <c r="D5" i="7"/>
  <c r="C5" i="7"/>
  <c r="E3" i="7"/>
  <c r="AC3" i="7"/>
  <c r="AK3" i="7"/>
  <c r="AS3" i="7"/>
  <c r="BI3" i="7"/>
  <c r="F3" i="7"/>
  <c r="N3" i="7"/>
  <c r="V3" i="7"/>
  <c r="AD3" i="7"/>
  <c r="AL3" i="7"/>
  <c r="AT3" i="7"/>
  <c r="BB3" i="7"/>
  <c r="BJ3" i="7"/>
  <c r="G3" i="7"/>
  <c r="O3" i="7"/>
  <c r="W3" i="7"/>
  <c r="AE3" i="7"/>
  <c r="AM3" i="7"/>
  <c r="AU3" i="7"/>
  <c r="BC3" i="7"/>
  <c r="BH3" i="7"/>
  <c r="AF3" i="7"/>
  <c r="BD3" i="7"/>
  <c r="AV3" i="7"/>
  <c r="L3" i="7"/>
  <c r="AB3" i="7"/>
  <c r="AZ3" i="7"/>
  <c r="M3" i="7"/>
  <c r="H3" i="7"/>
  <c r="I3" i="7"/>
  <c r="Q3" i="7"/>
  <c r="Y3" i="7"/>
  <c r="AG3" i="7"/>
  <c r="AO3" i="7"/>
  <c r="AW3" i="7"/>
  <c r="BE3" i="7"/>
  <c r="J3" i="7"/>
  <c r="R3" i="7"/>
  <c r="Z3" i="7"/>
  <c r="AH3" i="7"/>
  <c r="AP3" i="7"/>
  <c r="AX3" i="7"/>
  <c r="BF3" i="7"/>
  <c r="T3" i="7"/>
  <c r="AJ3" i="7"/>
  <c r="AR3" i="7"/>
  <c r="U3" i="7"/>
  <c r="P3" i="7"/>
  <c r="X3" i="7"/>
  <c r="AN3" i="7"/>
  <c r="K3" i="7"/>
  <c r="S3" i="7"/>
  <c r="AA3" i="7"/>
  <c r="AI3" i="7"/>
  <c r="AQ3" i="7"/>
  <c r="AY3" i="7"/>
  <c r="BG3" i="7"/>
  <c r="BA3" i="7"/>
  <c r="D3" i="7"/>
  <c r="C3" i="7"/>
  <c r="BC2" i="7"/>
  <c r="W2" i="7"/>
  <c r="X2" i="7"/>
  <c r="AN2" i="7"/>
  <c r="AV2" i="7"/>
  <c r="BD2" i="7"/>
  <c r="AU2" i="7"/>
  <c r="Q2" i="7"/>
  <c r="Y2" i="7"/>
  <c r="AG2" i="7"/>
  <c r="AO2" i="7"/>
  <c r="AW2" i="7"/>
  <c r="BE2" i="7"/>
  <c r="G2" i="7"/>
  <c r="O2" i="7"/>
  <c r="H2" i="7"/>
  <c r="J2" i="7"/>
  <c r="AH2" i="7"/>
  <c r="AP2" i="7"/>
  <c r="AX2" i="7"/>
  <c r="BF2" i="7"/>
  <c r="AE2" i="7"/>
  <c r="P2" i="7"/>
  <c r="AF2" i="7"/>
  <c r="Z2" i="7"/>
  <c r="K2" i="7"/>
  <c r="S2" i="7"/>
  <c r="AA2" i="7"/>
  <c r="AI2" i="7"/>
  <c r="AQ2" i="7"/>
  <c r="AY2" i="7"/>
  <c r="BG2" i="7"/>
  <c r="I2" i="7"/>
  <c r="L2" i="7"/>
  <c r="T2" i="7"/>
  <c r="AB2" i="7"/>
  <c r="AJ2" i="7"/>
  <c r="AR2" i="7"/>
  <c r="AZ2" i="7"/>
  <c r="BH2" i="7"/>
  <c r="AM2" i="7"/>
  <c r="R2" i="7"/>
  <c r="M2" i="7"/>
  <c r="U2" i="7"/>
  <c r="AC2" i="7"/>
  <c r="AK2" i="7"/>
  <c r="AS2" i="7"/>
  <c r="BA2" i="7"/>
  <c r="BI2" i="7"/>
  <c r="N2" i="7"/>
  <c r="V2" i="7"/>
  <c r="AD2" i="7"/>
  <c r="AL2" i="7"/>
  <c r="AT2" i="7"/>
  <c r="BB2" i="7"/>
  <c r="BJ2" i="7"/>
  <c r="F2" i="7"/>
  <c r="E2" i="7"/>
  <c r="D2" i="7"/>
  <c r="D16" i="7" s="1"/>
  <c r="C2" i="7"/>
  <c r="C16" i="7" s="1"/>
  <c r="F56" i="7"/>
  <c r="AT56" i="7"/>
  <c r="C57" i="7"/>
  <c r="BG57" i="7"/>
  <c r="AM58" i="7"/>
  <c r="AU58" i="7"/>
  <c r="BC58" i="7"/>
  <c r="AR57" i="7"/>
  <c r="AZ57" i="7"/>
  <c r="BH57" i="7"/>
  <c r="H58" i="7"/>
  <c r="P58" i="7"/>
  <c r="X58" i="7"/>
  <c r="AF58" i="7"/>
  <c r="AN58" i="7"/>
  <c r="AV58" i="7"/>
  <c r="BD58" i="7"/>
  <c r="AD56" i="7"/>
  <c r="BJ56" i="7"/>
  <c r="G56" i="7"/>
  <c r="K57" i="7"/>
  <c r="H56" i="7"/>
  <c r="T57" i="7"/>
  <c r="BC56" i="7"/>
  <c r="O58" i="7"/>
  <c r="P56" i="7"/>
  <c r="AF56" i="7"/>
  <c r="AV56" i="7"/>
  <c r="D57" i="7"/>
  <c r="AJ57" i="7"/>
  <c r="I56" i="7"/>
  <c r="AG56" i="7"/>
  <c r="AW56" i="7"/>
  <c r="E57" i="7"/>
  <c r="U57" i="7"/>
  <c r="AC57" i="7"/>
  <c r="AS57" i="7"/>
  <c r="BA57" i="7"/>
  <c r="BI57" i="7"/>
  <c r="Q58" i="7"/>
  <c r="Y58" i="7"/>
  <c r="AG58" i="7"/>
  <c r="AO58" i="7"/>
  <c r="AW58" i="7"/>
  <c r="BE58" i="7"/>
  <c r="AE56" i="7"/>
  <c r="AE58" i="7"/>
  <c r="X56" i="7"/>
  <c r="AN56" i="7"/>
  <c r="BD56" i="7"/>
  <c r="L57" i="7"/>
  <c r="AB57" i="7"/>
  <c r="Q56" i="7"/>
  <c r="Y56" i="7"/>
  <c r="AO56" i="7"/>
  <c r="BE56" i="7"/>
  <c r="M57" i="7"/>
  <c r="AK57" i="7"/>
  <c r="I58" i="7"/>
  <c r="AU56" i="7"/>
  <c r="Z56" i="7"/>
  <c r="AT57" i="7"/>
  <c r="AX58" i="7"/>
  <c r="O56" i="7"/>
  <c r="AQ57" i="7"/>
  <c r="AX56" i="7"/>
  <c r="AL57" i="7"/>
  <c r="Z58" i="7"/>
  <c r="BF58" i="7"/>
  <c r="AI57" i="7"/>
  <c r="R56" i="7"/>
  <c r="N57" i="7"/>
  <c r="R58" i="7"/>
  <c r="S56" i="7"/>
  <c r="AQ56" i="7"/>
  <c r="BG56" i="7"/>
  <c r="O57" i="7"/>
  <c r="AE57" i="7"/>
  <c r="AU57" i="7"/>
  <c r="BC57" i="7"/>
  <c r="C58" i="7"/>
  <c r="S58" i="7"/>
  <c r="AA58" i="7"/>
  <c r="AI58" i="7"/>
  <c r="AQ58" i="7"/>
  <c r="AY58" i="7"/>
  <c r="BG58" i="7"/>
  <c r="AL56" i="7"/>
  <c r="J57" i="7"/>
  <c r="AA57" i="7"/>
  <c r="J56" i="7"/>
  <c r="F57" i="7"/>
  <c r="BJ57" i="7"/>
  <c r="C56" i="7"/>
  <c r="K56" i="7"/>
  <c r="AA56" i="7"/>
  <c r="AI56" i="7"/>
  <c r="AY56" i="7"/>
  <c r="G57" i="7"/>
  <c r="W57" i="7"/>
  <c r="AM57" i="7"/>
  <c r="K58" i="7"/>
  <c r="G58" i="7"/>
  <c r="BF56" i="7"/>
  <c r="BB57" i="7"/>
  <c r="D56" i="7"/>
  <c r="L56" i="7"/>
  <c r="T56" i="7"/>
  <c r="AB56" i="7"/>
  <c r="AJ56" i="7"/>
  <c r="AR56" i="7"/>
  <c r="AZ56" i="7"/>
  <c r="BH56" i="7"/>
  <c r="H57" i="7"/>
  <c r="P57" i="7"/>
  <c r="X57" i="7"/>
  <c r="AF57" i="7"/>
  <c r="AN57" i="7"/>
  <c r="AV57" i="7"/>
  <c r="BD57" i="7"/>
  <c r="D58" i="7"/>
  <c r="L58" i="7"/>
  <c r="T58" i="7"/>
  <c r="AB58" i="7"/>
  <c r="AJ58" i="7"/>
  <c r="AR58" i="7"/>
  <c r="AZ58" i="7"/>
  <c r="BH58" i="7"/>
  <c r="BB56" i="7"/>
  <c r="AH57" i="7"/>
  <c r="S57" i="7"/>
  <c r="AH58" i="7"/>
  <c r="AM56" i="7"/>
  <c r="AY57" i="7"/>
  <c r="AH56" i="7"/>
  <c r="AD57" i="7"/>
  <c r="AP58" i="7"/>
  <c r="M56" i="7"/>
  <c r="AK56" i="7"/>
  <c r="BA56" i="7"/>
  <c r="I57" i="7"/>
  <c r="Y57" i="7"/>
  <c r="AG57" i="7"/>
  <c r="AW57" i="7"/>
  <c r="BE57" i="7"/>
  <c r="E58" i="7"/>
  <c r="U58" i="7"/>
  <c r="AC58" i="7"/>
  <c r="AK58" i="7"/>
  <c r="AS58" i="7"/>
  <c r="BA58" i="7"/>
  <c r="BI58" i="7"/>
  <c r="N56" i="7"/>
  <c r="W56" i="7"/>
  <c r="W58" i="7"/>
  <c r="AP56" i="7"/>
  <c r="V57" i="7"/>
  <c r="J58" i="7"/>
  <c r="E56" i="7"/>
  <c r="U56" i="7"/>
  <c r="AC56" i="7"/>
  <c r="AS56" i="7"/>
  <c r="BI56" i="7"/>
  <c r="Q57" i="7"/>
  <c r="AO57" i="7"/>
  <c r="M58" i="7"/>
  <c r="Z57" i="7"/>
  <c r="V58" i="7"/>
  <c r="V56" i="7"/>
  <c r="R57" i="7"/>
  <c r="AP57" i="7"/>
  <c r="AX57" i="7"/>
  <c r="BF57" i="7"/>
  <c r="F58" i="7"/>
  <c r="N58" i="7"/>
  <c r="AD58" i="7"/>
  <c r="AL58" i="7"/>
  <c r="AT58" i="7"/>
  <c r="BB58" i="7"/>
  <c r="BJ58" i="7"/>
  <c r="C147" i="1"/>
  <c r="B147" i="1"/>
  <c r="C146" i="1"/>
  <c r="B146" i="1"/>
  <c r="C145" i="1"/>
  <c r="B145" i="1"/>
  <c r="C144" i="1"/>
  <c r="B144" i="1"/>
  <c r="C143" i="1"/>
  <c r="B143" i="1"/>
  <c r="C142" i="1"/>
  <c r="B142" i="1"/>
  <c r="C141" i="1"/>
  <c r="B141" i="1"/>
  <c r="C140" i="1"/>
  <c r="B140" i="1"/>
  <c r="C139" i="1"/>
  <c r="B139" i="1"/>
  <c r="C138" i="1"/>
  <c r="B138" i="1"/>
  <c r="C137" i="1"/>
  <c r="B137" i="1"/>
  <c r="C136" i="1"/>
  <c r="B136" i="1"/>
  <c r="C135" i="1"/>
  <c r="B135" i="1"/>
  <c r="C134" i="1"/>
  <c r="B134" i="1"/>
  <c r="C133" i="1"/>
  <c r="B133" i="1"/>
  <c r="C132" i="1"/>
  <c r="B132" i="1"/>
  <c r="C131" i="1"/>
  <c r="B131" i="1"/>
  <c r="C130" i="1"/>
  <c r="B130" i="1"/>
  <c r="C129" i="1"/>
  <c r="B129" i="1"/>
  <c r="C128" i="1"/>
  <c r="B128" i="1"/>
  <c r="C127" i="1"/>
  <c r="B127" i="1"/>
  <c r="C126" i="1"/>
  <c r="B126" i="1"/>
  <c r="C125" i="1"/>
  <c r="B125" i="1"/>
  <c r="C124" i="1"/>
  <c r="B124" i="1"/>
  <c r="C123" i="1"/>
  <c r="B123" i="1"/>
  <c r="C122" i="1"/>
  <c r="B122" i="1"/>
  <c r="C121" i="1"/>
  <c r="B121" i="1"/>
  <c r="C120" i="1"/>
  <c r="B120" i="1"/>
  <c r="C119" i="1"/>
  <c r="B119" i="1"/>
  <c r="C118" i="1"/>
  <c r="B118" i="1"/>
  <c r="C117" i="1"/>
  <c r="B117" i="1"/>
  <c r="C116" i="1"/>
  <c r="B116" i="1"/>
  <c r="C115" i="1"/>
  <c r="B115" i="1"/>
  <c r="C114" i="1"/>
  <c r="B114" i="1"/>
  <c r="C113" i="1"/>
  <c r="B113" i="1"/>
  <c r="C112" i="1"/>
  <c r="B112" i="1"/>
  <c r="C111" i="1"/>
  <c r="B111" i="1"/>
  <c r="C110" i="1"/>
  <c r="B110" i="1"/>
  <c r="C109" i="1"/>
  <c r="B109" i="1"/>
  <c r="C108" i="1"/>
  <c r="B108" i="1"/>
  <c r="C107" i="1"/>
  <c r="B107" i="1"/>
  <c r="C106" i="1"/>
  <c r="B106" i="1"/>
  <c r="C105" i="1"/>
  <c r="B105" i="1"/>
  <c r="C104" i="1"/>
  <c r="B104" i="1"/>
  <c r="C103" i="1"/>
  <c r="B103" i="1"/>
  <c r="C102" i="1"/>
  <c r="B102" i="1"/>
  <c r="C101" i="1"/>
  <c r="B101" i="1"/>
  <c r="C100" i="1"/>
  <c r="B100" i="1"/>
  <c r="C99" i="1"/>
  <c r="B99" i="1"/>
  <c r="C98" i="1"/>
  <c r="B98" i="1"/>
  <c r="C97" i="1"/>
  <c r="B97" i="1"/>
  <c r="C96" i="1"/>
  <c r="B96" i="1"/>
  <c r="C95" i="1"/>
  <c r="B95" i="1"/>
  <c r="C94" i="1"/>
  <c r="B94" i="1"/>
  <c r="C93" i="1"/>
  <c r="B93" i="1"/>
  <c r="C92" i="1"/>
  <c r="B92" i="1"/>
  <c r="C91" i="1"/>
  <c r="B91" i="1"/>
  <c r="C90" i="1"/>
  <c r="B90" i="1"/>
  <c r="C149" i="1" l="1"/>
  <c r="D90" i="1" a="1"/>
  <c r="D90" i="1" s="1"/>
  <c r="E90" i="1" s="1"/>
  <c r="D149" i="1"/>
  <c r="E149" i="1" s="1"/>
  <c r="D91" i="1" s="1"/>
  <c r="B67" i="7"/>
  <c r="B71" i="7" s="1"/>
  <c r="C67" i="7"/>
  <c r="C71" i="7" s="1"/>
  <c r="D67" i="7"/>
  <c r="D71" i="7" s="1"/>
  <c r="E67" i="7"/>
  <c r="E71" i="7" s="1"/>
  <c r="F67" i="7"/>
  <c r="F71" i="7" s="1"/>
  <c r="G67" i="7"/>
  <c r="G71" i="7" s="1"/>
  <c r="H67" i="7"/>
  <c r="H71" i="7" s="1"/>
  <c r="I67" i="7"/>
  <c r="I71" i="7" s="1"/>
  <c r="J67" i="7"/>
  <c r="J71" i="7" s="1"/>
  <c r="K67" i="7"/>
  <c r="K71" i="7" s="1"/>
  <c r="L67" i="7"/>
  <c r="L71" i="7" s="1"/>
  <c r="M67" i="7"/>
  <c r="M71" i="7" s="1"/>
  <c r="N67" i="7"/>
  <c r="N71" i="7" s="1"/>
  <c r="O67" i="7"/>
  <c r="O71" i="7" s="1"/>
  <c r="P67" i="7"/>
  <c r="P71" i="7" s="1"/>
  <c r="Q67" i="7"/>
  <c r="Q71" i="7" s="1"/>
  <c r="R67" i="7"/>
  <c r="R71" i="7" s="1"/>
  <c r="S67" i="7"/>
  <c r="S71" i="7" s="1"/>
  <c r="T67" i="7"/>
  <c r="T71" i="7" s="1"/>
  <c r="U67" i="7"/>
  <c r="U71" i="7" s="1"/>
  <c r="V67" i="7"/>
  <c r="V71" i="7" s="1"/>
  <c r="W67" i="7"/>
  <c r="W71" i="7" s="1"/>
  <c r="X67" i="7"/>
  <c r="X71" i="7" s="1"/>
  <c r="Y67" i="7"/>
  <c r="Y71" i="7" s="1"/>
  <c r="Z67" i="7"/>
  <c r="Z71" i="7" s="1"/>
  <c r="AA67" i="7"/>
  <c r="AA71" i="7" s="1"/>
  <c r="AB67" i="7"/>
  <c r="AB71" i="7" s="1"/>
  <c r="AC67" i="7"/>
  <c r="AC71" i="7" s="1"/>
  <c r="AD67" i="7"/>
  <c r="AD71" i="7" s="1"/>
  <c r="AE67" i="7"/>
  <c r="AE71" i="7" s="1"/>
  <c r="AF67" i="7"/>
  <c r="AF71" i="7" s="1"/>
  <c r="AG67" i="7"/>
  <c r="AG71" i="7" s="1"/>
  <c r="AH67" i="7"/>
  <c r="AH71" i="7" s="1"/>
  <c r="AI67" i="7"/>
  <c r="AI71" i="7" s="1"/>
  <c r="AJ67" i="7"/>
  <c r="AJ71" i="7" s="1"/>
  <c r="AK67" i="7"/>
  <c r="AK71" i="7" s="1"/>
  <c r="AL67" i="7"/>
  <c r="AL71" i="7" s="1"/>
  <c r="AM67" i="7"/>
  <c r="AM71" i="7" s="1"/>
  <c r="AN67" i="7"/>
  <c r="AN71" i="7" s="1"/>
  <c r="AO67" i="7"/>
  <c r="AO71" i="7" s="1"/>
  <c r="AP67" i="7"/>
  <c r="AP71" i="7" s="1"/>
  <c r="AQ67" i="7"/>
  <c r="AQ71" i="7" s="1"/>
  <c r="AR67" i="7"/>
  <c r="AR71" i="7" s="1"/>
  <c r="AS67" i="7"/>
  <c r="AS71" i="7" s="1"/>
  <c r="AT67" i="7"/>
  <c r="AT71" i="7" s="1"/>
  <c r="AU67" i="7"/>
  <c r="AU71" i="7" s="1"/>
  <c r="AV67" i="7"/>
  <c r="AV71" i="7" s="1"/>
  <c r="AW67" i="7"/>
  <c r="AW71" i="7" s="1"/>
  <c r="AX67" i="7"/>
  <c r="AX71" i="7" s="1"/>
  <c r="AY67" i="7"/>
  <c r="AY71" i="7" s="1"/>
  <c r="AZ67" i="7"/>
  <c r="AZ71" i="7" s="1"/>
  <c r="BA67" i="7"/>
  <c r="BA71" i="7" s="1"/>
  <c r="BB67" i="7"/>
  <c r="BB71" i="7" s="1"/>
  <c r="BC67" i="7"/>
  <c r="BC71" i="7" s="1"/>
  <c r="BD67" i="7"/>
  <c r="BD71" i="7" s="1"/>
  <c r="BE67" i="7"/>
  <c r="BE71" i="7" s="1"/>
  <c r="BF67" i="7"/>
  <c r="BF71" i="7" s="1"/>
  <c r="BG67" i="7"/>
  <c r="BG71" i="7" s="1"/>
  <c r="BH67" i="7"/>
  <c r="BH71" i="7" s="1"/>
  <c r="BI67" i="7"/>
  <c r="BI71" i="7" s="1"/>
  <c r="J21" i="14"/>
  <c r="J19" i="14"/>
  <c r="J47" i="14"/>
  <c r="J54" i="14"/>
  <c r="J59" i="14"/>
  <c r="J17" i="14"/>
  <c r="J41" i="14"/>
  <c r="J44" i="14"/>
  <c r="J25" i="14"/>
  <c r="J49" i="14"/>
  <c r="J8" i="14"/>
  <c r="J58" i="14"/>
  <c r="J29" i="14"/>
  <c r="J6" i="14"/>
  <c r="J60" i="14"/>
  <c r="J36" i="14"/>
  <c r="J39" i="14"/>
  <c r="J23" i="14"/>
  <c r="J51" i="14"/>
  <c r="J26" i="14"/>
  <c r="J28" i="14"/>
  <c r="J10" i="14"/>
  <c r="J34" i="14"/>
  <c r="J7" i="14"/>
  <c r="J57" i="14"/>
  <c r="J53" i="14"/>
  <c r="J9" i="14"/>
  <c r="J15" i="14"/>
  <c r="J24" i="14"/>
  <c r="J18" i="14"/>
  <c r="J22" i="14"/>
  <c r="J37" i="14"/>
  <c r="J13" i="14"/>
  <c r="J33" i="14"/>
  <c r="J38" i="14"/>
  <c r="J14" i="14"/>
  <c r="J56" i="14"/>
  <c r="J45" i="14"/>
  <c r="J42" i="14"/>
  <c r="J43" i="14"/>
  <c r="J31" i="14"/>
  <c r="J50" i="14"/>
  <c r="J35" i="14"/>
  <c r="J5" i="14"/>
  <c r="J40" i="14"/>
  <c r="J55" i="14"/>
  <c r="J11" i="14"/>
  <c r="J12" i="14"/>
  <c r="J30" i="14"/>
  <c r="J4" i="14"/>
  <c r="J16" i="14"/>
  <c r="J46" i="14"/>
  <c r="J52" i="14"/>
  <c r="J32" i="14"/>
  <c r="J27" i="14"/>
  <c r="J48" i="14"/>
  <c r="J20" i="14"/>
  <c r="L21" i="14"/>
  <c r="L19" i="14"/>
  <c r="L47" i="14"/>
  <c r="L54" i="14"/>
  <c r="L59" i="14"/>
  <c r="L17" i="14"/>
  <c r="L41" i="14"/>
  <c r="L44" i="14"/>
  <c r="L25" i="14"/>
  <c r="L49" i="14"/>
  <c r="L8" i="14"/>
  <c r="L58" i="14"/>
  <c r="L29" i="14"/>
  <c r="L6" i="14"/>
  <c r="L60" i="14"/>
  <c r="L36" i="14"/>
  <c r="L39" i="14"/>
  <c r="L23" i="14"/>
  <c r="L51" i="14"/>
  <c r="L26" i="14"/>
  <c r="L28" i="14"/>
  <c r="L10" i="14"/>
  <c r="L34" i="14"/>
  <c r="L7" i="14"/>
  <c r="L57" i="14"/>
  <c r="L53" i="14"/>
  <c r="L9" i="14"/>
  <c r="L15" i="14"/>
  <c r="L24" i="14"/>
  <c r="L18" i="14"/>
  <c r="L22" i="14"/>
  <c r="L37" i="14"/>
  <c r="L13" i="14"/>
  <c r="L33" i="14"/>
  <c r="L38" i="14"/>
  <c r="L14" i="14"/>
  <c r="L56" i="14"/>
  <c r="L45" i="14"/>
  <c r="L42" i="14"/>
  <c r="L43" i="14"/>
  <c r="L31" i="14"/>
  <c r="L50" i="14"/>
  <c r="L35" i="14"/>
  <c r="L5" i="14"/>
  <c r="L40" i="14"/>
  <c r="L55" i="14"/>
  <c r="L11" i="14"/>
  <c r="L12" i="14"/>
  <c r="L30" i="14"/>
  <c r="L4" i="14"/>
  <c r="L16" i="14"/>
  <c r="L46" i="14"/>
  <c r="L52" i="14"/>
  <c r="L32" i="14"/>
  <c r="L27" i="14"/>
  <c r="L48" i="14"/>
  <c r="L20" i="14"/>
  <c r="L61" i="14"/>
  <c r="J61" i="14"/>
  <c r="F50" i="14"/>
  <c r="F51" i="14"/>
  <c r="F66" i="14"/>
  <c r="F67" i="14"/>
  <c r="F82" i="14"/>
  <c r="F83" i="14"/>
  <c r="F98" i="14"/>
  <c r="F99" i="14"/>
  <c r="F114" i="14"/>
  <c r="F115" i="14"/>
  <c r="F130" i="14"/>
  <c r="F131" i="14"/>
  <c r="F146" i="14"/>
  <c r="F147" i="14"/>
  <c r="F163" i="14"/>
  <c r="F41" i="14"/>
  <c r="F56" i="14"/>
  <c r="F57" i="14"/>
  <c r="F72" i="14"/>
  <c r="F73" i="14"/>
  <c r="F88" i="14"/>
  <c r="F89" i="14"/>
  <c r="F104" i="14"/>
  <c r="F105" i="14"/>
  <c r="F121" i="14"/>
  <c r="F136" i="14"/>
  <c r="F137" i="14"/>
  <c r="F152" i="14"/>
  <c r="F153" i="14"/>
  <c r="F168" i="14"/>
  <c r="F169" i="14"/>
  <c r="F172" i="14"/>
  <c r="F156" i="14"/>
  <c r="F140" i="14"/>
  <c r="F124" i="14"/>
  <c r="F108" i="14"/>
  <c r="F92" i="14"/>
  <c r="F76" i="14"/>
  <c r="F60" i="14"/>
  <c r="F44" i="14"/>
  <c r="F173" i="14"/>
  <c r="F171" i="14"/>
  <c r="F170" i="14"/>
  <c r="F167" i="14"/>
  <c r="F166" i="14"/>
  <c r="F165" i="14"/>
  <c r="F160" i="14"/>
  <c r="F157" i="14"/>
  <c r="F155" i="14"/>
  <c r="F154" i="14"/>
  <c r="F151" i="14"/>
  <c r="F150" i="14"/>
  <c r="F149" i="14"/>
  <c r="F144" i="14"/>
  <c r="F142" i="14"/>
  <c r="F141" i="14"/>
  <c r="F139" i="14"/>
  <c r="F138" i="14"/>
  <c r="F135" i="14"/>
  <c r="F134" i="14"/>
  <c r="F133" i="14"/>
  <c r="F128" i="14"/>
  <c r="F125" i="14"/>
  <c r="F123" i="14"/>
  <c r="F122" i="14"/>
  <c r="F120" i="14"/>
  <c r="F119" i="14"/>
  <c r="F118" i="14"/>
  <c r="F117" i="14"/>
  <c r="F112" i="14"/>
  <c r="F109" i="14"/>
  <c r="F107" i="14"/>
  <c r="F106" i="14"/>
  <c r="F103" i="14"/>
  <c r="F102" i="14"/>
  <c r="F96" i="14"/>
  <c r="F94" i="14"/>
  <c r="F93" i="14"/>
  <c r="F91" i="14"/>
  <c r="F90" i="14"/>
  <c r="F87" i="14"/>
  <c r="F86" i="14"/>
  <c r="F85" i="14"/>
  <c r="F80" i="14"/>
  <c r="F78" i="14"/>
  <c r="F77" i="14"/>
  <c r="F75" i="14"/>
  <c r="F74" i="14"/>
  <c r="F71" i="14"/>
  <c r="F70" i="14"/>
  <c r="F69" i="14"/>
  <c r="F64" i="14"/>
  <c r="F62" i="14"/>
  <c r="F61" i="14"/>
  <c r="F59" i="14"/>
  <c r="F58" i="14"/>
  <c r="F55" i="14"/>
  <c r="F54" i="14"/>
  <c r="F53" i="14"/>
  <c r="F48" i="14"/>
  <c r="F46" i="14"/>
  <c r="F45" i="14"/>
  <c r="F43" i="14"/>
  <c r="F42" i="14"/>
  <c r="F40" i="14"/>
  <c r="F39" i="14"/>
  <c r="F38" i="14"/>
  <c r="F37" i="14"/>
  <c r="D26" i="14" a="1"/>
  <c r="D28" i="14" a="1"/>
  <c r="D27" i="14" a="1"/>
  <c r="D26" i="14" l="1"/>
  <c r="D28" i="14"/>
  <c r="D27" i="14"/>
  <c r="E91" i="1"/>
  <c r="F145" i="14"/>
  <c r="F174" i="14"/>
  <c r="F158" i="14"/>
  <c r="F126" i="14"/>
  <c r="F110" i="14"/>
  <c r="F101" i="14"/>
  <c r="F36" i="14"/>
  <c r="F161" i="14"/>
  <c r="F129" i="14"/>
  <c r="F113" i="14"/>
  <c r="F97" i="14"/>
  <c r="F81" i="14"/>
  <c r="F65" i="14"/>
  <c r="F49" i="14"/>
  <c r="F162" i="14"/>
  <c r="F52" i="14"/>
  <c r="F68" i="14"/>
  <c r="F84" i="14"/>
  <c r="F100" i="14"/>
  <c r="F116" i="14"/>
  <c r="F132" i="14"/>
  <c r="F148" i="14"/>
  <c r="F164" i="14"/>
  <c r="F47" i="14"/>
  <c r="F63" i="14"/>
  <c r="F79" i="14"/>
  <c r="F95" i="14"/>
  <c r="F111" i="14"/>
  <c r="F127" i="14"/>
  <c r="F143" i="14"/>
  <c r="F159" i="14"/>
  <c r="BA72" i="7" l="1"/>
  <c r="N72" i="7"/>
  <c r="E72" i="7"/>
  <c r="AA72" i="7"/>
  <c r="BG72" i="7"/>
  <c r="AQ72" i="7"/>
  <c r="BD72" i="7"/>
  <c r="AR72" i="7"/>
  <c r="AN72" i="7"/>
  <c r="AC72" i="7"/>
  <c r="C72" i="7"/>
  <c r="BI72" i="7"/>
  <c r="AE72" i="7"/>
  <c r="AB72" i="7"/>
  <c r="K72" i="7"/>
  <c r="Y72" i="7"/>
  <c r="AT72" i="7"/>
  <c r="AW72" i="7"/>
  <c r="AO72" i="7"/>
  <c r="O72" i="7"/>
  <c r="L72" i="7"/>
  <c r="P72" i="7"/>
  <c r="BH72" i="7"/>
  <c r="I72" i="7"/>
  <c r="AJ72" i="7"/>
  <c r="V72" i="7"/>
  <c r="AI72" i="7"/>
  <c r="BE72" i="7"/>
  <c r="M72" i="7"/>
  <c r="D72" i="7"/>
  <c r="AK72" i="7"/>
  <c r="H72" i="7"/>
  <c r="BF72" i="7"/>
  <c r="AG72" i="7"/>
  <c r="F72" i="7"/>
  <c r="AM72" i="7"/>
  <c r="Z72" i="7"/>
  <c r="R72" i="7"/>
  <c r="BC72" i="7"/>
  <c r="AP72" i="7"/>
  <c r="AD72" i="7"/>
  <c r="AZ72" i="7"/>
  <c r="AL72" i="7"/>
  <c r="BB72" i="7"/>
  <c r="AS72" i="7"/>
  <c r="Q72" i="7"/>
  <c r="S72" i="7"/>
  <c r="AF72" i="7"/>
  <c r="AV72" i="7"/>
  <c r="AY72" i="7"/>
  <c r="T72" i="7"/>
  <c r="G72" i="7"/>
  <c r="U72" i="7"/>
  <c r="J72" i="7"/>
  <c r="B72" i="7"/>
  <c r="X72" i="7"/>
  <c r="AU72" i="7"/>
  <c r="AH72" i="7"/>
  <c r="W72" i="7"/>
  <c r="AX72" i="7"/>
  <c r="M36" i="14"/>
  <c r="M37" i="14"/>
  <c r="M12" i="14"/>
  <c r="M59" i="14"/>
  <c r="M17" i="14"/>
  <c r="M28" i="14"/>
  <c r="M10" i="14"/>
  <c r="M56" i="14"/>
  <c r="M52" i="14"/>
  <c r="M32" i="14"/>
  <c r="N4" i="14"/>
  <c r="K21" i="14"/>
  <c r="I21" i="14"/>
  <c r="K19" i="14"/>
  <c r="I19" i="14"/>
  <c r="K47" i="14"/>
  <c r="I47" i="14"/>
  <c r="K54" i="14"/>
  <c r="I54" i="14"/>
  <c r="K59" i="14"/>
  <c r="I59" i="14"/>
  <c r="K17" i="14"/>
  <c r="I17" i="14"/>
  <c r="K41" i="14"/>
  <c r="I41" i="14"/>
  <c r="K44" i="14"/>
  <c r="I44" i="14"/>
  <c r="K25" i="14"/>
  <c r="I25" i="14"/>
  <c r="K49" i="14"/>
  <c r="I49" i="14"/>
  <c r="K8" i="14"/>
  <c r="I8" i="14"/>
  <c r="K58" i="14"/>
  <c r="I58" i="14"/>
  <c r="K29" i="14"/>
  <c r="I29" i="14"/>
  <c r="K6" i="14"/>
  <c r="I6" i="14"/>
  <c r="K60" i="14"/>
  <c r="I60" i="14"/>
  <c r="K36" i="14"/>
  <c r="I36" i="14"/>
  <c r="K39" i="14"/>
  <c r="I39" i="14"/>
  <c r="K23" i="14"/>
  <c r="I23" i="14"/>
  <c r="K51" i="14"/>
  <c r="I51" i="14"/>
  <c r="K26" i="14"/>
  <c r="I26" i="14"/>
  <c r="K28" i="14"/>
  <c r="I28" i="14"/>
  <c r="K10" i="14"/>
  <c r="I10" i="14"/>
  <c r="K34" i="14"/>
  <c r="I34" i="14"/>
  <c r="K7" i="14"/>
  <c r="I7" i="14"/>
  <c r="K57" i="14"/>
  <c r="I57" i="14"/>
  <c r="K53" i="14"/>
  <c r="I53" i="14"/>
  <c r="K9" i="14"/>
  <c r="I9" i="14"/>
  <c r="K15" i="14"/>
  <c r="I15" i="14"/>
  <c r="K24" i="14"/>
  <c r="I24" i="14"/>
  <c r="K18" i="14"/>
  <c r="I18" i="14"/>
  <c r="K22" i="14"/>
  <c r="I22" i="14"/>
  <c r="K37" i="14"/>
  <c r="I37" i="14"/>
  <c r="K13" i="14"/>
  <c r="I13" i="14"/>
  <c r="K33" i="14"/>
  <c r="I33" i="14"/>
  <c r="K38" i="14"/>
  <c r="I38" i="14"/>
  <c r="K14" i="14"/>
  <c r="I14" i="14"/>
  <c r="K56" i="14"/>
  <c r="I56" i="14"/>
  <c r="K45" i="14"/>
  <c r="I45" i="14"/>
  <c r="K42" i="14"/>
  <c r="I42" i="14"/>
  <c r="K43" i="14"/>
  <c r="I43" i="14"/>
  <c r="K31" i="14"/>
  <c r="I31" i="14"/>
  <c r="K50" i="14"/>
  <c r="I50" i="14"/>
  <c r="K35" i="14"/>
  <c r="I35" i="14"/>
  <c r="K5" i="14"/>
  <c r="I5" i="14"/>
  <c r="K40" i="14"/>
  <c r="I40" i="14"/>
  <c r="K55" i="14"/>
  <c r="I55" i="14"/>
  <c r="K11" i="14"/>
  <c r="I11" i="14"/>
  <c r="K12" i="14"/>
  <c r="I12" i="14"/>
  <c r="K30" i="14"/>
  <c r="I30" i="14"/>
  <c r="K4" i="14"/>
  <c r="I4" i="14"/>
  <c r="K16" i="14"/>
  <c r="I16" i="14"/>
  <c r="K46" i="14"/>
  <c r="I46" i="14"/>
  <c r="K52" i="14"/>
  <c r="I52" i="14"/>
  <c r="K32" i="14"/>
  <c r="I32" i="14"/>
  <c r="K27" i="14"/>
  <c r="I27" i="14"/>
  <c r="K48" i="14"/>
  <c r="I48" i="14"/>
  <c r="K20" i="14"/>
  <c r="I20" i="14"/>
  <c r="K61" i="14"/>
  <c r="I61" i="14"/>
  <c r="E7" i="14"/>
  <c r="D6" i="14"/>
  <c r="B22" i="14"/>
  <c r="B21" i="14"/>
  <c r="B20" i="14"/>
  <c r="B19" i="14"/>
  <c r="B18" i="14"/>
  <c r="B17" i="14"/>
  <c r="B16" i="14"/>
  <c r="B15" i="14"/>
  <c r="B14" i="14"/>
  <c r="B13" i="14"/>
  <c r="B12" i="14"/>
  <c r="B11" i="14"/>
  <c r="B10" i="14"/>
  <c r="B9" i="14"/>
  <c r="B8" i="14"/>
  <c r="B7" i="14"/>
  <c r="B6" i="14"/>
  <c r="B5" i="14"/>
  <c r="B4" i="14"/>
  <c r="D22" i="14"/>
  <c r="D21" i="14"/>
  <c r="D20" i="14"/>
  <c r="D19" i="14"/>
  <c r="E19" i="14" s="1"/>
  <c r="D18" i="14"/>
  <c r="D17" i="14"/>
  <c r="E17" i="14" s="1"/>
  <c r="D16" i="14"/>
  <c r="D15" i="14"/>
  <c r="D14" i="14"/>
  <c r="D13" i="14"/>
  <c r="D12" i="14"/>
  <c r="D11" i="14"/>
  <c r="E11" i="14" s="1"/>
  <c r="D10" i="14"/>
  <c r="D9" i="14"/>
  <c r="D8" i="14"/>
  <c r="D7" i="14"/>
  <c r="D5" i="14"/>
  <c r="D4" i="14"/>
  <c r="C22" i="14"/>
  <c r="E22" i="14" s="1"/>
  <c r="C21" i="14"/>
  <c r="C20" i="14"/>
  <c r="C19" i="14"/>
  <c r="C18" i="14"/>
  <c r="C17" i="14"/>
  <c r="C16" i="14"/>
  <c r="C15" i="14"/>
  <c r="E15" i="14" s="1"/>
  <c r="C14" i="14"/>
  <c r="C13" i="14"/>
  <c r="E13" i="14" s="1"/>
  <c r="C12" i="14"/>
  <c r="E12" i="14" s="1"/>
  <c r="C11" i="14"/>
  <c r="C10" i="14"/>
  <c r="C9" i="14"/>
  <c r="C8" i="14"/>
  <c r="C7" i="14"/>
  <c r="C6" i="14"/>
  <c r="C5" i="14"/>
  <c r="C4" i="14"/>
  <c r="C27" i="14" a="1"/>
  <c r="C28" i="14" a="1"/>
  <c r="C26" i="14" a="1"/>
  <c r="E14" i="14" l="1"/>
  <c r="E4" i="14"/>
  <c r="E16" i="14"/>
  <c r="E6" i="14"/>
  <c r="E8" i="14"/>
  <c r="C28" i="14"/>
  <c r="C26" i="14"/>
  <c r="C27" i="14"/>
  <c r="E18" i="14"/>
  <c r="E20" i="14"/>
  <c r="E5" i="14"/>
  <c r="E21" i="14"/>
  <c r="E9" i="14"/>
  <c r="E10" i="14"/>
  <c r="F4" i="14"/>
  <c r="F5" i="14" s="1"/>
  <c r="N5" i="14"/>
  <c r="M55" i="14"/>
  <c r="M18" i="14"/>
  <c r="M6" i="14"/>
  <c r="M40" i="14"/>
  <c r="M24" i="14"/>
  <c r="M29" i="14"/>
  <c r="M35" i="14"/>
  <c r="M9" i="14"/>
  <c r="M8" i="14"/>
  <c r="M15" i="14"/>
  <c r="M58" i="14"/>
  <c r="M48" i="14"/>
  <c r="M43" i="14"/>
  <c r="M7" i="14"/>
  <c r="M44" i="14"/>
  <c r="M27" i="14"/>
  <c r="M42" i="14"/>
  <c r="M34" i="14"/>
  <c r="M41" i="14"/>
  <c r="M45" i="14"/>
  <c r="M46" i="14"/>
  <c r="M14" i="14"/>
  <c r="M54" i="14"/>
  <c r="M16" i="14"/>
  <c r="M38" i="14"/>
  <c r="M51" i="14"/>
  <c r="M47" i="14"/>
  <c r="M4" i="14"/>
  <c r="M33" i="14"/>
  <c r="M23" i="14"/>
  <c r="M19" i="14"/>
  <c r="M26" i="14"/>
  <c r="M30" i="14"/>
  <c r="M13" i="14"/>
  <c r="M39" i="14"/>
  <c r="M21" i="14"/>
  <c r="M5" i="14"/>
  <c r="M61" i="14"/>
  <c r="M50" i="14"/>
  <c r="M53" i="14"/>
  <c r="M49" i="14"/>
  <c r="M11" i="14"/>
  <c r="M22" i="14"/>
  <c r="M60" i="14"/>
  <c r="M20" i="14"/>
  <c r="M31" i="14"/>
  <c r="M57" i="14"/>
  <c r="M25" i="14"/>
  <c r="N6" i="14" l="1"/>
  <c r="F6" i="14"/>
  <c r="BJ2" i="1"/>
  <c r="BI2" i="1"/>
  <c r="BH2" i="1"/>
  <c r="BG2" i="1"/>
  <c r="BF2" i="1"/>
  <c r="BE2" i="1"/>
  <c r="BD2" i="1"/>
  <c r="BC2" i="1"/>
  <c r="BB2" i="1"/>
  <c r="BA2" i="1"/>
  <c r="AZ2" i="1"/>
  <c r="AY2" i="1"/>
  <c r="AX2" i="1"/>
  <c r="AW2" i="1"/>
  <c r="AV2" i="1"/>
  <c r="AU2" i="1"/>
  <c r="AT2" i="1"/>
  <c r="AS2" i="1"/>
  <c r="AR2" i="1"/>
  <c r="AQ2" i="1"/>
  <c r="AP2" i="1"/>
  <c r="AO2" i="1"/>
  <c r="AN2" i="1"/>
  <c r="AM2"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C2" i="1"/>
  <c r="BJ1" i="1"/>
  <c r="BJ3" i="1" s="1"/>
  <c r="BI1" i="1"/>
  <c r="BI3" i="1" s="1"/>
  <c r="BH1" i="1"/>
  <c r="BH3" i="1" s="1"/>
  <c r="BG1" i="1"/>
  <c r="BG3" i="1" s="1"/>
  <c r="BF1" i="1"/>
  <c r="BF3" i="1" s="1"/>
  <c r="BE1" i="1"/>
  <c r="BE3" i="1" s="1"/>
  <c r="BD1" i="1"/>
  <c r="BD3" i="1" s="1"/>
  <c r="BC1" i="1"/>
  <c r="BB1" i="1"/>
  <c r="BA1" i="1"/>
  <c r="BA3" i="1" s="1"/>
  <c r="AZ1" i="1"/>
  <c r="AZ3" i="1" s="1"/>
  <c r="AY1" i="1"/>
  <c r="AY3" i="1" s="1"/>
  <c r="AX1" i="1"/>
  <c r="AX3" i="1" s="1"/>
  <c r="AW1" i="1"/>
  <c r="AW3" i="1" s="1"/>
  <c r="AV1" i="1"/>
  <c r="AV3" i="1" s="1"/>
  <c r="AU1" i="1"/>
  <c r="AU3" i="1" s="1"/>
  <c r="AT1" i="1"/>
  <c r="AT3" i="1" s="1"/>
  <c r="AS1" i="1"/>
  <c r="AS3" i="1" s="1"/>
  <c r="AR1" i="1"/>
  <c r="AR3" i="1" s="1"/>
  <c r="AQ1" i="1"/>
  <c r="AQ3" i="1" s="1"/>
  <c r="AP1" i="1"/>
  <c r="AP3" i="1" s="1"/>
  <c r="AO1" i="1"/>
  <c r="AO3" i="1" s="1"/>
  <c r="AN1" i="1"/>
  <c r="AN3" i="1" s="1"/>
  <c r="AM1" i="1"/>
  <c r="AL1" i="1"/>
  <c r="AK1" i="1"/>
  <c r="AK3" i="1" s="1"/>
  <c r="AJ1" i="1"/>
  <c r="AJ3" i="1" s="1"/>
  <c r="AI1" i="1"/>
  <c r="AI3" i="1" s="1"/>
  <c r="AH1" i="1"/>
  <c r="AH3" i="1" s="1"/>
  <c r="AG1" i="1"/>
  <c r="AG3" i="1" s="1"/>
  <c r="AF1" i="1"/>
  <c r="AF3" i="1" s="1"/>
  <c r="AE1" i="1"/>
  <c r="AE3" i="1" s="1"/>
  <c r="AD1" i="1"/>
  <c r="AD3" i="1" s="1"/>
  <c r="AC1" i="1"/>
  <c r="AC3" i="1" s="1"/>
  <c r="AB1" i="1"/>
  <c r="AB3" i="1" s="1"/>
  <c r="AA1" i="1"/>
  <c r="AA3" i="1" s="1"/>
  <c r="Z1" i="1"/>
  <c r="Z3" i="1" s="1"/>
  <c r="Y1" i="1"/>
  <c r="Y3" i="1" s="1"/>
  <c r="X1" i="1"/>
  <c r="X3" i="1" s="1"/>
  <c r="W1" i="1"/>
  <c r="V1" i="1"/>
  <c r="U1" i="1"/>
  <c r="U3" i="1" s="1"/>
  <c r="T1" i="1"/>
  <c r="T3" i="1" s="1"/>
  <c r="S1" i="1"/>
  <c r="S3" i="1" s="1"/>
  <c r="R1" i="1"/>
  <c r="R3" i="1" s="1"/>
  <c r="Q1" i="1"/>
  <c r="Q3" i="1" s="1"/>
  <c r="P1" i="1"/>
  <c r="P3" i="1" s="1"/>
  <c r="O1" i="1"/>
  <c r="O3" i="1" s="1"/>
  <c r="N1" i="1"/>
  <c r="N3" i="1" s="1"/>
  <c r="M1" i="1"/>
  <c r="M3" i="1" s="1"/>
  <c r="L1" i="1"/>
  <c r="L3" i="1" s="1"/>
  <c r="K1" i="1"/>
  <c r="K3" i="1" s="1"/>
  <c r="J1" i="1"/>
  <c r="J3" i="1" s="1"/>
  <c r="I1" i="1"/>
  <c r="I3" i="1" s="1"/>
  <c r="H1" i="1"/>
  <c r="H3" i="1" s="1"/>
  <c r="G1" i="1"/>
  <c r="F1" i="1"/>
  <c r="F3" i="1" s="1"/>
  <c r="E1" i="1"/>
  <c r="E3" i="1" s="1"/>
  <c r="D1" i="1"/>
  <c r="D3" i="1" s="1"/>
  <c r="C1" i="1"/>
  <c r="C3" i="1" s="1"/>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H1" i="6"/>
  <c r="G1" i="6"/>
  <c r="F1" i="6"/>
  <c r="E1" i="6"/>
  <c r="D1" i="6"/>
  <c r="C1"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H2" i="6"/>
  <c r="G2" i="6"/>
  <c r="F2" i="6"/>
  <c r="E2" i="6"/>
  <c r="D2" i="6"/>
  <c r="C2" i="6"/>
  <c r="BD4" i="7" a="1"/>
  <c r="BC4" i="7" a="1"/>
  <c r="AM4" i="7" a="1"/>
  <c r="W4" i="7" a="1"/>
  <c r="G4" i="7" a="1"/>
  <c r="BB4" i="7" a="1"/>
  <c r="AL4" i="7" a="1"/>
  <c r="V4" i="7" a="1"/>
  <c r="F4" i="7" a="1"/>
  <c r="BA4" i="7" a="1"/>
  <c r="AK4" i="7" a="1"/>
  <c r="U4" i="7" a="1"/>
  <c r="E4" i="7" a="1"/>
  <c r="AZ4" i="7" a="1"/>
  <c r="AJ4" i="7" a="1"/>
  <c r="T4" i="7" a="1"/>
  <c r="D4" i="7" a="1"/>
  <c r="AY4" i="7" a="1"/>
  <c r="AI4" i="7" a="1"/>
  <c r="S4" i="7" a="1"/>
  <c r="C4" i="7" a="1"/>
  <c r="AX4" i="7" a="1"/>
  <c r="AH4" i="7" a="1"/>
  <c r="R4" i="7" a="1"/>
  <c r="AW4" i="7" a="1"/>
  <c r="AG4" i="7" a="1"/>
  <c r="Q4" i="7" a="1"/>
  <c r="AV4" i="7" a="1"/>
  <c r="AF4" i="7" a="1"/>
  <c r="P4" i="7" a="1"/>
  <c r="AU4" i="7" a="1"/>
  <c r="AE4" i="7" a="1"/>
  <c r="O4" i="7" a="1"/>
  <c r="BJ4" i="7" a="1"/>
  <c r="AT4" i="7" a="1"/>
  <c r="AD4" i="7" a="1"/>
  <c r="N4" i="7" a="1"/>
  <c r="AN4" i="7" a="1"/>
  <c r="BI4" i="7" a="1"/>
  <c r="AS4" i="7" a="1"/>
  <c r="AC4" i="7" a="1"/>
  <c r="M4" i="7" a="1"/>
  <c r="BH4" i="7" a="1"/>
  <c r="AR4" i="7" a="1"/>
  <c r="AB4" i="7" a="1"/>
  <c r="L4" i="7" a="1"/>
  <c r="H4" i="7" a="1"/>
  <c r="BG4" i="7" a="1"/>
  <c r="AQ4" i="7" a="1"/>
  <c r="AA4" i="7" a="1"/>
  <c r="K4" i="7" a="1"/>
  <c r="X4" i="7" a="1"/>
  <c r="BF4" i="7" a="1"/>
  <c r="AP4" i="7" a="1"/>
  <c r="Z4" i="7" a="1"/>
  <c r="J4" i="7" a="1"/>
  <c r="BE4" i="7" a="1"/>
  <c r="AO4" i="7" a="1"/>
  <c r="Y4" i="7" a="1"/>
  <c r="I4" i="7" a="1"/>
  <c r="I4" i="7" l="1"/>
  <c r="Y4" i="7"/>
  <c r="AO4" i="7"/>
  <c r="BE4" i="7"/>
  <c r="J4" i="7"/>
  <c r="Z4" i="7"/>
  <c r="AP4" i="7"/>
  <c r="BF4" i="7"/>
  <c r="X4" i="7"/>
  <c r="K4" i="7"/>
  <c r="AA4" i="7"/>
  <c r="AQ4" i="7"/>
  <c r="BG4" i="7"/>
  <c r="H4" i="7"/>
  <c r="L4" i="7"/>
  <c r="AB4" i="7"/>
  <c r="AR4" i="7"/>
  <c r="BH4" i="7"/>
  <c r="M4" i="7"/>
  <c r="AC4" i="7"/>
  <c r="AS4" i="7"/>
  <c r="BI4" i="7"/>
  <c r="AN4" i="7"/>
  <c r="N4" i="7"/>
  <c r="AD4" i="7"/>
  <c r="AT4" i="7"/>
  <c r="BJ4" i="7"/>
  <c r="O4" i="7"/>
  <c r="AE4" i="7"/>
  <c r="AU4" i="7"/>
  <c r="P4" i="7"/>
  <c r="AF4" i="7"/>
  <c r="AV4" i="7"/>
  <c r="Q4" i="7"/>
  <c r="AG4" i="7"/>
  <c r="AW4" i="7"/>
  <c r="R4" i="7"/>
  <c r="AH4" i="7"/>
  <c r="AX4" i="7"/>
  <c r="C4" i="7"/>
  <c r="S4" i="7"/>
  <c r="AI4" i="7"/>
  <c r="AY4" i="7"/>
  <c r="D4" i="7"/>
  <c r="T4" i="7"/>
  <c r="AJ4" i="7"/>
  <c r="AZ4" i="7"/>
  <c r="E4" i="7"/>
  <c r="U4" i="7"/>
  <c r="AK4" i="7"/>
  <c r="BA4" i="7"/>
  <c r="F4" i="7"/>
  <c r="V4" i="7"/>
  <c r="AL4" i="7"/>
  <c r="BB4" i="7"/>
  <c r="G4" i="7"/>
  <c r="W4" i="7"/>
  <c r="AM4" i="7"/>
  <c r="BC4" i="7"/>
  <c r="BD4" i="7"/>
  <c r="N7" i="14"/>
  <c r="F7" i="14"/>
  <c r="V3" i="1"/>
  <c r="AL3" i="1"/>
  <c r="BB3" i="1"/>
  <c r="BB14" i="7" s="1"/>
  <c r="G3" i="1"/>
  <c r="G14" i="7" s="1"/>
  <c r="W3" i="1"/>
  <c r="AM3" i="1"/>
  <c r="BC3" i="1"/>
  <c r="BE14" i="7"/>
  <c r="BJ13" i="7"/>
  <c r="BI13" i="7"/>
  <c r="BH13" i="7"/>
  <c r="BA13" i="7"/>
  <c r="BJ4" i="1"/>
  <c r="BI4" i="1"/>
  <c r="BH4" i="1"/>
  <c r="BG4" i="1"/>
  <c r="BF4" i="1"/>
  <c r="BE4" i="1"/>
  <c r="BD4" i="1"/>
  <c r="BC4" i="1"/>
  <c r="BB4" i="1"/>
  <c r="BJ22" i="7"/>
  <c r="BI22" i="7"/>
  <c r="BH22" i="7"/>
  <c r="BG22" i="7"/>
  <c r="BF22" i="7"/>
  <c r="BE22" i="7"/>
  <c r="BD22" i="7"/>
  <c r="BC22" i="7"/>
  <c r="BB22" i="7"/>
  <c r="BA22" i="7"/>
  <c r="AZ22" i="7"/>
  <c r="AY22" i="7"/>
  <c r="BJ21" i="7"/>
  <c r="BI21" i="7"/>
  <c r="BH21" i="7"/>
  <c r="BG21" i="7"/>
  <c r="BF21" i="7"/>
  <c r="BE21" i="7"/>
  <c r="BD21" i="7"/>
  <c r="BC21" i="7"/>
  <c r="BB21" i="7"/>
  <c r="BA21" i="7"/>
  <c r="AZ21" i="7"/>
  <c r="AY21" i="7"/>
  <c r="BJ14" i="7"/>
  <c r="BI14" i="7"/>
  <c r="BH14" i="7"/>
  <c r="BG14" i="7"/>
  <c r="BF14" i="7"/>
  <c r="BD14" i="7"/>
  <c r="BC14" i="7"/>
  <c r="BA14" i="7"/>
  <c r="BG13" i="7"/>
  <c r="BF13" i="7"/>
  <c r="BE13" i="7"/>
  <c r="BD13" i="7"/>
  <c r="BC13" i="7"/>
  <c r="BB13" i="7"/>
  <c r="BJ12" i="7"/>
  <c r="BI12" i="7"/>
  <c r="BF9" i="7"/>
  <c r="BC9" i="7"/>
  <c r="AY8" i="7"/>
  <c r="BJ7" i="7"/>
  <c r="BJ37" i="7" s="1"/>
  <c r="BJ46" i="7" s="1"/>
  <c r="BJ50" i="7" s="1"/>
  <c r="BJ55" i="7" s="1"/>
  <c r="BJ60" i="7" s="1"/>
  <c r="BI7" i="7"/>
  <c r="BI37" i="7" s="1"/>
  <c r="BI46" i="7" s="1"/>
  <c r="BI50" i="7" s="1"/>
  <c r="BI55" i="7" s="1"/>
  <c r="BI60" i="7" s="1"/>
  <c r="BH7" i="7"/>
  <c r="BH37" i="7" s="1"/>
  <c r="BH46" i="7" s="1"/>
  <c r="BH50" i="7" s="1"/>
  <c r="BH55" i="7" s="1"/>
  <c r="BH60" i="7" s="1"/>
  <c r="BG7" i="7"/>
  <c r="BG37" i="7" s="1"/>
  <c r="BG46" i="7" s="1"/>
  <c r="BG50" i="7" s="1"/>
  <c r="BG55" i="7" s="1"/>
  <c r="BG60" i="7" s="1"/>
  <c r="BF7" i="7"/>
  <c r="BF37" i="7" s="1"/>
  <c r="BF46" i="7" s="1"/>
  <c r="BF50" i="7" s="1"/>
  <c r="BF55" i="7" s="1"/>
  <c r="BF60" i="7" s="1"/>
  <c r="BE7" i="7"/>
  <c r="BE37" i="7" s="1"/>
  <c r="BE46" i="7" s="1"/>
  <c r="BE50" i="7" s="1"/>
  <c r="BE55" i="7" s="1"/>
  <c r="BE60" i="7" s="1"/>
  <c r="BD7" i="7"/>
  <c r="BD37" i="7" s="1"/>
  <c r="BD46" i="7" s="1"/>
  <c r="BD50" i="7" s="1"/>
  <c r="BD55" i="7" s="1"/>
  <c r="BD60" i="7" s="1"/>
  <c r="BC7" i="7"/>
  <c r="BC37" i="7" s="1"/>
  <c r="BC46" i="7" s="1"/>
  <c r="BC50" i="7" s="1"/>
  <c r="BC55" i="7" s="1"/>
  <c r="BC60" i="7" s="1"/>
  <c r="BB7" i="7"/>
  <c r="BB37" i="7" s="1"/>
  <c r="BB46" i="7" s="1"/>
  <c r="BB50" i="7" s="1"/>
  <c r="BB55" i="7" s="1"/>
  <c r="BB60" i="7" s="1"/>
  <c r="BA7" i="7"/>
  <c r="BA37" i="7" s="1"/>
  <c r="BA46" i="7" s="1"/>
  <c r="BA50" i="7" s="1"/>
  <c r="BA55" i="7" s="1"/>
  <c r="BA60" i="7" s="1"/>
  <c r="AZ7" i="7"/>
  <c r="AZ37" i="7" s="1"/>
  <c r="AZ46" i="7" s="1"/>
  <c r="AZ50" i="7" s="1"/>
  <c r="AZ55" i="7" s="1"/>
  <c r="AZ60" i="7" s="1"/>
  <c r="AY7" i="7"/>
  <c r="AY37" i="7" s="1"/>
  <c r="AY46" i="7" s="1"/>
  <c r="AY50" i="7" s="1"/>
  <c r="AY55" i="7" s="1"/>
  <c r="AY60" i="7" s="1"/>
  <c r="BJ1" i="7"/>
  <c r="BI1" i="7"/>
  <c r="BH1" i="7"/>
  <c r="BG1" i="7"/>
  <c r="BF1" i="7"/>
  <c r="BE1" i="7"/>
  <c r="BD1" i="7"/>
  <c r="BC1" i="7"/>
  <c r="BB1" i="7"/>
  <c r="BA1" i="7"/>
  <c r="AZ1" i="7"/>
  <c r="AY1" i="7"/>
  <c r="B52" i="7"/>
  <c r="B51" i="7"/>
  <c r="C7" i="7"/>
  <c r="C37" i="7" s="1"/>
  <c r="C46" i="7" s="1"/>
  <c r="C50" i="7" s="1"/>
  <c r="C55" i="7" s="1"/>
  <c r="C60" i="7" s="1"/>
  <c r="D7" i="7"/>
  <c r="E7" i="7"/>
  <c r="E37" i="7" s="1"/>
  <c r="E46" i="7" s="1"/>
  <c r="E50" i="7" s="1"/>
  <c r="E55" i="7" s="1"/>
  <c r="E60" i="7" s="1"/>
  <c r="F7" i="7"/>
  <c r="F37" i="7" s="1"/>
  <c r="F46" i="7" s="1"/>
  <c r="F50" i="7" s="1"/>
  <c r="F55" i="7" s="1"/>
  <c r="F60" i="7" s="1"/>
  <c r="G7" i="7"/>
  <c r="G37" i="7" s="1"/>
  <c r="G46" i="7" s="1"/>
  <c r="G50" i="7" s="1"/>
  <c r="G55" i="7" s="1"/>
  <c r="G60" i="7" s="1"/>
  <c r="H7" i="7"/>
  <c r="H37" i="7" s="1"/>
  <c r="H46" i="7" s="1"/>
  <c r="H50" i="7" s="1"/>
  <c r="H55" i="7" s="1"/>
  <c r="H60" i="7" s="1"/>
  <c r="I7" i="7"/>
  <c r="I37" i="7" s="1"/>
  <c r="I46" i="7" s="1"/>
  <c r="I50" i="7" s="1"/>
  <c r="I55" i="7" s="1"/>
  <c r="I60" i="7" s="1"/>
  <c r="J7" i="7"/>
  <c r="J37" i="7" s="1"/>
  <c r="J46" i="7" s="1"/>
  <c r="J50" i="7" s="1"/>
  <c r="J55" i="7" s="1"/>
  <c r="J60" i="7" s="1"/>
  <c r="K7" i="7"/>
  <c r="K37" i="7" s="1"/>
  <c r="K46" i="7" s="1"/>
  <c r="K50" i="7" s="1"/>
  <c r="K55" i="7" s="1"/>
  <c r="K60" i="7" s="1"/>
  <c r="L7" i="7"/>
  <c r="L37" i="7" s="1"/>
  <c r="L46" i="7" s="1"/>
  <c r="L50" i="7" s="1"/>
  <c r="L55" i="7" s="1"/>
  <c r="L60" i="7" s="1"/>
  <c r="M7" i="7"/>
  <c r="N7" i="7"/>
  <c r="O7" i="7"/>
  <c r="O37" i="7" s="1"/>
  <c r="O46" i="7" s="1"/>
  <c r="O50" i="7" s="1"/>
  <c r="O55" i="7" s="1"/>
  <c r="O60" i="7" s="1"/>
  <c r="P7" i="7"/>
  <c r="P37" i="7" s="1"/>
  <c r="P46" i="7" s="1"/>
  <c r="P50" i="7" s="1"/>
  <c r="P55" i="7" s="1"/>
  <c r="P60" i="7" s="1"/>
  <c r="Q7" i="7"/>
  <c r="Q37" i="7" s="1"/>
  <c r="Q46" i="7" s="1"/>
  <c r="Q50" i="7" s="1"/>
  <c r="Q55" i="7" s="1"/>
  <c r="Q60" i="7" s="1"/>
  <c r="R7" i="7"/>
  <c r="R37" i="7" s="1"/>
  <c r="R46" i="7" s="1"/>
  <c r="R50" i="7" s="1"/>
  <c r="R55" i="7" s="1"/>
  <c r="R60" i="7" s="1"/>
  <c r="S7" i="7"/>
  <c r="S37" i="7" s="1"/>
  <c r="S46" i="7" s="1"/>
  <c r="S50" i="7" s="1"/>
  <c r="S55" i="7" s="1"/>
  <c r="S60" i="7" s="1"/>
  <c r="T7" i="7"/>
  <c r="T37" i="7" s="1"/>
  <c r="T46" i="7" s="1"/>
  <c r="T50" i="7" s="1"/>
  <c r="T55" i="7" s="1"/>
  <c r="T60" i="7" s="1"/>
  <c r="U7" i="7"/>
  <c r="U37" i="7" s="1"/>
  <c r="U46" i="7" s="1"/>
  <c r="U50" i="7" s="1"/>
  <c r="U55" i="7" s="1"/>
  <c r="U60" i="7" s="1"/>
  <c r="V7" i="7"/>
  <c r="V37" i="7" s="1"/>
  <c r="V46" i="7" s="1"/>
  <c r="V50" i="7" s="1"/>
  <c r="V55" i="7" s="1"/>
  <c r="V60" i="7" s="1"/>
  <c r="W7" i="7"/>
  <c r="W37" i="7" s="1"/>
  <c r="W46" i="7" s="1"/>
  <c r="W50" i="7" s="1"/>
  <c r="W55" i="7" s="1"/>
  <c r="W60" i="7" s="1"/>
  <c r="X7" i="7"/>
  <c r="X37" i="7" s="1"/>
  <c r="X46" i="7" s="1"/>
  <c r="X50" i="7" s="1"/>
  <c r="X55" i="7" s="1"/>
  <c r="X60" i="7" s="1"/>
  <c r="Y7" i="7"/>
  <c r="Y37" i="7" s="1"/>
  <c r="Y46" i="7" s="1"/>
  <c r="Y50" i="7" s="1"/>
  <c r="Y55" i="7" s="1"/>
  <c r="Y60" i="7" s="1"/>
  <c r="Z7" i="7"/>
  <c r="Z37" i="7" s="1"/>
  <c r="Z46" i="7" s="1"/>
  <c r="Z50" i="7" s="1"/>
  <c r="Z55" i="7" s="1"/>
  <c r="Z60" i="7" s="1"/>
  <c r="AA7" i="7"/>
  <c r="AA37" i="7" s="1"/>
  <c r="AA46" i="7" s="1"/>
  <c r="AA50" i="7" s="1"/>
  <c r="AA55" i="7" s="1"/>
  <c r="AA60" i="7" s="1"/>
  <c r="AB7" i="7"/>
  <c r="AB37" i="7" s="1"/>
  <c r="AB46" i="7" s="1"/>
  <c r="AB50" i="7" s="1"/>
  <c r="AB55" i="7" s="1"/>
  <c r="AB60" i="7" s="1"/>
  <c r="AC7" i="7"/>
  <c r="AC37" i="7" s="1"/>
  <c r="AC46" i="7" s="1"/>
  <c r="AC50" i="7" s="1"/>
  <c r="AC55" i="7" s="1"/>
  <c r="AC60" i="7" s="1"/>
  <c r="AD7" i="7"/>
  <c r="AE7" i="7"/>
  <c r="AE37" i="7" s="1"/>
  <c r="AE46" i="7" s="1"/>
  <c r="AE50" i="7" s="1"/>
  <c r="AE55" i="7" s="1"/>
  <c r="AE60" i="7" s="1"/>
  <c r="AF7" i="7"/>
  <c r="AF37" i="7" s="1"/>
  <c r="AF46" i="7" s="1"/>
  <c r="AF50" i="7" s="1"/>
  <c r="AF55" i="7" s="1"/>
  <c r="AF60" i="7" s="1"/>
  <c r="AG7" i="7"/>
  <c r="AG37" i="7" s="1"/>
  <c r="AG46" i="7" s="1"/>
  <c r="AG50" i="7" s="1"/>
  <c r="AG55" i="7" s="1"/>
  <c r="AG60" i="7" s="1"/>
  <c r="AH7" i="7"/>
  <c r="AH37" i="7" s="1"/>
  <c r="AH46" i="7" s="1"/>
  <c r="AH50" i="7" s="1"/>
  <c r="AH55" i="7" s="1"/>
  <c r="AH60" i="7" s="1"/>
  <c r="AI7" i="7"/>
  <c r="AI37" i="7" s="1"/>
  <c r="AI46" i="7" s="1"/>
  <c r="AI50" i="7" s="1"/>
  <c r="AI55" i="7" s="1"/>
  <c r="AI60" i="7" s="1"/>
  <c r="AJ7" i="7"/>
  <c r="AJ37" i="7" s="1"/>
  <c r="AJ46" i="7" s="1"/>
  <c r="AJ50" i="7" s="1"/>
  <c r="AJ55" i="7" s="1"/>
  <c r="AJ60" i="7" s="1"/>
  <c r="AK7" i="7"/>
  <c r="AK37" i="7" s="1"/>
  <c r="AK46" i="7" s="1"/>
  <c r="AK50" i="7" s="1"/>
  <c r="AK55" i="7" s="1"/>
  <c r="AK60" i="7" s="1"/>
  <c r="AL7" i="7"/>
  <c r="AL37" i="7" s="1"/>
  <c r="AL46" i="7" s="1"/>
  <c r="AL50" i="7" s="1"/>
  <c r="AL55" i="7" s="1"/>
  <c r="AL60" i="7" s="1"/>
  <c r="AM7" i="7"/>
  <c r="AM37" i="7" s="1"/>
  <c r="AM46" i="7" s="1"/>
  <c r="AM50" i="7" s="1"/>
  <c r="AM55" i="7" s="1"/>
  <c r="AM60" i="7" s="1"/>
  <c r="AN7" i="7"/>
  <c r="AN37" i="7" s="1"/>
  <c r="AN46" i="7" s="1"/>
  <c r="AN50" i="7" s="1"/>
  <c r="AN55" i="7" s="1"/>
  <c r="AN60" i="7" s="1"/>
  <c r="AO7" i="7"/>
  <c r="AO37" i="7" s="1"/>
  <c r="AO46" i="7" s="1"/>
  <c r="AO50" i="7" s="1"/>
  <c r="AO55" i="7" s="1"/>
  <c r="AO60" i="7" s="1"/>
  <c r="AP7" i="7"/>
  <c r="AP37" i="7" s="1"/>
  <c r="AP46" i="7" s="1"/>
  <c r="AP50" i="7" s="1"/>
  <c r="AP55" i="7" s="1"/>
  <c r="AP60" i="7" s="1"/>
  <c r="AQ7" i="7"/>
  <c r="AQ37" i="7" s="1"/>
  <c r="AQ46" i="7" s="1"/>
  <c r="AQ50" i="7" s="1"/>
  <c r="AQ55" i="7" s="1"/>
  <c r="AQ60" i="7" s="1"/>
  <c r="AR7" i="7"/>
  <c r="AR37" i="7" s="1"/>
  <c r="AR46" i="7" s="1"/>
  <c r="AR50" i="7" s="1"/>
  <c r="AR55" i="7" s="1"/>
  <c r="AR60" i="7" s="1"/>
  <c r="AS7" i="7"/>
  <c r="AS37" i="7" s="1"/>
  <c r="AS46" i="7" s="1"/>
  <c r="AS50" i="7" s="1"/>
  <c r="AS55" i="7" s="1"/>
  <c r="AS60" i="7" s="1"/>
  <c r="AT7" i="7"/>
  <c r="AU7" i="7"/>
  <c r="AV7" i="7"/>
  <c r="AW7" i="7"/>
  <c r="AX7" i="7"/>
  <c r="AX37" i="7" s="1"/>
  <c r="AX46" i="7" s="1"/>
  <c r="AX50" i="7" s="1"/>
  <c r="AX55" i="7" s="1"/>
  <c r="AX60" i="7" s="1"/>
  <c r="P8" i="7"/>
  <c r="Q8" i="7"/>
  <c r="AF8" i="7"/>
  <c r="AG8" i="7"/>
  <c r="AV8" i="7"/>
  <c r="AW8" i="7"/>
  <c r="P9" i="7"/>
  <c r="Q9" i="7"/>
  <c r="AF9" i="7"/>
  <c r="AG9" i="7"/>
  <c r="AT9" i="7"/>
  <c r="AV9" i="7"/>
  <c r="AW9" i="7"/>
  <c r="I12" i="7"/>
  <c r="Q12" i="7"/>
  <c r="Y12" i="7"/>
  <c r="AG12" i="7"/>
  <c r="AO12" i="7"/>
  <c r="AW12" i="7"/>
  <c r="D13" i="7"/>
  <c r="H13" i="7"/>
  <c r="I13" i="7"/>
  <c r="P13" i="7"/>
  <c r="X13" i="7"/>
  <c r="Y13" i="7"/>
  <c r="AF13" i="7"/>
  <c r="AN13" i="7"/>
  <c r="AO13" i="7"/>
  <c r="AV13" i="7"/>
  <c r="F14" i="7"/>
  <c r="H14" i="7"/>
  <c r="I14" i="7"/>
  <c r="N14" i="7"/>
  <c r="P14" i="7"/>
  <c r="V14" i="7"/>
  <c r="W14" i="7"/>
  <c r="X14" i="7"/>
  <c r="Y14" i="7"/>
  <c r="AD14" i="7"/>
  <c r="AF14" i="7"/>
  <c r="AH14" i="7"/>
  <c r="AL14" i="7"/>
  <c r="AM14" i="7"/>
  <c r="AN14" i="7"/>
  <c r="AO14" i="7"/>
  <c r="AT14" i="7"/>
  <c r="AV14" i="7"/>
  <c r="C21" i="7"/>
  <c r="D21" i="7"/>
  <c r="E21" i="7"/>
  <c r="F21" i="7"/>
  <c r="G21" i="7"/>
  <c r="H21" i="7"/>
  <c r="I21" i="7"/>
  <c r="J21" i="7"/>
  <c r="K21" i="7"/>
  <c r="L21" i="7"/>
  <c r="M21" i="7"/>
  <c r="N21" i="7"/>
  <c r="O21" i="7"/>
  <c r="P21" i="7"/>
  <c r="Q21" i="7"/>
  <c r="R21" i="7"/>
  <c r="S21" i="7"/>
  <c r="T21" i="7"/>
  <c r="U21" i="7"/>
  <c r="V21" i="7"/>
  <c r="W21" i="7"/>
  <c r="X21" i="7"/>
  <c r="Y21" i="7"/>
  <c r="Z21" i="7"/>
  <c r="AA21" i="7"/>
  <c r="AB21" i="7"/>
  <c r="AC21" i="7"/>
  <c r="AD21" i="7"/>
  <c r="AE21" i="7"/>
  <c r="AF21" i="7"/>
  <c r="AG21" i="7"/>
  <c r="AH21" i="7"/>
  <c r="AI21" i="7"/>
  <c r="AJ21" i="7"/>
  <c r="AK21" i="7"/>
  <c r="AL21" i="7"/>
  <c r="AM21" i="7"/>
  <c r="AN21" i="7"/>
  <c r="AO21" i="7"/>
  <c r="AP21" i="7"/>
  <c r="AQ21" i="7"/>
  <c r="AR21" i="7"/>
  <c r="AS21" i="7"/>
  <c r="AT21" i="7"/>
  <c r="AU21" i="7"/>
  <c r="AV21" i="7"/>
  <c r="AW21" i="7"/>
  <c r="AX21" i="7"/>
  <c r="C22" i="7"/>
  <c r="D22" i="7"/>
  <c r="E22" i="7"/>
  <c r="F22" i="7"/>
  <c r="G22" i="7"/>
  <c r="H22" i="7"/>
  <c r="I22" i="7"/>
  <c r="J22" i="7"/>
  <c r="K22" i="7"/>
  <c r="L22" i="7"/>
  <c r="M22" i="7"/>
  <c r="N22" i="7"/>
  <c r="O22" i="7"/>
  <c r="P22" i="7"/>
  <c r="Q22" i="7"/>
  <c r="R22" i="7"/>
  <c r="S22" i="7"/>
  <c r="T22" i="7"/>
  <c r="U22" i="7"/>
  <c r="V22" i="7"/>
  <c r="W22" i="7"/>
  <c r="X22" i="7"/>
  <c r="Y22" i="7"/>
  <c r="Z22" i="7"/>
  <c r="AA22" i="7"/>
  <c r="AB22" i="7"/>
  <c r="AC22" i="7"/>
  <c r="AD22" i="7"/>
  <c r="AE22" i="7"/>
  <c r="AF22" i="7"/>
  <c r="AG22" i="7"/>
  <c r="AH22" i="7"/>
  <c r="AI22" i="7"/>
  <c r="AJ22" i="7"/>
  <c r="AK22" i="7"/>
  <c r="AL22" i="7"/>
  <c r="AM22" i="7"/>
  <c r="AN22" i="7"/>
  <c r="AO22" i="7"/>
  <c r="AP22" i="7"/>
  <c r="AQ22" i="7"/>
  <c r="AR22" i="7"/>
  <c r="AS22" i="7"/>
  <c r="AT22" i="7"/>
  <c r="AU22" i="7"/>
  <c r="AV22" i="7"/>
  <c r="AW22" i="7"/>
  <c r="AX22" i="7"/>
  <c r="D37" i="7"/>
  <c r="D46" i="7" s="1"/>
  <c r="D50" i="7" s="1"/>
  <c r="D55" i="7" s="1"/>
  <c r="D60" i="7" s="1"/>
  <c r="M37" i="7"/>
  <c r="M46" i="7" s="1"/>
  <c r="M50" i="7" s="1"/>
  <c r="M55" i="7" s="1"/>
  <c r="M60" i="7" s="1"/>
  <c r="N37" i="7"/>
  <c r="N46" i="7" s="1"/>
  <c r="N50" i="7" s="1"/>
  <c r="N55" i="7" s="1"/>
  <c r="N60" i="7" s="1"/>
  <c r="AD37" i="7"/>
  <c r="AD46" i="7" s="1"/>
  <c r="AD50" i="7" s="1"/>
  <c r="AD55" i="7" s="1"/>
  <c r="AD60" i="7" s="1"/>
  <c r="AT37" i="7"/>
  <c r="AT46" i="7" s="1"/>
  <c r="AT50" i="7" s="1"/>
  <c r="AT55" i="7" s="1"/>
  <c r="AT60" i="7" s="1"/>
  <c r="AU37" i="7"/>
  <c r="AU46" i="7" s="1"/>
  <c r="AU50" i="7" s="1"/>
  <c r="AU55" i="7" s="1"/>
  <c r="AU60" i="7" s="1"/>
  <c r="AV37" i="7"/>
  <c r="AV46" i="7" s="1"/>
  <c r="AV50" i="7" s="1"/>
  <c r="AV55" i="7" s="1"/>
  <c r="AV60" i="7" s="1"/>
  <c r="AW37" i="7"/>
  <c r="AW46" i="7" s="1"/>
  <c r="AW50" i="7" s="1"/>
  <c r="AW55" i="7" s="1"/>
  <c r="AW60" i="7" s="1"/>
  <c r="B40" i="7"/>
  <c r="B53" i="7" s="1"/>
  <c r="BJ3" i="6"/>
  <c r="BI3" i="6"/>
  <c r="BH3" i="6"/>
  <c r="BG3" i="6"/>
  <c r="BF3" i="6"/>
  <c r="BE3" i="6"/>
  <c r="BD3" i="6"/>
  <c r="BC3" i="6"/>
  <c r="BB3" i="6"/>
  <c r="BA3" i="6"/>
  <c r="AZ3" i="6"/>
  <c r="AY3" i="6"/>
  <c r="BJ9" i="7"/>
  <c r="BI9" i="7"/>
  <c r="BH9" i="7"/>
  <c r="BH29" i="7" s="1"/>
  <c r="BG9" i="7"/>
  <c r="BE9" i="7"/>
  <c r="BD9" i="7"/>
  <c r="BB9" i="7"/>
  <c r="BA9" i="7"/>
  <c r="AZ9" i="7"/>
  <c r="AY9" i="7"/>
  <c r="BJ4" i="6"/>
  <c r="BF4" i="6"/>
  <c r="BC4" i="6"/>
  <c r="BB4" i="6"/>
  <c r="BA4" i="6"/>
  <c r="AZ4" i="6"/>
  <c r="AY4" i="6"/>
  <c r="AX3" i="6"/>
  <c r="AW3" i="6"/>
  <c r="AV3" i="6"/>
  <c r="AU3" i="6"/>
  <c r="AT3" i="6"/>
  <c r="AS3"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M3" i="6"/>
  <c r="L3" i="6"/>
  <c r="K3" i="6"/>
  <c r="J3" i="6"/>
  <c r="I3" i="6"/>
  <c r="H3" i="6"/>
  <c r="G3" i="6"/>
  <c r="F3" i="6"/>
  <c r="E3" i="6"/>
  <c r="D3" i="6"/>
  <c r="AX9" i="7"/>
  <c r="AU9" i="7"/>
  <c r="AS9" i="7"/>
  <c r="AR9" i="7"/>
  <c r="AQ9" i="7"/>
  <c r="AP9" i="7"/>
  <c r="AO9" i="7"/>
  <c r="AN9" i="7"/>
  <c r="AM9" i="7"/>
  <c r="AL9" i="7"/>
  <c r="AK9" i="7"/>
  <c r="AJ9" i="7"/>
  <c r="AI9" i="7"/>
  <c r="AH9" i="7"/>
  <c r="AE9" i="7"/>
  <c r="AD9" i="7"/>
  <c r="AC9" i="7"/>
  <c r="AB9" i="7"/>
  <c r="AA9" i="7"/>
  <c r="Z9" i="7"/>
  <c r="Y9" i="7"/>
  <c r="X9" i="7"/>
  <c r="W9" i="7"/>
  <c r="V9" i="7"/>
  <c r="U9" i="7"/>
  <c r="T9" i="7"/>
  <c r="S9" i="7"/>
  <c r="R9" i="7"/>
  <c r="O9" i="7"/>
  <c r="N9" i="7"/>
  <c r="M9" i="7"/>
  <c r="L9" i="7"/>
  <c r="K9" i="7"/>
  <c r="J9" i="7"/>
  <c r="I9" i="7"/>
  <c r="H9" i="7"/>
  <c r="G9" i="7"/>
  <c r="F9" i="7"/>
  <c r="E9" i="7"/>
  <c r="D9" i="7"/>
  <c r="AX4" i="6"/>
  <c r="AU4" i="6"/>
  <c r="AT4" i="6"/>
  <c r="AS4" i="6"/>
  <c r="AR4" i="6"/>
  <c r="AQ4" i="6"/>
  <c r="AL8" i="7"/>
  <c r="AK4" i="6"/>
  <c r="AJ4" i="6"/>
  <c r="AI8" i="7"/>
  <c r="AH4" i="6"/>
  <c r="AE4" i="6"/>
  <c r="AD4" i="6"/>
  <c r="AC4" i="6"/>
  <c r="AB4" i="6"/>
  <c r="AA4" i="6"/>
  <c r="U4" i="6"/>
  <c r="T8" i="7"/>
  <c r="S8" i="7"/>
  <c r="R4" i="6"/>
  <c r="O4" i="6"/>
  <c r="N4" i="6"/>
  <c r="M4" i="6"/>
  <c r="L4" i="6"/>
  <c r="K4" i="6"/>
  <c r="E4" i="6"/>
  <c r="D4" i="6"/>
  <c r="C3" i="6"/>
  <c r="C9" i="7"/>
  <c r="C8" i="7"/>
  <c r="AZ14" i="7"/>
  <c r="AY14" i="7"/>
  <c r="AX14" i="7"/>
  <c r="AW14" i="7"/>
  <c r="AU14" i="7"/>
  <c r="AS14" i="7"/>
  <c r="AR14" i="7"/>
  <c r="AQ14" i="7"/>
  <c r="AP14" i="7"/>
  <c r="AK14" i="7"/>
  <c r="AJ14" i="7"/>
  <c r="AI14" i="7"/>
  <c r="AG14" i="7"/>
  <c r="AE14" i="7"/>
  <c r="AC14" i="7"/>
  <c r="AB14" i="7"/>
  <c r="AA14" i="7"/>
  <c r="Z14" i="7"/>
  <c r="U14" i="7"/>
  <c r="T14" i="7"/>
  <c r="S14" i="7"/>
  <c r="R14" i="7"/>
  <c r="Q14" i="7"/>
  <c r="O14" i="7"/>
  <c r="M14" i="7"/>
  <c r="L14" i="7"/>
  <c r="K14" i="7"/>
  <c r="J14" i="7"/>
  <c r="E14" i="7"/>
  <c r="D14" i="7"/>
  <c r="AZ13" i="7"/>
  <c r="AY13" i="7"/>
  <c r="AX13" i="7"/>
  <c r="AW13" i="7"/>
  <c r="AU13" i="7"/>
  <c r="AT13" i="7"/>
  <c r="AS13" i="7"/>
  <c r="AR13" i="7"/>
  <c r="AQ13" i="7"/>
  <c r="AP13" i="7"/>
  <c r="AM13" i="7"/>
  <c r="AL13" i="7"/>
  <c r="AK13" i="7"/>
  <c r="AJ13" i="7"/>
  <c r="AI13" i="7"/>
  <c r="AH13" i="7"/>
  <c r="AG13" i="7"/>
  <c r="AE13" i="7"/>
  <c r="AD13" i="7"/>
  <c r="AC13" i="7"/>
  <c r="AB13" i="7"/>
  <c r="AA13" i="7"/>
  <c r="Z13" i="7"/>
  <c r="W13" i="7"/>
  <c r="V13" i="7"/>
  <c r="U13" i="7"/>
  <c r="T13" i="7"/>
  <c r="S13" i="7"/>
  <c r="R13" i="7"/>
  <c r="Q13" i="7"/>
  <c r="O13" i="7"/>
  <c r="N13" i="7"/>
  <c r="M13" i="7"/>
  <c r="L13" i="7"/>
  <c r="K13" i="7"/>
  <c r="J13" i="7"/>
  <c r="G13" i="7"/>
  <c r="F13" i="7"/>
  <c r="E13" i="7"/>
  <c r="AX4" i="1"/>
  <c r="AV12" i="7"/>
  <c r="AU4" i="1"/>
  <c r="AR12" i="7"/>
  <c r="AP4" i="1"/>
  <c r="AO4" i="1"/>
  <c r="AN4" i="1"/>
  <c r="AM4" i="1"/>
  <c r="AL4" i="1"/>
  <c r="AJ4" i="1"/>
  <c r="AH4" i="1"/>
  <c r="AE4" i="1"/>
  <c r="AB12" i="7"/>
  <c r="Z4" i="1"/>
  <c r="Y4" i="1"/>
  <c r="X4" i="1"/>
  <c r="W4" i="1"/>
  <c r="V4" i="1"/>
  <c r="T4" i="1"/>
  <c r="R4" i="1"/>
  <c r="P12" i="7"/>
  <c r="O4" i="1"/>
  <c r="L12" i="7"/>
  <c r="J4" i="1"/>
  <c r="I4" i="1"/>
  <c r="H4" i="1"/>
  <c r="G4" i="1"/>
  <c r="F4" i="1"/>
  <c r="D4" i="1"/>
  <c r="C13" i="7"/>
  <c r="C12" i="7"/>
  <c r="C64" i="7" a="1"/>
  <c r="Q64" i="7" a="1"/>
  <c r="AG64" i="7" a="1"/>
  <c r="AV64" i="7" a="1"/>
  <c r="AW64" i="7" a="1"/>
  <c r="P64" i="7" a="1"/>
  <c r="C59" i="7" a="1"/>
  <c r="Q59" i="7" a="1"/>
  <c r="AV59" i="7" a="1"/>
  <c r="AG59" i="7" a="1"/>
  <c r="AW59" i="7" a="1"/>
  <c r="P59" i="7" a="1"/>
  <c r="P64" i="7" l="1"/>
  <c r="AW64" i="7"/>
  <c r="AV64" i="7"/>
  <c r="AG64" i="7"/>
  <c r="Q64" i="7"/>
  <c r="C64" i="7"/>
  <c r="P59" i="7"/>
  <c r="AW59" i="7"/>
  <c r="AG59" i="7"/>
  <c r="AV59" i="7"/>
  <c r="Q59" i="7"/>
  <c r="C59" i="7"/>
  <c r="BE29" i="7"/>
  <c r="BG23" i="7"/>
  <c r="BH23" i="7"/>
  <c r="BF23" i="7"/>
  <c r="N8" i="14"/>
  <c r="F8" i="14"/>
  <c r="AZ23" i="7"/>
  <c r="BA23" i="7"/>
  <c r="BI23" i="7"/>
  <c r="AI23" i="7"/>
  <c r="H23" i="7"/>
  <c r="H26" i="7" s="1"/>
  <c r="AN23" i="7"/>
  <c r="X23" i="7"/>
  <c r="AT29" i="7"/>
  <c r="AM23" i="7"/>
  <c r="W23" i="7"/>
  <c r="G23" i="7"/>
  <c r="AL23" i="7"/>
  <c r="AL26" i="7" s="1"/>
  <c r="V23" i="7"/>
  <c r="V26" i="7" s="1"/>
  <c r="F23" i="7"/>
  <c r="F26" i="7" s="1"/>
  <c r="AK23" i="7"/>
  <c r="AK25" i="7" s="1"/>
  <c r="U23" i="7"/>
  <c r="U26" i="7" s="1"/>
  <c r="E23" i="7"/>
  <c r="E25" i="7" s="1"/>
  <c r="AJ23" i="7"/>
  <c r="T23" i="7"/>
  <c r="T26" i="7" s="1"/>
  <c r="D23" i="7"/>
  <c r="D26" i="7" s="1"/>
  <c r="AY23" i="7"/>
  <c r="C23" i="7"/>
  <c r="C26" i="7" s="1"/>
  <c r="S23" i="7"/>
  <c r="R23" i="7"/>
  <c r="R25" i="7" s="1"/>
  <c r="AW23" i="7"/>
  <c r="AG23" i="7"/>
  <c r="Q23" i="7"/>
  <c r="Q25" i="7" s="1"/>
  <c r="BB23" i="7"/>
  <c r="AX23" i="7"/>
  <c r="AX25" i="7" s="1"/>
  <c r="AV23" i="7"/>
  <c r="AF23" i="7"/>
  <c r="P23" i="7"/>
  <c r="P26" i="7" s="1"/>
  <c r="BC23" i="7"/>
  <c r="AH23" i="7"/>
  <c r="AU23" i="7"/>
  <c r="AE23" i="7"/>
  <c r="O23" i="7"/>
  <c r="O26" i="7" s="1"/>
  <c r="BD23" i="7"/>
  <c r="AT23" i="7"/>
  <c r="AD23" i="7"/>
  <c r="N23" i="7"/>
  <c r="BE23" i="7"/>
  <c r="AS23" i="7"/>
  <c r="AC23" i="7"/>
  <c r="AC25" i="7" s="1"/>
  <c r="M23" i="7"/>
  <c r="AR23" i="7"/>
  <c r="AR25" i="7" s="1"/>
  <c r="AB23" i="7"/>
  <c r="L23" i="7"/>
  <c r="L26" i="7" s="1"/>
  <c r="AQ23" i="7"/>
  <c r="AQ25" i="7" s="1"/>
  <c r="AA23" i="7"/>
  <c r="AA25" i="7" s="1"/>
  <c r="K23" i="7"/>
  <c r="Z23" i="7"/>
  <c r="Z26" i="7" s="1"/>
  <c r="AP23" i="7"/>
  <c r="AP25" i="7" s="1"/>
  <c r="J23" i="7"/>
  <c r="AO23" i="7"/>
  <c r="Y23" i="7"/>
  <c r="I23" i="7"/>
  <c r="BJ23" i="7"/>
  <c r="AG10" i="7"/>
  <c r="AG30" i="7" s="1"/>
  <c r="AL10" i="7"/>
  <c r="AL30" i="7" s="1"/>
  <c r="Q10" i="7"/>
  <c r="Q30" i="7" s="1"/>
  <c r="AN29" i="7"/>
  <c r="AO29" i="7"/>
  <c r="X29" i="7"/>
  <c r="Z29" i="7"/>
  <c r="BD29" i="7"/>
  <c r="BC29" i="7"/>
  <c r="BF29" i="7"/>
  <c r="S10" i="7"/>
  <c r="S30" i="7" s="1"/>
  <c r="AI10" i="7"/>
  <c r="AI30" i="7" s="1"/>
  <c r="T10" i="7"/>
  <c r="T30" i="7" s="1"/>
  <c r="AV10" i="7"/>
  <c r="AV30" i="7" s="1"/>
  <c r="P10" i="7"/>
  <c r="P30" i="7" s="1"/>
  <c r="AZ8" i="7"/>
  <c r="AZ10" i="7" s="1"/>
  <c r="AZ30" i="7" s="1"/>
  <c r="M29" i="7"/>
  <c r="AC29" i="7"/>
  <c r="AS29" i="7"/>
  <c r="G4" i="6"/>
  <c r="W4" i="6"/>
  <c r="AM4" i="6"/>
  <c r="AU8" i="7"/>
  <c r="AU10" i="7" s="1"/>
  <c r="AU30" i="7" s="1"/>
  <c r="AE8" i="7"/>
  <c r="AE10" i="7" s="1"/>
  <c r="AE30" i="7" s="1"/>
  <c r="O8" i="7"/>
  <c r="O10" i="7" s="1"/>
  <c r="O30" i="7" s="1"/>
  <c r="BA8" i="7"/>
  <c r="BA10" i="7" s="1"/>
  <c r="BA30" i="7" s="1"/>
  <c r="I29" i="7"/>
  <c r="AT8" i="7"/>
  <c r="AT10" i="7" s="1"/>
  <c r="AT30" i="7" s="1"/>
  <c r="AD8" i="7"/>
  <c r="AD10" i="7" s="1"/>
  <c r="AD30" i="7" s="1"/>
  <c r="N8" i="7"/>
  <c r="N10" i="7" s="1"/>
  <c r="N30" i="7" s="1"/>
  <c r="BB8" i="7"/>
  <c r="BB10" i="7" s="1"/>
  <c r="BB30" i="7" s="1"/>
  <c r="AO4" i="6"/>
  <c r="BD4" i="6"/>
  <c r="H29" i="7"/>
  <c r="AS8" i="7"/>
  <c r="AS10" i="7" s="1"/>
  <c r="AS30" i="7" s="1"/>
  <c r="AC8" i="7"/>
  <c r="AC10" i="7" s="1"/>
  <c r="AC30" i="7" s="1"/>
  <c r="M8" i="7"/>
  <c r="M10" i="7" s="1"/>
  <c r="M30" i="7" s="1"/>
  <c r="BC8" i="7"/>
  <c r="BC10" i="7" s="1"/>
  <c r="BC30" i="7" s="1"/>
  <c r="AB29" i="7"/>
  <c r="X4" i="6"/>
  <c r="Y4" i="6"/>
  <c r="J4" i="6"/>
  <c r="Z4" i="6"/>
  <c r="AP4" i="6"/>
  <c r="BE4" i="6"/>
  <c r="D29" i="7"/>
  <c r="AR8" i="7"/>
  <c r="AB8" i="7"/>
  <c r="L8" i="7"/>
  <c r="BD8" i="7"/>
  <c r="BD10" i="7" s="1"/>
  <c r="BD30" i="7" s="1"/>
  <c r="V4" i="6"/>
  <c r="AQ8" i="7"/>
  <c r="AQ10" i="7" s="1"/>
  <c r="AQ30" i="7" s="1"/>
  <c r="AA8" i="7"/>
  <c r="AA10" i="7" s="1"/>
  <c r="AA30" i="7" s="1"/>
  <c r="K8" i="7"/>
  <c r="K10" i="7" s="1"/>
  <c r="K30" i="7" s="1"/>
  <c r="BE8" i="7"/>
  <c r="BE10" i="7" s="1"/>
  <c r="BE30" i="7" s="1"/>
  <c r="K29" i="7"/>
  <c r="AQ29" i="7"/>
  <c r="O29" i="7"/>
  <c r="AE29" i="7"/>
  <c r="AU29" i="7"/>
  <c r="C28" i="7"/>
  <c r="C29" i="7"/>
  <c r="R29" i="7"/>
  <c r="AH29" i="7"/>
  <c r="AX29" i="7"/>
  <c r="BG4" i="6"/>
  <c r="AP8" i="7"/>
  <c r="AP10" i="7" s="1"/>
  <c r="AP30" i="7" s="1"/>
  <c r="Z8" i="7"/>
  <c r="Z10" i="7" s="1"/>
  <c r="Z30" i="7" s="1"/>
  <c r="J8" i="7"/>
  <c r="J10" i="7" s="1"/>
  <c r="J30" i="7" s="1"/>
  <c r="BF8" i="7"/>
  <c r="BF10" i="7" s="1"/>
  <c r="BF30" i="7" s="1"/>
  <c r="Y29" i="7"/>
  <c r="L29" i="7"/>
  <c r="H4" i="6"/>
  <c r="I4" i="6"/>
  <c r="S29" i="7"/>
  <c r="AI29" i="7"/>
  <c r="BH4" i="6"/>
  <c r="AO8" i="7"/>
  <c r="Y8" i="7"/>
  <c r="I8" i="7"/>
  <c r="BG8" i="7"/>
  <c r="BG10" i="7" s="1"/>
  <c r="BG30" i="7" s="1"/>
  <c r="F4" i="6"/>
  <c r="AN4" i="6"/>
  <c r="T29" i="7"/>
  <c r="AJ29" i="7"/>
  <c r="BI4" i="6"/>
  <c r="AN8" i="7"/>
  <c r="AN10" i="7" s="1"/>
  <c r="AN30" i="7" s="1"/>
  <c r="X8" i="7"/>
  <c r="X10" i="7" s="1"/>
  <c r="X30" i="7" s="1"/>
  <c r="H8" i="7"/>
  <c r="H10" i="7" s="1"/>
  <c r="H30" i="7" s="1"/>
  <c r="BH8" i="7"/>
  <c r="BH10" i="7" s="1"/>
  <c r="BH30" i="7" s="1"/>
  <c r="BH33" i="7" s="1"/>
  <c r="AM8" i="7"/>
  <c r="AM10" i="7" s="1"/>
  <c r="AM30" i="7" s="1"/>
  <c r="W8" i="7"/>
  <c r="W10" i="7" s="1"/>
  <c r="W30" i="7" s="1"/>
  <c r="G8" i="7"/>
  <c r="G10" i="7" s="1"/>
  <c r="G30" i="7" s="1"/>
  <c r="BI8" i="7"/>
  <c r="AA29" i="7"/>
  <c r="F29" i="7"/>
  <c r="V29" i="7"/>
  <c r="AL29" i="7"/>
  <c r="P4" i="6"/>
  <c r="AF4" i="6"/>
  <c r="AV4" i="6"/>
  <c r="S4" i="6"/>
  <c r="V8" i="7"/>
  <c r="V10" i="7" s="1"/>
  <c r="V30" i="7" s="1"/>
  <c r="F8" i="7"/>
  <c r="F10" i="7" s="1"/>
  <c r="F30" i="7" s="1"/>
  <c r="BJ8" i="7"/>
  <c r="Q4" i="6"/>
  <c r="AG4" i="6"/>
  <c r="AW4" i="6"/>
  <c r="T4" i="6"/>
  <c r="AK8" i="7"/>
  <c r="AK10" i="7" s="1"/>
  <c r="AK30" i="7" s="1"/>
  <c r="U8" i="7"/>
  <c r="U10" i="7" s="1"/>
  <c r="U30" i="7" s="1"/>
  <c r="E8" i="7"/>
  <c r="E10" i="7" s="1"/>
  <c r="E30" i="7" s="1"/>
  <c r="AD29" i="7"/>
  <c r="AK29" i="7"/>
  <c r="AM29" i="7"/>
  <c r="AI4" i="6"/>
  <c r="AJ8" i="7"/>
  <c r="AJ10" i="7" s="1"/>
  <c r="AJ30" i="7" s="1"/>
  <c r="D8" i="7"/>
  <c r="D10" i="7" s="1"/>
  <c r="D30" i="7" s="1"/>
  <c r="AL4" i="6"/>
  <c r="E29" i="7"/>
  <c r="G29" i="7"/>
  <c r="AY10" i="7"/>
  <c r="AY30" i="7" s="1"/>
  <c r="AR29" i="7"/>
  <c r="N29" i="7"/>
  <c r="U29" i="7"/>
  <c r="W29" i="7"/>
  <c r="J29" i="7"/>
  <c r="AP29" i="7"/>
  <c r="AX8" i="7"/>
  <c r="AX10" i="7" s="1"/>
  <c r="AX30" i="7" s="1"/>
  <c r="AH8" i="7"/>
  <c r="AH10" i="7" s="1"/>
  <c r="AH30" i="7" s="1"/>
  <c r="R8" i="7"/>
  <c r="R10" i="7" s="1"/>
  <c r="R30" i="7" s="1"/>
  <c r="S4" i="1"/>
  <c r="AI4" i="1"/>
  <c r="AY4" i="1"/>
  <c r="X12" i="7"/>
  <c r="AY12" i="7"/>
  <c r="AZ4" i="1"/>
  <c r="AZ12" i="7"/>
  <c r="AX12" i="7"/>
  <c r="W12" i="7"/>
  <c r="V12" i="7"/>
  <c r="T12" i="7"/>
  <c r="AU12" i="7"/>
  <c r="S12" i="7"/>
  <c r="AK4" i="1"/>
  <c r="AK12" i="7"/>
  <c r="R12" i="7"/>
  <c r="U4" i="1"/>
  <c r="U12" i="7"/>
  <c r="AN12" i="7"/>
  <c r="AE26" i="7"/>
  <c r="AM12" i="7"/>
  <c r="AY29" i="7"/>
  <c r="E4" i="1"/>
  <c r="E12" i="7"/>
  <c r="AL12" i="7"/>
  <c r="O12" i="7"/>
  <c r="AZ29" i="7"/>
  <c r="AJ12" i="7"/>
  <c r="M4" i="1"/>
  <c r="M12" i="7"/>
  <c r="AS4" i="1"/>
  <c r="AS12" i="7"/>
  <c r="AI12" i="7"/>
  <c r="H12" i="7"/>
  <c r="N4" i="1"/>
  <c r="N12" i="7"/>
  <c r="AT4" i="1"/>
  <c r="AT12" i="7"/>
  <c r="AH12" i="7"/>
  <c r="G12" i="7"/>
  <c r="AC4" i="1"/>
  <c r="AC12" i="7"/>
  <c r="F12" i="7"/>
  <c r="AF4" i="1"/>
  <c r="AF12" i="7"/>
  <c r="D12" i="7"/>
  <c r="AD4" i="1"/>
  <c r="AD12" i="7"/>
  <c r="P4" i="1"/>
  <c r="AV4" i="1"/>
  <c r="AE12" i="7"/>
  <c r="BG29" i="7"/>
  <c r="AG29" i="7"/>
  <c r="AW28" i="7"/>
  <c r="Q28" i="7"/>
  <c r="P29" i="7"/>
  <c r="BF12" i="7"/>
  <c r="AF29" i="7"/>
  <c r="BJ29" i="7"/>
  <c r="BE12" i="7"/>
  <c r="K4" i="1"/>
  <c r="AA4" i="1"/>
  <c r="AQ4" i="1"/>
  <c r="AQ12" i="7"/>
  <c r="AA12" i="7"/>
  <c r="K12" i="7"/>
  <c r="BG12" i="7"/>
  <c r="AW29" i="7"/>
  <c r="Q29" i="7"/>
  <c r="AG28" i="7"/>
  <c r="AV29" i="7"/>
  <c r="L4" i="1"/>
  <c r="AB4" i="1"/>
  <c r="AR4" i="1"/>
  <c r="AP12" i="7"/>
  <c r="Z12" i="7"/>
  <c r="J12" i="7"/>
  <c r="BH12" i="7"/>
  <c r="BA4" i="1"/>
  <c r="Q4" i="1"/>
  <c r="AG4" i="1"/>
  <c r="AW4" i="1"/>
  <c r="BI29" i="7"/>
  <c r="BA12" i="7"/>
  <c r="BB12" i="7"/>
  <c r="BC12" i="7"/>
  <c r="BD12" i="7"/>
  <c r="BA29" i="7"/>
  <c r="BB29" i="7"/>
  <c r="BE16" i="7"/>
  <c r="BF16" i="7"/>
  <c r="BB17" i="7"/>
  <c r="BJ17" i="7"/>
  <c r="BA17" i="7"/>
  <c r="AY16" i="7"/>
  <c r="BG16" i="7"/>
  <c r="BC17" i="7"/>
  <c r="AZ16" i="7"/>
  <c r="BH16" i="7"/>
  <c r="BD17" i="7"/>
  <c r="BA16" i="7"/>
  <c r="BI16" i="7"/>
  <c r="BE17" i="7"/>
  <c r="BI17" i="7"/>
  <c r="BB16" i="7"/>
  <c r="BJ16" i="7"/>
  <c r="BF17" i="7"/>
  <c r="BG17" i="7"/>
  <c r="BC16" i="7"/>
  <c r="BD16" i="7"/>
  <c r="AZ17" i="7"/>
  <c r="BH17" i="7"/>
  <c r="AY17" i="7"/>
  <c r="AW10" i="7"/>
  <c r="AW30" i="7" s="1"/>
  <c r="AF10" i="7"/>
  <c r="AF30" i="7" s="1"/>
  <c r="AV28" i="7"/>
  <c r="P28" i="7"/>
  <c r="S25" i="7"/>
  <c r="AG17" i="7"/>
  <c r="AO17" i="7"/>
  <c r="Q16" i="7"/>
  <c r="AG16" i="7"/>
  <c r="AO16" i="7"/>
  <c r="J17" i="7"/>
  <c r="R17" i="7"/>
  <c r="Z17" i="7"/>
  <c r="AH17" i="7"/>
  <c r="AP17" i="7"/>
  <c r="AX17" i="7"/>
  <c r="AW17" i="7"/>
  <c r="I16" i="7"/>
  <c r="Y16" i="7"/>
  <c r="AW16" i="7"/>
  <c r="Q17" i="7"/>
  <c r="J16" i="7"/>
  <c r="Z16" i="7"/>
  <c r="AP16" i="7"/>
  <c r="AX16" i="7"/>
  <c r="S17" i="7"/>
  <c r="AA17" i="7"/>
  <c r="AI17" i="7"/>
  <c r="AQ17" i="7"/>
  <c r="R16" i="7"/>
  <c r="AH16" i="7"/>
  <c r="K17" i="7"/>
  <c r="I17" i="7"/>
  <c r="K16" i="7"/>
  <c r="S16" i="7"/>
  <c r="AA16" i="7"/>
  <c r="AQ16" i="7"/>
  <c r="D17" i="7"/>
  <c r="L17" i="7"/>
  <c r="T17" i="7"/>
  <c r="AB17" i="7"/>
  <c r="AJ17" i="7"/>
  <c r="AR17" i="7"/>
  <c r="AI16" i="7"/>
  <c r="H16" i="7"/>
  <c r="T16" i="7"/>
  <c r="AB16" i="7"/>
  <c r="AJ16" i="7"/>
  <c r="E17" i="7"/>
  <c r="M17" i="7"/>
  <c r="U17" i="7"/>
  <c r="AC17" i="7"/>
  <c r="AK17" i="7"/>
  <c r="AS17" i="7"/>
  <c r="AV16" i="7"/>
  <c r="L16" i="7"/>
  <c r="AR16" i="7"/>
  <c r="E16" i="7"/>
  <c r="U16" i="7"/>
  <c r="AC16" i="7"/>
  <c r="AK16" i="7"/>
  <c r="F17" i="7"/>
  <c r="N17" i="7"/>
  <c r="V17" i="7"/>
  <c r="AD17" i="7"/>
  <c r="AL17" i="7"/>
  <c r="AT17" i="7"/>
  <c r="AF16" i="7"/>
  <c r="M16" i="7"/>
  <c r="AS16" i="7"/>
  <c r="P16" i="7"/>
  <c r="F16" i="7"/>
  <c r="V16" i="7"/>
  <c r="AL16" i="7"/>
  <c r="AT16" i="7"/>
  <c r="O17" i="7"/>
  <c r="W17" i="7"/>
  <c r="AE17" i="7"/>
  <c r="AM17" i="7"/>
  <c r="AU17" i="7"/>
  <c r="AN16" i="7"/>
  <c r="N16" i="7"/>
  <c r="AD16" i="7"/>
  <c r="G17" i="7"/>
  <c r="Y17" i="7"/>
  <c r="O16" i="7"/>
  <c r="AE16" i="7"/>
  <c r="AU16" i="7"/>
  <c r="H17" i="7"/>
  <c r="X17" i="7"/>
  <c r="AF17" i="7"/>
  <c r="AN17" i="7"/>
  <c r="AV17" i="7"/>
  <c r="X16" i="7"/>
  <c r="G16" i="7"/>
  <c r="W16" i="7"/>
  <c r="AM16" i="7"/>
  <c r="P17" i="7"/>
  <c r="C17" i="7"/>
  <c r="C10" i="7"/>
  <c r="C14" i="7"/>
  <c r="X64" i="7" a="1"/>
  <c r="BG64" i="7" a="1"/>
  <c r="N64" i="7" a="1"/>
  <c r="AY64" i="7" a="1"/>
  <c r="BB64" i="7" a="1"/>
  <c r="AZ64" i="7" a="1"/>
  <c r="AT64" i="7" a="1"/>
  <c r="BC64" i="7" a="1"/>
  <c r="AX64" i="7" a="1"/>
  <c r="AH64" i="7" a="1"/>
  <c r="BD64" i="7" a="1"/>
  <c r="AO64" i="7" a="1"/>
  <c r="O64" i="7" a="1"/>
  <c r="Y64" i="7" a="1"/>
  <c r="AU64" i="7" a="1"/>
  <c r="F64" i="7" a="1"/>
  <c r="AP64" i="7" a="1"/>
  <c r="AB64" i="7" a="1"/>
  <c r="I64" i="7" a="1"/>
  <c r="AJ64" i="7" a="1"/>
  <c r="W64" i="7" a="1"/>
  <c r="E64" i="7" a="1"/>
  <c r="G64" i="7" a="1"/>
  <c r="V64" i="7" a="1"/>
  <c r="AL64" i="7" a="1"/>
  <c r="BF64" i="7" a="1"/>
  <c r="BI64" i="7" a="1"/>
  <c r="T64" i="7" a="1"/>
  <c r="AC64" i="7" a="1"/>
  <c r="AR64" i="7" a="1"/>
  <c r="S64" i="7" a="1"/>
  <c r="BE64" i="7" a="1"/>
  <c r="L64" i="7" a="1"/>
  <c r="AF64" i="7" a="1"/>
  <c r="Z64" i="7" a="1"/>
  <c r="J64" i="7" a="1"/>
  <c r="AK64" i="7" a="1"/>
  <c r="M64" i="7" a="1"/>
  <c r="D64" i="7" a="1"/>
  <c r="BH64" i="7" a="1"/>
  <c r="R64" i="7" a="1"/>
  <c r="U64" i="7" a="1"/>
  <c r="K64" i="7" a="1"/>
  <c r="AN64" i="7" a="1"/>
  <c r="AM64" i="7" a="1"/>
  <c r="AS64" i="7" a="1"/>
  <c r="AD64" i="7" a="1"/>
  <c r="AQ64" i="7" a="1"/>
  <c r="AI64" i="7" a="1"/>
  <c r="AA64" i="7" a="1"/>
  <c r="H64" i="7" a="1"/>
  <c r="AE64" i="7" a="1"/>
  <c r="BA64" i="7" a="1"/>
  <c r="BJ64" i="7" a="1"/>
  <c r="AI59" i="7" a="1"/>
  <c r="AA59" i="7" a="1"/>
  <c r="U59" i="7" a="1"/>
  <c r="H59" i="7" a="1"/>
  <c r="K59" i="7" a="1"/>
  <c r="X59" i="7" a="1"/>
  <c r="AN59" i="7" a="1"/>
  <c r="AE59" i="7" a="1"/>
  <c r="BG59" i="7" a="1"/>
  <c r="AY59" i="7" a="1"/>
  <c r="N59" i="7" a="1"/>
  <c r="BA59" i="7" a="1"/>
  <c r="BJ59" i="7" a="1"/>
  <c r="AM59" i="7" a="1"/>
  <c r="BB59" i="7" a="1"/>
  <c r="AQ59" i="7" a="1"/>
  <c r="AZ59" i="7" a="1"/>
  <c r="AT59" i="7" a="1"/>
  <c r="BC59" i="7" a="1"/>
  <c r="R59" i="7" a="1"/>
  <c r="AX59" i="7" a="1"/>
  <c r="AH59" i="7" a="1"/>
  <c r="BD59" i="7" a="1"/>
  <c r="AS59" i="7" a="1"/>
  <c r="W59" i="7" a="1"/>
  <c r="E59" i="7" a="1"/>
  <c r="G59" i="7" a="1"/>
  <c r="V59" i="7" a="1"/>
  <c r="AL59" i="7" a="1"/>
  <c r="BF59" i="7" a="1"/>
  <c r="AO59" i="7" a="1"/>
  <c r="BI59" i="7" a="1"/>
  <c r="T59" i="7" a="1"/>
  <c r="O59" i="7" a="1"/>
  <c r="AC59" i="7" a="1"/>
  <c r="AR59" i="7" a="1"/>
  <c r="Y59" i="7" a="1"/>
  <c r="AU59" i="7" a="1"/>
  <c r="F59" i="7" a="1"/>
  <c r="AP59" i="7" a="1"/>
  <c r="AB59" i="7" a="1"/>
  <c r="I59" i="7" a="1"/>
  <c r="S59" i="7" a="1"/>
  <c r="AJ59" i="7" a="1"/>
  <c r="BE59" i="7" a="1"/>
  <c r="Z59" i="7" a="1"/>
  <c r="AD59" i="7" a="1"/>
  <c r="L59" i="7" a="1"/>
  <c r="AF59" i="7" a="1"/>
  <c r="J59" i="7" a="1"/>
  <c r="AK59" i="7" a="1"/>
  <c r="M59" i="7" a="1"/>
  <c r="D59" i="7" a="1"/>
  <c r="BH59" i="7" a="1"/>
  <c r="BJ64" i="7" l="1"/>
  <c r="BA64" i="7"/>
  <c r="AE64" i="7"/>
  <c r="H64" i="7"/>
  <c r="AA64" i="7"/>
  <c r="AI64" i="7"/>
  <c r="AQ64" i="7"/>
  <c r="AD64" i="7"/>
  <c r="AS64" i="7"/>
  <c r="AM64" i="7"/>
  <c r="AN64" i="7"/>
  <c r="K64" i="7"/>
  <c r="U64" i="7"/>
  <c r="R64" i="7"/>
  <c r="BH64" i="7"/>
  <c r="D64" i="7"/>
  <c r="M64" i="7"/>
  <c r="AK64" i="7"/>
  <c r="J64" i="7"/>
  <c r="Z64" i="7"/>
  <c r="AF64" i="7"/>
  <c r="L64" i="7"/>
  <c r="BE64" i="7"/>
  <c r="S64" i="7"/>
  <c r="AR64" i="7"/>
  <c r="AC64" i="7"/>
  <c r="T64" i="7"/>
  <c r="BI64" i="7"/>
  <c r="BF64" i="7"/>
  <c r="AL64" i="7"/>
  <c r="V64" i="7"/>
  <c r="G64" i="7"/>
  <c r="E64" i="7"/>
  <c r="W64" i="7"/>
  <c r="AJ64" i="7"/>
  <c r="I64" i="7"/>
  <c r="AB64" i="7"/>
  <c r="AP64" i="7"/>
  <c r="F64" i="7"/>
  <c r="AU64" i="7"/>
  <c r="Y64" i="7"/>
  <c r="O64" i="7"/>
  <c r="AO64" i="7"/>
  <c r="BD64" i="7"/>
  <c r="AH64" i="7"/>
  <c r="AX64" i="7"/>
  <c r="BC64" i="7"/>
  <c r="AT64" i="7"/>
  <c r="AZ64" i="7"/>
  <c r="BB64" i="7"/>
  <c r="AY64" i="7"/>
  <c r="N64" i="7"/>
  <c r="BG64" i="7"/>
  <c r="X64" i="7"/>
  <c r="P25" i="7"/>
  <c r="BH59" i="7"/>
  <c r="D59" i="7"/>
  <c r="M59" i="7"/>
  <c r="AK59" i="7"/>
  <c r="J59" i="7"/>
  <c r="AF59" i="7"/>
  <c r="L59" i="7"/>
  <c r="AD59" i="7"/>
  <c r="Z59" i="7"/>
  <c r="BE59" i="7"/>
  <c r="AJ59" i="7"/>
  <c r="S59" i="7"/>
  <c r="I59" i="7"/>
  <c r="AB59" i="7"/>
  <c r="AP59" i="7"/>
  <c r="F59" i="7"/>
  <c r="AU59" i="7"/>
  <c r="Y59" i="7"/>
  <c r="AR59" i="7"/>
  <c r="AC59" i="7"/>
  <c r="O59" i="7"/>
  <c r="T59" i="7"/>
  <c r="BI59" i="7"/>
  <c r="AO59" i="7"/>
  <c r="BF59" i="7"/>
  <c r="AL59" i="7"/>
  <c r="V59" i="7"/>
  <c r="G59" i="7"/>
  <c r="E59" i="7"/>
  <c r="W59" i="7"/>
  <c r="AS59" i="7"/>
  <c r="BD59" i="7"/>
  <c r="AH59" i="7"/>
  <c r="AX59" i="7"/>
  <c r="R59" i="7"/>
  <c r="BC59" i="7"/>
  <c r="AT59" i="7"/>
  <c r="AZ59" i="7"/>
  <c r="AQ59" i="7"/>
  <c r="BB59" i="7"/>
  <c r="AM59" i="7"/>
  <c r="BJ59" i="7"/>
  <c r="BA59" i="7"/>
  <c r="N59" i="7"/>
  <c r="AY59" i="7"/>
  <c r="BG59" i="7"/>
  <c r="AE59" i="7"/>
  <c r="AN59" i="7"/>
  <c r="X59" i="7"/>
  <c r="K59" i="7"/>
  <c r="H59" i="7"/>
  <c r="U59" i="7"/>
  <c r="AA59" i="7"/>
  <c r="AI59" i="7"/>
  <c r="BE33" i="7"/>
  <c r="V25" i="7"/>
  <c r="AK26" i="7"/>
  <c r="U25" i="7"/>
  <c r="BF33" i="7"/>
  <c r="N9" i="14"/>
  <c r="F9" i="14"/>
  <c r="AB10" i="7"/>
  <c r="AB30" i="7" s="1"/>
  <c r="AB33" i="7" s="1"/>
  <c r="Y10" i="7"/>
  <c r="Y30" i="7" s="1"/>
  <c r="Y33" i="7" s="1"/>
  <c r="AR10" i="7"/>
  <c r="AR30" i="7" s="1"/>
  <c r="BI10" i="7"/>
  <c r="BI30" i="7" s="1"/>
  <c r="BI33" i="7" s="1"/>
  <c r="BJ10" i="7"/>
  <c r="BJ30" i="7" s="1"/>
  <c r="BJ33" i="7" s="1"/>
  <c r="AO28" i="7"/>
  <c r="R26" i="7"/>
  <c r="L10" i="7"/>
  <c r="L30" i="7" s="1"/>
  <c r="L33" i="7" s="1"/>
  <c r="L36" i="7" s="1"/>
  <c r="L39" i="7" s="1"/>
  <c r="AF28" i="7"/>
  <c r="AF32" i="7" s="1"/>
  <c r="AI28" i="7"/>
  <c r="AI32" i="7" s="1"/>
  <c r="AL28" i="7"/>
  <c r="AL32" i="7" s="1"/>
  <c r="S28" i="7"/>
  <c r="S32" i="7" s="1"/>
  <c r="S35" i="7" s="1"/>
  <c r="S38" i="7" s="1"/>
  <c r="T28" i="7"/>
  <c r="T32" i="7" s="1"/>
  <c r="AY28" i="7"/>
  <c r="AY32" i="7" s="1"/>
  <c r="BC33" i="7"/>
  <c r="R28" i="7"/>
  <c r="R32" i="7" s="1"/>
  <c r="R35" i="7" s="1"/>
  <c r="R38" i="7" s="1"/>
  <c r="F25" i="7"/>
  <c r="D25" i="7"/>
  <c r="AR26" i="7"/>
  <c r="Q26" i="7"/>
  <c r="AQ26" i="7"/>
  <c r="H25" i="7"/>
  <c r="BC28" i="7"/>
  <c r="BC32" i="7" s="1"/>
  <c r="C25" i="7"/>
  <c r="O25" i="7"/>
  <c r="AP26" i="7"/>
  <c r="L25" i="7"/>
  <c r="E26" i="7"/>
  <c r="BD33" i="7"/>
  <c r="AL25" i="7"/>
  <c r="O28" i="7"/>
  <c r="O32" i="7" s="1"/>
  <c r="X28" i="7"/>
  <c r="X32" i="7" s="1"/>
  <c r="BI28" i="7"/>
  <c r="BG33" i="7"/>
  <c r="AL33" i="7"/>
  <c r="AL36" i="7" s="1"/>
  <c r="AL39" i="7" s="1"/>
  <c r="BE28" i="7"/>
  <c r="BE32" i="7" s="1"/>
  <c r="AN25" i="7"/>
  <c r="AS26" i="7"/>
  <c r="BA28" i="7"/>
  <c r="BA32" i="7" s="1"/>
  <c r="BF28" i="7"/>
  <c r="BF32" i="7" s="1"/>
  <c r="AT28" i="7"/>
  <c r="AT32" i="7" s="1"/>
  <c r="AA26" i="7"/>
  <c r="AJ26" i="7"/>
  <c r="I26" i="7"/>
  <c r="AN28" i="7"/>
  <c r="AN32" i="7" s="1"/>
  <c r="T25" i="7"/>
  <c r="AS25" i="7"/>
  <c r="AG25" i="7"/>
  <c r="BJ28" i="7"/>
  <c r="I25" i="7"/>
  <c r="AJ25" i="7"/>
  <c r="N28" i="7"/>
  <c r="N32" i="7" s="1"/>
  <c r="AH26" i="7"/>
  <c r="M28" i="7"/>
  <c r="M32" i="7" s="1"/>
  <c r="N26" i="7"/>
  <c r="AB26" i="7"/>
  <c r="N25" i="7"/>
  <c r="AB25" i="7"/>
  <c r="BH28" i="7"/>
  <c r="BH32" i="7" s="1"/>
  <c r="Z25" i="7"/>
  <c r="AX26" i="7"/>
  <c r="AP28" i="7"/>
  <c r="AP32" i="7" s="1"/>
  <c r="AP35" i="7" s="1"/>
  <c r="AP38" i="7" s="1"/>
  <c r="G26" i="7"/>
  <c r="AN26" i="7"/>
  <c r="X33" i="7"/>
  <c r="AC33" i="7"/>
  <c r="K26" i="7"/>
  <c r="AY25" i="7"/>
  <c r="S26" i="7"/>
  <c r="G25" i="7"/>
  <c r="M26" i="7"/>
  <c r="AG26" i="7"/>
  <c r="AK33" i="7"/>
  <c r="AC26" i="7"/>
  <c r="G33" i="7"/>
  <c r="J25" i="7"/>
  <c r="J26" i="7"/>
  <c r="M25" i="7"/>
  <c r="W26" i="7"/>
  <c r="K25" i="7"/>
  <c r="AT25" i="7"/>
  <c r="AT26" i="7"/>
  <c r="BA33" i="7"/>
  <c r="AY33" i="7"/>
  <c r="AG33" i="7"/>
  <c r="F28" i="7"/>
  <c r="F32" i="7" s="1"/>
  <c r="AZ28" i="7"/>
  <c r="AZ32" i="7" s="1"/>
  <c r="AC28" i="7"/>
  <c r="AC32" i="7" s="1"/>
  <c r="AC35" i="7" s="1"/>
  <c r="AC38" i="7" s="1"/>
  <c r="W28" i="7"/>
  <c r="W32" i="7" s="1"/>
  <c r="AE28" i="7"/>
  <c r="AE32" i="7" s="1"/>
  <c r="D28" i="7"/>
  <c r="D32" i="7" s="1"/>
  <c r="E28" i="7"/>
  <c r="E32" i="7" s="1"/>
  <c r="E35" i="7" s="1"/>
  <c r="E38" i="7" s="1"/>
  <c r="D33" i="7"/>
  <c r="D36" i="7" s="1"/>
  <c r="D39" i="7" s="1"/>
  <c r="AG32" i="7"/>
  <c r="AV32" i="7"/>
  <c r="N33" i="7"/>
  <c r="J33" i="7"/>
  <c r="AB28" i="7"/>
  <c r="AK28" i="7"/>
  <c r="AK32" i="7" s="1"/>
  <c r="AK35" i="7" s="1"/>
  <c r="AK38" i="7" s="1"/>
  <c r="AS28" i="7"/>
  <c r="AS32" i="7" s="1"/>
  <c r="AV33" i="7"/>
  <c r="AU33" i="7"/>
  <c r="AI33" i="7"/>
  <c r="AX33" i="7"/>
  <c r="AR33" i="7"/>
  <c r="AZ33" i="7"/>
  <c r="V28" i="7"/>
  <c r="V32" i="7" s="1"/>
  <c r="V35" i="7" s="1"/>
  <c r="V38" i="7" s="1"/>
  <c r="AM28" i="7"/>
  <c r="AM32" i="7" s="1"/>
  <c r="AD33" i="7"/>
  <c r="Q33" i="7"/>
  <c r="BB33" i="7"/>
  <c r="T33" i="7"/>
  <c r="T36" i="7" s="1"/>
  <c r="T39" i="7" s="1"/>
  <c r="L28" i="7"/>
  <c r="AJ28" i="7"/>
  <c r="AJ32" i="7" s="1"/>
  <c r="AX28" i="7"/>
  <c r="AX32" i="7" s="1"/>
  <c r="AX35" i="7" s="1"/>
  <c r="AX38" i="7" s="1"/>
  <c r="BG28" i="7"/>
  <c r="BG32" i="7" s="1"/>
  <c r="U28" i="7"/>
  <c r="U32" i="7" s="1"/>
  <c r="AU28" i="7"/>
  <c r="AU32" i="7" s="1"/>
  <c r="Y28" i="7"/>
  <c r="P32" i="7"/>
  <c r="P35" i="7" s="1"/>
  <c r="P38" i="7" s="1"/>
  <c r="BD28" i="7"/>
  <c r="BD32" i="7" s="1"/>
  <c r="J28" i="7"/>
  <c r="J32" i="7" s="1"/>
  <c r="AA28" i="7"/>
  <c r="AA32" i="7" s="1"/>
  <c r="AA35" i="7" s="1"/>
  <c r="AA38" i="7" s="1"/>
  <c r="AD28" i="7"/>
  <c r="AD32" i="7" s="1"/>
  <c r="G28" i="7"/>
  <c r="G32" i="7" s="1"/>
  <c r="AT33" i="7"/>
  <c r="K28" i="7"/>
  <c r="K32" i="7" s="1"/>
  <c r="E33" i="7"/>
  <c r="Z28" i="7"/>
  <c r="Z32" i="7" s="1"/>
  <c r="AQ28" i="7"/>
  <c r="AQ32" i="7" s="1"/>
  <c r="AQ35" i="7" s="1"/>
  <c r="AQ38" i="7" s="1"/>
  <c r="AH28" i="7"/>
  <c r="AH32" i="7" s="1"/>
  <c r="AJ33" i="7"/>
  <c r="Q32" i="7"/>
  <c r="Q35" i="7" s="1"/>
  <c r="Q38" i="7" s="1"/>
  <c r="AE33" i="7"/>
  <c r="AE36" i="7" s="1"/>
  <c r="AE39" i="7" s="1"/>
  <c r="S33" i="7"/>
  <c r="BB28" i="7"/>
  <c r="BB32" i="7" s="1"/>
  <c r="H28" i="7"/>
  <c r="H32" i="7" s="1"/>
  <c r="AM33" i="7"/>
  <c r="R33" i="7"/>
  <c r="Z33" i="7"/>
  <c r="Z36" i="7" s="1"/>
  <c r="Z39" i="7" s="1"/>
  <c r="K33" i="7"/>
  <c r="AA33" i="7"/>
  <c r="M33" i="7"/>
  <c r="AS33" i="7"/>
  <c r="AR28" i="7"/>
  <c r="AR32" i="7" s="1"/>
  <c r="AR35" i="7" s="1"/>
  <c r="AR38" i="7" s="1"/>
  <c r="U33" i="7"/>
  <c r="U36" i="7" s="1"/>
  <c r="U39" i="7" s="1"/>
  <c r="V33" i="7"/>
  <c r="V36" i="7" s="1"/>
  <c r="V39" i="7" s="1"/>
  <c r="F33" i="7"/>
  <c r="F36" i="7" s="1"/>
  <c r="F39" i="7" s="1"/>
  <c r="AP33" i="7"/>
  <c r="C30" i="7"/>
  <c r="C32" i="7" s="1"/>
  <c r="AO10" i="7"/>
  <c r="AO30" i="7" s="1"/>
  <c r="AN33" i="7"/>
  <c r="O33" i="7"/>
  <c r="O36" i="7" s="1"/>
  <c r="O39" i="7" s="1"/>
  <c r="H33" i="7"/>
  <c r="H36" i="7" s="1"/>
  <c r="H39" i="7" s="1"/>
  <c r="AQ33" i="7"/>
  <c r="I28" i="7"/>
  <c r="I10" i="7"/>
  <c r="I30" i="7" s="1"/>
  <c r="W33" i="7"/>
  <c r="BA25" i="7"/>
  <c r="AD25" i="7"/>
  <c r="Y26" i="7"/>
  <c r="AD26" i="7"/>
  <c r="X25" i="7"/>
  <c r="BI26" i="7"/>
  <c r="AW25" i="7"/>
  <c r="X26" i="7"/>
  <c r="BA26" i="7"/>
  <c r="AF26" i="7"/>
  <c r="BE25" i="7"/>
  <c r="AV25" i="7"/>
  <c r="P33" i="7"/>
  <c r="P36" i="7" s="1"/>
  <c r="P39" i="7" s="1"/>
  <c r="AY26" i="7"/>
  <c r="AV26" i="7"/>
  <c r="W25" i="7"/>
  <c r="Y25" i="7"/>
  <c r="BB25" i="7"/>
  <c r="AM25" i="7"/>
  <c r="AO26" i="7"/>
  <c r="BF26" i="7"/>
  <c r="AO25" i="7"/>
  <c r="AF25" i="7"/>
  <c r="AW26" i="7"/>
  <c r="AE25" i="7"/>
  <c r="AU26" i="7"/>
  <c r="AU25" i="7"/>
  <c r="BH25" i="7"/>
  <c r="AM26" i="7"/>
  <c r="BI40" i="7"/>
  <c r="BI18" i="7"/>
  <c r="BH19" i="7"/>
  <c r="BH42" i="7"/>
  <c r="BH48" i="7" s="1"/>
  <c r="BA40" i="7"/>
  <c r="BA18" i="7"/>
  <c r="BJ25" i="7"/>
  <c r="AZ42" i="7"/>
  <c r="AZ48" i="7" s="1"/>
  <c r="AZ19" i="7"/>
  <c r="BE40" i="7"/>
  <c r="BE18" i="7"/>
  <c r="BJ19" i="7"/>
  <c r="BJ42" i="7"/>
  <c r="BJ48" i="7" s="1"/>
  <c r="AY42" i="7"/>
  <c r="AY48" i="7" s="1"/>
  <c r="AY19" i="7"/>
  <c r="BF19" i="7"/>
  <c r="BF42" i="7"/>
  <c r="BF48" i="7" s="1"/>
  <c r="BB42" i="7"/>
  <c r="BB48" i="7" s="1"/>
  <c r="BB19" i="7"/>
  <c r="BC26" i="7"/>
  <c r="AZ25" i="7"/>
  <c r="BD40" i="7"/>
  <c r="BD18" i="7"/>
  <c r="BG26" i="7"/>
  <c r="BH26" i="7"/>
  <c r="BH36" i="7" s="1"/>
  <c r="BH39" i="7" s="1"/>
  <c r="BG25" i="7"/>
  <c r="BJ40" i="7"/>
  <c r="BJ18" i="7"/>
  <c r="BF40" i="7"/>
  <c r="BF18" i="7"/>
  <c r="AZ26" i="7"/>
  <c r="BB40" i="7"/>
  <c r="BB18" i="7"/>
  <c r="BC42" i="7"/>
  <c r="BC48" i="7" s="1"/>
  <c r="BC19" i="7"/>
  <c r="BE26" i="7"/>
  <c r="BE36" i="7" s="1"/>
  <c r="BE39" i="7" s="1"/>
  <c r="BD25" i="7"/>
  <c r="BA42" i="7"/>
  <c r="BA48" i="7" s="1"/>
  <c r="BA19" i="7"/>
  <c r="BI25" i="7"/>
  <c r="BG40" i="7"/>
  <c r="BG18" i="7"/>
  <c r="BE19" i="7"/>
  <c r="BE42" i="7"/>
  <c r="BE48" i="7" s="1"/>
  <c r="BD19" i="7"/>
  <c r="BD42" i="7"/>
  <c r="BD48" i="7" s="1"/>
  <c r="AY18" i="7"/>
  <c r="AY40" i="7"/>
  <c r="BB26" i="7"/>
  <c r="BG19" i="7"/>
  <c r="BG42" i="7"/>
  <c r="BG48" i="7" s="1"/>
  <c r="BF25" i="7"/>
  <c r="BC25" i="7"/>
  <c r="BJ26" i="7"/>
  <c r="BH40" i="7"/>
  <c r="BH18" i="7"/>
  <c r="BC40" i="7"/>
  <c r="BC18" i="7"/>
  <c r="AZ40" i="7"/>
  <c r="AZ18" i="7"/>
  <c r="BD26" i="7"/>
  <c r="BI19" i="7"/>
  <c r="BI42" i="7"/>
  <c r="BI48" i="7" s="1"/>
  <c r="AW32" i="7"/>
  <c r="AW33" i="7"/>
  <c r="AI25" i="7"/>
  <c r="AH25" i="7"/>
  <c r="AI26" i="7"/>
  <c r="AH33" i="7"/>
  <c r="AF33" i="7"/>
  <c r="AX42" i="7"/>
  <c r="AX48" i="7" s="1"/>
  <c r="AX19" i="7"/>
  <c r="X19" i="7"/>
  <c r="X42" i="7"/>
  <c r="X48" i="7" s="1"/>
  <c r="AH42" i="7"/>
  <c r="AH48" i="7" s="1"/>
  <c r="AH19" i="7"/>
  <c r="J19" i="7"/>
  <c r="J42" i="7"/>
  <c r="J48" i="7" s="1"/>
  <c r="F18" i="7"/>
  <c r="F40" i="7"/>
  <c r="AD19" i="7"/>
  <c r="AD42" i="7"/>
  <c r="AD48" i="7" s="1"/>
  <c r="AJ18" i="7"/>
  <c r="AJ40" i="7"/>
  <c r="AW40" i="7"/>
  <c r="AW18" i="7"/>
  <c r="P19" i="7"/>
  <c r="P42" i="7"/>
  <c r="P48" i="7" s="1"/>
  <c r="V19" i="7"/>
  <c r="V42" i="7"/>
  <c r="V48" i="7" s="1"/>
  <c r="T18" i="7"/>
  <c r="T40" i="7"/>
  <c r="H19" i="7"/>
  <c r="H42" i="7"/>
  <c r="H48" i="7" s="1"/>
  <c r="V18" i="7"/>
  <c r="V40" i="7"/>
  <c r="N19" i="7"/>
  <c r="N42" i="7"/>
  <c r="N48" i="7" s="1"/>
  <c r="L18" i="7"/>
  <c r="L40" i="7"/>
  <c r="AR19" i="7"/>
  <c r="AR42" i="7"/>
  <c r="AR48" i="7" s="1"/>
  <c r="C19" i="7"/>
  <c r="C42" i="7"/>
  <c r="C48" i="7" s="1"/>
  <c r="F19" i="7"/>
  <c r="F42" i="7"/>
  <c r="F48" i="7" s="1"/>
  <c r="D18" i="7"/>
  <c r="D40" i="7"/>
  <c r="AJ19" i="7"/>
  <c r="AJ42" i="7"/>
  <c r="AJ48" i="7" s="1"/>
  <c r="AW42" i="7"/>
  <c r="AW48" i="7" s="1"/>
  <c r="AW19" i="7"/>
  <c r="AM18" i="7"/>
  <c r="AM40" i="7"/>
  <c r="AB18" i="7"/>
  <c r="AB40" i="7"/>
  <c r="T19" i="7"/>
  <c r="T42" i="7"/>
  <c r="T48" i="7" s="1"/>
  <c r="AU18" i="7"/>
  <c r="AU40" i="7"/>
  <c r="O18" i="7"/>
  <c r="O40" i="7"/>
  <c r="AO18" i="7"/>
  <c r="AO40" i="7"/>
  <c r="AB19" i="7"/>
  <c r="AB42" i="7"/>
  <c r="AB48" i="7" s="1"/>
  <c r="I18" i="7"/>
  <c r="I40" i="7"/>
  <c r="AE18" i="7"/>
  <c r="AE40" i="7"/>
  <c r="AK18" i="7"/>
  <c r="AK40" i="7"/>
  <c r="AU19" i="7"/>
  <c r="AU42" i="7"/>
  <c r="AU48" i="7" s="1"/>
  <c r="U18" i="7"/>
  <c r="U40" i="7"/>
  <c r="AQ19" i="7"/>
  <c r="AQ42" i="7"/>
  <c r="AQ48" i="7" s="1"/>
  <c r="Y19" i="7"/>
  <c r="Y42" i="7"/>
  <c r="Y48" i="7" s="1"/>
  <c r="G18" i="7"/>
  <c r="G40" i="7"/>
  <c r="AM19" i="7"/>
  <c r="AM42" i="7"/>
  <c r="AM48" i="7" s="1"/>
  <c r="M18" i="7"/>
  <c r="M40" i="7"/>
  <c r="D19" i="7"/>
  <c r="D42" i="7"/>
  <c r="D48" i="7" s="1"/>
  <c r="AI19" i="7"/>
  <c r="AI42" i="7"/>
  <c r="AI48" i="7" s="1"/>
  <c r="Y18" i="7"/>
  <c r="Y40" i="7"/>
  <c r="Q40" i="7"/>
  <c r="Q18" i="7"/>
  <c r="AO19" i="7"/>
  <c r="AO42" i="7"/>
  <c r="AO48" i="7" s="1"/>
  <c r="AG42" i="7"/>
  <c r="AG48" i="7" s="1"/>
  <c r="AG19" i="7"/>
  <c r="Q42" i="7"/>
  <c r="Q48" i="7" s="1"/>
  <c r="Q19" i="7"/>
  <c r="AE19" i="7"/>
  <c r="AE42" i="7"/>
  <c r="AE48" i="7" s="1"/>
  <c r="E18" i="7"/>
  <c r="E40" i="7"/>
  <c r="J18" i="7"/>
  <c r="J40" i="7"/>
  <c r="AQ18" i="7"/>
  <c r="AQ40" i="7"/>
  <c r="AA19" i="7"/>
  <c r="AA42" i="7"/>
  <c r="AA48" i="7" s="1"/>
  <c r="AS18" i="7"/>
  <c r="AS40" i="7"/>
  <c r="AG40" i="7"/>
  <c r="AG18" i="7"/>
  <c r="L19" i="7"/>
  <c r="L42" i="7"/>
  <c r="L48" i="7" s="1"/>
  <c r="I19" i="7"/>
  <c r="I42" i="7"/>
  <c r="I48" i="7" s="1"/>
  <c r="W18" i="7"/>
  <c r="W40" i="7"/>
  <c r="W19" i="7"/>
  <c r="W42" i="7"/>
  <c r="W48" i="7" s="1"/>
  <c r="AS19" i="7"/>
  <c r="AS42" i="7"/>
  <c r="AS48" i="7" s="1"/>
  <c r="AA18" i="7"/>
  <c r="AA40" i="7"/>
  <c r="S19" i="7"/>
  <c r="S42" i="7"/>
  <c r="S48" i="7" s="1"/>
  <c r="O19" i="7"/>
  <c r="O42" i="7"/>
  <c r="O48" i="7" s="1"/>
  <c r="AK19" i="7"/>
  <c r="AK42" i="7"/>
  <c r="AK48" i="7" s="1"/>
  <c r="S18" i="7"/>
  <c r="S40" i="7"/>
  <c r="K19" i="7"/>
  <c r="K42" i="7"/>
  <c r="K48" i="7" s="1"/>
  <c r="G19" i="7"/>
  <c r="G42" i="7"/>
  <c r="G48" i="7" s="1"/>
  <c r="AC19" i="7"/>
  <c r="AC42" i="7"/>
  <c r="AC48" i="7" s="1"/>
  <c r="K18" i="7"/>
  <c r="K40" i="7"/>
  <c r="AX40" i="7"/>
  <c r="AX18" i="7"/>
  <c r="AP19" i="7"/>
  <c r="AP42" i="7"/>
  <c r="AP48" i="7" s="1"/>
  <c r="X18" i="7"/>
  <c r="X40" i="7"/>
  <c r="AT18" i="7"/>
  <c r="AT40" i="7"/>
  <c r="AC18" i="7"/>
  <c r="AC40" i="7"/>
  <c r="U19" i="7"/>
  <c r="U42" i="7"/>
  <c r="U48" i="7" s="1"/>
  <c r="AP18" i="7"/>
  <c r="AP40" i="7"/>
  <c r="AN18" i="7"/>
  <c r="AN40" i="7"/>
  <c r="M19" i="7"/>
  <c r="M42" i="7"/>
  <c r="M48" i="7" s="1"/>
  <c r="AI18" i="7"/>
  <c r="AI40" i="7"/>
  <c r="AH40" i="7"/>
  <c r="AH18" i="7"/>
  <c r="AD18" i="7"/>
  <c r="AD40" i="7"/>
  <c r="AT19" i="7"/>
  <c r="AT42" i="7"/>
  <c r="AT48" i="7" s="1"/>
  <c r="Z18" i="7"/>
  <c r="Z40" i="7"/>
  <c r="AV18" i="7"/>
  <c r="AV40" i="7"/>
  <c r="P18" i="7"/>
  <c r="P40" i="7"/>
  <c r="AV19" i="7"/>
  <c r="AV42" i="7"/>
  <c r="AV48" i="7" s="1"/>
  <c r="AL18" i="7"/>
  <c r="AL40" i="7"/>
  <c r="Z19" i="7"/>
  <c r="Z42" i="7"/>
  <c r="Z48" i="7" s="1"/>
  <c r="H18" i="7"/>
  <c r="H40" i="7"/>
  <c r="AN19" i="7"/>
  <c r="AN42" i="7"/>
  <c r="AN48" i="7" s="1"/>
  <c r="E19" i="7"/>
  <c r="E42" i="7"/>
  <c r="E48" i="7" s="1"/>
  <c r="R42" i="7"/>
  <c r="R48" i="7" s="1"/>
  <c r="R19" i="7"/>
  <c r="AF18" i="7"/>
  <c r="AF40" i="7"/>
  <c r="AF19" i="7"/>
  <c r="AF42" i="7"/>
  <c r="AF48" i="7" s="1"/>
  <c r="N18" i="7"/>
  <c r="N40" i="7"/>
  <c r="AL19" i="7"/>
  <c r="AL42" i="7"/>
  <c r="AL48" i="7" s="1"/>
  <c r="AR18" i="7"/>
  <c r="AR40" i="7"/>
  <c r="R40" i="7"/>
  <c r="R18" i="7"/>
  <c r="C4" i="6"/>
  <c r="Y32" i="7" l="1"/>
  <c r="Y35" i="7" s="1"/>
  <c r="Y38" i="7" s="1"/>
  <c r="AB32" i="7"/>
  <c r="AB35" i="7" s="1"/>
  <c r="AB38" i="7" s="1"/>
  <c r="U35" i="7"/>
  <c r="U38" i="7" s="1"/>
  <c r="U41" i="7" s="1"/>
  <c r="U53" i="7" s="1"/>
  <c r="T35" i="7"/>
  <c r="T38" i="7" s="1"/>
  <c r="T41" i="7" s="1"/>
  <c r="T52" i="7" s="1"/>
  <c r="AK36" i="7"/>
  <c r="AK39" i="7" s="1"/>
  <c r="AK41" i="7" s="1"/>
  <c r="AK51" i="7" s="1"/>
  <c r="BF36" i="7"/>
  <c r="BF39" i="7" s="1"/>
  <c r="L32" i="7"/>
  <c r="L35" i="7" s="1"/>
  <c r="L38" i="7" s="1"/>
  <c r="L41" i="7" s="1"/>
  <c r="L53" i="7" s="1"/>
  <c r="BD36" i="7"/>
  <c r="BD39" i="7" s="1"/>
  <c r="AL35" i="7"/>
  <c r="AL38" i="7" s="1"/>
  <c r="AL41" i="7" s="1"/>
  <c r="AL44" i="7" s="1"/>
  <c r="BC36" i="7"/>
  <c r="BC39" i="7" s="1"/>
  <c r="BF35" i="7"/>
  <c r="BF38" i="7" s="1"/>
  <c r="N10" i="14"/>
  <c r="F10" i="14"/>
  <c r="R36" i="7"/>
  <c r="R39" i="7" s="1"/>
  <c r="R41" i="7" s="1"/>
  <c r="R44" i="7" s="1"/>
  <c r="BJ32" i="7"/>
  <c r="BJ35" i="7" s="1"/>
  <c r="BJ38" i="7" s="1"/>
  <c r="BI32" i="7"/>
  <c r="BI35" i="7" s="1"/>
  <c r="BI38" i="7" s="1"/>
  <c r="BC35" i="7"/>
  <c r="BC38" i="7" s="1"/>
  <c r="O35" i="7"/>
  <c r="O38" i="7" s="1"/>
  <c r="O41" i="7" s="1"/>
  <c r="O51" i="7" s="1"/>
  <c r="AP36" i="7"/>
  <c r="AP39" i="7" s="1"/>
  <c r="AP41" i="7" s="1"/>
  <c r="AP52" i="7" s="1"/>
  <c r="AR36" i="7"/>
  <c r="AR39" i="7" s="1"/>
  <c r="AR41" i="7" s="1"/>
  <c r="AR47" i="7" s="1"/>
  <c r="D35" i="7"/>
  <c r="D38" i="7" s="1"/>
  <c r="D41" i="7" s="1"/>
  <c r="D51" i="7" s="1"/>
  <c r="AJ36" i="7"/>
  <c r="AJ39" i="7" s="1"/>
  <c r="E36" i="7"/>
  <c r="E39" i="7" s="1"/>
  <c r="E41" i="7" s="1"/>
  <c r="E53" i="7" s="1"/>
  <c r="Q36" i="7"/>
  <c r="Q39" i="7" s="1"/>
  <c r="Q41" i="7" s="1"/>
  <c r="Q44" i="7" s="1"/>
  <c r="C35" i="7"/>
  <c r="C38" i="7" s="1"/>
  <c r="AQ36" i="7"/>
  <c r="AQ39" i="7" s="1"/>
  <c r="AQ41" i="7" s="1"/>
  <c r="AQ53" i="7" s="1"/>
  <c r="AA36" i="7"/>
  <c r="AA39" i="7" s="1"/>
  <c r="AA41" i="7" s="1"/>
  <c r="AA51" i="7" s="1"/>
  <c r="F35" i="7"/>
  <c r="F38" i="7" s="1"/>
  <c r="F41" i="7" s="1"/>
  <c r="F51" i="7" s="1"/>
  <c r="H35" i="7"/>
  <c r="H38" i="7" s="1"/>
  <c r="H41" i="7" s="1"/>
  <c r="H44" i="7" s="1"/>
  <c r="AN35" i="7"/>
  <c r="AN38" i="7" s="1"/>
  <c r="AS35" i="7"/>
  <c r="AS38" i="7" s="1"/>
  <c r="BG36" i="7"/>
  <c r="BG39" i="7" s="1"/>
  <c r="BE35" i="7"/>
  <c r="BE38" i="7" s="1"/>
  <c r="BE41" i="7" s="1"/>
  <c r="BE52" i="7" s="1"/>
  <c r="AG35" i="7"/>
  <c r="AG38" i="7" s="1"/>
  <c r="AH36" i="7"/>
  <c r="AH39" i="7" s="1"/>
  <c r="N35" i="7"/>
  <c r="N38" i="7" s="1"/>
  <c r="K36" i="7"/>
  <c r="K39" i="7" s="1"/>
  <c r="AS36" i="7"/>
  <c r="AS39" i="7" s="1"/>
  <c r="BA35" i="7"/>
  <c r="BA38" i="7" s="1"/>
  <c r="X35" i="7"/>
  <c r="X38" i="7" s="1"/>
  <c r="Z35" i="7"/>
  <c r="Z38" i="7" s="1"/>
  <c r="Z41" i="7" s="1"/>
  <c r="Z53" i="7" s="1"/>
  <c r="G35" i="7"/>
  <c r="G38" i="7" s="1"/>
  <c r="AJ35" i="7"/>
  <c r="AJ38" i="7" s="1"/>
  <c r="AE35" i="7"/>
  <c r="AE38" i="7" s="1"/>
  <c r="AE41" i="7" s="1"/>
  <c r="AE53" i="7" s="1"/>
  <c r="AW35" i="7"/>
  <c r="AW38" i="7" s="1"/>
  <c r="AC36" i="7"/>
  <c r="AC39" i="7" s="1"/>
  <c r="AC41" i="7" s="1"/>
  <c r="AC53" i="7" s="1"/>
  <c r="AB36" i="7"/>
  <c r="AB39" i="7" s="1"/>
  <c r="AY35" i="7"/>
  <c r="AY38" i="7" s="1"/>
  <c r="AX36" i="7"/>
  <c r="AX39" i="7" s="1"/>
  <c r="AX41" i="7" s="1"/>
  <c r="AX52" i="7" s="1"/>
  <c r="AU36" i="7"/>
  <c r="AU39" i="7" s="1"/>
  <c r="X36" i="7"/>
  <c r="X39" i="7" s="1"/>
  <c r="AH35" i="7"/>
  <c r="AH38" i="7" s="1"/>
  <c r="AM36" i="7"/>
  <c r="AM39" i="7" s="1"/>
  <c r="AI36" i="7"/>
  <c r="AI39" i="7" s="1"/>
  <c r="S36" i="7"/>
  <c r="S39" i="7" s="1"/>
  <c r="S41" i="7" s="1"/>
  <c r="S53" i="7" s="1"/>
  <c r="N36" i="7"/>
  <c r="N39" i="7" s="1"/>
  <c r="AY36" i="7"/>
  <c r="AY39" i="7" s="1"/>
  <c r="J36" i="7"/>
  <c r="J39" i="7" s="1"/>
  <c r="AN36" i="7"/>
  <c r="AN39" i="7" s="1"/>
  <c r="M36" i="7"/>
  <c r="M39" i="7" s="1"/>
  <c r="AD35" i="7"/>
  <c r="AD38" i="7" s="1"/>
  <c r="BA36" i="7"/>
  <c r="BA39" i="7" s="1"/>
  <c r="AT35" i="7"/>
  <c r="AT38" i="7" s="1"/>
  <c r="G36" i="7"/>
  <c r="G39" i="7" s="1"/>
  <c r="AG36" i="7"/>
  <c r="AG39" i="7" s="1"/>
  <c r="AV36" i="7"/>
  <c r="AV39" i="7" s="1"/>
  <c r="BI36" i="7"/>
  <c r="BI39" i="7" s="1"/>
  <c r="J35" i="7"/>
  <c r="J38" i="7" s="1"/>
  <c r="AF35" i="7"/>
  <c r="AF38" i="7" s="1"/>
  <c r="BH35" i="7"/>
  <c r="BH38" i="7" s="1"/>
  <c r="BH41" i="7" s="1"/>
  <c r="BH53" i="7" s="1"/>
  <c r="BJ36" i="7"/>
  <c r="BJ39" i="7" s="1"/>
  <c r="AW36" i="7"/>
  <c r="AW39" i="7" s="1"/>
  <c r="K35" i="7"/>
  <c r="K38" i="7" s="1"/>
  <c r="AT36" i="7"/>
  <c r="AT39" i="7" s="1"/>
  <c r="M35" i="7"/>
  <c r="M38" i="7" s="1"/>
  <c r="W36" i="7"/>
  <c r="W39" i="7" s="1"/>
  <c r="AZ35" i="7"/>
  <c r="AZ38" i="7" s="1"/>
  <c r="AU35" i="7"/>
  <c r="AU38" i="7" s="1"/>
  <c r="BG35" i="7"/>
  <c r="BG38" i="7" s="1"/>
  <c r="AV35" i="7"/>
  <c r="AV38" i="7" s="1"/>
  <c r="BB36" i="7"/>
  <c r="BB39" i="7" s="1"/>
  <c r="W35" i="7"/>
  <c r="W38" i="7" s="1"/>
  <c r="AI35" i="7"/>
  <c r="AI38" i="7" s="1"/>
  <c r="BD35" i="7"/>
  <c r="BD38" i="7" s="1"/>
  <c r="Y36" i="7"/>
  <c r="Y39" i="7" s="1"/>
  <c r="AD36" i="7"/>
  <c r="AD39" i="7" s="1"/>
  <c r="AZ36" i="7"/>
  <c r="AZ39" i="7" s="1"/>
  <c r="AM35" i="7"/>
  <c r="AM38" i="7" s="1"/>
  <c r="BB35" i="7"/>
  <c r="BB38" i="7" s="1"/>
  <c r="C33" i="7"/>
  <c r="C36" i="7" s="1"/>
  <c r="C39" i="7" s="1"/>
  <c r="AO33" i="7"/>
  <c r="AO36" i="7" s="1"/>
  <c r="AO39" i="7" s="1"/>
  <c r="AO32" i="7"/>
  <c r="AO35" i="7" s="1"/>
  <c r="AO38" i="7" s="1"/>
  <c r="I32" i="7"/>
  <c r="I35" i="7" s="1"/>
  <c r="I38" i="7" s="1"/>
  <c r="I33" i="7"/>
  <c r="I36" i="7" s="1"/>
  <c r="I39" i="7" s="1"/>
  <c r="AF36" i="7"/>
  <c r="AF39" i="7" s="1"/>
  <c r="P41" i="7"/>
  <c r="P53" i="7" s="1"/>
  <c r="V41" i="7"/>
  <c r="V44" i="7" s="1"/>
  <c r="AG41" i="7" l="1"/>
  <c r="AG52" i="7" s="1"/>
  <c r="BF41" i="7"/>
  <c r="BF51" i="7" s="1"/>
  <c r="BD41" i="7"/>
  <c r="BD53" i="7" s="1"/>
  <c r="BC41" i="7"/>
  <c r="BC52" i="7" s="1"/>
  <c r="N11" i="14"/>
  <c r="F11" i="14"/>
  <c r="AJ41" i="7"/>
  <c r="AJ51" i="7" s="1"/>
  <c r="AI41" i="7"/>
  <c r="AI53" i="7" s="1"/>
  <c r="BI41" i="7"/>
  <c r="BI53" i="7" s="1"/>
  <c r="AV41" i="7"/>
  <c r="AV53" i="7" s="1"/>
  <c r="AS41" i="7"/>
  <c r="AS44" i="7" s="1"/>
  <c r="AN41" i="7"/>
  <c r="AN51" i="7" s="1"/>
  <c r="D52" i="7"/>
  <c r="BJ41" i="7"/>
  <c r="BJ51" i="7" s="1"/>
  <c r="BA41" i="7"/>
  <c r="BA52" i="7" s="1"/>
  <c r="BG41" i="7"/>
  <c r="BG53" i="7" s="1"/>
  <c r="W41" i="7"/>
  <c r="W53" i="7" s="1"/>
  <c r="AB41" i="7"/>
  <c r="AB52" i="7" s="1"/>
  <c r="K41" i="7"/>
  <c r="K47" i="7" s="1"/>
  <c r="J41" i="7"/>
  <c r="J47" i="7" s="1"/>
  <c r="N41" i="7"/>
  <c r="N51" i="7" s="1"/>
  <c r="AH41" i="7"/>
  <c r="AH47" i="7" s="1"/>
  <c r="Y41" i="7"/>
  <c r="Y52" i="7" s="1"/>
  <c r="AA44" i="7"/>
  <c r="AF41" i="7"/>
  <c r="AF53" i="7" s="1"/>
  <c r="AD41" i="7"/>
  <c r="AD52" i="7" s="1"/>
  <c r="O52" i="7"/>
  <c r="BB41" i="7"/>
  <c r="BB51" i="7" s="1"/>
  <c r="X41" i="7"/>
  <c r="X53" i="7" s="1"/>
  <c r="AM41" i="7"/>
  <c r="AM47" i="7" s="1"/>
  <c r="M41" i="7"/>
  <c r="M47" i="7" s="1"/>
  <c r="AY41" i="7"/>
  <c r="AY53" i="7" s="1"/>
  <c r="O47" i="7"/>
  <c r="O53" i="7"/>
  <c r="O44" i="7"/>
  <c r="AW41" i="7"/>
  <c r="AW53" i="7" s="1"/>
  <c r="AA53" i="7"/>
  <c r="AZ41" i="7"/>
  <c r="AZ53" i="7" s="1"/>
  <c r="G41" i="7"/>
  <c r="G53" i="7" s="1"/>
  <c r="D47" i="7"/>
  <c r="AO41" i="7"/>
  <c r="AO52" i="7" s="1"/>
  <c r="D44" i="7"/>
  <c r="I41" i="7"/>
  <c r="I44" i="7" s="1"/>
  <c r="AU41" i="7"/>
  <c r="AU52" i="7" s="1"/>
  <c r="AT41" i="7"/>
  <c r="AT44" i="7" s="1"/>
  <c r="D53" i="7"/>
  <c r="AA47" i="7"/>
  <c r="AA52" i="7"/>
  <c r="AQ52" i="7"/>
  <c r="AQ47" i="7"/>
  <c r="AQ44" i="7"/>
  <c r="AQ51" i="7"/>
  <c r="F44" i="7"/>
  <c r="F53" i="7"/>
  <c r="V53" i="7"/>
  <c r="V47" i="7"/>
  <c r="F47" i="7"/>
  <c r="AK52" i="7"/>
  <c r="F52" i="7"/>
  <c r="Q53" i="7"/>
  <c r="AP44" i="7"/>
  <c r="AC47" i="7"/>
  <c r="L47" i="7"/>
  <c r="AP53" i="7"/>
  <c r="U47" i="7"/>
  <c r="AP51" i="7"/>
  <c r="U44" i="7"/>
  <c r="AP47" i="7"/>
  <c r="Q47" i="7"/>
  <c r="T53" i="7"/>
  <c r="E47" i="7"/>
  <c r="E44" i="7"/>
  <c r="P47" i="7"/>
  <c r="T47" i="7"/>
  <c r="AR53" i="7"/>
  <c r="S52" i="7"/>
  <c r="P44" i="7"/>
  <c r="AK44" i="7"/>
  <c r="AE44" i="7"/>
  <c r="Z47" i="7"/>
  <c r="AE47" i="7"/>
  <c r="Z44" i="7"/>
  <c r="R51" i="7"/>
  <c r="AR51" i="7"/>
  <c r="R53" i="7"/>
  <c r="T51" i="7"/>
  <c r="S47" i="7"/>
  <c r="R52" i="7"/>
  <c r="S44" i="7"/>
  <c r="S51" i="7"/>
  <c r="R47" i="7"/>
  <c r="T44" i="7"/>
  <c r="AK47" i="7"/>
  <c r="AX51" i="7"/>
  <c r="L51" i="7"/>
  <c r="L52" i="7"/>
  <c r="AK53" i="7"/>
  <c r="AC51" i="7"/>
  <c r="AC52" i="7"/>
  <c r="AE52" i="7"/>
  <c r="AE51" i="7"/>
  <c r="AL53" i="7"/>
  <c r="H53" i="7"/>
  <c r="AC44" i="7"/>
  <c r="AL47" i="7"/>
  <c r="BE51" i="7"/>
  <c r="Z51" i="7"/>
  <c r="Z52" i="7"/>
  <c r="V52" i="7"/>
  <c r="V51" i="7"/>
  <c r="AX53" i="7"/>
  <c r="E51" i="7"/>
  <c r="E52" i="7"/>
  <c r="L44" i="7"/>
  <c r="AR52" i="7"/>
  <c r="AL51" i="7"/>
  <c r="AL52" i="7"/>
  <c r="H47" i="7"/>
  <c r="Q52" i="7"/>
  <c r="Q51" i="7"/>
  <c r="U51" i="7"/>
  <c r="U52" i="7"/>
  <c r="H52" i="7"/>
  <c r="H51" i="7"/>
  <c r="P51" i="7"/>
  <c r="P52" i="7"/>
  <c r="BH52" i="7"/>
  <c r="BE47" i="7"/>
  <c r="BE44" i="7"/>
  <c r="BH44" i="7"/>
  <c r="BH47" i="7"/>
  <c r="BH51" i="7"/>
  <c r="BE53" i="7"/>
  <c r="AR44" i="7"/>
  <c r="AX44" i="7"/>
  <c r="AX47" i="7"/>
  <c r="AX1" i="7"/>
  <c r="AW1" i="7"/>
  <c r="AV1" i="7"/>
  <c r="AU1" i="7"/>
  <c r="AT1" i="7"/>
  <c r="AS1" i="7"/>
  <c r="AR1" i="7"/>
  <c r="AQ1" i="7"/>
  <c r="AP1" i="7"/>
  <c r="AO1" i="7"/>
  <c r="AN1" i="7"/>
  <c r="AM1" i="7"/>
  <c r="AL1" i="7"/>
  <c r="AK1" i="7"/>
  <c r="AJ1" i="7"/>
  <c r="AI1" i="7"/>
  <c r="AH1" i="7"/>
  <c r="AG1" i="7"/>
  <c r="AF1" i="7"/>
  <c r="AE1" i="7"/>
  <c r="AD1" i="7"/>
  <c r="AC1" i="7"/>
  <c r="AB1" i="7"/>
  <c r="AA1" i="7"/>
  <c r="Z1" i="7"/>
  <c r="Y1" i="7"/>
  <c r="X1" i="7"/>
  <c r="W1" i="7"/>
  <c r="V1" i="7"/>
  <c r="U1" i="7"/>
  <c r="T1" i="7"/>
  <c r="S1" i="7"/>
  <c r="R1" i="7"/>
  <c r="Q1" i="7"/>
  <c r="P1" i="7"/>
  <c r="O1" i="7"/>
  <c r="N1" i="7"/>
  <c r="M1" i="7"/>
  <c r="L1" i="7"/>
  <c r="K1" i="7"/>
  <c r="J1" i="7"/>
  <c r="I1" i="7"/>
  <c r="H1" i="7"/>
  <c r="G1" i="7"/>
  <c r="F1" i="7"/>
  <c r="E1" i="7"/>
  <c r="D1" i="7"/>
  <c r="C1" i="7"/>
  <c r="AG44" i="7" l="1"/>
  <c r="AG51" i="7"/>
  <c r="AG47" i="7"/>
  <c r="AG53" i="7"/>
  <c r="BF44" i="7"/>
  <c r="BF52" i="7"/>
  <c r="BF47" i="7"/>
  <c r="BF53" i="7"/>
  <c r="BC51" i="7"/>
  <c r="BC53" i="7"/>
  <c r="BD47" i="7"/>
  <c r="BC47" i="7"/>
  <c r="BC44" i="7"/>
  <c r="BD51" i="7"/>
  <c r="BD52" i="7"/>
  <c r="BD44" i="7"/>
  <c r="AI47" i="7"/>
  <c r="N12" i="14"/>
  <c r="F12" i="14"/>
  <c r="BI47" i="7"/>
  <c r="AJ52" i="7"/>
  <c r="AJ53" i="7"/>
  <c r="AJ47" i="7"/>
  <c r="AJ44" i="7"/>
  <c r="AI52" i="7"/>
  <c r="W51" i="7"/>
  <c r="BJ44" i="7"/>
  <c r="BA44" i="7"/>
  <c r="BA47" i="7"/>
  <c r="AN52" i="7"/>
  <c r="AI44" i="7"/>
  <c r="AI51" i="7"/>
  <c r="W52" i="7"/>
  <c r="BI52" i="7"/>
  <c r="AN47" i="7"/>
  <c r="BJ53" i="7"/>
  <c r="BI51" i="7"/>
  <c r="BJ47" i="7"/>
  <c r="K53" i="7"/>
  <c r="AB53" i="7"/>
  <c r="BJ52" i="7"/>
  <c r="W47" i="7"/>
  <c r="K51" i="7"/>
  <c r="AB47" i="7"/>
  <c r="AB44" i="7"/>
  <c r="BG51" i="7"/>
  <c r="BA53" i="7"/>
  <c r="AS52" i="7"/>
  <c r="AS51" i="7"/>
  <c r="K52" i="7"/>
  <c r="AV44" i="7"/>
  <c r="BI44" i="7"/>
  <c r="AV47" i="7"/>
  <c r="AV51" i="7"/>
  <c r="AB51" i="7"/>
  <c r="AS53" i="7"/>
  <c r="AS47" i="7"/>
  <c r="AV52" i="7"/>
  <c r="BA51" i="7"/>
  <c r="AN53" i="7"/>
  <c r="AF44" i="7"/>
  <c r="BG47" i="7"/>
  <c r="BG44" i="7"/>
  <c r="AO53" i="7"/>
  <c r="BG52" i="7"/>
  <c r="AN44" i="7"/>
  <c r="AF51" i="7"/>
  <c r="I53" i="7"/>
  <c r="N53" i="7"/>
  <c r="W44" i="7"/>
  <c r="AO47" i="7"/>
  <c r="AH44" i="7"/>
  <c r="AF47" i="7"/>
  <c r="AF52" i="7"/>
  <c r="AM52" i="7"/>
  <c r="AH53" i="7"/>
  <c r="K44" i="7"/>
  <c r="AZ51" i="7"/>
  <c r="N44" i="7"/>
  <c r="G47" i="7"/>
  <c r="AH52" i="7"/>
  <c r="AH51" i="7"/>
  <c r="N47" i="7"/>
  <c r="Y53" i="7"/>
  <c r="AM44" i="7"/>
  <c r="BB47" i="7"/>
  <c r="Y44" i="7"/>
  <c r="X47" i="7"/>
  <c r="BB52" i="7"/>
  <c r="AU47" i="7"/>
  <c r="AZ44" i="7"/>
  <c r="AZ47" i="7"/>
  <c r="N52" i="7"/>
  <c r="AZ52" i="7"/>
  <c r="G44" i="7"/>
  <c r="M53" i="7"/>
  <c r="J53" i="7"/>
  <c r="AY44" i="7"/>
  <c r="Y47" i="7"/>
  <c r="AY47" i="7"/>
  <c r="J52" i="7"/>
  <c r="J44" i="7"/>
  <c r="J51" i="7"/>
  <c r="Y51" i="7"/>
  <c r="G51" i="7"/>
  <c r="AD44" i="7"/>
  <c r="AW51" i="7"/>
  <c r="AD53" i="7"/>
  <c r="AM53" i="7"/>
  <c r="AD47" i="7"/>
  <c r="BB44" i="7"/>
  <c r="X51" i="7"/>
  <c r="M52" i="7"/>
  <c r="AO44" i="7"/>
  <c r="AD51" i="7"/>
  <c r="M51" i="7"/>
  <c r="G52" i="7"/>
  <c r="AM51" i="7"/>
  <c r="M44" i="7"/>
  <c r="X52" i="7"/>
  <c r="AT51" i="7"/>
  <c r="AY51" i="7"/>
  <c r="AT53" i="7"/>
  <c r="AT52" i="7"/>
  <c r="AT47" i="7"/>
  <c r="AY52" i="7"/>
  <c r="X44" i="7"/>
  <c r="BB53" i="7"/>
  <c r="AW52" i="7"/>
  <c r="AU51" i="7"/>
  <c r="AW47" i="7"/>
  <c r="AW44" i="7"/>
  <c r="AU44" i="7"/>
  <c r="I52" i="7"/>
  <c r="I51" i="7"/>
  <c r="AO51" i="7"/>
  <c r="I47" i="7"/>
  <c r="AU53" i="7"/>
  <c r="C4" i="1"/>
  <c r="N13" i="14" l="1"/>
  <c r="F13" i="14"/>
  <c r="C18" i="7"/>
  <c r="C40" i="7"/>
  <c r="N14" i="14" l="1"/>
  <c r="F14" i="14"/>
  <c r="C41" i="7"/>
  <c r="C53" i="7" s="1"/>
  <c r="N15" i="14" l="1"/>
  <c r="F15" i="14"/>
  <c r="C47" i="7"/>
  <c r="C44" i="7"/>
  <c r="C51" i="7"/>
  <c r="C52" i="7"/>
  <c r="N16" i="14" l="1"/>
  <c r="F16" i="14"/>
  <c r="N17" i="14" l="1"/>
  <c r="F17" i="14"/>
  <c r="N18" i="14" l="1"/>
  <c r="F18" i="14"/>
  <c r="N19" i="14" l="1"/>
  <c r="F19" i="14"/>
  <c r="N20" i="14" l="1"/>
  <c r="F20" i="14"/>
  <c r="N21" i="14" l="1"/>
  <c r="F21" i="14"/>
  <c r="N22" i="14" l="1"/>
  <c r="F22" i="14"/>
  <c r="G21" i="14" s="1"/>
  <c r="N23" i="14" l="1"/>
  <c r="G22" i="14"/>
  <c r="G4" i="14"/>
  <c r="G5" i="14"/>
  <c r="G6" i="14"/>
  <c r="G7" i="14"/>
  <c r="G8" i="14"/>
  <c r="G9" i="14"/>
  <c r="G10" i="14"/>
  <c r="G11" i="14"/>
  <c r="G12" i="14"/>
  <c r="G13" i="14"/>
  <c r="G14" i="14"/>
  <c r="G15" i="14"/>
  <c r="G16" i="14"/>
  <c r="G17" i="14"/>
  <c r="G18" i="14"/>
  <c r="G19" i="14"/>
  <c r="G20" i="14"/>
  <c r="N24" i="14" l="1"/>
  <c r="N25" i="14" l="1"/>
  <c r="N26" i="14" l="1"/>
  <c r="N27" i="14" l="1"/>
  <c r="N28" i="14" l="1"/>
  <c r="N29" i="14" l="1"/>
  <c r="N30" i="14" l="1"/>
  <c r="N31" i="14" l="1"/>
  <c r="N32" i="14" l="1"/>
  <c r="N33" i="14" l="1"/>
  <c r="N34" i="14" l="1"/>
  <c r="N35" i="14" l="1"/>
  <c r="N36" i="14" l="1"/>
  <c r="N37" i="14" l="1"/>
  <c r="N38" i="14" l="1"/>
  <c r="N39" i="14" l="1"/>
  <c r="N40" i="14" l="1"/>
  <c r="N41" i="14" l="1"/>
  <c r="N42" i="14" l="1"/>
  <c r="N43" i="14" l="1"/>
  <c r="N44" i="14" l="1"/>
  <c r="N45" i="14" l="1"/>
  <c r="N46" i="14" l="1"/>
  <c r="N47" i="14" l="1"/>
  <c r="N48" i="14" l="1"/>
  <c r="N49" i="14" l="1"/>
  <c r="N50" i="14" l="1"/>
  <c r="N51" i="14" l="1"/>
  <c r="N52" i="14" l="1"/>
  <c r="N53" i="14" l="1"/>
  <c r="N54" i="14" l="1"/>
  <c r="N55" i="14" l="1"/>
  <c r="N56" i="14" l="1"/>
  <c r="N57" i="14" l="1"/>
  <c r="N58" i="14" l="1"/>
  <c r="N59" i="14" l="1"/>
  <c r="N60" i="14" l="1"/>
  <c r="N61" i="14" l="1"/>
  <c r="O60" i="14"/>
  <c r="O61" i="14" l="1"/>
  <c r="O4" i="14"/>
  <c r="O5" i="14"/>
  <c r="O6" i="14"/>
  <c r="O7" i="14"/>
  <c r="O8" i="14"/>
  <c r="O9" i="14"/>
  <c r="O10" i="14"/>
  <c r="O11" i="14"/>
  <c r="O12" i="14"/>
  <c r="O13" i="14"/>
  <c r="O14" i="14"/>
  <c r="O15" i="14"/>
  <c r="O16" i="14"/>
  <c r="O17" i="14"/>
  <c r="O18" i="14"/>
  <c r="O19" i="14"/>
  <c r="O20" i="14"/>
  <c r="O21" i="14"/>
  <c r="O22" i="14"/>
  <c r="O23" i="14"/>
  <c r="O24" i="14"/>
  <c r="O25" i="14"/>
  <c r="O26" i="14"/>
  <c r="O27" i="14"/>
  <c r="O28" i="14"/>
  <c r="O29" i="14"/>
  <c r="O30" i="14"/>
  <c r="O31" i="14"/>
  <c r="O32" i="14"/>
  <c r="O33" i="14"/>
  <c r="O34" i="14"/>
  <c r="O35" i="14"/>
  <c r="O36" i="14"/>
  <c r="O37" i="14"/>
  <c r="O38" i="14"/>
  <c r="O39" i="14"/>
  <c r="O40" i="14"/>
  <c r="O41" i="14"/>
  <c r="O42" i="14"/>
  <c r="O43" i="14"/>
  <c r="O44" i="14"/>
  <c r="O45" i="14"/>
  <c r="O46" i="14"/>
  <c r="O47" i="14"/>
  <c r="O48" i="14"/>
  <c r="O49" i="14"/>
  <c r="O50" i="14"/>
  <c r="O51" i="14"/>
  <c r="O52" i="14"/>
  <c r="O53" i="14"/>
  <c r="O54" i="14"/>
  <c r="O55" i="14"/>
  <c r="O56" i="14"/>
  <c r="O57" i="14"/>
  <c r="O58" i="14"/>
  <c r="O59"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A2FCC4-02BE-456D-B6B0-566C2A3EA647}" odcFile="C:\Users\afree\Documents\My Data Sources\AS Server.odc" keepAlive="1" name="DESKTOP-KSAPEQM AS Model" type="5" refreshedVersion="6" onlyUseConnectionFile="1" background="1">
    <dbPr connection="Provider=MSOLAP.8;Integrated Security=SSPI;Persist Security Info=True;Initial Catalog=AS;Data Source=DESKTOP-KSAPEQM;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91">
    <s v="DESKTOP-KSAPEQM AS Model"/>
    <s v="{[Indicator Detail].[Units].[All]}"/>
    <s v="{[Data].[Demographics].[Population].&amp;[Total]}"/>
    <s v="{[Data].[Original Source Data].[Source].&amp;[WDI2020]}"/>
    <s v="{[Data].[GDP and other output measures].[Output Definition].&amp;[Expenditure Approach]}"/>
    <s v="{[Indicator Detail].[Units].[Measure Type (Stock/Flow/etc)].&amp;[Flow].&amp;[Money].&amp;[USD]}"/>
    <s v="{[Indicator Detail].[Industrial Sector (Agriculture/Manufacturing/etc)].&amp;[Whole economy]}"/>
    <s v="{[Geography].[WDI Availability].[wdi_availability].&amp;[From 1960],[Geography].[WDI Availability].[wdi_availability].&amp;[From 1961]}"/>
    <s v="[Dates].[Year].&amp;[1961]"/>
    <s v="[Dates].[Year].&amp;[1962]"/>
    <s v="[Dates].[Year].&amp;[1963]"/>
    <s v="[Dates].[Year].&amp;[1964]"/>
    <s v="[Dates].[Year].&amp;[1965]"/>
    <s v="[Dates].[Year].&amp;[1966]"/>
    <s v="[Dates].[Year].&amp;[1967]"/>
    <s v="[Dates].[Year].&amp;[1968]"/>
    <s v="[Dates].[Year].&amp;[1969]"/>
    <s v="[Dates].[Year].&amp;[1970]"/>
    <s v="[Dates].[Year].&amp;[1971]"/>
    <s v="[Dates].[Year].&amp;[1972]"/>
    <s v="[Dates].[Year].&amp;[1973]"/>
    <s v="[Dates].[Year].&amp;[1974]"/>
    <s v="[Dates].[Year].&amp;[1975]"/>
    <s v="[Dates].[Year].&amp;[1976]"/>
    <s v="[Dates].[Year].&amp;[1977]"/>
    <s v="[Dates].[Year].&amp;[1978]"/>
    <s v="[Dates].[Year].&amp;[1979]"/>
    <s v="[Dates].[Year].&amp;[1980]"/>
    <s v="[Dates].[Year].&amp;[1981]"/>
    <s v="[Dates].[Year].&amp;[1982]"/>
    <s v="[Dates].[Year].&amp;[1983]"/>
    <s v="[Dates].[Year].&amp;[1984]"/>
    <s v="[Dates].[Year].&amp;[1985]"/>
    <s v="[Dates].[Year].&amp;[1986]"/>
    <s v="[Dates].[Year].&amp;[1987]"/>
    <s v="[Dates].[Year].&amp;[1988]"/>
    <s v="[Dates].[Year].&amp;[1989]"/>
    <s v="[Dates].[Year].&amp;[1990]"/>
    <s v="[Dates].[Year].&amp;[1991]"/>
    <s v="[Dates].[Year].&amp;[1992]"/>
    <s v="[Dates].[Year].&amp;[1993]"/>
    <s v="[Dates].[Year].&amp;[1994]"/>
    <s v="[Dates].[Year].&amp;[1995]"/>
    <s v="[Dates].[Year].&amp;[1996]"/>
    <s v="[Dates].[Year].&amp;[1997]"/>
    <s v="[Dates].[Year].&amp;[1998]"/>
    <s v="[Dates].[Year].&amp;[1999]"/>
    <s v="[Dates].[Year].&amp;[2000]"/>
    <s v="[Dates].[Year].&amp;[2001]"/>
    <s v="[Dates].[Year].&amp;[2002]"/>
    <s v="[Dates].[Year].&amp;[2003]"/>
    <s v="[Dates].[Year].&amp;[2004]"/>
    <s v="[Dates].[Year].&amp;[2005]"/>
    <s v="[Dates].[Year].&amp;[2006]"/>
    <s v="[Dates].[Year].&amp;[2007]"/>
    <s v="[Dates].[Year].&amp;[2008]"/>
    <s v="[Dates].[Year].&amp;[2009]"/>
    <s v="[Dates].[Year].&amp;[2010]"/>
    <s v="[Dates].[Year].&amp;[2011]"/>
    <s v="[Dates].[Year].&amp;[2012]"/>
    <s v="[Dates].[Year].&amp;[2013]"/>
    <s v="[Dates].[Year].&amp;[2014]"/>
    <s v="[Dates].[Year].&amp;[2015]"/>
    <s v="[Dates].[Year].&amp;[2016]"/>
    <s v="[Dates].[Year].&amp;[2017]"/>
    <s v="[Dates].[Year].&amp;[2018]"/>
    <s v="[Dates].[Year].&amp;[2019]"/>
    <s v="{[Indicator Detail].[Units].[Measure Type (Stock/Flow/etc)].&amp;[Flow].&amp;[Money].&amp;[USD].&amp;[Current]}"/>
    <s v="[Measures].[Item]"/>
    <s v="{[Indicator Detail].[Units].[Measure Type (Stock/Flow/etc)].&amp;[Stock].&amp;[Population].&amp;[Persons]}"/>
    <s v="{[Indicator Detail].[Industrial Sector (Agriculture/Manufacturing/etc)].[All]}"/>
    <s v="[Geography].[Blocs].[Country].&amp;[Australia]"/>
    <s v="[Geography].[Blocs].[Country].&amp;[Austria]"/>
    <s v="[Geography].[Blocs].[Country].&amp;[Belgium]"/>
    <s v="[Geography].[Blocs].[Country].&amp;[Finland]"/>
    <s v="[Geography].[Blocs].[Country].&amp;[France]"/>
    <s v="[Geography].[Blocs].[Country].&amp;[Greece]"/>
    <s v="[Geography].[Blocs].[Country].&amp;[Israel]"/>
    <s v="[Geography].[Blocs].[Country].&amp;[Italy]"/>
    <s v="[Geography].[Blocs].[Country].&amp;[Japan]"/>
    <s v="[Geography].[Blocs].[Country].&amp;[Luxemburg]"/>
    <s v="[Geography].[Blocs].[Country].&amp;[Netherlands]"/>
    <s v="[Geography].[Blocs].[Country].&amp;[Norway]"/>
    <s v="[Geography].[Blocs].[Country].&amp;[Portugal]"/>
    <s v="[Geography].[Blocs].[Country].&amp;[Singapore]"/>
    <s v="[Geography].[Blocs].[Country].&amp;[South Korea]"/>
    <s v="[Geography].[Blocs].[Country].&amp;[Spain]"/>
    <s v="[Geography].[Blocs].[Country].&amp;[Sweden]"/>
    <s v="[Geography].[Blocs].[Country].&amp;[United Kingdom]"/>
    <s v="[Geography].[Blocs].[Country].&amp;[United States]"/>
    <s v="{[Geography].[WDI Availability].[wdi_availability].&amp;[From 1960]}"/>
  </metadataStrings>
  <mdxMetadata count="2268">
    <mdx n="0" f="s">
      <ms ns="1" c="0"/>
    </mdx>
    <mdx n="0" f="s">
      <ms ns="2" c="0"/>
    </mdx>
    <mdx n="0" f="s">
      <ms ns="3" c="0"/>
    </mdx>
    <mdx n="0" f="s">
      <ms ns="4" c="0"/>
    </mdx>
    <mdx n="0" f="s">
      <ms ns="5" c="0"/>
    </mdx>
    <mdx n="0" f="s">
      <ms ns="6" c="0"/>
    </mdx>
    <mdx n="0" f="m">
      <t c="1">
        <n x="71"/>
      </t>
    </mdx>
    <mdx n="0" f="v">
      <t c="8">
        <n x="4" s="1"/>
        <n x="7" s="1"/>
        <n x="67" s="1"/>
        <n x="3" s="1"/>
        <n x="6" s="1"/>
        <n x="68"/>
        <n x="71"/>
        <n x="8"/>
      </t>
    </mdx>
    <mdx n="0" f="v">
      <t c="8">
        <n x="4" s="1"/>
        <n x="7" s="1"/>
        <n x="67" s="1"/>
        <n x="3" s="1"/>
        <n x="6" s="1"/>
        <n x="68"/>
        <n x="71"/>
        <n x="9"/>
      </t>
    </mdx>
    <mdx n="0" f="v">
      <t c="8">
        <n x="4" s="1"/>
        <n x="7" s="1"/>
        <n x="67" s="1"/>
        <n x="3" s="1"/>
        <n x="6" s="1"/>
        <n x="68"/>
        <n x="71"/>
        <n x="10"/>
      </t>
    </mdx>
    <mdx n="0" f="v">
      <t c="8">
        <n x="4" s="1"/>
        <n x="7" s="1"/>
        <n x="67" s="1"/>
        <n x="3" s="1"/>
        <n x="6" s="1"/>
        <n x="68"/>
        <n x="71"/>
        <n x="11"/>
      </t>
    </mdx>
    <mdx n="0" f="v">
      <t c="8">
        <n x="4" s="1"/>
        <n x="7" s="1"/>
        <n x="67" s="1"/>
        <n x="3" s="1"/>
        <n x="6" s="1"/>
        <n x="68"/>
        <n x="71"/>
        <n x="12"/>
      </t>
    </mdx>
    <mdx n="0" f="v">
      <t c="8">
        <n x="4" s="1"/>
        <n x="7" s="1"/>
        <n x="67" s="1"/>
        <n x="3" s="1"/>
        <n x="6" s="1"/>
        <n x="68"/>
        <n x="71"/>
        <n x="13"/>
      </t>
    </mdx>
    <mdx n="0" f="v">
      <t c="8">
        <n x="4" s="1"/>
        <n x="7" s="1"/>
        <n x="67" s="1"/>
        <n x="3" s="1"/>
        <n x="6" s="1"/>
        <n x="68"/>
        <n x="71"/>
        <n x="14"/>
      </t>
    </mdx>
    <mdx n="0" f="v">
      <t c="8">
        <n x="4" s="1"/>
        <n x="7" s="1"/>
        <n x="67" s="1"/>
        <n x="3" s="1"/>
        <n x="6" s="1"/>
        <n x="68"/>
        <n x="71"/>
        <n x="15"/>
      </t>
    </mdx>
    <mdx n="0" f="v">
      <t c="8">
        <n x="4" s="1"/>
        <n x="7" s="1"/>
        <n x="67" s="1"/>
        <n x="3" s="1"/>
        <n x="6" s="1"/>
        <n x="68"/>
        <n x="71"/>
        <n x="16"/>
      </t>
    </mdx>
    <mdx n="0" f="v">
      <t c="8">
        <n x="4" s="1"/>
        <n x="7" s="1"/>
        <n x="67" s="1"/>
        <n x="3" s="1"/>
        <n x="6" s="1"/>
        <n x="68"/>
        <n x="71"/>
        <n x="17"/>
      </t>
    </mdx>
    <mdx n="0" f="v">
      <t c="8">
        <n x="4" s="1"/>
        <n x="7" s="1"/>
        <n x="67" s="1"/>
        <n x="3" s="1"/>
        <n x="6" s="1"/>
        <n x="68"/>
        <n x="71"/>
        <n x="18"/>
      </t>
    </mdx>
    <mdx n="0" f="v">
      <t c="8">
        <n x="4" s="1"/>
        <n x="7" s="1"/>
        <n x="67" s="1"/>
        <n x="3" s="1"/>
        <n x="6" s="1"/>
        <n x="68"/>
        <n x="71"/>
        <n x="19"/>
      </t>
    </mdx>
    <mdx n="0" f="v">
      <t c="8">
        <n x="4" s="1"/>
        <n x="7" s="1"/>
        <n x="67" s="1"/>
        <n x="3" s="1"/>
        <n x="6" s="1"/>
        <n x="68"/>
        <n x="71"/>
        <n x="20"/>
      </t>
    </mdx>
    <mdx n="0" f="v">
      <t c="8">
        <n x="4" s="1"/>
        <n x="7" s="1"/>
        <n x="67" s="1"/>
        <n x="3" s="1"/>
        <n x="6" s="1"/>
        <n x="68"/>
        <n x="71"/>
        <n x="21"/>
      </t>
    </mdx>
    <mdx n="0" f="v">
      <t c="8">
        <n x="4" s="1"/>
        <n x="7" s="1"/>
        <n x="67" s="1"/>
        <n x="3" s="1"/>
        <n x="6" s="1"/>
        <n x="68"/>
        <n x="71"/>
        <n x="22"/>
      </t>
    </mdx>
    <mdx n="0" f="v">
      <t c="8">
        <n x="4" s="1"/>
        <n x="7" s="1"/>
        <n x="67" s="1"/>
        <n x="3" s="1"/>
        <n x="6" s="1"/>
        <n x="68"/>
        <n x="71"/>
        <n x="23"/>
      </t>
    </mdx>
    <mdx n="0" f="v">
      <t c="8">
        <n x="4" s="1"/>
        <n x="7" s="1"/>
        <n x="67" s="1"/>
        <n x="3" s="1"/>
        <n x="6" s="1"/>
        <n x="68"/>
        <n x="71"/>
        <n x="24"/>
      </t>
    </mdx>
    <mdx n="0" f="v">
      <t c="8">
        <n x="4" s="1"/>
        <n x="7" s="1"/>
        <n x="67" s="1"/>
        <n x="3" s="1"/>
        <n x="6" s="1"/>
        <n x="68"/>
        <n x="71"/>
        <n x="25"/>
      </t>
    </mdx>
    <mdx n="0" f="v">
      <t c="8">
        <n x="4" s="1"/>
        <n x="7" s="1"/>
        <n x="67" s="1"/>
        <n x="3" s="1"/>
        <n x="6" s="1"/>
        <n x="68"/>
        <n x="71"/>
        <n x="26"/>
      </t>
    </mdx>
    <mdx n="0" f="v">
      <t c="8">
        <n x="4" s="1"/>
        <n x="7" s="1"/>
        <n x="67" s="1"/>
        <n x="3" s="1"/>
        <n x="6" s="1"/>
        <n x="68"/>
        <n x="71"/>
        <n x="27"/>
      </t>
    </mdx>
    <mdx n="0" f="v">
      <t c="8">
        <n x="4" s="1"/>
        <n x="7" s="1"/>
        <n x="67" s="1"/>
        <n x="3" s="1"/>
        <n x="6" s="1"/>
        <n x="68"/>
        <n x="71"/>
        <n x="28"/>
      </t>
    </mdx>
    <mdx n="0" f="v">
      <t c="8">
        <n x="4" s="1"/>
        <n x="7" s="1"/>
        <n x="67" s="1"/>
        <n x="3" s="1"/>
        <n x="6" s="1"/>
        <n x="68"/>
        <n x="71"/>
        <n x="29"/>
      </t>
    </mdx>
    <mdx n="0" f="v">
      <t c="8">
        <n x="4" s="1"/>
        <n x="7" s="1"/>
        <n x="67" s="1"/>
        <n x="3" s="1"/>
        <n x="6" s="1"/>
        <n x="68"/>
        <n x="71"/>
        <n x="30"/>
      </t>
    </mdx>
    <mdx n="0" f="v">
      <t c="8">
        <n x="4" s="1"/>
        <n x="7" s="1"/>
        <n x="67" s="1"/>
        <n x="3" s="1"/>
        <n x="6" s="1"/>
        <n x="68"/>
        <n x="71"/>
        <n x="31"/>
      </t>
    </mdx>
    <mdx n="0" f="v">
      <t c="8">
        <n x="4" s="1"/>
        <n x="7" s="1"/>
        <n x="67" s="1"/>
        <n x="3" s="1"/>
        <n x="6" s="1"/>
        <n x="68"/>
        <n x="71"/>
        <n x="32"/>
      </t>
    </mdx>
    <mdx n="0" f="v">
      <t c="8">
        <n x="4" s="1"/>
        <n x="7" s="1"/>
        <n x="67" s="1"/>
        <n x="3" s="1"/>
        <n x="6" s="1"/>
        <n x="68"/>
        <n x="71"/>
        <n x="33"/>
      </t>
    </mdx>
    <mdx n="0" f="v">
      <t c="8">
        <n x="4" s="1"/>
        <n x="7" s="1"/>
        <n x="67" s="1"/>
        <n x="3" s="1"/>
        <n x="6" s="1"/>
        <n x="68"/>
        <n x="71"/>
        <n x="34"/>
      </t>
    </mdx>
    <mdx n="0" f="v">
      <t c="8">
        <n x="4" s="1"/>
        <n x="7" s="1"/>
        <n x="67" s="1"/>
        <n x="3" s="1"/>
        <n x="6" s="1"/>
        <n x="68"/>
        <n x="71"/>
        <n x="35"/>
      </t>
    </mdx>
    <mdx n="0" f="v">
      <t c="8">
        <n x="4" s="1"/>
        <n x="7" s="1"/>
        <n x="67" s="1"/>
        <n x="3" s="1"/>
        <n x="6" s="1"/>
        <n x="68"/>
        <n x="71"/>
        <n x="36"/>
      </t>
    </mdx>
    <mdx n="0" f="v">
      <t c="8">
        <n x="4" s="1"/>
        <n x="7" s="1"/>
        <n x="67" s="1"/>
        <n x="3" s="1"/>
        <n x="6" s="1"/>
        <n x="68"/>
        <n x="71"/>
        <n x="37"/>
      </t>
    </mdx>
    <mdx n="0" f="v">
      <t c="8">
        <n x="4" s="1"/>
        <n x="7" s="1"/>
        <n x="67" s="1"/>
        <n x="3" s="1"/>
        <n x="6" s="1"/>
        <n x="68"/>
        <n x="71"/>
        <n x="38"/>
      </t>
    </mdx>
    <mdx n="0" f="v">
      <t c="8">
        <n x="4" s="1"/>
        <n x="7" s="1"/>
        <n x="67" s="1"/>
        <n x="3" s="1"/>
        <n x="6" s="1"/>
        <n x="68"/>
        <n x="71"/>
        <n x="39"/>
      </t>
    </mdx>
    <mdx n="0" f="v">
      <t c="8">
        <n x="4" s="1"/>
        <n x="7" s="1"/>
        <n x="67" s="1"/>
        <n x="3" s="1"/>
        <n x="6" s="1"/>
        <n x="68"/>
        <n x="71"/>
        <n x="40"/>
      </t>
    </mdx>
    <mdx n="0" f="v">
      <t c="8">
        <n x="4" s="1"/>
        <n x="7" s="1"/>
        <n x="67" s="1"/>
        <n x="3" s="1"/>
        <n x="6" s="1"/>
        <n x="68"/>
        <n x="71"/>
        <n x="41"/>
      </t>
    </mdx>
    <mdx n="0" f="v">
      <t c="8">
        <n x="4" s="1"/>
        <n x="7" s="1"/>
        <n x="67" s="1"/>
        <n x="3" s="1"/>
        <n x="6" s="1"/>
        <n x="68"/>
        <n x="71"/>
        <n x="42"/>
      </t>
    </mdx>
    <mdx n="0" f="v">
      <t c="8">
        <n x="4" s="1"/>
        <n x="7" s="1"/>
        <n x="67" s="1"/>
        <n x="3" s="1"/>
        <n x="6" s="1"/>
        <n x="68"/>
        <n x="71"/>
        <n x="43"/>
      </t>
    </mdx>
    <mdx n="0" f="v">
      <t c="8">
        <n x="4" s="1"/>
        <n x="7" s="1"/>
        <n x="67" s="1"/>
        <n x="3" s="1"/>
        <n x="6" s="1"/>
        <n x="68"/>
        <n x="71"/>
        <n x="44"/>
      </t>
    </mdx>
    <mdx n="0" f="v">
      <t c="8">
        <n x="4" s="1"/>
        <n x="7" s="1"/>
        <n x="67" s="1"/>
        <n x="3" s="1"/>
        <n x="6" s="1"/>
        <n x="68"/>
        <n x="71"/>
        <n x="45"/>
      </t>
    </mdx>
    <mdx n="0" f="v">
      <t c="8">
        <n x="4" s="1"/>
        <n x="7" s="1"/>
        <n x="67" s="1"/>
        <n x="3" s="1"/>
        <n x="6" s="1"/>
        <n x="68"/>
        <n x="71"/>
        <n x="46"/>
      </t>
    </mdx>
    <mdx n="0" f="v">
      <t c="8">
        <n x="4" s="1"/>
        <n x="7" s="1"/>
        <n x="67" s="1"/>
        <n x="3" s="1"/>
        <n x="6" s="1"/>
        <n x="68"/>
        <n x="71"/>
        <n x="47"/>
      </t>
    </mdx>
    <mdx n="0" f="v">
      <t c="8">
        <n x="4" s="1"/>
        <n x="7" s="1"/>
        <n x="67" s="1"/>
        <n x="3" s="1"/>
        <n x="6" s="1"/>
        <n x="68"/>
        <n x="71"/>
        <n x="48"/>
      </t>
    </mdx>
    <mdx n="0" f="v">
      <t c="8">
        <n x="4" s="1"/>
        <n x="7" s="1"/>
        <n x="67" s="1"/>
        <n x="3" s="1"/>
        <n x="6" s="1"/>
        <n x="68"/>
        <n x="71"/>
        <n x="49"/>
      </t>
    </mdx>
    <mdx n="0" f="v">
      <t c="8">
        <n x="4" s="1"/>
        <n x="7" s="1"/>
        <n x="67" s="1"/>
        <n x="3" s="1"/>
        <n x="6" s="1"/>
        <n x="68"/>
        <n x="71"/>
        <n x="50"/>
      </t>
    </mdx>
    <mdx n="0" f="v">
      <t c="8">
        <n x="4" s="1"/>
        <n x="7" s="1"/>
        <n x="67" s="1"/>
        <n x="3" s="1"/>
        <n x="6" s="1"/>
        <n x="68"/>
        <n x="71"/>
        <n x="51"/>
      </t>
    </mdx>
    <mdx n="0" f="v">
      <t c="8">
        <n x="4" s="1"/>
        <n x="7" s="1"/>
        <n x="67" s="1"/>
        <n x="3" s="1"/>
        <n x="6" s="1"/>
        <n x="68"/>
        <n x="71"/>
        <n x="52"/>
      </t>
    </mdx>
    <mdx n="0" f="v">
      <t c="8">
        <n x="4" s="1"/>
        <n x="7" s="1"/>
        <n x="67" s="1"/>
        <n x="3" s="1"/>
        <n x="6" s="1"/>
        <n x="68"/>
        <n x="71"/>
        <n x="53"/>
      </t>
    </mdx>
    <mdx n="0" f="v">
      <t c="8">
        <n x="4" s="1"/>
        <n x="7" s="1"/>
        <n x="67" s="1"/>
        <n x="3" s="1"/>
        <n x="6" s="1"/>
        <n x="68"/>
        <n x="71"/>
        <n x="54"/>
      </t>
    </mdx>
    <mdx n="0" f="v">
      <t c="8">
        <n x="4" s="1"/>
        <n x="7" s="1"/>
        <n x="67" s="1"/>
        <n x="3" s="1"/>
        <n x="6" s="1"/>
        <n x="68"/>
        <n x="71"/>
        <n x="55"/>
      </t>
    </mdx>
    <mdx n="0" f="v">
      <t c="8">
        <n x="4" s="1"/>
        <n x="7" s="1"/>
        <n x="67" s="1"/>
        <n x="3" s="1"/>
        <n x="6" s="1"/>
        <n x="68"/>
        <n x="71"/>
        <n x="56"/>
      </t>
    </mdx>
    <mdx n="0" f="v">
      <t c="8">
        <n x="4" s="1"/>
        <n x="7" s="1"/>
        <n x="67" s="1"/>
        <n x="3" s="1"/>
        <n x="6" s="1"/>
        <n x="68"/>
        <n x="71"/>
        <n x="57"/>
      </t>
    </mdx>
    <mdx n="0" f="v">
      <t c="8">
        <n x="4" s="1"/>
        <n x="7" s="1"/>
        <n x="67" s="1"/>
        <n x="3" s="1"/>
        <n x="6" s="1"/>
        <n x="68"/>
        <n x="71"/>
        <n x="58"/>
      </t>
    </mdx>
    <mdx n="0" f="v">
      <t c="8">
        <n x="4" s="1"/>
        <n x="7" s="1"/>
        <n x="67" s="1"/>
        <n x="3" s="1"/>
        <n x="6" s="1"/>
        <n x="68"/>
        <n x="71"/>
        <n x="59"/>
      </t>
    </mdx>
    <mdx n="0" f="v">
      <t c="8">
        <n x="4" s="1"/>
        <n x="7" s="1"/>
        <n x="67" s="1"/>
        <n x="3" s="1"/>
        <n x="6" s="1"/>
        <n x="68"/>
        <n x="71"/>
        <n x="60"/>
      </t>
    </mdx>
    <mdx n="0" f="v">
      <t c="8">
        <n x="4" s="1"/>
        <n x="7" s="1"/>
        <n x="67" s="1"/>
        <n x="3" s="1"/>
        <n x="6" s="1"/>
        <n x="68"/>
        <n x="71"/>
        <n x="61"/>
      </t>
    </mdx>
    <mdx n="0" f="v">
      <t c="8">
        <n x="4" s="1"/>
        <n x="7" s="1"/>
        <n x="67" s="1"/>
        <n x="3" s="1"/>
        <n x="6" s="1"/>
        <n x="68"/>
        <n x="71"/>
        <n x="62"/>
      </t>
    </mdx>
    <mdx n="0" f="v">
      <t c="8">
        <n x="4" s="1"/>
        <n x="7" s="1"/>
        <n x="67" s="1"/>
        <n x="3" s="1"/>
        <n x="6" s="1"/>
        <n x="68"/>
        <n x="71"/>
        <n x="63"/>
      </t>
    </mdx>
    <mdx n="0" f="v">
      <t c="8">
        <n x="4" s="1"/>
        <n x="7" s="1"/>
        <n x="67" s="1"/>
        <n x="3" s="1"/>
        <n x="6" s="1"/>
        <n x="68"/>
        <n x="71"/>
        <n x="64"/>
      </t>
    </mdx>
    <mdx n="0" f="v">
      <t c="8">
        <n x="4" s="1"/>
        <n x="7" s="1"/>
        <n x="67" s="1"/>
        <n x="3" s="1"/>
        <n x="6" s="1"/>
        <n x="68"/>
        <n x="71"/>
        <n x="65"/>
      </t>
    </mdx>
    <mdx n="0" f="v">
      <t c="8">
        <n x="4" s="1"/>
        <n x="7" s="1"/>
        <n x="67" s="1"/>
        <n x="3" s="1"/>
        <n x="6" s="1"/>
        <n x="68"/>
        <n x="71"/>
        <n x="66"/>
      </t>
    </mdx>
    <mdx n="0" f="m">
      <t c="1">
        <n x="72"/>
      </t>
    </mdx>
    <mdx n="0" f="v">
      <t c="8">
        <n x="4" s="1"/>
        <n x="7" s="1"/>
        <n x="67" s="1"/>
        <n x="3" s="1"/>
        <n x="6" s="1"/>
        <n x="68"/>
        <n x="72"/>
        <n x="8"/>
      </t>
    </mdx>
    <mdx n="0" f="v">
      <t c="8">
        <n x="4" s="1"/>
        <n x="7" s="1"/>
        <n x="67" s="1"/>
        <n x="3" s="1"/>
        <n x="6" s="1"/>
        <n x="68"/>
        <n x="72"/>
        <n x="9"/>
      </t>
    </mdx>
    <mdx n="0" f="v">
      <t c="8">
        <n x="4" s="1"/>
        <n x="7" s="1"/>
        <n x="67" s="1"/>
        <n x="3" s="1"/>
        <n x="6" s="1"/>
        <n x="68"/>
        <n x="72"/>
        <n x="10"/>
      </t>
    </mdx>
    <mdx n="0" f="v">
      <t c="8">
        <n x="4" s="1"/>
        <n x="7" s="1"/>
        <n x="67" s="1"/>
        <n x="3" s="1"/>
        <n x="6" s="1"/>
        <n x="68"/>
        <n x="72"/>
        <n x="11"/>
      </t>
    </mdx>
    <mdx n="0" f="v">
      <t c="8">
        <n x="4" s="1"/>
        <n x="7" s="1"/>
        <n x="67" s="1"/>
        <n x="3" s="1"/>
        <n x="6" s="1"/>
        <n x="68"/>
        <n x="72"/>
        <n x="12"/>
      </t>
    </mdx>
    <mdx n="0" f="v">
      <t c="8">
        <n x="4" s="1"/>
        <n x="7" s="1"/>
        <n x="67" s="1"/>
        <n x="3" s="1"/>
        <n x="6" s="1"/>
        <n x="68"/>
        <n x="72"/>
        <n x="13"/>
      </t>
    </mdx>
    <mdx n="0" f="v">
      <t c="8">
        <n x="4" s="1"/>
        <n x="7" s="1"/>
        <n x="67" s="1"/>
        <n x="3" s="1"/>
        <n x="6" s="1"/>
        <n x="68"/>
        <n x="72"/>
        <n x="14"/>
      </t>
    </mdx>
    <mdx n="0" f="v">
      <t c="8">
        <n x="4" s="1"/>
        <n x="7" s="1"/>
        <n x="67" s="1"/>
        <n x="3" s="1"/>
        <n x="6" s="1"/>
        <n x="68"/>
        <n x="72"/>
        <n x="15"/>
      </t>
    </mdx>
    <mdx n="0" f="v">
      <t c="8">
        <n x="4" s="1"/>
        <n x="7" s="1"/>
        <n x="67" s="1"/>
        <n x="3" s="1"/>
        <n x="6" s="1"/>
        <n x="68"/>
        <n x="72"/>
        <n x="16"/>
      </t>
    </mdx>
    <mdx n="0" f="v">
      <t c="8">
        <n x="4" s="1"/>
        <n x="7" s="1"/>
        <n x="67" s="1"/>
        <n x="3" s="1"/>
        <n x="6" s="1"/>
        <n x="68"/>
        <n x="72"/>
        <n x="17"/>
      </t>
    </mdx>
    <mdx n="0" f="v">
      <t c="8">
        <n x="4" s="1"/>
        <n x="7" s="1"/>
        <n x="67" s="1"/>
        <n x="3" s="1"/>
        <n x="6" s="1"/>
        <n x="68"/>
        <n x="72"/>
        <n x="18"/>
      </t>
    </mdx>
    <mdx n="0" f="v">
      <t c="8">
        <n x="4" s="1"/>
        <n x="7" s="1"/>
        <n x="67" s="1"/>
        <n x="3" s="1"/>
        <n x="6" s="1"/>
        <n x="68"/>
        <n x="72"/>
        <n x="19"/>
      </t>
    </mdx>
    <mdx n="0" f="v">
      <t c="8">
        <n x="4" s="1"/>
        <n x="7" s="1"/>
        <n x="67" s="1"/>
        <n x="3" s="1"/>
        <n x="6" s="1"/>
        <n x="68"/>
        <n x="72"/>
        <n x="20"/>
      </t>
    </mdx>
    <mdx n="0" f="v">
      <t c="8">
        <n x="4" s="1"/>
        <n x="7" s="1"/>
        <n x="67" s="1"/>
        <n x="3" s="1"/>
        <n x="6" s="1"/>
        <n x="68"/>
        <n x="72"/>
        <n x="21"/>
      </t>
    </mdx>
    <mdx n="0" f="v">
      <t c="8">
        <n x="4" s="1"/>
        <n x="7" s="1"/>
        <n x="67" s="1"/>
        <n x="3" s="1"/>
        <n x="6" s="1"/>
        <n x="68"/>
        <n x="72"/>
        <n x="22"/>
      </t>
    </mdx>
    <mdx n="0" f="v">
      <t c="8">
        <n x="4" s="1"/>
        <n x="7" s="1"/>
        <n x="67" s="1"/>
        <n x="3" s="1"/>
        <n x="6" s="1"/>
        <n x="68"/>
        <n x="72"/>
        <n x="23"/>
      </t>
    </mdx>
    <mdx n="0" f="v">
      <t c="8">
        <n x="4" s="1"/>
        <n x="7" s="1"/>
        <n x="67" s="1"/>
        <n x="3" s="1"/>
        <n x="6" s="1"/>
        <n x="68"/>
        <n x="72"/>
        <n x="24"/>
      </t>
    </mdx>
    <mdx n="0" f="v">
      <t c="8">
        <n x="4" s="1"/>
        <n x="7" s="1"/>
        <n x="67" s="1"/>
        <n x="3" s="1"/>
        <n x="6" s="1"/>
        <n x="68"/>
        <n x="72"/>
        <n x="25"/>
      </t>
    </mdx>
    <mdx n="0" f="v">
      <t c="8">
        <n x="4" s="1"/>
        <n x="7" s="1"/>
        <n x="67" s="1"/>
        <n x="3" s="1"/>
        <n x="6" s="1"/>
        <n x="68"/>
        <n x="72"/>
        <n x="26"/>
      </t>
    </mdx>
    <mdx n="0" f="v">
      <t c="8">
        <n x="4" s="1"/>
        <n x="7" s="1"/>
        <n x="67" s="1"/>
        <n x="3" s="1"/>
        <n x="6" s="1"/>
        <n x="68"/>
        <n x="72"/>
        <n x="27"/>
      </t>
    </mdx>
    <mdx n="0" f="v">
      <t c="8">
        <n x="4" s="1"/>
        <n x="7" s="1"/>
        <n x="67" s="1"/>
        <n x="3" s="1"/>
        <n x="6" s="1"/>
        <n x="68"/>
        <n x="72"/>
        <n x="28"/>
      </t>
    </mdx>
    <mdx n="0" f="v">
      <t c="8">
        <n x="4" s="1"/>
        <n x="7" s="1"/>
        <n x="67" s="1"/>
        <n x="3" s="1"/>
        <n x="6" s="1"/>
        <n x="68"/>
        <n x="72"/>
        <n x="29"/>
      </t>
    </mdx>
    <mdx n="0" f="v">
      <t c="8">
        <n x="4" s="1"/>
        <n x="7" s="1"/>
        <n x="67" s="1"/>
        <n x="3" s="1"/>
        <n x="6" s="1"/>
        <n x="68"/>
        <n x="72"/>
        <n x="30"/>
      </t>
    </mdx>
    <mdx n="0" f="v">
      <t c="8">
        <n x="4" s="1"/>
        <n x="7" s="1"/>
        <n x="67" s="1"/>
        <n x="3" s="1"/>
        <n x="6" s="1"/>
        <n x="68"/>
        <n x="72"/>
        <n x="31"/>
      </t>
    </mdx>
    <mdx n="0" f="v">
      <t c="8">
        <n x="4" s="1"/>
        <n x="7" s="1"/>
        <n x="67" s="1"/>
        <n x="3" s="1"/>
        <n x="6" s="1"/>
        <n x="68"/>
        <n x="72"/>
        <n x="32"/>
      </t>
    </mdx>
    <mdx n="0" f="v">
      <t c="8">
        <n x="4" s="1"/>
        <n x="7" s="1"/>
        <n x="67" s="1"/>
        <n x="3" s="1"/>
        <n x="6" s="1"/>
        <n x="68"/>
        <n x="72"/>
        <n x="33"/>
      </t>
    </mdx>
    <mdx n="0" f="v">
      <t c="8">
        <n x="4" s="1"/>
        <n x="7" s="1"/>
        <n x="67" s="1"/>
        <n x="3" s="1"/>
        <n x="6" s="1"/>
        <n x="68"/>
        <n x="72"/>
        <n x="34"/>
      </t>
    </mdx>
    <mdx n="0" f="v">
      <t c="8">
        <n x="4" s="1"/>
        <n x="7" s="1"/>
        <n x="67" s="1"/>
        <n x="3" s="1"/>
        <n x="6" s="1"/>
        <n x="68"/>
        <n x="72"/>
        <n x="35"/>
      </t>
    </mdx>
    <mdx n="0" f="v">
      <t c="8">
        <n x="4" s="1"/>
        <n x="7" s="1"/>
        <n x="67" s="1"/>
        <n x="3" s="1"/>
        <n x="6" s="1"/>
        <n x="68"/>
        <n x="72"/>
        <n x="36"/>
      </t>
    </mdx>
    <mdx n="0" f="v">
      <t c="8">
        <n x="4" s="1"/>
        <n x="7" s="1"/>
        <n x="67" s="1"/>
        <n x="3" s="1"/>
        <n x="6" s="1"/>
        <n x="68"/>
        <n x="72"/>
        <n x="37"/>
      </t>
    </mdx>
    <mdx n="0" f="v">
      <t c="8">
        <n x="4" s="1"/>
        <n x="7" s="1"/>
        <n x="67" s="1"/>
        <n x="3" s="1"/>
        <n x="6" s="1"/>
        <n x="68"/>
        <n x="72"/>
        <n x="38"/>
      </t>
    </mdx>
    <mdx n="0" f="v">
      <t c="8">
        <n x="4" s="1"/>
        <n x="7" s="1"/>
        <n x="67" s="1"/>
        <n x="3" s="1"/>
        <n x="6" s="1"/>
        <n x="68"/>
        <n x="72"/>
        <n x="39"/>
      </t>
    </mdx>
    <mdx n="0" f="v">
      <t c="8">
        <n x="4" s="1"/>
        <n x="7" s="1"/>
        <n x="67" s="1"/>
        <n x="3" s="1"/>
        <n x="6" s="1"/>
        <n x="68"/>
        <n x="72"/>
        <n x="40"/>
      </t>
    </mdx>
    <mdx n="0" f="v">
      <t c="8">
        <n x="4" s="1"/>
        <n x="7" s="1"/>
        <n x="67" s="1"/>
        <n x="3" s="1"/>
        <n x="6" s="1"/>
        <n x="68"/>
        <n x="72"/>
        <n x="41"/>
      </t>
    </mdx>
    <mdx n="0" f="v">
      <t c="8">
        <n x="4" s="1"/>
        <n x="7" s="1"/>
        <n x="67" s="1"/>
        <n x="3" s="1"/>
        <n x="6" s="1"/>
        <n x="68"/>
        <n x="72"/>
        <n x="42"/>
      </t>
    </mdx>
    <mdx n="0" f="v">
      <t c="8">
        <n x="4" s="1"/>
        <n x="7" s="1"/>
        <n x="67" s="1"/>
        <n x="3" s="1"/>
        <n x="6" s="1"/>
        <n x="68"/>
        <n x="72"/>
        <n x="43"/>
      </t>
    </mdx>
    <mdx n="0" f="v">
      <t c="8">
        <n x="4" s="1"/>
        <n x="7" s="1"/>
        <n x="67" s="1"/>
        <n x="3" s="1"/>
        <n x="6" s="1"/>
        <n x="68"/>
        <n x="72"/>
        <n x="44"/>
      </t>
    </mdx>
    <mdx n="0" f="v">
      <t c="8">
        <n x="4" s="1"/>
        <n x="7" s="1"/>
        <n x="67" s="1"/>
        <n x="3" s="1"/>
        <n x="6" s="1"/>
        <n x="68"/>
        <n x="72"/>
        <n x="45"/>
      </t>
    </mdx>
    <mdx n="0" f="v">
      <t c="8">
        <n x="4" s="1"/>
        <n x="7" s="1"/>
        <n x="67" s="1"/>
        <n x="3" s="1"/>
        <n x="6" s="1"/>
        <n x="68"/>
        <n x="72"/>
        <n x="46"/>
      </t>
    </mdx>
    <mdx n="0" f="v">
      <t c="8">
        <n x="4" s="1"/>
        <n x="7" s="1"/>
        <n x="67" s="1"/>
        <n x="3" s="1"/>
        <n x="6" s="1"/>
        <n x="68"/>
        <n x="72"/>
        <n x="47"/>
      </t>
    </mdx>
    <mdx n="0" f="v">
      <t c="8">
        <n x="4" s="1"/>
        <n x="7" s="1"/>
        <n x="67" s="1"/>
        <n x="3" s="1"/>
        <n x="6" s="1"/>
        <n x="68"/>
        <n x="72"/>
        <n x="48"/>
      </t>
    </mdx>
    <mdx n="0" f="v">
      <t c="8">
        <n x="4" s="1"/>
        <n x="7" s="1"/>
        <n x="67" s="1"/>
        <n x="3" s="1"/>
        <n x="6" s="1"/>
        <n x="68"/>
        <n x="72"/>
        <n x="49"/>
      </t>
    </mdx>
    <mdx n="0" f="v">
      <t c="8">
        <n x="4" s="1"/>
        <n x="7" s="1"/>
        <n x="67" s="1"/>
        <n x="3" s="1"/>
        <n x="6" s="1"/>
        <n x="68"/>
        <n x="72"/>
        <n x="50"/>
      </t>
    </mdx>
    <mdx n="0" f="v">
      <t c="8">
        <n x="4" s="1"/>
        <n x="7" s="1"/>
        <n x="67" s="1"/>
        <n x="3" s="1"/>
        <n x="6" s="1"/>
        <n x="68"/>
        <n x="72"/>
        <n x="51"/>
      </t>
    </mdx>
    <mdx n="0" f="v">
      <t c="8">
        <n x="4" s="1"/>
        <n x="7" s="1"/>
        <n x="67" s="1"/>
        <n x="3" s="1"/>
        <n x="6" s="1"/>
        <n x="68"/>
        <n x="72"/>
        <n x="52"/>
      </t>
    </mdx>
    <mdx n="0" f="v">
      <t c="8">
        <n x="4" s="1"/>
        <n x="7" s="1"/>
        <n x="67" s="1"/>
        <n x="3" s="1"/>
        <n x="6" s="1"/>
        <n x="68"/>
        <n x="72"/>
        <n x="53"/>
      </t>
    </mdx>
    <mdx n="0" f="v">
      <t c="8">
        <n x="4" s="1"/>
        <n x="7" s="1"/>
        <n x="67" s="1"/>
        <n x="3" s="1"/>
        <n x="6" s="1"/>
        <n x="68"/>
        <n x="72"/>
        <n x="54"/>
      </t>
    </mdx>
    <mdx n="0" f="v">
      <t c="8">
        <n x="4" s="1"/>
        <n x="7" s="1"/>
        <n x="67" s="1"/>
        <n x="3" s="1"/>
        <n x="6" s="1"/>
        <n x="68"/>
        <n x="72"/>
        <n x="55"/>
      </t>
    </mdx>
    <mdx n="0" f="v">
      <t c="8">
        <n x="4" s="1"/>
        <n x="7" s="1"/>
        <n x="67" s="1"/>
        <n x="3" s="1"/>
        <n x="6" s="1"/>
        <n x="68"/>
        <n x="72"/>
        <n x="56"/>
      </t>
    </mdx>
    <mdx n="0" f="v">
      <t c="8">
        <n x="4" s="1"/>
        <n x="7" s="1"/>
        <n x="67" s="1"/>
        <n x="3" s="1"/>
        <n x="6" s="1"/>
        <n x="68"/>
        <n x="72"/>
        <n x="57"/>
      </t>
    </mdx>
    <mdx n="0" f="v">
      <t c="8">
        <n x="4" s="1"/>
        <n x="7" s="1"/>
        <n x="67" s="1"/>
        <n x="3" s="1"/>
        <n x="6" s="1"/>
        <n x="68"/>
        <n x="72"/>
        <n x="58"/>
      </t>
    </mdx>
    <mdx n="0" f="v">
      <t c="8">
        <n x="4" s="1"/>
        <n x="7" s="1"/>
        <n x="67" s="1"/>
        <n x="3" s="1"/>
        <n x="6" s="1"/>
        <n x="68"/>
        <n x="72"/>
        <n x="59"/>
      </t>
    </mdx>
    <mdx n="0" f="v">
      <t c="8">
        <n x="4" s="1"/>
        <n x="7" s="1"/>
        <n x="67" s="1"/>
        <n x="3" s="1"/>
        <n x="6" s="1"/>
        <n x="68"/>
        <n x="72"/>
        <n x="60"/>
      </t>
    </mdx>
    <mdx n="0" f="v">
      <t c="8">
        <n x="4" s="1"/>
        <n x="7" s="1"/>
        <n x="67" s="1"/>
        <n x="3" s="1"/>
        <n x="6" s="1"/>
        <n x="68"/>
        <n x="72"/>
        <n x="61"/>
      </t>
    </mdx>
    <mdx n="0" f="v">
      <t c="8">
        <n x="4" s="1"/>
        <n x="7" s="1"/>
        <n x="67" s="1"/>
        <n x="3" s="1"/>
        <n x="6" s="1"/>
        <n x="68"/>
        <n x="72"/>
        <n x="62"/>
      </t>
    </mdx>
    <mdx n="0" f="v">
      <t c="8">
        <n x="4" s="1"/>
        <n x="7" s="1"/>
        <n x="67" s="1"/>
        <n x="3" s="1"/>
        <n x="6" s="1"/>
        <n x="68"/>
        <n x="72"/>
        <n x="63"/>
      </t>
    </mdx>
    <mdx n="0" f="v">
      <t c="8">
        <n x="4" s="1"/>
        <n x="7" s="1"/>
        <n x="67" s="1"/>
        <n x="3" s="1"/>
        <n x="6" s="1"/>
        <n x="68"/>
        <n x="72"/>
        <n x="64"/>
      </t>
    </mdx>
    <mdx n="0" f="v">
      <t c="8">
        <n x="4" s="1"/>
        <n x="7" s="1"/>
        <n x="67" s="1"/>
        <n x="3" s="1"/>
        <n x="6" s="1"/>
        <n x="68"/>
        <n x="72"/>
        <n x="65"/>
      </t>
    </mdx>
    <mdx n="0" f="v">
      <t c="8">
        <n x="4" s="1"/>
        <n x="7" s="1"/>
        <n x="67" s="1"/>
        <n x="3" s="1"/>
        <n x="6" s="1"/>
        <n x="68"/>
        <n x="72"/>
        <n x="66"/>
      </t>
    </mdx>
    <mdx n="0" f="m">
      <t c="1">
        <n x="73"/>
      </t>
    </mdx>
    <mdx n="0" f="v">
      <t c="8">
        <n x="4" s="1"/>
        <n x="7" s="1"/>
        <n x="67" s="1"/>
        <n x="3" s="1"/>
        <n x="6" s="1"/>
        <n x="68"/>
        <n x="73"/>
        <n x="8"/>
      </t>
    </mdx>
    <mdx n="0" f="v">
      <t c="8">
        <n x="4" s="1"/>
        <n x="7" s="1"/>
        <n x="67" s="1"/>
        <n x="3" s="1"/>
        <n x="6" s="1"/>
        <n x="68"/>
        <n x="73"/>
        <n x="9"/>
      </t>
    </mdx>
    <mdx n="0" f="v">
      <t c="8">
        <n x="4" s="1"/>
        <n x="7" s="1"/>
        <n x="67" s="1"/>
        <n x="3" s="1"/>
        <n x="6" s="1"/>
        <n x="68"/>
        <n x="73"/>
        <n x="10"/>
      </t>
    </mdx>
    <mdx n="0" f="v">
      <t c="8">
        <n x="4" s="1"/>
        <n x="7" s="1"/>
        <n x="67" s="1"/>
        <n x="3" s="1"/>
        <n x="6" s="1"/>
        <n x="68"/>
        <n x="73"/>
        <n x="11"/>
      </t>
    </mdx>
    <mdx n="0" f="v">
      <t c="8">
        <n x="4" s="1"/>
        <n x="7" s="1"/>
        <n x="67" s="1"/>
        <n x="3" s="1"/>
        <n x="6" s="1"/>
        <n x="68"/>
        <n x="73"/>
        <n x="12"/>
      </t>
    </mdx>
    <mdx n="0" f="v">
      <t c="8">
        <n x="4" s="1"/>
        <n x="7" s="1"/>
        <n x="67" s="1"/>
        <n x="3" s="1"/>
        <n x="6" s="1"/>
        <n x="68"/>
        <n x="73"/>
        <n x="13"/>
      </t>
    </mdx>
    <mdx n="0" f="v">
      <t c="8">
        <n x="4" s="1"/>
        <n x="7" s="1"/>
        <n x="67" s="1"/>
        <n x="3" s="1"/>
        <n x="6" s="1"/>
        <n x="68"/>
        <n x="73"/>
        <n x="14"/>
      </t>
    </mdx>
    <mdx n="0" f="v">
      <t c="8">
        <n x="4" s="1"/>
        <n x="7" s="1"/>
        <n x="67" s="1"/>
        <n x="3" s="1"/>
        <n x="6" s="1"/>
        <n x="68"/>
        <n x="73"/>
        <n x="15"/>
      </t>
    </mdx>
    <mdx n="0" f="v">
      <t c="8">
        <n x="4" s="1"/>
        <n x="7" s="1"/>
        <n x="67" s="1"/>
        <n x="3" s="1"/>
        <n x="6" s="1"/>
        <n x="68"/>
        <n x="73"/>
        <n x="16"/>
      </t>
    </mdx>
    <mdx n="0" f="v">
      <t c="8">
        <n x="4" s="1"/>
        <n x="7" s="1"/>
        <n x="67" s="1"/>
        <n x="3" s="1"/>
        <n x="6" s="1"/>
        <n x="68"/>
        <n x="73"/>
        <n x="17"/>
      </t>
    </mdx>
    <mdx n="0" f="v">
      <t c="8">
        <n x="4" s="1"/>
        <n x="7" s="1"/>
        <n x="67" s="1"/>
        <n x="3" s="1"/>
        <n x="6" s="1"/>
        <n x="68"/>
        <n x="73"/>
        <n x="18"/>
      </t>
    </mdx>
    <mdx n="0" f="v">
      <t c="8">
        <n x="4" s="1"/>
        <n x="7" s="1"/>
        <n x="67" s="1"/>
        <n x="3" s="1"/>
        <n x="6" s="1"/>
        <n x="68"/>
        <n x="73"/>
        <n x="19"/>
      </t>
    </mdx>
    <mdx n="0" f="v">
      <t c="8">
        <n x="4" s="1"/>
        <n x="7" s="1"/>
        <n x="67" s="1"/>
        <n x="3" s="1"/>
        <n x="6" s="1"/>
        <n x="68"/>
        <n x="73"/>
        <n x="20"/>
      </t>
    </mdx>
    <mdx n="0" f="v">
      <t c="8">
        <n x="4" s="1"/>
        <n x="7" s="1"/>
        <n x="67" s="1"/>
        <n x="3" s="1"/>
        <n x="6" s="1"/>
        <n x="68"/>
        <n x="73"/>
        <n x="21"/>
      </t>
    </mdx>
    <mdx n="0" f="v">
      <t c="8">
        <n x="4" s="1"/>
        <n x="7" s="1"/>
        <n x="67" s="1"/>
        <n x="3" s="1"/>
        <n x="6" s="1"/>
        <n x="68"/>
        <n x="73"/>
        <n x="22"/>
      </t>
    </mdx>
    <mdx n="0" f="v">
      <t c="8">
        <n x="4" s="1"/>
        <n x="7" s="1"/>
        <n x="67" s="1"/>
        <n x="3" s="1"/>
        <n x="6" s="1"/>
        <n x="68"/>
        <n x="73"/>
        <n x="23"/>
      </t>
    </mdx>
    <mdx n="0" f="v">
      <t c="8">
        <n x="4" s="1"/>
        <n x="7" s="1"/>
        <n x="67" s="1"/>
        <n x="3" s="1"/>
        <n x="6" s="1"/>
        <n x="68"/>
        <n x="73"/>
        <n x="24"/>
      </t>
    </mdx>
    <mdx n="0" f="v">
      <t c="8">
        <n x="4" s="1"/>
        <n x="7" s="1"/>
        <n x="67" s="1"/>
        <n x="3" s="1"/>
        <n x="6" s="1"/>
        <n x="68"/>
        <n x="73"/>
        <n x="25"/>
      </t>
    </mdx>
    <mdx n="0" f="v">
      <t c="8">
        <n x="4" s="1"/>
        <n x="7" s="1"/>
        <n x="67" s="1"/>
        <n x="3" s="1"/>
        <n x="6" s="1"/>
        <n x="68"/>
        <n x="73"/>
        <n x="26"/>
      </t>
    </mdx>
    <mdx n="0" f="v">
      <t c="8">
        <n x="4" s="1"/>
        <n x="7" s="1"/>
        <n x="67" s="1"/>
        <n x="3" s="1"/>
        <n x="6" s="1"/>
        <n x="68"/>
        <n x="73"/>
        <n x="27"/>
      </t>
    </mdx>
    <mdx n="0" f="v">
      <t c="8">
        <n x="4" s="1"/>
        <n x="7" s="1"/>
        <n x="67" s="1"/>
        <n x="3" s="1"/>
        <n x="6" s="1"/>
        <n x="68"/>
        <n x="73"/>
        <n x="28"/>
      </t>
    </mdx>
    <mdx n="0" f="v">
      <t c="8">
        <n x="4" s="1"/>
        <n x="7" s="1"/>
        <n x="67" s="1"/>
        <n x="3" s="1"/>
        <n x="6" s="1"/>
        <n x="68"/>
        <n x="73"/>
        <n x="29"/>
      </t>
    </mdx>
    <mdx n="0" f="v">
      <t c="8">
        <n x="4" s="1"/>
        <n x="7" s="1"/>
        <n x="67" s="1"/>
        <n x="3" s="1"/>
        <n x="6" s="1"/>
        <n x="68"/>
        <n x="73"/>
        <n x="30"/>
      </t>
    </mdx>
    <mdx n="0" f="v">
      <t c="8">
        <n x="4" s="1"/>
        <n x="7" s="1"/>
        <n x="67" s="1"/>
        <n x="3" s="1"/>
        <n x="6" s="1"/>
        <n x="68"/>
        <n x="73"/>
        <n x="31"/>
      </t>
    </mdx>
    <mdx n="0" f="v">
      <t c="8">
        <n x="4" s="1"/>
        <n x="7" s="1"/>
        <n x="67" s="1"/>
        <n x="3" s="1"/>
        <n x="6" s="1"/>
        <n x="68"/>
        <n x="73"/>
        <n x="32"/>
      </t>
    </mdx>
    <mdx n="0" f="v">
      <t c="8">
        <n x="4" s="1"/>
        <n x="7" s="1"/>
        <n x="67" s="1"/>
        <n x="3" s="1"/>
        <n x="6" s="1"/>
        <n x="68"/>
        <n x="73"/>
        <n x="33"/>
      </t>
    </mdx>
    <mdx n="0" f="v">
      <t c="8">
        <n x="4" s="1"/>
        <n x="7" s="1"/>
        <n x="67" s="1"/>
        <n x="3" s="1"/>
        <n x="6" s="1"/>
        <n x="68"/>
        <n x="73"/>
        <n x="34"/>
      </t>
    </mdx>
    <mdx n="0" f="v">
      <t c="8">
        <n x="4" s="1"/>
        <n x="7" s="1"/>
        <n x="67" s="1"/>
        <n x="3" s="1"/>
        <n x="6" s="1"/>
        <n x="68"/>
        <n x="73"/>
        <n x="35"/>
      </t>
    </mdx>
    <mdx n="0" f="v">
      <t c="8">
        <n x="4" s="1"/>
        <n x="7" s="1"/>
        <n x="67" s="1"/>
        <n x="3" s="1"/>
        <n x="6" s="1"/>
        <n x="68"/>
        <n x="73"/>
        <n x="36"/>
      </t>
    </mdx>
    <mdx n="0" f="v">
      <t c="8">
        <n x="4" s="1"/>
        <n x="7" s="1"/>
        <n x="67" s="1"/>
        <n x="3" s="1"/>
        <n x="6" s="1"/>
        <n x="68"/>
        <n x="73"/>
        <n x="37"/>
      </t>
    </mdx>
    <mdx n="0" f="v">
      <t c="8">
        <n x="4" s="1"/>
        <n x="7" s="1"/>
        <n x="67" s="1"/>
        <n x="3" s="1"/>
        <n x="6" s="1"/>
        <n x="68"/>
        <n x="73"/>
        <n x="38"/>
      </t>
    </mdx>
    <mdx n="0" f="v">
      <t c="8">
        <n x="4" s="1"/>
        <n x="7" s="1"/>
        <n x="67" s="1"/>
        <n x="3" s="1"/>
        <n x="6" s="1"/>
        <n x="68"/>
        <n x="73"/>
        <n x="39"/>
      </t>
    </mdx>
    <mdx n="0" f="v">
      <t c="8">
        <n x="4" s="1"/>
        <n x="7" s="1"/>
        <n x="67" s="1"/>
        <n x="3" s="1"/>
        <n x="6" s="1"/>
        <n x="68"/>
        <n x="73"/>
        <n x="40"/>
      </t>
    </mdx>
    <mdx n="0" f="v">
      <t c="8">
        <n x="4" s="1"/>
        <n x="7" s="1"/>
        <n x="67" s="1"/>
        <n x="3" s="1"/>
        <n x="6" s="1"/>
        <n x="68"/>
        <n x="73"/>
        <n x="41"/>
      </t>
    </mdx>
    <mdx n="0" f="v">
      <t c="8">
        <n x="4" s="1"/>
        <n x="7" s="1"/>
        <n x="67" s="1"/>
        <n x="3" s="1"/>
        <n x="6" s="1"/>
        <n x="68"/>
        <n x="73"/>
        <n x="42"/>
      </t>
    </mdx>
    <mdx n="0" f="v">
      <t c="8">
        <n x="4" s="1"/>
        <n x="7" s="1"/>
        <n x="67" s="1"/>
        <n x="3" s="1"/>
        <n x="6" s="1"/>
        <n x="68"/>
        <n x="73"/>
        <n x="43"/>
      </t>
    </mdx>
    <mdx n="0" f="v">
      <t c="8">
        <n x="4" s="1"/>
        <n x="7" s="1"/>
        <n x="67" s="1"/>
        <n x="3" s="1"/>
        <n x="6" s="1"/>
        <n x="68"/>
        <n x="73"/>
        <n x="44"/>
      </t>
    </mdx>
    <mdx n="0" f="v">
      <t c="8">
        <n x="4" s="1"/>
        <n x="7" s="1"/>
        <n x="67" s="1"/>
        <n x="3" s="1"/>
        <n x="6" s="1"/>
        <n x="68"/>
        <n x="73"/>
        <n x="45"/>
      </t>
    </mdx>
    <mdx n="0" f="v">
      <t c="8">
        <n x="4" s="1"/>
        <n x="7" s="1"/>
        <n x="67" s="1"/>
        <n x="3" s="1"/>
        <n x="6" s="1"/>
        <n x="68"/>
        <n x="73"/>
        <n x="46"/>
      </t>
    </mdx>
    <mdx n="0" f="v">
      <t c="8">
        <n x="4" s="1"/>
        <n x="7" s="1"/>
        <n x="67" s="1"/>
        <n x="3" s="1"/>
        <n x="6" s="1"/>
        <n x="68"/>
        <n x="73"/>
        <n x="47"/>
      </t>
    </mdx>
    <mdx n="0" f="v">
      <t c="8">
        <n x="4" s="1"/>
        <n x="7" s="1"/>
        <n x="67" s="1"/>
        <n x="3" s="1"/>
        <n x="6" s="1"/>
        <n x="68"/>
        <n x="73"/>
        <n x="48"/>
      </t>
    </mdx>
    <mdx n="0" f="v">
      <t c="8">
        <n x="4" s="1"/>
        <n x="7" s="1"/>
        <n x="67" s="1"/>
        <n x="3" s="1"/>
        <n x="6" s="1"/>
        <n x="68"/>
        <n x="73"/>
        <n x="49"/>
      </t>
    </mdx>
    <mdx n="0" f="v">
      <t c="8">
        <n x="4" s="1"/>
        <n x="7" s="1"/>
        <n x="67" s="1"/>
        <n x="3" s="1"/>
        <n x="6" s="1"/>
        <n x="68"/>
        <n x="73"/>
        <n x="50"/>
      </t>
    </mdx>
    <mdx n="0" f="v">
      <t c="8">
        <n x="4" s="1"/>
        <n x="7" s="1"/>
        <n x="67" s="1"/>
        <n x="3" s="1"/>
        <n x="6" s="1"/>
        <n x="68"/>
        <n x="73"/>
        <n x="51"/>
      </t>
    </mdx>
    <mdx n="0" f="v">
      <t c="8">
        <n x="4" s="1"/>
        <n x="7" s="1"/>
        <n x="67" s="1"/>
        <n x="3" s="1"/>
        <n x="6" s="1"/>
        <n x="68"/>
        <n x="73"/>
        <n x="52"/>
      </t>
    </mdx>
    <mdx n="0" f="v">
      <t c="8">
        <n x="4" s="1"/>
        <n x="7" s="1"/>
        <n x="67" s="1"/>
        <n x="3" s="1"/>
        <n x="6" s="1"/>
        <n x="68"/>
        <n x="73"/>
        <n x="53"/>
      </t>
    </mdx>
    <mdx n="0" f="v">
      <t c="8">
        <n x="4" s="1"/>
        <n x="7" s="1"/>
        <n x="67" s="1"/>
        <n x="3" s="1"/>
        <n x="6" s="1"/>
        <n x="68"/>
        <n x="73"/>
        <n x="54"/>
      </t>
    </mdx>
    <mdx n="0" f="v">
      <t c="8">
        <n x="4" s="1"/>
        <n x="7" s="1"/>
        <n x="67" s="1"/>
        <n x="3" s="1"/>
        <n x="6" s="1"/>
        <n x="68"/>
        <n x="73"/>
        <n x="55"/>
      </t>
    </mdx>
    <mdx n="0" f="v">
      <t c="8">
        <n x="4" s="1"/>
        <n x="7" s="1"/>
        <n x="67" s="1"/>
        <n x="3" s="1"/>
        <n x="6" s="1"/>
        <n x="68"/>
        <n x="73"/>
        <n x="56"/>
      </t>
    </mdx>
    <mdx n="0" f="v">
      <t c="8">
        <n x="4" s="1"/>
        <n x="7" s="1"/>
        <n x="67" s="1"/>
        <n x="3" s="1"/>
        <n x="6" s="1"/>
        <n x="68"/>
        <n x="73"/>
        <n x="57"/>
      </t>
    </mdx>
    <mdx n="0" f="v">
      <t c="8">
        <n x="4" s="1"/>
        <n x="7" s="1"/>
        <n x="67" s="1"/>
        <n x="3" s="1"/>
        <n x="6" s="1"/>
        <n x="68"/>
        <n x="73"/>
        <n x="58"/>
      </t>
    </mdx>
    <mdx n="0" f="v">
      <t c="8">
        <n x="4" s="1"/>
        <n x="7" s="1"/>
        <n x="67" s="1"/>
        <n x="3" s="1"/>
        <n x="6" s="1"/>
        <n x="68"/>
        <n x="73"/>
        <n x="59"/>
      </t>
    </mdx>
    <mdx n="0" f="v">
      <t c="8">
        <n x="4" s="1"/>
        <n x="7" s="1"/>
        <n x="67" s="1"/>
        <n x="3" s="1"/>
        <n x="6" s="1"/>
        <n x="68"/>
        <n x="73"/>
        <n x="60"/>
      </t>
    </mdx>
    <mdx n="0" f="v">
      <t c="8">
        <n x="4" s="1"/>
        <n x="7" s="1"/>
        <n x="67" s="1"/>
        <n x="3" s="1"/>
        <n x="6" s="1"/>
        <n x="68"/>
        <n x="73"/>
        <n x="61"/>
      </t>
    </mdx>
    <mdx n="0" f="v">
      <t c="8">
        <n x="4" s="1"/>
        <n x="7" s="1"/>
        <n x="67" s="1"/>
        <n x="3" s="1"/>
        <n x="6" s="1"/>
        <n x="68"/>
        <n x="73"/>
        <n x="62"/>
      </t>
    </mdx>
    <mdx n="0" f="v">
      <t c="8">
        <n x="4" s="1"/>
        <n x="7" s="1"/>
        <n x="67" s="1"/>
        <n x="3" s="1"/>
        <n x="6" s="1"/>
        <n x="68"/>
        <n x="73"/>
        <n x="63"/>
      </t>
    </mdx>
    <mdx n="0" f="v">
      <t c="8">
        <n x="4" s="1"/>
        <n x="7" s="1"/>
        <n x="67" s="1"/>
        <n x="3" s="1"/>
        <n x="6" s="1"/>
        <n x="68"/>
        <n x="73"/>
        <n x="64"/>
      </t>
    </mdx>
    <mdx n="0" f="v">
      <t c="8">
        <n x="4" s="1"/>
        <n x="7" s="1"/>
        <n x="67" s="1"/>
        <n x="3" s="1"/>
        <n x="6" s="1"/>
        <n x="68"/>
        <n x="73"/>
        <n x="65"/>
      </t>
    </mdx>
    <mdx n="0" f="v">
      <t c="8">
        <n x="4" s="1"/>
        <n x="7" s="1"/>
        <n x="67" s="1"/>
        <n x="3" s="1"/>
        <n x="6" s="1"/>
        <n x="68"/>
        <n x="73"/>
        <n x="66"/>
      </t>
    </mdx>
    <mdx n="0" f="m">
      <t c="1">
        <n x="74"/>
      </t>
    </mdx>
    <mdx n="0" f="v">
      <t c="8">
        <n x="4" s="1"/>
        <n x="7" s="1"/>
        <n x="67" s="1"/>
        <n x="3" s="1"/>
        <n x="6" s="1"/>
        <n x="68"/>
        <n x="74"/>
        <n x="8"/>
      </t>
    </mdx>
    <mdx n="0" f="v">
      <t c="8">
        <n x="4" s="1"/>
        <n x="7" s="1"/>
        <n x="67" s="1"/>
        <n x="3" s="1"/>
        <n x="6" s="1"/>
        <n x="68"/>
        <n x="74"/>
        <n x="9"/>
      </t>
    </mdx>
    <mdx n="0" f="v">
      <t c="8">
        <n x="4" s="1"/>
        <n x="7" s="1"/>
        <n x="67" s="1"/>
        <n x="3" s="1"/>
        <n x="6" s="1"/>
        <n x="68"/>
        <n x="74"/>
        <n x="10"/>
      </t>
    </mdx>
    <mdx n="0" f="v">
      <t c="8">
        <n x="4" s="1"/>
        <n x="7" s="1"/>
        <n x="67" s="1"/>
        <n x="3" s="1"/>
        <n x="6" s="1"/>
        <n x="68"/>
        <n x="74"/>
        <n x="11"/>
      </t>
    </mdx>
    <mdx n="0" f="v">
      <t c="8">
        <n x="4" s="1"/>
        <n x="7" s="1"/>
        <n x="67" s="1"/>
        <n x="3" s="1"/>
        <n x="6" s="1"/>
        <n x="68"/>
        <n x="74"/>
        <n x="12"/>
      </t>
    </mdx>
    <mdx n="0" f="v">
      <t c="8">
        <n x="4" s="1"/>
        <n x="7" s="1"/>
        <n x="67" s="1"/>
        <n x="3" s="1"/>
        <n x="6" s="1"/>
        <n x="68"/>
        <n x="74"/>
        <n x="13"/>
      </t>
    </mdx>
    <mdx n="0" f="v">
      <t c="8">
        <n x="4" s="1"/>
        <n x="7" s="1"/>
        <n x="67" s="1"/>
        <n x="3" s="1"/>
        <n x="6" s="1"/>
        <n x="68"/>
        <n x="74"/>
        <n x="14"/>
      </t>
    </mdx>
    <mdx n="0" f="v">
      <t c="8">
        <n x="4" s="1"/>
        <n x="7" s="1"/>
        <n x="67" s="1"/>
        <n x="3" s="1"/>
        <n x="6" s="1"/>
        <n x="68"/>
        <n x="74"/>
        <n x="15"/>
      </t>
    </mdx>
    <mdx n="0" f="v">
      <t c="8">
        <n x="4" s="1"/>
        <n x="7" s="1"/>
        <n x="67" s="1"/>
        <n x="3" s="1"/>
        <n x="6" s="1"/>
        <n x="68"/>
        <n x="74"/>
        <n x="16"/>
      </t>
    </mdx>
    <mdx n="0" f="v">
      <t c="8">
        <n x="4" s="1"/>
        <n x="7" s="1"/>
        <n x="67" s="1"/>
        <n x="3" s="1"/>
        <n x="6" s="1"/>
        <n x="68"/>
        <n x="74"/>
        <n x="17"/>
      </t>
    </mdx>
    <mdx n="0" f="v">
      <t c="8">
        <n x="4" s="1"/>
        <n x="7" s="1"/>
        <n x="67" s="1"/>
        <n x="3" s="1"/>
        <n x="6" s="1"/>
        <n x="68"/>
        <n x="74"/>
        <n x="18"/>
      </t>
    </mdx>
    <mdx n="0" f="v">
      <t c="8">
        <n x="4" s="1"/>
        <n x="7" s="1"/>
        <n x="67" s="1"/>
        <n x="3" s="1"/>
        <n x="6" s="1"/>
        <n x="68"/>
        <n x="74"/>
        <n x="19"/>
      </t>
    </mdx>
    <mdx n="0" f="v">
      <t c="8">
        <n x="4" s="1"/>
        <n x="7" s="1"/>
        <n x="67" s="1"/>
        <n x="3" s="1"/>
        <n x="6" s="1"/>
        <n x="68"/>
        <n x="74"/>
        <n x="20"/>
      </t>
    </mdx>
    <mdx n="0" f="v">
      <t c="8">
        <n x="4" s="1"/>
        <n x="7" s="1"/>
        <n x="67" s="1"/>
        <n x="3" s="1"/>
        <n x="6" s="1"/>
        <n x="68"/>
        <n x="74"/>
        <n x="21"/>
      </t>
    </mdx>
    <mdx n="0" f="v">
      <t c="8">
        <n x="4" s="1"/>
        <n x="7" s="1"/>
        <n x="67" s="1"/>
        <n x="3" s="1"/>
        <n x="6" s="1"/>
        <n x="68"/>
        <n x="74"/>
        <n x="22"/>
      </t>
    </mdx>
    <mdx n="0" f="v">
      <t c="8">
        <n x="4" s="1"/>
        <n x="7" s="1"/>
        <n x="67" s="1"/>
        <n x="3" s="1"/>
        <n x="6" s="1"/>
        <n x="68"/>
        <n x="74"/>
        <n x="23"/>
      </t>
    </mdx>
    <mdx n="0" f="v">
      <t c="8">
        <n x="4" s="1"/>
        <n x="7" s="1"/>
        <n x="67" s="1"/>
        <n x="3" s="1"/>
        <n x="6" s="1"/>
        <n x="68"/>
        <n x="74"/>
        <n x="24"/>
      </t>
    </mdx>
    <mdx n="0" f="v">
      <t c="8">
        <n x="4" s="1"/>
        <n x="7" s="1"/>
        <n x="67" s="1"/>
        <n x="3" s="1"/>
        <n x="6" s="1"/>
        <n x="68"/>
        <n x="74"/>
        <n x="25"/>
      </t>
    </mdx>
    <mdx n="0" f="v">
      <t c="8">
        <n x="4" s="1"/>
        <n x="7" s="1"/>
        <n x="67" s="1"/>
        <n x="3" s="1"/>
        <n x="6" s="1"/>
        <n x="68"/>
        <n x="74"/>
        <n x="26"/>
      </t>
    </mdx>
    <mdx n="0" f="v">
      <t c="8">
        <n x="4" s="1"/>
        <n x="7" s="1"/>
        <n x="67" s="1"/>
        <n x="3" s="1"/>
        <n x="6" s="1"/>
        <n x="68"/>
        <n x="74"/>
        <n x="27"/>
      </t>
    </mdx>
    <mdx n="0" f="v">
      <t c="8">
        <n x="4" s="1"/>
        <n x="7" s="1"/>
        <n x="67" s="1"/>
        <n x="3" s="1"/>
        <n x="6" s="1"/>
        <n x="68"/>
        <n x="74"/>
        <n x="28"/>
      </t>
    </mdx>
    <mdx n="0" f="v">
      <t c="8">
        <n x="4" s="1"/>
        <n x="7" s="1"/>
        <n x="67" s="1"/>
        <n x="3" s="1"/>
        <n x="6" s="1"/>
        <n x="68"/>
        <n x="74"/>
        <n x="29"/>
      </t>
    </mdx>
    <mdx n="0" f="v">
      <t c="8">
        <n x="4" s="1"/>
        <n x="7" s="1"/>
        <n x="67" s="1"/>
        <n x="3" s="1"/>
        <n x="6" s="1"/>
        <n x="68"/>
        <n x="74"/>
        <n x="30"/>
      </t>
    </mdx>
    <mdx n="0" f="v">
      <t c="8">
        <n x="4" s="1"/>
        <n x="7" s="1"/>
        <n x="67" s="1"/>
        <n x="3" s="1"/>
        <n x="6" s="1"/>
        <n x="68"/>
        <n x="74"/>
        <n x="31"/>
      </t>
    </mdx>
    <mdx n="0" f="v">
      <t c="8">
        <n x="4" s="1"/>
        <n x="7" s="1"/>
        <n x="67" s="1"/>
        <n x="3" s="1"/>
        <n x="6" s="1"/>
        <n x="68"/>
        <n x="74"/>
        <n x="32"/>
      </t>
    </mdx>
    <mdx n="0" f="v">
      <t c="8">
        <n x="4" s="1"/>
        <n x="7" s="1"/>
        <n x="67" s="1"/>
        <n x="3" s="1"/>
        <n x="6" s="1"/>
        <n x="68"/>
        <n x="74"/>
        <n x="33"/>
      </t>
    </mdx>
    <mdx n="0" f="v">
      <t c="8">
        <n x="4" s="1"/>
        <n x="7" s="1"/>
        <n x="67" s="1"/>
        <n x="3" s="1"/>
        <n x="6" s="1"/>
        <n x="68"/>
        <n x="74"/>
        <n x="34"/>
      </t>
    </mdx>
    <mdx n="0" f="v">
      <t c="8">
        <n x="4" s="1"/>
        <n x="7" s="1"/>
        <n x="67" s="1"/>
        <n x="3" s="1"/>
        <n x="6" s="1"/>
        <n x="68"/>
        <n x="74"/>
        <n x="35"/>
      </t>
    </mdx>
    <mdx n="0" f="v">
      <t c="8">
        <n x="4" s="1"/>
        <n x="7" s="1"/>
        <n x="67" s="1"/>
        <n x="3" s="1"/>
        <n x="6" s="1"/>
        <n x="68"/>
        <n x="74"/>
        <n x="36"/>
      </t>
    </mdx>
    <mdx n="0" f="v">
      <t c="8">
        <n x="4" s="1"/>
        <n x="7" s="1"/>
        <n x="67" s="1"/>
        <n x="3" s="1"/>
        <n x="6" s="1"/>
        <n x="68"/>
        <n x="74"/>
        <n x="37"/>
      </t>
    </mdx>
    <mdx n="0" f="v">
      <t c="8">
        <n x="4" s="1"/>
        <n x="7" s="1"/>
        <n x="67" s="1"/>
        <n x="3" s="1"/>
        <n x="6" s="1"/>
        <n x="68"/>
        <n x="74"/>
        <n x="38"/>
      </t>
    </mdx>
    <mdx n="0" f="v">
      <t c="8">
        <n x="4" s="1"/>
        <n x="7" s="1"/>
        <n x="67" s="1"/>
        <n x="3" s="1"/>
        <n x="6" s="1"/>
        <n x="68"/>
        <n x="74"/>
        <n x="39"/>
      </t>
    </mdx>
    <mdx n="0" f="v">
      <t c="8">
        <n x="4" s="1"/>
        <n x="7" s="1"/>
        <n x="67" s="1"/>
        <n x="3" s="1"/>
        <n x="6" s="1"/>
        <n x="68"/>
        <n x="74"/>
        <n x="40"/>
      </t>
    </mdx>
    <mdx n="0" f="v">
      <t c="8">
        <n x="4" s="1"/>
        <n x="7" s="1"/>
        <n x="67" s="1"/>
        <n x="3" s="1"/>
        <n x="6" s="1"/>
        <n x="68"/>
        <n x="74"/>
        <n x="41"/>
      </t>
    </mdx>
    <mdx n="0" f="v">
      <t c="8">
        <n x="4" s="1"/>
        <n x="7" s="1"/>
        <n x="67" s="1"/>
        <n x="3" s="1"/>
        <n x="6" s="1"/>
        <n x="68"/>
        <n x="74"/>
        <n x="42"/>
      </t>
    </mdx>
    <mdx n="0" f="v">
      <t c="8">
        <n x="4" s="1"/>
        <n x="7" s="1"/>
        <n x="67" s="1"/>
        <n x="3" s="1"/>
        <n x="6" s="1"/>
        <n x="68"/>
        <n x="74"/>
        <n x="43"/>
      </t>
    </mdx>
    <mdx n="0" f="v">
      <t c="8">
        <n x="4" s="1"/>
        <n x="7" s="1"/>
        <n x="67" s="1"/>
        <n x="3" s="1"/>
        <n x="6" s="1"/>
        <n x="68"/>
        <n x="74"/>
        <n x="44"/>
      </t>
    </mdx>
    <mdx n="0" f="v">
      <t c="8">
        <n x="4" s="1"/>
        <n x="7" s="1"/>
        <n x="67" s="1"/>
        <n x="3" s="1"/>
        <n x="6" s="1"/>
        <n x="68"/>
        <n x="74"/>
        <n x="45"/>
      </t>
    </mdx>
    <mdx n="0" f="v">
      <t c="8">
        <n x="4" s="1"/>
        <n x="7" s="1"/>
        <n x="67" s="1"/>
        <n x="3" s="1"/>
        <n x="6" s="1"/>
        <n x="68"/>
        <n x="74"/>
        <n x="46"/>
      </t>
    </mdx>
    <mdx n="0" f="v">
      <t c="8">
        <n x="4" s="1"/>
        <n x="7" s="1"/>
        <n x="67" s="1"/>
        <n x="3" s="1"/>
        <n x="6" s="1"/>
        <n x="68"/>
        <n x="74"/>
        <n x="47"/>
      </t>
    </mdx>
    <mdx n="0" f="v">
      <t c="8">
        <n x="4" s="1"/>
        <n x="7" s="1"/>
        <n x="67" s="1"/>
        <n x="3" s="1"/>
        <n x="6" s="1"/>
        <n x="68"/>
        <n x="74"/>
        <n x="48"/>
      </t>
    </mdx>
    <mdx n="0" f="v">
      <t c="8">
        <n x="4" s="1"/>
        <n x="7" s="1"/>
        <n x="67" s="1"/>
        <n x="3" s="1"/>
        <n x="6" s="1"/>
        <n x="68"/>
        <n x="74"/>
        <n x="49"/>
      </t>
    </mdx>
    <mdx n="0" f="v">
      <t c="8">
        <n x="4" s="1"/>
        <n x="7" s="1"/>
        <n x="67" s="1"/>
        <n x="3" s="1"/>
        <n x="6" s="1"/>
        <n x="68"/>
        <n x="74"/>
        <n x="50"/>
      </t>
    </mdx>
    <mdx n="0" f="v">
      <t c="8">
        <n x="4" s="1"/>
        <n x="7" s="1"/>
        <n x="67" s="1"/>
        <n x="3" s="1"/>
        <n x="6" s="1"/>
        <n x="68"/>
        <n x="74"/>
        <n x="51"/>
      </t>
    </mdx>
    <mdx n="0" f="v">
      <t c="8">
        <n x="4" s="1"/>
        <n x="7" s="1"/>
        <n x="67" s="1"/>
        <n x="3" s="1"/>
        <n x="6" s="1"/>
        <n x="68"/>
        <n x="74"/>
        <n x="52"/>
      </t>
    </mdx>
    <mdx n="0" f="v">
      <t c="8">
        <n x="4" s="1"/>
        <n x="7" s="1"/>
        <n x="67" s="1"/>
        <n x="3" s="1"/>
        <n x="6" s="1"/>
        <n x="68"/>
        <n x="74"/>
        <n x="53"/>
      </t>
    </mdx>
    <mdx n="0" f="v">
      <t c="8">
        <n x="4" s="1"/>
        <n x="7" s="1"/>
        <n x="67" s="1"/>
        <n x="3" s="1"/>
        <n x="6" s="1"/>
        <n x="68"/>
        <n x="74"/>
        <n x="54"/>
      </t>
    </mdx>
    <mdx n="0" f="v">
      <t c="8">
        <n x="4" s="1"/>
        <n x="7" s="1"/>
        <n x="67" s="1"/>
        <n x="3" s="1"/>
        <n x="6" s="1"/>
        <n x="68"/>
        <n x="74"/>
        <n x="55"/>
      </t>
    </mdx>
    <mdx n="0" f="v">
      <t c="8">
        <n x="4" s="1"/>
        <n x="7" s="1"/>
        <n x="67" s="1"/>
        <n x="3" s="1"/>
        <n x="6" s="1"/>
        <n x="68"/>
        <n x="74"/>
        <n x="56"/>
      </t>
    </mdx>
    <mdx n="0" f="v">
      <t c="8">
        <n x="4" s="1"/>
        <n x="7" s="1"/>
        <n x="67" s="1"/>
        <n x="3" s="1"/>
        <n x="6" s="1"/>
        <n x="68"/>
        <n x="74"/>
        <n x="57"/>
      </t>
    </mdx>
    <mdx n="0" f="v">
      <t c="8">
        <n x="4" s="1"/>
        <n x="7" s="1"/>
        <n x="67" s="1"/>
        <n x="3" s="1"/>
        <n x="6" s="1"/>
        <n x="68"/>
        <n x="74"/>
        <n x="58"/>
      </t>
    </mdx>
    <mdx n="0" f="v">
      <t c="8">
        <n x="4" s="1"/>
        <n x="7" s="1"/>
        <n x="67" s="1"/>
        <n x="3" s="1"/>
        <n x="6" s="1"/>
        <n x="68"/>
        <n x="74"/>
        <n x="59"/>
      </t>
    </mdx>
    <mdx n="0" f="v">
      <t c="8">
        <n x="4" s="1"/>
        <n x="7" s="1"/>
        <n x="67" s="1"/>
        <n x="3" s="1"/>
        <n x="6" s="1"/>
        <n x="68"/>
        <n x="74"/>
        <n x="60"/>
      </t>
    </mdx>
    <mdx n="0" f="v">
      <t c="8">
        <n x="4" s="1"/>
        <n x="7" s="1"/>
        <n x="67" s="1"/>
        <n x="3" s="1"/>
        <n x="6" s="1"/>
        <n x="68"/>
        <n x="74"/>
        <n x="61"/>
      </t>
    </mdx>
    <mdx n="0" f="v">
      <t c="8">
        <n x="4" s="1"/>
        <n x="7" s="1"/>
        <n x="67" s="1"/>
        <n x="3" s="1"/>
        <n x="6" s="1"/>
        <n x="68"/>
        <n x="74"/>
        <n x="62"/>
      </t>
    </mdx>
    <mdx n="0" f="v">
      <t c="8">
        <n x="4" s="1"/>
        <n x="7" s="1"/>
        <n x="67" s="1"/>
        <n x="3" s="1"/>
        <n x="6" s="1"/>
        <n x="68"/>
        <n x="74"/>
        <n x="63"/>
      </t>
    </mdx>
    <mdx n="0" f="v">
      <t c="8">
        <n x="4" s="1"/>
        <n x="7" s="1"/>
        <n x="67" s="1"/>
        <n x="3" s="1"/>
        <n x="6" s="1"/>
        <n x="68"/>
        <n x="74"/>
        <n x="64"/>
      </t>
    </mdx>
    <mdx n="0" f="v">
      <t c="8">
        <n x="4" s="1"/>
        <n x="7" s="1"/>
        <n x="67" s="1"/>
        <n x="3" s="1"/>
        <n x="6" s="1"/>
        <n x="68"/>
        <n x="74"/>
        <n x="65"/>
      </t>
    </mdx>
    <mdx n="0" f="v">
      <t c="8">
        <n x="4" s="1"/>
        <n x="7" s="1"/>
        <n x="67" s="1"/>
        <n x="3" s="1"/>
        <n x="6" s="1"/>
        <n x="68"/>
        <n x="74"/>
        <n x="66"/>
      </t>
    </mdx>
    <mdx n="0" f="m">
      <t c="1">
        <n x="75"/>
      </t>
    </mdx>
    <mdx n="0" f="v">
      <t c="8">
        <n x="4" s="1"/>
        <n x="7" s="1"/>
        <n x="67" s="1"/>
        <n x="3" s="1"/>
        <n x="6" s="1"/>
        <n x="68"/>
        <n x="75"/>
        <n x="8"/>
      </t>
    </mdx>
    <mdx n="0" f="v">
      <t c="8">
        <n x="4" s="1"/>
        <n x="7" s="1"/>
        <n x="67" s="1"/>
        <n x="3" s="1"/>
        <n x="6" s="1"/>
        <n x="68"/>
        <n x="75"/>
        <n x="9"/>
      </t>
    </mdx>
    <mdx n="0" f="v">
      <t c="8">
        <n x="4" s="1"/>
        <n x="7" s="1"/>
        <n x="67" s="1"/>
        <n x="3" s="1"/>
        <n x="6" s="1"/>
        <n x="68"/>
        <n x="75"/>
        <n x="10"/>
      </t>
    </mdx>
    <mdx n="0" f="v">
      <t c="8">
        <n x="4" s="1"/>
        <n x="7" s="1"/>
        <n x="67" s="1"/>
        <n x="3" s="1"/>
        <n x="6" s="1"/>
        <n x="68"/>
        <n x="75"/>
        <n x="11"/>
      </t>
    </mdx>
    <mdx n="0" f="v">
      <t c="8">
        <n x="4" s="1"/>
        <n x="7" s="1"/>
        <n x="67" s="1"/>
        <n x="3" s="1"/>
        <n x="6" s="1"/>
        <n x="68"/>
        <n x="75"/>
        <n x="12"/>
      </t>
    </mdx>
    <mdx n="0" f="v">
      <t c="8">
        <n x="4" s="1"/>
        <n x="7" s="1"/>
        <n x="67" s="1"/>
        <n x="3" s="1"/>
        <n x="6" s="1"/>
        <n x="68"/>
        <n x="75"/>
        <n x="13"/>
      </t>
    </mdx>
    <mdx n="0" f="v">
      <t c="8">
        <n x="4" s="1"/>
        <n x="7" s="1"/>
        <n x="67" s="1"/>
        <n x="3" s="1"/>
        <n x="6" s="1"/>
        <n x="68"/>
        <n x="75"/>
        <n x="14"/>
      </t>
    </mdx>
    <mdx n="0" f="v">
      <t c="8">
        <n x="4" s="1"/>
        <n x="7" s="1"/>
        <n x="67" s="1"/>
        <n x="3" s="1"/>
        <n x="6" s="1"/>
        <n x="68"/>
        <n x="75"/>
        <n x="15"/>
      </t>
    </mdx>
    <mdx n="0" f="v">
      <t c="8">
        <n x="4" s="1"/>
        <n x="7" s="1"/>
        <n x="67" s="1"/>
        <n x="3" s="1"/>
        <n x="6" s="1"/>
        <n x="68"/>
        <n x="75"/>
        <n x="16"/>
      </t>
    </mdx>
    <mdx n="0" f="v">
      <t c="8">
        <n x="4" s="1"/>
        <n x="7" s="1"/>
        <n x="67" s="1"/>
        <n x="3" s="1"/>
        <n x="6" s="1"/>
        <n x="68"/>
        <n x="75"/>
        <n x="17"/>
      </t>
    </mdx>
    <mdx n="0" f="v">
      <t c="8">
        <n x="4" s="1"/>
        <n x="7" s="1"/>
        <n x="67" s="1"/>
        <n x="3" s="1"/>
        <n x="6" s="1"/>
        <n x="68"/>
        <n x="75"/>
        <n x="18"/>
      </t>
    </mdx>
    <mdx n="0" f="v">
      <t c="8">
        <n x="4" s="1"/>
        <n x="7" s="1"/>
        <n x="67" s="1"/>
        <n x="3" s="1"/>
        <n x="6" s="1"/>
        <n x="68"/>
        <n x="75"/>
        <n x="19"/>
      </t>
    </mdx>
    <mdx n="0" f="v">
      <t c="8">
        <n x="4" s="1"/>
        <n x="7" s="1"/>
        <n x="67" s="1"/>
        <n x="3" s="1"/>
        <n x="6" s="1"/>
        <n x="68"/>
        <n x="75"/>
        <n x="20"/>
      </t>
    </mdx>
    <mdx n="0" f="v">
      <t c="8">
        <n x="4" s="1"/>
        <n x="7" s="1"/>
        <n x="67" s="1"/>
        <n x="3" s="1"/>
        <n x="6" s="1"/>
        <n x="68"/>
        <n x="75"/>
        <n x="21"/>
      </t>
    </mdx>
    <mdx n="0" f="v">
      <t c="8">
        <n x="4" s="1"/>
        <n x="7" s="1"/>
        <n x="67" s="1"/>
        <n x="3" s="1"/>
        <n x="6" s="1"/>
        <n x="68"/>
        <n x="75"/>
        <n x="22"/>
      </t>
    </mdx>
    <mdx n="0" f="v">
      <t c="8">
        <n x="4" s="1"/>
        <n x="7" s="1"/>
        <n x="67" s="1"/>
        <n x="3" s="1"/>
        <n x="6" s="1"/>
        <n x="68"/>
        <n x="75"/>
        <n x="23"/>
      </t>
    </mdx>
    <mdx n="0" f="v">
      <t c="8">
        <n x="4" s="1"/>
        <n x="7" s="1"/>
        <n x="67" s="1"/>
        <n x="3" s="1"/>
        <n x="6" s="1"/>
        <n x="68"/>
        <n x="75"/>
        <n x="24"/>
      </t>
    </mdx>
    <mdx n="0" f="v">
      <t c="8">
        <n x="4" s="1"/>
        <n x="7" s="1"/>
        <n x="67" s="1"/>
        <n x="3" s="1"/>
        <n x="6" s="1"/>
        <n x="68"/>
        <n x="75"/>
        <n x="25"/>
      </t>
    </mdx>
    <mdx n="0" f="v">
      <t c="8">
        <n x="4" s="1"/>
        <n x="7" s="1"/>
        <n x="67" s="1"/>
        <n x="3" s="1"/>
        <n x="6" s="1"/>
        <n x="68"/>
        <n x="75"/>
        <n x="26"/>
      </t>
    </mdx>
    <mdx n="0" f="v">
      <t c="8">
        <n x="4" s="1"/>
        <n x="7" s="1"/>
        <n x="67" s="1"/>
        <n x="3" s="1"/>
        <n x="6" s="1"/>
        <n x="68"/>
        <n x="75"/>
        <n x="27"/>
      </t>
    </mdx>
    <mdx n="0" f="v">
      <t c="8">
        <n x="4" s="1"/>
        <n x="7" s="1"/>
        <n x="67" s="1"/>
        <n x="3" s="1"/>
        <n x="6" s="1"/>
        <n x="68"/>
        <n x="75"/>
        <n x="28"/>
      </t>
    </mdx>
    <mdx n="0" f="v">
      <t c="8">
        <n x="4" s="1"/>
        <n x="7" s="1"/>
        <n x="67" s="1"/>
        <n x="3" s="1"/>
        <n x="6" s="1"/>
        <n x="68"/>
        <n x="75"/>
        <n x="29"/>
      </t>
    </mdx>
    <mdx n="0" f="v">
      <t c="8">
        <n x="4" s="1"/>
        <n x="7" s="1"/>
        <n x="67" s="1"/>
        <n x="3" s="1"/>
        <n x="6" s="1"/>
        <n x="68"/>
        <n x="75"/>
        <n x="30"/>
      </t>
    </mdx>
    <mdx n="0" f="v">
      <t c="8">
        <n x="4" s="1"/>
        <n x="7" s="1"/>
        <n x="67" s="1"/>
        <n x="3" s="1"/>
        <n x="6" s="1"/>
        <n x="68"/>
        <n x="75"/>
        <n x="31"/>
      </t>
    </mdx>
    <mdx n="0" f="v">
      <t c="8">
        <n x="4" s="1"/>
        <n x="7" s="1"/>
        <n x="67" s="1"/>
        <n x="3" s="1"/>
        <n x="6" s="1"/>
        <n x="68"/>
        <n x="75"/>
        <n x="32"/>
      </t>
    </mdx>
    <mdx n="0" f="v">
      <t c="8">
        <n x="4" s="1"/>
        <n x="7" s="1"/>
        <n x="67" s="1"/>
        <n x="3" s="1"/>
        <n x="6" s="1"/>
        <n x="68"/>
        <n x="75"/>
        <n x="33"/>
      </t>
    </mdx>
    <mdx n="0" f="v">
      <t c="8">
        <n x="4" s="1"/>
        <n x="7" s="1"/>
        <n x="67" s="1"/>
        <n x="3" s="1"/>
        <n x="6" s="1"/>
        <n x="68"/>
        <n x="75"/>
        <n x="34"/>
      </t>
    </mdx>
    <mdx n="0" f="v">
      <t c="8">
        <n x="4" s="1"/>
        <n x="7" s="1"/>
        <n x="67" s="1"/>
        <n x="3" s="1"/>
        <n x="6" s="1"/>
        <n x="68"/>
        <n x="75"/>
        <n x="35"/>
      </t>
    </mdx>
    <mdx n="0" f="v">
      <t c="8">
        <n x="4" s="1"/>
        <n x="7" s="1"/>
        <n x="67" s="1"/>
        <n x="3" s="1"/>
        <n x="6" s="1"/>
        <n x="68"/>
        <n x="75"/>
        <n x="36"/>
      </t>
    </mdx>
    <mdx n="0" f="v">
      <t c="8">
        <n x="4" s="1"/>
        <n x="7" s="1"/>
        <n x="67" s="1"/>
        <n x="3" s="1"/>
        <n x="6" s="1"/>
        <n x="68"/>
        <n x="75"/>
        <n x="37"/>
      </t>
    </mdx>
    <mdx n="0" f="v">
      <t c="8">
        <n x="4" s="1"/>
        <n x="7" s="1"/>
        <n x="67" s="1"/>
        <n x="3" s="1"/>
        <n x="6" s="1"/>
        <n x="68"/>
        <n x="75"/>
        <n x="38"/>
      </t>
    </mdx>
    <mdx n="0" f="v">
      <t c="8">
        <n x="4" s="1"/>
        <n x="7" s="1"/>
        <n x="67" s="1"/>
        <n x="3" s="1"/>
        <n x="6" s="1"/>
        <n x="68"/>
        <n x="75"/>
        <n x="39"/>
      </t>
    </mdx>
    <mdx n="0" f="v">
      <t c="8">
        <n x="4" s="1"/>
        <n x="7" s="1"/>
        <n x="67" s="1"/>
        <n x="3" s="1"/>
        <n x="6" s="1"/>
        <n x="68"/>
        <n x="75"/>
        <n x="40"/>
      </t>
    </mdx>
    <mdx n="0" f="v">
      <t c="8">
        <n x="4" s="1"/>
        <n x="7" s="1"/>
        <n x="67" s="1"/>
        <n x="3" s="1"/>
        <n x="6" s="1"/>
        <n x="68"/>
        <n x="75"/>
        <n x="41"/>
      </t>
    </mdx>
    <mdx n="0" f="v">
      <t c="8">
        <n x="4" s="1"/>
        <n x="7" s="1"/>
        <n x="67" s="1"/>
        <n x="3" s="1"/>
        <n x="6" s="1"/>
        <n x="68"/>
        <n x="75"/>
        <n x="42"/>
      </t>
    </mdx>
    <mdx n="0" f="v">
      <t c="8">
        <n x="4" s="1"/>
        <n x="7" s="1"/>
        <n x="67" s="1"/>
        <n x="3" s="1"/>
        <n x="6" s="1"/>
        <n x="68"/>
        <n x="75"/>
        <n x="43"/>
      </t>
    </mdx>
    <mdx n="0" f="v">
      <t c="8">
        <n x="4" s="1"/>
        <n x="7" s="1"/>
        <n x="67" s="1"/>
        <n x="3" s="1"/>
        <n x="6" s="1"/>
        <n x="68"/>
        <n x="75"/>
        <n x="44"/>
      </t>
    </mdx>
    <mdx n="0" f="v">
      <t c="8">
        <n x="4" s="1"/>
        <n x="7" s="1"/>
        <n x="67" s="1"/>
        <n x="3" s="1"/>
        <n x="6" s="1"/>
        <n x="68"/>
        <n x="75"/>
        <n x="45"/>
      </t>
    </mdx>
    <mdx n="0" f="v">
      <t c="8">
        <n x="4" s="1"/>
        <n x="7" s="1"/>
        <n x="67" s="1"/>
        <n x="3" s="1"/>
        <n x="6" s="1"/>
        <n x="68"/>
        <n x="75"/>
        <n x="46"/>
      </t>
    </mdx>
    <mdx n="0" f="v">
      <t c="8">
        <n x="4" s="1"/>
        <n x="7" s="1"/>
        <n x="67" s="1"/>
        <n x="3" s="1"/>
        <n x="6" s="1"/>
        <n x="68"/>
        <n x="75"/>
        <n x="47"/>
      </t>
    </mdx>
    <mdx n="0" f="v">
      <t c="8">
        <n x="4" s="1"/>
        <n x="7" s="1"/>
        <n x="67" s="1"/>
        <n x="3" s="1"/>
        <n x="6" s="1"/>
        <n x="68"/>
        <n x="75"/>
        <n x="48"/>
      </t>
    </mdx>
    <mdx n="0" f="v">
      <t c="8">
        <n x="4" s="1"/>
        <n x="7" s="1"/>
        <n x="67" s="1"/>
        <n x="3" s="1"/>
        <n x="6" s="1"/>
        <n x="68"/>
        <n x="75"/>
        <n x="49"/>
      </t>
    </mdx>
    <mdx n="0" f="v">
      <t c="8">
        <n x="4" s="1"/>
        <n x="7" s="1"/>
        <n x="67" s="1"/>
        <n x="3" s="1"/>
        <n x="6" s="1"/>
        <n x="68"/>
        <n x="75"/>
        <n x="50"/>
      </t>
    </mdx>
    <mdx n="0" f="v">
      <t c="8">
        <n x="4" s="1"/>
        <n x="7" s="1"/>
        <n x="67" s="1"/>
        <n x="3" s="1"/>
        <n x="6" s="1"/>
        <n x="68"/>
        <n x="75"/>
        <n x="51"/>
      </t>
    </mdx>
    <mdx n="0" f="v">
      <t c="8">
        <n x="4" s="1"/>
        <n x="7" s="1"/>
        <n x="67" s="1"/>
        <n x="3" s="1"/>
        <n x="6" s="1"/>
        <n x="68"/>
        <n x="75"/>
        <n x="52"/>
      </t>
    </mdx>
    <mdx n="0" f="v">
      <t c="8">
        <n x="4" s="1"/>
        <n x="7" s="1"/>
        <n x="67" s="1"/>
        <n x="3" s="1"/>
        <n x="6" s="1"/>
        <n x="68"/>
        <n x="75"/>
        <n x="53"/>
      </t>
    </mdx>
    <mdx n="0" f="v">
      <t c="8">
        <n x="4" s="1"/>
        <n x="7" s="1"/>
        <n x="67" s="1"/>
        <n x="3" s="1"/>
        <n x="6" s="1"/>
        <n x="68"/>
        <n x="75"/>
        <n x="54"/>
      </t>
    </mdx>
    <mdx n="0" f="v">
      <t c="8">
        <n x="4" s="1"/>
        <n x="7" s="1"/>
        <n x="67" s="1"/>
        <n x="3" s="1"/>
        <n x="6" s="1"/>
        <n x="68"/>
        <n x="75"/>
        <n x="55"/>
      </t>
    </mdx>
    <mdx n="0" f="v">
      <t c="8">
        <n x="4" s="1"/>
        <n x="7" s="1"/>
        <n x="67" s="1"/>
        <n x="3" s="1"/>
        <n x="6" s="1"/>
        <n x="68"/>
        <n x="75"/>
        <n x="56"/>
      </t>
    </mdx>
    <mdx n="0" f="v">
      <t c="8">
        <n x="4" s="1"/>
        <n x="7" s="1"/>
        <n x="67" s="1"/>
        <n x="3" s="1"/>
        <n x="6" s="1"/>
        <n x="68"/>
        <n x="75"/>
        <n x="57"/>
      </t>
    </mdx>
    <mdx n="0" f="v">
      <t c="8">
        <n x="4" s="1"/>
        <n x="7" s="1"/>
        <n x="67" s="1"/>
        <n x="3" s="1"/>
        <n x="6" s="1"/>
        <n x="68"/>
        <n x="75"/>
        <n x="58"/>
      </t>
    </mdx>
    <mdx n="0" f="v">
      <t c="8">
        <n x="4" s="1"/>
        <n x="7" s="1"/>
        <n x="67" s="1"/>
        <n x="3" s="1"/>
        <n x="6" s="1"/>
        <n x="68"/>
        <n x="75"/>
        <n x="59"/>
      </t>
    </mdx>
    <mdx n="0" f="v">
      <t c="8">
        <n x="4" s="1"/>
        <n x="7" s="1"/>
        <n x="67" s="1"/>
        <n x="3" s="1"/>
        <n x="6" s="1"/>
        <n x="68"/>
        <n x="75"/>
        <n x="60"/>
      </t>
    </mdx>
    <mdx n="0" f="v">
      <t c="8">
        <n x="4" s="1"/>
        <n x="7" s="1"/>
        <n x="67" s="1"/>
        <n x="3" s="1"/>
        <n x="6" s="1"/>
        <n x="68"/>
        <n x="75"/>
        <n x="61"/>
      </t>
    </mdx>
    <mdx n="0" f="v">
      <t c="8">
        <n x="4" s="1"/>
        <n x="7" s="1"/>
        <n x="67" s="1"/>
        <n x="3" s="1"/>
        <n x="6" s="1"/>
        <n x="68"/>
        <n x="75"/>
        <n x="62"/>
      </t>
    </mdx>
    <mdx n="0" f="v">
      <t c="8">
        <n x="4" s="1"/>
        <n x="7" s="1"/>
        <n x="67" s="1"/>
        <n x="3" s="1"/>
        <n x="6" s="1"/>
        <n x="68"/>
        <n x="75"/>
        <n x="63"/>
      </t>
    </mdx>
    <mdx n="0" f="v">
      <t c="8">
        <n x="4" s="1"/>
        <n x="7" s="1"/>
        <n x="67" s="1"/>
        <n x="3" s="1"/>
        <n x="6" s="1"/>
        <n x="68"/>
        <n x="75"/>
        <n x="64"/>
      </t>
    </mdx>
    <mdx n="0" f="v">
      <t c="8">
        <n x="4" s="1"/>
        <n x="7" s="1"/>
        <n x="67" s="1"/>
        <n x="3" s="1"/>
        <n x="6" s="1"/>
        <n x="68"/>
        <n x="75"/>
        <n x="65"/>
      </t>
    </mdx>
    <mdx n="0" f="v">
      <t c="8">
        <n x="4" s="1"/>
        <n x="7" s="1"/>
        <n x="67" s="1"/>
        <n x="3" s="1"/>
        <n x="6" s="1"/>
        <n x="68"/>
        <n x="75"/>
        <n x="66"/>
      </t>
    </mdx>
    <mdx n="0" f="m">
      <t c="1">
        <n x="76"/>
      </t>
    </mdx>
    <mdx n="0" f="v">
      <t c="8">
        <n x="4" s="1"/>
        <n x="7" s="1"/>
        <n x="67" s="1"/>
        <n x="3" s="1"/>
        <n x="6" s="1"/>
        <n x="68"/>
        <n x="76"/>
        <n x="8"/>
      </t>
    </mdx>
    <mdx n="0" f="v">
      <t c="8">
        <n x="4" s="1"/>
        <n x="7" s="1"/>
        <n x="67" s="1"/>
        <n x="3" s="1"/>
        <n x="6" s="1"/>
        <n x="68"/>
        <n x="76"/>
        <n x="9"/>
      </t>
    </mdx>
    <mdx n="0" f="v">
      <t c="8">
        <n x="4" s="1"/>
        <n x="7" s="1"/>
        <n x="67" s="1"/>
        <n x="3" s="1"/>
        <n x="6" s="1"/>
        <n x="68"/>
        <n x="76"/>
        <n x="10"/>
      </t>
    </mdx>
    <mdx n="0" f="v">
      <t c="8">
        <n x="4" s="1"/>
        <n x="7" s="1"/>
        <n x="67" s="1"/>
        <n x="3" s="1"/>
        <n x="6" s="1"/>
        <n x="68"/>
        <n x="76"/>
        <n x="11"/>
      </t>
    </mdx>
    <mdx n="0" f="v">
      <t c="8">
        <n x="4" s="1"/>
        <n x="7" s="1"/>
        <n x="67" s="1"/>
        <n x="3" s="1"/>
        <n x="6" s="1"/>
        <n x="68"/>
        <n x="76"/>
        <n x="12"/>
      </t>
    </mdx>
    <mdx n="0" f="v">
      <t c="8">
        <n x="4" s="1"/>
        <n x="7" s="1"/>
        <n x="67" s="1"/>
        <n x="3" s="1"/>
        <n x="6" s="1"/>
        <n x="68"/>
        <n x="76"/>
        <n x="13"/>
      </t>
    </mdx>
    <mdx n="0" f="v">
      <t c="8">
        <n x="4" s="1"/>
        <n x="7" s="1"/>
        <n x="67" s="1"/>
        <n x="3" s="1"/>
        <n x="6" s="1"/>
        <n x="68"/>
        <n x="76"/>
        <n x="14"/>
      </t>
    </mdx>
    <mdx n="0" f="v">
      <t c="8">
        <n x="4" s="1"/>
        <n x="7" s="1"/>
        <n x="67" s="1"/>
        <n x="3" s="1"/>
        <n x="6" s="1"/>
        <n x="68"/>
        <n x="76"/>
        <n x="15"/>
      </t>
    </mdx>
    <mdx n="0" f="v">
      <t c="8">
        <n x="4" s="1"/>
        <n x="7" s="1"/>
        <n x="67" s="1"/>
        <n x="3" s="1"/>
        <n x="6" s="1"/>
        <n x="68"/>
        <n x="76"/>
        <n x="16"/>
      </t>
    </mdx>
    <mdx n="0" f="v">
      <t c="8">
        <n x="4" s="1"/>
        <n x="7" s="1"/>
        <n x="67" s="1"/>
        <n x="3" s="1"/>
        <n x="6" s="1"/>
        <n x="68"/>
        <n x="76"/>
        <n x="17"/>
      </t>
    </mdx>
    <mdx n="0" f="v">
      <t c="8">
        <n x="4" s="1"/>
        <n x="7" s="1"/>
        <n x="67" s="1"/>
        <n x="3" s="1"/>
        <n x="6" s="1"/>
        <n x="68"/>
        <n x="76"/>
        <n x="18"/>
      </t>
    </mdx>
    <mdx n="0" f="v">
      <t c="8">
        <n x="4" s="1"/>
        <n x="7" s="1"/>
        <n x="67" s="1"/>
        <n x="3" s="1"/>
        <n x="6" s="1"/>
        <n x="68"/>
        <n x="76"/>
        <n x="19"/>
      </t>
    </mdx>
    <mdx n="0" f="v">
      <t c="8">
        <n x="4" s="1"/>
        <n x="7" s="1"/>
        <n x="67" s="1"/>
        <n x="3" s="1"/>
        <n x="6" s="1"/>
        <n x="68"/>
        <n x="76"/>
        <n x="20"/>
      </t>
    </mdx>
    <mdx n="0" f="v">
      <t c="8">
        <n x="4" s="1"/>
        <n x="7" s="1"/>
        <n x="67" s="1"/>
        <n x="3" s="1"/>
        <n x="6" s="1"/>
        <n x="68"/>
        <n x="76"/>
        <n x="21"/>
      </t>
    </mdx>
    <mdx n="0" f="v">
      <t c="8">
        <n x="4" s="1"/>
        <n x="7" s="1"/>
        <n x="67" s="1"/>
        <n x="3" s="1"/>
        <n x="6" s="1"/>
        <n x="68"/>
        <n x="76"/>
        <n x="22"/>
      </t>
    </mdx>
    <mdx n="0" f="v">
      <t c="8">
        <n x="4" s="1"/>
        <n x="7" s="1"/>
        <n x="67" s="1"/>
        <n x="3" s="1"/>
        <n x="6" s="1"/>
        <n x="68"/>
        <n x="76"/>
        <n x="23"/>
      </t>
    </mdx>
    <mdx n="0" f="v">
      <t c="8">
        <n x="4" s="1"/>
        <n x="7" s="1"/>
        <n x="67" s="1"/>
        <n x="3" s="1"/>
        <n x="6" s="1"/>
        <n x="68"/>
        <n x="76"/>
        <n x="24"/>
      </t>
    </mdx>
    <mdx n="0" f="v">
      <t c="8">
        <n x="4" s="1"/>
        <n x="7" s="1"/>
        <n x="67" s="1"/>
        <n x="3" s="1"/>
        <n x="6" s="1"/>
        <n x="68"/>
        <n x="76"/>
        <n x="25"/>
      </t>
    </mdx>
    <mdx n="0" f="v">
      <t c="8">
        <n x="4" s="1"/>
        <n x="7" s="1"/>
        <n x="67" s="1"/>
        <n x="3" s="1"/>
        <n x="6" s="1"/>
        <n x="68"/>
        <n x="76"/>
        <n x="26"/>
      </t>
    </mdx>
    <mdx n="0" f="v">
      <t c="8">
        <n x="4" s="1"/>
        <n x="7" s="1"/>
        <n x="67" s="1"/>
        <n x="3" s="1"/>
        <n x="6" s="1"/>
        <n x="68"/>
        <n x="76"/>
        <n x="27"/>
      </t>
    </mdx>
    <mdx n="0" f="v">
      <t c="8">
        <n x="4" s="1"/>
        <n x="7" s="1"/>
        <n x="67" s="1"/>
        <n x="3" s="1"/>
        <n x="6" s="1"/>
        <n x="68"/>
        <n x="76"/>
        <n x="28"/>
      </t>
    </mdx>
    <mdx n="0" f="v">
      <t c="8">
        <n x="4" s="1"/>
        <n x="7" s="1"/>
        <n x="67" s="1"/>
        <n x="3" s="1"/>
        <n x="6" s="1"/>
        <n x="68"/>
        <n x="76"/>
        <n x="29"/>
      </t>
    </mdx>
    <mdx n="0" f="v">
      <t c="8">
        <n x="4" s="1"/>
        <n x="7" s="1"/>
        <n x="67" s="1"/>
        <n x="3" s="1"/>
        <n x="6" s="1"/>
        <n x="68"/>
        <n x="76"/>
        <n x="30"/>
      </t>
    </mdx>
    <mdx n="0" f="v">
      <t c="8">
        <n x="4" s="1"/>
        <n x="7" s="1"/>
        <n x="67" s="1"/>
        <n x="3" s="1"/>
        <n x="6" s="1"/>
        <n x="68"/>
        <n x="76"/>
        <n x="31"/>
      </t>
    </mdx>
    <mdx n="0" f="v">
      <t c="8">
        <n x="4" s="1"/>
        <n x="7" s="1"/>
        <n x="67" s="1"/>
        <n x="3" s="1"/>
        <n x="6" s="1"/>
        <n x="68"/>
        <n x="76"/>
        <n x="32"/>
      </t>
    </mdx>
    <mdx n="0" f="v">
      <t c="8">
        <n x="4" s="1"/>
        <n x="7" s="1"/>
        <n x="67" s="1"/>
        <n x="3" s="1"/>
        <n x="6" s="1"/>
        <n x="68"/>
        <n x="76"/>
        <n x="33"/>
      </t>
    </mdx>
    <mdx n="0" f="v">
      <t c="8">
        <n x="4" s="1"/>
        <n x="7" s="1"/>
        <n x="67" s="1"/>
        <n x="3" s="1"/>
        <n x="6" s="1"/>
        <n x="68"/>
        <n x="76"/>
        <n x="34"/>
      </t>
    </mdx>
    <mdx n="0" f="v">
      <t c="8">
        <n x="4" s="1"/>
        <n x="7" s="1"/>
        <n x="67" s="1"/>
        <n x="3" s="1"/>
        <n x="6" s="1"/>
        <n x="68"/>
        <n x="76"/>
        <n x="35"/>
      </t>
    </mdx>
    <mdx n="0" f="v">
      <t c="8">
        <n x="4" s="1"/>
        <n x="7" s="1"/>
        <n x="67" s="1"/>
        <n x="3" s="1"/>
        <n x="6" s="1"/>
        <n x="68"/>
        <n x="76"/>
        <n x="36"/>
      </t>
    </mdx>
    <mdx n="0" f="v">
      <t c="8">
        <n x="4" s="1"/>
        <n x="7" s="1"/>
        <n x="67" s="1"/>
        <n x="3" s="1"/>
        <n x="6" s="1"/>
        <n x="68"/>
        <n x="76"/>
        <n x="37"/>
      </t>
    </mdx>
    <mdx n="0" f="v">
      <t c="8">
        <n x="4" s="1"/>
        <n x="7" s="1"/>
        <n x="67" s="1"/>
        <n x="3" s="1"/>
        <n x="6" s="1"/>
        <n x="68"/>
        <n x="76"/>
        <n x="38"/>
      </t>
    </mdx>
    <mdx n="0" f="v">
      <t c="8">
        <n x="4" s="1"/>
        <n x="7" s="1"/>
        <n x="67" s="1"/>
        <n x="3" s="1"/>
        <n x="6" s="1"/>
        <n x="68"/>
        <n x="76"/>
        <n x="39"/>
      </t>
    </mdx>
    <mdx n="0" f="v">
      <t c="8">
        <n x="4" s="1"/>
        <n x="7" s="1"/>
        <n x="67" s="1"/>
        <n x="3" s="1"/>
        <n x="6" s="1"/>
        <n x="68"/>
        <n x="76"/>
        <n x="40"/>
      </t>
    </mdx>
    <mdx n="0" f="v">
      <t c="8">
        <n x="4" s="1"/>
        <n x="7" s="1"/>
        <n x="67" s="1"/>
        <n x="3" s="1"/>
        <n x="6" s="1"/>
        <n x="68"/>
        <n x="76"/>
        <n x="41"/>
      </t>
    </mdx>
    <mdx n="0" f="v">
      <t c="8">
        <n x="4" s="1"/>
        <n x="7" s="1"/>
        <n x="67" s="1"/>
        <n x="3" s="1"/>
        <n x="6" s="1"/>
        <n x="68"/>
        <n x="76"/>
        <n x="42"/>
      </t>
    </mdx>
    <mdx n="0" f="v">
      <t c="8">
        <n x="4" s="1"/>
        <n x="7" s="1"/>
        <n x="67" s="1"/>
        <n x="3" s="1"/>
        <n x="6" s="1"/>
        <n x="68"/>
        <n x="76"/>
        <n x="43"/>
      </t>
    </mdx>
    <mdx n="0" f="v">
      <t c="8">
        <n x="4" s="1"/>
        <n x="7" s="1"/>
        <n x="67" s="1"/>
        <n x="3" s="1"/>
        <n x="6" s="1"/>
        <n x="68"/>
        <n x="76"/>
        <n x="44"/>
      </t>
    </mdx>
    <mdx n="0" f="v">
      <t c="8">
        <n x="4" s="1"/>
        <n x="7" s="1"/>
        <n x="67" s="1"/>
        <n x="3" s="1"/>
        <n x="6" s="1"/>
        <n x="68"/>
        <n x="76"/>
        <n x="45"/>
      </t>
    </mdx>
    <mdx n="0" f="v">
      <t c="8">
        <n x="4" s="1"/>
        <n x="7" s="1"/>
        <n x="67" s="1"/>
        <n x="3" s="1"/>
        <n x="6" s="1"/>
        <n x="68"/>
        <n x="76"/>
        <n x="46"/>
      </t>
    </mdx>
    <mdx n="0" f="v">
      <t c="8">
        <n x="4" s="1"/>
        <n x="7" s="1"/>
        <n x="67" s="1"/>
        <n x="3" s="1"/>
        <n x="6" s="1"/>
        <n x="68"/>
        <n x="76"/>
        <n x="47"/>
      </t>
    </mdx>
    <mdx n="0" f="v">
      <t c="8">
        <n x="4" s="1"/>
        <n x="7" s="1"/>
        <n x="67" s="1"/>
        <n x="3" s="1"/>
        <n x="6" s="1"/>
        <n x="68"/>
        <n x="76"/>
        <n x="48"/>
      </t>
    </mdx>
    <mdx n="0" f="v">
      <t c="8">
        <n x="4" s="1"/>
        <n x="7" s="1"/>
        <n x="67" s="1"/>
        <n x="3" s="1"/>
        <n x="6" s="1"/>
        <n x="68"/>
        <n x="76"/>
        <n x="49"/>
      </t>
    </mdx>
    <mdx n="0" f="v">
      <t c="8">
        <n x="4" s="1"/>
        <n x="7" s="1"/>
        <n x="67" s="1"/>
        <n x="3" s="1"/>
        <n x="6" s="1"/>
        <n x="68"/>
        <n x="76"/>
        <n x="50"/>
      </t>
    </mdx>
    <mdx n="0" f="v">
      <t c="8">
        <n x="4" s="1"/>
        <n x="7" s="1"/>
        <n x="67" s="1"/>
        <n x="3" s="1"/>
        <n x="6" s="1"/>
        <n x="68"/>
        <n x="76"/>
        <n x="51"/>
      </t>
    </mdx>
    <mdx n="0" f="v">
      <t c="8">
        <n x="4" s="1"/>
        <n x="7" s="1"/>
        <n x="67" s="1"/>
        <n x="3" s="1"/>
        <n x="6" s="1"/>
        <n x="68"/>
        <n x="76"/>
        <n x="52"/>
      </t>
    </mdx>
    <mdx n="0" f="v">
      <t c="8">
        <n x="4" s="1"/>
        <n x="7" s="1"/>
        <n x="67" s="1"/>
        <n x="3" s="1"/>
        <n x="6" s="1"/>
        <n x="68"/>
        <n x="76"/>
        <n x="53"/>
      </t>
    </mdx>
    <mdx n="0" f="v">
      <t c="8">
        <n x="4" s="1"/>
        <n x="7" s="1"/>
        <n x="67" s="1"/>
        <n x="3" s="1"/>
        <n x="6" s="1"/>
        <n x="68"/>
        <n x="76"/>
        <n x="54"/>
      </t>
    </mdx>
    <mdx n="0" f="v">
      <t c="8">
        <n x="4" s="1"/>
        <n x="7" s="1"/>
        <n x="67" s="1"/>
        <n x="3" s="1"/>
        <n x="6" s="1"/>
        <n x="68"/>
        <n x="76"/>
        <n x="55"/>
      </t>
    </mdx>
    <mdx n="0" f="v">
      <t c="8">
        <n x="4" s="1"/>
        <n x="7" s="1"/>
        <n x="67" s="1"/>
        <n x="3" s="1"/>
        <n x="6" s="1"/>
        <n x="68"/>
        <n x="76"/>
        <n x="56"/>
      </t>
    </mdx>
    <mdx n="0" f="v">
      <t c="8">
        <n x="4" s="1"/>
        <n x="7" s="1"/>
        <n x="67" s="1"/>
        <n x="3" s="1"/>
        <n x="6" s="1"/>
        <n x="68"/>
        <n x="76"/>
        <n x="57"/>
      </t>
    </mdx>
    <mdx n="0" f="v">
      <t c="8">
        <n x="4" s="1"/>
        <n x="7" s="1"/>
        <n x="67" s="1"/>
        <n x="3" s="1"/>
        <n x="6" s="1"/>
        <n x="68"/>
        <n x="76"/>
        <n x="58"/>
      </t>
    </mdx>
    <mdx n="0" f="v">
      <t c="8">
        <n x="4" s="1"/>
        <n x="7" s="1"/>
        <n x="67" s="1"/>
        <n x="3" s="1"/>
        <n x="6" s="1"/>
        <n x="68"/>
        <n x="76"/>
        <n x="59"/>
      </t>
    </mdx>
    <mdx n="0" f="v">
      <t c="8">
        <n x="4" s="1"/>
        <n x="7" s="1"/>
        <n x="67" s="1"/>
        <n x="3" s="1"/>
        <n x="6" s="1"/>
        <n x="68"/>
        <n x="76"/>
        <n x="60"/>
      </t>
    </mdx>
    <mdx n="0" f="v">
      <t c="8">
        <n x="4" s="1"/>
        <n x="7" s="1"/>
        <n x="67" s="1"/>
        <n x="3" s="1"/>
        <n x="6" s="1"/>
        <n x="68"/>
        <n x="76"/>
        <n x="61"/>
      </t>
    </mdx>
    <mdx n="0" f="v">
      <t c="8">
        <n x="4" s="1"/>
        <n x="7" s="1"/>
        <n x="67" s="1"/>
        <n x="3" s="1"/>
        <n x="6" s="1"/>
        <n x="68"/>
        <n x="76"/>
        <n x="62"/>
      </t>
    </mdx>
    <mdx n="0" f="v">
      <t c="8">
        <n x="4" s="1"/>
        <n x="7" s="1"/>
        <n x="67" s="1"/>
        <n x="3" s="1"/>
        <n x="6" s="1"/>
        <n x="68"/>
        <n x="76"/>
        <n x="63"/>
      </t>
    </mdx>
    <mdx n="0" f="v">
      <t c="8">
        <n x="4" s="1"/>
        <n x="7" s="1"/>
        <n x="67" s="1"/>
        <n x="3" s="1"/>
        <n x="6" s="1"/>
        <n x="68"/>
        <n x="76"/>
        <n x="64"/>
      </t>
    </mdx>
    <mdx n="0" f="v">
      <t c="8">
        <n x="4" s="1"/>
        <n x="7" s="1"/>
        <n x="67" s="1"/>
        <n x="3" s="1"/>
        <n x="6" s="1"/>
        <n x="68"/>
        <n x="76"/>
        <n x="65"/>
      </t>
    </mdx>
    <mdx n="0" f="v">
      <t c="8">
        <n x="4" s="1"/>
        <n x="7" s="1"/>
        <n x="67" s="1"/>
        <n x="3" s="1"/>
        <n x="6" s="1"/>
        <n x="68"/>
        <n x="76"/>
        <n x="66"/>
      </t>
    </mdx>
    <mdx n="0" f="m">
      <t c="1">
        <n x="77"/>
      </t>
    </mdx>
    <mdx n="0" f="v">
      <t c="8">
        <n x="4" s="1"/>
        <n x="7" s="1"/>
        <n x="67" s="1"/>
        <n x="3" s="1"/>
        <n x="6" s="1"/>
        <n x="68"/>
        <n x="77"/>
        <n x="8"/>
      </t>
    </mdx>
    <mdx n="0" f="v">
      <t c="8">
        <n x="4" s="1"/>
        <n x="7" s="1"/>
        <n x="67" s="1"/>
        <n x="3" s="1"/>
        <n x="6" s="1"/>
        <n x="68"/>
        <n x="77"/>
        <n x="9"/>
      </t>
    </mdx>
    <mdx n="0" f="v">
      <t c="8">
        <n x="4" s="1"/>
        <n x="7" s="1"/>
        <n x="67" s="1"/>
        <n x="3" s="1"/>
        <n x="6" s="1"/>
        <n x="68"/>
        <n x="77"/>
        <n x="10"/>
      </t>
    </mdx>
    <mdx n="0" f="v">
      <t c="8">
        <n x="4" s="1"/>
        <n x="7" s="1"/>
        <n x="67" s="1"/>
        <n x="3" s="1"/>
        <n x="6" s="1"/>
        <n x="68"/>
        <n x="77"/>
        <n x="11"/>
      </t>
    </mdx>
    <mdx n="0" f="v">
      <t c="8">
        <n x="4" s="1"/>
        <n x="7" s="1"/>
        <n x="67" s="1"/>
        <n x="3" s="1"/>
        <n x="6" s="1"/>
        <n x="68"/>
        <n x="77"/>
        <n x="12"/>
      </t>
    </mdx>
    <mdx n="0" f="v">
      <t c="8">
        <n x="4" s="1"/>
        <n x="7" s="1"/>
        <n x="67" s="1"/>
        <n x="3" s="1"/>
        <n x="6" s="1"/>
        <n x="68"/>
        <n x="77"/>
        <n x="13"/>
      </t>
    </mdx>
    <mdx n="0" f="v">
      <t c="8">
        <n x="4" s="1"/>
        <n x="7" s="1"/>
        <n x="67" s="1"/>
        <n x="3" s="1"/>
        <n x="6" s="1"/>
        <n x="68"/>
        <n x="77"/>
        <n x="14"/>
      </t>
    </mdx>
    <mdx n="0" f="v">
      <t c="8">
        <n x="4" s="1"/>
        <n x="7" s="1"/>
        <n x="67" s="1"/>
        <n x="3" s="1"/>
        <n x="6" s="1"/>
        <n x="68"/>
        <n x="77"/>
        <n x="15"/>
      </t>
    </mdx>
    <mdx n="0" f="v">
      <t c="8">
        <n x="4" s="1"/>
        <n x="7" s="1"/>
        <n x="67" s="1"/>
        <n x="3" s="1"/>
        <n x="6" s="1"/>
        <n x="68"/>
        <n x="77"/>
        <n x="16"/>
      </t>
    </mdx>
    <mdx n="0" f="v">
      <t c="8">
        <n x="4" s="1"/>
        <n x="7" s="1"/>
        <n x="67" s="1"/>
        <n x="3" s="1"/>
        <n x="6" s="1"/>
        <n x="68"/>
        <n x="77"/>
        <n x="17"/>
      </t>
    </mdx>
    <mdx n="0" f="v">
      <t c="8">
        <n x="4" s="1"/>
        <n x="7" s="1"/>
        <n x="67" s="1"/>
        <n x="3" s="1"/>
        <n x="6" s="1"/>
        <n x="68"/>
        <n x="77"/>
        <n x="18"/>
      </t>
    </mdx>
    <mdx n="0" f="v">
      <t c="8">
        <n x="4" s="1"/>
        <n x="7" s="1"/>
        <n x="67" s="1"/>
        <n x="3" s="1"/>
        <n x="6" s="1"/>
        <n x="68"/>
        <n x="77"/>
        <n x="19"/>
      </t>
    </mdx>
    <mdx n="0" f="v">
      <t c="8">
        <n x="4" s="1"/>
        <n x="7" s="1"/>
        <n x="67" s="1"/>
        <n x="3" s="1"/>
        <n x="6" s="1"/>
        <n x="68"/>
        <n x="77"/>
        <n x="20"/>
      </t>
    </mdx>
    <mdx n="0" f="v">
      <t c="8">
        <n x="4" s="1"/>
        <n x="7" s="1"/>
        <n x="67" s="1"/>
        <n x="3" s="1"/>
        <n x="6" s="1"/>
        <n x="68"/>
        <n x="77"/>
        <n x="21"/>
      </t>
    </mdx>
    <mdx n="0" f="v">
      <t c="8">
        <n x="4" s="1"/>
        <n x="7" s="1"/>
        <n x="67" s="1"/>
        <n x="3" s="1"/>
        <n x="6" s="1"/>
        <n x="68"/>
        <n x="77"/>
        <n x="22"/>
      </t>
    </mdx>
    <mdx n="0" f="v">
      <t c="8">
        <n x="4" s="1"/>
        <n x="7" s="1"/>
        <n x="67" s="1"/>
        <n x="3" s="1"/>
        <n x="6" s="1"/>
        <n x="68"/>
        <n x="77"/>
        <n x="23"/>
      </t>
    </mdx>
    <mdx n="0" f="v">
      <t c="8">
        <n x="4" s="1"/>
        <n x="7" s="1"/>
        <n x="67" s="1"/>
        <n x="3" s="1"/>
        <n x="6" s="1"/>
        <n x="68"/>
        <n x="77"/>
        <n x="24"/>
      </t>
    </mdx>
    <mdx n="0" f="v">
      <t c="8">
        <n x="4" s="1"/>
        <n x="7" s="1"/>
        <n x="67" s="1"/>
        <n x="3" s="1"/>
        <n x="6" s="1"/>
        <n x="68"/>
        <n x="77"/>
        <n x="25"/>
      </t>
    </mdx>
    <mdx n="0" f="v">
      <t c="8">
        <n x="4" s="1"/>
        <n x="7" s="1"/>
        <n x="67" s="1"/>
        <n x="3" s="1"/>
        <n x="6" s="1"/>
        <n x="68"/>
        <n x="77"/>
        <n x="26"/>
      </t>
    </mdx>
    <mdx n="0" f="v">
      <t c="8">
        <n x="4" s="1"/>
        <n x="7" s="1"/>
        <n x="67" s="1"/>
        <n x="3" s="1"/>
        <n x="6" s="1"/>
        <n x="68"/>
        <n x="77"/>
        <n x="27"/>
      </t>
    </mdx>
    <mdx n="0" f="v">
      <t c="8">
        <n x="4" s="1"/>
        <n x="7" s="1"/>
        <n x="67" s="1"/>
        <n x="3" s="1"/>
        <n x="6" s="1"/>
        <n x="68"/>
        <n x="77"/>
        <n x="28"/>
      </t>
    </mdx>
    <mdx n="0" f="v">
      <t c="8">
        <n x="4" s="1"/>
        <n x="7" s="1"/>
        <n x="67" s="1"/>
        <n x="3" s="1"/>
        <n x="6" s="1"/>
        <n x="68"/>
        <n x="77"/>
        <n x="29"/>
      </t>
    </mdx>
    <mdx n="0" f="v">
      <t c="8">
        <n x="4" s="1"/>
        <n x="7" s="1"/>
        <n x="67" s="1"/>
        <n x="3" s="1"/>
        <n x="6" s="1"/>
        <n x="68"/>
        <n x="77"/>
        <n x="30"/>
      </t>
    </mdx>
    <mdx n="0" f="v">
      <t c="8">
        <n x="4" s="1"/>
        <n x="7" s="1"/>
        <n x="67" s="1"/>
        <n x="3" s="1"/>
        <n x="6" s="1"/>
        <n x="68"/>
        <n x="77"/>
        <n x="31"/>
      </t>
    </mdx>
    <mdx n="0" f="v">
      <t c="8">
        <n x="4" s="1"/>
        <n x="7" s="1"/>
        <n x="67" s="1"/>
        <n x="3" s="1"/>
        <n x="6" s="1"/>
        <n x="68"/>
        <n x="77"/>
        <n x="32"/>
      </t>
    </mdx>
    <mdx n="0" f="v">
      <t c="8">
        <n x="4" s="1"/>
        <n x="7" s="1"/>
        <n x="67" s="1"/>
        <n x="3" s="1"/>
        <n x="6" s="1"/>
        <n x="68"/>
        <n x="77"/>
        <n x="33"/>
      </t>
    </mdx>
    <mdx n="0" f="v">
      <t c="8">
        <n x="4" s="1"/>
        <n x="7" s="1"/>
        <n x="67" s="1"/>
        <n x="3" s="1"/>
        <n x="6" s="1"/>
        <n x="68"/>
        <n x="77"/>
        <n x="34"/>
      </t>
    </mdx>
    <mdx n="0" f="v">
      <t c="8">
        <n x="4" s="1"/>
        <n x="7" s="1"/>
        <n x="67" s="1"/>
        <n x="3" s="1"/>
        <n x="6" s="1"/>
        <n x="68"/>
        <n x="77"/>
        <n x="35"/>
      </t>
    </mdx>
    <mdx n="0" f="v">
      <t c="8">
        <n x="4" s="1"/>
        <n x="7" s="1"/>
        <n x="67" s="1"/>
        <n x="3" s="1"/>
        <n x="6" s="1"/>
        <n x="68"/>
        <n x="77"/>
        <n x="36"/>
      </t>
    </mdx>
    <mdx n="0" f="v">
      <t c="8">
        <n x="4" s="1"/>
        <n x="7" s="1"/>
        <n x="67" s="1"/>
        <n x="3" s="1"/>
        <n x="6" s="1"/>
        <n x="68"/>
        <n x="77"/>
        <n x="37"/>
      </t>
    </mdx>
    <mdx n="0" f="v">
      <t c="8">
        <n x="4" s="1"/>
        <n x="7" s="1"/>
        <n x="67" s="1"/>
        <n x="3" s="1"/>
        <n x="6" s="1"/>
        <n x="68"/>
        <n x="77"/>
        <n x="38"/>
      </t>
    </mdx>
    <mdx n="0" f="v">
      <t c="8">
        <n x="4" s="1"/>
        <n x="7" s="1"/>
        <n x="67" s="1"/>
        <n x="3" s="1"/>
        <n x="6" s="1"/>
        <n x="68"/>
        <n x="77"/>
        <n x="39"/>
      </t>
    </mdx>
    <mdx n="0" f="v">
      <t c="8">
        <n x="4" s="1"/>
        <n x="7" s="1"/>
        <n x="67" s="1"/>
        <n x="3" s="1"/>
        <n x="6" s="1"/>
        <n x="68"/>
        <n x="77"/>
        <n x="40"/>
      </t>
    </mdx>
    <mdx n="0" f="v">
      <t c="8">
        <n x="4" s="1"/>
        <n x="7" s="1"/>
        <n x="67" s="1"/>
        <n x="3" s="1"/>
        <n x="6" s="1"/>
        <n x="68"/>
        <n x="77"/>
        <n x="41"/>
      </t>
    </mdx>
    <mdx n="0" f="v">
      <t c="8">
        <n x="4" s="1"/>
        <n x="7" s="1"/>
        <n x="67" s="1"/>
        <n x="3" s="1"/>
        <n x="6" s="1"/>
        <n x="68"/>
        <n x="77"/>
        <n x="42"/>
      </t>
    </mdx>
    <mdx n="0" f="v">
      <t c="8">
        <n x="4" s="1"/>
        <n x="7" s="1"/>
        <n x="67" s="1"/>
        <n x="3" s="1"/>
        <n x="6" s="1"/>
        <n x="68"/>
        <n x="77"/>
        <n x="43"/>
      </t>
    </mdx>
    <mdx n="0" f="v">
      <t c="8">
        <n x="4" s="1"/>
        <n x="7" s="1"/>
        <n x="67" s="1"/>
        <n x="3" s="1"/>
        <n x="6" s="1"/>
        <n x="68"/>
        <n x="77"/>
        <n x="44"/>
      </t>
    </mdx>
    <mdx n="0" f="v">
      <t c="8">
        <n x="4" s="1"/>
        <n x="7" s="1"/>
        <n x="67" s="1"/>
        <n x="3" s="1"/>
        <n x="6" s="1"/>
        <n x="68"/>
        <n x="77"/>
        <n x="45"/>
      </t>
    </mdx>
    <mdx n="0" f="v">
      <t c="8">
        <n x="4" s="1"/>
        <n x="7" s="1"/>
        <n x="67" s="1"/>
        <n x="3" s="1"/>
        <n x="6" s="1"/>
        <n x="68"/>
        <n x="77"/>
        <n x="46"/>
      </t>
    </mdx>
    <mdx n="0" f="v">
      <t c="8">
        <n x="4" s="1"/>
        <n x="7" s="1"/>
        <n x="67" s="1"/>
        <n x="3" s="1"/>
        <n x="6" s="1"/>
        <n x="68"/>
        <n x="77"/>
        <n x="47"/>
      </t>
    </mdx>
    <mdx n="0" f="v">
      <t c="8">
        <n x="4" s="1"/>
        <n x="7" s="1"/>
        <n x="67" s="1"/>
        <n x="3" s="1"/>
        <n x="6" s="1"/>
        <n x="68"/>
        <n x="77"/>
        <n x="48"/>
      </t>
    </mdx>
    <mdx n="0" f="v">
      <t c="8">
        <n x="4" s="1"/>
        <n x="7" s="1"/>
        <n x="67" s="1"/>
        <n x="3" s="1"/>
        <n x="6" s="1"/>
        <n x="68"/>
        <n x="77"/>
        <n x="49"/>
      </t>
    </mdx>
    <mdx n="0" f="v">
      <t c="8">
        <n x="4" s="1"/>
        <n x="7" s="1"/>
        <n x="67" s="1"/>
        <n x="3" s="1"/>
        <n x="6" s="1"/>
        <n x="68"/>
        <n x="77"/>
        <n x="50"/>
      </t>
    </mdx>
    <mdx n="0" f="v">
      <t c="8">
        <n x="4" s="1"/>
        <n x="7" s="1"/>
        <n x="67" s="1"/>
        <n x="3" s="1"/>
        <n x="6" s="1"/>
        <n x="68"/>
        <n x="77"/>
        <n x="51"/>
      </t>
    </mdx>
    <mdx n="0" f="v">
      <t c="8">
        <n x="4" s="1"/>
        <n x="7" s="1"/>
        <n x="67" s="1"/>
        <n x="3" s="1"/>
        <n x="6" s="1"/>
        <n x="68"/>
        <n x="77"/>
        <n x="52"/>
      </t>
    </mdx>
    <mdx n="0" f="v">
      <t c="8">
        <n x="4" s="1"/>
        <n x="7" s="1"/>
        <n x="67" s="1"/>
        <n x="3" s="1"/>
        <n x="6" s="1"/>
        <n x="68"/>
        <n x="77"/>
        <n x="53"/>
      </t>
    </mdx>
    <mdx n="0" f="v">
      <t c="8">
        <n x="4" s="1"/>
        <n x="7" s="1"/>
        <n x="67" s="1"/>
        <n x="3" s="1"/>
        <n x="6" s="1"/>
        <n x="68"/>
        <n x="77"/>
        <n x="54"/>
      </t>
    </mdx>
    <mdx n="0" f="v">
      <t c="8">
        <n x="4" s="1"/>
        <n x="7" s="1"/>
        <n x="67" s="1"/>
        <n x="3" s="1"/>
        <n x="6" s="1"/>
        <n x="68"/>
        <n x="77"/>
        <n x="55"/>
      </t>
    </mdx>
    <mdx n="0" f="v">
      <t c="8">
        <n x="4" s="1"/>
        <n x="7" s="1"/>
        <n x="67" s="1"/>
        <n x="3" s="1"/>
        <n x="6" s="1"/>
        <n x="68"/>
        <n x="77"/>
        <n x="56"/>
      </t>
    </mdx>
    <mdx n="0" f="v">
      <t c="8">
        <n x="4" s="1"/>
        <n x="7" s="1"/>
        <n x="67" s="1"/>
        <n x="3" s="1"/>
        <n x="6" s="1"/>
        <n x="68"/>
        <n x="77"/>
        <n x="57"/>
      </t>
    </mdx>
    <mdx n="0" f="v">
      <t c="8">
        <n x="4" s="1"/>
        <n x="7" s="1"/>
        <n x="67" s="1"/>
        <n x="3" s="1"/>
        <n x="6" s="1"/>
        <n x="68"/>
        <n x="77"/>
        <n x="58"/>
      </t>
    </mdx>
    <mdx n="0" f="v">
      <t c="8">
        <n x="4" s="1"/>
        <n x="7" s="1"/>
        <n x="67" s="1"/>
        <n x="3" s="1"/>
        <n x="6" s="1"/>
        <n x="68"/>
        <n x="77"/>
        <n x="59"/>
      </t>
    </mdx>
    <mdx n="0" f="v">
      <t c="8">
        <n x="4" s="1"/>
        <n x="7" s="1"/>
        <n x="67" s="1"/>
        <n x="3" s="1"/>
        <n x="6" s="1"/>
        <n x="68"/>
        <n x="77"/>
        <n x="60"/>
      </t>
    </mdx>
    <mdx n="0" f="v">
      <t c="8">
        <n x="4" s="1"/>
        <n x="7" s="1"/>
        <n x="67" s="1"/>
        <n x="3" s="1"/>
        <n x="6" s="1"/>
        <n x="68"/>
        <n x="77"/>
        <n x="61"/>
      </t>
    </mdx>
    <mdx n="0" f="v">
      <t c="8">
        <n x="4" s="1"/>
        <n x="7" s="1"/>
        <n x="67" s="1"/>
        <n x="3" s="1"/>
        <n x="6" s="1"/>
        <n x="68"/>
        <n x="77"/>
        <n x="62"/>
      </t>
    </mdx>
    <mdx n="0" f="v">
      <t c="8">
        <n x="4" s="1"/>
        <n x="7" s="1"/>
        <n x="67" s="1"/>
        <n x="3" s="1"/>
        <n x="6" s="1"/>
        <n x="68"/>
        <n x="77"/>
        <n x="63"/>
      </t>
    </mdx>
    <mdx n="0" f="v">
      <t c="8">
        <n x="4" s="1"/>
        <n x="7" s="1"/>
        <n x="67" s="1"/>
        <n x="3" s="1"/>
        <n x="6" s="1"/>
        <n x="68"/>
        <n x="77"/>
        <n x="64"/>
      </t>
    </mdx>
    <mdx n="0" f="v">
      <t c="8">
        <n x="4" s="1"/>
        <n x="7" s="1"/>
        <n x="67" s="1"/>
        <n x="3" s="1"/>
        <n x="6" s="1"/>
        <n x="68"/>
        <n x="77"/>
        <n x="65"/>
      </t>
    </mdx>
    <mdx n="0" f="v">
      <t c="8">
        <n x="4" s="1"/>
        <n x="7" s="1"/>
        <n x="67" s="1"/>
        <n x="3" s="1"/>
        <n x="6" s="1"/>
        <n x="68"/>
        <n x="77"/>
        <n x="66"/>
      </t>
    </mdx>
    <mdx n="0" f="m">
      <t c="1">
        <n x="78"/>
      </t>
    </mdx>
    <mdx n="0" f="v">
      <t c="8">
        <n x="4" s="1"/>
        <n x="7" s="1"/>
        <n x="67" s="1"/>
        <n x="3" s="1"/>
        <n x="6" s="1"/>
        <n x="68"/>
        <n x="78"/>
        <n x="8"/>
      </t>
    </mdx>
    <mdx n="0" f="v">
      <t c="8">
        <n x="4" s="1"/>
        <n x="7" s="1"/>
        <n x="67" s="1"/>
        <n x="3" s="1"/>
        <n x="6" s="1"/>
        <n x="68"/>
        <n x="78"/>
        <n x="9"/>
      </t>
    </mdx>
    <mdx n="0" f="v">
      <t c="8">
        <n x="4" s="1"/>
        <n x="7" s="1"/>
        <n x="67" s="1"/>
        <n x="3" s="1"/>
        <n x="6" s="1"/>
        <n x="68"/>
        <n x="78"/>
        <n x="10"/>
      </t>
    </mdx>
    <mdx n="0" f="v">
      <t c="8">
        <n x="4" s="1"/>
        <n x="7" s="1"/>
        <n x="67" s="1"/>
        <n x="3" s="1"/>
        <n x="6" s="1"/>
        <n x="68"/>
        <n x="78"/>
        <n x="11"/>
      </t>
    </mdx>
    <mdx n="0" f="v">
      <t c="8">
        <n x="4" s="1"/>
        <n x="7" s="1"/>
        <n x="67" s="1"/>
        <n x="3" s="1"/>
        <n x="6" s="1"/>
        <n x="68"/>
        <n x="78"/>
        <n x="12"/>
      </t>
    </mdx>
    <mdx n="0" f="v">
      <t c="8">
        <n x="4" s="1"/>
        <n x="7" s="1"/>
        <n x="67" s="1"/>
        <n x="3" s="1"/>
        <n x="6" s="1"/>
        <n x="68"/>
        <n x="78"/>
        <n x="13"/>
      </t>
    </mdx>
    <mdx n="0" f="v">
      <t c="8">
        <n x="4" s="1"/>
        <n x="7" s="1"/>
        <n x="67" s="1"/>
        <n x="3" s="1"/>
        <n x="6" s="1"/>
        <n x="68"/>
        <n x="78"/>
        <n x="14"/>
      </t>
    </mdx>
    <mdx n="0" f="v">
      <t c="8">
        <n x="4" s="1"/>
        <n x="7" s="1"/>
        <n x="67" s="1"/>
        <n x="3" s="1"/>
        <n x="6" s="1"/>
        <n x="68"/>
        <n x="78"/>
        <n x="15"/>
      </t>
    </mdx>
    <mdx n="0" f="v">
      <t c="8">
        <n x="4" s="1"/>
        <n x="7" s="1"/>
        <n x="67" s="1"/>
        <n x="3" s="1"/>
        <n x="6" s="1"/>
        <n x="68"/>
        <n x="78"/>
        <n x="16"/>
      </t>
    </mdx>
    <mdx n="0" f="v">
      <t c="8">
        <n x="4" s="1"/>
        <n x="7" s="1"/>
        <n x="67" s="1"/>
        <n x="3" s="1"/>
        <n x="6" s="1"/>
        <n x="68"/>
        <n x="78"/>
        <n x="17"/>
      </t>
    </mdx>
    <mdx n="0" f="v">
      <t c="8">
        <n x="4" s="1"/>
        <n x="7" s="1"/>
        <n x="67" s="1"/>
        <n x="3" s="1"/>
        <n x="6" s="1"/>
        <n x="68"/>
        <n x="78"/>
        <n x="18"/>
      </t>
    </mdx>
    <mdx n="0" f="v">
      <t c="8">
        <n x="4" s="1"/>
        <n x="7" s="1"/>
        <n x="67" s="1"/>
        <n x="3" s="1"/>
        <n x="6" s="1"/>
        <n x="68"/>
        <n x="78"/>
        <n x="19"/>
      </t>
    </mdx>
    <mdx n="0" f="v">
      <t c="8">
        <n x="4" s="1"/>
        <n x="7" s="1"/>
        <n x="67" s="1"/>
        <n x="3" s="1"/>
        <n x="6" s="1"/>
        <n x="68"/>
        <n x="78"/>
        <n x="20"/>
      </t>
    </mdx>
    <mdx n="0" f="v">
      <t c="8">
        <n x="4" s="1"/>
        <n x="7" s="1"/>
        <n x="67" s="1"/>
        <n x="3" s="1"/>
        <n x="6" s="1"/>
        <n x="68"/>
        <n x="78"/>
        <n x="21"/>
      </t>
    </mdx>
    <mdx n="0" f="v">
      <t c="8">
        <n x="4" s="1"/>
        <n x="7" s="1"/>
        <n x="67" s="1"/>
        <n x="3" s="1"/>
        <n x="6" s="1"/>
        <n x="68"/>
        <n x="78"/>
        <n x="22"/>
      </t>
    </mdx>
    <mdx n="0" f="v">
      <t c="8">
        <n x="4" s="1"/>
        <n x="7" s="1"/>
        <n x="67" s="1"/>
        <n x="3" s="1"/>
        <n x="6" s="1"/>
        <n x="68"/>
        <n x="78"/>
        <n x="23"/>
      </t>
    </mdx>
    <mdx n="0" f="v">
      <t c="8">
        <n x="4" s="1"/>
        <n x="7" s="1"/>
        <n x="67" s="1"/>
        <n x="3" s="1"/>
        <n x="6" s="1"/>
        <n x="68"/>
        <n x="78"/>
        <n x="24"/>
      </t>
    </mdx>
    <mdx n="0" f="v">
      <t c="8">
        <n x="4" s="1"/>
        <n x="7" s="1"/>
        <n x="67" s="1"/>
        <n x="3" s="1"/>
        <n x="6" s="1"/>
        <n x="68"/>
        <n x="78"/>
        <n x="25"/>
      </t>
    </mdx>
    <mdx n="0" f="v">
      <t c="8">
        <n x="4" s="1"/>
        <n x="7" s="1"/>
        <n x="67" s="1"/>
        <n x="3" s="1"/>
        <n x="6" s="1"/>
        <n x="68"/>
        <n x="78"/>
        <n x="26"/>
      </t>
    </mdx>
    <mdx n="0" f="v">
      <t c="8">
        <n x="4" s="1"/>
        <n x="7" s="1"/>
        <n x="67" s="1"/>
        <n x="3" s="1"/>
        <n x="6" s="1"/>
        <n x="68"/>
        <n x="78"/>
        <n x="27"/>
      </t>
    </mdx>
    <mdx n="0" f="v">
      <t c="8">
        <n x="4" s="1"/>
        <n x="7" s="1"/>
        <n x="67" s="1"/>
        <n x="3" s="1"/>
        <n x="6" s="1"/>
        <n x="68"/>
        <n x="78"/>
        <n x="28"/>
      </t>
    </mdx>
    <mdx n="0" f="v">
      <t c="8">
        <n x="4" s="1"/>
        <n x="7" s="1"/>
        <n x="67" s="1"/>
        <n x="3" s="1"/>
        <n x="6" s="1"/>
        <n x="68"/>
        <n x="78"/>
        <n x="29"/>
      </t>
    </mdx>
    <mdx n="0" f="v">
      <t c="8">
        <n x="4" s="1"/>
        <n x="7" s="1"/>
        <n x="67" s="1"/>
        <n x="3" s="1"/>
        <n x="6" s="1"/>
        <n x="68"/>
        <n x="78"/>
        <n x="30"/>
      </t>
    </mdx>
    <mdx n="0" f="v">
      <t c="8">
        <n x="4" s="1"/>
        <n x="7" s="1"/>
        <n x="67" s="1"/>
        <n x="3" s="1"/>
        <n x="6" s="1"/>
        <n x="68"/>
        <n x="78"/>
        <n x="31"/>
      </t>
    </mdx>
    <mdx n="0" f="v">
      <t c="8">
        <n x="4" s="1"/>
        <n x="7" s="1"/>
        <n x="67" s="1"/>
        <n x="3" s="1"/>
        <n x="6" s="1"/>
        <n x="68"/>
        <n x="78"/>
        <n x="32"/>
      </t>
    </mdx>
    <mdx n="0" f="v">
      <t c="8">
        <n x="4" s="1"/>
        <n x="7" s="1"/>
        <n x="67" s="1"/>
        <n x="3" s="1"/>
        <n x="6" s="1"/>
        <n x="68"/>
        <n x="78"/>
        <n x="33"/>
      </t>
    </mdx>
    <mdx n="0" f="v">
      <t c="8">
        <n x="4" s="1"/>
        <n x="7" s="1"/>
        <n x="67" s="1"/>
        <n x="3" s="1"/>
        <n x="6" s="1"/>
        <n x="68"/>
        <n x="78"/>
        <n x="34"/>
      </t>
    </mdx>
    <mdx n="0" f="v">
      <t c="8">
        <n x="4" s="1"/>
        <n x="7" s="1"/>
        <n x="67" s="1"/>
        <n x="3" s="1"/>
        <n x="6" s="1"/>
        <n x="68"/>
        <n x="78"/>
        <n x="35"/>
      </t>
    </mdx>
    <mdx n="0" f="v">
      <t c="8">
        <n x="4" s="1"/>
        <n x="7" s="1"/>
        <n x="67" s="1"/>
        <n x="3" s="1"/>
        <n x="6" s="1"/>
        <n x="68"/>
        <n x="78"/>
        <n x="36"/>
      </t>
    </mdx>
    <mdx n="0" f="v">
      <t c="8">
        <n x="4" s="1"/>
        <n x="7" s="1"/>
        <n x="67" s="1"/>
        <n x="3" s="1"/>
        <n x="6" s="1"/>
        <n x="68"/>
        <n x="78"/>
        <n x="37"/>
      </t>
    </mdx>
    <mdx n="0" f="v">
      <t c="8">
        <n x="4" s="1"/>
        <n x="7" s="1"/>
        <n x="67" s="1"/>
        <n x="3" s="1"/>
        <n x="6" s="1"/>
        <n x="68"/>
        <n x="78"/>
        <n x="38"/>
      </t>
    </mdx>
    <mdx n="0" f="v">
      <t c="8">
        <n x="4" s="1"/>
        <n x="7" s="1"/>
        <n x="67" s="1"/>
        <n x="3" s="1"/>
        <n x="6" s="1"/>
        <n x="68"/>
        <n x="78"/>
        <n x="39"/>
      </t>
    </mdx>
    <mdx n="0" f="v">
      <t c="8">
        <n x="4" s="1"/>
        <n x="7" s="1"/>
        <n x="67" s="1"/>
        <n x="3" s="1"/>
        <n x="6" s="1"/>
        <n x="68"/>
        <n x="78"/>
        <n x="40"/>
      </t>
    </mdx>
    <mdx n="0" f="v">
      <t c="8">
        <n x="4" s="1"/>
        <n x="7" s="1"/>
        <n x="67" s="1"/>
        <n x="3" s="1"/>
        <n x="6" s="1"/>
        <n x="68"/>
        <n x="78"/>
        <n x="41"/>
      </t>
    </mdx>
    <mdx n="0" f="v">
      <t c="8">
        <n x="4" s="1"/>
        <n x="7" s="1"/>
        <n x="67" s="1"/>
        <n x="3" s="1"/>
        <n x="6" s="1"/>
        <n x="68"/>
        <n x="78"/>
        <n x="42"/>
      </t>
    </mdx>
    <mdx n="0" f="v">
      <t c="8">
        <n x="4" s="1"/>
        <n x="7" s="1"/>
        <n x="67" s="1"/>
        <n x="3" s="1"/>
        <n x="6" s="1"/>
        <n x="68"/>
        <n x="78"/>
        <n x="43"/>
      </t>
    </mdx>
    <mdx n="0" f="v">
      <t c="8">
        <n x="4" s="1"/>
        <n x="7" s="1"/>
        <n x="67" s="1"/>
        <n x="3" s="1"/>
        <n x="6" s="1"/>
        <n x="68"/>
        <n x="78"/>
        <n x="44"/>
      </t>
    </mdx>
    <mdx n="0" f="v">
      <t c="8">
        <n x="4" s="1"/>
        <n x="7" s="1"/>
        <n x="67" s="1"/>
        <n x="3" s="1"/>
        <n x="6" s="1"/>
        <n x="68"/>
        <n x="78"/>
        <n x="45"/>
      </t>
    </mdx>
    <mdx n="0" f="v">
      <t c="8">
        <n x="4" s="1"/>
        <n x="7" s="1"/>
        <n x="67" s="1"/>
        <n x="3" s="1"/>
        <n x="6" s="1"/>
        <n x="68"/>
        <n x="78"/>
        <n x="46"/>
      </t>
    </mdx>
    <mdx n="0" f="v">
      <t c="8">
        <n x="4" s="1"/>
        <n x="7" s="1"/>
        <n x="67" s="1"/>
        <n x="3" s="1"/>
        <n x="6" s="1"/>
        <n x="68"/>
        <n x="78"/>
        <n x="47"/>
      </t>
    </mdx>
    <mdx n="0" f="v">
      <t c="8">
        <n x="4" s="1"/>
        <n x="7" s="1"/>
        <n x="67" s="1"/>
        <n x="3" s="1"/>
        <n x="6" s="1"/>
        <n x="68"/>
        <n x="78"/>
        <n x="48"/>
      </t>
    </mdx>
    <mdx n="0" f="v">
      <t c="8">
        <n x="4" s="1"/>
        <n x="7" s="1"/>
        <n x="67" s="1"/>
        <n x="3" s="1"/>
        <n x="6" s="1"/>
        <n x="68"/>
        <n x="78"/>
        <n x="49"/>
      </t>
    </mdx>
    <mdx n="0" f="v">
      <t c="8">
        <n x="4" s="1"/>
        <n x="7" s="1"/>
        <n x="67" s="1"/>
        <n x="3" s="1"/>
        <n x="6" s="1"/>
        <n x="68"/>
        <n x="78"/>
        <n x="50"/>
      </t>
    </mdx>
    <mdx n="0" f="v">
      <t c="8">
        <n x="4" s="1"/>
        <n x="7" s="1"/>
        <n x="67" s="1"/>
        <n x="3" s="1"/>
        <n x="6" s="1"/>
        <n x="68"/>
        <n x="78"/>
        <n x="51"/>
      </t>
    </mdx>
    <mdx n="0" f="v">
      <t c="8">
        <n x="4" s="1"/>
        <n x="7" s="1"/>
        <n x="67" s="1"/>
        <n x="3" s="1"/>
        <n x="6" s="1"/>
        <n x="68"/>
        <n x="78"/>
        <n x="52"/>
      </t>
    </mdx>
    <mdx n="0" f="v">
      <t c="8">
        <n x="4" s="1"/>
        <n x="7" s="1"/>
        <n x="67" s="1"/>
        <n x="3" s="1"/>
        <n x="6" s="1"/>
        <n x="68"/>
        <n x="78"/>
        <n x="53"/>
      </t>
    </mdx>
    <mdx n="0" f="v">
      <t c="8">
        <n x="4" s="1"/>
        <n x="7" s="1"/>
        <n x="67" s="1"/>
        <n x="3" s="1"/>
        <n x="6" s="1"/>
        <n x="68"/>
        <n x="78"/>
        <n x="54"/>
      </t>
    </mdx>
    <mdx n="0" f="v">
      <t c="8">
        <n x="4" s="1"/>
        <n x="7" s="1"/>
        <n x="67" s="1"/>
        <n x="3" s="1"/>
        <n x="6" s="1"/>
        <n x="68"/>
        <n x="78"/>
        <n x="55"/>
      </t>
    </mdx>
    <mdx n="0" f="v">
      <t c="8">
        <n x="4" s="1"/>
        <n x="7" s="1"/>
        <n x="67" s="1"/>
        <n x="3" s="1"/>
        <n x="6" s="1"/>
        <n x="68"/>
        <n x="78"/>
        <n x="56"/>
      </t>
    </mdx>
    <mdx n="0" f="v">
      <t c="8">
        <n x="4" s="1"/>
        <n x="7" s="1"/>
        <n x="67" s="1"/>
        <n x="3" s="1"/>
        <n x="6" s="1"/>
        <n x="68"/>
        <n x="78"/>
        <n x="57"/>
      </t>
    </mdx>
    <mdx n="0" f="v">
      <t c="8">
        <n x="4" s="1"/>
        <n x="7" s="1"/>
        <n x="67" s="1"/>
        <n x="3" s="1"/>
        <n x="6" s="1"/>
        <n x="68"/>
        <n x="78"/>
        <n x="58"/>
      </t>
    </mdx>
    <mdx n="0" f="v">
      <t c="8">
        <n x="4" s="1"/>
        <n x="7" s="1"/>
        <n x="67" s="1"/>
        <n x="3" s="1"/>
        <n x="6" s="1"/>
        <n x="68"/>
        <n x="78"/>
        <n x="59"/>
      </t>
    </mdx>
    <mdx n="0" f="v">
      <t c="8">
        <n x="4" s="1"/>
        <n x="7" s="1"/>
        <n x="67" s="1"/>
        <n x="3" s="1"/>
        <n x="6" s="1"/>
        <n x="68"/>
        <n x="78"/>
        <n x="60"/>
      </t>
    </mdx>
    <mdx n="0" f="v">
      <t c="8">
        <n x="4" s="1"/>
        <n x="7" s="1"/>
        <n x="67" s="1"/>
        <n x="3" s="1"/>
        <n x="6" s="1"/>
        <n x="68"/>
        <n x="78"/>
        <n x="61"/>
      </t>
    </mdx>
    <mdx n="0" f="v">
      <t c="8">
        <n x="4" s="1"/>
        <n x="7" s="1"/>
        <n x="67" s="1"/>
        <n x="3" s="1"/>
        <n x="6" s="1"/>
        <n x="68"/>
        <n x="78"/>
        <n x="62"/>
      </t>
    </mdx>
    <mdx n="0" f="v">
      <t c="8">
        <n x="4" s="1"/>
        <n x="7" s="1"/>
        <n x="67" s="1"/>
        <n x="3" s="1"/>
        <n x="6" s="1"/>
        <n x="68"/>
        <n x="78"/>
        <n x="63"/>
      </t>
    </mdx>
    <mdx n="0" f="v">
      <t c="8">
        <n x="4" s="1"/>
        <n x="7" s="1"/>
        <n x="67" s="1"/>
        <n x="3" s="1"/>
        <n x="6" s="1"/>
        <n x="68"/>
        <n x="78"/>
        <n x="64"/>
      </t>
    </mdx>
    <mdx n="0" f="v">
      <t c="8">
        <n x="4" s="1"/>
        <n x="7" s="1"/>
        <n x="67" s="1"/>
        <n x="3" s="1"/>
        <n x="6" s="1"/>
        <n x="68"/>
        <n x="78"/>
        <n x="65"/>
      </t>
    </mdx>
    <mdx n="0" f="v">
      <t c="8">
        <n x="4" s="1"/>
        <n x="7" s="1"/>
        <n x="67" s="1"/>
        <n x="3" s="1"/>
        <n x="6" s="1"/>
        <n x="68"/>
        <n x="78"/>
        <n x="66"/>
      </t>
    </mdx>
    <mdx n="0" f="m">
      <t c="1">
        <n x="79"/>
      </t>
    </mdx>
    <mdx n="0" f="v">
      <t c="8">
        <n x="4" s="1"/>
        <n x="7" s="1"/>
        <n x="67" s="1"/>
        <n x="3" s="1"/>
        <n x="6" s="1"/>
        <n x="68"/>
        <n x="79"/>
        <n x="8"/>
      </t>
    </mdx>
    <mdx n="0" f="v">
      <t c="8">
        <n x="4" s="1"/>
        <n x="7" s="1"/>
        <n x="67" s="1"/>
        <n x="3" s="1"/>
        <n x="6" s="1"/>
        <n x="68"/>
        <n x="79"/>
        <n x="9"/>
      </t>
    </mdx>
    <mdx n="0" f="v">
      <t c="8">
        <n x="4" s="1"/>
        <n x="7" s="1"/>
        <n x="67" s="1"/>
        <n x="3" s="1"/>
        <n x="6" s="1"/>
        <n x="68"/>
        <n x="79"/>
        <n x="10"/>
      </t>
    </mdx>
    <mdx n="0" f="v">
      <t c="8">
        <n x="4" s="1"/>
        <n x="7" s="1"/>
        <n x="67" s="1"/>
        <n x="3" s="1"/>
        <n x="6" s="1"/>
        <n x="68"/>
        <n x="79"/>
        <n x="11"/>
      </t>
    </mdx>
    <mdx n="0" f="v">
      <t c="8">
        <n x="4" s="1"/>
        <n x="7" s="1"/>
        <n x="67" s="1"/>
        <n x="3" s="1"/>
        <n x="6" s="1"/>
        <n x="68"/>
        <n x="79"/>
        <n x="12"/>
      </t>
    </mdx>
    <mdx n="0" f="v">
      <t c="8">
        <n x="4" s="1"/>
        <n x="7" s="1"/>
        <n x="67" s="1"/>
        <n x="3" s="1"/>
        <n x="6" s="1"/>
        <n x="68"/>
        <n x="79"/>
        <n x="13"/>
      </t>
    </mdx>
    <mdx n="0" f="v">
      <t c="8">
        <n x="4" s="1"/>
        <n x="7" s="1"/>
        <n x="67" s="1"/>
        <n x="3" s="1"/>
        <n x="6" s="1"/>
        <n x="68"/>
        <n x="79"/>
        <n x="14"/>
      </t>
    </mdx>
    <mdx n="0" f="v">
      <t c="8">
        <n x="4" s="1"/>
        <n x="7" s="1"/>
        <n x="67" s="1"/>
        <n x="3" s="1"/>
        <n x="6" s="1"/>
        <n x="68"/>
        <n x="79"/>
        <n x="15"/>
      </t>
    </mdx>
    <mdx n="0" f="v">
      <t c="8">
        <n x="4" s="1"/>
        <n x="7" s="1"/>
        <n x="67" s="1"/>
        <n x="3" s="1"/>
        <n x="6" s="1"/>
        <n x="68"/>
        <n x="79"/>
        <n x="16"/>
      </t>
    </mdx>
    <mdx n="0" f="v">
      <t c="8">
        <n x="4" s="1"/>
        <n x="7" s="1"/>
        <n x="67" s="1"/>
        <n x="3" s="1"/>
        <n x="6" s="1"/>
        <n x="68"/>
        <n x="79"/>
        <n x="17"/>
      </t>
    </mdx>
    <mdx n="0" f="v">
      <t c="8">
        <n x="4" s="1"/>
        <n x="7" s="1"/>
        <n x="67" s="1"/>
        <n x="3" s="1"/>
        <n x="6" s="1"/>
        <n x="68"/>
        <n x="79"/>
        <n x="18"/>
      </t>
    </mdx>
    <mdx n="0" f="v">
      <t c="8">
        <n x="4" s="1"/>
        <n x="7" s="1"/>
        <n x="67" s="1"/>
        <n x="3" s="1"/>
        <n x="6" s="1"/>
        <n x="68"/>
        <n x="79"/>
        <n x="19"/>
      </t>
    </mdx>
    <mdx n="0" f="v">
      <t c="8">
        <n x="4" s="1"/>
        <n x="7" s="1"/>
        <n x="67" s="1"/>
        <n x="3" s="1"/>
        <n x="6" s="1"/>
        <n x="68"/>
        <n x="79"/>
        <n x="20"/>
      </t>
    </mdx>
    <mdx n="0" f="v">
      <t c="8">
        <n x="4" s="1"/>
        <n x="7" s="1"/>
        <n x="67" s="1"/>
        <n x="3" s="1"/>
        <n x="6" s="1"/>
        <n x="68"/>
        <n x="79"/>
        <n x="21"/>
      </t>
    </mdx>
    <mdx n="0" f="v">
      <t c="8">
        <n x="4" s="1"/>
        <n x="7" s="1"/>
        <n x="67" s="1"/>
        <n x="3" s="1"/>
        <n x="6" s="1"/>
        <n x="68"/>
        <n x="79"/>
        <n x="22"/>
      </t>
    </mdx>
    <mdx n="0" f="v">
      <t c="8">
        <n x="4" s="1"/>
        <n x="7" s="1"/>
        <n x="67" s="1"/>
        <n x="3" s="1"/>
        <n x="6" s="1"/>
        <n x="68"/>
        <n x="79"/>
        <n x="23"/>
      </t>
    </mdx>
    <mdx n="0" f="v">
      <t c="8">
        <n x="4" s="1"/>
        <n x="7" s="1"/>
        <n x="67" s="1"/>
        <n x="3" s="1"/>
        <n x="6" s="1"/>
        <n x="68"/>
        <n x="79"/>
        <n x="24"/>
      </t>
    </mdx>
    <mdx n="0" f="v">
      <t c="8">
        <n x="4" s="1"/>
        <n x="7" s="1"/>
        <n x="67" s="1"/>
        <n x="3" s="1"/>
        <n x="6" s="1"/>
        <n x="68"/>
        <n x="79"/>
        <n x="25"/>
      </t>
    </mdx>
    <mdx n="0" f="v">
      <t c="8">
        <n x="4" s="1"/>
        <n x="7" s="1"/>
        <n x="67" s="1"/>
        <n x="3" s="1"/>
        <n x="6" s="1"/>
        <n x="68"/>
        <n x="79"/>
        <n x="26"/>
      </t>
    </mdx>
    <mdx n="0" f="v">
      <t c="8">
        <n x="4" s="1"/>
        <n x="7" s="1"/>
        <n x="67" s="1"/>
        <n x="3" s="1"/>
        <n x="6" s="1"/>
        <n x="68"/>
        <n x="79"/>
        <n x="27"/>
      </t>
    </mdx>
    <mdx n="0" f="v">
      <t c="8">
        <n x="4" s="1"/>
        <n x="7" s="1"/>
        <n x="67" s="1"/>
        <n x="3" s="1"/>
        <n x="6" s="1"/>
        <n x="68"/>
        <n x="79"/>
        <n x="28"/>
      </t>
    </mdx>
    <mdx n="0" f="v">
      <t c="8">
        <n x="4" s="1"/>
        <n x="7" s="1"/>
        <n x="67" s="1"/>
        <n x="3" s="1"/>
        <n x="6" s="1"/>
        <n x="68"/>
        <n x="79"/>
        <n x="29"/>
      </t>
    </mdx>
    <mdx n="0" f="v">
      <t c="8">
        <n x="4" s="1"/>
        <n x="7" s="1"/>
        <n x="67" s="1"/>
        <n x="3" s="1"/>
        <n x="6" s="1"/>
        <n x="68"/>
        <n x="79"/>
        <n x="30"/>
      </t>
    </mdx>
    <mdx n="0" f="v">
      <t c="8">
        <n x="4" s="1"/>
        <n x="7" s="1"/>
        <n x="67" s="1"/>
        <n x="3" s="1"/>
        <n x="6" s="1"/>
        <n x="68"/>
        <n x="79"/>
        <n x="31"/>
      </t>
    </mdx>
    <mdx n="0" f="v">
      <t c="8">
        <n x="4" s="1"/>
        <n x="7" s="1"/>
        <n x="67" s="1"/>
        <n x="3" s="1"/>
        <n x="6" s="1"/>
        <n x="68"/>
        <n x="79"/>
        <n x="32"/>
      </t>
    </mdx>
    <mdx n="0" f="v">
      <t c="8">
        <n x="4" s="1"/>
        <n x="7" s="1"/>
        <n x="67" s="1"/>
        <n x="3" s="1"/>
        <n x="6" s="1"/>
        <n x="68"/>
        <n x="79"/>
        <n x="33"/>
      </t>
    </mdx>
    <mdx n="0" f="v">
      <t c="8">
        <n x="4" s="1"/>
        <n x="7" s="1"/>
        <n x="67" s="1"/>
        <n x="3" s="1"/>
        <n x="6" s="1"/>
        <n x="68"/>
        <n x="79"/>
        <n x="34"/>
      </t>
    </mdx>
    <mdx n="0" f="v">
      <t c="8">
        <n x="4" s="1"/>
        <n x="7" s="1"/>
        <n x="67" s="1"/>
        <n x="3" s="1"/>
        <n x="6" s="1"/>
        <n x="68"/>
        <n x="79"/>
        <n x="35"/>
      </t>
    </mdx>
    <mdx n="0" f="v">
      <t c="8">
        <n x="4" s="1"/>
        <n x="7" s="1"/>
        <n x="67" s="1"/>
        <n x="3" s="1"/>
        <n x="6" s="1"/>
        <n x="68"/>
        <n x="79"/>
        <n x="36"/>
      </t>
    </mdx>
    <mdx n="0" f="v">
      <t c="8">
        <n x="4" s="1"/>
        <n x="7" s="1"/>
        <n x="67" s="1"/>
        <n x="3" s="1"/>
        <n x="6" s="1"/>
        <n x="68"/>
        <n x="79"/>
        <n x="37"/>
      </t>
    </mdx>
    <mdx n="0" f="v">
      <t c="8">
        <n x="4" s="1"/>
        <n x="7" s="1"/>
        <n x="67" s="1"/>
        <n x="3" s="1"/>
        <n x="6" s="1"/>
        <n x="68"/>
        <n x="79"/>
        <n x="38"/>
      </t>
    </mdx>
    <mdx n="0" f="v">
      <t c="8">
        <n x="4" s="1"/>
        <n x="7" s="1"/>
        <n x="67" s="1"/>
        <n x="3" s="1"/>
        <n x="6" s="1"/>
        <n x="68"/>
        <n x="79"/>
        <n x="39"/>
      </t>
    </mdx>
    <mdx n="0" f="v">
      <t c="8">
        <n x="4" s="1"/>
        <n x="7" s="1"/>
        <n x="67" s="1"/>
        <n x="3" s="1"/>
        <n x="6" s="1"/>
        <n x="68"/>
        <n x="79"/>
        <n x="40"/>
      </t>
    </mdx>
    <mdx n="0" f="v">
      <t c="8">
        <n x="4" s="1"/>
        <n x="7" s="1"/>
        <n x="67" s="1"/>
        <n x="3" s="1"/>
        <n x="6" s="1"/>
        <n x="68"/>
        <n x="79"/>
        <n x="41"/>
      </t>
    </mdx>
    <mdx n="0" f="v">
      <t c="8">
        <n x="4" s="1"/>
        <n x="7" s="1"/>
        <n x="67" s="1"/>
        <n x="3" s="1"/>
        <n x="6" s="1"/>
        <n x="68"/>
        <n x="79"/>
        <n x="42"/>
      </t>
    </mdx>
    <mdx n="0" f="v">
      <t c="8">
        <n x="4" s="1"/>
        <n x="7" s="1"/>
        <n x="67" s="1"/>
        <n x="3" s="1"/>
        <n x="6" s="1"/>
        <n x="68"/>
        <n x="79"/>
        <n x="43"/>
      </t>
    </mdx>
    <mdx n="0" f="v">
      <t c="8">
        <n x="4" s="1"/>
        <n x="7" s="1"/>
        <n x="67" s="1"/>
        <n x="3" s="1"/>
        <n x="6" s="1"/>
        <n x="68"/>
        <n x="79"/>
        <n x="44"/>
      </t>
    </mdx>
    <mdx n="0" f="v">
      <t c="8">
        <n x="4" s="1"/>
        <n x="7" s="1"/>
        <n x="67" s="1"/>
        <n x="3" s="1"/>
        <n x="6" s="1"/>
        <n x="68"/>
        <n x="79"/>
        <n x="45"/>
      </t>
    </mdx>
    <mdx n="0" f="v">
      <t c="8">
        <n x="4" s="1"/>
        <n x="7" s="1"/>
        <n x="67" s="1"/>
        <n x="3" s="1"/>
        <n x="6" s="1"/>
        <n x="68"/>
        <n x="79"/>
        <n x="46"/>
      </t>
    </mdx>
    <mdx n="0" f="v">
      <t c="8">
        <n x="4" s="1"/>
        <n x="7" s="1"/>
        <n x="67" s="1"/>
        <n x="3" s="1"/>
        <n x="6" s="1"/>
        <n x="68"/>
        <n x="79"/>
        <n x="47"/>
      </t>
    </mdx>
    <mdx n="0" f="v">
      <t c="8">
        <n x="4" s="1"/>
        <n x="7" s="1"/>
        <n x="67" s="1"/>
        <n x="3" s="1"/>
        <n x="6" s="1"/>
        <n x="68"/>
        <n x="79"/>
        <n x="48"/>
      </t>
    </mdx>
    <mdx n="0" f="v">
      <t c="8">
        <n x="4" s="1"/>
        <n x="7" s="1"/>
        <n x="67" s="1"/>
        <n x="3" s="1"/>
        <n x="6" s="1"/>
        <n x="68"/>
        <n x="79"/>
        <n x="49"/>
      </t>
    </mdx>
    <mdx n="0" f="v">
      <t c="8">
        <n x="4" s="1"/>
        <n x="7" s="1"/>
        <n x="67" s="1"/>
        <n x="3" s="1"/>
        <n x="6" s="1"/>
        <n x="68"/>
        <n x="79"/>
        <n x="50"/>
      </t>
    </mdx>
    <mdx n="0" f="v">
      <t c="8">
        <n x="4" s="1"/>
        <n x="7" s="1"/>
        <n x="67" s="1"/>
        <n x="3" s="1"/>
        <n x="6" s="1"/>
        <n x="68"/>
        <n x="79"/>
        <n x="51"/>
      </t>
    </mdx>
    <mdx n="0" f="v">
      <t c="8">
        <n x="4" s="1"/>
        <n x="7" s="1"/>
        <n x="67" s="1"/>
        <n x="3" s="1"/>
        <n x="6" s="1"/>
        <n x="68"/>
        <n x="79"/>
        <n x="52"/>
      </t>
    </mdx>
    <mdx n="0" f="v">
      <t c="8">
        <n x="4" s="1"/>
        <n x="7" s="1"/>
        <n x="67" s="1"/>
        <n x="3" s="1"/>
        <n x="6" s="1"/>
        <n x="68"/>
        <n x="79"/>
        <n x="53"/>
      </t>
    </mdx>
    <mdx n="0" f="v">
      <t c="8">
        <n x="4" s="1"/>
        <n x="7" s="1"/>
        <n x="67" s="1"/>
        <n x="3" s="1"/>
        <n x="6" s="1"/>
        <n x="68"/>
        <n x="79"/>
        <n x="54"/>
      </t>
    </mdx>
    <mdx n="0" f="v">
      <t c="8">
        <n x="4" s="1"/>
        <n x="7" s="1"/>
        <n x="67" s="1"/>
        <n x="3" s="1"/>
        <n x="6" s="1"/>
        <n x="68"/>
        <n x="79"/>
        <n x="55"/>
      </t>
    </mdx>
    <mdx n="0" f="v">
      <t c="8">
        <n x="4" s="1"/>
        <n x="7" s="1"/>
        <n x="67" s="1"/>
        <n x="3" s="1"/>
        <n x="6" s="1"/>
        <n x="68"/>
        <n x="79"/>
        <n x="56"/>
      </t>
    </mdx>
    <mdx n="0" f="v">
      <t c="8">
        <n x="4" s="1"/>
        <n x="7" s="1"/>
        <n x="67" s="1"/>
        <n x="3" s="1"/>
        <n x="6" s="1"/>
        <n x="68"/>
        <n x="79"/>
        <n x="57"/>
      </t>
    </mdx>
    <mdx n="0" f="v">
      <t c="8">
        <n x="4" s="1"/>
        <n x="7" s="1"/>
        <n x="67" s="1"/>
        <n x="3" s="1"/>
        <n x="6" s="1"/>
        <n x="68"/>
        <n x="79"/>
        <n x="58"/>
      </t>
    </mdx>
    <mdx n="0" f="v">
      <t c="8">
        <n x="4" s="1"/>
        <n x="7" s="1"/>
        <n x="67" s="1"/>
        <n x="3" s="1"/>
        <n x="6" s="1"/>
        <n x="68"/>
        <n x="79"/>
        <n x="59"/>
      </t>
    </mdx>
    <mdx n="0" f="v">
      <t c="8">
        <n x="4" s="1"/>
        <n x="7" s="1"/>
        <n x="67" s="1"/>
        <n x="3" s="1"/>
        <n x="6" s="1"/>
        <n x="68"/>
        <n x="79"/>
        <n x="60"/>
      </t>
    </mdx>
    <mdx n="0" f="v">
      <t c="8">
        <n x="4" s="1"/>
        <n x="7" s="1"/>
        <n x="67" s="1"/>
        <n x="3" s="1"/>
        <n x="6" s="1"/>
        <n x="68"/>
        <n x="79"/>
        <n x="61"/>
      </t>
    </mdx>
    <mdx n="0" f="v">
      <t c="8">
        <n x="4" s="1"/>
        <n x="7" s="1"/>
        <n x="67" s="1"/>
        <n x="3" s="1"/>
        <n x="6" s="1"/>
        <n x="68"/>
        <n x="79"/>
        <n x="62"/>
      </t>
    </mdx>
    <mdx n="0" f="v">
      <t c="8">
        <n x="4" s="1"/>
        <n x="7" s="1"/>
        <n x="67" s="1"/>
        <n x="3" s="1"/>
        <n x="6" s="1"/>
        <n x="68"/>
        <n x="79"/>
        <n x="63"/>
      </t>
    </mdx>
    <mdx n="0" f="v">
      <t c="8">
        <n x="4" s="1"/>
        <n x="7" s="1"/>
        <n x="67" s="1"/>
        <n x="3" s="1"/>
        <n x="6" s="1"/>
        <n x="68"/>
        <n x="79"/>
        <n x="64"/>
      </t>
    </mdx>
    <mdx n="0" f="v">
      <t c="8">
        <n x="4" s="1"/>
        <n x="7" s="1"/>
        <n x="67" s="1"/>
        <n x="3" s="1"/>
        <n x="6" s="1"/>
        <n x="68"/>
        <n x="79"/>
        <n x="65"/>
      </t>
    </mdx>
    <mdx n="0" f="v">
      <t c="8">
        <n x="4" s="1"/>
        <n x="7" s="1"/>
        <n x="67" s="1"/>
        <n x="3" s="1"/>
        <n x="6" s="1"/>
        <n x="68"/>
        <n x="79"/>
        <n x="66"/>
      </t>
    </mdx>
    <mdx n="0" f="m">
      <t c="1">
        <n x="80"/>
      </t>
    </mdx>
    <mdx n="0" f="v">
      <t c="8">
        <n x="4" s="1"/>
        <n x="7" s="1"/>
        <n x="67" s="1"/>
        <n x="3" s="1"/>
        <n x="6" s="1"/>
        <n x="68"/>
        <n x="80"/>
        <n x="8"/>
      </t>
    </mdx>
    <mdx n="0" f="v">
      <t c="8">
        <n x="4" s="1"/>
        <n x="7" s="1"/>
        <n x="67" s="1"/>
        <n x="3" s="1"/>
        <n x="6" s="1"/>
        <n x="68"/>
        <n x="80"/>
        <n x="9"/>
      </t>
    </mdx>
    <mdx n="0" f="v">
      <t c="8">
        <n x="4" s="1"/>
        <n x="7" s="1"/>
        <n x="67" s="1"/>
        <n x="3" s="1"/>
        <n x="6" s="1"/>
        <n x="68"/>
        <n x="80"/>
        <n x="10"/>
      </t>
    </mdx>
    <mdx n="0" f="v">
      <t c="8">
        <n x="4" s="1"/>
        <n x="7" s="1"/>
        <n x="67" s="1"/>
        <n x="3" s="1"/>
        <n x="6" s="1"/>
        <n x="68"/>
        <n x="80"/>
        <n x="11"/>
      </t>
    </mdx>
    <mdx n="0" f="v">
      <t c="8">
        <n x="4" s="1"/>
        <n x="7" s="1"/>
        <n x="67" s="1"/>
        <n x="3" s="1"/>
        <n x="6" s="1"/>
        <n x="68"/>
        <n x="80"/>
        <n x="12"/>
      </t>
    </mdx>
    <mdx n="0" f="v">
      <t c="8">
        <n x="4" s="1"/>
        <n x="7" s="1"/>
        <n x="67" s="1"/>
        <n x="3" s="1"/>
        <n x="6" s="1"/>
        <n x="68"/>
        <n x="80"/>
        <n x="13"/>
      </t>
    </mdx>
    <mdx n="0" f="v">
      <t c="8">
        <n x="4" s="1"/>
        <n x="7" s="1"/>
        <n x="67" s="1"/>
        <n x="3" s="1"/>
        <n x="6" s="1"/>
        <n x="68"/>
        <n x="80"/>
        <n x="14"/>
      </t>
    </mdx>
    <mdx n="0" f="v">
      <t c="8">
        <n x="4" s="1"/>
        <n x="7" s="1"/>
        <n x="67" s="1"/>
        <n x="3" s="1"/>
        <n x="6" s="1"/>
        <n x="68"/>
        <n x="80"/>
        <n x="15"/>
      </t>
    </mdx>
    <mdx n="0" f="v">
      <t c="8">
        <n x="4" s="1"/>
        <n x="7" s="1"/>
        <n x="67" s="1"/>
        <n x="3" s="1"/>
        <n x="6" s="1"/>
        <n x="68"/>
        <n x="80"/>
        <n x="16"/>
      </t>
    </mdx>
    <mdx n="0" f="v">
      <t c="8">
        <n x="4" s="1"/>
        <n x="7" s="1"/>
        <n x="67" s="1"/>
        <n x="3" s="1"/>
        <n x="6" s="1"/>
        <n x="68"/>
        <n x="80"/>
        <n x="17"/>
      </t>
    </mdx>
    <mdx n="0" f="v">
      <t c="8">
        <n x="4" s="1"/>
        <n x="7" s="1"/>
        <n x="67" s="1"/>
        <n x="3" s="1"/>
        <n x="6" s="1"/>
        <n x="68"/>
        <n x="80"/>
        <n x="18"/>
      </t>
    </mdx>
    <mdx n="0" f="v">
      <t c="8">
        <n x="4" s="1"/>
        <n x="7" s="1"/>
        <n x="67" s="1"/>
        <n x="3" s="1"/>
        <n x="6" s="1"/>
        <n x="68"/>
        <n x="80"/>
        <n x="19"/>
      </t>
    </mdx>
    <mdx n="0" f="v">
      <t c="8">
        <n x="4" s="1"/>
        <n x="7" s="1"/>
        <n x="67" s="1"/>
        <n x="3" s="1"/>
        <n x="6" s="1"/>
        <n x="68"/>
        <n x="80"/>
        <n x="20"/>
      </t>
    </mdx>
    <mdx n="0" f="v">
      <t c="8">
        <n x="4" s="1"/>
        <n x="7" s="1"/>
        <n x="67" s="1"/>
        <n x="3" s="1"/>
        <n x="6" s="1"/>
        <n x="68"/>
        <n x="80"/>
        <n x="21"/>
      </t>
    </mdx>
    <mdx n="0" f="v">
      <t c="8">
        <n x="4" s="1"/>
        <n x="7" s="1"/>
        <n x="67" s="1"/>
        <n x="3" s="1"/>
        <n x="6" s="1"/>
        <n x="68"/>
        <n x="80"/>
        <n x="22"/>
      </t>
    </mdx>
    <mdx n="0" f="v">
      <t c="8">
        <n x="4" s="1"/>
        <n x="7" s="1"/>
        <n x="67" s="1"/>
        <n x="3" s="1"/>
        <n x="6" s="1"/>
        <n x="68"/>
        <n x="80"/>
        <n x="23"/>
      </t>
    </mdx>
    <mdx n="0" f="v">
      <t c="8">
        <n x="4" s="1"/>
        <n x="7" s="1"/>
        <n x="67" s="1"/>
        <n x="3" s="1"/>
        <n x="6" s="1"/>
        <n x="68"/>
        <n x="80"/>
        <n x="24"/>
      </t>
    </mdx>
    <mdx n="0" f="v">
      <t c="8">
        <n x="4" s="1"/>
        <n x="7" s="1"/>
        <n x="67" s="1"/>
        <n x="3" s="1"/>
        <n x="6" s="1"/>
        <n x="68"/>
        <n x="80"/>
        <n x="25"/>
      </t>
    </mdx>
    <mdx n="0" f="v">
      <t c="8">
        <n x="4" s="1"/>
        <n x="7" s="1"/>
        <n x="67" s="1"/>
        <n x="3" s="1"/>
        <n x="6" s="1"/>
        <n x="68"/>
        <n x="80"/>
        <n x="26"/>
      </t>
    </mdx>
    <mdx n="0" f="v">
      <t c="8">
        <n x="4" s="1"/>
        <n x="7" s="1"/>
        <n x="67" s="1"/>
        <n x="3" s="1"/>
        <n x="6" s="1"/>
        <n x="68"/>
        <n x="80"/>
        <n x="27"/>
      </t>
    </mdx>
    <mdx n="0" f="v">
      <t c="8">
        <n x="4" s="1"/>
        <n x="7" s="1"/>
        <n x="67" s="1"/>
        <n x="3" s="1"/>
        <n x="6" s="1"/>
        <n x="68"/>
        <n x="80"/>
        <n x="28"/>
      </t>
    </mdx>
    <mdx n="0" f="v">
      <t c="8">
        <n x="4" s="1"/>
        <n x="7" s="1"/>
        <n x="67" s="1"/>
        <n x="3" s="1"/>
        <n x="6" s="1"/>
        <n x="68"/>
        <n x="80"/>
        <n x="29"/>
      </t>
    </mdx>
    <mdx n="0" f="v">
      <t c="8">
        <n x="4" s="1"/>
        <n x="7" s="1"/>
        <n x="67" s="1"/>
        <n x="3" s="1"/>
        <n x="6" s="1"/>
        <n x="68"/>
        <n x="80"/>
        <n x="30"/>
      </t>
    </mdx>
    <mdx n="0" f="v">
      <t c="8">
        <n x="4" s="1"/>
        <n x="7" s="1"/>
        <n x="67" s="1"/>
        <n x="3" s="1"/>
        <n x="6" s="1"/>
        <n x="68"/>
        <n x="80"/>
        <n x="31"/>
      </t>
    </mdx>
    <mdx n="0" f="v">
      <t c="8">
        <n x="4" s="1"/>
        <n x="7" s="1"/>
        <n x="67" s="1"/>
        <n x="3" s="1"/>
        <n x="6" s="1"/>
        <n x="68"/>
        <n x="80"/>
        <n x="32"/>
      </t>
    </mdx>
    <mdx n="0" f="v">
      <t c="8">
        <n x="4" s="1"/>
        <n x="7" s="1"/>
        <n x="67" s="1"/>
        <n x="3" s="1"/>
        <n x="6" s="1"/>
        <n x="68"/>
        <n x="80"/>
        <n x="33"/>
      </t>
    </mdx>
    <mdx n="0" f="v">
      <t c="8">
        <n x="4" s="1"/>
        <n x="7" s="1"/>
        <n x="67" s="1"/>
        <n x="3" s="1"/>
        <n x="6" s="1"/>
        <n x="68"/>
        <n x="80"/>
        <n x="34"/>
      </t>
    </mdx>
    <mdx n="0" f="v">
      <t c="8">
        <n x="4" s="1"/>
        <n x="7" s="1"/>
        <n x="67" s="1"/>
        <n x="3" s="1"/>
        <n x="6" s="1"/>
        <n x="68"/>
        <n x="80"/>
        <n x="35"/>
      </t>
    </mdx>
    <mdx n="0" f="v">
      <t c="8">
        <n x="4" s="1"/>
        <n x="7" s="1"/>
        <n x="67" s="1"/>
        <n x="3" s="1"/>
        <n x="6" s="1"/>
        <n x="68"/>
        <n x="80"/>
        <n x="36"/>
      </t>
    </mdx>
    <mdx n="0" f="v">
      <t c="8">
        <n x="4" s="1"/>
        <n x="7" s="1"/>
        <n x="67" s="1"/>
        <n x="3" s="1"/>
        <n x="6" s="1"/>
        <n x="68"/>
        <n x="80"/>
        <n x="37"/>
      </t>
    </mdx>
    <mdx n="0" f="v">
      <t c="8">
        <n x="4" s="1"/>
        <n x="7" s="1"/>
        <n x="67" s="1"/>
        <n x="3" s="1"/>
        <n x="6" s="1"/>
        <n x="68"/>
        <n x="80"/>
        <n x="38"/>
      </t>
    </mdx>
    <mdx n="0" f="v">
      <t c="8">
        <n x="4" s="1"/>
        <n x="7" s="1"/>
        <n x="67" s="1"/>
        <n x="3" s="1"/>
        <n x="6" s="1"/>
        <n x="68"/>
        <n x="80"/>
        <n x="39"/>
      </t>
    </mdx>
    <mdx n="0" f="v">
      <t c="8">
        <n x="4" s="1"/>
        <n x="7" s="1"/>
        <n x="67" s="1"/>
        <n x="3" s="1"/>
        <n x="6" s="1"/>
        <n x="68"/>
        <n x="80"/>
        <n x="40"/>
      </t>
    </mdx>
    <mdx n="0" f="v">
      <t c="8">
        <n x="4" s="1"/>
        <n x="7" s="1"/>
        <n x="67" s="1"/>
        <n x="3" s="1"/>
        <n x="6" s="1"/>
        <n x="68"/>
        <n x="80"/>
        <n x="41"/>
      </t>
    </mdx>
    <mdx n="0" f="v">
      <t c="8">
        <n x="4" s="1"/>
        <n x="7" s="1"/>
        <n x="67" s="1"/>
        <n x="3" s="1"/>
        <n x="6" s="1"/>
        <n x="68"/>
        <n x="80"/>
        <n x="42"/>
      </t>
    </mdx>
    <mdx n="0" f="v">
      <t c="8">
        <n x="4" s="1"/>
        <n x="7" s="1"/>
        <n x="67" s="1"/>
        <n x="3" s="1"/>
        <n x="6" s="1"/>
        <n x="68"/>
        <n x="80"/>
        <n x="43"/>
      </t>
    </mdx>
    <mdx n="0" f="v">
      <t c="8">
        <n x="4" s="1"/>
        <n x="7" s="1"/>
        <n x="67" s="1"/>
        <n x="3" s="1"/>
        <n x="6" s="1"/>
        <n x="68"/>
        <n x="80"/>
        <n x="44"/>
      </t>
    </mdx>
    <mdx n="0" f="v">
      <t c="8">
        <n x="4" s="1"/>
        <n x="7" s="1"/>
        <n x="67" s="1"/>
        <n x="3" s="1"/>
        <n x="6" s="1"/>
        <n x="68"/>
        <n x="80"/>
        <n x="45"/>
      </t>
    </mdx>
    <mdx n="0" f="v">
      <t c="8">
        <n x="4" s="1"/>
        <n x="7" s="1"/>
        <n x="67" s="1"/>
        <n x="3" s="1"/>
        <n x="6" s="1"/>
        <n x="68"/>
        <n x="80"/>
        <n x="46"/>
      </t>
    </mdx>
    <mdx n="0" f="v">
      <t c="8">
        <n x="4" s="1"/>
        <n x="7" s="1"/>
        <n x="67" s="1"/>
        <n x="3" s="1"/>
        <n x="6" s="1"/>
        <n x="68"/>
        <n x="80"/>
        <n x="47"/>
      </t>
    </mdx>
    <mdx n="0" f="v">
      <t c="8">
        <n x="4" s="1"/>
        <n x="7" s="1"/>
        <n x="67" s="1"/>
        <n x="3" s="1"/>
        <n x="6" s="1"/>
        <n x="68"/>
        <n x="80"/>
        <n x="48"/>
      </t>
    </mdx>
    <mdx n="0" f="v">
      <t c="8">
        <n x="4" s="1"/>
        <n x="7" s="1"/>
        <n x="67" s="1"/>
        <n x="3" s="1"/>
        <n x="6" s="1"/>
        <n x="68"/>
        <n x="80"/>
        <n x="49"/>
      </t>
    </mdx>
    <mdx n="0" f="v">
      <t c="8">
        <n x="4" s="1"/>
        <n x="7" s="1"/>
        <n x="67" s="1"/>
        <n x="3" s="1"/>
        <n x="6" s="1"/>
        <n x="68"/>
        <n x="80"/>
        <n x="50"/>
      </t>
    </mdx>
    <mdx n="0" f="v">
      <t c="8">
        <n x="4" s="1"/>
        <n x="7" s="1"/>
        <n x="67" s="1"/>
        <n x="3" s="1"/>
        <n x="6" s="1"/>
        <n x="68"/>
        <n x="80"/>
        <n x="51"/>
      </t>
    </mdx>
    <mdx n="0" f="v">
      <t c="8">
        <n x="4" s="1"/>
        <n x="7" s="1"/>
        <n x="67" s="1"/>
        <n x="3" s="1"/>
        <n x="6" s="1"/>
        <n x="68"/>
        <n x="80"/>
        <n x="52"/>
      </t>
    </mdx>
    <mdx n="0" f="v">
      <t c="8">
        <n x="4" s="1"/>
        <n x="7" s="1"/>
        <n x="67" s="1"/>
        <n x="3" s="1"/>
        <n x="6" s="1"/>
        <n x="68"/>
        <n x="80"/>
        <n x="53"/>
      </t>
    </mdx>
    <mdx n="0" f="v">
      <t c="8">
        <n x="4" s="1"/>
        <n x="7" s="1"/>
        <n x="67" s="1"/>
        <n x="3" s="1"/>
        <n x="6" s="1"/>
        <n x="68"/>
        <n x="80"/>
        <n x="54"/>
      </t>
    </mdx>
    <mdx n="0" f="v">
      <t c="8">
        <n x="4" s="1"/>
        <n x="7" s="1"/>
        <n x="67" s="1"/>
        <n x="3" s="1"/>
        <n x="6" s="1"/>
        <n x="68"/>
        <n x="80"/>
        <n x="55"/>
      </t>
    </mdx>
    <mdx n="0" f="v">
      <t c="8">
        <n x="4" s="1"/>
        <n x="7" s="1"/>
        <n x="67" s="1"/>
        <n x="3" s="1"/>
        <n x="6" s="1"/>
        <n x="68"/>
        <n x="80"/>
        <n x="56"/>
      </t>
    </mdx>
    <mdx n="0" f="v">
      <t c="8">
        <n x="4" s="1"/>
        <n x="7" s="1"/>
        <n x="67" s="1"/>
        <n x="3" s="1"/>
        <n x="6" s="1"/>
        <n x="68"/>
        <n x="80"/>
        <n x="57"/>
      </t>
    </mdx>
    <mdx n="0" f="v">
      <t c="8">
        <n x="4" s="1"/>
        <n x="7" s="1"/>
        <n x="67" s="1"/>
        <n x="3" s="1"/>
        <n x="6" s="1"/>
        <n x="68"/>
        <n x="80"/>
        <n x="58"/>
      </t>
    </mdx>
    <mdx n="0" f="v">
      <t c="8">
        <n x="4" s="1"/>
        <n x="7" s="1"/>
        <n x="67" s="1"/>
        <n x="3" s="1"/>
        <n x="6" s="1"/>
        <n x="68"/>
        <n x="80"/>
        <n x="59"/>
      </t>
    </mdx>
    <mdx n="0" f="v">
      <t c="8">
        <n x="4" s="1"/>
        <n x="7" s="1"/>
        <n x="67" s="1"/>
        <n x="3" s="1"/>
        <n x="6" s="1"/>
        <n x="68"/>
        <n x="80"/>
        <n x="60"/>
      </t>
    </mdx>
    <mdx n="0" f="v">
      <t c="8">
        <n x="4" s="1"/>
        <n x="7" s="1"/>
        <n x="67" s="1"/>
        <n x="3" s="1"/>
        <n x="6" s="1"/>
        <n x="68"/>
        <n x="80"/>
        <n x="61"/>
      </t>
    </mdx>
    <mdx n="0" f="v">
      <t c="8">
        <n x="4" s="1"/>
        <n x="7" s="1"/>
        <n x="67" s="1"/>
        <n x="3" s="1"/>
        <n x="6" s="1"/>
        <n x="68"/>
        <n x="80"/>
        <n x="62"/>
      </t>
    </mdx>
    <mdx n="0" f="v">
      <t c="8">
        <n x="4" s="1"/>
        <n x="7" s="1"/>
        <n x="67" s="1"/>
        <n x="3" s="1"/>
        <n x="6" s="1"/>
        <n x="68"/>
        <n x="80"/>
        <n x="63"/>
      </t>
    </mdx>
    <mdx n="0" f="v">
      <t c="8">
        <n x="4" s="1"/>
        <n x="7" s="1"/>
        <n x="67" s="1"/>
        <n x="3" s="1"/>
        <n x="6" s="1"/>
        <n x="68"/>
        <n x="80"/>
        <n x="64"/>
      </t>
    </mdx>
    <mdx n="0" f="v">
      <t c="8">
        <n x="4" s="1"/>
        <n x="7" s="1"/>
        <n x="67" s="1"/>
        <n x="3" s="1"/>
        <n x="6" s="1"/>
        <n x="68"/>
        <n x="80"/>
        <n x="65"/>
      </t>
    </mdx>
    <mdx n="0" f="v">
      <t c="8">
        <n x="4" s="1"/>
        <n x="7" s="1"/>
        <n x="67" s="1"/>
        <n x="3" s="1"/>
        <n x="6" s="1"/>
        <n x="68"/>
        <n x="80"/>
        <n x="66"/>
      </t>
    </mdx>
    <mdx n="0" f="m">
      <t c="1">
        <n x="81"/>
      </t>
    </mdx>
    <mdx n="0" f="v">
      <t c="8">
        <n x="4" s="1"/>
        <n x="7" s="1"/>
        <n x="67" s="1"/>
        <n x="3" s="1"/>
        <n x="6" s="1"/>
        <n x="68"/>
        <n x="81"/>
        <n x="8"/>
      </t>
    </mdx>
    <mdx n="0" f="v">
      <t c="8">
        <n x="4" s="1"/>
        <n x="7" s="1"/>
        <n x="67" s="1"/>
        <n x="3" s="1"/>
        <n x="6" s="1"/>
        <n x="68"/>
        <n x="81"/>
        <n x="9"/>
      </t>
    </mdx>
    <mdx n="0" f="v">
      <t c="8">
        <n x="4" s="1"/>
        <n x="7" s="1"/>
        <n x="67" s="1"/>
        <n x="3" s="1"/>
        <n x="6" s="1"/>
        <n x="68"/>
        <n x="81"/>
        <n x="10"/>
      </t>
    </mdx>
    <mdx n="0" f="v">
      <t c="8">
        <n x="4" s="1"/>
        <n x="7" s="1"/>
        <n x="67" s="1"/>
        <n x="3" s="1"/>
        <n x="6" s="1"/>
        <n x="68"/>
        <n x="81"/>
        <n x="11"/>
      </t>
    </mdx>
    <mdx n="0" f="v">
      <t c="8">
        <n x="4" s="1"/>
        <n x="7" s="1"/>
        <n x="67" s="1"/>
        <n x="3" s="1"/>
        <n x="6" s="1"/>
        <n x="68"/>
        <n x="81"/>
        <n x="12"/>
      </t>
    </mdx>
    <mdx n="0" f="v">
      <t c="8">
        <n x="4" s="1"/>
        <n x="7" s="1"/>
        <n x="67" s="1"/>
        <n x="3" s="1"/>
        <n x="6" s="1"/>
        <n x="68"/>
        <n x="81"/>
        <n x="13"/>
      </t>
    </mdx>
    <mdx n="0" f="v">
      <t c="8">
        <n x="4" s="1"/>
        <n x="7" s="1"/>
        <n x="67" s="1"/>
        <n x="3" s="1"/>
        <n x="6" s="1"/>
        <n x="68"/>
        <n x="81"/>
        <n x="14"/>
      </t>
    </mdx>
    <mdx n="0" f="v">
      <t c="8">
        <n x="4" s="1"/>
        <n x="7" s="1"/>
        <n x="67" s="1"/>
        <n x="3" s="1"/>
        <n x="6" s="1"/>
        <n x="68"/>
        <n x="81"/>
        <n x="15"/>
      </t>
    </mdx>
    <mdx n="0" f="v">
      <t c="8">
        <n x="4" s="1"/>
        <n x="7" s="1"/>
        <n x="67" s="1"/>
        <n x="3" s="1"/>
        <n x="6" s="1"/>
        <n x="68"/>
        <n x="81"/>
        <n x="16"/>
      </t>
    </mdx>
    <mdx n="0" f="v">
      <t c="8">
        <n x="4" s="1"/>
        <n x="7" s="1"/>
        <n x="67" s="1"/>
        <n x="3" s="1"/>
        <n x="6" s="1"/>
        <n x="68"/>
        <n x="81"/>
        <n x="17"/>
      </t>
    </mdx>
    <mdx n="0" f="v">
      <t c="8">
        <n x="4" s="1"/>
        <n x="7" s="1"/>
        <n x="67" s="1"/>
        <n x="3" s="1"/>
        <n x="6" s="1"/>
        <n x="68"/>
        <n x="81"/>
        <n x="18"/>
      </t>
    </mdx>
    <mdx n="0" f="v">
      <t c="8">
        <n x="4" s="1"/>
        <n x="7" s="1"/>
        <n x="67" s="1"/>
        <n x="3" s="1"/>
        <n x="6" s="1"/>
        <n x="68"/>
        <n x="81"/>
        <n x="19"/>
      </t>
    </mdx>
    <mdx n="0" f="v">
      <t c="8">
        <n x="4" s="1"/>
        <n x="7" s="1"/>
        <n x="67" s="1"/>
        <n x="3" s="1"/>
        <n x="6" s="1"/>
        <n x="68"/>
        <n x="81"/>
        <n x="20"/>
      </t>
    </mdx>
    <mdx n="0" f="v">
      <t c="8">
        <n x="4" s="1"/>
        <n x="7" s="1"/>
        <n x="67" s="1"/>
        <n x="3" s="1"/>
        <n x="6" s="1"/>
        <n x="68"/>
        <n x="81"/>
        <n x="21"/>
      </t>
    </mdx>
    <mdx n="0" f="v">
      <t c="8">
        <n x="4" s="1"/>
        <n x="7" s="1"/>
        <n x="67" s="1"/>
        <n x="3" s="1"/>
        <n x="6" s="1"/>
        <n x="68"/>
        <n x="81"/>
        <n x="22"/>
      </t>
    </mdx>
    <mdx n="0" f="v">
      <t c="8">
        <n x="4" s="1"/>
        <n x="7" s="1"/>
        <n x="67" s="1"/>
        <n x="3" s="1"/>
        <n x="6" s="1"/>
        <n x="68"/>
        <n x="81"/>
        <n x="23"/>
      </t>
    </mdx>
    <mdx n="0" f="v">
      <t c="8">
        <n x="4" s="1"/>
        <n x="7" s="1"/>
        <n x="67" s="1"/>
        <n x="3" s="1"/>
        <n x="6" s="1"/>
        <n x="68"/>
        <n x="81"/>
        <n x="24"/>
      </t>
    </mdx>
    <mdx n="0" f="v">
      <t c="8">
        <n x="4" s="1"/>
        <n x="7" s="1"/>
        <n x="67" s="1"/>
        <n x="3" s="1"/>
        <n x="6" s="1"/>
        <n x="68"/>
        <n x="81"/>
        <n x="25"/>
      </t>
    </mdx>
    <mdx n="0" f="v">
      <t c="8">
        <n x="4" s="1"/>
        <n x="7" s="1"/>
        <n x="67" s="1"/>
        <n x="3" s="1"/>
        <n x="6" s="1"/>
        <n x="68"/>
        <n x="81"/>
        <n x="26"/>
      </t>
    </mdx>
    <mdx n="0" f="v">
      <t c="8">
        <n x="4" s="1"/>
        <n x="7" s="1"/>
        <n x="67" s="1"/>
        <n x="3" s="1"/>
        <n x="6" s="1"/>
        <n x="68"/>
        <n x="81"/>
        <n x="27"/>
      </t>
    </mdx>
    <mdx n="0" f="v">
      <t c="8">
        <n x="4" s="1"/>
        <n x="7" s="1"/>
        <n x="67" s="1"/>
        <n x="3" s="1"/>
        <n x="6" s="1"/>
        <n x="68"/>
        <n x="81"/>
        <n x="28"/>
      </t>
    </mdx>
    <mdx n="0" f="v">
      <t c="8">
        <n x="4" s="1"/>
        <n x="7" s="1"/>
        <n x="67" s="1"/>
        <n x="3" s="1"/>
        <n x="6" s="1"/>
        <n x="68"/>
        <n x="81"/>
        <n x="29"/>
      </t>
    </mdx>
    <mdx n="0" f="v">
      <t c="8">
        <n x="4" s="1"/>
        <n x="7" s="1"/>
        <n x="67" s="1"/>
        <n x="3" s="1"/>
        <n x="6" s="1"/>
        <n x="68"/>
        <n x="81"/>
        <n x="30"/>
      </t>
    </mdx>
    <mdx n="0" f="v">
      <t c="8">
        <n x="4" s="1"/>
        <n x="7" s="1"/>
        <n x="67" s="1"/>
        <n x="3" s="1"/>
        <n x="6" s="1"/>
        <n x="68"/>
        <n x="81"/>
        <n x="31"/>
      </t>
    </mdx>
    <mdx n="0" f="v">
      <t c="8">
        <n x="4" s="1"/>
        <n x="7" s="1"/>
        <n x="67" s="1"/>
        <n x="3" s="1"/>
        <n x="6" s="1"/>
        <n x="68"/>
        <n x="81"/>
        <n x="32"/>
      </t>
    </mdx>
    <mdx n="0" f="v">
      <t c="8">
        <n x="4" s="1"/>
        <n x="7" s="1"/>
        <n x="67" s="1"/>
        <n x="3" s="1"/>
        <n x="6" s="1"/>
        <n x="68"/>
        <n x="81"/>
        <n x="33"/>
      </t>
    </mdx>
    <mdx n="0" f="v">
      <t c="8">
        <n x="4" s="1"/>
        <n x="7" s="1"/>
        <n x="67" s="1"/>
        <n x="3" s="1"/>
        <n x="6" s="1"/>
        <n x="68"/>
        <n x="81"/>
        <n x="34"/>
      </t>
    </mdx>
    <mdx n="0" f="v">
      <t c="8">
        <n x="4" s="1"/>
        <n x="7" s="1"/>
        <n x="67" s="1"/>
        <n x="3" s="1"/>
        <n x="6" s="1"/>
        <n x="68"/>
        <n x="81"/>
        <n x="35"/>
      </t>
    </mdx>
    <mdx n="0" f="v">
      <t c="8">
        <n x="4" s="1"/>
        <n x="7" s="1"/>
        <n x="67" s="1"/>
        <n x="3" s="1"/>
        <n x="6" s="1"/>
        <n x="68"/>
        <n x="81"/>
        <n x="36"/>
      </t>
    </mdx>
    <mdx n="0" f="v">
      <t c="8">
        <n x="4" s="1"/>
        <n x="7" s="1"/>
        <n x="67" s="1"/>
        <n x="3" s="1"/>
        <n x="6" s="1"/>
        <n x="68"/>
        <n x="81"/>
        <n x="37"/>
      </t>
    </mdx>
    <mdx n="0" f="v">
      <t c="8">
        <n x="4" s="1"/>
        <n x="7" s="1"/>
        <n x="67" s="1"/>
        <n x="3" s="1"/>
        <n x="6" s="1"/>
        <n x="68"/>
        <n x="81"/>
        <n x="38"/>
      </t>
    </mdx>
    <mdx n="0" f="v">
      <t c="8">
        <n x="4" s="1"/>
        <n x="7" s="1"/>
        <n x="67" s="1"/>
        <n x="3" s="1"/>
        <n x="6" s="1"/>
        <n x="68"/>
        <n x="81"/>
        <n x="39"/>
      </t>
    </mdx>
    <mdx n="0" f="v">
      <t c="8">
        <n x="4" s="1"/>
        <n x="7" s="1"/>
        <n x="67" s="1"/>
        <n x="3" s="1"/>
        <n x="6" s="1"/>
        <n x="68"/>
        <n x="81"/>
        <n x="40"/>
      </t>
    </mdx>
    <mdx n="0" f="v">
      <t c="8">
        <n x="4" s="1"/>
        <n x="7" s="1"/>
        <n x="67" s="1"/>
        <n x="3" s="1"/>
        <n x="6" s="1"/>
        <n x="68"/>
        <n x="81"/>
        <n x="41"/>
      </t>
    </mdx>
    <mdx n="0" f="v">
      <t c="8">
        <n x="4" s="1"/>
        <n x="7" s="1"/>
        <n x="67" s="1"/>
        <n x="3" s="1"/>
        <n x="6" s="1"/>
        <n x="68"/>
        <n x="81"/>
        <n x="42"/>
      </t>
    </mdx>
    <mdx n="0" f="v">
      <t c="8">
        <n x="4" s="1"/>
        <n x="7" s="1"/>
        <n x="67" s="1"/>
        <n x="3" s="1"/>
        <n x="6" s="1"/>
        <n x="68"/>
        <n x="81"/>
        <n x="43"/>
      </t>
    </mdx>
    <mdx n="0" f="v">
      <t c="8">
        <n x="4" s="1"/>
        <n x="7" s="1"/>
        <n x="67" s="1"/>
        <n x="3" s="1"/>
        <n x="6" s="1"/>
        <n x="68"/>
        <n x="81"/>
        <n x="44"/>
      </t>
    </mdx>
    <mdx n="0" f="v">
      <t c="8">
        <n x="4" s="1"/>
        <n x="7" s="1"/>
        <n x="67" s="1"/>
        <n x="3" s="1"/>
        <n x="6" s="1"/>
        <n x="68"/>
        <n x="81"/>
        <n x="45"/>
      </t>
    </mdx>
    <mdx n="0" f="v">
      <t c="8">
        <n x="4" s="1"/>
        <n x="7" s="1"/>
        <n x="67" s="1"/>
        <n x="3" s="1"/>
        <n x="6" s="1"/>
        <n x="68"/>
        <n x="81"/>
        <n x="46"/>
      </t>
    </mdx>
    <mdx n="0" f="v">
      <t c="8">
        <n x="4" s="1"/>
        <n x="7" s="1"/>
        <n x="67" s="1"/>
        <n x="3" s="1"/>
        <n x="6" s="1"/>
        <n x="68"/>
        <n x="81"/>
        <n x="47"/>
      </t>
    </mdx>
    <mdx n="0" f="v">
      <t c="8">
        <n x="4" s="1"/>
        <n x="7" s="1"/>
        <n x="67" s="1"/>
        <n x="3" s="1"/>
        <n x="6" s="1"/>
        <n x="68"/>
        <n x="81"/>
        <n x="48"/>
      </t>
    </mdx>
    <mdx n="0" f="v">
      <t c="8">
        <n x="4" s="1"/>
        <n x="7" s="1"/>
        <n x="67" s="1"/>
        <n x="3" s="1"/>
        <n x="6" s="1"/>
        <n x="68"/>
        <n x="81"/>
        <n x="49"/>
      </t>
    </mdx>
    <mdx n="0" f="v">
      <t c="8">
        <n x="4" s="1"/>
        <n x="7" s="1"/>
        <n x="67" s="1"/>
        <n x="3" s="1"/>
        <n x="6" s="1"/>
        <n x="68"/>
        <n x="81"/>
        <n x="50"/>
      </t>
    </mdx>
    <mdx n="0" f="v">
      <t c="8">
        <n x="4" s="1"/>
        <n x="7" s="1"/>
        <n x="67" s="1"/>
        <n x="3" s="1"/>
        <n x="6" s="1"/>
        <n x="68"/>
        <n x="81"/>
        <n x="51"/>
      </t>
    </mdx>
    <mdx n="0" f="v">
      <t c="8">
        <n x="4" s="1"/>
        <n x="7" s="1"/>
        <n x="67" s="1"/>
        <n x="3" s="1"/>
        <n x="6" s="1"/>
        <n x="68"/>
        <n x="81"/>
        <n x="52"/>
      </t>
    </mdx>
    <mdx n="0" f="v">
      <t c="8">
        <n x="4" s="1"/>
        <n x="7" s="1"/>
        <n x="67" s="1"/>
        <n x="3" s="1"/>
        <n x="6" s="1"/>
        <n x="68"/>
        <n x="81"/>
        <n x="53"/>
      </t>
    </mdx>
    <mdx n="0" f="v">
      <t c="8">
        <n x="4" s="1"/>
        <n x="7" s="1"/>
        <n x="67" s="1"/>
        <n x="3" s="1"/>
        <n x="6" s="1"/>
        <n x="68"/>
        <n x="81"/>
        <n x="54"/>
      </t>
    </mdx>
    <mdx n="0" f="v">
      <t c="8">
        <n x="4" s="1"/>
        <n x="7" s="1"/>
        <n x="67" s="1"/>
        <n x="3" s="1"/>
        <n x="6" s="1"/>
        <n x="68"/>
        <n x="81"/>
        <n x="55"/>
      </t>
    </mdx>
    <mdx n="0" f="v">
      <t c="8">
        <n x="4" s="1"/>
        <n x="7" s="1"/>
        <n x="67" s="1"/>
        <n x="3" s="1"/>
        <n x="6" s="1"/>
        <n x="68"/>
        <n x="81"/>
        <n x="56"/>
      </t>
    </mdx>
    <mdx n="0" f="v">
      <t c="8">
        <n x="4" s="1"/>
        <n x="7" s="1"/>
        <n x="67" s="1"/>
        <n x="3" s="1"/>
        <n x="6" s="1"/>
        <n x="68"/>
        <n x="81"/>
        <n x="57"/>
      </t>
    </mdx>
    <mdx n="0" f="v">
      <t c="8">
        <n x="4" s="1"/>
        <n x="7" s="1"/>
        <n x="67" s="1"/>
        <n x="3" s="1"/>
        <n x="6" s="1"/>
        <n x="68"/>
        <n x="81"/>
        <n x="58"/>
      </t>
    </mdx>
    <mdx n="0" f="v">
      <t c="8">
        <n x="4" s="1"/>
        <n x="7" s="1"/>
        <n x="67" s="1"/>
        <n x="3" s="1"/>
        <n x="6" s="1"/>
        <n x="68"/>
        <n x="81"/>
        <n x="59"/>
      </t>
    </mdx>
    <mdx n="0" f="v">
      <t c="8">
        <n x="4" s="1"/>
        <n x="7" s="1"/>
        <n x="67" s="1"/>
        <n x="3" s="1"/>
        <n x="6" s="1"/>
        <n x="68"/>
        <n x="81"/>
        <n x="60"/>
      </t>
    </mdx>
    <mdx n="0" f="v">
      <t c="8">
        <n x="4" s="1"/>
        <n x="7" s="1"/>
        <n x="67" s="1"/>
        <n x="3" s="1"/>
        <n x="6" s="1"/>
        <n x="68"/>
        <n x="81"/>
        <n x="61"/>
      </t>
    </mdx>
    <mdx n="0" f="v">
      <t c="8">
        <n x="4" s="1"/>
        <n x="7" s="1"/>
        <n x="67" s="1"/>
        <n x="3" s="1"/>
        <n x="6" s="1"/>
        <n x="68"/>
        <n x="81"/>
        <n x="62"/>
      </t>
    </mdx>
    <mdx n="0" f="v">
      <t c="8">
        <n x="4" s="1"/>
        <n x="7" s="1"/>
        <n x="67" s="1"/>
        <n x="3" s="1"/>
        <n x="6" s="1"/>
        <n x="68"/>
        <n x="81"/>
        <n x="63"/>
      </t>
    </mdx>
    <mdx n="0" f="v">
      <t c="8">
        <n x="4" s="1"/>
        <n x="7" s="1"/>
        <n x="67" s="1"/>
        <n x="3" s="1"/>
        <n x="6" s="1"/>
        <n x="68"/>
        <n x="81"/>
        <n x="64"/>
      </t>
    </mdx>
    <mdx n="0" f="v">
      <t c="8">
        <n x="4" s="1"/>
        <n x="7" s="1"/>
        <n x="67" s="1"/>
        <n x="3" s="1"/>
        <n x="6" s="1"/>
        <n x="68"/>
        <n x="81"/>
        <n x="65"/>
      </t>
    </mdx>
    <mdx n="0" f="v">
      <t c="8">
        <n x="4" s="1"/>
        <n x="7" s="1"/>
        <n x="67" s="1"/>
        <n x="3" s="1"/>
        <n x="6" s="1"/>
        <n x="68"/>
        <n x="81"/>
        <n x="66"/>
      </t>
    </mdx>
    <mdx n="0" f="m">
      <t c="1">
        <n x="82"/>
      </t>
    </mdx>
    <mdx n="0" f="v">
      <t c="8">
        <n x="4" s="1"/>
        <n x="7" s="1"/>
        <n x="67" s="1"/>
        <n x="3" s="1"/>
        <n x="6" s="1"/>
        <n x="68"/>
        <n x="82"/>
        <n x="8"/>
      </t>
    </mdx>
    <mdx n="0" f="v">
      <t c="8">
        <n x="4" s="1"/>
        <n x="7" s="1"/>
        <n x="67" s="1"/>
        <n x="3" s="1"/>
        <n x="6" s="1"/>
        <n x="68"/>
        <n x="82"/>
        <n x="9"/>
      </t>
    </mdx>
    <mdx n="0" f="v">
      <t c="8">
        <n x="4" s="1"/>
        <n x="7" s="1"/>
        <n x="67" s="1"/>
        <n x="3" s="1"/>
        <n x="6" s="1"/>
        <n x="68"/>
        <n x="82"/>
        <n x="10"/>
      </t>
    </mdx>
    <mdx n="0" f="v">
      <t c="8">
        <n x="4" s="1"/>
        <n x="7" s="1"/>
        <n x="67" s="1"/>
        <n x="3" s="1"/>
        <n x="6" s="1"/>
        <n x="68"/>
        <n x="82"/>
        <n x="11"/>
      </t>
    </mdx>
    <mdx n="0" f="v">
      <t c="8">
        <n x="4" s="1"/>
        <n x="7" s="1"/>
        <n x="67" s="1"/>
        <n x="3" s="1"/>
        <n x="6" s="1"/>
        <n x="68"/>
        <n x="82"/>
        <n x="12"/>
      </t>
    </mdx>
    <mdx n="0" f="v">
      <t c="8">
        <n x="4" s="1"/>
        <n x="7" s="1"/>
        <n x="67" s="1"/>
        <n x="3" s="1"/>
        <n x="6" s="1"/>
        <n x="68"/>
        <n x="82"/>
        <n x="13"/>
      </t>
    </mdx>
    <mdx n="0" f="v">
      <t c="8">
        <n x="4" s="1"/>
        <n x="7" s="1"/>
        <n x="67" s="1"/>
        <n x="3" s="1"/>
        <n x="6" s="1"/>
        <n x="68"/>
        <n x="82"/>
        <n x="14"/>
      </t>
    </mdx>
    <mdx n="0" f="v">
      <t c="8">
        <n x="4" s="1"/>
        <n x="7" s="1"/>
        <n x="67" s="1"/>
        <n x="3" s="1"/>
        <n x="6" s="1"/>
        <n x="68"/>
        <n x="82"/>
        <n x="15"/>
      </t>
    </mdx>
    <mdx n="0" f="v">
      <t c="8">
        <n x="4" s="1"/>
        <n x="7" s="1"/>
        <n x="67" s="1"/>
        <n x="3" s="1"/>
        <n x="6" s="1"/>
        <n x="68"/>
        <n x="82"/>
        <n x="16"/>
      </t>
    </mdx>
    <mdx n="0" f="v">
      <t c="8">
        <n x="4" s="1"/>
        <n x="7" s="1"/>
        <n x="67" s="1"/>
        <n x="3" s="1"/>
        <n x="6" s="1"/>
        <n x="68"/>
        <n x="82"/>
        <n x="17"/>
      </t>
    </mdx>
    <mdx n="0" f="v">
      <t c="8">
        <n x="4" s="1"/>
        <n x="7" s="1"/>
        <n x="67" s="1"/>
        <n x="3" s="1"/>
        <n x="6" s="1"/>
        <n x="68"/>
        <n x="82"/>
        <n x="18"/>
      </t>
    </mdx>
    <mdx n="0" f="v">
      <t c="8">
        <n x="4" s="1"/>
        <n x="7" s="1"/>
        <n x="67" s="1"/>
        <n x="3" s="1"/>
        <n x="6" s="1"/>
        <n x="68"/>
        <n x="82"/>
        <n x="19"/>
      </t>
    </mdx>
    <mdx n="0" f="v">
      <t c="8">
        <n x="4" s="1"/>
        <n x="7" s="1"/>
        <n x="67" s="1"/>
        <n x="3" s="1"/>
        <n x="6" s="1"/>
        <n x="68"/>
        <n x="82"/>
        <n x="20"/>
      </t>
    </mdx>
    <mdx n="0" f="v">
      <t c="8">
        <n x="4" s="1"/>
        <n x="7" s="1"/>
        <n x="67" s="1"/>
        <n x="3" s="1"/>
        <n x="6" s="1"/>
        <n x="68"/>
        <n x="82"/>
        <n x="21"/>
      </t>
    </mdx>
    <mdx n="0" f="v">
      <t c="8">
        <n x="4" s="1"/>
        <n x="7" s="1"/>
        <n x="67" s="1"/>
        <n x="3" s="1"/>
        <n x="6" s="1"/>
        <n x="68"/>
        <n x="82"/>
        <n x="22"/>
      </t>
    </mdx>
    <mdx n="0" f="v">
      <t c="8">
        <n x="4" s="1"/>
        <n x="7" s="1"/>
        <n x="67" s="1"/>
        <n x="3" s="1"/>
        <n x="6" s="1"/>
        <n x="68"/>
        <n x="82"/>
        <n x="23"/>
      </t>
    </mdx>
    <mdx n="0" f="v">
      <t c="8">
        <n x="4" s="1"/>
        <n x="7" s="1"/>
        <n x="67" s="1"/>
        <n x="3" s="1"/>
        <n x="6" s="1"/>
        <n x="68"/>
        <n x="82"/>
        <n x="24"/>
      </t>
    </mdx>
    <mdx n="0" f="v">
      <t c="8">
        <n x="4" s="1"/>
        <n x="7" s="1"/>
        <n x="67" s="1"/>
        <n x="3" s="1"/>
        <n x="6" s="1"/>
        <n x="68"/>
        <n x="82"/>
        <n x="25"/>
      </t>
    </mdx>
    <mdx n="0" f="v">
      <t c="8">
        <n x="4" s="1"/>
        <n x="7" s="1"/>
        <n x="67" s="1"/>
        <n x="3" s="1"/>
        <n x="6" s="1"/>
        <n x="68"/>
        <n x="82"/>
        <n x="26"/>
      </t>
    </mdx>
    <mdx n="0" f="v">
      <t c="8">
        <n x="4" s="1"/>
        <n x="7" s="1"/>
        <n x="67" s="1"/>
        <n x="3" s="1"/>
        <n x="6" s="1"/>
        <n x="68"/>
        <n x="82"/>
        <n x="27"/>
      </t>
    </mdx>
    <mdx n="0" f="v">
      <t c="8">
        <n x="4" s="1"/>
        <n x="7" s="1"/>
        <n x="67" s="1"/>
        <n x="3" s="1"/>
        <n x="6" s="1"/>
        <n x="68"/>
        <n x="82"/>
        <n x="28"/>
      </t>
    </mdx>
    <mdx n="0" f="v">
      <t c="8">
        <n x="4" s="1"/>
        <n x="7" s="1"/>
        <n x="67" s="1"/>
        <n x="3" s="1"/>
        <n x="6" s="1"/>
        <n x="68"/>
        <n x="82"/>
        <n x="29"/>
      </t>
    </mdx>
    <mdx n="0" f="v">
      <t c="8">
        <n x="4" s="1"/>
        <n x="7" s="1"/>
        <n x="67" s="1"/>
        <n x="3" s="1"/>
        <n x="6" s="1"/>
        <n x="68"/>
        <n x="82"/>
        <n x="30"/>
      </t>
    </mdx>
    <mdx n="0" f="v">
      <t c="8">
        <n x="4" s="1"/>
        <n x="7" s="1"/>
        <n x="67" s="1"/>
        <n x="3" s="1"/>
        <n x="6" s="1"/>
        <n x="68"/>
        <n x="82"/>
        <n x="31"/>
      </t>
    </mdx>
    <mdx n="0" f="v">
      <t c="8">
        <n x="4" s="1"/>
        <n x="7" s="1"/>
        <n x="67" s="1"/>
        <n x="3" s="1"/>
        <n x="6" s="1"/>
        <n x="68"/>
        <n x="82"/>
        <n x="32"/>
      </t>
    </mdx>
    <mdx n="0" f="v">
      <t c="8">
        <n x="4" s="1"/>
        <n x="7" s="1"/>
        <n x="67" s="1"/>
        <n x="3" s="1"/>
        <n x="6" s="1"/>
        <n x="68"/>
        <n x="82"/>
        <n x="33"/>
      </t>
    </mdx>
    <mdx n="0" f="v">
      <t c="8">
        <n x="4" s="1"/>
        <n x="7" s="1"/>
        <n x="67" s="1"/>
        <n x="3" s="1"/>
        <n x="6" s="1"/>
        <n x="68"/>
        <n x="82"/>
        <n x="34"/>
      </t>
    </mdx>
    <mdx n="0" f="v">
      <t c="8">
        <n x="4" s="1"/>
        <n x="7" s="1"/>
        <n x="67" s="1"/>
        <n x="3" s="1"/>
        <n x="6" s="1"/>
        <n x="68"/>
        <n x="82"/>
        <n x="35"/>
      </t>
    </mdx>
    <mdx n="0" f="v">
      <t c="8">
        <n x="4" s="1"/>
        <n x="7" s="1"/>
        <n x="67" s="1"/>
        <n x="3" s="1"/>
        <n x="6" s="1"/>
        <n x="68"/>
        <n x="82"/>
        <n x="36"/>
      </t>
    </mdx>
    <mdx n="0" f="v">
      <t c="8">
        <n x="4" s="1"/>
        <n x="7" s="1"/>
        <n x="67" s="1"/>
        <n x="3" s="1"/>
        <n x="6" s="1"/>
        <n x="68"/>
        <n x="82"/>
        <n x="37"/>
      </t>
    </mdx>
    <mdx n="0" f="v">
      <t c="8">
        <n x="4" s="1"/>
        <n x="7" s="1"/>
        <n x="67" s="1"/>
        <n x="3" s="1"/>
        <n x="6" s="1"/>
        <n x="68"/>
        <n x="82"/>
        <n x="38"/>
      </t>
    </mdx>
    <mdx n="0" f="v">
      <t c="8">
        <n x="4" s="1"/>
        <n x="7" s="1"/>
        <n x="67" s="1"/>
        <n x="3" s="1"/>
        <n x="6" s="1"/>
        <n x="68"/>
        <n x="82"/>
        <n x="39"/>
      </t>
    </mdx>
    <mdx n="0" f="v">
      <t c="8">
        <n x="4" s="1"/>
        <n x="7" s="1"/>
        <n x="67" s="1"/>
        <n x="3" s="1"/>
        <n x="6" s="1"/>
        <n x="68"/>
        <n x="82"/>
        <n x="40"/>
      </t>
    </mdx>
    <mdx n="0" f="v">
      <t c="8">
        <n x="4" s="1"/>
        <n x="7" s="1"/>
        <n x="67" s="1"/>
        <n x="3" s="1"/>
        <n x="6" s="1"/>
        <n x="68"/>
        <n x="82"/>
        <n x="41"/>
      </t>
    </mdx>
    <mdx n="0" f="v">
      <t c="8">
        <n x="4" s="1"/>
        <n x="7" s="1"/>
        <n x="67" s="1"/>
        <n x="3" s="1"/>
        <n x="6" s="1"/>
        <n x="68"/>
        <n x="82"/>
        <n x="42"/>
      </t>
    </mdx>
    <mdx n="0" f="v">
      <t c="8">
        <n x="4" s="1"/>
        <n x="7" s="1"/>
        <n x="67" s="1"/>
        <n x="3" s="1"/>
        <n x="6" s="1"/>
        <n x="68"/>
        <n x="82"/>
        <n x="43"/>
      </t>
    </mdx>
    <mdx n="0" f="v">
      <t c="8">
        <n x="4" s="1"/>
        <n x="7" s="1"/>
        <n x="67" s="1"/>
        <n x="3" s="1"/>
        <n x="6" s="1"/>
        <n x="68"/>
        <n x="82"/>
        <n x="44"/>
      </t>
    </mdx>
    <mdx n="0" f="v">
      <t c="8">
        <n x="4" s="1"/>
        <n x="7" s="1"/>
        <n x="67" s="1"/>
        <n x="3" s="1"/>
        <n x="6" s="1"/>
        <n x="68"/>
        <n x="82"/>
        <n x="45"/>
      </t>
    </mdx>
    <mdx n="0" f="v">
      <t c="8">
        <n x="4" s="1"/>
        <n x="7" s="1"/>
        <n x="67" s="1"/>
        <n x="3" s="1"/>
        <n x="6" s="1"/>
        <n x="68"/>
        <n x="82"/>
        <n x="46"/>
      </t>
    </mdx>
    <mdx n="0" f="v">
      <t c="8">
        <n x="4" s="1"/>
        <n x="7" s="1"/>
        <n x="67" s="1"/>
        <n x="3" s="1"/>
        <n x="6" s="1"/>
        <n x="68"/>
        <n x="82"/>
        <n x="47"/>
      </t>
    </mdx>
    <mdx n="0" f="v">
      <t c="8">
        <n x="4" s="1"/>
        <n x="7" s="1"/>
        <n x="67" s="1"/>
        <n x="3" s="1"/>
        <n x="6" s="1"/>
        <n x="68"/>
        <n x="82"/>
        <n x="48"/>
      </t>
    </mdx>
    <mdx n="0" f="v">
      <t c="8">
        <n x="4" s="1"/>
        <n x="7" s="1"/>
        <n x="67" s="1"/>
        <n x="3" s="1"/>
        <n x="6" s="1"/>
        <n x="68"/>
        <n x="82"/>
        <n x="49"/>
      </t>
    </mdx>
    <mdx n="0" f="v">
      <t c="8">
        <n x="4" s="1"/>
        <n x="7" s="1"/>
        <n x="67" s="1"/>
        <n x="3" s="1"/>
        <n x="6" s="1"/>
        <n x="68"/>
        <n x="82"/>
        <n x="50"/>
      </t>
    </mdx>
    <mdx n="0" f="v">
      <t c="8">
        <n x="4" s="1"/>
        <n x="7" s="1"/>
        <n x="67" s="1"/>
        <n x="3" s="1"/>
        <n x="6" s="1"/>
        <n x="68"/>
        <n x="82"/>
        <n x="51"/>
      </t>
    </mdx>
    <mdx n="0" f="v">
      <t c="8">
        <n x="4" s="1"/>
        <n x="7" s="1"/>
        <n x="67" s="1"/>
        <n x="3" s="1"/>
        <n x="6" s="1"/>
        <n x="68"/>
        <n x="82"/>
        <n x="52"/>
      </t>
    </mdx>
    <mdx n="0" f="v">
      <t c="8">
        <n x="4" s="1"/>
        <n x="7" s="1"/>
        <n x="67" s="1"/>
        <n x="3" s="1"/>
        <n x="6" s="1"/>
        <n x="68"/>
        <n x="82"/>
        <n x="53"/>
      </t>
    </mdx>
    <mdx n="0" f="v">
      <t c="8">
        <n x="4" s="1"/>
        <n x="7" s="1"/>
        <n x="67" s="1"/>
        <n x="3" s="1"/>
        <n x="6" s="1"/>
        <n x="68"/>
        <n x="82"/>
        <n x="54"/>
      </t>
    </mdx>
    <mdx n="0" f="v">
      <t c="8">
        <n x="4" s="1"/>
        <n x="7" s="1"/>
        <n x="67" s="1"/>
        <n x="3" s="1"/>
        <n x="6" s="1"/>
        <n x="68"/>
        <n x="82"/>
        <n x="55"/>
      </t>
    </mdx>
    <mdx n="0" f="v">
      <t c="8">
        <n x="4" s="1"/>
        <n x="7" s="1"/>
        <n x="67" s="1"/>
        <n x="3" s="1"/>
        <n x="6" s="1"/>
        <n x="68"/>
        <n x="82"/>
        <n x="56"/>
      </t>
    </mdx>
    <mdx n="0" f="v">
      <t c="8">
        <n x="4" s="1"/>
        <n x="7" s="1"/>
        <n x="67" s="1"/>
        <n x="3" s="1"/>
        <n x="6" s="1"/>
        <n x="68"/>
        <n x="82"/>
        <n x="57"/>
      </t>
    </mdx>
    <mdx n="0" f="v">
      <t c="8">
        <n x="4" s="1"/>
        <n x="7" s="1"/>
        <n x="67" s="1"/>
        <n x="3" s="1"/>
        <n x="6" s="1"/>
        <n x="68"/>
        <n x="82"/>
        <n x="58"/>
      </t>
    </mdx>
    <mdx n="0" f="v">
      <t c="8">
        <n x="4" s="1"/>
        <n x="7" s="1"/>
        <n x="67" s="1"/>
        <n x="3" s="1"/>
        <n x="6" s="1"/>
        <n x="68"/>
        <n x="82"/>
        <n x="59"/>
      </t>
    </mdx>
    <mdx n="0" f="v">
      <t c="8">
        <n x="4" s="1"/>
        <n x="7" s="1"/>
        <n x="67" s="1"/>
        <n x="3" s="1"/>
        <n x="6" s="1"/>
        <n x="68"/>
        <n x="82"/>
        <n x="60"/>
      </t>
    </mdx>
    <mdx n="0" f="v">
      <t c="8">
        <n x="4" s="1"/>
        <n x="7" s="1"/>
        <n x="67" s="1"/>
        <n x="3" s="1"/>
        <n x="6" s="1"/>
        <n x="68"/>
        <n x="82"/>
        <n x="61"/>
      </t>
    </mdx>
    <mdx n="0" f="v">
      <t c="8">
        <n x="4" s="1"/>
        <n x="7" s="1"/>
        <n x="67" s="1"/>
        <n x="3" s="1"/>
        <n x="6" s="1"/>
        <n x="68"/>
        <n x="82"/>
        <n x="62"/>
      </t>
    </mdx>
    <mdx n="0" f="v">
      <t c="8">
        <n x="4" s="1"/>
        <n x="7" s="1"/>
        <n x="67" s="1"/>
        <n x="3" s="1"/>
        <n x="6" s="1"/>
        <n x="68"/>
        <n x="82"/>
        <n x="63"/>
      </t>
    </mdx>
    <mdx n="0" f="v">
      <t c="8">
        <n x="4" s="1"/>
        <n x="7" s="1"/>
        <n x="67" s="1"/>
        <n x="3" s="1"/>
        <n x="6" s="1"/>
        <n x="68"/>
        <n x="82"/>
        <n x="64"/>
      </t>
    </mdx>
    <mdx n="0" f="v">
      <t c="8">
        <n x="4" s="1"/>
        <n x="7" s="1"/>
        <n x="67" s="1"/>
        <n x="3" s="1"/>
        <n x="6" s="1"/>
        <n x="68"/>
        <n x="82"/>
        <n x="65"/>
      </t>
    </mdx>
    <mdx n="0" f="v">
      <t c="8">
        <n x="4" s="1"/>
        <n x="7" s="1"/>
        <n x="67" s="1"/>
        <n x="3" s="1"/>
        <n x="6" s="1"/>
        <n x="68"/>
        <n x="82"/>
        <n x="66"/>
      </t>
    </mdx>
    <mdx n="0" f="m">
      <t c="1">
        <n x="83"/>
      </t>
    </mdx>
    <mdx n="0" f="v">
      <t c="8">
        <n x="4" s="1"/>
        <n x="7" s="1"/>
        <n x="67" s="1"/>
        <n x="3" s="1"/>
        <n x="6" s="1"/>
        <n x="68"/>
        <n x="83"/>
        <n x="8"/>
      </t>
    </mdx>
    <mdx n="0" f="v">
      <t c="8">
        <n x="4" s="1"/>
        <n x="7" s="1"/>
        <n x="67" s="1"/>
        <n x="3" s="1"/>
        <n x="6" s="1"/>
        <n x="68"/>
        <n x="83"/>
        <n x="9"/>
      </t>
    </mdx>
    <mdx n="0" f="v">
      <t c="8">
        <n x="4" s="1"/>
        <n x="7" s="1"/>
        <n x="67" s="1"/>
        <n x="3" s="1"/>
        <n x="6" s="1"/>
        <n x="68"/>
        <n x="83"/>
        <n x="10"/>
      </t>
    </mdx>
    <mdx n="0" f="v">
      <t c="8">
        <n x="4" s="1"/>
        <n x="7" s="1"/>
        <n x="67" s="1"/>
        <n x="3" s="1"/>
        <n x="6" s="1"/>
        <n x="68"/>
        <n x="83"/>
        <n x="11"/>
      </t>
    </mdx>
    <mdx n="0" f="v">
      <t c="8">
        <n x="4" s="1"/>
        <n x="7" s="1"/>
        <n x="67" s="1"/>
        <n x="3" s="1"/>
        <n x="6" s="1"/>
        <n x="68"/>
        <n x="83"/>
        <n x="12"/>
      </t>
    </mdx>
    <mdx n="0" f="v">
      <t c="8">
        <n x="4" s="1"/>
        <n x="7" s="1"/>
        <n x="67" s="1"/>
        <n x="3" s="1"/>
        <n x="6" s="1"/>
        <n x="68"/>
        <n x="83"/>
        <n x="13"/>
      </t>
    </mdx>
    <mdx n="0" f="v">
      <t c="8">
        <n x="4" s="1"/>
        <n x="7" s="1"/>
        <n x="67" s="1"/>
        <n x="3" s="1"/>
        <n x="6" s="1"/>
        <n x="68"/>
        <n x="83"/>
        <n x="14"/>
      </t>
    </mdx>
    <mdx n="0" f="v">
      <t c="8">
        <n x="4" s="1"/>
        <n x="7" s="1"/>
        <n x="67" s="1"/>
        <n x="3" s="1"/>
        <n x="6" s="1"/>
        <n x="68"/>
        <n x="83"/>
        <n x="15"/>
      </t>
    </mdx>
    <mdx n="0" f="v">
      <t c="8">
        <n x="4" s="1"/>
        <n x="7" s="1"/>
        <n x="67" s="1"/>
        <n x="3" s="1"/>
        <n x="6" s="1"/>
        <n x="68"/>
        <n x="83"/>
        <n x="16"/>
      </t>
    </mdx>
    <mdx n="0" f="v">
      <t c="8">
        <n x="4" s="1"/>
        <n x="7" s="1"/>
        <n x="67" s="1"/>
        <n x="3" s="1"/>
        <n x="6" s="1"/>
        <n x="68"/>
        <n x="83"/>
        <n x="17"/>
      </t>
    </mdx>
    <mdx n="0" f="v">
      <t c="8">
        <n x="4" s="1"/>
        <n x="7" s="1"/>
        <n x="67" s="1"/>
        <n x="3" s="1"/>
        <n x="6" s="1"/>
        <n x="68"/>
        <n x="83"/>
        <n x="18"/>
      </t>
    </mdx>
    <mdx n="0" f="v">
      <t c="8">
        <n x="4" s="1"/>
        <n x="7" s="1"/>
        <n x="67" s="1"/>
        <n x="3" s="1"/>
        <n x="6" s="1"/>
        <n x="68"/>
        <n x="83"/>
        <n x="19"/>
      </t>
    </mdx>
    <mdx n="0" f="v">
      <t c="8">
        <n x="4" s="1"/>
        <n x="7" s="1"/>
        <n x="67" s="1"/>
        <n x="3" s="1"/>
        <n x="6" s="1"/>
        <n x="68"/>
        <n x="83"/>
        <n x="20"/>
      </t>
    </mdx>
    <mdx n="0" f="v">
      <t c="8">
        <n x="4" s="1"/>
        <n x="7" s="1"/>
        <n x="67" s="1"/>
        <n x="3" s="1"/>
        <n x="6" s="1"/>
        <n x="68"/>
        <n x="83"/>
        <n x="21"/>
      </t>
    </mdx>
    <mdx n="0" f="v">
      <t c="8">
        <n x="4" s="1"/>
        <n x="7" s="1"/>
        <n x="67" s="1"/>
        <n x="3" s="1"/>
        <n x="6" s="1"/>
        <n x="68"/>
        <n x="83"/>
        <n x="22"/>
      </t>
    </mdx>
    <mdx n="0" f="v">
      <t c="8">
        <n x="4" s="1"/>
        <n x="7" s="1"/>
        <n x="67" s="1"/>
        <n x="3" s="1"/>
        <n x="6" s="1"/>
        <n x="68"/>
        <n x="83"/>
        <n x="23"/>
      </t>
    </mdx>
    <mdx n="0" f="v">
      <t c="8">
        <n x="4" s="1"/>
        <n x="7" s="1"/>
        <n x="67" s="1"/>
        <n x="3" s="1"/>
        <n x="6" s="1"/>
        <n x="68"/>
        <n x="83"/>
        <n x="24"/>
      </t>
    </mdx>
    <mdx n="0" f="v">
      <t c="8">
        <n x="4" s="1"/>
        <n x="7" s="1"/>
        <n x="67" s="1"/>
        <n x="3" s="1"/>
        <n x="6" s="1"/>
        <n x="68"/>
        <n x="83"/>
        <n x="25"/>
      </t>
    </mdx>
    <mdx n="0" f="v">
      <t c="8">
        <n x="4" s="1"/>
        <n x="7" s="1"/>
        <n x="67" s="1"/>
        <n x="3" s="1"/>
        <n x="6" s="1"/>
        <n x="68"/>
        <n x="83"/>
        <n x="26"/>
      </t>
    </mdx>
    <mdx n="0" f="v">
      <t c="8">
        <n x="4" s="1"/>
        <n x="7" s="1"/>
        <n x="67" s="1"/>
        <n x="3" s="1"/>
        <n x="6" s="1"/>
        <n x="68"/>
        <n x="83"/>
        <n x="27"/>
      </t>
    </mdx>
    <mdx n="0" f="v">
      <t c="8">
        <n x="4" s="1"/>
        <n x="7" s="1"/>
        <n x="67" s="1"/>
        <n x="3" s="1"/>
        <n x="6" s="1"/>
        <n x="68"/>
        <n x="83"/>
        <n x="28"/>
      </t>
    </mdx>
    <mdx n="0" f="v">
      <t c="8">
        <n x="4" s="1"/>
        <n x="7" s="1"/>
        <n x="67" s="1"/>
        <n x="3" s="1"/>
        <n x="6" s="1"/>
        <n x="68"/>
        <n x="83"/>
        <n x="29"/>
      </t>
    </mdx>
    <mdx n="0" f="v">
      <t c="8">
        <n x="4" s="1"/>
        <n x="7" s="1"/>
        <n x="67" s="1"/>
        <n x="3" s="1"/>
        <n x="6" s="1"/>
        <n x="68"/>
        <n x="83"/>
        <n x="30"/>
      </t>
    </mdx>
    <mdx n="0" f="v">
      <t c="8">
        <n x="4" s="1"/>
        <n x="7" s="1"/>
        <n x="67" s="1"/>
        <n x="3" s="1"/>
        <n x="6" s="1"/>
        <n x="68"/>
        <n x="83"/>
        <n x="31"/>
      </t>
    </mdx>
    <mdx n="0" f="v">
      <t c="8">
        <n x="4" s="1"/>
        <n x="7" s="1"/>
        <n x="67" s="1"/>
        <n x="3" s="1"/>
        <n x="6" s="1"/>
        <n x="68"/>
        <n x="83"/>
        <n x="32"/>
      </t>
    </mdx>
    <mdx n="0" f="v">
      <t c="8">
        <n x="4" s="1"/>
        <n x="7" s="1"/>
        <n x="67" s="1"/>
        <n x="3" s="1"/>
        <n x="6" s="1"/>
        <n x="68"/>
        <n x="83"/>
        <n x="33"/>
      </t>
    </mdx>
    <mdx n="0" f="v">
      <t c="8">
        <n x="4" s="1"/>
        <n x="7" s="1"/>
        <n x="67" s="1"/>
        <n x="3" s="1"/>
        <n x="6" s="1"/>
        <n x="68"/>
        <n x="83"/>
        <n x="34"/>
      </t>
    </mdx>
    <mdx n="0" f="v">
      <t c="8">
        <n x="4" s="1"/>
        <n x="7" s="1"/>
        <n x="67" s="1"/>
        <n x="3" s="1"/>
        <n x="6" s="1"/>
        <n x="68"/>
        <n x="83"/>
        <n x="35"/>
      </t>
    </mdx>
    <mdx n="0" f="v">
      <t c="8">
        <n x="4" s="1"/>
        <n x="7" s="1"/>
        <n x="67" s="1"/>
        <n x="3" s="1"/>
        <n x="6" s="1"/>
        <n x="68"/>
        <n x="83"/>
        <n x="36"/>
      </t>
    </mdx>
    <mdx n="0" f="v">
      <t c="8">
        <n x="4" s="1"/>
        <n x="7" s="1"/>
        <n x="67" s="1"/>
        <n x="3" s="1"/>
        <n x="6" s="1"/>
        <n x="68"/>
        <n x="83"/>
        <n x="37"/>
      </t>
    </mdx>
    <mdx n="0" f="v">
      <t c="8">
        <n x="4" s="1"/>
        <n x="7" s="1"/>
        <n x="67" s="1"/>
        <n x="3" s="1"/>
        <n x="6" s="1"/>
        <n x="68"/>
        <n x="83"/>
        <n x="38"/>
      </t>
    </mdx>
    <mdx n="0" f="v">
      <t c="8">
        <n x="4" s="1"/>
        <n x="7" s="1"/>
        <n x="67" s="1"/>
        <n x="3" s="1"/>
        <n x="6" s="1"/>
        <n x="68"/>
        <n x="83"/>
        <n x="39"/>
      </t>
    </mdx>
    <mdx n="0" f="v">
      <t c="8">
        <n x="4" s="1"/>
        <n x="7" s="1"/>
        <n x="67" s="1"/>
        <n x="3" s="1"/>
        <n x="6" s="1"/>
        <n x="68"/>
        <n x="83"/>
        <n x="40"/>
      </t>
    </mdx>
    <mdx n="0" f="v">
      <t c="8">
        <n x="4" s="1"/>
        <n x="7" s="1"/>
        <n x="67" s="1"/>
        <n x="3" s="1"/>
        <n x="6" s="1"/>
        <n x="68"/>
        <n x="83"/>
        <n x="41"/>
      </t>
    </mdx>
    <mdx n="0" f="v">
      <t c="8">
        <n x="4" s="1"/>
        <n x="7" s="1"/>
        <n x="67" s="1"/>
        <n x="3" s="1"/>
        <n x="6" s="1"/>
        <n x="68"/>
        <n x="83"/>
        <n x="42"/>
      </t>
    </mdx>
    <mdx n="0" f="v">
      <t c="8">
        <n x="4" s="1"/>
        <n x="7" s="1"/>
        <n x="67" s="1"/>
        <n x="3" s="1"/>
        <n x="6" s="1"/>
        <n x="68"/>
        <n x="83"/>
        <n x="43"/>
      </t>
    </mdx>
    <mdx n="0" f="v">
      <t c="8">
        <n x="4" s="1"/>
        <n x="7" s="1"/>
        <n x="67" s="1"/>
        <n x="3" s="1"/>
        <n x="6" s="1"/>
        <n x="68"/>
        <n x="83"/>
        <n x="44"/>
      </t>
    </mdx>
    <mdx n="0" f="v">
      <t c="8">
        <n x="4" s="1"/>
        <n x="7" s="1"/>
        <n x="67" s="1"/>
        <n x="3" s="1"/>
        <n x="6" s="1"/>
        <n x="68"/>
        <n x="83"/>
        <n x="45"/>
      </t>
    </mdx>
    <mdx n="0" f="v">
      <t c="8">
        <n x="4" s="1"/>
        <n x="7" s="1"/>
        <n x="67" s="1"/>
        <n x="3" s="1"/>
        <n x="6" s="1"/>
        <n x="68"/>
        <n x="83"/>
        <n x="46"/>
      </t>
    </mdx>
    <mdx n="0" f="v">
      <t c="8">
        <n x="4" s="1"/>
        <n x="7" s="1"/>
        <n x="67" s="1"/>
        <n x="3" s="1"/>
        <n x="6" s="1"/>
        <n x="68"/>
        <n x="83"/>
        <n x="47"/>
      </t>
    </mdx>
    <mdx n="0" f="v">
      <t c="8">
        <n x="4" s="1"/>
        <n x="7" s="1"/>
        <n x="67" s="1"/>
        <n x="3" s="1"/>
        <n x="6" s="1"/>
        <n x="68"/>
        <n x="83"/>
        <n x="48"/>
      </t>
    </mdx>
    <mdx n="0" f="v">
      <t c="8">
        <n x="4" s="1"/>
        <n x="7" s="1"/>
        <n x="67" s="1"/>
        <n x="3" s="1"/>
        <n x="6" s="1"/>
        <n x="68"/>
        <n x="83"/>
        <n x="49"/>
      </t>
    </mdx>
    <mdx n="0" f="v">
      <t c="8">
        <n x="4" s="1"/>
        <n x="7" s="1"/>
        <n x="67" s="1"/>
        <n x="3" s="1"/>
        <n x="6" s="1"/>
        <n x="68"/>
        <n x="83"/>
        <n x="50"/>
      </t>
    </mdx>
    <mdx n="0" f="v">
      <t c="8">
        <n x="4" s="1"/>
        <n x="7" s="1"/>
        <n x="67" s="1"/>
        <n x="3" s="1"/>
        <n x="6" s="1"/>
        <n x="68"/>
        <n x="83"/>
        <n x="51"/>
      </t>
    </mdx>
    <mdx n="0" f="v">
      <t c="8">
        <n x="4" s="1"/>
        <n x="7" s="1"/>
        <n x="67" s="1"/>
        <n x="3" s="1"/>
        <n x="6" s="1"/>
        <n x="68"/>
        <n x="83"/>
        <n x="52"/>
      </t>
    </mdx>
    <mdx n="0" f="v">
      <t c="8">
        <n x="4" s="1"/>
        <n x="7" s="1"/>
        <n x="67" s="1"/>
        <n x="3" s="1"/>
        <n x="6" s="1"/>
        <n x="68"/>
        <n x="83"/>
        <n x="53"/>
      </t>
    </mdx>
    <mdx n="0" f="v">
      <t c="8">
        <n x="4" s="1"/>
        <n x="7" s="1"/>
        <n x="67" s="1"/>
        <n x="3" s="1"/>
        <n x="6" s="1"/>
        <n x="68"/>
        <n x="83"/>
        <n x="54"/>
      </t>
    </mdx>
    <mdx n="0" f="v">
      <t c="8">
        <n x="4" s="1"/>
        <n x="7" s="1"/>
        <n x="67" s="1"/>
        <n x="3" s="1"/>
        <n x="6" s="1"/>
        <n x="68"/>
        <n x="83"/>
        <n x="55"/>
      </t>
    </mdx>
    <mdx n="0" f="v">
      <t c="8">
        <n x="4" s="1"/>
        <n x="7" s="1"/>
        <n x="67" s="1"/>
        <n x="3" s="1"/>
        <n x="6" s="1"/>
        <n x="68"/>
        <n x="83"/>
        <n x="56"/>
      </t>
    </mdx>
    <mdx n="0" f="v">
      <t c="8">
        <n x="4" s="1"/>
        <n x="7" s="1"/>
        <n x="67" s="1"/>
        <n x="3" s="1"/>
        <n x="6" s="1"/>
        <n x="68"/>
        <n x="83"/>
        <n x="57"/>
      </t>
    </mdx>
    <mdx n="0" f="v">
      <t c="8">
        <n x="4" s="1"/>
        <n x="7" s="1"/>
        <n x="67" s="1"/>
        <n x="3" s="1"/>
        <n x="6" s="1"/>
        <n x="68"/>
        <n x="83"/>
        <n x="58"/>
      </t>
    </mdx>
    <mdx n="0" f="v">
      <t c="8">
        <n x="4" s="1"/>
        <n x="7" s="1"/>
        <n x="67" s="1"/>
        <n x="3" s="1"/>
        <n x="6" s="1"/>
        <n x="68"/>
        <n x="83"/>
        <n x="59"/>
      </t>
    </mdx>
    <mdx n="0" f="v">
      <t c="8">
        <n x="4" s="1"/>
        <n x="7" s="1"/>
        <n x="67" s="1"/>
        <n x="3" s="1"/>
        <n x="6" s="1"/>
        <n x="68"/>
        <n x="83"/>
        <n x="60"/>
      </t>
    </mdx>
    <mdx n="0" f="v">
      <t c="8">
        <n x="4" s="1"/>
        <n x="7" s="1"/>
        <n x="67" s="1"/>
        <n x="3" s="1"/>
        <n x="6" s="1"/>
        <n x="68"/>
        <n x="83"/>
        <n x="61"/>
      </t>
    </mdx>
    <mdx n="0" f="v">
      <t c="8">
        <n x="4" s="1"/>
        <n x="7" s="1"/>
        <n x="67" s="1"/>
        <n x="3" s="1"/>
        <n x="6" s="1"/>
        <n x="68"/>
        <n x="83"/>
        <n x="62"/>
      </t>
    </mdx>
    <mdx n="0" f="v">
      <t c="8">
        <n x="4" s="1"/>
        <n x="7" s="1"/>
        <n x="67" s="1"/>
        <n x="3" s="1"/>
        <n x="6" s="1"/>
        <n x="68"/>
        <n x="83"/>
        <n x="63"/>
      </t>
    </mdx>
    <mdx n="0" f="v">
      <t c="8">
        <n x="4" s="1"/>
        <n x="7" s="1"/>
        <n x="67" s="1"/>
        <n x="3" s="1"/>
        <n x="6" s="1"/>
        <n x="68"/>
        <n x="83"/>
        <n x="64"/>
      </t>
    </mdx>
    <mdx n="0" f="v">
      <t c="8">
        <n x="4" s="1"/>
        <n x="7" s="1"/>
        <n x="67" s="1"/>
        <n x="3" s="1"/>
        <n x="6" s="1"/>
        <n x="68"/>
        <n x="83"/>
        <n x="65"/>
      </t>
    </mdx>
    <mdx n="0" f="v">
      <t c="8">
        <n x="4" s="1"/>
        <n x="7" s="1"/>
        <n x="67" s="1"/>
        <n x="3" s="1"/>
        <n x="6" s="1"/>
        <n x="68"/>
        <n x="83"/>
        <n x="66"/>
      </t>
    </mdx>
    <mdx n="0" f="m">
      <t c="1">
        <n x="84"/>
      </t>
    </mdx>
    <mdx n="0" f="v">
      <t c="8">
        <n x="4" s="1"/>
        <n x="7" s="1"/>
        <n x="67" s="1"/>
        <n x="3" s="1"/>
        <n x="6" s="1"/>
        <n x="68"/>
        <n x="84"/>
        <n x="8"/>
      </t>
    </mdx>
    <mdx n="0" f="v">
      <t c="8">
        <n x="4" s="1"/>
        <n x="7" s="1"/>
        <n x="67" s="1"/>
        <n x="3" s="1"/>
        <n x="6" s="1"/>
        <n x="68"/>
        <n x="84"/>
        <n x="9"/>
      </t>
    </mdx>
    <mdx n="0" f="v">
      <t c="8">
        <n x="4" s="1"/>
        <n x="7" s="1"/>
        <n x="67" s="1"/>
        <n x="3" s="1"/>
        <n x="6" s="1"/>
        <n x="68"/>
        <n x="84"/>
        <n x="10"/>
      </t>
    </mdx>
    <mdx n="0" f="v">
      <t c="8">
        <n x="4" s="1"/>
        <n x="7" s="1"/>
        <n x="67" s="1"/>
        <n x="3" s="1"/>
        <n x="6" s="1"/>
        <n x="68"/>
        <n x="84"/>
        <n x="11"/>
      </t>
    </mdx>
    <mdx n="0" f="v">
      <t c="8">
        <n x="4" s="1"/>
        <n x="7" s="1"/>
        <n x="67" s="1"/>
        <n x="3" s="1"/>
        <n x="6" s="1"/>
        <n x="68"/>
        <n x="84"/>
        <n x="12"/>
      </t>
    </mdx>
    <mdx n="0" f="v">
      <t c="8">
        <n x="4" s="1"/>
        <n x="7" s="1"/>
        <n x="67" s="1"/>
        <n x="3" s="1"/>
        <n x="6" s="1"/>
        <n x="68"/>
        <n x="84"/>
        <n x="13"/>
      </t>
    </mdx>
    <mdx n="0" f="v">
      <t c="8">
        <n x="4" s="1"/>
        <n x="7" s="1"/>
        <n x="67" s="1"/>
        <n x="3" s="1"/>
        <n x="6" s="1"/>
        <n x="68"/>
        <n x="84"/>
        <n x="14"/>
      </t>
    </mdx>
    <mdx n="0" f="v">
      <t c="8">
        <n x="4" s="1"/>
        <n x="7" s="1"/>
        <n x="67" s="1"/>
        <n x="3" s="1"/>
        <n x="6" s="1"/>
        <n x="68"/>
        <n x="84"/>
        <n x="15"/>
      </t>
    </mdx>
    <mdx n="0" f="v">
      <t c="8">
        <n x="4" s="1"/>
        <n x="7" s="1"/>
        <n x="67" s="1"/>
        <n x="3" s="1"/>
        <n x="6" s="1"/>
        <n x="68"/>
        <n x="84"/>
        <n x="16"/>
      </t>
    </mdx>
    <mdx n="0" f="v">
      <t c="8">
        <n x="4" s="1"/>
        <n x="7" s="1"/>
        <n x="67" s="1"/>
        <n x="3" s="1"/>
        <n x="6" s="1"/>
        <n x="68"/>
        <n x="84"/>
        <n x="17"/>
      </t>
    </mdx>
    <mdx n="0" f="v">
      <t c="8">
        <n x="4" s="1"/>
        <n x="7" s="1"/>
        <n x="67" s="1"/>
        <n x="3" s="1"/>
        <n x="6" s="1"/>
        <n x="68"/>
        <n x="84"/>
        <n x="18"/>
      </t>
    </mdx>
    <mdx n="0" f="v">
      <t c="8">
        <n x="4" s="1"/>
        <n x="7" s="1"/>
        <n x="67" s="1"/>
        <n x="3" s="1"/>
        <n x="6" s="1"/>
        <n x="68"/>
        <n x="84"/>
        <n x="19"/>
      </t>
    </mdx>
    <mdx n="0" f="v">
      <t c="8">
        <n x="4" s="1"/>
        <n x="7" s="1"/>
        <n x="67" s="1"/>
        <n x="3" s="1"/>
        <n x="6" s="1"/>
        <n x="68"/>
        <n x="84"/>
        <n x="20"/>
      </t>
    </mdx>
    <mdx n="0" f="v">
      <t c="8">
        <n x="4" s="1"/>
        <n x="7" s="1"/>
        <n x="67" s="1"/>
        <n x="3" s="1"/>
        <n x="6" s="1"/>
        <n x="68"/>
        <n x="84"/>
        <n x="21"/>
      </t>
    </mdx>
    <mdx n="0" f="v">
      <t c="8">
        <n x="4" s="1"/>
        <n x="7" s="1"/>
        <n x="67" s="1"/>
        <n x="3" s="1"/>
        <n x="6" s="1"/>
        <n x="68"/>
        <n x="84"/>
        <n x="22"/>
      </t>
    </mdx>
    <mdx n="0" f="v">
      <t c="8">
        <n x="4" s="1"/>
        <n x="7" s="1"/>
        <n x="67" s="1"/>
        <n x="3" s="1"/>
        <n x="6" s="1"/>
        <n x="68"/>
        <n x="84"/>
        <n x="23"/>
      </t>
    </mdx>
    <mdx n="0" f="v">
      <t c="8">
        <n x="4" s="1"/>
        <n x="7" s="1"/>
        <n x="67" s="1"/>
        <n x="3" s="1"/>
        <n x="6" s="1"/>
        <n x="68"/>
        <n x="84"/>
        <n x="24"/>
      </t>
    </mdx>
    <mdx n="0" f="v">
      <t c="8">
        <n x="4" s="1"/>
        <n x="7" s="1"/>
        <n x="67" s="1"/>
        <n x="3" s="1"/>
        <n x="6" s="1"/>
        <n x="68"/>
        <n x="84"/>
        <n x="25"/>
      </t>
    </mdx>
    <mdx n="0" f="v">
      <t c="8">
        <n x="4" s="1"/>
        <n x="7" s="1"/>
        <n x="67" s="1"/>
        <n x="3" s="1"/>
        <n x="6" s="1"/>
        <n x="68"/>
        <n x="84"/>
        <n x="26"/>
      </t>
    </mdx>
    <mdx n="0" f="v">
      <t c="8">
        <n x="4" s="1"/>
        <n x="7" s="1"/>
        <n x="67" s="1"/>
        <n x="3" s="1"/>
        <n x="6" s="1"/>
        <n x="68"/>
        <n x="84"/>
        <n x="27"/>
      </t>
    </mdx>
    <mdx n="0" f="v">
      <t c="8">
        <n x="4" s="1"/>
        <n x="7" s="1"/>
        <n x="67" s="1"/>
        <n x="3" s="1"/>
        <n x="6" s="1"/>
        <n x="68"/>
        <n x="84"/>
        <n x="28"/>
      </t>
    </mdx>
    <mdx n="0" f="v">
      <t c="8">
        <n x="4" s="1"/>
        <n x="7" s="1"/>
        <n x="67" s="1"/>
        <n x="3" s="1"/>
        <n x="6" s="1"/>
        <n x="68"/>
        <n x="84"/>
        <n x="29"/>
      </t>
    </mdx>
    <mdx n="0" f="v">
      <t c="8">
        <n x="4" s="1"/>
        <n x="7" s="1"/>
        <n x="67" s="1"/>
        <n x="3" s="1"/>
        <n x="6" s="1"/>
        <n x="68"/>
        <n x="84"/>
        <n x="30"/>
      </t>
    </mdx>
    <mdx n="0" f="v">
      <t c="8">
        <n x="4" s="1"/>
        <n x="7" s="1"/>
        <n x="67" s="1"/>
        <n x="3" s="1"/>
        <n x="6" s="1"/>
        <n x="68"/>
        <n x="84"/>
        <n x="31"/>
      </t>
    </mdx>
    <mdx n="0" f="v">
      <t c="8">
        <n x="4" s="1"/>
        <n x="7" s="1"/>
        <n x="67" s="1"/>
        <n x="3" s="1"/>
        <n x="6" s="1"/>
        <n x="68"/>
        <n x="84"/>
        <n x="32"/>
      </t>
    </mdx>
    <mdx n="0" f="v">
      <t c="8">
        <n x="4" s="1"/>
        <n x="7" s="1"/>
        <n x="67" s="1"/>
        <n x="3" s="1"/>
        <n x="6" s="1"/>
        <n x="68"/>
        <n x="84"/>
        <n x="33"/>
      </t>
    </mdx>
    <mdx n="0" f="v">
      <t c="8">
        <n x="4" s="1"/>
        <n x="7" s="1"/>
        <n x="67" s="1"/>
        <n x="3" s="1"/>
        <n x="6" s="1"/>
        <n x="68"/>
        <n x="84"/>
        <n x="34"/>
      </t>
    </mdx>
    <mdx n="0" f="v">
      <t c="8">
        <n x="4" s="1"/>
        <n x="7" s="1"/>
        <n x="67" s="1"/>
        <n x="3" s="1"/>
        <n x="6" s="1"/>
        <n x="68"/>
        <n x="84"/>
        <n x="35"/>
      </t>
    </mdx>
    <mdx n="0" f="v">
      <t c="8">
        <n x="4" s="1"/>
        <n x="7" s="1"/>
        <n x="67" s="1"/>
        <n x="3" s="1"/>
        <n x="6" s="1"/>
        <n x="68"/>
        <n x="84"/>
        <n x="36"/>
      </t>
    </mdx>
    <mdx n="0" f="v">
      <t c="8">
        <n x="4" s="1"/>
        <n x="7" s="1"/>
        <n x="67" s="1"/>
        <n x="3" s="1"/>
        <n x="6" s="1"/>
        <n x="68"/>
        <n x="84"/>
        <n x="37"/>
      </t>
    </mdx>
    <mdx n="0" f="v">
      <t c="8">
        <n x="4" s="1"/>
        <n x="7" s="1"/>
        <n x="67" s="1"/>
        <n x="3" s="1"/>
        <n x="6" s="1"/>
        <n x="68"/>
        <n x="84"/>
        <n x="38"/>
      </t>
    </mdx>
    <mdx n="0" f="v">
      <t c="8">
        <n x="4" s="1"/>
        <n x="7" s="1"/>
        <n x="67" s="1"/>
        <n x="3" s="1"/>
        <n x="6" s="1"/>
        <n x="68"/>
        <n x="84"/>
        <n x="39"/>
      </t>
    </mdx>
    <mdx n="0" f="v">
      <t c="8">
        <n x="4" s="1"/>
        <n x="7" s="1"/>
        <n x="67" s="1"/>
        <n x="3" s="1"/>
        <n x="6" s="1"/>
        <n x="68"/>
        <n x="84"/>
        <n x="40"/>
      </t>
    </mdx>
    <mdx n="0" f="v">
      <t c="8">
        <n x="4" s="1"/>
        <n x="7" s="1"/>
        <n x="67" s="1"/>
        <n x="3" s="1"/>
        <n x="6" s="1"/>
        <n x="68"/>
        <n x="84"/>
        <n x="41"/>
      </t>
    </mdx>
    <mdx n="0" f="v">
      <t c="8">
        <n x="4" s="1"/>
        <n x="7" s="1"/>
        <n x="67" s="1"/>
        <n x="3" s="1"/>
        <n x="6" s="1"/>
        <n x="68"/>
        <n x="84"/>
        <n x="42"/>
      </t>
    </mdx>
    <mdx n="0" f="v">
      <t c="8">
        <n x="4" s="1"/>
        <n x="7" s="1"/>
        <n x="67" s="1"/>
        <n x="3" s="1"/>
        <n x="6" s="1"/>
        <n x="68"/>
        <n x="84"/>
        <n x="43"/>
      </t>
    </mdx>
    <mdx n="0" f="v">
      <t c="8">
        <n x="4" s="1"/>
        <n x="7" s="1"/>
        <n x="67" s="1"/>
        <n x="3" s="1"/>
        <n x="6" s="1"/>
        <n x="68"/>
        <n x="84"/>
        <n x="44"/>
      </t>
    </mdx>
    <mdx n="0" f="v">
      <t c="8">
        <n x="4" s="1"/>
        <n x="7" s="1"/>
        <n x="67" s="1"/>
        <n x="3" s="1"/>
        <n x="6" s="1"/>
        <n x="68"/>
        <n x="84"/>
        <n x="45"/>
      </t>
    </mdx>
    <mdx n="0" f="v">
      <t c="8">
        <n x="4" s="1"/>
        <n x="7" s="1"/>
        <n x="67" s="1"/>
        <n x="3" s="1"/>
        <n x="6" s="1"/>
        <n x="68"/>
        <n x="84"/>
        <n x="46"/>
      </t>
    </mdx>
    <mdx n="0" f="v">
      <t c="8">
        <n x="4" s="1"/>
        <n x="7" s="1"/>
        <n x="67" s="1"/>
        <n x="3" s="1"/>
        <n x="6" s="1"/>
        <n x="68"/>
        <n x="84"/>
        <n x="47"/>
      </t>
    </mdx>
    <mdx n="0" f="v">
      <t c="8">
        <n x="4" s="1"/>
        <n x="7" s="1"/>
        <n x="67" s="1"/>
        <n x="3" s="1"/>
        <n x="6" s="1"/>
        <n x="68"/>
        <n x="84"/>
        <n x="48"/>
      </t>
    </mdx>
    <mdx n="0" f="v">
      <t c="8">
        <n x="4" s="1"/>
        <n x="7" s="1"/>
        <n x="67" s="1"/>
        <n x="3" s="1"/>
        <n x="6" s="1"/>
        <n x="68"/>
        <n x="84"/>
        <n x="49"/>
      </t>
    </mdx>
    <mdx n="0" f="v">
      <t c="8">
        <n x="4" s="1"/>
        <n x="7" s="1"/>
        <n x="67" s="1"/>
        <n x="3" s="1"/>
        <n x="6" s="1"/>
        <n x="68"/>
        <n x="84"/>
        <n x="50"/>
      </t>
    </mdx>
    <mdx n="0" f="v">
      <t c="8">
        <n x="4" s="1"/>
        <n x="7" s="1"/>
        <n x="67" s="1"/>
        <n x="3" s="1"/>
        <n x="6" s="1"/>
        <n x="68"/>
        <n x="84"/>
        <n x="51"/>
      </t>
    </mdx>
    <mdx n="0" f="v">
      <t c="8">
        <n x="4" s="1"/>
        <n x="7" s="1"/>
        <n x="67" s="1"/>
        <n x="3" s="1"/>
        <n x="6" s="1"/>
        <n x="68"/>
        <n x="84"/>
        <n x="52"/>
      </t>
    </mdx>
    <mdx n="0" f="v">
      <t c="8">
        <n x="4" s="1"/>
        <n x="7" s="1"/>
        <n x="67" s="1"/>
        <n x="3" s="1"/>
        <n x="6" s="1"/>
        <n x="68"/>
        <n x="84"/>
        <n x="53"/>
      </t>
    </mdx>
    <mdx n="0" f="v">
      <t c="8">
        <n x="4" s="1"/>
        <n x="7" s="1"/>
        <n x="67" s="1"/>
        <n x="3" s="1"/>
        <n x="6" s="1"/>
        <n x="68"/>
        <n x="84"/>
        <n x="54"/>
      </t>
    </mdx>
    <mdx n="0" f="v">
      <t c="8">
        <n x="4" s="1"/>
        <n x="7" s="1"/>
        <n x="67" s="1"/>
        <n x="3" s="1"/>
        <n x="6" s="1"/>
        <n x="68"/>
        <n x="84"/>
        <n x="55"/>
      </t>
    </mdx>
    <mdx n="0" f="v">
      <t c="8">
        <n x="4" s="1"/>
        <n x="7" s="1"/>
        <n x="67" s="1"/>
        <n x="3" s="1"/>
        <n x="6" s="1"/>
        <n x="68"/>
        <n x="84"/>
        <n x="56"/>
      </t>
    </mdx>
    <mdx n="0" f="v">
      <t c="8">
        <n x="4" s="1"/>
        <n x="7" s="1"/>
        <n x="67" s="1"/>
        <n x="3" s="1"/>
        <n x="6" s="1"/>
        <n x="68"/>
        <n x="84"/>
        <n x="57"/>
      </t>
    </mdx>
    <mdx n="0" f="v">
      <t c="8">
        <n x="4" s="1"/>
        <n x="7" s="1"/>
        <n x="67" s="1"/>
        <n x="3" s="1"/>
        <n x="6" s="1"/>
        <n x="68"/>
        <n x="84"/>
        <n x="58"/>
      </t>
    </mdx>
    <mdx n="0" f="v">
      <t c="8">
        <n x="4" s="1"/>
        <n x="7" s="1"/>
        <n x="67" s="1"/>
        <n x="3" s="1"/>
        <n x="6" s="1"/>
        <n x="68"/>
        <n x="84"/>
        <n x="59"/>
      </t>
    </mdx>
    <mdx n="0" f="v">
      <t c="8">
        <n x="4" s="1"/>
        <n x="7" s="1"/>
        <n x="67" s="1"/>
        <n x="3" s="1"/>
        <n x="6" s="1"/>
        <n x="68"/>
        <n x="84"/>
        <n x="60"/>
      </t>
    </mdx>
    <mdx n="0" f="v">
      <t c="8">
        <n x="4" s="1"/>
        <n x="7" s="1"/>
        <n x="67" s="1"/>
        <n x="3" s="1"/>
        <n x="6" s="1"/>
        <n x="68"/>
        <n x="84"/>
        <n x="61"/>
      </t>
    </mdx>
    <mdx n="0" f="v">
      <t c="8">
        <n x="4" s="1"/>
        <n x="7" s="1"/>
        <n x="67" s="1"/>
        <n x="3" s="1"/>
        <n x="6" s="1"/>
        <n x="68"/>
        <n x="84"/>
        <n x="62"/>
      </t>
    </mdx>
    <mdx n="0" f="v">
      <t c="8">
        <n x="4" s="1"/>
        <n x="7" s="1"/>
        <n x="67" s="1"/>
        <n x="3" s="1"/>
        <n x="6" s="1"/>
        <n x="68"/>
        <n x="84"/>
        <n x="63"/>
      </t>
    </mdx>
    <mdx n="0" f="v">
      <t c="8">
        <n x="4" s="1"/>
        <n x="7" s="1"/>
        <n x="67" s="1"/>
        <n x="3" s="1"/>
        <n x="6" s="1"/>
        <n x="68"/>
        <n x="84"/>
        <n x="64"/>
      </t>
    </mdx>
    <mdx n="0" f="v">
      <t c="8">
        <n x="4" s="1"/>
        <n x="7" s="1"/>
        <n x="67" s="1"/>
        <n x="3" s="1"/>
        <n x="6" s="1"/>
        <n x="68"/>
        <n x="84"/>
        <n x="65"/>
      </t>
    </mdx>
    <mdx n="0" f="v">
      <t c="8">
        <n x="4" s="1"/>
        <n x="7" s="1"/>
        <n x="67" s="1"/>
        <n x="3" s="1"/>
        <n x="6" s="1"/>
        <n x="68"/>
        <n x="84"/>
        <n x="66"/>
      </t>
    </mdx>
    <mdx n="0" f="m">
      <t c="1">
        <n x="85"/>
      </t>
    </mdx>
    <mdx n="0" f="v">
      <t c="8">
        <n x="4" s="1"/>
        <n x="7" s="1"/>
        <n x="67" s="1"/>
        <n x="3" s="1"/>
        <n x="6" s="1"/>
        <n x="68"/>
        <n x="85"/>
        <n x="8"/>
      </t>
    </mdx>
    <mdx n="0" f="v">
      <t c="8">
        <n x="4" s="1"/>
        <n x="7" s="1"/>
        <n x="67" s="1"/>
        <n x="3" s="1"/>
        <n x="6" s="1"/>
        <n x="68"/>
        <n x="85"/>
        <n x="9"/>
      </t>
    </mdx>
    <mdx n="0" f="v">
      <t c="8">
        <n x="4" s="1"/>
        <n x="7" s="1"/>
        <n x="67" s="1"/>
        <n x="3" s="1"/>
        <n x="6" s="1"/>
        <n x="68"/>
        <n x="85"/>
        <n x="10"/>
      </t>
    </mdx>
    <mdx n="0" f="v">
      <t c="8">
        <n x="4" s="1"/>
        <n x="7" s="1"/>
        <n x="67" s="1"/>
        <n x="3" s="1"/>
        <n x="6" s="1"/>
        <n x="68"/>
        <n x="85"/>
        <n x="11"/>
      </t>
    </mdx>
    <mdx n="0" f="v">
      <t c="8">
        <n x="4" s="1"/>
        <n x="7" s="1"/>
        <n x="67" s="1"/>
        <n x="3" s="1"/>
        <n x="6" s="1"/>
        <n x="68"/>
        <n x="85"/>
        <n x="12"/>
      </t>
    </mdx>
    <mdx n="0" f="v">
      <t c="8">
        <n x="4" s="1"/>
        <n x="7" s="1"/>
        <n x="67" s="1"/>
        <n x="3" s="1"/>
        <n x="6" s="1"/>
        <n x="68"/>
        <n x="85"/>
        <n x="13"/>
      </t>
    </mdx>
    <mdx n="0" f="v">
      <t c="8">
        <n x="4" s="1"/>
        <n x="7" s="1"/>
        <n x="67" s="1"/>
        <n x="3" s="1"/>
        <n x="6" s="1"/>
        <n x="68"/>
        <n x="85"/>
        <n x="14"/>
      </t>
    </mdx>
    <mdx n="0" f="v">
      <t c="8">
        <n x="4" s="1"/>
        <n x="7" s="1"/>
        <n x="67" s="1"/>
        <n x="3" s="1"/>
        <n x="6" s="1"/>
        <n x="68"/>
        <n x="85"/>
        <n x="15"/>
      </t>
    </mdx>
    <mdx n="0" f="v">
      <t c="8">
        <n x="4" s="1"/>
        <n x="7" s="1"/>
        <n x="67" s="1"/>
        <n x="3" s="1"/>
        <n x="6" s="1"/>
        <n x="68"/>
        <n x="85"/>
        <n x="16"/>
      </t>
    </mdx>
    <mdx n="0" f="v">
      <t c="8">
        <n x="4" s="1"/>
        <n x="7" s="1"/>
        <n x="67" s="1"/>
        <n x="3" s="1"/>
        <n x="6" s="1"/>
        <n x="68"/>
        <n x="85"/>
        <n x="17"/>
      </t>
    </mdx>
    <mdx n="0" f="v">
      <t c="8">
        <n x="4" s="1"/>
        <n x="7" s="1"/>
        <n x="67" s="1"/>
        <n x="3" s="1"/>
        <n x="6" s="1"/>
        <n x="68"/>
        <n x="85"/>
        <n x="18"/>
      </t>
    </mdx>
    <mdx n="0" f="v">
      <t c="8">
        <n x="4" s="1"/>
        <n x="7" s="1"/>
        <n x="67" s="1"/>
        <n x="3" s="1"/>
        <n x="6" s="1"/>
        <n x="68"/>
        <n x="85"/>
        <n x="19"/>
      </t>
    </mdx>
    <mdx n="0" f="v">
      <t c="8">
        <n x="4" s="1"/>
        <n x="7" s="1"/>
        <n x="67" s="1"/>
        <n x="3" s="1"/>
        <n x="6" s="1"/>
        <n x="68"/>
        <n x="85"/>
        <n x="20"/>
      </t>
    </mdx>
    <mdx n="0" f="v">
      <t c="8">
        <n x="4" s="1"/>
        <n x="7" s="1"/>
        <n x="67" s="1"/>
        <n x="3" s="1"/>
        <n x="6" s="1"/>
        <n x="68"/>
        <n x="85"/>
        <n x="21"/>
      </t>
    </mdx>
    <mdx n="0" f="v">
      <t c="8">
        <n x="4" s="1"/>
        <n x="7" s="1"/>
        <n x="67" s="1"/>
        <n x="3" s="1"/>
        <n x="6" s="1"/>
        <n x="68"/>
        <n x="85"/>
        <n x="22"/>
      </t>
    </mdx>
    <mdx n="0" f="v">
      <t c="8">
        <n x="4" s="1"/>
        <n x="7" s="1"/>
        <n x="67" s="1"/>
        <n x="3" s="1"/>
        <n x="6" s="1"/>
        <n x="68"/>
        <n x="85"/>
        <n x="23"/>
      </t>
    </mdx>
    <mdx n="0" f="v">
      <t c="8">
        <n x="4" s="1"/>
        <n x="7" s="1"/>
        <n x="67" s="1"/>
        <n x="3" s="1"/>
        <n x="6" s="1"/>
        <n x="68"/>
        <n x="85"/>
        <n x="24"/>
      </t>
    </mdx>
    <mdx n="0" f="v">
      <t c="8">
        <n x="4" s="1"/>
        <n x="7" s="1"/>
        <n x="67" s="1"/>
        <n x="3" s="1"/>
        <n x="6" s="1"/>
        <n x="68"/>
        <n x="85"/>
        <n x="25"/>
      </t>
    </mdx>
    <mdx n="0" f="v">
      <t c="8">
        <n x="4" s="1"/>
        <n x="7" s="1"/>
        <n x="67" s="1"/>
        <n x="3" s="1"/>
        <n x="6" s="1"/>
        <n x="68"/>
        <n x="85"/>
        <n x="26"/>
      </t>
    </mdx>
    <mdx n="0" f="v">
      <t c="8">
        <n x="4" s="1"/>
        <n x="7" s="1"/>
        <n x="67" s="1"/>
        <n x="3" s="1"/>
        <n x="6" s="1"/>
        <n x="68"/>
        <n x="85"/>
        <n x="27"/>
      </t>
    </mdx>
    <mdx n="0" f="v">
      <t c="8">
        <n x="4" s="1"/>
        <n x="7" s="1"/>
        <n x="67" s="1"/>
        <n x="3" s="1"/>
        <n x="6" s="1"/>
        <n x="68"/>
        <n x="85"/>
        <n x="28"/>
      </t>
    </mdx>
    <mdx n="0" f="v">
      <t c="8">
        <n x="4" s="1"/>
        <n x="7" s="1"/>
        <n x="67" s="1"/>
        <n x="3" s="1"/>
        <n x="6" s="1"/>
        <n x="68"/>
        <n x="85"/>
        <n x="29"/>
      </t>
    </mdx>
    <mdx n="0" f="v">
      <t c="8">
        <n x="4" s="1"/>
        <n x="7" s="1"/>
        <n x="67" s="1"/>
        <n x="3" s="1"/>
        <n x="6" s="1"/>
        <n x="68"/>
        <n x="85"/>
        <n x="30"/>
      </t>
    </mdx>
    <mdx n="0" f="v">
      <t c="8">
        <n x="4" s="1"/>
        <n x="7" s="1"/>
        <n x="67" s="1"/>
        <n x="3" s="1"/>
        <n x="6" s="1"/>
        <n x="68"/>
        <n x="85"/>
        <n x="31"/>
      </t>
    </mdx>
    <mdx n="0" f="v">
      <t c="8">
        <n x="4" s="1"/>
        <n x="7" s="1"/>
        <n x="67" s="1"/>
        <n x="3" s="1"/>
        <n x="6" s="1"/>
        <n x="68"/>
        <n x="85"/>
        <n x="32"/>
      </t>
    </mdx>
    <mdx n="0" f="v">
      <t c="8">
        <n x="4" s="1"/>
        <n x="7" s="1"/>
        <n x="67" s="1"/>
        <n x="3" s="1"/>
        <n x="6" s="1"/>
        <n x="68"/>
        <n x="85"/>
        <n x="33"/>
      </t>
    </mdx>
    <mdx n="0" f="v">
      <t c="8">
        <n x="4" s="1"/>
        <n x="7" s="1"/>
        <n x="67" s="1"/>
        <n x="3" s="1"/>
        <n x="6" s="1"/>
        <n x="68"/>
        <n x="85"/>
        <n x="34"/>
      </t>
    </mdx>
    <mdx n="0" f="v">
      <t c="8">
        <n x="4" s="1"/>
        <n x="7" s="1"/>
        <n x="67" s="1"/>
        <n x="3" s="1"/>
        <n x="6" s="1"/>
        <n x="68"/>
        <n x="85"/>
        <n x="35"/>
      </t>
    </mdx>
    <mdx n="0" f="v">
      <t c="8">
        <n x="4" s="1"/>
        <n x="7" s="1"/>
        <n x="67" s="1"/>
        <n x="3" s="1"/>
        <n x="6" s="1"/>
        <n x="68"/>
        <n x="85"/>
        <n x="36"/>
      </t>
    </mdx>
    <mdx n="0" f="v">
      <t c="8">
        <n x="4" s="1"/>
        <n x="7" s="1"/>
        <n x="67" s="1"/>
        <n x="3" s="1"/>
        <n x="6" s="1"/>
        <n x="68"/>
        <n x="85"/>
        <n x="37"/>
      </t>
    </mdx>
    <mdx n="0" f="v">
      <t c="8">
        <n x="4" s="1"/>
        <n x="7" s="1"/>
        <n x="67" s="1"/>
        <n x="3" s="1"/>
        <n x="6" s="1"/>
        <n x="68"/>
        <n x="85"/>
        <n x="38"/>
      </t>
    </mdx>
    <mdx n="0" f="v">
      <t c="8">
        <n x="4" s="1"/>
        <n x="7" s="1"/>
        <n x="67" s="1"/>
        <n x="3" s="1"/>
        <n x="6" s="1"/>
        <n x="68"/>
        <n x="85"/>
        <n x="39"/>
      </t>
    </mdx>
    <mdx n="0" f="v">
      <t c="8">
        <n x="4" s="1"/>
        <n x="7" s="1"/>
        <n x="67" s="1"/>
        <n x="3" s="1"/>
        <n x="6" s="1"/>
        <n x="68"/>
        <n x="85"/>
        <n x="40"/>
      </t>
    </mdx>
    <mdx n="0" f="v">
      <t c="8">
        <n x="4" s="1"/>
        <n x="7" s="1"/>
        <n x="67" s="1"/>
        <n x="3" s="1"/>
        <n x="6" s="1"/>
        <n x="68"/>
        <n x="85"/>
        <n x="41"/>
      </t>
    </mdx>
    <mdx n="0" f="v">
      <t c="8">
        <n x="4" s="1"/>
        <n x="7" s="1"/>
        <n x="67" s="1"/>
        <n x="3" s="1"/>
        <n x="6" s="1"/>
        <n x="68"/>
        <n x="85"/>
        <n x="42"/>
      </t>
    </mdx>
    <mdx n="0" f="v">
      <t c="8">
        <n x="4" s="1"/>
        <n x="7" s="1"/>
        <n x="67" s="1"/>
        <n x="3" s="1"/>
        <n x="6" s="1"/>
        <n x="68"/>
        <n x="85"/>
        <n x="43"/>
      </t>
    </mdx>
    <mdx n="0" f="v">
      <t c="8">
        <n x="4" s="1"/>
        <n x="7" s="1"/>
        <n x="67" s="1"/>
        <n x="3" s="1"/>
        <n x="6" s="1"/>
        <n x="68"/>
        <n x="85"/>
        <n x="44"/>
      </t>
    </mdx>
    <mdx n="0" f="v">
      <t c="8">
        <n x="4" s="1"/>
        <n x="7" s="1"/>
        <n x="67" s="1"/>
        <n x="3" s="1"/>
        <n x="6" s="1"/>
        <n x="68"/>
        <n x="85"/>
        <n x="45"/>
      </t>
    </mdx>
    <mdx n="0" f="v">
      <t c="8">
        <n x="4" s="1"/>
        <n x="7" s="1"/>
        <n x="67" s="1"/>
        <n x="3" s="1"/>
        <n x="6" s="1"/>
        <n x="68"/>
        <n x="85"/>
        <n x="46"/>
      </t>
    </mdx>
    <mdx n="0" f="v">
      <t c="8">
        <n x="4" s="1"/>
        <n x="7" s="1"/>
        <n x="67" s="1"/>
        <n x="3" s="1"/>
        <n x="6" s="1"/>
        <n x="68"/>
        <n x="85"/>
        <n x="47"/>
      </t>
    </mdx>
    <mdx n="0" f="v">
      <t c="8">
        <n x="4" s="1"/>
        <n x="7" s="1"/>
        <n x="67" s="1"/>
        <n x="3" s="1"/>
        <n x="6" s="1"/>
        <n x="68"/>
        <n x="85"/>
        <n x="48"/>
      </t>
    </mdx>
    <mdx n="0" f="v">
      <t c="8">
        <n x="4" s="1"/>
        <n x="7" s="1"/>
        <n x="67" s="1"/>
        <n x="3" s="1"/>
        <n x="6" s="1"/>
        <n x="68"/>
        <n x="85"/>
        <n x="49"/>
      </t>
    </mdx>
    <mdx n="0" f="v">
      <t c="8">
        <n x="4" s="1"/>
        <n x="7" s="1"/>
        <n x="67" s="1"/>
        <n x="3" s="1"/>
        <n x="6" s="1"/>
        <n x="68"/>
        <n x="85"/>
        <n x="50"/>
      </t>
    </mdx>
    <mdx n="0" f="v">
      <t c="8">
        <n x="4" s="1"/>
        <n x="7" s="1"/>
        <n x="67" s="1"/>
        <n x="3" s="1"/>
        <n x="6" s="1"/>
        <n x="68"/>
        <n x="85"/>
        <n x="51"/>
      </t>
    </mdx>
    <mdx n="0" f="v">
      <t c="8">
        <n x="4" s="1"/>
        <n x="7" s="1"/>
        <n x="67" s="1"/>
        <n x="3" s="1"/>
        <n x="6" s="1"/>
        <n x="68"/>
        <n x="85"/>
        <n x="52"/>
      </t>
    </mdx>
    <mdx n="0" f="v">
      <t c="8">
        <n x="4" s="1"/>
        <n x="7" s="1"/>
        <n x="67" s="1"/>
        <n x="3" s="1"/>
        <n x="6" s="1"/>
        <n x="68"/>
        <n x="85"/>
        <n x="53"/>
      </t>
    </mdx>
    <mdx n="0" f="v">
      <t c="8">
        <n x="4" s="1"/>
        <n x="7" s="1"/>
        <n x="67" s="1"/>
        <n x="3" s="1"/>
        <n x="6" s="1"/>
        <n x="68"/>
        <n x="85"/>
        <n x="54"/>
      </t>
    </mdx>
    <mdx n="0" f="v">
      <t c="8">
        <n x="4" s="1"/>
        <n x="7" s="1"/>
        <n x="67" s="1"/>
        <n x="3" s="1"/>
        <n x="6" s="1"/>
        <n x="68"/>
        <n x="85"/>
        <n x="55"/>
      </t>
    </mdx>
    <mdx n="0" f="v">
      <t c="8">
        <n x="4" s="1"/>
        <n x="7" s="1"/>
        <n x="67" s="1"/>
        <n x="3" s="1"/>
        <n x="6" s="1"/>
        <n x="68"/>
        <n x="85"/>
        <n x="56"/>
      </t>
    </mdx>
    <mdx n="0" f="v">
      <t c="8">
        <n x="4" s="1"/>
        <n x="7" s="1"/>
        <n x="67" s="1"/>
        <n x="3" s="1"/>
        <n x="6" s="1"/>
        <n x="68"/>
        <n x="85"/>
        <n x="57"/>
      </t>
    </mdx>
    <mdx n="0" f="v">
      <t c="8">
        <n x="4" s="1"/>
        <n x="7" s="1"/>
        <n x="67" s="1"/>
        <n x="3" s="1"/>
        <n x="6" s="1"/>
        <n x="68"/>
        <n x="85"/>
        <n x="58"/>
      </t>
    </mdx>
    <mdx n="0" f="v">
      <t c="8">
        <n x="4" s="1"/>
        <n x="7" s="1"/>
        <n x="67" s="1"/>
        <n x="3" s="1"/>
        <n x="6" s="1"/>
        <n x="68"/>
        <n x="85"/>
        <n x="59"/>
      </t>
    </mdx>
    <mdx n="0" f="v">
      <t c="8">
        <n x="4" s="1"/>
        <n x="7" s="1"/>
        <n x="67" s="1"/>
        <n x="3" s="1"/>
        <n x="6" s="1"/>
        <n x="68"/>
        <n x="85"/>
        <n x="60"/>
      </t>
    </mdx>
    <mdx n="0" f="v">
      <t c="8">
        <n x="4" s="1"/>
        <n x="7" s="1"/>
        <n x="67" s="1"/>
        <n x="3" s="1"/>
        <n x="6" s="1"/>
        <n x="68"/>
        <n x="85"/>
        <n x="61"/>
      </t>
    </mdx>
    <mdx n="0" f="v">
      <t c="8">
        <n x="4" s="1"/>
        <n x="7" s="1"/>
        <n x="67" s="1"/>
        <n x="3" s="1"/>
        <n x="6" s="1"/>
        <n x="68"/>
        <n x="85"/>
        <n x="62"/>
      </t>
    </mdx>
    <mdx n="0" f="v">
      <t c="8">
        <n x="4" s="1"/>
        <n x="7" s="1"/>
        <n x="67" s="1"/>
        <n x="3" s="1"/>
        <n x="6" s="1"/>
        <n x="68"/>
        <n x="85"/>
        <n x="63"/>
      </t>
    </mdx>
    <mdx n="0" f="v">
      <t c="8">
        <n x="4" s="1"/>
        <n x="7" s="1"/>
        <n x="67" s="1"/>
        <n x="3" s="1"/>
        <n x="6" s="1"/>
        <n x="68"/>
        <n x="85"/>
        <n x="64"/>
      </t>
    </mdx>
    <mdx n="0" f="v">
      <t c="8">
        <n x="4" s="1"/>
        <n x="7" s="1"/>
        <n x="67" s="1"/>
        <n x="3" s="1"/>
        <n x="6" s="1"/>
        <n x="68"/>
        <n x="85"/>
        <n x="65"/>
      </t>
    </mdx>
    <mdx n="0" f="v">
      <t c="8">
        <n x="4" s="1"/>
        <n x="7" s="1"/>
        <n x="67" s="1"/>
        <n x="3" s="1"/>
        <n x="6" s="1"/>
        <n x="68"/>
        <n x="85"/>
        <n x="66"/>
      </t>
    </mdx>
    <mdx n="0" f="m">
      <t c="1">
        <n x="86"/>
      </t>
    </mdx>
    <mdx n="0" f="v">
      <t c="8">
        <n x="4" s="1"/>
        <n x="7" s="1"/>
        <n x="67" s="1"/>
        <n x="3" s="1"/>
        <n x="6" s="1"/>
        <n x="68"/>
        <n x="86"/>
        <n x="8"/>
      </t>
    </mdx>
    <mdx n="0" f="v">
      <t c="8">
        <n x="4" s="1"/>
        <n x="7" s="1"/>
        <n x="67" s="1"/>
        <n x="3" s="1"/>
        <n x="6" s="1"/>
        <n x="68"/>
        <n x="86"/>
        <n x="9"/>
      </t>
    </mdx>
    <mdx n="0" f="v">
      <t c="8">
        <n x="4" s="1"/>
        <n x="7" s="1"/>
        <n x="67" s="1"/>
        <n x="3" s="1"/>
        <n x="6" s="1"/>
        <n x="68"/>
        <n x="86"/>
        <n x="10"/>
      </t>
    </mdx>
    <mdx n="0" f="v">
      <t c="8">
        <n x="4" s="1"/>
        <n x="7" s="1"/>
        <n x="67" s="1"/>
        <n x="3" s="1"/>
        <n x="6" s="1"/>
        <n x="68"/>
        <n x="86"/>
        <n x="11"/>
      </t>
    </mdx>
    <mdx n="0" f="v">
      <t c="8">
        <n x="4" s="1"/>
        <n x="7" s="1"/>
        <n x="67" s="1"/>
        <n x="3" s="1"/>
        <n x="6" s="1"/>
        <n x="68"/>
        <n x="86"/>
        <n x="12"/>
      </t>
    </mdx>
    <mdx n="0" f="v">
      <t c="8">
        <n x="4" s="1"/>
        <n x="7" s="1"/>
        <n x="67" s="1"/>
        <n x="3" s="1"/>
        <n x="6" s="1"/>
        <n x="68"/>
        <n x="86"/>
        <n x="13"/>
      </t>
    </mdx>
    <mdx n="0" f="v">
      <t c="8">
        <n x="4" s="1"/>
        <n x="7" s="1"/>
        <n x="67" s="1"/>
        <n x="3" s="1"/>
        <n x="6" s="1"/>
        <n x="68"/>
        <n x="86"/>
        <n x="14"/>
      </t>
    </mdx>
    <mdx n="0" f="v">
      <t c="8">
        <n x="4" s="1"/>
        <n x="7" s="1"/>
        <n x="67" s="1"/>
        <n x="3" s="1"/>
        <n x="6" s="1"/>
        <n x="68"/>
        <n x="86"/>
        <n x="15"/>
      </t>
    </mdx>
    <mdx n="0" f="v">
      <t c="8">
        <n x="4" s="1"/>
        <n x="7" s="1"/>
        <n x="67" s="1"/>
        <n x="3" s="1"/>
        <n x="6" s="1"/>
        <n x="68"/>
        <n x="86"/>
        <n x="16"/>
      </t>
    </mdx>
    <mdx n="0" f="v">
      <t c="8">
        <n x="4" s="1"/>
        <n x="7" s="1"/>
        <n x="67" s="1"/>
        <n x="3" s="1"/>
        <n x="6" s="1"/>
        <n x="68"/>
        <n x="86"/>
        <n x="17"/>
      </t>
    </mdx>
    <mdx n="0" f="v">
      <t c="8">
        <n x="4" s="1"/>
        <n x="7" s="1"/>
        <n x="67" s="1"/>
        <n x="3" s="1"/>
        <n x="6" s="1"/>
        <n x="68"/>
        <n x="86"/>
        <n x="18"/>
      </t>
    </mdx>
    <mdx n="0" f="v">
      <t c="8">
        <n x="4" s="1"/>
        <n x="7" s="1"/>
        <n x="67" s="1"/>
        <n x="3" s="1"/>
        <n x="6" s="1"/>
        <n x="68"/>
        <n x="86"/>
        <n x="19"/>
      </t>
    </mdx>
    <mdx n="0" f="v">
      <t c="8">
        <n x="4" s="1"/>
        <n x="7" s="1"/>
        <n x="67" s="1"/>
        <n x="3" s="1"/>
        <n x="6" s="1"/>
        <n x="68"/>
        <n x="86"/>
        <n x="20"/>
      </t>
    </mdx>
    <mdx n="0" f="v">
      <t c="8">
        <n x="4" s="1"/>
        <n x="7" s="1"/>
        <n x="67" s="1"/>
        <n x="3" s="1"/>
        <n x="6" s="1"/>
        <n x="68"/>
        <n x="86"/>
        <n x="21"/>
      </t>
    </mdx>
    <mdx n="0" f="v">
      <t c="8">
        <n x="4" s="1"/>
        <n x="7" s="1"/>
        <n x="67" s="1"/>
        <n x="3" s="1"/>
        <n x="6" s="1"/>
        <n x="68"/>
        <n x="86"/>
        <n x="22"/>
      </t>
    </mdx>
    <mdx n="0" f="v">
      <t c="8">
        <n x="4" s="1"/>
        <n x="7" s="1"/>
        <n x="67" s="1"/>
        <n x="3" s="1"/>
        <n x="6" s="1"/>
        <n x="68"/>
        <n x="86"/>
        <n x="23"/>
      </t>
    </mdx>
    <mdx n="0" f="v">
      <t c="8">
        <n x="4" s="1"/>
        <n x="7" s="1"/>
        <n x="67" s="1"/>
        <n x="3" s="1"/>
        <n x="6" s="1"/>
        <n x="68"/>
        <n x="86"/>
        <n x="24"/>
      </t>
    </mdx>
    <mdx n="0" f="v">
      <t c="8">
        <n x="4" s="1"/>
        <n x="7" s="1"/>
        <n x="67" s="1"/>
        <n x="3" s="1"/>
        <n x="6" s="1"/>
        <n x="68"/>
        <n x="86"/>
        <n x="25"/>
      </t>
    </mdx>
    <mdx n="0" f="v">
      <t c="8">
        <n x="4" s="1"/>
        <n x="7" s="1"/>
        <n x="67" s="1"/>
        <n x="3" s="1"/>
        <n x="6" s="1"/>
        <n x="68"/>
        <n x="86"/>
        <n x="26"/>
      </t>
    </mdx>
    <mdx n="0" f="v">
      <t c="8">
        <n x="4" s="1"/>
        <n x="7" s="1"/>
        <n x="67" s="1"/>
        <n x="3" s="1"/>
        <n x="6" s="1"/>
        <n x="68"/>
        <n x="86"/>
        <n x="27"/>
      </t>
    </mdx>
    <mdx n="0" f="v">
      <t c="8">
        <n x="4" s="1"/>
        <n x="7" s="1"/>
        <n x="67" s="1"/>
        <n x="3" s="1"/>
        <n x="6" s="1"/>
        <n x="68"/>
        <n x="86"/>
        <n x="28"/>
      </t>
    </mdx>
    <mdx n="0" f="v">
      <t c="8">
        <n x="4" s="1"/>
        <n x="7" s="1"/>
        <n x="67" s="1"/>
        <n x="3" s="1"/>
        <n x="6" s="1"/>
        <n x="68"/>
        <n x="86"/>
        <n x="29"/>
      </t>
    </mdx>
    <mdx n="0" f="v">
      <t c="8">
        <n x="4" s="1"/>
        <n x="7" s="1"/>
        <n x="67" s="1"/>
        <n x="3" s="1"/>
        <n x="6" s="1"/>
        <n x="68"/>
        <n x="86"/>
        <n x="30"/>
      </t>
    </mdx>
    <mdx n="0" f="v">
      <t c="8">
        <n x="4" s="1"/>
        <n x="7" s="1"/>
        <n x="67" s="1"/>
        <n x="3" s="1"/>
        <n x="6" s="1"/>
        <n x="68"/>
        <n x="86"/>
        <n x="31"/>
      </t>
    </mdx>
    <mdx n="0" f="v">
      <t c="8">
        <n x="4" s="1"/>
        <n x="7" s="1"/>
        <n x="67" s="1"/>
        <n x="3" s="1"/>
        <n x="6" s="1"/>
        <n x="68"/>
        <n x="86"/>
        <n x="32"/>
      </t>
    </mdx>
    <mdx n="0" f="v">
      <t c="8">
        <n x="4" s="1"/>
        <n x="7" s="1"/>
        <n x="67" s="1"/>
        <n x="3" s="1"/>
        <n x="6" s="1"/>
        <n x="68"/>
        <n x="86"/>
        <n x="33"/>
      </t>
    </mdx>
    <mdx n="0" f="v">
      <t c="8">
        <n x="4" s="1"/>
        <n x="7" s="1"/>
        <n x="67" s="1"/>
        <n x="3" s="1"/>
        <n x="6" s="1"/>
        <n x="68"/>
        <n x="86"/>
        <n x="34"/>
      </t>
    </mdx>
    <mdx n="0" f="v">
      <t c="8">
        <n x="4" s="1"/>
        <n x="7" s="1"/>
        <n x="67" s="1"/>
        <n x="3" s="1"/>
        <n x="6" s="1"/>
        <n x="68"/>
        <n x="86"/>
        <n x="35"/>
      </t>
    </mdx>
    <mdx n="0" f="v">
      <t c="8">
        <n x="4" s="1"/>
        <n x="7" s="1"/>
        <n x="67" s="1"/>
        <n x="3" s="1"/>
        <n x="6" s="1"/>
        <n x="68"/>
        <n x="86"/>
        <n x="36"/>
      </t>
    </mdx>
    <mdx n="0" f="v">
      <t c="8">
        <n x="4" s="1"/>
        <n x="7" s="1"/>
        <n x="67" s="1"/>
        <n x="3" s="1"/>
        <n x="6" s="1"/>
        <n x="68"/>
        <n x="86"/>
        <n x="37"/>
      </t>
    </mdx>
    <mdx n="0" f="v">
      <t c="8">
        <n x="4" s="1"/>
        <n x="7" s="1"/>
        <n x="67" s="1"/>
        <n x="3" s="1"/>
        <n x="6" s="1"/>
        <n x="68"/>
        <n x="86"/>
        <n x="38"/>
      </t>
    </mdx>
    <mdx n="0" f="v">
      <t c="8">
        <n x="4" s="1"/>
        <n x="7" s="1"/>
        <n x="67" s="1"/>
        <n x="3" s="1"/>
        <n x="6" s="1"/>
        <n x="68"/>
        <n x="86"/>
        <n x="39"/>
      </t>
    </mdx>
    <mdx n="0" f="v">
      <t c="8">
        <n x="4" s="1"/>
        <n x="7" s="1"/>
        <n x="67" s="1"/>
        <n x="3" s="1"/>
        <n x="6" s="1"/>
        <n x="68"/>
        <n x="86"/>
        <n x="40"/>
      </t>
    </mdx>
    <mdx n="0" f="v">
      <t c="8">
        <n x="4" s="1"/>
        <n x="7" s="1"/>
        <n x="67" s="1"/>
        <n x="3" s="1"/>
        <n x="6" s="1"/>
        <n x="68"/>
        <n x="86"/>
        <n x="41"/>
      </t>
    </mdx>
    <mdx n="0" f="v">
      <t c="8">
        <n x="4" s="1"/>
        <n x="7" s="1"/>
        <n x="67" s="1"/>
        <n x="3" s="1"/>
        <n x="6" s="1"/>
        <n x="68"/>
        <n x="86"/>
        <n x="42"/>
      </t>
    </mdx>
    <mdx n="0" f="v">
      <t c="8">
        <n x="4" s="1"/>
        <n x="7" s="1"/>
        <n x="67" s="1"/>
        <n x="3" s="1"/>
        <n x="6" s="1"/>
        <n x="68"/>
        <n x="86"/>
        <n x="43"/>
      </t>
    </mdx>
    <mdx n="0" f="v">
      <t c="8">
        <n x="4" s="1"/>
        <n x="7" s="1"/>
        <n x="67" s="1"/>
        <n x="3" s="1"/>
        <n x="6" s="1"/>
        <n x="68"/>
        <n x="86"/>
        <n x="44"/>
      </t>
    </mdx>
    <mdx n="0" f="v">
      <t c="8">
        <n x="4" s="1"/>
        <n x="7" s="1"/>
        <n x="67" s="1"/>
        <n x="3" s="1"/>
        <n x="6" s="1"/>
        <n x="68"/>
        <n x="86"/>
        <n x="45"/>
      </t>
    </mdx>
    <mdx n="0" f="v">
      <t c="8">
        <n x="4" s="1"/>
        <n x="7" s="1"/>
        <n x="67" s="1"/>
        <n x="3" s="1"/>
        <n x="6" s="1"/>
        <n x="68"/>
        <n x="86"/>
        <n x="46"/>
      </t>
    </mdx>
    <mdx n="0" f="v">
      <t c="8">
        <n x="4" s="1"/>
        <n x="7" s="1"/>
        <n x="67" s="1"/>
        <n x="3" s="1"/>
        <n x="6" s="1"/>
        <n x="68"/>
        <n x="86"/>
        <n x="47"/>
      </t>
    </mdx>
    <mdx n="0" f="v">
      <t c="8">
        <n x="4" s="1"/>
        <n x="7" s="1"/>
        <n x="67" s="1"/>
        <n x="3" s="1"/>
        <n x="6" s="1"/>
        <n x="68"/>
        <n x="86"/>
        <n x="48"/>
      </t>
    </mdx>
    <mdx n="0" f="v">
      <t c="8">
        <n x="4" s="1"/>
        <n x="7" s="1"/>
        <n x="67" s="1"/>
        <n x="3" s="1"/>
        <n x="6" s="1"/>
        <n x="68"/>
        <n x="86"/>
        <n x="49"/>
      </t>
    </mdx>
    <mdx n="0" f="v">
      <t c="8">
        <n x="4" s="1"/>
        <n x="7" s="1"/>
        <n x="67" s="1"/>
        <n x="3" s="1"/>
        <n x="6" s="1"/>
        <n x="68"/>
        <n x="86"/>
        <n x="50"/>
      </t>
    </mdx>
    <mdx n="0" f="v">
      <t c="8">
        <n x="4" s="1"/>
        <n x="7" s="1"/>
        <n x="67" s="1"/>
        <n x="3" s="1"/>
        <n x="6" s="1"/>
        <n x="68"/>
        <n x="86"/>
        <n x="51"/>
      </t>
    </mdx>
    <mdx n="0" f="v">
      <t c="8">
        <n x="4" s="1"/>
        <n x="7" s="1"/>
        <n x="67" s="1"/>
        <n x="3" s="1"/>
        <n x="6" s="1"/>
        <n x="68"/>
        <n x="86"/>
        <n x="52"/>
      </t>
    </mdx>
    <mdx n="0" f="v">
      <t c="8">
        <n x="4" s="1"/>
        <n x="7" s="1"/>
        <n x="67" s="1"/>
        <n x="3" s="1"/>
        <n x="6" s="1"/>
        <n x="68"/>
        <n x="86"/>
        <n x="53"/>
      </t>
    </mdx>
    <mdx n="0" f="v">
      <t c="8">
        <n x="4" s="1"/>
        <n x="7" s="1"/>
        <n x="67" s="1"/>
        <n x="3" s="1"/>
        <n x="6" s="1"/>
        <n x="68"/>
        <n x="86"/>
        <n x="54"/>
      </t>
    </mdx>
    <mdx n="0" f="v">
      <t c="8">
        <n x="4" s="1"/>
        <n x="7" s="1"/>
        <n x="67" s="1"/>
        <n x="3" s="1"/>
        <n x="6" s="1"/>
        <n x="68"/>
        <n x="86"/>
        <n x="55"/>
      </t>
    </mdx>
    <mdx n="0" f="v">
      <t c="8">
        <n x="4" s="1"/>
        <n x="7" s="1"/>
        <n x="67" s="1"/>
        <n x="3" s="1"/>
        <n x="6" s="1"/>
        <n x="68"/>
        <n x="86"/>
        <n x="56"/>
      </t>
    </mdx>
    <mdx n="0" f="v">
      <t c="8">
        <n x="4" s="1"/>
        <n x="7" s="1"/>
        <n x="67" s="1"/>
        <n x="3" s="1"/>
        <n x="6" s="1"/>
        <n x="68"/>
        <n x="86"/>
        <n x="57"/>
      </t>
    </mdx>
    <mdx n="0" f="v">
      <t c="8">
        <n x="4" s="1"/>
        <n x="7" s="1"/>
        <n x="67" s="1"/>
        <n x="3" s="1"/>
        <n x="6" s="1"/>
        <n x="68"/>
        <n x="86"/>
        <n x="58"/>
      </t>
    </mdx>
    <mdx n="0" f="v">
      <t c="8">
        <n x="4" s="1"/>
        <n x="7" s="1"/>
        <n x="67" s="1"/>
        <n x="3" s="1"/>
        <n x="6" s="1"/>
        <n x="68"/>
        <n x="86"/>
        <n x="59"/>
      </t>
    </mdx>
    <mdx n="0" f="v">
      <t c="8">
        <n x="4" s="1"/>
        <n x="7" s="1"/>
        <n x="67" s="1"/>
        <n x="3" s="1"/>
        <n x="6" s="1"/>
        <n x="68"/>
        <n x="86"/>
        <n x="60"/>
      </t>
    </mdx>
    <mdx n="0" f="v">
      <t c="8">
        <n x="4" s="1"/>
        <n x="7" s="1"/>
        <n x="67" s="1"/>
        <n x="3" s="1"/>
        <n x="6" s="1"/>
        <n x="68"/>
        <n x="86"/>
        <n x="61"/>
      </t>
    </mdx>
    <mdx n="0" f="v">
      <t c="8">
        <n x="4" s="1"/>
        <n x="7" s="1"/>
        <n x="67" s="1"/>
        <n x="3" s="1"/>
        <n x="6" s="1"/>
        <n x="68"/>
        <n x="86"/>
        <n x="62"/>
      </t>
    </mdx>
    <mdx n="0" f="v">
      <t c="8">
        <n x="4" s="1"/>
        <n x="7" s="1"/>
        <n x="67" s="1"/>
        <n x="3" s="1"/>
        <n x="6" s="1"/>
        <n x="68"/>
        <n x="86"/>
        <n x="63"/>
      </t>
    </mdx>
    <mdx n="0" f="v">
      <t c="8">
        <n x="4" s="1"/>
        <n x="7" s="1"/>
        <n x="67" s="1"/>
        <n x="3" s="1"/>
        <n x="6" s="1"/>
        <n x="68"/>
        <n x="86"/>
        <n x="64"/>
      </t>
    </mdx>
    <mdx n="0" f="v">
      <t c="8">
        <n x="4" s="1"/>
        <n x="7" s="1"/>
        <n x="67" s="1"/>
        <n x="3" s="1"/>
        <n x="6" s="1"/>
        <n x="68"/>
        <n x="86"/>
        <n x="65"/>
      </t>
    </mdx>
    <mdx n="0" f="v">
      <t c="8">
        <n x="4" s="1"/>
        <n x="7" s="1"/>
        <n x="67" s="1"/>
        <n x="3" s="1"/>
        <n x="6" s="1"/>
        <n x="68"/>
        <n x="86"/>
        <n x="66"/>
      </t>
    </mdx>
    <mdx n="0" f="m">
      <t c="1">
        <n x="87"/>
      </t>
    </mdx>
    <mdx n="0" f="v">
      <t c="8">
        <n x="4" s="1"/>
        <n x="7" s="1"/>
        <n x="67" s="1"/>
        <n x="3" s="1"/>
        <n x="6" s="1"/>
        <n x="68"/>
        <n x="87"/>
        <n x="8"/>
      </t>
    </mdx>
    <mdx n="0" f="v">
      <t c="8">
        <n x="4" s="1"/>
        <n x="7" s="1"/>
        <n x="67" s="1"/>
        <n x="3" s="1"/>
        <n x="6" s="1"/>
        <n x="68"/>
        <n x="87"/>
        <n x="9"/>
      </t>
    </mdx>
    <mdx n="0" f="v">
      <t c="8">
        <n x="4" s="1"/>
        <n x="7" s="1"/>
        <n x="67" s="1"/>
        <n x="3" s="1"/>
        <n x="6" s="1"/>
        <n x="68"/>
        <n x="87"/>
        <n x="10"/>
      </t>
    </mdx>
    <mdx n="0" f="v">
      <t c="8">
        <n x="4" s="1"/>
        <n x="7" s="1"/>
        <n x="67" s="1"/>
        <n x="3" s="1"/>
        <n x="6" s="1"/>
        <n x="68"/>
        <n x="87"/>
        <n x="11"/>
      </t>
    </mdx>
    <mdx n="0" f="v">
      <t c="8">
        <n x="4" s="1"/>
        <n x="7" s="1"/>
        <n x="67" s="1"/>
        <n x="3" s="1"/>
        <n x="6" s="1"/>
        <n x="68"/>
        <n x="87"/>
        <n x="12"/>
      </t>
    </mdx>
    <mdx n="0" f="v">
      <t c="8">
        <n x="4" s="1"/>
        <n x="7" s="1"/>
        <n x="67" s="1"/>
        <n x="3" s="1"/>
        <n x="6" s="1"/>
        <n x="68"/>
        <n x="87"/>
        <n x="13"/>
      </t>
    </mdx>
    <mdx n="0" f="v">
      <t c="8">
        <n x="4" s="1"/>
        <n x="7" s="1"/>
        <n x="67" s="1"/>
        <n x="3" s="1"/>
        <n x="6" s="1"/>
        <n x="68"/>
        <n x="87"/>
        <n x="14"/>
      </t>
    </mdx>
    <mdx n="0" f="v">
      <t c="8">
        <n x="4" s="1"/>
        <n x="7" s="1"/>
        <n x="67" s="1"/>
        <n x="3" s="1"/>
        <n x="6" s="1"/>
        <n x="68"/>
        <n x="87"/>
        <n x="15"/>
      </t>
    </mdx>
    <mdx n="0" f="v">
      <t c="8">
        <n x="4" s="1"/>
        <n x="7" s="1"/>
        <n x="67" s="1"/>
        <n x="3" s="1"/>
        <n x="6" s="1"/>
        <n x="68"/>
        <n x="87"/>
        <n x="16"/>
      </t>
    </mdx>
    <mdx n="0" f="v">
      <t c="8">
        <n x="4" s="1"/>
        <n x="7" s="1"/>
        <n x="67" s="1"/>
        <n x="3" s="1"/>
        <n x="6" s="1"/>
        <n x="68"/>
        <n x="87"/>
        <n x="17"/>
      </t>
    </mdx>
    <mdx n="0" f="v">
      <t c="8">
        <n x="4" s="1"/>
        <n x="7" s="1"/>
        <n x="67" s="1"/>
        <n x="3" s="1"/>
        <n x="6" s="1"/>
        <n x="68"/>
        <n x="87"/>
        <n x="18"/>
      </t>
    </mdx>
    <mdx n="0" f="v">
      <t c="8">
        <n x="4" s="1"/>
        <n x="7" s="1"/>
        <n x="67" s="1"/>
        <n x="3" s="1"/>
        <n x="6" s="1"/>
        <n x="68"/>
        <n x="87"/>
        <n x="19"/>
      </t>
    </mdx>
    <mdx n="0" f="v">
      <t c="8">
        <n x="4" s="1"/>
        <n x="7" s="1"/>
        <n x="67" s="1"/>
        <n x="3" s="1"/>
        <n x="6" s="1"/>
        <n x="68"/>
        <n x="87"/>
        <n x="20"/>
      </t>
    </mdx>
    <mdx n="0" f="v">
      <t c="8">
        <n x="4" s="1"/>
        <n x="7" s="1"/>
        <n x="67" s="1"/>
        <n x="3" s="1"/>
        <n x="6" s="1"/>
        <n x="68"/>
        <n x="87"/>
        <n x="21"/>
      </t>
    </mdx>
    <mdx n="0" f="v">
      <t c="8">
        <n x="4" s="1"/>
        <n x="7" s="1"/>
        <n x="67" s="1"/>
        <n x="3" s="1"/>
        <n x="6" s="1"/>
        <n x="68"/>
        <n x="87"/>
        <n x="22"/>
      </t>
    </mdx>
    <mdx n="0" f="v">
      <t c="8">
        <n x="4" s="1"/>
        <n x="7" s="1"/>
        <n x="67" s="1"/>
        <n x="3" s="1"/>
        <n x="6" s="1"/>
        <n x="68"/>
        <n x="87"/>
        <n x="23"/>
      </t>
    </mdx>
    <mdx n="0" f="v">
      <t c="8">
        <n x="4" s="1"/>
        <n x="7" s="1"/>
        <n x="67" s="1"/>
        <n x="3" s="1"/>
        <n x="6" s="1"/>
        <n x="68"/>
        <n x="87"/>
        <n x="24"/>
      </t>
    </mdx>
    <mdx n="0" f="v">
      <t c="8">
        <n x="4" s="1"/>
        <n x="7" s="1"/>
        <n x="67" s="1"/>
        <n x="3" s="1"/>
        <n x="6" s="1"/>
        <n x="68"/>
        <n x="87"/>
        <n x="25"/>
      </t>
    </mdx>
    <mdx n="0" f="v">
      <t c="8">
        <n x="4" s="1"/>
        <n x="7" s="1"/>
        <n x="67" s="1"/>
        <n x="3" s="1"/>
        <n x="6" s="1"/>
        <n x="68"/>
        <n x="87"/>
        <n x="26"/>
      </t>
    </mdx>
    <mdx n="0" f="v">
      <t c="8">
        <n x="4" s="1"/>
        <n x="7" s="1"/>
        <n x="67" s="1"/>
        <n x="3" s="1"/>
        <n x="6" s="1"/>
        <n x="68"/>
        <n x="87"/>
        <n x="27"/>
      </t>
    </mdx>
    <mdx n="0" f="v">
      <t c="8">
        <n x="4" s="1"/>
        <n x="7" s="1"/>
        <n x="67" s="1"/>
        <n x="3" s="1"/>
        <n x="6" s="1"/>
        <n x="68"/>
        <n x="87"/>
        <n x="28"/>
      </t>
    </mdx>
    <mdx n="0" f="v">
      <t c="8">
        <n x="4" s="1"/>
        <n x="7" s="1"/>
        <n x="67" s="1"/>
        <n x="3" s="1"/>
        <n x="6" s="1"/>
        <n x="68"/>
        <n x="87"/>
        <n x="29"/>
      </t>
    </mdx>
    <mdx n="0" f="v">
      <t c="8">
        <n x="4" s="1"/>
        <n x="7" s="1"/>
        <n x="67" s="1"/>
        <n x="3" s="1"/>
        <n x="6" s="1"/>
        <n x="68"/>
        <n x="87"/>
        <n x="30"/>
      </t>
    </mdx>
    <mdx n="0" f="v">
      <t c="8">
        <n x="4" s="1"/>
        <n x="7" s="1"/>
        <n x="67" s="1"/>
        <n x="3" s="1"/>
        <n x="6" s="1"/>
        <n x="68"/>
        <n x="87"/>
        <n x="31"/>
      </t>
    </mdx>
    <mdx n="0" f="v">
      <t c="8">
        <n x="4" s="1"/>
        <n x="7" s="1"/>
        <n x="67" s="1"/>
        <n x="3" s="1"/>
        <n x="6" s="1"/>
        <n x="68"/>
        <n x="87"/>
        <n x="32"/>
      </t>
    </mdx>
    <mdx n="0" f="v">
      <t c="8">
        <n x="4" s="1"/>
        <n x="7" s="1"/>
        <n x="67" s="1"/>
        <n x="3" s="1"/>
        <n x="6" s="1"/>
        <n x="68"/>
        <n x="87"/>
        <n x="33"/>
      </t>
    </mdx>
    <mdx n="0" f="v">
      <t c="8">
        <n x="4" s="1"/>
        <n x="7" s="1"/>
        <n x="67" s="1"/>
        <n x="3" s="1"/>
        <n x="6" s="1"/>
        <n x="68"/>
        <n x="87"/>
        <n x="34"/>
      </t>
    </mdx>
    <mdx n="0" f="v">
      <t c="8">
        <n x="4" s="1"/>
        <n x="7" s="1"/>
        <n x="67" s="1"/>
        <n x="3" s="1"/>
        <n x="6" s="1"/>
        <n x="68"/>
        <n x="87"/>
        <n x="35"/>
      </t>
    </mdx>
    <mdx n="0" f="v">
      <t c="8">
        <n x="4" s="1"/>
        <n x="7" s="1"/>
        <n x="67" s="1"/>
        <n x="3" s="1"/>
        <n x="6" s="1"/>
        <n x="68"/>
        <n x="87"/>
        <n x="36"/>
      </t>
    </mdx>
    <mdx n="0" f="v">
      <t c="8">
        <n x="4" s="1"/>
        <n x="7" s="1"/>
        <n x="67" s="1"/>
        <n x="3" s="1"/>
        <n x="6" s="1"/>
        <n x="68"/>
        <n x="87"/>
        <n x="37"/>
      </t>
    </mdx>
    <mdx n="0" f="v">
      <t c="8">
        <n x="4" s="1"/>
        <n x="7" s="1"/>
        <n x="67" s="1"/>
        <n x="3" s="1"/>
        <n x="6" s="1"/>
        <n x="68"/>
        <n x="87"/>
        <n x="38"/>
      </t>
    </mdx>
    <mdx n="0" f="v">
      <t c="8">
        <n x="4" s="1"/>
        <n x="7" s="1"/>
        <n x="67" s="1"/>
        <n x="3" s="1"/>
        <n x="6" s="1"/>
        <n x="68"/>
        <n x="87"/>
        <n x="39"/>
      </t>
    </mdx>
    <mdx n="0" f="v">
      <t c="8">
        <n x="4" s="1"/>
        <n x="7" s="1"/>
        <n x="67" s="1"/>
        <n x="3" s="1"/>
        <n x="6" s="1"/>
        <n x="68"/>
        <n x="87"/>
        <n x="40"/>
      </t>
    </mdx>
    <mdx n="0" f="v">
      <t c="8">
        <n x="4" s="1"/>
        <n x="7" s="1"/>
        <n x="67" s="1"/>
        <n x="3" s="1"/>
        <n x="6" s="1"/>
        <n x="68"/>
        <n x="87"/>
        <n x="41"/>
      </t>
    </mdx>
    <mdx n="0" f="v">
      <t c="8">
        <n x="4" s="1"/>
        <n x="7" s="1"/>
        <n x="67" s="1"/>
        <n x="3" s="1"/>
        <n x="6" s="1"/>
        <n x="68"/>
        <n x="87"/>
        <n x="42"/>
      </t>
    </mdx>
    <mdx n="0" f="v">
      <t c="8">
        <n x="4" s="1"/>
        <n x="7" s="1"/>
        <n x="67" s="1"/>
        <n x="3" s="1"/>
        <n x="6" s="1"/>
        <n x="68"/>
        <n x="87"/>
        <n x="43"/>
      </t>
    </mdx>
    <mdx n="0" f="v">
      <t c="8">
        <n x="4" s="1"/>
        <n x="7" s="1"/>
        <n x="67" s="1"/>
        <n x="3" s="1"/>
        <n x="6" s="1"/>
        <n x="68"/>
        <n x="87"/>
        <n x="44"/>
      </t>
    </mdx>
    <mdx n="0" f="v">
      <t c="8">
        <n x="4" s="1"/>
        <n x="7" s="1"/>
        <n x="67" s="1"/>
        <n x="3" s="1"/>
        <n x="6" s="1"/>
        <n x="68"/>
        <n x="87"/>
        <n x="45"/>
      </t>
    </mdx>
    <mdx n="0" f="v">
      <t c="8">
        <n x="4" s="1"/>
        <n x="7" s="1"/>
        <n x="67" s="1"/>
        <n x="3" s="1"/>
        <n x="6" s="1"/>
        <n x="68"/>
        <n x="87"/>
        <n x="46"/>
      </t>
    </mdx>
    <mdx n="0" f="v">
      <t c="8">
        <n x="4" s="1"/>
        <n x="7" s="1"/>
        <n x="67" s="1"/>
        <n x="3" s="1"/>
        <n x="6" s="1"/>
        <n x="68"/>
        <n x="87"/>
        <n x="47"/>
      </t>
    </mdx>
    <mdx n="0" f="v">
      <t c="8">
        <n x="4" s="1"/>
        <n x="7" s="1"/>
        <n x="67" s="1"/>
        <n x="3" s="1"/>
        <n x="6" s="1"/>
        <n x="68"/>
        <n x="87"/>
        <n x="48"/>
      </t>
    </mdx>
    <mdx n="0" f="v">
      <t c="8">
        <n x="4" s="1"/>
        <n x="7" s="1"/>
        <n x="67" s="1"/>
        <n x="3" s="1"/>
        <n x="6" s="1"/>
        <n x="68"/>
        <n x="87"/>
        <n x="49"/>
      </t>
    </mdx>
    <mdx n="0" f="v">
      <t c="8">
        <n x="4" s="1"/>
        <n x="7" s="1"/>
        <n x="67" s="1"/>
        <n x="3" s="1"/>
        <n x="6" s="1"/>
        <n x="68"/>
        <n x="87"/>
        <n x="50"/>
      </t>
    </mdx>
    <mdx n="0" f="v">
      <t c="8">
        <n x="4" s="1"/>
        <n x="7" s="1"/>
        <n x="67" s="1"/>
        <n x="3" s="1"/>
        <n x="6" s="1"/>
        <n x="68"/>
        <n x="87"/>
        <n x="51"/>
      </t>
    </mdx>
    <mdx n="0" f="v">
      <t c="8">
        <n x="4" s="1"/>
        <n x="7" s="1"/>
        <n x="67" s="1"/>
        <n x="3" s="1"/>
        <n x="6" s="1"/>
        <n x="68"/>
        <n x="87"/>
        <n x="52"/>
      </t>
    </mdx>
    <mdx n="0" f="v">
      <t c="8">
        <n x="4" s="1"/>
        <n x="7" s="1"/>
        <n x="67" s="1"/>
        <n x="3" s="1"/>
        <n x="6" s="1"/>
        <n x="68"/>
        <n x="87"/>
        <n x="53"/>
      </t>
    </mdx>
    <mdx n="0" f="v">
      <t c="8">
        <n x="4" s="1"/>
        <n x="7" s="1"/>
        <n x="67" s="1"/>
        <n x="3" s="1"/>
        <n x="6" s="1"/>
        <n x="68"/>
        <n x="87"/>
        <n x="54"/>
      </t>
    </mdx>
    <mdx n="0" f="v">
      <t c="8">
        <n x="4" s="1"/>
        <n x="7" s="1"/>
        <n x="67" s="1"/>
        <n x="3" s="1"/>
        <n x="6" s="1"/>
        <n x="68"/>
        <n x="87"/>
        <n x="55"/>
      </t>
    </mdx>
    <mdx n="0" f="v">
      <t c="8">
        <n x="4" s="1"/>
        <n x="7" s="1"/>
        <n x="67" s="1"/>
        <n x="3" s="1"/>
        <n x="6" s="1"/>
        <n x="68"/>
        <n x="87"/>
        <n x="56"/>
      </t>
    </mdx>
    <mdx n="0" f="v">
      <t c="8">
        <n x="4" s="1"/>
        <n x="7" s="1"/>
        <n x="67" s="1"/>
        <n x="3" s="1"/>
        <n x="6" s="1"/>
        <n x="68"/>
        <n x="87"/>
        <n x="57"/>
      </t>
    </mdx>
    <mdx n="0" f="v">
      <t c="8">
        <n x="4" s="1"/>
        <n x="7" s="1"/>
        <n x="67" s="1"/>
        <n x="3" s="1"/>
        <n x="6" s="1"/>
        <n x="68"/>
        <n x="87"/>
        <n x="58"/>
      </t>
    </mdx>
    <mdx n="0" f="v">
      <t c="8">
        <n x="4" s="1"/>
        <n x="7" s="1"/>
        <n x="67" s="1"/>
        <n x="3" s="1"/>
        <n x="6" s="1"/>
        <n x="68"/>
        <n x="87"/>
        <n x="59"/>
      </t>
    </mdx>
    <mdx n="0" f="v">
      <t c="8">
        <n x="4" s="1"/>
        <n x="7" s="1"/>
        <n x="67" s="1"/>
        <n x="3" s="1"/>
        <n x="6" s="1"/>
        <n x="68"/>
        <n x="87"/>
        <n x="60"/>
      </t>
    </mdx>
    <mdx n="0" f="v">
      <t c="8">
        <n x="4" s="1"/>
        <n x="7" s="1"/>
        <n x="67" s="1"/>
        <n x="3" s="1"/>
        <n x="6" s="1"/>
        <n x="68"/>
        <n x="87"/>
        <n x="61"/>
      </t>
    </mdx>
    <mdx n="0" f="v">
      <t c="8">
        <n x="4" s="1"/>
        <n x="7" s="1"/>
        <n x="67" s="1"/>
        <n x="3" s="1"/>
        <n x="6" s="1"/>
        <n x="68"/>
        <n x="87"/>
        <n x="62"/>
      </t>
    </mdx>
    <mdx n="0" f="v">
      <t c="8">
        <n x="4" s="1"/>
        <n x="7" s="1"/>
        <n x="67" s="1"/>
        <n x="3" s="1"/>
        <n x="6" s="1"/>
        <n x="68"/>
        <n x="87"/>
        <n x="63"/>
      </t>
    </mdx>
    <mdx n="0" f="v">
      <t c="8">
        <n x="4" s="1"/>
        <n x="7" s="1"/>
        <n x="67" s="1"/>
        <n x="3" s="1"/>
        <n x="6" s="1"/>
        <n x="68"/>
        <n x="87"/>
        <n x="64"/>
      </t>
    </mdx>
    <mdx n="0" f="v">
      <t c="8">
        <n x="4" s="1"/>
        <n x="7" s="1"/>
        <n x="67" s="1"/>
        <n x="3" s="1"/>
        <n x="6" s="1"/>
        <n x="68"/>
        <n x="87"/>
        <n x="65"/>
      </t>
    </mdx>
    <mdx n="0" f="v">
      <t c="8">
        <n x="4" s="1"/>
        <n x="7" s="1"/>
        <n x="67" s="1"/>
        <n x="3" s="1"/>
        <n x="6" s="1"/>
        <n x="68"/>
        <n x="87"/>
        <n x="66"/>
      </t>
    </mdx>
    <mdx n="0" f="m">
      <t c="1">
        <n x="88"/>
      </t>
    </mdx>
    <mdx n="0" f="v">
      <t c="8">
        <n x="4" s="1"/>
        <n x="7" s="1"/>
        <n x="67" s="1"/>
        <n x="3" s="1"/>
        <n x="6" s="1"/>
        <n x="68"/>
        <n x="88"/>
        <n x="8"/>
      </t>
    </mdx>
    <mdx n="0" f="v">
      <t c="8">
        <n x="4" s="1"/>
        <n x="7" s="1"/>
        <n x="67" s="1"/>
        <n x="3" s="1"/>
        <n x="6" s="1"/>
        <n x="68"/>
        <n x="88"/>
        <n x="9"/>
      </t>
    </mdx>
    <mdx n="0" f="v">
      <t c="8">
        <n x="4" s="1"/>
        <n x="7" s="1"/>
        <n x="67" s="1"/>
        <n x="3" s="1"/>
        <n x="6" s="1"/>
        <n x="68"/>
        <n x="88"/>
        <n x="10"/>
      </t>
    </mdx>
    <mdx n="0" f="v">
      <t c="8">
        <n x="4" s="1"/>
        <n x="7" s="1"/>
        <n x="67" s="1"/>
        <n x="3" s="1"/>
        <n x="6" s="1"/>
        <n x="68"/>
        <n x="88"/>
        <n x="11"/>
      </t>
    </mdx>
    <mdx n="0" f="v">
      <t c="8">
        <n x="4" s="1"/>
        <n x="7" s="1"/>
        <n x="67" s="1"/>
        <n x="3" s="1"/>
        <n x="6" s="1"/>
        <n x="68"/>
        <n x="88"/>
        <n x="12"/>
      </t>
    </mdx>
    <mdx n="0" f="v">
      <t c="8">
        <n x="4" s="1"/>
        <n x="7" s="1"/>
        <n x="67" s="1"/>
        <n x="3" s="1"/>
        <n x="6" s="1"/>
        <n x="68"/>
        <n x="88"/>
        <n x="13"/>
      </t>
    </mdx>
    <mdx n="0" f="v">
      <t c="8">
        <n x="4" s="1"/>
        <n x="7" s="1"/>
        <n x="67" s="1"/>
        <n x="3" s="1"/>
        <n x="6" s="1"/>
        <n x="68"/>
        <n x="88"/>
        <n x="14"/>
      </t>
    </mdx>
    <mdx n="0" f="v">
      <t c="8">
        <n x="4" s="1"/>
        <n x="7" s="1"/>
        <n x="67" s="1"/>
        <n x="3" s="1"/>
        <n x="6" s="1"/>
        <n x="68"/>
        <n x="88"/>
        <n x="15"/>
      </t>
    </mdx>
    <mdx n="0" f="v">
      <t c="8">
        <n x="4" s="1"/>
        <n x="7" s="1"/>
        <n x="67" s="1"/>
        <n x="3" s="1"/>
        <n x="6" s="1"/>
        <n x="68"/>
        <n x="88"/>
        <n x="16"/>
      </t>
    </mdx>
    <mdx n="0" f="v">
      <t c="8">
        <n x="4" s="1"/>
        <n x="7" s="1"/>
        <n x="67" s="1"/>
        <n x="3" s="1"/>
        <n x="6" s="1"/>
        <n x="68"/>
        <n x="88"/>
        <n x="17"/>
      </t>
    </mdx>
    <mdx n="0" f="v">
      <t c="8">
        <n x="4" s="1"/>
        <n x="7" s="1"/>
        <n x="67" s="1"/>
        <n x="3" s="1"/>
        <n x="6" s="1"/>
        <n x="68"/>
        <n x="88"/>
        <n x="18"/>
      </t>
    </mdx>
    <mdx n="0" f="v">
      <t c="8">
        <n x="4" s="1"/>
        <n x="7" s="1"/>
        <n x="67" s="1"/>
        <n x="3" s="1"/>
        <n x="6" s="1"/>
        <n x="68"/>
        <n x="88"/>
        <n x="19"/>
      </t>
    </mdx>
    <mdx n="0" f="v">
      <t c="8">
        <n x="4" s="1"/>
        <n x="7" s="1"/>
        <n x="67" s="1"/>
        <n x="3" s="1"/>
        <n x="6" s="1"/>
        <n x="68"/>
        <n x="88"/>
        <n x="20"/>
      </t>
    </mdx>
    <mdx n="0" f="v">
      <t c="8">
        <n x="4" s="1"/>
        <n x="7" s="1"/>
        <n x="67" s="1"/>
        <n x="3" s="1"/>
        <n x="6" s="1"/>
        <n x="68"/>
        <n x="88"/>
        <n x="21"/>
      </t>
    </mdx>
    <mdx n="0" f="v">
      <t c="8">
        <n x="4" s="1"/>
        <n x="7" s="1"/>
        <n x="67" s="1"/>
        <n x="3" s="1"/>
        <n x="6" s="1"/>
        <n x="68"/>
        <n x="88"/>
        <n x="22"/>
      </t>
    </mdx>
    <mdx n="0" f="v">
      <t c="8">
        <n x="4" s="1"/>
        <n x="7" s="1"/>
        <n x="67" s="1"/>
        <n x="3" s="1"/>
        <n x="6" s="1"/>
        <n x="68"/>
        <n x="88"/>
        <n x="23"/>
      </t>
    </mdx>
    <mdx n="0" f="v">
      <t c="8">
        <n x="4" s="1"/>
        <n x="7" s="1"/>
        <n x="67" s="1"/>
        <n x="3" s="1"/>
        <n x="6" s="1"/>
        <n x="68"/>
        <n x="88"/>
        <n x="24"/>
      </t>
    </mdx>
    <mdx n="0" f="v">
      <t c="8">
        <n x="4" s="1"/>
        <n x="7" s="1"/>
        <n x="67" s="1"/>
        <n x="3" s="1"/>
        <n x="6" s="1"/>
        <n x="68"/>
        <n x="88"/>
        <n x="25"/>
      </t>
    </mdx>
    <mdx n="0" f="v">
      <t c="8">
        <n x="4" s="1"/>
        <n x="7" s="1"/>
        <n x="67" s="1"/>
        <n x="3" s="1"/>
        <n x="6" s="1"/>
        <n x="68"/>
        <n x="88"/>
        <n x="26"/>
      </t>
    </mdx>
    <mdx n="0" f="v">
      <t c="8">
        <n x="4" s="1"/>
        <n x="7" s="1"/>
        <n x="67" s="1"/>
        <n x="3" s="1"/>
        <n x="6" s="1"/>
        <n x="68"/>
        <n x="88"/>
        <n x="27"/>
      </t>
    </mdx>
    <mdx n="0" f="v">
      <t c="8">
        <n x="4" s="1"/>
        <n x="7" s="1"/>
        <n x="67" s="1"/>
        <n x="3" s="1"/>
        <n x="6" s="1"/>
        <n x="68"/>
        <n x="88"/>
        <n x="28"/>
      </t>
    </mdx>
    <mdx n="0" f="v">
      <t c="8">
        <n x="4" s="1"/>
        <n x="7" s="1"/>
        <n x="67" s="1"/>
        <n x="3" s="1"/>
        <n x="6" s="1"/>
        <n x="68"/>
        <n x="88"/>
        <n x="29"/>
      </t>
    </mdx>
    <mdx n="0" f="v">
      <t c="8">
        <n x="4" s="1"/>
        <n x="7" s="1"/>
        <n x="67" s="1"/>
        <n x="3" s="1"/>
        <n x="6" s="1"/>
        <n x="68"/>
        <n x="88"/>
        <n x="30"/>
      </t>
    </mdx>
    <mdx n="0" f="v">
      <t c="8">
        <n x="4" s="1"/>
        <n x="7" s="1"/>
        <n x="67" s="1"/>
        <n x="3" s="1"/>
        <n x="6" s="1"/>
        <n x="68"/>
        <n x="88"/>
        <n x="31"/>
      </t>
    </mdx>
    <mdx n="0" f="v">
      <t c="8">
        <n x="4" s="1"/>
        <n x="7" s="1"/>
        <n x="67" s="1"/>
        <n x="3" s="1"/>
        <n x="6" s="1"/>
        <n x="68"/>
        <n x="88"/>
        <n x="32"/>
      </t>
    </mdx>
    <mdx n="0" f="v">
      <t c="8">
        <n x="4" s="1"/>
        <n x="7" s="1"/>
        <n x="67" s="1"/>
        <n x="3" s="1"/>
        <n x="6" s="1"/>
        <n x="68"/>
        <n x="88"/>
        <n x="33"/>
      </t>
    </mdx>
    <mdx n="0" f="v">
      <t c="8">
        <n x="4" s="1"/>
        <n x="7" s="1"/>
        <n x="67" s="1"/>
        <n x="3" s="1"/>
        <n x="6" s="1"/>
        <n x="68"/>
        <n x="88"/>
        <n x="34"/>
      </t>
    </mdx>
    <mdx n="0" f="v">
      <t c="8">
        <n x="4" s="1"/>
        <n x="7" s="1"/>
        <n x="67" s="1"/>
        <n x="3" s="1"/>
        <n x="6" s="1"/>
        <n x="68"/>
        <n x="88"/>
        <n x="35"/>
      </t>
    </mdx>
    <mdx n="0" f="v">
      <t c="8">
        <n x="4" s="1"/>
        <n x="7" s="1"/>
        <n x="67" s="1"/>
        <n x="3" s="1"/>
        <n x="6" s="1"/>
        <n x="68"/>
        <n x="88"/>
        <n x="36"/>
      </t>
    </mdx>
    <mdx n="0" f="v">
      <t c="8">
        <n x="4" s="1"/>
        <n x="7" s="1"/>
        <n x="67" s="1"/>
        <n x="3" s="1"/>
        <n x="6" s="1"/>
        <n x="68"/>
        <n x="88"/>
        <n x="37"/>
      </t>
    </mdx>
    <mdx n="0" f="v">
      <t c="8">
        <n x="4" s="1"/>
        <n x="7" s="1"/>
        <n x="67" s="1"/>
        <n x="3" s="1"/>
        <n x="6" s="1"/>
        <n x="68"/>
        <n x="88"/>
        <n x="38"/>
      </t>
    </mdx>
    <mdx n="0" f="v">
      <t c="8">
        <n x="4" s="1"/>
        <n x="7" s="1"/>
        <n x="67" s="1"/>
        <n x="3" s="1"/>
        <n x="6" s="1"/>
        <n x="68"/>
        <n x="88"/>
        <n x="39"/>
      </t>
    </mdx>
    <mdx n="0" f="v">
      <t c="8">
        <n x="4" s="1"/>
        <n x="7" s="1"/>
        <n x="67" s="1"/>
        <n x="3" s="1"/>
        <n x="6" s="1"/>
        <n x="68"/>
        <n x="88"/>
        <n x="40"/>
      </t>
    </mdx>
    <mdx n="0" f="v">
      <t c="8">
        <n x="4" s="1"/>
        <n x="7" s="1"/>
        <n x="67" s="1"/>
        <n x="3" s="1"/>
        <n x="6" s="1"/>
        <n x="68"/>
        <n x="88"/>
        <n x="41"/>
      </t>
    </mdx>
    <mdx n="0" f="v">
      <t c="8">
        <n x="4" s="1"/>
        <n x="7" s="1"/>
        <n x="67" s="1"/>
        <n x="3" s="1"/>
        <n x="6" s="1"/>
        <n x="68"/>
        <n x="88"/>
        <n x="42"/>
      </t>
    </mdx>
    <mdx n="0" f="v">
      <t c="8">
        <n x="4" s="1"/>
        <n x="7" s="1"/>
        <n x="67" s="1"/>
        <n x="3" s="1"/>
        <n x="6" s="1"/>
        <n x="68"/>
        <n x="88"/>
        <n x="43"/>
      </t>
    </mdx>
    <mdx n="0" f="v">
      <t c="8">
        <n x="4" s="1"/>
        <n x="7" s="1"/>
        <n x="67" s="1"/>
        <n x="3" s="1"/>
        <n x="6" s="1"/>
        <n x="68"/>
        <n x="88"/>
        <n x="44"/>
      </t>
    </mdx>
    <mdx n="0" f="v">
      <t c="8">
        <n x="4" s="1"/>
        <n x="7" s="1"/>
        <n x="67" s="1"/>
        <n x="3" s="1"/>
        <n x="6" s="1"/>
        <n x="68"/>
        <n x="88"/>
        <n x="45"/>
      </t>
    </mdx>
    <mdx n="0" f="v">
      <t c="8">
        <n x="4" s="1"/>
        <n x="7" s="1"/>
        <n x="67" s="1"/>
        <n x="3" s="1"/>
        <n x="6" s="1"/>
        <n x="68"/>
        <n x="88"/>
        <n x="46"/>
      </t>
    </mdx>
    <mdx n="0" f="v">
      <t c="8">
        <n x="4" s="1"/>
        <n x="7" s="1"/>
        <n x="67" s="1"/>
        <n x="3" s="1"/>
        <n x="6" s="1"/>
        <n x="68"/>
        <n x="88"/>
        <n x="47"/>
      </t>
    </mdx>
    <mdx n="0" f="v">
      <t c="8">
        <n x="4" s="1"/>
        <n x="7" s="1"/>
        <n x="67" s="1"/>
        <n x="3" s="1"/>
        <n x="6" s="1"/>
        <n x="68"/>
        <n x="88"/>
        <n x="48"/>
      </t>
    </mdx>
    <mdx n="0" f="v">
      <t c="8">
        <n x="4" s="1"/>
        <n x="7" s="1"/>
        <n x="67" s="1"/>
        <n x="3" s="1"/>
        <n x="6" s="1"/>
        <n x="68"/>
        <n x="88"/>
        <n x="49"/>
      </t>
    </mdx>
    <mdx n="0" f="v">
      <t c="8">
        <n x="4" s="1"/>
        <n x="7" s="1"/>
        <n x="67" s="1"/>
        <n x="3" s="1"/>
        <n x="6" s="1"/>
        <n x="68"/>
        <n x="88"/>
        <n x="50"/>
      </t>
    </mdx>
    <mdx n="0" f="v">
      <t c="8">
        <n x="4" s="1"/>
        <n x="7" s="1"/>
        <n x="67" s="1"/>
        <n x="3" s="1"/>
        <n x="6" s="1"/>
        <n x="68"/>
        <n x="88"/>
        <n x="51"/>
      </t>
    </mdx>
    <mdx n="0" f="v">
      <t c="8">
        <n x="4" s="1"/>
        <n x="7" s="1"/>
        <n x="67" s="1"/>
        <n x="3" s="1"/>
        <n x="6" s="1"/>
        <n x="68"/>
        <n x="88"/>
        <n x="52"/>
      </t>
    </mdx>
    <mdx n="0" f="v">
      <t c="8">
        <n x="4" s="1"/>
        <n x="7" s="1"/>
        <n x="67" s="1"/>
        <n x="3" s="1"/>
        <n x="6" s="1"/>
        <n x="68"/>
        <n x="88"/>
        <n x="53"/>
      </t>
    </mdx>
    <mdx n="0" f="v">
      <t c="8">
        <n x="4" s="1"/>
        <n x="7" s="1"/>
        <n x="67" s="1"/>
        <n x="3" s="1"/>
        <n x="6" s="1"/>
        <n x="68"/>
        <n x="88"/>
        <n x="54"/>
      </t>
    </mdx>
    <mdx n="0" f="v">
      <t c="8">
        <n x="4" s="1"/>
        <n x="7" s="1"/>
        <n x="67" s="1"/>
        <n x="3" s="1"/>
        <n x="6" s="1"/>
        <n x="68"/>
        <n x="88"/>
        <n x="55"/>
      </t>
    </mdx>
    <mdx n="0" f="v">
      <t c="8">
        <n x="4" s="1"/>
        <n x="7" s="1"/>
        <n x="67" s="1"/>
        <n x="3" s="1"/>
        <n x="6" s="1"/>
        <n x="68"/>
        <n x="88"/>
        <n x="56"/>
      </t>
    </mdx>
    <mdx n="0" f="v">
      <t c="8">
        <n x="4" s="1"/>
        <n x="7" s="1"/>
        <n x="67" s="1"/>
        <n x="3" s="1"/>
        <n x="6" s="1"/>
        <n x="68"/>
        <n x="88"/>
        <n x="57"/>
      </t>
    </mdx>
    <mdx n="0" f="v">
      <t c="8">
        <n x="4" s="1"/>
        <n x="7" s="1"/>
        <n x="67" s="1"/>
        <n x="3" s="1"/>
        <n x="6" s="1"/>
        <n x="68"/>
        <n x="88"/>
        <n x="58"/>
      </t>
    </mdx>
    <mdx n="0" f="v">
      <t c="8">
        <n x="4" s="1"/>
        <n x="7" s="1"/>
        <n x="67" s="1"/>
        <n x="3" s="1"/>
        <n x="6" s="1"/>
        <n x="68"/>
        <n x="88"/>
        <n x="59"/>
      </t>
    </mdx>
    <mdx n="0" f="v">
      <t c="8">
        <n x="4" s="1"/>
        <n x="7" s="1"/>
        <n x="67" s="1"/>
        <n x="3" s="1"/>
        <n x="6" s="1"/>
        <n x="68"/>
        <n x="88"/>
        <n x="60"/>
      </t>
    </mdx>
    <mdx n="0" f="v">
      <t c="8">
        <n x="4" s="1"/>
        <n x="7" s="1"/>
        <n x="67" s="1"/>
        <n x="3" s="1"/>
        <n x="6" s="1"/>
        <n x="68"/>
        <n x="88"/>
        <n x="61"/>
      </t>
    </mdx>
    <mdx n="0" f="v">
      <t c="8">
        <n x="4" s="1"/>
        <n x="7" s="1"/>
        <n x="67" s="1"/>
        <n x="3" s="1"/>
        <n x="6" s="1"/>
        <n x="68"/>
        <n x="88"/>
        <n x="62"/>
      </t>
    </mdx>
    <mdx n="0" f="v">
      <t c="8">
        <n x="4" s="1"/>
        <n x="7" s="1"/>
        <n x="67" s="1"/>
        <n x="3" s="1"/>
        <n x="6" s="1"/>
        <n x="68"/>
        <n x="88"/>
        <n x="63"/>
      </t>
    </mdx>
    <mdx n="0" f="v">
      <t c="8">
        <n x="4" s="1"/>
        <n x="7" s="1"/>
        <n x="67" s="1"/>
        <n x="3" s="1"/>
        <n x="6" s="1"/>
        <n x="68"/>
        <n x="88"/>
        <n x="64"/>
      </t>
    </mdx>
    <mdx n="0" f="v">
      <t c="8">
        <n x="4" s="1"/>
        <n x="7" s="1"/>
        <n x="67" s="1"/>
        <n x="3" s="1"/>
        <n x="6" s="1"/>
        <n x="68"/>
        <n x="88"/>
        <n x="65"/>
      </t>
    </mdx>
    <mdx n="0" f="v">
      <t c="8">
        <n x="4" s="1"/>
        <n x="7" s="1"/>
        <n x="67" s="1"/>
        <n x="3" s="1"/>
        <n x="6" s="1"/>
        <n x="68"/>
        <n x="88"/>
        <n x="66"/>
      </t>
    </mdx>
    <mdx n="0" f="m">
      <t c="1">
        <n x="89"/>
      </t>
    </mdx>
    <mdx n="0" f="v">
      <t c="8">
        <n x="4" s="1"/>
        <n x="7" s="1"/>
        <n x="67" s="1"/>
        <n x="3" s="1"/>
        <n x="6" s="1"/>
        <n x="68"/>
        <n x="89"/>
        <n x="8"/>
      </t>
    </mdx>
    <mdx n="0" f="v">
      <t c="8">
        <n x="4" s="1"/>
        <n x="7" s="1"/>
        <n x="67" s="1"/>
        <n x="3" s="1"/>
        <n x="6" s="1"/>
        <n x="68"/>
        <n x="89"/>
        <n x="9"/>
      </t>
    </mdx>
    <mdx n="0" f="v">
      <t c="8">
        <n x="4" s="1"/>
        <n x="7" s="1"/>
        <n x="67" s="1"/>
        <n x="3" s="1"/>
        <n x="6" s="1"/>
        <n x="68"/>
        <n x="89"/>
        <n x="10"/>
      </t>
    </mdx>
    <mdx n="0" f="v">
      <t c="8">
        <n x="4" s="1"/>
        <n x="7" s="1"/>
        <n x="67" s="1"/>
        <n x="3" s="1"/>
        <n x="6" s="1"/>
        <n x="68"/>
        <n x="89"/>
        <n x="11"/>
      </t>
    </mdx>
    <mdx n="0" f="v">
      <t c="8">
        <n x="4" s="1"/>
        <n x="7" s="1"/>
        <n x="67" s="1"/>
        <n x="3" s="1"/>
        <n x="6" s="1"/>
        <n x="68"/>
        <n x="89"/>
        <n x="12"/>
      </t>
    </mdx>
    <mdx n="0" f="v">
      <t c="8">
        <n x="4" s="1"/>
        <n x="7" s="1"/>
        <n x="67" s="1"/>
        <n x="3" s="1"/>
        <n x="6" s="1"/>
        <n x="68"/>
        <n x="89"/>
        <n x="13"/>
      </t>
    </mdx>
    <mdx n="0" f="v">
      <t c="8">
        <n x="4" s="1"/>
        <n x="7" s="1"/>
        <n x="67" s="1"/>
        <n x="3" s="1"/>
        <n x="6" s="1"/>
        <n x="68"/>
        <n x="89"/>
        <n x="14"/>
      </t>
    </mdx>
    <mdx n="0" f="v">
      <t c="8">
        <n x="4" s="1"/>
        <n x="7" s="1"/>
        <n x="67" s="1"/>
        <n x="3" s="1"/>
        <n x="6" s="1"/>
        <n x="68"/>
        <n x="89"/>
        <n x="15"/>
      </t>
    </mdx>
    <mdx n="0" f="v">
      <t c="8">
        <n x="4" s="1"/>
        <n x="7" s="1"/>
        <n x="67" s="1"/>
        <n x="3" s="1"/>
        <n x="6" s="1"/>
        <n x="68"/>
        <n x="89"/>
        <n x="16"/>
      </t>
    </mdx>
    <mdx n="0" f="v">
      <t c="8">
        <n x="4" s="1"/>
        <n x="7" s="1"/>
        <n x="67" s="1"/>
        <n x="3" s="1"/>
        <n x="6" s="1"/>
        <n x="68"/>
        <n x="89"/>
        <n x="17"/>
      </t>
    </mdx>
    <mdx n="0" f="v">
      <t c="8">
        <n x="4" s="1"/>
        <n x="7" s="1"/>
        <n x="67" s="1"/>
        <n x="3" s="1"/>
        <n x="6" s="1"/>
        <n x="68"/>
        <n x="89"/>
        <n x="18"/>
      </t>
    </mdx>
    <mdx n="0" f="v">
      <t c="8">
        <n x="4" s="1"/>
        <n x="7" s="1"/>
        <n x="67" s="1"/>
        <n x="3" s="1"/>
        <n x="6" s="1"/>
        <n x="68"/>
        <n x="89"/>
        <n x="19"/>
      </t>
    </mdx>
    <mdx n="0" f="v">
      <t c="8">
        <n x="4" s="1"/>
        <n x="7" s="1"/>
        <n x="67" s="1"/>
        <n x="3" s="1"/>
        <n x="6" s="1"/>
        <n x="68"/>
        <n x="89"/>
        <n x="20"/>
      </t>
    </mdx>
    <mdx n="0" f="v">
      <t c="8">
        <n x="4" s="1"/>
        <n x="7" s="1"/>
        <n x="67" s="1"/>
        <n x="3" s="1"/>
        <n x="6" s="1"/>
        <n x="68"/>
        <n x="89"/>
        <n x="21"/>
      </t>
    </mdx>
    <mdx n="0" f="v">
      <t c="8">
        <n x="4" s="1"/>
        <n x="7" s="1"/>
        <n x="67" s="1"/>
        <n x="3" s="1"/>
        <n x="6" s="1"/>
        <n x="68"/>
        <n x="89"/>
        <n x="22"/>
      </t>
    </mdx>
    <mdx n="0" f="v">
      <t c="8">
        <n x="4" s="1"/>
        <n x="7" s="1"/>
        <n x="67" s="1"/>
        <n x="3" s="1"/>
        <n x="6" s="1"/>
        <n x="68"/>
        <n x="89"/>
        <n x="23"/>
      </t>
    </mdx>
    <mdx n="0" f="v">
      <t c="8">
        <n x="4" s="1"/>
        <n x="7" s="1"/>
        <n x="67" s="1"/>
        <n x="3" s="1"/>
        <n x="6" s="1"/>
        <n x="68"/>
        <n x="89"/>
        <n x="24"/>
      </t>
    </mdx>
    <mdx n="0" f="v">
      <t c="8">
        <n x="4" s="1"/>
        <n x="7" s="1"/>
        <n x="67" s="1"/>
        <n x="3" s="1"/>
        <n x="6" s="1"/>
        <n x="68"/>
        <n x="89"/>
        <n x="25"/>
      </t>
    </mdx>
    <mdx n="0" f="v">
      <t c="8">
        <n x="4" s="1"/>
        <n x="7" s="1"/>
        <n x="67" s="1"/>
        <n x="3" s="1"/>
        <n x="6" s="1"/>
        <n x="68"/>
        <n x="89"/>
        <n x="26"/>
      </t>
    </mdx>
    <mdx n="0" f="v">
      <t c="8">
        <n x="4" s="1"/>
        <n x="7" s="1"/>
        <n x="67" s="1"/>
        <n x="3" s="1"/>
        <n x="6" s="1"/>
        <n x="68"/>
        <n x="89"/>
        <n x="27"/>
      </t>
    </mdx>
    <mdx n="0" f="v">
      <t c="8">
        <n x="4" s="1"/>
        <n x="7" s="1"/>
        <n x="67" s="1"/>
        <n x="3" s="1"/>
        <n x="6" s="1"/>
        <n x="68"/>
        <n x="89"/>
        <n x="28"/>
      </t>
    </mdx>
    <mdx n="0" f="v">
      <t c="8">
        <n x="4" s="1"/>
        <n x="7" s="1"/>
        <n x="67" s="1"/>
        <n x="3" s="1"/>
        <n x="6" s="1"/>
        <n x="68"/>
        <n x="89"/>
        <n x="29"/>
      </t>
    </mdx>
    <mdx n="0" f="v">
      <t c="8">
        <n x="4" s="1"/>
        <n x="7" s="1"/>
        <n x="67" s="1"/>
        <n x="3" s="1"/>
        <n x="6" s="1"/>
        <n x="68"/>
        <n x="89"/>
        <n x="30"/>
      </t>
    </mdx>
    <mdx n="0" f="v">
      <t c="8">
        <n x="4" s="1"/>
        <n x="7" s="1"/>
        <n x="67" s="1"/>
        <n x="3" s="1"/>
        <n x="6" s="1"/>
        <n x="68"/>
        <n x="89"/>
        <n x="31"/>
      </t>
    </mdx>
    <mdx n="0" f="v">
      <t c="8">
        <n x="4" s="1"/>
        <n x="7" s="1"/>
        <n x="67" s="1"/>
        <n x="3" s="1"/>
        <n x="6" s="1"/>
        <n x="68"/>
        <n x="89"/>
        <n x="32"/>
      </t>
    </mdx>
    <mdx n="0" f="v">
      <t c="8">
        <n x="4" s="1"/>
        <n x="7" s="1"/>
        <n x="67" s="1"/>
        <n x="3" s="1"/>
        <n x="6" s="1"/>
        <n x="68"/>
        <n x="89"/>
        <n x="33"/>
      </t>
    </mdx>
    <mdx n="0" f="v">
      <t c="8">
        <n x="4" s="1"/>
        <n x="7" s="1"/>
        <n x="67" s="1"/>
        <n x="3" s="1"/>
        <n x="6" s="1"/>
        <n x="68"/>
        <n x="89"/>
        <n x="34"/>
      </t>
    </mdx>
    <mdx n="0" f="v">
      <t c="8">
        <n x="4" s="1"/>
        <n x="7" s="1"/>
        <n x="67" s="1"/>
        <n x="3" s="1"/>
        <n x="6" s="1"/>
        <n x="68"/>
        <n x="89"/>
        <n x="35"/>
      </t>
    </mdx>
    <mdx n="0" f="v">
      <t c="8">
        <n x="4" s="1"/>
        <n x="7" s="1"/>
        <n x="67" s="1"/>
        <n x="3" s="1"/>
        <n x="6" s="1"/>
        <n x="68"/>
        <n x="89"/>
        <n x="36"/>
      </t>
    </mdx>
    <mdx n="0" f="v">
      <t c="8">
        <n x="4" s="1"/>
        <n x="7" s="1"/>
        <n x="67" s="1"/>
        <n x="3" s="1"/>
        <n x="6" s="1"/>
        <n x="68"/>
        <n x="89"/>
        <n x="37"/>
      </t>
    </mdx>
    <mdx n="0" f="v">
      <t c="8">
        <n x="4" s="1"/>
        <n x="7" s="1"/>
        <n x="67" s="1"/>
        <n x="3" s="1"/>
        <n x="6" s="1"/>
        <n x="68"/>
        <n x="89"/>
        <n x="38"/>
      </t>
    </mdx>
    <mdx n="0" f="v">
      <t c="8">
        <n x="4" s="1"/>
        <n x="7" s="1"/>
        <n x="67" s="1"/>
        <n x="3" s="1"/>
        <n x="6" s="1"/>
        <n x="68"/>
        <n x="89"/>
        <n x="39"/>
      </t>
    </mdx>
    <mdx n="0" f="v">
      <t c="8">
        <n x="4" s="1"/>
        <n x="7" s="1"/>
        <n x="67" s="1"/>
        <n x="3" s="1"/>
        <n x="6" s="1"/>
        <n x="68"/>
        <n x="89"/>
        <n x="40"/>
      </t>
    </mdx>
    <mdx n="0" f="v">
      <t c="8">
        <n x="4" s="1"/>
        <n x="7" s="1"/>
        <n x="67" s="1"/>
        <n x="3" s="1"/>
        <n x="6" s="1"/>
        <n x="68"/>
        <n x="89"/>
        <n x="41"/>
      </t>
    </mdx>
    <mdx n="0" f="v">
      <t c="8">
        <n x="4" s="1"/>
        <n x="7" s="1"/>
        <n x="67" s="1"/>
        <n x="3" s="1"/>
        <n x="6" s="1"/>
        <n x="68"/>
        <n x="89"/>
        <n x="42"/>
      </t>
    </mdx>
    <mdx n="0" f="v">
      <t c="8">
        <n x="4" s="1"/>
        <n x="7" s="1"/>
        <n x="67" s="1"/>
        <n x="3" s="1"/>
        <n x="6" s="1"/>
        <n x="68"/>
        <n x="89"/>
        <n x="43"/>
      </t>
    </mdx>
    <mdx n="0" f="v">
      <t c="8">
        <n x="4" s="1"/>
        <n x="7" s="1"/>
        <n x="67" s="1"/>
        <n x="3" s="1"/>
        <n x="6" s="1"/>
        <n x="68"/>
        <n x="89"/>
        <n x="44"/>
      </t>
    </mdx>
    <mdx n="0" f="v">
      <t c="8">
        <n x="4" s="1"/>
        <n x="7" s="1"/>
        <n x="67" s="1"/>
        <n x="3" s="1"/>
        <n x="6" s="1"/>
        <n x="68"/>
        <n x="89"/>
        <n x="45"/>
      </t>
    </mdx>
    <mdx n="0" f="v">
      <t c="8">
        <n x="4" s="1"/>
        <n x="7" s="1"/>
        <n x="67" s="1"/>
        <n x="3" s="1"/>
        <n x="6" s="1"/>
        <n x="68"/>
        <n x="89"/>
        <n x="46"/>
      </t>
    </mdx>
    <mdx n="0" f="v">
      <t c="8">
        <n x="4" s="1"/>
        <n x="7" s="1"/>
        <n x="67" s="1"/>
        <n x="3" s="1"/>
        <n x="6" s="1"/>
        <n x="68"/>
        <n x="89"/>
        <n x="47"/>
      </t>
    </mdx>
    <mdx n="0" f="v">
      <t c="8">
        <n x="4" s="1"/>
        <n x="7" s="1"/>
        <n x="67" s="1"/>
        <n x="3" s="1"/>
        <n x="6" s="1"/>
        <n x="68"/>
        <n x="89"/>
        <n x="48"/>
      </t>
    </mdx>
    <mdx n="0" f="v">
      <t c="8">
        <n x="4" s="1"/>
        <n x="7" s="1"/>
        <n x="67" s="1"/>
        <n x="3" s="1"/>
        <n x="6" s="1"/>
        <n x="68"/>
        <n x="89"/>
        <n x="49"/>
      </t>
    </mdx>
    <mdx n="0" f="v">
      <t c="8">
        <n x="4" s="1"/>
        <n x="7" s="1"/>
        <n x="67" s="1"/>
        <n x="3" s="1"/>
        <n x="6" s="1"/>
        <n x="68"/>
        <n x="89"/>
        <n x="50"/>
      </t>
    </mdx>
    <mdx n="0" f="v">
      <t c="8">
        <n x="4" s="1"/>
        <n x="7" s="1"/>
        <n x="67" s="1"/>
        <n x="3" s="1"/>
        <n x="6" s="1"/>
        <n x="68"/>
        <n x="89"/>
        <n x="51"/>
      </t>
    </mdx>
    <mdx n="0" f="v">
      <t c="8">
        <n x="4" s="1"/>
        <n x="7" s="1"/>
        <n x="67" s="1"/>
        <n x="3" s="1"/>
        <n x="6" s="1"/>
        <n x="68"/>
        <n x="89"/>
        <n x="52"/>
      </t>
    </mdx>
    <mdx n="0" f="v">
      <t c="8">
        <n x="4" s="1"/>
        <n x="7" s="1"/>
        <n x="67" s="1"/>
        <n x="3" s="1"/>
        <n x="6" s="1"/>
        <n x="68"/>
        <n x="89"/>
        <n x="53"/>
      </t>
    </mdx>
    <mdx n="0" f="v">
      <t c="8">
        <n x="4" s="1"/>
        <n x="7" s="1"/>
        <n x="67" s="1"/>
        <n x="3" s="1"/>
        <n x="6" s="1"/>
        <n x="68"/>
        <n x="89"/>
        <n x="54"/>
      </t>
    </mdx>
    <mdx n="0" f="v">
      <t c="8">
        <n x="4" s="1"/>
        <n x="7" s="1"/>
        <n x="67" s="1"/>
        <n x="3" s="1"/>
        <n x="6" s="1"/>
        <n x="68"/>
        <n x="89"/>
        <n x="55"/>
      </t>
    </mdx>
    <mdx n="0" f="v">
      <t c="8">
        <n x="4" s="1"/>
        <n x="7" s="1"/>
        <n x="67" s="1"/>
        <n x="3" s="1"/>
        <n x="6" s="1"/>
        <n x="68"/>
        <n x="89"/>
        <n x="56"/>
      </t>
    </mdx>
    <mdx n="0" f="v">
      <t c="8">
        <n x="4" s="1"/>
        <n x="7" s="1"/>
        <n x="67" s="1"/>
        <n x="3" s="1"/>
        <n x="6" s="1"/>
        <n x="68"/>
        <n x="89"/>
        <n x="57"/>
      </t>
    </mdx>
    <mdx n="0" f="v">
      <t c="8">
        <n x="4" s="1"/>
        <n x="7" s="1"/>
        <n x="67" s="1"/>
        <n x="3" s="1"/>
        <n x="6" s="1"/>
        <n x="68"/>
        <n x="89"/>
        <n x="58"/>
      </t>
    </mdx>
    <mdx n="0" f="v">
      <t c="8">
        <n x="4" s="1"/>
        <n x="7" s="1"/>
        <n x="67" s="1"/>
        <n x="3" s="1"/>
        <n x="6" s="1"/>
        <n x="68"/>
        <n x="89"/>
        <n x="59"/>
      </t>
    </mdx>
    <mdx n="0" f="v">
      <t c="8">
        <n x="4" s="1"/>
        <n x="7" s="1"/>
        <n x="67" s="1"/>
        <n x="3" s="1"/>
        <n x="6" s="1"/>
        <n x="68"/>
        <n x="89"/>
        <n x="60"/>
      </t>
    </mdx>
    <mdx n="0" f="v">
      <t c="8">
        <n x="4" s="1"/>
        <n x="7" s="1"/>
        <n x="67" s="1"/>
        <n x="3" s="1"/>
        <n x="6" s="1"/>
        <n x="68"/>
        <n x="89"/>
        <n x="61"/>
      </t>
    </mdx>
    <mdx n="0" f="v">
      <t c="8">
        <n x="4" s="1"/>
        <n x="7" s="1"/>
        <n x="67" s="1"/>
        <n x="3" s="1"/>
        <n x="6" s="1"/>
        <n x="68"/>
        <n x="89"/>
        <n x="62"/>
      </t>
    </mdx>
    <mdx n="0" f="v">
      <t c="8">
        <n x="4" s="1"/>
        <n x="7" s="1"/>
        <n x="67" s="1"/>
        <n x="3" s="1"/>
        <n x="6" s="1"/>
        <n x="68"/>
        <n x="89"/>
        <n x="63"/>
      </t>
    </mdx>
    <mdx n="0" f="v">
      <t c="8">
        <n x="4" s="1"/>
        <n x="7" s="1"/>
        <n x="67" s="1"/>
        <n x="3" s="1"/>
        <n x="6" s="1"/>
        <n x="68"/>
        <n x="89"/>
        <n x="64"/>
      </t>
    </mdx>
    <mdx n="0" f="v">
      <t c="8">
        <n x="4" s="1"/>
        <n x="7" s="1"/>
        <n x="67" s="1"/>
        <n x="3" s="1"/>
        <n x="6" s="1"/>
        <n x="68"/>
        <n x="89"/>
        <n x="65"/>
      </t>
    </mdx>
    <mdx n="0" f="v">
      <t c="8">
        <n x="4" s="1"/>
        <n x="7" s="1"/>
        <n x="67" s="1"/>
        <n x="3" s="1"/>
        <n x="6" s="1"/>
        <n x="68"/>
        <n x="89"/>
        <n x="66"/>
      </t>
    </mdx>
    <mdx n="0" f="v">
      <t c="8">
        <n x="7" s="1"/>
        <n x="69" s="1"/>
        <n x="3" s="1"/>
        <n x="70" s="1"/>
        <n x="2" s="1"/>
        <n x="68"/>
        <n x="71"/>
        <n x="8"/>
      </t>
    </mdx>
    <mdx n="0" f="v">
      <t c="8">
        <n x="7" s="1"/>
        <n x="69" s="1"/>
        <n x="3" s="1"/>
        <n x="70" s="1"/>
        <n x="2" s="1"/>
        <n x="68"/>
        <n x="71"/>
        <n x="9"/>
      </t>
    </mdx>
    <mdx n="0" f="v">
      <t c="8">
        <n x="7" s="1"/>
        <n x="69" s="1"/>
        <n x="3" s="1"/>
        <n x="70" s="1"/>
        <n x="2" s="1"/>
        <n x="68"/>
        <n x="71"/>
        <n x="10"/>
      </t>
    </mdx>
    <mdx n="0" f="v">
      <t c="8">
        <n x="7" s="1"/>
        <n x="69" s="1"/>
        <n x="3" s="1"/>
        <n x="70" s="1"/>
        <n x="2" s="1"/>
        <n x="68"/>
        <n x="71"/>
        <n x="11"/>
      </t>
    </mdx>
    <mdx n="0" f="v">
      <t c="8">
        <n x="7" s="1"/>
        <n x="69" s="1"/>
        <n x="3" s="1"/>
        <n x="70" s="1"/>
        <n x="2" s="1"/>
        <n x="68"/>
        <n x="71"/>
        <n x="12"/>
      </t>
    </mdx>
    <mdx n="0" f="v">
      <t c="8">
        <n x="7" s="1"/>
        <n x="69" s="1"/>
        <n x="3" s="1"/>
        <n x="70" s="1"/>
        <n x="2" s="1"/>
        <n x="68"/>
        <n x="71"/>
        <n x="13"/>
      </t>
    </mdx>
    <mdx n="0" f="v">
      <t c="8">
        <n x="7" s="1"/>
        <n x="69" s="1"/>
        <n x="3" s="1"/>
        <n x="70" s="1"/>
        <n x="2" s="1"/>
        <n x="68"/>
        <n x="71"/>
        <n x="14"/>
      </t>
    </mdx>
    <mdx n="0" f="v">
      <t c="8">
        <n x="7" s="1"/>
        <n x="69" s="1"/>
        <n x="3" s="1"/>
        <n x="70" s="1"/>
        <n x="2" s="1"/>
        <n x="68"/>
        <n x="71"/>
        <n x="15"/>
      </t>
    </mdx>
    <mdx n="0" f="v">
      <t c="8">
        <n x="7" s="1"/>
        <n x="69" s="1"/>
        <n x="3" s="1"/>
        <n x="70" s="1"/>
        <n x="2" s="1"/>
        <n x="68"/>
        <n x="71"/>
        <n x="16"/>
      </t>
    </mdx>
    <mdx n="0" f="v">
      <t c="8">
        <n x="7" s="1"/>
        <n x="69" s="1"/>
        <n x="3" s="1"/>
        <n x="70" s="1"/>
        <n x="2" s="1"/>
        <n x="68"/>
        <n x="71"/>
        <n x="17"/>
      </t>
    </mdx>
    <mdx n="0" f="v">
      <t c="8">
        <n x="7" s="1"/>
        <n x="69" s="1"/>
        <n x="3" s="1"/>
        <n x="70" s="1"/>
        <n x="2" s="1"/>
        <n x="68"/>
        <n x="71"/>
        <n x="18"/>
      </t>
    </mdx>
    <mdx n="0" f="v">
      <t c="8">
        <n x="7" s="1"/>
        <n x="69" s="1"/>
        <n x="3" s="1"/>
        <n x="70" s="1"/>
        <n x="2" s="1"/>
        <n x="68"/>
        <n x="71"/>
        <n x="19"/>
      </t>
    </mdx>
    <mdx n="0" f="v">
      <t c="8">
        <n x="7" s="1"/>
        <n x="69" s="1"/>
        <n x="3" s="1"/>
        <n x="70" s="1"/>
        <n x="2" s="1"/>
        <n x="68"/>
        <n x="71"/>
        <n x="20"/>
      </t>
    </mdx>
    <mdx n="0" f="v">
      <t c="8">
        <n x="7" s="1"/>
        <n x="69" s="1"/>
        <n x="3" s="1"/>
        <n x="70" s="1"/>
        <n x="2" s="1"/>
        <n x="68"/>
        <n x="71"/>
        <n x="21"/>
      </t>
    </mdx>
    <mdx n="0" f="v">
      <t c="8">
        <n x="7" s="1"/>
        <n x="69" s="1"/>
        <n x="3" s="1"/>
        <n x="70" s="1"/>
        <n x="2" s="1"/>
        <n x="68"/>
        <n x="71"/>
        <n x="22"/>
      </t>
    </mdx>
    <mdx n="0" f="v">
      <t c="8">
        <n x="7" s="1"/>
        <n x="69" s="1"/>
        <n x="3" s="1"/>
        <n x="70" s="1"/>
        <n x="2" s="1"/>
        <n x="68"/>
        <n x="71"/>
        <n x="23"/>
      </t>
    </mdx>
    <mdx n="0" f="v">
      <t c="8">
        <n x="7" s="1"/>
        <n x="69" s="1"/>
        <n x="3" s="1"/>
        <n x="70" s="1"/>
        <n x="2" s="1"/>
        <n x="68"/>
        <n x="71"/>
        <n x="24"/>
      </t>
    </mdx>
    <mdx n="0" f="v">
      <t c="8">
        <n x="7" s="1"/>
        <n x="69" s="1"/>
        <n x="3" s="1"/>
        <n x="70" s="1"/>
        <n x="2" s="1"/>
        <n x="68"/>
        <n x="71"/>
        <n x="25"/>
      </t>
    </mdx>
    <mdx n="0" f="v">
      <t c="8">
        <n x="7" s="1"/>
        <n x="69" s="1"/>
        <n x="3" s="1"/>
        <n x="70" s="1"/>
        <n x="2" s="1"/>
        <n x="68"/>
        <n x="71"/>
        <n x="26"/>
      </t>
    </mdx>
    <mdx n="0" f="v">
      <t c="8">
        <n x="7" s="1"/>
        <n x="69" s="1"/>
        <n x="3" s="1"/>
        <n x="70" s="1"/>
        <n x="2" s="1"/>
        <n x="68"/>
        <n x="71"/>
        <n x="27"/>
      </t>
    </mdx>
    <mdx n="0" f="v">
      <t c="8">
        <n x="7" s="1"/>
        <n x="69" s="1"/>
        <n x="3" s="1"/>
        <n x="70" s="1"/>
        <n x="2" s="1"/>
        <n x="68"/>
        <n x="71"/>
        <n x="28"/>
      </t>
    </mdx>
    <mdx n="0" f="v">
      <t c="8">
        <n x="7" s="1"/>
        <n x="69" s="1"/>
        <n x="3" s="1"/>
        <n x="70" s="1"/>
        <n x="2" s="1"/>
        <n x="68"/>
        <n x="71"/>
        <n x="29"/>
      </t>
    </mdx>
    <mdx n="0" f="v">
      <t c="8">
        <n x="7" s="1"/>
        <n x="69" s="1"/>
        <n x="3" s="1"/>
        <n x="70" s="1"/>
        <n x="2" s="1"/>
        <n x="68"/>
        <n x="71"/>
        <n x="30"/>
      </t>
    </mdx>
    <mdx n="0" f="v">
      <t c="8">
        <n x="7" s="1"/>
        <n x="69" s="1"/>
        <n x="3" s="1"/>
        <n x="70" s="1"/>
        <n x="2" s="1"/>
        <n x="68"/>
        <n x="71"/>
        <n x="31"/>
      </t>
    </mdx>
    <mdx n="0" f="v">
      <t c="8">
        <n x="7" s="1"/>
        <n x="69" s="1"/>
        <n x="3" s="1"/>
        <n x="70" s="1"/>
        <n x="2" s="1"/>
        <n x="68"/>
        <n x="71"/>
        <n x="32"/>
      </t>
    </mdx>
    <mdx n="0" f="v">
      <t c="8">
        <n x="7" s="1"/>
        <n x="69" s="1"/>
        <n x="3" s="1"/>
        <n x="70" s="1"/>
        <n x="2" s="1"/>
        <n x="68"/>
        <n x="71"/>
        <n x="33"/>
      </t>
    </mdx>
    <mdx n="0" f="v">
      <t c="8">
        <n x="7" s="1"/>
        <n x="69" s="1"/>
        <n x="3" s="1"/>
        <n x="70" s="1"/>
        <n x="2" s="1"/>
        <n x="68"/>
        <n x="71"/>
        <n x="34"/>
      </t>
    </mdx>
    <mdx n="0" f="v">
      <t c="8">
        <n x="7" s="1"/>
        <n x="69" s="1"/>
        <n x="3" s="1"/>
        <n x="70" s="1"/>
        <n x="2" s="1"/>
        <n x="68"/>
        <n x="71"/>
        <n x="35"/>
      </t>
    </mdx>
    <mdx n="0" f="v">
      <t c="8">
        <n x="7" s="1"/>
        <n x="69" s="1"/>
        <n x="3" s="1"/>
        <n x="70" s="1"/>
        <n x="2" s="1"/>
        <n x="68"/>
        <n x="71"/>
        <n x="36"/>
      </t>
    </mdx>
    <mdx n="0" f="v">
      <t c="8">
        <n x="7" s="1"/>
        <n x="69" s="1"/>
        <n x="3" s="1"/>
        <n x="70" s="1"/>
        <n x="2" s="1"/>
        <n x="68"/>
        <n x="71"/>
        <n x="37"/>
      </t>
    </mdx>
    <mdx n="0" f="v">
      <t c="8">
        <n x="7" s="1"/>
        <n x="69" s="1"/>
        <n x="3" s="1"/>
        <n x="70" s="1"/>
        <n x="2" s="1"/>
        <n x="68"/>
        <n x="71"/>
        <n x="38"/>
      </t>
    </mdx>
    <mdx n="0" f="v">
      <t c="8">
        <n x="7" s="1"/>
        <n x="69" s="1"/>
        <n x="3" s="1"/>
        <n x="70" s="1"/>
        <n x="2" s="1"/>
        <n x="68"/>
        <n x="71"/>
        <n x="39"/>
      </t>
    </mdx>
    <mdx n="0" f="v">
      <t c="8">
        <n x="7" s="1"/>
        <n x="69" s="1"/>
        <n x="3" s="1"/>
        <n x="70" s="1"/>
        <n x="2" s="1"/>
        <n x="68"/>
        <n x="71"/>
        <n x="40"/>
      </t>
    </mdx>
    <mdx n="0" f="v">
      <t c="8">
        <n x="7" s="1"/>
        <n x="69" s="1"/>
        <n x="3" s="1"/>
        <n x="70" s="1"/>
        <n x="2" s="1"/>
        <n x="68"/>
        <n x="71"/>
        <n x="41"/>
      </t>
    </mdx>
    <mdx n="0" f="v">
      <t c="8">
        <n x="7" s="1"/>
        <n x="69" s="1"/>
        <n x="3" s="1"/>
        <n x="70" s="1"/>
        <n x="2" s="1"/>
        <n x="68"/>
        <n x="71"/>
        <n x="42"/>
      </t>
    </mdx>
    <mdx n="0" f="v">
      <t c="8">
        <n x="7" s="1"/>
        <n x="69" s="1"/>
        <n x="3" s="1"/>
        <n x="70" s="1"/>
        <n x="2" s="1"/>
        <n x="68"/>
        <n x="71"/>
        <n x="43"/>
      </t>
    </mdx>
    <mdx n="0" f="v">
      <t c="8">
        <n x="7" s="1"/>
        <n x="69" s="1"/>
        <n x="3" s="1"/>
        <n x="70" s="1"/>
        <n x="2" s="1"/>
        <n x="68"/>
        <n x="71"/>
        <n x="44"/>
      </t>
    </mdx>
    <mdx n="0" f="v">
      <t c="8">
        <n x="7" s="1"/>
        <n x="69" s="1"/>
        <n x="3" s="1"/>
        <n x="70" s="1"/>
        <n x="2" s="1"/>
        <n x="68"/>
        <n x="71"/>
        <n x="45"/>
      </t>
    </mdx>
    <mdx n="0" f="v">
      <t c="8">
        <n x="7" s="1"/>
        <n x="69" s="1"/>
        <n x="3" s="1"/>
        <n x="70" s="1"/>
        <n x="2" s="1"/>
        <n x="68"/>
        <n x="71"/>
        <n x="46"/>
      </t>
    </mdx>
    <mdx n="0" f="v">
      <t c="8">
        <n x="7" s="1"/>
        <n x="69" s="1"/>
        <n x="3" s="1"/>
        <n x="70" s="1"/>
        <n x="2" s="1"/>
        <n x="68"/>
        <n x="71"/>
        <n x="47"/>
      </t>
    </mdx>
    <mdx n="0" f="v">
      <t c="8">
        <n x="7" s="1"/>
        <n x="69" s="1"/>
        <n x="3" s="1"/>
        <n x="70" s="1"/>
        <n x="2" s="1"/>
        <n x="68"/>
        <n x="71"/>
        <n x="48"/>
      </t>
    </mdx>
    <mdx n="0" f="v">
      <t c="8">
        <n x="7" s="1"/>
        <n x="69" s="1"/>
        <n x="3" s="1"/>
        <n x="70" s="1"/>
        <n x="2" s="1"/>
        <n x="68"/>
        <n x="71"/>
        <n x="49"/>
      </t>
    </mdx>
    <mdx n="0" f="v">
      <t c="8">
        <n x="7" s="1"/>
        <n x="69" s="1"/>
        <n x="3" s="1"/>
        <n x="70" s="1"/>
        <n x="2" s="1"/>
        <n x="68"/>
        <n x="71"/>
        <n x="50"/>
      </t>
    </mdx>
    <mdx n="0" f="v">
      <t c="8">
        <n x="7" s="1"/>
        <n x="69" s="1"/>
        <n x="3" s="1"/>
        <n x="70" s="1"/>
        <n x="2" s="1"/>
        <n x="68"/>
        <n x="71"/>
        <n x="51"/>
      </t>
    </mdx>
    <mdx n="0" f="v">
      <t c="8">
        <n x="7" s="1"/>
        <n x="69" s="1"/>
        <n x="3" s="1"/>
        <n x="70" s="1"/>
        <n x="2" s="1"/>
        <n x="68"/>
        <n x="71"/>
        <n x="52"/>
      </t>
    </mdx>
    <mdx n="0" f="v">
      <t c="8">
        <n x="7" s="1"/>
        <n x="69" s="1"/>
        <n x="3" s="1"/>
        <n x="70" s="1"/>
        <n x="2" s="1"/>
        <n x="68"/>
        <n x="71"/>
        <n x="53"/>
      </t>
    </mdx>
    <mdx n="0" f="v">
      <t c="8">
        <n x="7" s="1"/>
        <n x="69" s="1"/>
        <n x="3" s="1"/>
        <n x="70" s="1"/>
        <n x="2" s="1"/>
        <n x="68"/>
        <n x="71"/>
        <n x="54"/>
      </t>
    </mdx>
    <mdx n="0" f="v">
      <t c="8">
        <n x="7" s="1"/>
        <n x="69" s="1"/>
        <n x="3" s="1"/>
        <n x="70" s="1"/>
        <n x="2" s="1"/>
        <n x="68"/>
        <n x="71"/>
        <n x="55"/>
      </t>
    </mdx>
    <mdx n="0" f="v">
      <t c="8">
        <n x="7" s="1"/>
        <n x="69" s="1"/>
        <n x="3" s="1"/>
        <n x="70" s="1"/>
        <n x="2" s="1"/>
        <n x="68"/>
        <n x="71"/>
        <n x="56"/>
      </t>
    </mdx>
    <mdx n="0" f="v">
      <t c="8">
        <n x="7" s="1"/>
        <n x="69" s="1"/>
        <n x="3" s="1"/>
        <n x="70" s="1"/>
        <n x="2" s="1"/>
        <n x="68"/>
        <n x="71"/>
        <n x="57"/>
      </t>
    </mdx>
    <mdx n="0" f="v">
      <t c="8">
        <n x="7" s="1"/>
        <n x="69" s="1"/>
        <n x="3" s="1"/>
        <n x="70" s="1"/>
        <n x="2" s="1"/>
        <n x="68"/>
        <n x="71"/>
        <n x="58"/>
      </t>
    </mdx>
    <mdx n="0" f="v">
      <t c="8">
        <n x="7" s="1"/>
        <n x="69" s="1"/>
        <n x="3" s="1"/>
        <n x="70" s="1"/>
        <n x="2" s="1"/>
        <n x="68"/>
        <n x="71"/>
        <n x="59"/>
      </t>
    </mdx>
    <mdx n="0" f="v">
      <t c="8">
        <n x="7" s="1"/>
        <n x="69" s="1"/>
        <n x="3" s="1"/>
        <n x="70" s="1"/>
        <n x="2" s="1"/>
        <n x="68"/>
        <n x="71"/>
        <n x="60"/>
      </t>
    </mdx>
    <mdx n="0" f="v">
      <t c="8">
        <n x="7" s="1"/>
        <n x="69" s="1"/>
        <n x="3" s="1"/>
        <n x="70" s="1"/>
        <n x="2" s="1"/>
        <n x="68"/>
        <n x="71"/>
        <n x="61"/>
      </t>
    </mdx>
    <mdx n="0" f="v">
      <t c="8">
        <n x="7" s="1"/>
        <n x="69" s="1"/>
        <n x="3" s="1"/>
        <n x="70" s="1"/>
        <n x="2" s="1"/>
        <n x="68"/>
        <n x="71"/>
        <n x="62"/>
      </t>
    </mdx>
    <mdx n="0" f="v">
      <t c="8">
        <n x="7" s="1"/>
        <n x="69" s="1"/>
        <n x="3" s="1"/>
        <n x="70" s="1"/>
        <n x="2" s="1"/>
        <n x="68"/>
        <n x="71"/>
        <n x="63"/>
      </t>
    </mdx>
    <mdx n="0" f="v">
      <t c="8">
        <n x="7" s="1"/>
        <n x="69" s="1"/>
        <n x="3" s="1"/>
        <n x="70" s="1"/>
        <n x="2" s="1"/>
        <n x="68"/>
        <n x="71"/>
        <n x="64"/>
      </t>
    </mdx>
    <mdx n="0" f="v">
      <t c="8">
        <n x="7" s="1"/>
        <n x="69" s="1"/>
        <n x="3" s="1"/>
        <n x="70" s="1"/>
        <n x="2" s="1"/>
        <n x="68"/>
        <n x="71"/>
        <n x="65"/>
      </t>
    </mdx>
    <mdx n="0" f="v">
      <t c="8">
        <n x="7" s="1"/>
        <n x="69" s="1"/>
        <n x="3" s="1"/>
        <n x="70" s="1"/>
        <n x="2" s="1"/>
        <n x="68"/>
        <n x="71"/>
        <n x="66"/>
      </t>
    </mdx>
    <mdx n="0" f="v">
      <t c="8">
        <n x="7" s="1"/>
        <n x="69" s="1"/>
        <n x="3" s="1"/>
        <n x="70" s="1"/>
        <n x="2" s="1"/>
        <n x="68"/>
        <n x="72"/>
        <n x="8"/>
      </t>
    </mdx>
    <mdx n="0" f="v">
      <t c="8">
        <n x="7" s="1"/>
        <n x="69" s="1"/>
        <n x="3" s="1"/>
        <n x="70" s="1"/>
        <n x="2" s="1"/>
        <n x="68"/>
        <n x="72"/>
        <n x="9"/>
      </t>
    </mdx>
    <mdx n="0" f="v">
      <t c="8">
        <n x="7" s="1"/>
        <n x="69" s="1"/>
        <n x="3" s="1"/>
        <n x="70" s="1"/>
        <n x="2" s="1"/>
        <n x="68"/>
        <n x="72"/>
        <n x="10"/>
      </t>
    </mdx>
    <mdx n="0" f="v">
      <t c="8">
        <n x="7" s="1"/>
        <n x="69" s="1"/>
        <n x="3" s="1"/>
        <n x="70" s="1"/>
        <n x="2" s="1"/>
        <n x="68"/>
        <n x="72"/>
        <n x="11"/>
      </t>
    </mdx>
    <mdx n="0" f="v">
      <t c="8">
        <n x="7" s="1"/>
        <n x="69" s="1"/>
        <n x="3" s="1"/>
        <n x="70" s="1"/>
        <n x="2" s="1"/>
        <n x="68"/>
        <n x="72"/>
        <n x="12"/>
      </t>
    </mdx>
    <mdx n="0" f="v">
      <t c="8">
        <n x="7" s="1"/>
        <n x="69" s="1"/>
        <n x="3" s="1"/>
        <n x="70" s="1"/>
        <n x="2" s="1"/>
        <n x="68"/>
        <n x="72"/>
        <n x="13"/>
      </t>
    </mdx>
    <mdx n="0" f="v">
      <t c="8">
        <n x="7" s="1"/>
        <n x="69" s="1"/>
        <n x="3" s="1"/>
        <n x="70" s="1"/>
        <n x="2" s="1"/>
        <n x="68"/>
        <n x="72"/>
        <n x="14"/>
      </t>
    </mdx>
    <mdx n="0" f="v">
      <t c="8">
        <n x="7" s="1"/>
        <n x="69" s="1"/>
        <n x="3" s="1"/>
        <n x="70" s="1"/>
        <n x="2" s="1"/>
        <n x="68"/>
        <n x="72"/>
        <n x="15"/>
      </t>
    </mdx>
    <mdx n="0" f="v">
      <t c="8">
        <n x="7" s="1"/>
        <n x="69" s="1"/>
        <n x="3" s="1"/>
        <n x="70" s="1"/>
        <n x="2" s="1"/>
        <n x="68"/>
        <n x="72"/>
        <n x="16"/>
      </t>
    </mdx>
    <mdx n="0" f="v">
      <t c="8">
        <n x="7" s="1"/>
        <n x="69" s="1"/>
        <n x="3" s="1"/>
        <n x="70" s="1"/>
        <n x="2" s="1"/>
        <n x="68"/>
        <n x="72"/>
        <n x="17"/>
      </t>
    </mdx>
    <mdx n="0" f="v">
      <t c="8">
        <n x="7" s="1"/>
        <n x="69" s="1"/>
        <n x="3" s="1"/>
        <n x="70" s="1"/>
        <n x="2" s="1"/>
        <n x="68"/>
        <n x="72"/>
        <n x="18"/>
      </t>
    </mdx>
    <mdx n="0" f="v">
      <t c="8">
        <n x="7" s="1"/>
        <n x="69" s="1"/>
        <n x="3" s="1"/>
        <n x="70" s="1"/>
        <n x="2" s="1"/>
        <n x="68"/>
        <n x="72"/>
        <n x="19"/>
      </t>
    </mdx>
    <mdx n="0" f="v">
      <t c="8">
        <n x="7" s="1"/>
        <n x="69" s="1"/>
        <n x="3" s="1"/>
        <n x="70" s="1"/>
        <n x="2" s="1"/>
        <n x="68"/>
        <n x="72"/>
        <n x="20"/>
      </t>
    </mdx>
    <mdx n="0" f="v">
      <t c="8">
        <n x="7" s="1"/>
        <n x="69" s="1"/>
        <n x="3" s="1"/>
        <n x="70" s="1"/>
        <n x="2" s="1"/>
        <n x="68"/>
        <n x="72"/>
        <n x="21"/>
      </t>
    </mdx>
    <mdx n="0" f="v">
      <t c="8">
        <n x="7" s="1"/>
        <n x="69" s="1"/>
        <n x="3" s="1"/>
        <n x="70" s="1"/>
        <n x="2" s="1"/>
        <n x="68"/>
        <n x="72"/>
        <n x="22"/>
      </t>
    </mdx>
    <mdx n="0" f="v">
      <t c="8">
        <n x="7" s="1"/>
        <n x="69" s="1"/>
        <n x="3" s="1"/>
        <n x="70" s="1"/>
        <n x="2" s="1"/>
        <n x="68"/>
        <n x="72"/>
        <n x="23"/>
      </t>
    </mdx>
    <mdx n="0" f="v">
      <t c="8">
        <n x="7" s="1"/>
        <n x="69" s="1"/>
        <n x="3" s="1"/>
        <n x="70" s="1"/>
        <n x="2" s="1"/>
        <n x="68"/>
        <n x="72"/>
        <n x="24"/>
      </t>
    </mdx>
    <mdx n="0" f="v">
      <t c="8">
        <n x="7" s="1"/>
        <n x="69" s="1"/>
        <n x="3" s="1"/>
        <n x="70" s="1"/>
        <n x="2" s="1"/>
        <n x="68"/>
        <n x="72"/>
        <n x="25"/>
      </t>
    </mdx>
    <mdx n="0" f="v">
      <t c="8">
        <n x="7" s="1"/>
        <n x="69" s="1"/>
        <n x="3" s="1"/>
        <n x="70" s="1"/>
        <n x="2" s="1"/>
        <n x="68"/>
        <n x="72"/>
        <n x="26"/>
      </t>
    </mdx>
    <mdx n="0" f="v">
      <t c="8">
        <n x="7" s="1"/>
        <n x="69" s="1"/>
        <n x="3" s="1"/>
        <n x="70" s="1"/>
        <n x="2" s="1"/>
        <n x="68"/>
        <n x="72"/>
        <n x="27"/>
      </t>
    </mdx>
    <mdx n="0" f="v">
      <t c="8">
        <n x="7" s="1"/>
        <n x="69" s="1"/>
        <n x="3" s="1"/>
        <n x="70" s="1"/>
        <n x="2" s="1"/>
        <n x="68"/>
        <n x="72"/>
        <n x="28"/>
      </t>
    </mdx>
    <mdx n="0" f="v">
      <t c="8">
        <n x="7" s="1"/>
        <n x="69" s="1"/>
        <n x="3" s="1"/>
        <n x="70" s="1"/>
        <n x="2" s="1"/>
        <n x="68"/>
        <n x="72"/>
        <n x="29"/>
      </t>
    </mdx>
    <mdx n="0" f="v">
      <t c="8">
        <n x="7" s="1"/>
        <n x="69" s="1"/>
        <n x="3" s="1"/>
        <n x="70" s="1"/>
        <n x="2" s="1"/>
        <n x="68"/>
        <n x="72"/>
        <n x="30"/>
      </t>
    </mdx>
    <mdx n="0" f="v">
      <t c="8">
        <n x="7" s="1"/>
        <n x="69" s="1"/>
        <n x="3" s="1"/>
        <n x="70" s="1"/>
        <n x="2" s="1"/>
        <n x="68"/>
        <n x="72"/>
        <n x="31"/>
      </t>
    </mdx>
    <mdx n="0" f="v">
      <t c="8">
        <n x="7" s="1"/>
        <n x="69" s="1"/>
        <n x="3" s="1"/>
        <n x="70" s="1"/>
        <n x="2" s="1"/>
        <n x="68"/>
        <n x="72"/>
        <n x="32"/>
      </t>
    </mdx>
    <mdx n="0" f="v">
      <t c="8">
        <n x="7" s="1"/>
        <n x="69" s="1"/>
        <n x="3" s="1"/>
        <n x="70" s="1"/>
        <n x="2" s="1"/>
        <n x="68"/>
        <n x="72"/>
        <n x="33"/>
      </t>
    </mdx>
    <mdx n="0" f="v">
      <t c="8">
        <n x="7" s="1"/>
        <n x="69" s="1"/>
        <n x="3" s="1"/>
        <n x="70" s="1"/>
        <n x="2" s="1"/>
        <n x="68"/>
        <n x="72"/>
        <n x="34"/>
      </t>
    </mdx>
    <mdx n="0" f="v">
      <t c="8">
        <n x="7" s="1"/>
        <n x="69" s="1"/>
        <n x="3" s="1"/>
        <n x="70" s="1"/>
        <n x="2" s="1"/>
        <n x="68"/>
        <n x="72"/>
        <n x="35"/>
      </t>
    </mdx>
    <mdx n="0" f="v">
      <t c="8">
        <n x="7" s="1"/>
        <n x="69" s="1"/>
        <n x="3" s="1"/>
        <n x="70" s="1"/>
        <n x="2" s="1"/>
        <n x="68"/>
        <n x="72"/>
        <n x="36"/>
      </t>
    </mdx>
    <mdx n="0" f="v">
      <t c="8">
        <n x="7" s="1"/>
        <n x="69" s="1"/>
        <n x="3" s="1"/>
        <n x="70" s="1"/>
        <n x="2" s="1"/>
        <n x="68"/>
        <n x="72"/>
        <n x="37"/>
      </t>
    </mdx>
    <mdx n="0" f="v">
      <t c="8">
        <n x="7" s="1"/>
        <n x="69" s="1"/>
        <n x="3" s="1"/>
        <n x="70" s="1"/>
        <n x="2" s="1"/>
        <n x="68"/>
        <n x="72"/>
        <n x="38"/>
      </t>
    </mdx>
    <mdx n="0" f="v">
      <t c="8">
        <n x="7" s="1"/>
        <n x="69" s="1"/>
        <n x="3" s="1"/>
        <n x="70" s="1"/>
        <n x="2" s="1"/>
        <n x="68"/>
        <n x="72"/>
        <n x="39"/>
      </t>
    </mdx>
    <mdx n="0" f="v">
      <t c="8">
        <n x="7" s="1"/>
        <n x="69" s="1"/>
        <n x="3" s="1"/>
        <n x="70" s="1"/>
        <n x="2" s="1"/>
        <n x="68"/>
        <n x="72"/>
        <n x="40"/>
      </t>
    </mdx>
    <mdx n="0" f="v">
      <t c="8">
        <n x="7" s="1"/>
        <n x="69" s="1"/>
        <n x="3" s="1"/>
        <n x="70" s="1"/>
        <n x="2" s="1"/>
        <n x="68"/>
        <n x="72"/>
        <n x="41"/>
      </t>
    </mdx>
    <mdx n="0" f="v">
      <t c="8">
        <n x="7" s="1"/>
        <n x="69" s="1"/>
        <n x="3" s="1"/>
        <n x="70" s="1"/>
        <n x="2" s="1"/>
        <n x="68"/>
        <n x="72"/>
        <n x="42"/>
      </t>
    </mdx>
    <mdx n="0" f="v">
      <t c="8">
        <n x="7" s="1"/>
        <n x="69" s="1"/>
        <n x="3" s="1"/>
        <n x="70" s="1"/>
        <n x="2" s="1"/>
        <n x="68"/>
        <n x="72"/>
        <n x="43"/>
      </t>
    </mdx>
    <mdx n="0" f="v">
      <t c="8">
        <n x="7" s="1"/>
        <n x="69" s="1"/>
        <n x="3" s="1"/>
        <n x="70" s="1"/>
        <n x="2" s="1"/>
        <n x="68"/>
        <n x="72"/>
        <n x="44"/>
      </t>
    </mdx>
    <mdx n="0" f="v">
      <t c="8">
        <n x="7" s="1"/>
        <n x="69" s="1"/>
        <n x="3" s="1"/>
        <n x="70" s="1"/>
        <n x="2" s="1"/>
        <n x="68"/>
        <n x="72"/>
        <n x="45"/>
      </t>
    </mdx>
    <mdx n="0" f="v">
      <t c="8">
        <n x="7" s="1"/>
        <n x="69" s="1"/>
        <n x="3" s="1"/>
        <n x="70" s="1"/>
        <n x="2" s="1"/>
        <n x="68"/>
        <n x="72"/>
        <n x="46"/>
      </t>
    </mdx>
    <mdx n="0" f="v">
      <t c="8">
        <n x="7" s="1"/>
        <n x="69" s="1"/>
        <n x="3" s="1"/>
        <n x="70" s="1"/>
        <n x="2" s="1"/>
        <n x="68"/>
        <n x="72"/>
        <n x="47"/>
      </t>
    </mdx>
    <mdx n="0" f="v">
      <t c="8">
        <n x="7" s="1"/>
        <n x="69" s="1"/>
        <n x="3" s="1"/>
        <n x="70" s="1"/>
        <n x="2" s="1"/>
        <n x="68"/>
        <n x="72"/>
        <n x="48"/>
      </t>
    </mdx>
    <mdx n="0" f="v">
      <t c="8">
        <n x="7" s="1"/>
        <n x="69" s="1"/>
        <n x="3" s="1"/>
        <n x="70" s="1"/>
        <n x="2" s="1"/>
        <n x="68"/>
        <n x="72"/>
        <n x="49"/>
      </t>
    </mdx>
    <mdx n="0" f="v">
      <t c="8">
        <n x="7" s="1"/>
        <n x="69" s="1"/>
        <n x="3" s="1"/>
        <n x="70" s="1"/>
        <n x="2" s="1"/>
        <n x="68"/>
        <n x="72"/>
        <n x="50"/>
      </t>
    </mdx>
    <mdx n="0" f="v">
      <t c="8">
        <n x="7" s="1"/>
        <n x="69" s="1"/>
        <n x="3" s="1"/>
        <n x="70" s="1"/>
        <n x="2" s="1"/>
        <n x="68"/>
        <n x="72"/>
        <n x="51"/>
      </t>
    </mdx>
    <mdx n="0" f="v">
      <t c="8">
        <n x="7" s="1"/>
        <n x="69" s="1"/>
        <n x="3" s="1"/>
        <n x="70" s="1"/>
        <n x="2" s="1"/>
        <n x="68"/>
        <n x="72"/>
        <n x="52"/>
      </t>
    </mdx>
    <mdx n="0" f="v">
      <t c="8">
        <n x="7" s="1"/>
        <n x="69" s="1"/>
        <n x="3" s="1"/>
        <n x="70" s="1"/>
        <n x="2" s="1"/>
        <n x="68"/>
        <n x="72"/>
        <n x="53"/>
      </t>
    </mdx>
    <mdx n="0" f="v">
      <t c="8">
        <n x="7" s="1"/>
        <n x="69" s="1"/>
        <n x="3" s="1"/>
        <n x="70" s="1"/>
        <n x="2" s="1"/>
        <n x="68"/>
        <n x="72"/>
        <n x="54"/>
      </t>
    </mdx>
    <mdx n="0" f="v">
      <t c="8">
        <n x="7" s="1"/>
        <n x="69" s="1"/>
        <n x="3" s="1"/>
        <n x="70" s="1"/>
        <n x="2" s="1"/>
        <n x="68"/>
        <n x="72"/>
        <n x="55"/>
      </t>
    </mdx>
    <mdx n="0" f="v">
      <t c="8">
        <n x="7" s="1"/>
        <n x="69" s="1"/>
        <n x="3" s="1"/>
        <n x="70" s="1"/>
        <n x="2" s="1"/>
        <n x="68"/>
        <n x="72"/>
        <n x="56"/>
      </t>
    </mdx>
    <mdx n="0" f="v">
      <t c="8">
        <n x="7" s="1"/>
        <n x="69" s="1"/>
        <n x="3" s="1"/>
        <n x="70" s="1"/>
        <n x="2" s="1"/>
        <n x="68"/>
        <n x="72"/>
        <n x="57"/>
      </t>
    </mdx>
    <mdx n="0" f="v">
      <t c="8">
        <n x="7" s="1"/>
        <n x="69" s="1"/>
        <n x="3" s="1"/>
        <n x="70" s="1"/>
        <n x="2" s="1"/>
        <n x="68"/>
        <n x="72"/>
        <n x="58"/>
      </t>
    </mdx>
    <mdx n="0" f="v">
      <t c="8">
        <n x="7" s="1"/>
        <n x="69" s="1"/>
        <n x="3" s="1"/>
        <n x="70" s="1"/>
        <n x="2" s="1"/>
        <n x="68"/>
        <n x="72"/>
        <n x="59"/>
      </t>
    </mdx>
    <mdx n="0" f="v">
      <t c="8">
        <n x="7" s="1"/>
        <n x="69" s="1"/>
        <n x="3" s="1"/>
        <n x="70" s="1"/>
        <n x="2" s="1"/>
        <n x="68"/>
        <n x="72"/>
        <n x="60"/>
      </t>
    </mdx>
    <mdx n="0" f="v">
      <t c="8">
        <n x="7" s="1"/>
        <n x="69" s="1"/>
        <n x="3" s="1"/>
        <n x="70" s="1"/>
        <n x="2" s="1"/>
        <n x="68"/>
        <n x="72"/>
        <n x="61"/>
      </t>
    </mdx>
    <mdx n="0" f="v">
      <t c="8">
        <n x="7" s="1"/>
        <n x="69" s="1"/>
        <n x="3" s="1"/>
        <n x="70" s="1"/>
        <n x="2" s="1"/>
        <n x="68"/>
        <n x="72"/>
        <n x="62"/>
      </t>
    </mdx>
    <mdx n="0" f="v">
      <t c="8">
        <n x="7" s="1"/>
        <n x="69" s="1"/>
        <n x="3" s="1"/>
        <n x="70" s="1"/>
        <n x="2" s="1"/>
        <n x="68"/>
        <n x="72"/>
        <n x="63"/>
      </t>
    </mdx>
    <mdx n="0" f="v">
      <t c="8">
        <n x="7" s="1"/>
        <n x="69" s="1"/>
        <n x="3" s="1"/>
        <n x="70" s="1"/>
        <n x="2" s="1"/>
        <n x="68"/>
        <n x="72"/>
        <n x="64"/>
      </t>
    </mdx>
    <mdx n="0" f="v">
      <t c="8">
        <n x="7" s="1"/>
        <n x="69" s="1"/>
        <n x="3" s="1"/>
        <n x="70" s="1"/>
        <n x="2" s="1"/>
        <n x="68"/>
        <n x="72"/>
        <n x="65"/>
      </t>
    </mdx>
    <mdx n="0" f="v">
      <t c="8">
        <n x="7" s="1"/>
        <n x="69" s="1"/>
        <n x="3" s="1"/>
        <n x="70" s="1"/>
        <n x="2" s="1"/>
        <n x="68"/>
        <n x="72"/>
        <n x="66"/>
      </t>
    </mdx>
    <mdx n="0" f="v">
      <t c="8">
        <n x="7" s="1"/>
        <n x="69" s="1"/>
        <n x="3" s="1"/>
        <n x="70" s="1"/>
        <n x="2" s="1"/>
        <n x="68"/>
        <n x="73"/>
        <n x="8"/>
      </t>
    </mdx>
    <mdx n="0" f="v">
      <t c="8">
        <n x="7" s="1"/>
        <n x="69" s="1"/>
        <n x="3" s="1"/>
        <n x="70" s="1"/>
        <n x="2" s="1"/>
        <n x="68"/>
        <n x="73"/>
        <n x="9"/>
      </t>
    </mdx>
    <mdx n="0" f="v">
      <t c="8">
        <n x="7" s="1"/>
        <n x="69" s="1"/>
        <n x="3" s="1"/>
        <n x="70" s="1"/>
        <n x="2" s="1"/>
        <n x="68"/>
        <n x="73"/>
        <n x="10"/>
      </t>
    </mdx>
    <mdx n="0" f="v">
      <t c="8">
        <n x="7" s="1"/>
        <n x="69" s="1"/>
        <n x="3" s="1"/>
        <n x="70" s="1"/>
        <n x="2" s="1"/>
        <n x="68"/>
        <n x="73"/>
        <n x="11"/>
      </t>
    </mdx>
    <mdx n="0" f="v">
      <t c="8">
        <n x="7" s="1"/>
        <n x="69" s="1"/>
        <n x="3" s="1"/>
        <n x="70" s="1"/>
        <n x="2" s="1"/>
        <n x="68"/>
        <n x="73"/>
        <n x="12"/>
      </t>
    </mdx>
    <mdx n="0" f="v">
      <t c="8">
        <n x="7" s="1"/>
        <n x="69" s="1"/>
        <n x="3" s="1"/>
        <n x="70" s="1"/>
        <n x="2" s="1"/>
        <n x="68"/>
        <n x="73"/>
        <n x="13"/>
      </t>
    </mdx>
    <mdx n="0" f="v">
      <t c="8">
        <n x="7" s="1"/>
        <n x="69" s="1"/>
        <n x="3" s="1"/>
        <n x="70" s="1"/>
        <n x="2" s="1"/>
        <n x="68"/>
        <n x="73"/>
        <n x="14"/>
      </t>
    </mdx>
    <mdx n="0" f="v">
      <t c="8">
        <n x="7" s="1"/>
        <n x="69" s="1"/>
        <n x="3" s="1"/>
        <n x="70" s="1"/>
        <n x="2" s="1"/>
        <n x="68"/>
        <n x="73"/>
        <n x="15"/>
      </t>
    </mdx>
    <mdx n="0" f="v">
      <t c="8">
        <n x="7" s="1"/>
        <n x="69" s="1"/>
        <n x="3" s="1"/>
        <n x="70" s="1"/>
        <n x="2" s="1"/>
        <n x="68"/>
        <n x="73"/>
        <n x="16"/>
      </t>
    </mdx>
    <mdx n="0" f="v">
      <t c="8">
        <n x="7" s="1"/>
        <n x="69" s="1"/>
        <n x="3" s="1"/>
        <n x="70" s="1"/>
        <n x="2" s="1"/>
        <n x="68"/>
        <n x="73"/>
        <n x="17"/>
      </t>
    </mdx>
    <mdx n="0" f="v">
      <t c="8">
        <n x="7" s="1"/>
        <n x="69" s="1"/>
        <n x="3" s="1"/>
        <n x="70" s="1"/>
        <n x="2" s="1"/>
        <n x="68"/>
        <n x="73"/>
        <n x="18"/>
      </t>
    </mdx>
    <mdx n="0" f="v">
      <t c="8">
        <n x="7" s="1"/>
        <n x="69" s="1"/>
        <n x="3" s="1"/>
        <n x="70" s="1"/>
        <n x="2" s="1"/>
        <n x="68"/>
        <n x="73"/>
        <n x="19"/>
      </t>
    </mdx>
    <mdx n="0" f="v">
      <t c="8">
        <n x="7" s="1"/>
        <n x="69" s="1"/>
        <n x="3" s="1"/>
        <n x="70" s="1"/>
        <n x="2" s="1"/>
        <n x="68"/>
        <n x="73"/>
        <n x="20"/>
      </t>
    </mdx>
    <mdx n="0" f="v">
      <t c="8">
        <n x="7" s="1"/>
        <n x="69" s="1"/>
        <n x="3" s="1"/>
        <n x="70" s="1"/>
        <n x="2" s="1"/>
        <n x="68"/>
        <n x="73"/>
        <n x="21"/>
      </t>
    </mdx>
    <mdx n="0" f="v">
      <t c="8">
        <n x="7" s="1"/>
        <n x="69" s="1"/>
        <n x="3" s="1"/>
        <n x="70" s="1"/>
        <n x="2" s="1"/>
        <n x="68"/>
        <n x="73"/>
        <n x="22"/>
      </t>
    </mdx>
    <mdx n="0" f="v">
      <t c="8">
        <n x="7" s="1"/>
        <n x="69" s="1"/>
        <n x="3" s="1"/>
        <n x="70" s="1"/>
        <n x="2" s="1"/>
        <n x="68"/>
        <n x="73"/>
        <n x="23"/>
      </t>
    </mdx>
    <mdx n="0" f="v">
      <t c="8">
        <n x="7" s="1"/>
        <n x="69" s="1"/>
        <n x="3" s="1"/>
        <n x="70" s="1"/>
        <n x="2" s="1"/>
        <n x="68"/>
        <n x="73"/>
        <n x="24"/>
      </t>
    </mdx>
    <mdx n="0" f="v">
      <t c="8">
        <n x="7" s="1"/>
        <n x="69" s="1"/>
        <n x="3" s="1"/>
        <n x="70" s="1"/>
        <n x="2" s="1"/>
        <n x="68"/>
        <n x="73"/>
        <n x="25"/>
      </t>
    </mdx>
    <mdx n="0" f="v">
      <t c="8">
        <n x="7" s="1"/>
        <n x="69" s="1"/>
        <n x="3" s="1"/>
        <n x="70" s="1"/>
        <n x="2" s="1"/>
        <n x="68"/>
        <n x="73"/>
        <n x="26"/>
      </t>
    </mdx>
    <mdx n="0" f="v">
      <t c="8">
        <n x="7" s="1"/>
        <n x="69" s="1"/>
        <n x="3" s="1"/>
        <n x="70" s="1"/>
        <n x="2" s="1"/>
        <n x="68"/>
        <n x="73"/>
        <n x="27"/>
      </t>
    </mdx>
    <mdx n="0" f="v">
      <t c="8">
        <n x="7" s="1"/>
        <n x="69" s="1"/>
        <n x="3" s="1"/>
        <n x="70" s="1"/>
        <n x="2" s="1"/>
        <n x="68"/>
        <n x="73"/>
        <n x="28"/>
      </t>
    </mdx>
    <mdx n="0" f="v">
      <t c="8">
        <n x="7" s="1"/>
        <n x="69" s="1"/>
        <n x="3" s="1"/>
        <n x="70" s="1"/>
        <n x="2" s="1"/>
        <n x="68"/>
        <n x="73"/>
        <n x="29"/>
      </t>
    </mdx>
    <mdx n="0" f="v">
      <t c="8">
        <n x="7" s="1"/>
        <n x="69" s="1"/>
        <n x="3" s="1"/>
        <n x="70" s="1"/>
        <n x="2" s="1"/>
        <n x="68"/>
        <n x="73"/>
        <n x="30"/>
      </t>
    </mdx>
    <mdx n="0" f="v">
      <t c="8">
        <n x="7" s="1"/>
        <n x="69" s="1"/>
        <n x="3" s="1"/>
        <n x="70" s="1"/>
        <n x="2" s="1"/>
        <n x="68"/>
        <n x="73"/>
        <n x="31"/>
      </t>
    </mdx>
    <mdx n="0" f="v">
      <t c="8">
        <n x="7" s="1"/>
        <n x="69" s="1"/>
        <n x="3" s="1"/>
        <n x="70" s="1"/>
        <n x="2" s="1"/>
        <n x="68"/>
        <n x="73"/>
        <n x="32"/>
      </t>
    </mdx>
    <mdx n="0" f="v">
      <t c="8">
        <n x="7" s="1"/>
        <n x="69" s="1"/>
        <n x="3" s="1"/>
        <n x="70" s="1"/>
        <n x="2" s="1"/>
        <n x="68"/>
        <n x="73"/>
        <n x="33"/>
      </t>
    </mdx>
    <mdx n="0" f="v">
      <t c="8">
        <n x="7" s="1"/>
        <n x="69" s="1"/>
        <n x="3" s="1"/>
        <n x="70" s="1"/>
        <n x="2" s="1"/>
        <n x="68"/>
        <n x="73"/>
        <n x="34"/>
      </t>
    </mdx>
    <mdx n="0" f="v">
      <t c="8">
        <n x="7" s="1"/>
        <n x="69" s="1"/>
        <n x="3" s="1"/>
        <n x="70" s="1"/>
        <n x="2" s="1"/>
        <n x="68"/>
        <n x="73"/>
        <n x="35"/>
      </t>
    </mdx>
    <mdx n="0" f="v">
      <t c="8">
        <n x="7" s="1"/>
        <n x="69" s="1"/>
        <n x="3" s="1"/>
        <n x="70" s="1"/>
        <n x="2" s="1"/>
        <n x="68"/>
        <n x="73"/>
        <n x="36"/>
      </t>
    </mdx>
    <mdx n="0" f="v">
      <t c="8">
        <n x="7" s="1"/>
        <n x="69" s="1"/>
        <n x="3" s="1"/>
        <n x="70" s="1"/>
        <n x="2" s="1"/>
        <n x="68"/>
        <n x="73"/>
        <n x="37"/>
      </t>
    </mdx>
    <mdx n="0" f="v">
      <t c="8">
        <n x="7" s="1"/>
        <n x="69" s="1"/>
        <n x="3" s="1"/>
        <n x="70" s="1"/>
        <n x="2" s="1"/>
        <n x="68"/>
        <n x="73"/>
        <n x="38"/>
      </t>
    </mdx>
    <mdx n="0" f="v">
      <t c="8">
        <n x="7" s="1"/>
        <n x="69" s="1"/>
        <n x="3" s="1"/>
        <n x="70" s="1"/>
        <n x="2" s="1"/>
        <n x="68"/>
        <n x="73"/>
        <n x="39"/>
      </t>
    </mdx>
    <mdx n="0" f="v">
      <t c="8">
        <n x="7" s="1"/>
        <n x="69" s="1"/>
        <n x="3" s="1"/>
        <n x="70" s="1"/>
        <n x="2" s="1"/>
        <n x="68"/>
        <n x="73"/>
        <n x="40"/>
      </t>
    </mdx>
    <mdx n="0" f="v">
      <t c="8">
        <n x="7" s="1"/>
        <n x="69" s="1"/>
        <n x="3" s="1"/>
        <n x="70" s="1"/>
        <n x="2" s="1"/>
        <n x="68"/>
        <n x="73"/>
        <n x="41"/>
      </t>
    </mdx>
    <mdx n="0" f="v">
      <t c="8">
        <n x="7" s="1"/>
        <n x="69" s="1"/>
        <n x="3" s="1"/>
        <n x="70" s="1"/>
        <n x="2" s="1"/>
        <n x="68"/>
        <n x="73"/>
        <n x="42"/>
      </t>
    </mdx>
    <mdx n="0" f="v">
      <t c="8">
        <n x="7" s="1"/>
        <n x="69" s="1"/>
        <n x="3" s="1"/>
        <n x="70" s="1"/>
        <n x="2" s="1"/>
        <n x="68"/>
        <n x="73"/>
        <n x="43"/>
      </t>
    </mdx>
    <mdx n="0" f="v">
      <t c="8">
        <n x="7" s="1"/>
        <n x="69" s="1"/>
        <n x="3" s="1"/>
        <n x="70" s="1"/>
        <n x="2" s="1"/>
        <n x="68"/>
        <n x="73"/>
        <n x="44"/>
      </t>
    </mdx>
    <mdx n="0" f="v">
      <t c="8">
        <n x="7" s="1"/>
        <n x="69" s="1"/>
        <n x="3" s="1"/>
        <n x="70" s="1"/>
        <n x="2" s="1"/>
        <n x="68"/>
        <n x="73"/>
        <n x="45"/>
      </t>
    </mdx>
    <mdx n="0" f="v">
      <t c="8">
        <n x="7" s="1"/>
        <n x="69" s="1"/>
        <n x="3" s="1"/>
        <n x="70" s="1"/>
        <n x="2" s="1"/>
        <n x="68"/>
        <n x="73"/>
        <n x="46"/>
      </t>
    </mdx>
    <mdx n="0" f="v">
      <t c="8">
        <n x="7" s="1"/>
        <n x="69" s="1"/>
        <n x="3" s="1"/>
        <n x="70" s="1"/>
        <n x="2" s="1"/>
        <n x="68"/>
        <n x="73"/>
        <n x="47"/>
      </t>
    </mdx>
    <mdx n="0" f="v">
      <t c="8">
        <n x="7" s="1"/>
        <n x="69" s="1"/>
        <n x="3" s="1"/>
        <n x="70" s="1"/>
        <n x="2" s="1"/>
        <n x="68"/>
        <n x="73"/>
        <n x="48"/>
      </t>
    </mdx>
    <mdx n="0" f="v">
      <t c="8">
        <n x="7" s="1"/>
        <n x="69" s="1"/>
        <n x="3" s="1"/>
        <n x="70" s="1"/>
        <n x="2" s="1"/>
        <n x="68"/>
        <n x="73"/>
        <n x="49"/>
      </t>
    </mdx>
    <mdx n="0" f="v">
      <t c="8">
        <n x="7" s="1"/>
        <n x="69" s="1"/>
        <n x="3" s="1"/>
        <n x="70" s="1"/>
        <n x="2" s="1"/>
        <n x="68"/>
        <n x="73"/>
        <n x="50"/>
      </t>
    </mdx>
    <mdx n="0" f="v">
      <t c="8">
        <n x="7" s="1"/>
        <n x="69" s="1"/>
        <n x="3" s="1"/>
        <n x="70" s="1"/>
        <n x="2" s="1"/>
        <n x="68"/>
        <n x="73"/>
        <n x="51"/>
      </t>
    </mdx>
    <mdx n="0" f="v">
      <t c="8">
        <n x="7" s="1"/>
        <n x="69" s="1"/>
        <n x="3" s="1"/>
        <n x="70" s="1"/>
        <n x="2" s="1"/>
        <n x="68"/>
        <n x="73"/>
        <n x="52"/>
      </t>
    </mdx>
    <mdx n="0" f="v">
      <t c="8">
        <n x="7" s="1"/>
        <n x="69" s="1"/>
        <n x="3" s="1"/>
        <n x="70" s="1"/>
        <n x="2" s="1"/>
        <n x="68"/>
        <n x="73"/>
        <n x="53"/>
      </t>
    </mdx>
    <mdx n="0" f="v">
      <t c="8">
        <n x="7" s="1"/>
        <n x="69" s="1"/>
        <n x="3" s="1"/>
        <n x="70" s="1"/>
        <n x="2" s="1"/>
        <n x="68"/>
        <n x="73"/>
        <n x="54"/>
      </t>
    </mdx>
    <mdx n="0" f="v">
      <t c="8">
        <n x="7" s="1"/>
        <n x="69" s="1"/>
        <n x="3" s="1"/>
        <n x="70" s="1"/>
        <n x="2" s="1"/>
        <n x="68"/>
        <n x="73"/>
        <n x="55"/>
      </t>
    </mdx>
    <mdx n="0" f="v">
      <t c="8">
        <n x="7" s="1"/>
        <n x="69" s="1"/>
        <n x="3" s="1"/>
        <n x="70" s="1"/>
        <n x="2" s="1"/>
        <n x="68"/>
        <n x="73"/>
        <n x="56"/>
      </t>
    </mdx>
    <mdx n="0" f="v">
      <t c="8">
        <n x="7" s="1"/>
        <n x="69" s="1"/>
        <n x="3" s="1"/>
        <n x="70" s="1"/>
        <n x="2" s="1"/>
        <n x="68"/>
        <n x="73"/>
        <n x="57"/>
      </t>
    </mdx>
    <mdx n="0" f="v">
      <t c="8">
        <n x="7" s="1"/>
        <n x="69" s="1"/>
        <n x="3" s="1"/>
        <n x="70" s="1"/>
        <n x="2" s="1"/>
        <n x="68"/>
        <n x="73"/>
        <n x="58"/>
      </t>
    </mdx>
    <mdx n="0" f="v">
      <t c="8">
        <n x="7" s="1"/>
        <n x="69" s="1"/>
        <n x="3" s="1"/>
        <n x="70" s="1"/>
        <n x="2" s="1"/>
        <n x="68"/>
        <n x="73"/>
        <n x="59"/>
      </t>
    </mdx>
    <mdx n="0" f="v">
      <t c="8">
        <n x="7" s="1"/>
        <n x="69" s="1"/>
        <n x="3" s="1"/>
        <n x="70" s="1"/>
        <n x="2" s="1"/>
        <n x="68"/>
        <n x="73"/>
        <n x="60"/>
      </t>
    </mdx>
    <mdx n="0" f="v">
      <t c="8">
        <n x="7" s="1"/>
        <n x="69" s="1"/>
        <n x="3" s="1"/>
        <n x="70" s="1"/>
        <n x="2" s="1"/>
        <n x="68"/>
        <n x="73"/>
        <n x="61"/>
      </t>
    </mdx>
    <mdx n="0" f="v">
      <t c="8">
        <n x="7" s="1"/>
        <n x="69" s="1"/>
        <n x="3" s="1"/>
        <n x="70" s="1"/>
        <n x="2" s="1"/>
        <n x="68"/>
        <n x="73"/>
        <n x="62"/>
      </t>
    </mdx>
    <mdx n="0" f="v">
      <t c="8">
        <n x="7" s="1"/>
        <n x="69" s="1"/>
        <n x="3" s="1"/>
        <n x="70" s="1"/>
        <n x="2" s="1"/>
        <n x="68"/>
        <n x="73"/>
        <n x="63"/>
      </t>
    </mdx>
    <mdx n="0" f="v">
      <t c="8">
        <n x="7" s="1"/>
        <n x="69" s="1"/>
        <n x="3" s="1"/>
        <n x="70" s="1"/>
        <n x="2" s="1"/>
        <n x="68"/>
        <n x="73"/>
        <n x="64"/>
      </t>
    </mdx>
    <mdx n="0" f="v">
      <t c="8">
        <n x="7" s="1"/>
        <n x="69" s="1"/>
        <n x="3" s="1"/>
        <n x="70" s="1"/>
        <n x="2" s="1"/>
        <n x="68"/>
        <n x="73"/>
        <n x="65"/>
      </t>
    </mdx>
    <mdx n="0" f="v">
      <t c="8">
        <n x="7" s="1"/>
        <n x="69" s="1"/>
        <n x="3" s="1"/>
        <n x="70" s="1"/>
        <n x="2" s="1"/>
        <n x="68"/>
        <n x="73"/>
        <n x="66"/>
      </t>
    </mdx>
    <mdx n="0" f="v">
      <t c="8">
        <n x="7" s="1"/>
        <n x="69" s="1"/>
        <n x="3" s="1"/>
        <n x="70" s="1"/>
        <n x="2" s="1"/>
        <n x="68"/>
        <n x="74"/>
        <n x="8"/>
      </t>
    </mdx>
    <mdx n="0" f="v">
      <t c="8">
        <n x="7" s="1"/>
        <n x="69" s="1"/>
        <n x="3" s="1"/>
        <n x="70" s="1"/>
        <n x="2" s="1"/>
        <n x="68"/>
        <n x="74"/>
        <n x="9"/>
      </t>
    </mdx>
    <mdx n="0" f="v">
      <t c="8">
        <n x="7" s="1"/>
        <n x="69" s="1"/>
        <n x="3" s="1"/>
        <n x="70" s="1"/>
        <n x="2" s="1"/>
        <n x="68"/>
        <n x="74"/>
        <n x="10"/>
      </t>
    </mdx>
    <mdx n="0" f="v">
      <t c="8">
        <n x="7" s="1"/>
        <n x="69" s="1"/>
        <n x="3" s="1"/>
        <n x="70" s="1"/>
        <n x="2" s="1"/>
        <n x="68"/>
        <n x="74"/>
        <n x="11"/>
      </t>
    </mdx>
    <mdx n="0" f="v">
      <t c="8">
        <n x="7" s="1"/>
        <n x="69" s="1"/>
        <n x="3" s="1"/>
        <n x="70" s="1"/>
        <n x="2" s="1"/>
        <n x="68"/>
        <n x="74"/>
        <n x="12"/>
      </t>
    </mdx>
    <mdx n="0" f="v">
      <t c="8">
        <n x="7" s="1"/>
        <n x="69" s="1"/>
        <n x="3" s="1"/>
        <n x="70" s="1"/>
        <n x="2" s="1"/>
        <n x="68"/>
        <n x="74"/>
        <n x="13"/>
      </t>
    </mdx>
    <mdx n="0" f="v">
      <t c="8">
        <n x="7" s="1"/>
        <n x="69" s="1"/>
        <n x="3" s="1"/>
        <n x="70" s="1"/>
        <n x="2" s="1"/>
        <n x="68"/>
        <n x="74"/>
        <n x="14"/>
      </t>
    </mdx>
    <mdx n="0" f="v">
      <t c="8">
        <n x="7" s="1"/>
        <n x="69" s="1"/>
        <n x="3" s="1"/>
        <n x="70" s="1"/>
        <n x="2" s="1"/>
        <n x="68"/>
        <n x="74"/>
        <n x="15"/>
      </t>
    </mdx>
    <mdx n="0" f="v">
      <t c="8">
        <n x="7" s="1"/>
        <n x="69" s="1"/>
        <n x="3" s="1"/>
        <n x="70" s="1"/>
        <n x="2" s="1"/>
        <n x="68"/>
        <n x="74"/>
        <n x="16"/>
      </t>
    </mdx>
    <mdx n="0" f="v">
      <t c="8">
        <n x="7" s="1"/>
        <n x="69" s="1"/>
        <n x="3" s="1"/>
        <n x="70" s="1"/>
        <n x="2" s="1"/>
        <n x="68"/>
        <n x="74"/>
        <n x="17"/>
      </t>
    </mdx>
    <mdx n="0" f="v">
      <t c="8">
        <n x="7" s="1"/>
        <n x="69" s="1"/>
        <n x="3" s="1"/>
        <n x="70" s="1"/>
        <n x="2" s="1"/>
        <n x="68"/>
        <n x="74"/>
        <n x="18"/>
      </t>
    </mdx>
    <mdx n="0" f="v">
      <t c="8">
        <n x="7" s="1"/>
        <n x="69" s="1"/>
        <n x="3" s="1"/>
        <n x="70" s="1"/>
        <n x="2" s="1"/>
        <n x="68"/>
        <n x="74"/>
        <n x="19"/>
      </t>
    </mdx>
    <mdx n="0" f="v">
      <t c="8">
        <n x="7" s="1"/>
        <n x="69" s="1"/>
        <n x="3" s="1"/>
        <n x="70" s="1"/>
        <n x="2" s="1"/>
        <n x="68"/>
        <n x="74"/>
        <n x="20"/>
      </t>
    </mdx>
    <mdx n="0" f="v">
      <t c="8">
        <n x="7" s="1"/>
        <n x="69" s="1"/>
        <n x="3" s="1"/>
        <n x="70" s="1"/>
        <n x="2" s="1"/>
        <n x="68"/>
        <n x="74"/>
        <n x="21"/>
      </t>
    </mdx>
    <mdx n="0" f="v">
      <t c="8">
        <n x="7" s="1"/>
        <n x="69" s="1"/>
        <n x="3" s="1"/>
        <n x="70" s="1"/>
        <n x="2" s="1"/>
        <n x="68"/>
        <n x="74"/>
        <n x="22"/>
      </t>
    </mdx>
    <mdx n="0" f="v">
      <t c="8">
        <n x="7" s="1"/>
        <n x="69" s="1"/>
        <n x="3" s="1"/>
        <n x="70" s="1"/>
        <n x="2" s="1"/>
        <n x="68"/>
        <n x="74"/>
        <n x="23"/>
      </t>
    </mdx>
    <mdx n="0" f="v">
      <t c="8">
        <n x="7" s="1"/>
        <n x="69" s="1"/>
        <n x="3" s="1"/>
        <n x="70" s="1"/>
        <n x="2" s="1"/>
        <n x="68"/>
        <n x="74"/>
        <n x="24"/>
      </t>
    </mdx>
    <mdx n="0" f="v">
      <t c="8">
        <n x="7" s="1"/>
        <n x="69" s="1"/>
        <n x="3" s="1"/>
        <n x="70" s="1"/>
        <n x="2" s="1"/>
        <n x="68"/>
        <n x="74"/>
        <n x="25"/>
      </t>
    </mdx>
    <mdx n="0" f="v">
      <t c="8">
        <n x="7" s="1"/>
        <n x="69" s="1"/>
        <n x="3" s="1"/>
        <n x="70" s="1"/>
        <n x="2" s="1"/>
        <n x="68"/>
        <n x="74"/>
        <n x="26"/>
      </t>
    </mdx>
    <mdx n="0" f="v">
      <t c="8">
        <n x="7" s="1"/>
        <n x="69" s="1"/>
        <n x="3" s="1"/>
        <n x="70" s="1"/>
        <n x="2" s="1"/>
        <n x="68"/>
        <n x="74"/>
        <n x="27"/>
      </t>
    </mdx>
    <mdx n="0" f="v">
      <t c="8">
        <n x="7" s="1"/>
        <n x="69" s="1"/>
        <n x="3" s="1"/>
        <n x="70" s="1"/>
        <n x="2" s="1"/>
        <n x="68"/>
        <n x="74"/>
        <n x="28"/>
      </t>
    </mdx>
    <mdx n="0" f="v">
      <t c="8">
        <n x="7" s="1"/>
        <n x="69" s="1"/>
        <n x="3" s="1"/>
        <n x="70" s="1"/>
        <n x="2" s="1"/>
        <n x="68"/>
        <n x="74"/>
        <n x="29"/>
      </t>
    </mdx>
    <mdx n="0" f="v">
      <t c="8">
        <n x="7" s="1"/>
        <n x="69" s="1"/>
        <n x="3" s="1"/>
        <n x="70" s="1"/>
        <n x="2" s="1"/>
        <n x="68"/>
        <n x="74"/>
        <n x="30"/>
      </t>
    </mdx>
    <mdx n="0" f="v">
      <t c="8">
        <n x="7" s="1"/>
        <n x="69" s="1"/>
        <n x="3" s="1"/>
        <n x="70" s="1"/>
        <n x="2" s="1"/>
        <n x="68"/>
        <n x="74"/>
        <n x="31"/>
      </t>
    </mdx>
    <mdx n="0" f="v">
      <t c="8">
        <n x="7" s="1"/>
        <n x="69" s="1"/>
        <n x="3" s="1"/>
        <n x="70" s="1"/>
        <n x="2" s="1"/>
        <n x="68"/>
        <n x="74"/>
        <n x="32"/>
      </t>
    </mdx>
    <mdx n="0" f="v">
      <t c="8">
        <n x="7" s="1"/>
        <n x="69" s="1"/>
        <n x="3" s="1"/>
        <n x="70" s="1"/>
        <n x="2" s="1"/>
        <n x="68"/>
        <n x="74"/>
        <n x="33"/>
      </t>
    </mdx>
    <mdx n="0" f="v">
      <t c="8">
        <n x="7" s="1"/>
        <n x="69" s="1"/>
        <n x="3" s="1"/>
        <n x="70" s="1"/>
        <n x="2" s="1"/>
        <n x="68"/>
        <n x="74"/>
        <n x="34"/>
      </t>
    </mdx>
    <mdx n="0" f="v">
      <t c="8">
        <n x="7" s="1"/>
        <n x="69" s="1"/>
        <n x="3" s="1"/>
        <n x="70" s="1"/>
        <n x="2" s="1"/>
        <n x="68"/>
        <n x="74"/>
        <n x="35"/>
      </t>
    </mdx>
    <mdx n="0" f="v">
      <t c="8">
        <n x="7" s="1"/>
        <n x="69" s="1"/>
        <n x="3" s="1"/>
        <n x="70" s="1"/>
        <n x="2" s="1"/>
        <n x="68"/>
        <n x="74"/>
        <n x="36"/>
      </t>
    </mdx>
    <mdx n="0" f="v">
      <t c="8">
        <n x="7" s="1"/>
        <n x="69" s="1"/>
        <n x="3" s="1"/>
        <n x="70" s="1"/>
        <n x="2" s="1"/>
        <n x="68"/>
        <n x="74"/>
        <n x="37"/>
      </t>
    </mdx>
    <mdx n="0" f="v">
      <t c="8">
        <n x="7" s="1"/>
        <n x="69" s="1"/>
        <n x="3" s="1"/>
        <n x="70" s="1"/>
        <n x="2" s="1"/>
        <n x="68"/>
        <n x="74"/>
        <n x="38"/>
      </t>
    </mdx>
    <mdx n="0" f="v">
      <t c="8">
        <n x="7" s="1"/>
        <n x="69" s="1"/>
        <n x="3" s="1"/>
        <n x="70" s="1"/>
        <n x="2" s="1"/>
        <n x="68"/>
        <n x="74"/>
        <n x="39"/>
      </t>
    </mdx>
    <mdx n="0" f="v">
      <t c="8">
        <n x="7" s="1"/>
        <n x="69" s="1"/>
        <n x="3" s="1"/>
        <n x="70" s="1"/>
        <n x="2" s="1"/>
        <n x="68"/>
        <n x="74"/>
        <n x="40"/>
      </t>
    </mdx>
    <mdx n="0" f="v">
      <t c="8">
        <n x="7" s="1"/>
        <n x="69" s="1"/>
        <n x="3" s="1"/>
        <n x="70" s="1"/>
        <n x="2" s="1"/>
        <n x="68"/>
        <n x="74"/>
        <n x="41"/>
      </t>
    </mdx>
    <mdx n="0" f="v">
      <t c="8">
        <n x="7" s="1"/>
        <n x="69" s="1"/>
        <n x="3" s="1"/>
        <n x="70" s="1"/>
        <n x="2" s="1"/>
        <n x="68"/>
        <n x="74"/>
        <n x="42"/>
      </t>
    </mdx>
    <mdx n="0" f="v">
      <t c="8">
        <n x="7" s="1"/>
        <n x="69" s="1"/>
        <n x="3" s="1"/>
        <n x="70" s="1"/>
        <n x="2" s="1"/>
        <n x="68"/>
        <n x="74"/>
        <n x="43"/>
      </t>
    </mdx>
    <mdx n="0" f="v">
      <t c="8">
        <n x="7" s="1"/>
        <n x="69" s="1"/>
        <n x="3" s="1"/>
        <n x="70" s="1"/>
        <n x="2" s="1"/>
        <n x="68"/>
        <n x="74"/>
        <n x="44"/>
      </t>
    </mdx>
    <mdx n="0" f="v">
      <t c="8">
        <n x="7" s="1"/>
        <n x="69" s="1"/>
        <n x="3" s="1"/>
        <n x="70" s="1"/>
        <n x="2" s="1"/>
        <n x="68"/>
        <n x="74"/>
        <n x="45"/>
      </t>
    </mdx>
    <mdx n="0" f="v">
      <t c="8">
        <n x="7" s="1"/>
        <n x="69" s="1"/>
        <n x="3" s="1"/>
        <n x="70" s="1"/>
        <n x="2" s="1"/>
        <n x="68"/>
        <n x="74"/>
        <n x="46"/>
      </t>
    </mdx>
    <mdx n="0" f="v">
      <t c="8">
        <n x="7" s="1"/>
        <n x="69" s="1"/>
        <n x="3" s="1"/>
        <n x="70" s="1"/>
        <n x="2" s="1"/>
        <n x="68"/>
        <n x="74"/>
        <n x="47"/>
      </t>
    </mdx>
    <mdx n="0" f="v">
      <t c="8">
        <n x="7" s="1"/>
        <n x="69" s="1"/>
        <n x="3" s="1"/>
        <n x="70" s="1"/>
        <n x="2" s="1"/>
        <n x="68"/>
        <n x="74"/>
        <n x="48"/>
      </t>
    </mdx>
    <mdx n="0" f="v">
      <t c="8">
        <n x="7" s="1"/>
        <n x="69" s="1"/>
        <n x="3" s="1"/>
        <n x="70" s="1"/>
        <n x="2" s="1"/>
        <n x="68"/>
        <n x="74"/>
        <n x="49"/>
      </t>
    </mdx>
    <mdx n="0" f="v">
      <t c="8">
        <n x="7" s="1"/>
        <n x="69" s="1"/>
        <n x="3" s="1"/>
        <n x="70" s="1"/>
        <n x="2" s="1"/>
        <n x="68"/>
        <n x="74"/>
        <n x="50"/>
      </t>
    </mdx>
    <mdx n="0" f="v">
      <t c="8">
        <n x="7" s="1"/>
        <n x="69" s="1"/>
        <n x="3" s="1"/>
        <n x="70" s="1"/>
        <n x="2" s="1"/>
        <n x="68"/>
        <n x="74"/>
        <n x="51"/>
      </t>
    </mdx>
    <mdx n="0" f="v">
      <t c="8">
        <n x="7" s="1"/>
        <n x="69" s="1"/>
        <n x="3" s="1"/>
        <n x="70" s="1"/>
        <n x="2" s="1"/>
        <n x="68"/>
        <n x="74"/>
        <n x="52"/>
      </t>
    </mdx>
    <mdx n="0" f="v">
      <t c="8">
        <n x="7" s="1"/>
        <n x="69" s="1"/>
        <n x="3" s="1"/>
        <n x="70" s="1"/>
        <n x="2" s="1"/>
        <n x="68"/>
        <n x="74"/>
        <n x="53"/>
      </t>
    </mdx>
    <mdx n="0" f="v">
      <t c="8">
        <n x="7" s="1"/>
        <n x="69" s="1"/>
        <n x="3" s="1"/>
        <n x="70" s="1"/>
        <n x="2" s="1"/>
        <n x="68"/>
        <n x="74"/>
        <n x="54"/>
      </t>
    </mdx>
    <mdx n="0" f="v">
      <t c="8">
        <n x="7" s="1"/>
        <n x="69" s="1"/>
        <n x="3" s="1"/>
        <n x="70" s="1"/>
        <n x="2" s="1"/>
        <n x="68"/>
        <n x="74"/>
        <n x="55"/>
      </t>
    </mdx>
    <mdx n="0" f="v">
      <t c="8">
        <n x="7" s="1"/>
        <n x="69" s="1"/>
        <n x="3" s="1"/>
        <n x="70" s="1"/>
        <n x="2" s="1"/>
        <n x="68"/>
        <n x="74"/>
        <n x="56"/>
      </t>
    </mdx>
    <mdx n="0" f="v">
      <t c="8">
        <n x="7" s="1"/>
        <n x="69" s="1"/>
        <n x="3" s="1"/>
        <n x="70" s="1"/>
        <n x="2" s="1"/>
        <n x="68"/>
        <n x="74"/>
        <n x="57"/>
      </t>
    </mdx>
    <mdx n="0" f="v">
      <t c="8">
        <n x="7" s="1"/>
        <n x="69" s="1"/>
        <n x="3" s="1"/>
        <n x="70" s="1"/>
        <n x="2" s="1"/>
        <n x="68"/>
        <n x="74"/>
        <n x="58"/>
      </t>
    </mdx>
    <mdx n="0" f="v">
      <t c="8">
        <n x="7" s="1"/>
        <n x="69" s="1"/>
        <n x="3" s="1"/>
        <n x="70" s="1"/>
        <n x="2" s="1"/>
        <n x="68"/>
        <n x="74"/>
        <n x="59"/>
      </t>
    </mdx>
    <mdx n="0" f="v">
      <t c="8">
        <n x="7" s="1"/>
        <n x="69" s="1"/>
        <n x="3" s="1"/>
        <n x="70" s="1"/>
        <n x="2" s="1"/>
        <n x="68"/>
        <n x="74"/>
        <n x="60"/>
      </t>
    </mdx>
    <mdx n="0" f="v">
      <t c="8">
        <n x="7" s="1"/>
        <n x="69" s="1"/>
        <n x="3" s="1"/>
        <n x="70" s="1"/>
        <n x="2" s="1"/>
        <n x="68"/>
        <n x="74"/>
        <n x="61"/>
      </t>
    </mdx>
    <mdx n="0" f="v">
      <t c="8">
        <n x="7" s="1"/>
        <n x="69" s="1"/>
        <n x="3" s="1"/>
        <n x="70" s="1"/>
        <n x="2" s="1"/>
        <n x="68"/>
        <n x="74"/>
        <n x="62"/>
      </t>
    </mdx>
    <mdx n="0" f="v">
      <t c="8">
        <n x="7" s="1"/>
        <n x="69" s="1"/>
        <n x="3" s="1"/>
        <n x="70" s="1"/>
        <n x="2" s="1"/>
        <n x="68"/>
        <n x="74"/>
        <n x="63"/>
      </t>
    </mdx>
    <mdx n="0" f="v">
      <t c="8">
        <n x="7" s="1"/>
        <n x="69" s="1"/>
        <n x="3" s="1"/>
        <n x="70" s="1"/>
        <n x="2" s="1"/>
        <n x="68"/>
        <n x="74"/>
        <n x="64"/>
      </t>
    </mdx>
    <mdx n="0" f="v">
      <t c="8">
        <n x="7" s="1"/>
        <n x="69" s="1"/>
        <n x="3" s="1"/>
        <n x="70" s="1"/>
        <n x="2" s="1"/>
        <n x="68"/>
        <n x="74"/>
        <n x="65"/>
      </t>
    </mdx>
    <mdx n="0" f="v">
      <t c="8">
        <n x="7" s="1"/>
        <n x="69" s="1"/>
        <n x="3" s="1"/>
        <n x="70" s="1"/>
        <n x="2" s="1"/>
        <n x="68"/>
        <n x="74"/>
        <n x="66"/>
      </t>
    </mdx>
    <mdx n="0" f="v">
      <t c="8">
        <n x="7" s="1"/>
        <n x="69" s="1"/>
        <n x="3" s="1"/>
        <n x="70" s="1"/>
        <n x="2" s="1"/>
        <n x="68"/>
        <n x="75"/>
        <n x="8"/>
      </t>
    </mdx>
    <mdx n="0" f="v">
      <t c="8">
        <n x="7" s="1"/>
        <n x="69" s="1"/>
        <n x="3" s="1"/>
        <n x="70" s="1"/>
        <n x="2" s="1"/>
        <n x="68"/>
        <n x="75"/>
        <n x="9"/>
      </t>
    </mdx>
    <mdx n="0" f="v">
      <t c="8">
        <n x="7" s="1"/>
        <n x="69" s="1"/>
        <n x="3" s="1"/>
        <n x="70" s="1"/>
        <n x="2" s="1"/>
        <n x="68"/>
        <n x="75"/>
        <n x="10"/>
      </t>
    </mdx>
    <mdx n="0" f="v">
      <t c="8">
        <n x="7" s="1"/>
        <n x="69" s="1"/>
        <n x="3" s="1"/>
        <n x="70" s="1"/>
        <n x="2" s="1"/>
        <n x="68"/>
        <n x="75"/>
        <n x="11"/>
      </t>
    </mdx>
    <mdx n="0" f="v">
      <t c="8">
        <n x="7" s="1"/>
        <n x="69" s="1"/>
        <n x="3" s="1"/>
        <n x="70" s="1"/>
        <n x="2" s="1"/>
        <n x="68"/>
        <n x="75"/>
        <n x="12"/>
      </t>
    </mdx>
    <mdx n="0" f="v">
      <t c="8">
        <n x="7" s="1"/>
        <n x="69" s="1"/>
        <n x="3" s="1"/>
        <n x="70" s="1"/>
        <n x="2" s="1"/>
        <n x="68"/>
        <n x="75"/>
        <n x="13"/>
      </t>
    </mdx>
    <mdx n="0" f="v">
      <t c="8">
        <n x="7" s="1"/>
        <n x="69" s="1"/>
        <n x="3" s="1"/>
        <n x="70" s="1"/>
        <n x="2" s="1"/>
        <n x="68"/>
        <n x="75"/>
        <n x="14"/>
      </t>
    </mdx>
    <mdx n="0" f="v">
      <t c="8">
        <n x="7" s="1"/>
        <n x="69" s="1"/>
        <n x="3" s="1"/>
        <n x="70" s="1"/>
        <n x="2" s="1"/>
        <n x="68"/>
        <n x="75"/>
        <n x="15"/>
      </t>
    </mdx>
    <mdx n="0" f="v">
      <t c="8">
        <n x="7" s="1"/>
        <n x="69" s="1"/>
        <n x="3" s="1"/>
        <n x="70" s="1"/>
        <n x="2" s="1"/>
        <n x="68"/>
        <n x="75"/>
        <n x="16"/>
      </t>
    </mdx>
    <mdx n="0" f="v">
      <t c="8">
        <n x="7" s="1"/>
        <n x="69" s="1"/>
        <n x="3" s="1"/>
        <n x="70" s="1"/>
        <n x="2" s="1"/>
        <n x="68"/>
        <n x="75"/>
        <n x="17"/>
      </t>
    </mdx>
    <mdx n="0" f="v">
      <t c="8">
        <n x="7" s="1"/>
        <n x="69" s="1"/>
        <n x="3" s="1"/>
        <n x="70" s="1"/>
        <n x="2" s="1"/>
        <n x="68"/>
        <n x="75"/>
        <n x="18"/>
      </t>
    </mdx>
    <mdx n="0" f="v">
      <t c="8">
        <n x="7" s="1"/>
        <n x="69" s="1"/>
        <n x="3" s="1"/>
        <n x="70" s="1"/>
        <n x="2" s="1"/>
        <n x="68"/>
        <n x="75"/>
        <n x="19"/>
      </t>
    </mdx>
    <mdx n="0" f="v">
      <t c="8">
        <n x="7" s="1"/>
        <n x="69" s="1"/>
        <n x="3" s="1"/>
        <n x="70" s="1"/>
        <n x="2" s="1"/>
        <n x="68"/>
        <n x="75"/>
        <n x="20"/>
      </t>
    </mdx>
    <mdx n="0" f="v">
      <t c="8">
        <n x="7" s="1"/>
        <n x="69" s="1"/>
        <n x="3" s="1"/>
        <n x="70" s="1"/>
        <n x="2" s="1"/>
        <n x="68"/>
        <n x="75"/>
        <n x="21"/>
      </t>
    </mdx>
    <mdx n="0" f="v">
      <t c="8">
        <n x="7" s="1"/>
        <n x="69" s="1"/>
        <n x="3" s="1"/>
        <n x="70" s="1"/>
        <n x="2" s="1"/>
        <n x="68"/>
        <n x="75"/>
        <n x="22"/>
      </t>
    </mdx>
    <mdx n="0" f="v">
      <t c="8">
        <n x="7" s="1"/>
        <n x="69" s="1"/>
        <n x="3" s="1"/>
        <n x="70" s="1"/>
        <n x="2" s="1"/>
        <n x="68"/>
        <n x="75"/>
        <n x="23"/>
      </t>
    </mdx>
    <mdx n="0" f="v">
      <t c="8">
        <n x="7" s="1"/>
        <n x="69" s="1"/>
        <n x="3" s="1"/>
        <n x="70" s="1"/>
        <n x="2" s="1"/>
        <n x="68"/>
        <n x="75"/>
        <n x="24"/>
      </t>
    </mdx>
    <mdx n="0" f="v">
      <t c="8">
        <n x="7" s="1"/>
        <n x="69" s="1"/>
        <n x="3" s="1"/>
        <n x="70" s="1"/>
        <n x="2" s="1"/>
        <n x="68"/>
        <n x="75"/>
        <n x="25"/>
      </t>
    </mdx>
    <mdx n="0" f="v">
      <t c="8">
        <n x="7" s="1"/>
        <n x="69" s="1"/>
        <n x="3" s="1"/>
        <n x="70" s="1"/>
        <n x="2" s="1"/>
        <n x="68"/>
        <n x="75"/>
        <n x="26"/>
      </t>
    </mdx>
    <mdx n="0" f="v">
      <t c="8">
        <n x="7" s="1"/>
        <n x="69" s="1"/>
        <n x="3" s="1"/>
        <n x="70" s="1"/>
        <n x="2" s="1"/>
        <n x="68"/>
        <n x="75"/>
        <n x="27"/>
      </t>
    </mdx>
    <mdx n="0" f="v">
      <t c="8">
        <n x="7" s="1"/>
        <n x="69" s="1"/>
        <n x="3" s="1"/>
        <n x="70" s="1"/>
        <n x="2" s="1"/>
        <n x="68"/>
        <n x="75"/>
        <n x="28"/>
      </t>
    </mdx>
    <mdx n="0" f="v">
      <t c="8">
        <n x="7" s="1"/>
        <n x="69" s="1"/>
        <n x="3" s="1"/>
        <n x="70" s="1"/>
        <n x="2" s="1"/>
        <n x="68"/>
        <n x="75"/>
        <n x="29"/>
      </t>
    </mdx>
    <mdx n="0" f="v">
      <t c="8">
        <n x="7" s="1"/>
        <n x="69" s="1"/>
        <n x="3" s="1"/>
        <n x="70" s="1"/>
        <n x="2" s="1"/>
        <n x="68"/>
        <n x="75"/>
        <n x="30"/>
      </t>
    </mdx>
    <mdx n="0" f="v">
      <t c="8">
        <n x="7" s="1"/>
        <n x="69" s="1"/>
        <n x="3" s="1"/>
        <n x="70" s="1"/>
        <n x="2" s="1"/>
        <n x="68"/>
        <n x="75"/>
        <n x="31"/>
      </t>
    </mdx>
    <mdx n="0" f="v">
      <t c="8">
        <n x="7" s="1"/>
        <n x="69" s="1"/>
        <n x="3" s="1"/>
        <n x="70" s="1"/>
        <n x="2" s="1"/>
        <n x="68"/>
        <n x="75"/>
        <n x="32"/>
      </t>
    </mdx>
    <mdx n="0" f="v">
      <t c="8">
        <n x="7" s="1"/>
        <n x="69" s="1"/>
        <n x="3" s="1"/>
        <n x="70" s="1"/>
        <n x="2" s="1"/>
        <n x="68"/>
        <n x="75"/>
        <n x="33"/>
      </t>
    </mdx>
    <mdx n="0" f="v">
      <t c="8">
        <n x="7" s="1"/>
        <n x="69" s="1"/>
        <n x="3" s="1"/>
        <n x="70" s="1"/>
        <n x="2" s="1"/>
        <n x="68"/>
        <n x="75"/>
        <n x="34"/>
      </t>
    </mdx>
    <mdx n="0" f="v">
      <t c="8">
        <n x="7" s="1"/>
        <n x="69" s="1"/>
        <n x="3" s="1"/>
        <n x="70" s="1"/>
        <n x="2" s="1"/>
        <n x="68"/>
        <n x="75"/>
        <n x="35"/>
      </t>
    </mdx>
    <mdx n="0" f="v">
      <t c="8">
        <n x="7" s="1"/>
        <n x="69" s="1"/>
        <n x="3" s="1"/>
        <n x="70" s="1"/>
        <n x="2" s="1"/>
        <n x="68"/>
        <n x="75"/>
        <n x="36"/>
      </t>
    </mdx>
    <mdx n="0" f="v">
      <t c="8">
        <n x="7" s="1"/>
        <n x="69" s="1"/>
        <n x="3" s="1"/>
        <n x="70" s="1"/>
        <n x="2" s="1"/>
        <n x="68"/>
        <n x="75"/>
        <n x="37"/>
      </t>
    </mdx>
    <mdx n="0" f="v">
      <t c="8">
        <n x="7" s="1"/>
        <n x="69" s="1"/>
        <n x="3" s="1"/>
        <n x="70" s="1"/>
        <n x="2" s="1"/>
        <n x="68"/>
        <n x="75"/>
        <n x="38"/>
      </t>
    </mdx>
    <mdx n="0" f="v">
      <t c="8">
        <n x="7" s="1"/>
        <n x="69" s="1"/>
        <n x="3" s="1"/>
        <n x="70" s="1"/>
        <n x="2" s="1"/>
        <n x="68"/>
        <n x="75"/>
        <n x="39"/>
      </t>
    </mdx>
    <mdx n="0" f="v">
      <t c="8">
        <n x="7" s="1"/>
        <n x="69" s="1"/>
        <n x="3" s="1"/>
        <n x="70" s="1"/>
        <n x="2" s="1"/>
        <n x="68"/>
        <n x="75"/>
        <n x="40"/>
      </t>
    </mdx>
    <mdx n="0" f="v">
      <t c="8">
        <n x="7" s="1"/>
        <n x="69" s="1"/>
        <n x="3" s="1"/>
        <n x="70" s="1"/>
        <n x="2" s="1"/>
        <n x="68"/>
        <n x="75"/>
        <n x="41"/>
      </t>
    </mdx>
    <mdx n="0" f="v">
      <t c="8">
        <n x="7" s="1"/>
        <n x="69" s="1"/>
        <n x="3" s="1"/>
        <n x="70" s="1"/>
        <n x="2" s="1"/>
        <n x="68"/>
        <n x="75"/>
        <n x="42"/>
      </t>
    </mdx>
    <mdx n="0" f="v">
      <t c="8">
        <n x="7" s="1"/>
        <n x="69" s="1"/>
        <n x="3" s="1"/>
        <n x="70" s="1"/>
        <n x="2" s="1"/>
        <n x="68"/>
        <n x="75"/>
        <n x="43"/>
      </t>
    </mdx>
    <mdx n="0" f="v">
      <t c="8">
        <n x="7" s="1"/>
        <n x="69" s="1"/>
        <n x="3" s="1"/>
        <n x="70" s="1"/>
        <n x="2" s="1"/>
        <n x="68"/>
        <n x="75"/>
        <n x="44"/>
      </t>
    </mdx>
    <mdx n="0" f="v">
      <t c="8">
        <n x="7" s="1"/>
        <n x="69" s="1"/>
        <n x="3" s="1"/>
        <n x="70" s="1"/>
        <n x="2" s="1"/>
        <n x="68"/>
        <n x="75"/>
        <n x="45"/>
      </t>
    </mdx>
    <mdx n="0" f="v">
      <t c="8">
        <n x="7" s="1"/>
        <n x="69" s="1"/>
        <n x="3" s="1"/>
        <n x="70" s="1"/>
        <n x="2" s="1"/>
        <n x="68"/>
        <n x="75"/>
        <n x="46"/>
      </t>
    </mdx>
    <mdx n="0" f="v">
      <t c="8">
        <n x="7" s="1"/>
        <n x="69" s="1"/>
        <n x="3" s="1"/>
        <n x="70" s="1"/>
        <n x="2" s="1"/>
        <n x="68"/>
        <n x="75"/>
        <n x="47"/>
      </t>
    </mdx>
    <mdx n="0" f="v">
      <t c="8">
        <n x="7" s="1"/>
        <n x="69" s="1"/>
        <n x="3" s="1"/>
        <n x="70" s="1"/>
        <n x="2" s="1"/>
        <n x="68"/>
        <n x="75"/>
        <n x="48"/>
      </t>
    </mdx>
    <mdx n="0" f="v">
      <t c="8">
        <n x="7" s="1"/>
        <n x="69" s="1"/>
        <n x="3" s="1"/>
        <n x="70" s="1"/>
        <n x="2" s="1"/>
        <n x="68"/>
        <n x="75"/>
        <n x="49"/>
      </t>
    </mdx>
    <mdx n="0" f="v">
      <t c="8">
        <n x="7" s="1"/>
        <n x="69" s="1"/>
        <n x="3" s="1"/>
        <n x="70" s="1"/>
        <n x="2" s="1"/>
        <n x="68"/>
        <n x="75"/>
        <n x="50"/>
      </t>
    </mdx>
    <mdx n="0" f="v">
      <t c="8">
        <n x="7" s="1"/>
        <n x="69" s="1"/>
        <n x="3" s="1"/>
        <n x="70" s="1"/>
        <n x="2" s="1"/>
        <n x="68"/>
        <n x="75"/>
        <n x="51"/>
      </t>
    </mdx>
    <mdx n="0" f="v">
      <t c="8">
        <n x="7" s="1"/>
        <n x="69" s="1"/>
        <n x="3" s="1"/>
        <n x="70" s="1"/>
        <n x="2" s="1"/>
        <n x="68"/>
        <n x="75"/>
        <n x="52"/>
      </t>
    </mdx>
    <mdx n="0" f="v">
      <t c="8">
        <n x="7" s="1"/>
        <n x="69" s="1"/>
        <n x="3" s="1"/>
        <n x="70" s="1"/>
        <n x="2" s="1"/>
        <n x="68"/>
        <n x="75"/>
        <n x="53"/>
      </t>
    </mdx>
    <mdx n="0" f="v">
      <t c="8">
        <n x="7" s="1"/>
        <n x="69" s="1"/>
        <n x="3" s="1"/>
        <n x="70" s="1"/>
        <n x="2" s="1"/>
        <n x="68"/>
        <n x="75"/>
        <n x="54"/>
      </t>
    </mdx>
    <mdx n="0" f="v">
      <t c="8">
        <n x="7" s="1"/>
        <n x="69" s="1"/>
        <n x="3" s="1"/>
        <n x="70" s="1"/>
        <n x="2" s="1"/>
        <n x="68"/>
        <n x="75"/>
        <n x="55"/>
      </t>
    </mdx>
    <mdx n="0" f="v">
      <t c="8">
        <n x="7" s="1"/>
        <n x="69" s="1"/>
        <n x="3" s="1"/>
        <n x="70" s="1"/>
        <n x="2" s="1"/>
        <n x="68"/>
        <n x="75"/>
        <n x="56"/>
      </t>
    </mdx>
    <mdx n="0" f="v">
      <t c="8">
        <n x="7" s="1"/>
        <n x="69" s="1"/>
        <n x="3" s="1"/>
        <n x="70" s="1"/>
        <n x="2" s="1"/>
        <n x="68"/>
        <n x="75"/>
        <n x="57"/>
      </t>
    </mdx>
    <mdx n="0" f="v">
      <t c="8">
        <n x="7" s="1"/>
        <n x="69" s="1"/>
        <n x="3" s="1"/>
        <n x="70" s="1"/>
        <n x="2" s="1"/>
        <n x="68"/>
        <n x="75"/>
        <n x="58"/>
      </t>
    </mdx>
    <mdx n="0" f="v">
      <t c="8">
        <n x="7" s="1"/>
        <n x="69" s="1"/>
        <n x="3" s="1"/>
        <n x="70" s="1"/>
        <n x="2" s="1"/>
        <n x="68"/>
        <n x="75"/>
        <n x="59"/>
      </t>
    </mdx>
    <mdx n="0" f="v">
      <t c="8">
        <n x="7" s="1"/>
        <n x="69" s="1"/>
        <n x="3" s="1"/>
        <n x="70" s="1"/>
        <n x="2" s="1"/>
        <n x="68"/>
        <n x="75"/>
        <n x="60"/>
      </t>
    </mdx>
    <mdx n="0" f="v">
      <t c="8">
        <n x="7" s="1"/>
        <n x="69" s="1"/>
        <n x="3" s="1"/>
        <n x="70" s="1"/>
        <n x="2" s="1"/>
        <n x="68"/>
        <n x="75"/>
        <n x="61"/>
      </t>
    </mdx>
    <mdx n="0" f="v">
      <t c="8">
        <n x="7" s="1"/>
        <n x="69" s="1"/>
        <n x="3" s="1"/>
        <n x="70" s="1"/>
        <n x="2" s="1"/>
        <n x="68"/>
        <n x="75"/>
        <n x="62"/>
      </t>
    </mdx>
    <mdx n="0" f="v">
      <t c="8">
        <n x="7" s="1"/>
        <n x="69" s="1"/>
        <n x="3" s="1"/>
        <n x="70" s="1"/>
        <n x="2" s="1"/>
        <n x="68"/>
        <n x="75"/>
        <n x="63"/>
      </t>
    </mdx>
    <mdx n="0" f="v">
      <t c="8">
        <n x="7" s="1"/>
        <n x="69" s="1"/>
        <n x="3" s="1"/>
        <n x="70" s="1"/>
        <n x="2" s="1"/>
        <n x="68"/>
        <n x="75"/>
        <n x="64"/>
      </t>
    </mdx>
    <mdx n="0" f="v">
      <t c="8">
        <n x="7" s="1"/>
        <n x="69" s="1"/>
        <n x="3" s="1"/>
        <n x="70" s="1"/>
        <n x="2" s="1"/>
        <n x="68"/>
        <n x="75"/>
        <n x="65"/>
      </t>
    </mdx>
    <mdx n="0" f="v">
      <t c="8">
        <n x="7" s="1"/>
        <n x="69" s="1"/>
        <n x="3" s="1"/>
        <n x="70" s="1"/>
        <n x="2" s="1"/>
        <n x="68"/>
        <n x="75"/>
        <n x="66"/>
      </t>
    </mdx>
    <mdx n="0" f="v">
      <t c="8">
        <n x="7" s="1"/>
        <n x="69" s="1"/>
        <n x="3" s="1"/>
        <n x="70" s="1"/>
        <n x="2" s="1"/>
        <n x="68"/>
        <n x="76"/>
        <n x="8"/>
      </t>
    </mdx>
    <mdx n="0" f="v">
      <t c="8">
        <n x="7" s="1"/>
        <n x="69" s="1"/>
        <n x="3" s="1"/>
        <n x="70" s="1"/>
        <n x="2" s="1"/>
        <n x="68"/>
        <n x="76"/>
        <n x="9"/>
      </t>
    </mdx>
    <mdx n="0" f="v">
      <t c="8">
        <n x="7" s="1"/>
        <n x="69" s="1"/>
        <n x="3" s="1"/>
        <n x="70" s="1"/>
        <n x="2" s="1"/>
        <n x="68"/>
        <n x="76"/>
        <n x="10"/>
      </t>
    </mdx>
    <mdx n="0" f="v">
      <t c="8">
        <n x="7" s="1"/>
        <n x="69" s="1"/>
        <n x="3" s="1"/>
        <n x="70" s="1"/>
        <n x="2" s="1"/>
        <n x="68"/>
        <n x="76"/>
        <n x="11"/>
      </t>
    </mdx>
    <mdx n="0" f="v">
      <t c="8">
        <n x="7" s="1"/>
        <n x="69" s="1"/>
        <n x="3" s="1"/>
        <n x="70" s="1"/>
        <n x="2" s="1"/>
        <n x="68"/>
        <n x="76"/>
        <n x="12"/>
      </t>
    </mdx>
    <mdx n="0" f="v">
      <t c="8">
        <n x="7" s="1"/>
        <n x="69" s="1"/>
        <n x="3" s="1"/>
        <n x="70" s="1"/>
        <n x="2" s="1"/>
        <n x="68"/>
        <n x="76"/>
        <n x="13"/>
      </t>
    </mdx>
    <mdx n="0" f="v">
      <t c="8">
        <n x="7" s="1"/>
        <n x="69" s="1"/>
        <n x="3" s="1"/>
        <n x="70" s="1"/>
        <n x="2" s="1"/>
        <n x="68"/>
        <n x="76"/>
        <n x="14"/>
      </t>
    </mdx>
    <mdx n="0" f="v">
      <t c="8">
        <n x="7" s="1"/>
        <n x="69" s="1"/>
        <n x="3" s="1"/>
        <n x="70" s="1"/>
        <n x="2" s="1"/>
        <n x="68"/>
        <n x="76"/>
        <n x="15"/>
      </t>
    </mdx>
    <mdx n="0" f="v">
      <t c="8">
        <n x="7" s="1"/>
        <n x="69" s="1"/>
        <n x="3" s="1"/>
        <n x="70" s="1"/>
        <n x="2" s="1"/>
        <n x="68"/>
        <n x="76"/>
        <n x="16"/>
      </t>
    </mdx>
    <mdx n="0" f="v">
      <t c="8">
        <n x="7" s="1"/>
        <n x="69" s="1"/>
        <n x="3" s="1"/>
        <n x="70" s="1"/>
        <n x="2" s="1"/>
        <n x="68"/>
        <n x="76"/>
        <n x="17"/>
      </t>
    </mdx>
    <mdx n="0" f="v">
      <t c="8">
        <n x="7" s="1"/>
        <n x="69" s="1"/>
        <n x="3" s="1"/>
        <n x="70" s="1"/>
        <n x="2" s="1"/>
        <n x="68"/>
        <n x="76"/>
        <n x="18"/>
      </t>
    </mdx>
    <mdx n="0" f="v">
      <t c="8">
        <n x="7" s="1"/>
        <n x="69" s="1"/>
        <n x="3" s="1"/>
        <n x="70" s="1"/>
        <n x="2" s="1"/>
        <n x="68"/>
        <n x="76"/>
        <n x="19"/>
      </t>
    </mdx>
    <mdx n="0" f="v">
      <t c="8">
        <n x="7" s="1"/>
        <n x="69" s="1"/>
        <n x="3" s="1"/>
        <n x="70" s="1"/>
        <n x="2" s="1"/>
        <n x="68"/>
        <n x="76"/>
        <n x="20"/>
      </t>
    </mdx>
    <mdx n="0" f="v">
      <t c="8">
        <n x="7" s="1"/>
        <n x="69" s="1"/>
        <n x="3" s="1"/>
        <n x="70" s="1"/>
        <n x="2" s="1"/>
        <n x="68"/>
        <n x="76"/>
        <n x="21"/>
      </t>
    </mdx>
    <mdx n="0" f="v">
      <t c="8">
        <n x="7" s="1"/>
        <n x="69" s="1"/>
        <n x="3" s="1"/>
        <n x="70" s="1"/>
        <n x="2" s="1"/>
        <n x="68"/>
        <n x="76"/>
        <n x="22"/>
      </t>
    </mdx>
    <mdx n="0" f="v">
      <t c="8">
        <n x="7" s="1"/>
        <n x="69" s="1"/>
        <n x="3" s="1"/>
        <n x="70" s="1"/>
        <n x="2" s="1"/>
        <n x="68"/>
        <n x="76"/>
        <n x="23"/>
      </t>
    </mdx>
    <mdx n="0" f="v">
      <t c="8">
        <n x="7" s="1"/>
        <n x="69" s="1"/>
        <n x="3" s="1"/>
        <n x="70" s="1"/>
        <n x="2" s="1"/>
        <n x="68"/>
        <n x="76"/>
        <n x="24"/>
      </t>
    </mdx>
    <mdx n="0" f="v">
      <t c="8">
        <n x="7" s="1"/>
        <n x="69" s="1"/>
        <n x="3" s="1"/>
        <n x="70" s="1"/>
        <n x="2" s="1"/>
        <n x="68"/>
        <n x="76"/>
        <n x="25"/>
      </t>
    </mdx>
    <mdx n="0" f="v">
      <t c="8">
        <n x="7" s="1"/>
        <n x="69" s="1"/>
        <n x="3" s="1"/>
        <n x="70" s="1"/>
        <n x="2" s="1"/>
        <n x="68"/>
        <n x="76"/>
        <n x="26"/>
      </t>
    </mdx>
    <mdx n="0" f="v">
      <t c="8">
        <n x="7" s="1"/>
        <n x="69" s="1"/>
        <n x="3" s="1"/>
        <n x="70" s="1"/>
        <n x="2" s="1"/>
        <n x="68"/>
        <n x="76"/>
        <n x="27"/>
      </t>
    </mdx>
    <mdx n="0" f="v">
      <t c="8">
        <n x="7" s="1"/>
        <n x="69" s="1"/>
        <n x="3" s="1"/>
        <n x="70" s="1"/>
        <n x="2" s="1"/>
        <n x="68"/>
        <n x="76"/>
        <n x="28"/>
      </t>
    </mdx>
    <mdx n="0" f="v">
      <t c="8">
        <n x="7" s="1"/>
        <n x="69" s="1"/>
        <n x="3" s="1"/>
        <n x="70" s="1"/>
        <n x="2" s="1"/>
        <n x="68"/>
        <n x="76"/>
        <n x="29"/>
      </t>
    </mdx>
    <mdx n="0" f="v">
      <t c="8">
        <n x="7" s="1"/>
        <n x="69" s="1"/>
        <n x="3" s="1"/>
        <n x="70" s="1"/>
        <n x="2" s="1"/>
        <n x="68"/>
        <n x="76"/>
        <n x="30"/>
      </t>
    </mdx>
    <mdx n="0" f="v">
      <t c="8">
        <n x="7" s="1"/>
        <n x="69" s="1"/>
        <n x="3" s="1"/>
        <n x="70" s="1"/>
        <n x="2" s="1"/>
        <n x="68"/>
        <n x="76"/>
        <n x="31"/>
      </t>
    </mdx>
    <mdx n="0" f="v">
      <t c="8">
        <n x="7" s="1"/>
        <n x="69" s="1"/>
        <n x="3" s="1"/>
        <n x="70" s="1"/>
        <n x="2" s="1"/>
        <n x="68"/>
        <n x="76"/>
        <n x="32"/>
      </t>
    </mdx>
    <mdx n="0" f="v">
      <t c="8">
        <n x="7" s="1"/>
        <n x="69" s="1"/>
        <n x="3" s="1"/>
        <n x="70" s="1"/>
        <n x="2" s="1"/>
        <n x="68"/>
        <n x="76"/>
        <n x="33"/>
      </t>
    </mdx>
    <mdx n="0" f="v">
      <t c="8">
        <n x="7" s="1"/>
        <n x="69" s="1"/>
        <n x="3" s="1"/>
        <n x="70" s="1"/>
        <n x="2" s="1"/>
        <n x="68"/>
        <n x="76"/>
        <n x="34"/>
      </t>
    </mdx>
    <mdx n="0" f="v">
      <t c="8">
        <n x="7" s="1"/>
        <n x="69" s="1"/>
        <n x="3" s="1"/>
        <n x="70" s="1"/>
        <n x="2" s="1"/>
        <n x="68"/>
        <n x="76"/>
        <n x="35"/>
      </t>
    </mdx>
    <mdx n="0" f="v">
      <t c="8">
        <n x="7" s="1"/>
        <n x="69" s="1"/>
        <n x="3" s="1"/>
        <n x="70" s="1"/>
        <n x="2" s="1"/>
        <n x="68"/>
        <n x="76"/>
        <n x="36"/>
      </t>
    </mdx>
    <mdx n="0" f="v">
      <t c="8">
        <n x="7" s="1"/>
        <n x="69" s="1"/>
        <n x="3" s="1"/>
        <n x="70" s="1"/>
        <n x="2" s="1"/>
        <n x="68"/>
        <n x="76"/>
        <n x="37"/>
      </t>
    </mdx>
    <mdx n="0" f="v">
      <t c="8">
        <n x="7" s="1"/>
        <n x="69" s="1"/>
        <n x="3" s="1"/>
        <n x="70" s="1"/>
        <n x="2" s="1"/>
        <n x="68"/>
        <n x="76"/>
        <n x="38"/>
      </t>
    </mdx>
    <mdx n="0" f="v">
      <t c="8">
        <n x="7" s="1"/>
        <n x="69" s="1"/>
        <n x="3" s="1"/>
        <n x="70" s="1"/>
        <n x="2" s="1"/>
        <n x="68"/>
        <n x="76"/>
        <n x="39"/>
      </t>
    </mdx>
    <mdx n="0" f="v">
      <t c="8">
        <n x="7" s="1"/>
        <n x="69" s="1"/>
        <n x="3" s="1"/>
        <n x="70" s="1"/>
        <n x="2" s="1"/>
        <n x="68"/>
        <n x="76"/>
        <n x="40"/>
      </t>
    </mdx>
    <mdx n="0" f="v">
      <t c="8">
        <n x="7" s="1"/>
        <n x="69" s="1"/>
        <n x="3" s="1"/>
        <n x="70" s="1"/>
        <n x="2" s="1"/>
        <n x="68"/>
        <n x="76"/>
        <n x="41"/>
      </t>
    </mdx>
    <mdx n="0" f="v">
      <t c="8">
        <n x="7" s="1"/>
        <n x="69" s="1"/>
        <n x="3" s="1"/>
        <n x="70" s="1"/>
        <n x="2" s="1"/>
        <n x="68"/>
        <n x="76"/>
        <n x="42"/>
      </t>
    </mdx>
    <mdx n="0" f="v">
      <t c="8">
        <n x="7" s="1"/>
        <n x="69" s="1"/>
        <n x="3" s="1"/>
        <n x="70" s="1"/>
        <n x="2" s="1"/>
        <n x="68"/>
        <n x="76"/>
        <n x="43"/>
      </t>
    </mdx>
    <mdx n="0" f="v">
      <t c="8">
        <n x="7" s="1"/>
        <n x="69" s="1"/>
        <n x="3" s="1"/>
        <n x="70" s="1"/>
        <n x="2" s="1"/>
        <n x="68"/>
        <n x="76"/>
        <n x="44"/>
      </t>
    </mdx>
    <mdx n="0" f="v">
      <t c="8">
        <n x="7" s="1"/>
        <n x="69" s="1"/>
        <n x="3" s="1"/>
        <n x="70" s="1"/>
        <n x="2" s="1"/>
        <n x="68"/>
        <n x="76"/>
        <n x="45"/>
      </t>
    </mdx>
    <mdx n="0" f="v">
      <t c="8">
        <n x="7" s="1"/>
        <n x="69" s="1"/>
        <n x="3" s="1"/>
        <n x="70" s="1"/>
        <n x="2" s="1"/>
        <n x="68"/>
        <n x="76"/>
        <n x="46"/>
      </t>
    </mdx>
    <mdx n="0" f="v">
      <t c="8">
        <n x="7" s="1"/>
        <n x="69" s="1"/>
        <n x="3" s="1"/>
        <n x="70" s="1"/>
        <n x="2" s="1"/>
        <n x="68"/>
        <n x="76"/>
        <n x="47"/>
      </t>
    </mdx>
    <mdx n="0" f="v">
      <t c="8">
        <n x="7" s="1"/>
        <n x="69" s="1"/>
        <n x="3" s="1"/>
        <n x="70" s="1"/>
        <n x="2" s="1"/>
        <n x="68"/>
        <n x="76"/>
        <n x="48"/>
      </t>
    </mdx>
    <mdx n="0" f="v">
      <t c="8">
        <n x="7" s="1"/>
        <n x="69" s="1"/>
        <n x="3" s="1"/>
        <n x="70" s="1"/>
        <n x="2" s="1"/>
        <n x="68"/>
        <n x="76"/>
        <n x="49"/>
      </t>
    </mdx>
    <mdx n="0" f="v">
      <t c="8">
        <n x="7" s="1"/>
        <n x="69" s="1"/>
        <n x="3" s="1"/>
        <n x="70" s="1"/>
        <n x="2" s="1"/>
        <n x="68"/>
        <n x="76"/>
        <n x="50"/>
      </t>
    </mdx>
    <mdx n="0" f="v">
      <t c="8">
        <n x="7" s="1"/>
        <n x="69" s="1"/>
        <n x="3" s="1"/>
        <n x="70" s="1"/>
        <n x="2" s="1"/>
        <n x="68"/>
        <n x="76"/>
        <n x="51"/>
      </t>
    </mdx>
    <mdx n="0" f="v">
      <t c="8">
        <n x="7" s="1"/>
        <n x="69" s="1"/>
        <n x="3" s="1"/>
        <n x="70" s="1"/>
        <n x="2" s="1"/>
        <n x="68"/>
        <n x="76"/>
        <n x="52"/>
      </t>
    </mdx>
    <mdx n="0" f="v">
      <t c="8">
        <n x="7" s="1"/>
        <n x="69" s="1"/>
        <n x="3" s="1"/>
        <n x="70" s="1"/>
        <n x="2" s="1"/>
        <n x="68"/>
        <n x="76"/>
        <n x="53"/>
      </t>
    </mdx>
    <mdx n="0" f="v">
      <t c="8">
        <n x="7" s="1"/>
        <n x="69" s="1"/>
        <n x="3" s="1"/>
        <n x="70" s="1"/>
        <n x="2" s="1"/>
        <n x="68"/>
        <n x="76"/>
        <n x="54"/>
      </t>
    </mdx>
    <mdx n="0" f="v">
      <t c="8">
        <n x="7" s="1"/>
        <n x="69" s="1"/>
        <n x="3" s="1"/>
        <n x="70" s="1"/>
        <n x="2" s="1"/>
        <n x="68"/>
        <n x="76"/>
        <n x="55"/>
      </t>
    </mdx>
    <mdx n="0" f="v">
      <t c="8">
        <n x="7" s="1"/>
        <n x="69" s="1"/>
        <n x="3" s="1"/>
        <n x="70" s="1"/>
        <n x="2" s="1"/>
        <n x="68"/>
        <n x="76"/>
        <n x="56"/>
      </t>
    </mdx>
    <mdx n="0" f="v">
      <t c="8">
        <n x="7" s="1"/>
        <n x="69" s="1"/>
        <n x="3" s="1"/>
        <n x="70" s="1"/>
        <n x="2" s="1"/>
        <n x="68"/>
        <n x="76"/>
        <n x="57"/>
      </t>
    </mdx>
    <mdx n="0" f="v">
      <t c="8">
        <n x="7" s="1"/>
        <n x="69" s="1"/>
        <n x="3" s="1"/>
        <n x="70" s="1"/>
        <n x="2" s="1"/>
        <n x="68"/>
        <n x="76"/>
        <n x="58"/>
      </t>
    </mdx>
    <mdx n="0" f="v">
      <t c="8">
        <n x="7" s="1"/>
        <n x="69" s="1"/>
        <n x="3" s="1"/>
        <n x="70" s="1"/>
        <n x="2" s="1"/>
        <n x="68"/>
        <n x="76"/>
        <n x="59"/>
      </t>
    </mdx>
    <mdx n="0" f="v">
      <t c="8">
        <n x="7" s="1"/>
        <n x="69" s="1"/>
        <n x="3" s="1"/>
        <n x="70" s="1"/>
        <n x="2" s="1"/>
        <n x="68"/>
        <n x="76"/>
        <n x="60"/>
      </t>
    </mdx>
    <mdx n="0" f="v">
      <t c="8">
        <n x="7" s="1"/>
        <n x="69" s="1"/>
        <n x="3" s="1"/>
        <n x="70" s="1"/>
        <n x="2" s="1"/>
        <n x="68"/>
        <n x="76"/>
        <n x="61"/>
      </t>
    </mdx>
    <mdx n="0" f="v">
      <t c="8">
        <n x="7" s="1"/>
        <n x="69" s="1"/>
        <n x="3" s="1"/>
        <n x="70" s="1"/>
        <n x="2" s="1"/>
        <n x="68"/>
        <n x="76"/>
        <n x="62"/>
      </t>
    </mdx>
    <mdx n="0" f="v">
      <t c="8">
        <n x="7" s="1"/>
        <n x="69" s="1"/>
        <n x="3" s="1"/>
        <n x="70" s="1"/>
        <n x="2" s="1"/>
        <n x="68"/>
        <n x="76"/>
        <n x="63"/>
      </t>
    </mdx>
    <mdx n="0" f="v">
      <t c="8">
        <n x="7" s="1"/>
        <n x="69" s="1"/>
        <n x="3" s="1"/>
        <n x="70" s="1"/>
        <n x="2" s="1"/>
        <n x="68"/>
        <n x="76"/>
        <n x="64"/>
      </t>
    </mdx>
    <mdx n="0" f="v">
      <t c="8">
        <n x="7" s="1"/>
        <n x="69" s="1"/>
        <n x="3" s="1"/>
        <n x="70" s="1"/>
        <n x="2" s="1"/>
        <n x="68"/>
        <n x="76"/>
        <n x="65"/>
      </t>
    </mdx>
    <mdx n="0" f="v">
      <t c="8">
        <n x="7" s="1"/>
        <n x="69" s="1"/>
        <n x="3" s="1"/>
        <n x="70" s="1"/>
        <n x="2" s="1"/>
        <n x="68"/>
        <n x="76"/>
        <n x="66"/>
      </t>
    </mdx>
    <mdx n="0" f="v">
      <t c="8">
        <n x="7" s="1"/>
        <n x="69" s="1"/>
        <n x="3" s="1"/>
        <n x="70" s="1"/>
        <n x="2" s="1"/>
        <n x="68"/>
        <n x="77"/>
        <n x="8"/>
      </t>
    </mdx>
    <mdx n="0" f="v">
      <t c="8">
        <n x="7" s="1"/>
        <n x="69" s="1"/>
        <n x="3" s="1"/>
        <n x="70" s="1"/>
        <n x="2" s="1"/>
        <n x="68"/>
        <n x="77"/>
        <n x="9"/>
      </t>
    </mdx>
    <mdx n="0" f="v">
      <t c="8">
        <n x="7" s="1"/>
        <n x="69" s="1"/>
        <n x="3" s="1"/>
        <n x="70" s="1"/>
        <n x="2" s="1"/>
        <n x="68"/>
        <n x="77"/>
        <n x="10"/>
      </t>
    </mdx>
    <mdx n="0" f="v">
      <t c="8">
        <n x="7" s="1"/>
        <n x="69" s="1"/>
        <n x="3" s="1"/>
        <n x="70" s="1"/>
        <n x="2" s="1"/>
        <n x="68"/>
        <n x="77"/>
        <n x="11"/>
      </t>
    </mdx>
    <mdx n="0" f="v">
      <t c="8">
        <n x="7" s="1"/>
        <n x="69" s="1"/>
        <n x="3" s="1"/>
        <n x="70" s="1"/>
        <n x="2" s="1"/>
        <n x="68"/>
        <n x="77"/>
        <n x="12"/>
      </t>
    </mdx>
    <mdx n="0" f="v">
      <t c="8">
        <n x="7" s="1"/>
        <n x="69" s="1"/>
        <n x="3" s="1"/>
        <n x="70" s="1"/>
        <n x="2" s="1"/>
        <n x="68"/>
        <n x="77"/>
        <n x="13"/>
      </t>
    </mdx>
    <mdx n="0" f="v">
      <t c="8">
        <n x="7" s="1"/>
        <n x="69" s="1"/>
        <n x="3" s="1"/>
        <n x="70" s="1"/>
        <n x="2" s="1"/>
        <n x="68"/>
        <n x="77"/>
        <n x="14"/>
      </t>
    </mdx>
    <mdx n="0" f="v">
      <t c="8">
        <n x="7" s="1"/>
        <n x="69" s="1"/>
        <n x="3" s="1"/>
        <n x="70" s="1"/>
        <n x="2" s="1"/>
        <n x="68"/>
        <n x="77"/>
        <n x="15"/>
      </t>
    </mdx>
    <mdx n="0" f="v">
      <t c="8">
        <n x="7" s="1"/>
        <n x="69" s="1"/>
        <n x="3" s="1"/>
        <n x="70" s="1"/>
        <n x="2" s="1"/>
        <n x="68"/>
        <n x="77"/>
        <n x="16"/>
      </t>
    </mdx>
    <mdx n="0" f="v">
      <t c="8">
        <n x="7" s="1"/>
        <n x="69" s="1"/>
        <n x="3" s="1"/>
        <n x="70" s="1"/>
        <n x="2" s="1"/>
        <n x="68"/>
        <n x="77"/>
        <n x="17"/>
      </t>
    </mdx>
    <mdx n="0" f="v">
      <t c="8">
        <n x="7" s="1"/>
        <n x="69" s="1"/>
        <n x="3" s="1"/>
        <n x="70" s="1"/>
        <n x="2" s="1"/>
        <n x="68"/>
        <n x="77"/>
        <n x="18"/>
      </t>
    </mdx>
    <mdx n="0" f="v">
      <t c="8">
        <n x="7" s="1"/>
        <n x="69" s="1"/>
        <n x="3" s="1"/>
        <n x="70" s="1"/>
        <n x="2" s="1"/>
        <n x="68"/>
        <n x="77"/>
        <n x="19"/>
      </t>
    </mdx>
    <mdx n="0" f="v">
      <t c="8">
        <n x="7" s="1"/>
        <n x="69" s="1"/>
        <n x="3" s="1"/>
        <n x="70" s="1"/>
        <n x="2" s="1"/>
        <n x="68"/>
        <n x="77"/>
        <n x="20"/>
      </t>
    </mdx>
    <mdx n="0" f="v">
      <t c="8">
        <n x="7" s="1"/>
        <n x="69" s="1"/>
        <n x="3" s="1"/>
        <n x="70" s="1"/>
        <n x="2" s="1"/>
        <n x="68"/>
        <n x="77"/>
        <n x="21"/>
      </t>
    </mdx>
    <mdx n="0" f="v">
      <t c="8">
        <n x="7" s="1"/>
        <n x="69" s="1"/>
        <n x="3" s="1"/>
        <n x="70" s="1"/>
        <n x="2" s="1"/>
        <n x="68"/>
        <n x="77"/>
        <n x="22"/>
      </t>
    </mdx>
    <mdx n="0" f="v">
      <t c="8">
        <n x="7" s="1"/>
        <n x="69" s="1"/>
        <n x="3" s="1"/>
        <n x="70" s="1"/>
        <n x="2" s="1"/>
        <n x="68"/>
        <n x="77"/>
        <n x="23"/>
      </t>
    </mdx>
    <mdx n="0" f="v">
      <t c="8">
        <n x="7" s="1"/>
        <n x="69" s="1"/>
        <n x="3" s="1"/>
        <n x="70" s="1"/>
        <n x="2" s="1"/>
        <n x="68"/>
        <n x="77"/>
        <n x="24"/>
      </t>
    </mdx>
    <mdx n="0" f="v">
      <t c="8">
        <n x="7" s="1"/>
        <n x="69" s="1"/>
        <n x="3" s="1"/>
        <n x="70" s="1"/>
        <n x="2" s="1"/>
        <n x="68"/>
        <n x="77"/>
        <n x="25"/>
      </t>
    </mdx>
    <mdx n="0" f="v">
      <t c="8">
        <n x="7" s="1"/>
        <n x="69" s="1"/>
        <n x="3" s="1"/>
        <n x="70" s="1"/>
        <n x="2" s="1"/>
        <n x="68"/>
        <n x="77"/>
        <n x="26"/>
      </t>
    </mdx>
    <mdx n="0" f="v">
      <t c="8">
        <n x="7" s="1"/>
        <n x="69" s="1"/>
        <n x="3" s="1"/>
        <n x="70" s="1"/>
        <n x="2" s="1"/>
        <n x="68"/>
        <n x="77"/>
        <n x="27"/>
      </t>
    </mdx>
    <mdx n="0" f="v">
      <t c="8">
        <n x="7" s="1"/>
        <n x="69" s="1"/>
        <n x="3" s="1"/>
        <n x="70" s="1"/>
        <n x="2" s="1"/>
        <n x="68"/>
        <n x="77"/>
        <n x="28"/>
      </t>
    </mdx>
    <mdx n="0" f="v">
      <t c="8">
        <n x="7" s="1"/>
        <n x="69" s="1"/>
        <n x="3" s="1"/>
        <n x="70" s="1"/>
        <n x="2" s="1"/>
        <n x="68"/>
        <n x="77"/>
        <n x="29"/>
      </t>
    </mdx>
    <mdx n="0" f="v">
      <t c="8">
        <n x="7" s="1"/>
        <n x="69" s="1"/>
        <n x="3" s="1"/>
        <n x="70" s="1"/>
        <n x="2" s="1"/>
        <n x="68"/>
        <n x="77"/>
        <n x="30"/>
      </t>
    </mdx>
    <mdx n="0" f="v">
      <t c="8">
        <n x="7" s="1"/>
        <n x="69" s="1"/>
        <n x="3" s="1"/>
        <n x="70" s="1"/>
        <n x="2" s="1"/>
        <n x="68"/>
        <n x="77"/>
        <n x="31"/>
      </t>
    </mdx>
    <mdx n="0" f="v">
      <t c="8">
        <n x="7" s="1"/>
        <n x="69" s="1"/>
        <n x="3" s="1"/>
        <n x="70" s="1"/>
        <n x="2" s="1"/>
        <n x="68"/>
        <n x="77"/>
        <n x="32"/>
      </t>
    </mdx>
    <mdx n="0" f="v">
      <t c="8">
        <n x="7" s="1"/>
        <n x="69" s="1"/>
        <n x="3" s="1"/>
        <n x="70" s="1"/>
        <n x="2" s="1"/>
        <n x="68"/>
        <n x="77"/>
        <n x="33"/>
      </t>
    </mdx>
    <mdx n="0" f="v">
      <t c="8">
        <n x="7" s="1"/>
        <n x="69" s="1"/>
        <n x="3" s="1"/>
        <n x="70" s="1"/>
        <n x="2" s="1"/>
        <n x="68"/>
        <n x="77"/>
        <n x="34"/>
      </t>
    </mdx>
    <mdx n="0" f="v">
      <t c="8">
        <n x="7" s="1"/>
        <n x="69" s="1"/>
        <n x="3" s="1"/>
        <n x="70" s="1"/>
        <n x="2" s="1"/>
        <n x="68"/>
        <n x="77"/>
        <n x="35"/>
      </t>
    </mdx>
    <mdx n="0" f="v">
      <t c="8">
        <n x="7" s="1"/>
        <n x="69" s="1"/>
        <n x="3" s="1"/>
        <n x="70" s="1"/>
        <n x="2" s="1"/>
        <n x="68"/>
        <n x="77"/>
        <n x="36"/>
      </t>
    </mdx>
    <mdx n="0" f="v">
      <t c="8">
        <n x="7" s="1"/>
        <n x="69" s="1"/>
        <n x="3" s="1"/>
        <n x="70" s="1"/>
        <n x="2" s="1"/>
        <n x="68"/>
        <n x="77"/>
        <n x="37"/>
      </t>
    </mdx>
    <mdx n="0" f="v">
      <t c="8">
        <n x="7" s="1"/>
        <n x="69" s="1"/>
        <n x="3" s="1"/>
        <n x="70" s="1"/>
        <n x="2" s="1"/>
        <n x="68"/>
        <n x="77"/>
        <n x="38"/>
      </t>
    </mdx>
    <mdx n="0" f="v">
      <t c="8">
        <n x="7" s="1"/>
        <n x="69" s="1"/>
        <n x="3" s="1"/>
        <n x="70" s="1"/>
        <n x="2" s="1"/>
        <n x="68"/>
        <n x="77"/>
        <n x="39"/>
      </t>
    </mdx>
    <mdx n="0" f="v">
      <t c="8">
        <n x="7" s="1"/>
        <n x="69" s="1"/>
        <n x="3" s="1"/>
        <n x="70" s="1"/>
        <n x="2" s="1"/>
        <n x="68"/>
        <n x="77"/>
        <n x="40"/>
      </t>
    </mdx>
    <mdx n="0" f="v">
      <t c="8">
        <n x="7" s="1"/>
        <n x="69" s="1"/>
        <n x="3" s="1"/>
        <n x="70" s="1"/>
        <n x="2" s="1"/>
        <n x="68"/>
        <n x="77"/>
        <n x="41"/>
      </t>
    </mdx>
    <mdx n="0" f="v">
      <t c="8">
        <n x="7" s="1"/>
        <n x="69" s="1"/>
        <n x="3" s="1"/>
        <n x="70" s="1"/>
        <n x="2" s="1"/>
        <n x="68"/>
        <n x="77"/>
        <n x="42"/>
      </t>
    </mdx>
    <mdx n="0" f="v">
      <t c="8">
        <n x="7" s="1"/>
        <n x="69" s="1"/>
        <n x="3" s="1"/>
        <n x="70" s="1"/>
        <n x="2" s="1"/>
        <n x="68"/>
        <n x="77"/>
        <n x="43"/>
      </t>
    </mdx>
    <mdx n="0" f="v">
      <t c="8">
        <n x="7" s="1"/>
        <n x="69" s="1"/>
        <n x="3" s="1"/>
        <n x="70" s="1"/>
        <n x="2" s="1"/>
        <n x="68"/>
        <n x="77"/>
        <n x="44"/>
      </t>
    </mdx>
    <mdx n="0" f="v">
      <t c="8">
        <n x="7" s="1"/>
        <n x="69" s="1"/>
        <n x="3" s="1"/>
        <n x="70" s="1"/>
        <n x="2" s="1"/>
        <n x="68"/>
        <n x="77"/>
        <n x="45"/>
      </t>
    </mdx>
    <mdx n="0" f="v">
      <t c="8">
        <n x="7" s="1"/>
        <n x="69" s="1"/>
        <n x="3" s="1"/>
        <n x="70" s="1"/>
        <n x="2" s="1"/>
        <n x="68"/>
        <n x="77"/>
        <n x="46"/>
      </t>
    </mdx>
    <mdx n="0" f="v">
      <t c="8">
        <n x="7" s="1"/>
        <n x="69" s="1"/>
        <n x="3" s="1"/>
        <n x="70" s="1"/>
        <n x="2" s="1"/>
        <n x="68"/>
        <n x="77"/>
        <n x="47"/>
      </t>
    </mdx>
    <mdx n="0" f="v">
      <t c="8">
        <n x="7" s="1"/>
        <n x="69" s="1"/>
        <n x="3" s="1"/>
        <n x="70" s="1"/>
        <n x="2" s="1"/>
        <n x="68"/>
        <n x="77"/>
        <n x="48"/>
      </t>
    </mdx>
    <mdx n="0" f="v">
      <t c="8">
        <n x="7" s="1"/>
        <n x="69" s="1"/>
        <n x="3" s="1"/>
        <n x="70" s="1"/>
        <n x="2" s="1"/>
        <n x="68"/>
        <n x="77"/>
        <n x="49"/>
      </t>
    </mdx>
    <mdx n="0" f="v">
      <t c="8">
        <n x="7" s="1"/>
        <n x="69" s="1"/>
        <n x="3" s="1"/>
        <n x="70" s="1"/>
        <n x="2" s="1"/>
        <n x="68"/>
        <n x="77"/>
        <n x="50"/>
      </t>
    </mdx>
    <mdx n="0" f="v">
      <t c="8">
        <n x="7" s="1"/>
        <n x="69" s="1"/>
        <n x="3" s="1"/>
        <n x="70" s="1"/>
        <n x="2" s="1"/>
        <n x="68"/>
        <n x="77"/>
        <n x="51"/>
      </t>
    </mdx>
    <mdx n="0" f="v">
      <t c="8">
        <n x="7" s="1"/>
        <n x="69" s="1"/>
        <n x="3" s="1"/>
        <n x="70" s="1"/>
        <n x="2" s="1"/>
        <n x="68"/>
        <n x="77"/>
        <n x="52"/>
      </t>
    </mdx>
    <mdx n="0" f="v">
      <t c="8">
        <n x="7" s="1"/>
        <n x="69" s="1"/>
        <n x="3" s="1"/>
        <n x="70" s="1"/>
        <n x="2" s="1"/>
        <n x="68"/>
        <n x="77"/>
        <n x="53"/>
      </t>
    </mdx>
    <mdx n="0" f="v">
      <t c="8">
        <n x="7" s="1"/>
        <n x="69" s="1"/>
        <n x="3" s="1"/>
        <n x="70" s="1"/>
        <n x="2" s="1"/>
        <n x="68"/>
        <n x="77"/>
        <n x="54"/>
      </t>
    </mdx>
    <mdx n="0" f="v">
      <t c="8">
        <n x="7" s="1"/>
        <n x="69" s="1"/>
        <n x="3" s="1"/>
        <n x="70" s="1"/>
        <n x="2" s="1"/>
        <n x="68"/>
        <n x="77"/>
        <n x="55"/>
      </t>
    </mdx>
    <mdx n="0" f="v">
      <t c="8">
        <n x="7" s="1"/>
        <n x="69" s="1"/>
        <n x="3" s="1"/>
        <n x="70" s="1"/>
        <n x="2" s="1"/>
        <n x="68"/>
        <n x="77"/>
        <n x="56"/>
      </t>
    </mdx>
    <mdx n="0" f="v">
      <t c="8">
        <n x="7" s="1"/>
        <n x="69" s="1"/>
        <n x="3" s="1"/>
        <n x="70" s="1"/>
        <n x="2" s="1"/>
        <n x="68"/>
        <n x="77"/>
        <n x="57"/>
      </t>
    </mdx>
    <mdx n="0" f="v">
      <t c="8">
        <n x="7" s="1"/>
        <n x="69" s="1"/>
        <n x="3" s="1"/>
        <n x="70" s="1"/>
        <n x="2" s="1"/>
        <n x="68"/>
        <n x="77"/>
        <n x="58"/>
      </t>
    </mdx>
    <mdx n="0" f="v">
      <t c="8">
        <n x="7" s="1"/>
        <n x="69" s="1"/>
        <n x="3" s="1"/>
        <n x="70" s="1"/>
        <n x="2" s="1"/>
        <n x="68"/>
        <n x="77"/>
        <n x="59"/>
      </t>
    </mdx>
    <mdx n="0" f="v">
      <t c="8">
        <n x="7" s="1"/>
        <n x="69" s="1"/>
        <n x="3" s="1"/>
        <n x="70" s="1"/>
        <n x="2" s="1"/>
        <n x="68"/>
        <n x="77"/>
        <n x="60"/>
      </t>
    </mdx>
    <mdx n="0" f="v">
      <t c="8">
        <n x="7" s="1"/>
        <n x="69" s="1"/>
        <n x="3" s="1"/>
        <n x="70" s="1"/>
        <n x="2" s="1"/>
        <n x="68"/>
        <n x="77"/>
        <n x="61"/>
      </t>
    </mdx>
    <mdx n="0" f="v">
      <t c="8">
        <n x="7" s="1"/>
        <n x="69" s="1"/>
        <n x="3" s="1"/>
        <n x="70" s="1"/>
        <n x="2" s="1"/>
        <n x="68"/>
        <n x="77"/>
        <n x="62"/>
      </t>
    </mdx>
    <mdx n="0" f="v">
      <t c="8">
        <n x="7" s="1"/>
        <n x="69" s="1"/>
        <n x="3" s="1"/>
        <n x="70" s="1"/>
        <n x="2" s="1"/>
        <n x="68"/>
        <n x="77"/>
        <n x="63"/>
      </t>
    </mdx>
    <mdx n="0" f="v">
      <t c="8">
        <n x="7" s="1"/>
        <n x="69" s="1"/>
        <n x="3" s="1"/>
        <n x="70" s="1"/>
        <n x="2" s="1"/>
        <n x="68"/>
        <n x="77"/>
        <n x="64"/>
      </t>
    </mdx>
    <mdx n="0" f="v">
      <t c="8">
        <n x="7" s="1"/>
        <n x="69" s="1"/>
        <n x="3" s="1"/>
        <n x="70" s="1"/>
        <n x="2" s="1"/>
        <n x="68"/>
        <n x="77"/>
        <n x="65"/>
      </t>
    </mdx>
    <mdx n="0" f="v">
      <t c="8">
        <n x="7" s="1"/>
        <n x="69" s="1"/>
        <n x="3" s="1"/>
        <n x="70" s="1"/>
        <n x="2" s="1"/>
        <n x="68"/>
        <n x="77"/>
        <n x="66"/>
      </t>
    </mdx>
    <mdx n="0" f="v">
      <t c="8">
        <n x="7" s="1"/>
        <n x="69" s="1"/>
        <n x="3" s="1"/>
        <n x="70" s="1"/>
        <n x="2" s="1"/>
        <n x="68"/>
        <n x="78"/>
        <n x="8"/>
      </t>
    </mdx>
    <mdx n="0" f="v">
      <t c="8">
        <n x="7" s="1"/>
        <n x="69" s="1"/>
        <n x="3" s="1"/>
        <n x="70" s="1"/>
        <n x="2" s="1"/>
        <n x="68"/>
        <n x="78"/>
        <n x="9"/>
      </t>
    </mdx>
    <mdx n="0" f="v">
      <t c="8">
        <n x="7" s="1"/>
        <n x="69" s="1"/>
        <n x="3" s="1"/>
        <n x="70" s="1"/>
        <n x="2" s="1"/>
        <n x="68"/>
        <n x="78"/>
        <n x="10"/>
      </t>
    </mdx>
    <mdx n="0" f="v">
      <t c="8">
        <n x="7" s="1"/>
        <n x="69" s="1"/>
        <n x="3" s="1"/>
        <n x="70" s="1"/>
        <n x="2" s="1"/>
        <n x="68"/>
        <n x="78"/>
        <n x="11"/>
      </t>
    </mdx>
    <mdx n="0" f="v">
      <t c="8">
        <n x="7" s="1"/>
        <n x="69" s="1"/>
        <n x="3" s="1"/>
        <n x="70" s="1"/>
        <n x="2" s="1"/>
        <n x="68"/>
        <n x="78"/>
        <n x="12"/>
      </t>
    </mdx>
    <mdx n="0" f="v">
      <t c="8">
        <n x="7" s="1"/>
        <n x="69" s="1"/>
        <n x="3" s="1"/>
        <n x="70" s="1"/>
        <n x="2" s="1"/>
        <n x="68"/>
        <n x="78"/>
        <n x="13"/>
      </t>
    </mdx>
    <mdx n="0" f="v">
      <t c="8">
        <n x="7" s="1"/>
        <n x="69" s="1"/>
        <n x="3" s="1"/>
        <n x="70" s="1"/>
        <n x="2" s="1"/>
        <n x="68"/>
        <n x="78"/>
        <n x="14"/>
      </t>
    </mdx>
    <mdx n="0" f="v">
      <t c="8">
        <n x="7" s="1"/>
        <n x="69" s="1"/>
        <n x="3" s="1"/>
        <n x="70" s="1"/>
        <n x="2" s="1"/>
        <n x="68"/>
        <n x="78"/>
        <n x="15"/>
      </t>
    </mdx>
    <mdx n="0" f="v">
      <t c="8">
        <n x="7" s="1"/>
        <n x="69" s="1"/>
        <n x="3" s="1"/>
        <n x="70" s="1"/>
        <n x="2" s="1"/>
        <n x="68"/>
        <n x="78"/>
        <n x="16"/>
      </t>
    </mdx>
    <mdx n="0" f="v">
      <t c="8">
        <n x="7" s="1"/>
        <n x="69" s="1"/>
        <n x="3" s="1"/>
        <n x="70" s="1"/>
        <n x="2" s="1"/>
        <n x="68"/>
        <n x="78"/>
        <n x="17"/>
      </t>
    </mdx>
    <mdx n="0" f="v">
      <t c="8">
        <n x="7" s="1"/>
        <n x="69" s="1"/>
        <n x="3" s="1"/>
        <n x="70" s="1"/>
        <n x="2" s="1"/>
        <n x="68"/>
        <n x="78"/>
        <n x="18"/>
      </t>
    </mdx>
    <mdx n="0" f="v">
      <t c="8">
        <n x="7" s="1"/>
        <n x="69" s="1"/>
        <n x="3" s="1"/>
        <n x="70" s="1"/>
        <n x="2" s="1"/>
        <n x="68"/>
        <n x="78"/>
        <n x="19"/>
      </t>
    </mdx>
    <mdx n="0" f="v">
      <t c="8">
        <n x="7" s="1"/>
        <n x="69" s="1"/>
        <n x="3" s="1"/>
        <n x="70" s="1"/>
        <n x="2" s="1"/>
        <n x="68"/>
        <n x="78"/>
        <n x="20"/>
      </t>
    </mdx>
    <mdx n="0" f="v">
      <t c="8">
        <n x="7" s="1"/>
        <n x="69" s="1"/>
        <n x="3" s="1"/>
        <n x="70" s="1"/>
        <n x="2" s="1"/>
        <n x="68"/>
        <n x="78"/>
        <n x="21"/>
      </t>
    </mdx>
    <mdx n="0" f="v">
      <t c="8">
        <n x="7" s="1"/>
        <n x="69" s="1"/>
        <n x="3" s="1"/>
        <n x="70" s="1"/>
        <n x="2" s="1"/>
        <n x="68"/>
        <n x="78"/>
        <n x="22"/>
      </t>
    </mdx>
    <mdx n="0" f="v">
      <t c="8">
        <n x="7" s="1"/>
        <n x="69" s="1"/>
        <n x="3" s="1"/>
        <n x="70" s="1"/>
        <n x="2" s="1"/>
        <n x="68"/>
        <n x="78"/>
        <n x="23"/>
      </t>
    </mdx>
    <mdx n="0" f="v">
      <t c="8">
        <n x="7" s="1"/>
        <n x="69" s="1"/>
        <n x="3" s="1"/>
        <n x="70" s="1"/>
        <n x="2" s="1"/>
        <n x="68"/>
        <n x="78"/>
        <n x="24"/>
      </t>
    </mdx>
    <mdx n="0" f="v">
      <t c="8">
        <n x="7" s="1"/>
        <n x="69" s="1"/>
        <n x="3" s="1"/>
        <n x="70" s="1"/>
        <n x="2" s="1"/>
        <n x="68"/>
        <n x="78"/>
        <n x="25"/>
      </t>
    </mdx>
    <mdx n="0" f="v">
      <t c="8">
        <n x="7" s="1"/>
        <n x="69" s="1"/>
        <n x="3" s="1"/>
        <n x="70" s="1"/>
        <n x="2" s="1"/>
        <n x="68"/>
        <n x="78"/>
        <n x="26"/>
      </t>
    </mdx>
    <mdx n="0" f="v">
      <t c="8">
        <n x="7" s="1"/>
        <n x="69" s="1"/>
        <n x="3" s="1"/>
        <n x="70" s="1"/>
        <n x="2" s="1"/>
        <n x="68"/>
        <n x="78"/>
        <n x="27"/>
      </t>
    </mdx>
    <mdx n="0" f="v">
      <t c="8">
        <n x="7" s="1"/>
        <n x="69" s="1"/>
        <n x="3" s="1"/>
        <n x="70" s="1"/>
        <n x="2" s="1"/>
        <n x="68"/>
        <n x="78"/>
        <n x="28"/>
      </t>
    </mdx>
    <mdx n="0" f="v">
      <t c="8">
        <n x="7" s="1"/>
        <n x="69" s="1"/>
        <n x="3" s="1"/>
        <n x="70" s="1"/>
        <n x="2" s="1"/>
        <n x="68"/>
        <n x="78"/>
        <n x="29"/>
      </t>
    </mdx>
    <mdx n="0" f="v">
      <t c="8">
        <n x="7" s="1"/>
        <n x="69" s="1"/>
        <n x="3" s="1"/>
        <n x="70" s="1"/>
        <n x="2" s="1"/>
        <n x="68"/>
        <n x="78"/>
        <n x="30"/>
      </t>
    </mdx>
    <mdx n="0" f="v">
      <t c="8">
        <n x="7" s="1"/>
        <n x="69" s="1"/>
        <n x="3" s="1"/>
        <n x="70" s="1"/>
        <n x="2" s="1"/>
        <n x="68"/>
        <n x="78"/>
        <n x="31"/>
      </t>
    </mdx>
    <mdx n="0" f="v">
      <t c="8">
        <n x="7" s="1"/>
        <n x="69" s="1"/>
        <n x="3" s="1"/>
        <n x="70" s="1"/>
        <n x="2" s="1"/>
        <n x="68"/>
        <n x="78"/>
        <n x="32"/>
      </t>
    </mdx>
    <mdx n="0" f="v">
      <t c="8">
        <n x="7" s="1"/>
        <n x="69" s="1"/>
        <n x="3" s="1"/>
        <n x="70" s="1"/>
        <n x="2" s="1"/>
        <n x="68"/>
        <n x="78"/>
        <n x="33"/>
      </t>
    </mdx>
    <mdx n="0" f="v">
      <t c="8">
        <n x="7" s="1"/>
        <n x="69" s="1"/>
        <n x="3" s="1"/>
        <n x="70" s="1"/>
        <n x="2" s="1"/>
        <n x="68"/>
        <n x="78"/>
        <n x="34"/>
      </t>
    </mdx>
    <mdx n="0" f="v">
      <t c="8">
        <n x="7" s="1"/>
        <n x="69" s="1"/>
        <n x="3" s="1"/>
        <n x="70" s="1"/>
        <n x="2" s="1"/>
        <n x="68"/>
        <n x="78"/>
        <n x="35"/>
      </t>
    </mdx>
    <mdx n="0" f="v">
      <t c="8">
        <n x="7" s="1"/>
        <n x="69" s="1"/>
        <n x="3" s="1"/>
        <n x="70" s="1"/>
        <n x="2" s="1"/>
        <n x="68"/>
        <n x="78"/>
        <n x="36"/>
      </t>
    </mdx>
    <mdx n="0" f="v">
      <t c="8">
        <n x="7" s="1"/>
        <n x="69" s="1"/>
        <n x="3" s="1"/>
        <n x="70" s="1"/>
        <n x="2" s="1"/>
        <n x="68"/>
        <n x="78"/>
        <n x="37"/>
      </t>
    </mdx>
    <mdx n="0" f="v">
      <t c="8">
        <n x="7" s="1"/>
        <n x="69" s="1"/>
        <n x="3" s="1"/>
        <n x="70" s="1"/>
        <n x="2" s="1"/>
        <n x="68"/>
        <n x="78"/>
        <n x="38"/>
      </t>
    </mdx>
    <mdx n="0" f="v">
      <t c="8">
        <n x="7" s="1"/>
        <n x="69" s="1"/>
        <n x="3" s="1"/>
        <n x="70" s="1"/>
        <n x="2" s="1"/>
        <n x="68"/>
        <n x="78"/>
        <n x="39"/>
      </t>
    </mdx>
    <mdx n="0" f="v">
      <t c="8">
        <n x="7" s="1"/>
        <n x="69" s="1"/>
        <n x="3" s="1"/>
        <n x="70" s="1"/>
        <n x="2" s="1"/>
        <n x="68"/>
        <n x="78"/>
        <n x="40"/>
      </t>
    </mdx>
    <mdx n="0" f="v">
      <t c="8">
        <n x="7" s="1"/>
        <n x="69" s="1"/>
        <n x="3" s="1"/>
        <n x="70" s="1"/>
        <n x="2" s="1"/>
        <n x="68"/>
        <n x="78"/>
        <n x="41"/>
      </t>
    </mdx>
    <mdx n="0" f="v">
      <t c="8">
        <n x="7" s="1"/>
        <n x="69" s="1"/>
        <n x="3" s="1"/>
        <n x="70" s="1"/>
        <n x="2" s="1"/>
        <n x="68"/>
        <n x="78"/>
        <n x="42"/>
      </t>
    </mdx>
    <mdx n="0" f="v">
      <t c="8">
        <n x="7" s="1"/>
        <n x="69" s="1"/>
        <n x="3" s="1"/>
        <n x="70" s="1"/>
        <n x="2" s="1"/>
        <n x="68"/>
        <n x="78"/>
        <n x="43"/>
      </t>
    </mdx>
    <mdx n="0" f="v">
      <t c="8">
        <n x="7" s="1"/>
        <n x="69" s="1"/>
        <n x="3" s="1"/>
        <n x="70" s="1"/>
        <n x="2" s="1"/>
        <n x="68"/>
        <n x="78"/>
        <n x="44"/>
      </t>
    </mdx>
    <mdx n="0" f="v">
      <t c="8">
        <n x="7" s="1"/>
        <n x="69" s="1"/>
        <n x="3" s="1"/>
        <n x="70" s="1"/>
        <n x="2" s="1"/>
        <n x="68"/>
        <n x="78"/>
        <n x="45"/>
      </t>
    </mdx>
    <mdx n="0" f="v">
      <t c="8">
        <n x="7" s="1"/>
        <n x="69" s="1"/>
        <n x="3" s="1"/>
        <n x="70" s="1"/>
        <n x="2" s="1"/>
        <n x="68"/>
        <n x="78"/>
        <n x="46"/>
      </t>
    </mdx>
    <mdx n="0" f="v">
      <t c="8">
        <n x="7" s="1"/>
        <n x="69" s="1"/>
        <n x="3" s="1"/>
        <n x="70" s="1"/>
        <n x="2" s="1"/>
        <n x="68"/>
        <n x="78"/>
        <n x="47"/>
      </t>
    </mdx>
    <mdx n="0" f="v">
      <t c="8">
        <n x="7" s="1"/>
        <n x="69" s="1"/>
        <n x="3" s="1"/>
        <n x="70" s="1"/>
        <n x="2" s="1"/>
        <n x="68"/>
        <n x="78"/>
        <n x="48"/>
      </t>
    </mdx>
    <mdx n="0" f="v">
      <t c="8">
        <n x="7" s="1"/>
        <n x="69" s="1"/>
        <n x="3" s="1"/>
        <n x="70" s="1"/>
        <n x="2" s="1"/>
        <n x="68"/>
        <n x="78"/>
        <n x="49"/>
      </t>
    </mdx>
    <mdx n="0" f="v">
      <t c="8">
        <n x="7" s="1"/>
        <n x="69" s="1"/>
        <n x="3" s="1"/>
        <n x="70" s="1"/>
        <n x="2" s="1"/>
        <n x="68"/>
        <n x="78"/>
        <n x="50"/>
      </t>
    </mdx>
    <mdx n="0" f="v">
      <t c="8">
        <n x="7" s="1"/>
        <n x="69" s="1"/>
        <n x="3" s="1"/>
        <n x="70" s="1"/>
        <n x="2" s="1"/>
        <n x="68"/>
        <n x="78"/>
        <n x="51"/>
      </t>
    </mdx>
    <mdx n="0" f="v">
      <t c="8">
        <n x="7" s="1"/>
        <n x="69" s="1"/>
        <n x="3" s="1"/>
        <n x="70" s="1"/>
        <n x="2" s="1"/>
        <n x="68"/>
        <n x="78"/>
        <n x="52"/>
      </t>
    </mdx>
    <mdx n="0" f="v">
      <t c="8">
        <n x="7" s="1"/>
        <n x="69" s="1"/>
        <n x="3" s="1"/>
        <n x="70" s="1"/>
        <n x="2" s="1"/>
        <n x="68"/>
        <n x="78"/>
        <n x="53"/>
      </t>
    </mdx>
    <mdx n="0" f="v">
      <t c="8">
        <n x="7" s="1"/>
        <n x="69" s="1"/>
        <n x="3" s="1"/>
        <n x="70" s="1"/>
        <n x="2" s="1"/>
        <n x="68"/>
        <n x="78"/>
        <n x="54"/>
      </t>
    </mdx>
    <mdx n="0" f="v">
      <t c="8">
        <n x="7" s="1"/>
        <n x="69" s="1"/>
        <n x="3" s="1"/>
        <n x="70" s="1"/>
        <n x="2" s="1"/>
        <n x="68"/>
        <n x="78"/>
        <n x="55"/>
      </t>
    </mdx>
    <mdx n="0" f="v">
      <t c="8">
        <n x="7" s="1"/>
        <n x="69" s="1"/>
        <n x="3" s="1"/>
        <n x="70" s="1"/>
        <n x="2" s="1"/>
        <n x="68"/>
        <n x="78"/>
        <n x="56"/>
      </t>
    </mdx>
    <mdx n="0" f="v">
      <t c="8">
        <n x="7" s="1"/>
        <n x="69" s="1"/>
        <n x="3" s="1"/>
        <n x="70" s="1"/>
        <n x="2" s="1"/>
        <n x="68"/>
        <n x="78"/>
        <n x="57"/>
      </t>
    </mdx>
    <mdx n="0" f="v">
      <t c="8">
        <n x="7" s="1"/>
        <n x="69" s="1"/>
        <n x="3" s="1"/>
        <n x="70" s="1"/>
        <n x="2" s="1"/>
        <n x="68"/>
        <n x="78"/>
        <n x="58"/>
      </t>
    </mdx>
    <mdx n="0" f="v">
      <t c="8">
        <n x="7" s="1"/>
        <n x="69" s="1"/>
        <n x="3" s="1"/>
        <n x="70" s="1"/>
        <n x="2" s="1"/>
        <n x="68"/>
        <n x="78"/>
        <n x="59"/>
      </t>
    </mdx>
    <mdx n="0" f="v">
      <t c="8">
        <n x="7" s="1"/>
        <n x="69" s="1"/>
        <n x="3" s="1"/>
        <n x="70" s="1"/>
        <n x="2" s="1"/>
        <n x="68"/>
        <n x="78"/>
        <n x="60"/>
      </t>
    </mdx>
    <mdx n="0" f="v">
      <t c="8">
        <n x="7" s="1"/>
        <n x="69" s="1"/>
        <n x="3" s="1"/>
        <n x="70" s="1"/>
        <n x="2" s="1"/>
        <n x="68"/>
        <n x="78"/>
        <n x="61"/>
      </t>
    </mdx>
    <mdx n="0" f="v">
      <t c="8">
        <n x="7" s="1"/>
        <n x="69" s="1"/>
        <n x="3" s="1"/>
        <n x="70" s="1"/>
        <n x="2" s="1"/>
        <n x="68"/>
        <n x="78"/>
        <n x="62"/>
      </t>
    </mdx>
    <mdx n="0" f="v">
      <t c="8">
        <n x="7" s="1"/>
        <n x="69" s="1"/>
        <n x="3" s="1"/>
        <n x="70" s="1"/>
        <n x="2" s="1"/>
        <n x="68"/>
        <n x="78"/>
        <n x="63"/>
      </t>
    </mdx>
    <mdx n="0" f="v">
      <t c="8">
        <n x="7" s="1"/>
        <n x="69" s="1"/>
        <n x="3" s="1"/>
        <n x="70" s="1"/>
        <n x="2" s="1"/>
        <n x="68"/>
        <n x="78"/>
        <n x="64"/>
      </t>
    </mdx>
    <mdx n="0" f="v">
      <t c="8">
        <n x="7" s="1"/>
        <n x="69" s="1"/>
        <n x="3" s="1"/>
        <n x="70" s="1"/>
        <n x="2" s="1"/>
        <n x="68"/>
        <n x="78"/>
        <n x="65"/>
      </t>
    </mdx>
    <mdx n="0" f="v">
      <t c="8">
        <n x="7" s="1"/>
        <n x="69" s="1"/>
        <n x="3" s="1"/>
        <n x="70" s="1"/>
        <n x="2" s="1"/>
        <n x="68"/>
        <n x="78"/>
        <n x="66"/>
      </t>
    </mdx>
    <mdx n="0" f="v">
      <t c="8">
        <n x="7" s="1"/>
        <n x="69" s="1"/>
        <n x="3" s="1"/>
        <n x="70" s="1"/>
        <n x="2" s="1"/>
        <n x="68"/>
        <n x="79"/>
        <n x="8"/>
      </t>
    </mdx>
    <mdx n="0" f="v">
      <t c="8">
        <n x="7" s="1"/>
        <n x="69" s="1"/>
        <n x="3" s="1"/>
        <n x="70" s="1"/>
        <n x="2" s="1"/>
        <n x="68"/>
        <n x="79"/>
        <n x="9"/>
      </t>
    </mdx>
    <mdx n="0" f="v">
      <t c="8">
        <n x="7" s="1"/>
        <n x="69" s="1"/>
        <n x="3" s="1"/>
        <n x="70" s="1"/>
        <n x="2" s="1"/>
        <n x="68"/>
        <n x="79"/>
        <n x="10"/>
      </t>
    </mdx>
    <mdx n="0" f="v">
      <t c="8">
        <n x="7" s="1"/>
        <n x="69" s="1"/>
        <n x="3" s="1"/>
        <n x="70" s="1"/>
        <n x="2" s="1"/>
        <n x="68"/>
        <n x="79"/>
        <n x="11"/>
      </t>
    </mdx>
    <mdx n="0" f="v">
      <t c="8">
        <n x="7" s="1"/>
        <n x="69" s="1"/>
        <n x="3" s="1"/>
        <n x="70" s="1"/>
        <n x="2" s="1"/>
        <n x="68"/>
        <n x="79"/>
        <n x="12"/>
      </t>
    </mdx>
    <mdx n="0" f="v">
      <t c="8">
        <n x="7" s="1"/>
        <n x="69" s="1"/>
        <n x="3" s="1"/>
        <n x="70" s="1"/>
        <n x="2" s="1"/>
        <n x="68"/>
        <n x="79"/>
        <n x="13"/>
      </t>
    </mdx>
    <mdx n="0" f="v">
      <t c="8">
        <n x="7" s="1"/>
        <n x="69" s="1"/>
        <n x="3" s="1"/>
        <n x="70" s="1"/>
        <n x="2" s="1"/>
        <n x="68"/>
        <n x="79"/>
        <n x="14"/>
      </t>
    </mdx>
    <mdx n="0" f="v">
      <t c="8">
        <n x="7" s="1"/>
        <n x="69" s="1"/>
        <n x="3" s="1"/>
        <n x="70" s="1"/>
        <n x="2" s="1"/>
        <n x="68"/>
        <n x="79"/>
        <n x="15"/>
      </t>
    </mdx>
    <mdx n="0" f="v">
      <t c="8">
        <n x="7" s="1"/>
        <n x="69" s="1"/>
        <n x="3" s="1"/>
        <n x="70" s="1"/>
        <n x="2" s="1"/>
        <n x="68"/>
        <n x="79"/>
        <n x="16"/>
      </t>
    </mdx>
    <mdx n="0" f="v">
      <t c="8">
        <n x="7" s="1"/>
        <n x="69" s="1"/>
        <n x="3" s="1"/>
        <n x="70" s="1"/>
        <n x="2" s="1"/>
        <n x="68"/>
        <n x="79"/>
        <n x="17"/>
      </t>
    </mdx>
    <mdx n="0" f="v">
      <t c="8">
        <n x="7" s="1"/>
        <n x="69" s="1"/>
        <n x="3" s="1"/>
        <n x="70" s="1"/>
        <n x="2" s="1"/>
        <n x="68"/>
        <n x="79"/>
        <n x="18"/>
      </t>
    </mdx>
    <mdx n="0" f="v">
      <t c="8">
        <n x="7" s="1"/>
        <n x="69" s="1"/>
        <n x="3" s="1"/>
        <n x="70" s="1"/>
        <n x="2" s="1"/>
        <n x="68"/>
        <n x="79"/>
        <n x="19"/>
      </t>
    </mdx>
    <mdx n="0" f="v">
      <t c="8">
        <n x="7" s="1"/>
        <n x="69" s="1"/>
        <n x="3" s="1"/>
        <n x="70" s="1"/>
        <n x="2" s="1"/>
        <n x="68"/>
        <n x="79"/>
        <n x="20"/>
      </t>
    </mdx>
    <mdx n="0" f="v">
      <t c="8">
        <n x="7" s="1"/>
        <n x="69" s="1"/>
        <n x="3" s="1"/>
        <n x="70" s="1"/>
        <n x="2" s="1"/>
        <n x="68"/>
        <n x="79"/>
        <n x="21"/>
      </t>
    </mdx>
    <mdx n="0" f="v">
      <t c="8">
        <n x="7" s="1"/>
        <n x="69" s="1"/>
        <n x="3" s="1"/>
        <n x="70" s="1"/>
        <n x="2" s="1"/>
        <n x="68"/>
        <n x="79"/>
        <n x="22"/>
      </t>
    </mdx>
    <mdx n="0" f="v">
      <t c="8">
        <n x="7" s="1"/>
        <n x="69" s="1"/>
        <n x="3" s="1"/>
        <n x="70" s="1"/>
        <n x="2" s="1"/>
        <n x="68"/>
        <n x="79"/>
        <n x="23"/>
      </t>
    </mdx>
    <mdx n="0" f="v">
      <t c="8">
        <n x="7" s="1"/>
        <n x="69" s="1"/>
        <n x="3" s="1"/>
        <n x="70" s="1"/>
        <n x="2" s="1"/>
        <n x="68"/>
        <n x="79"/>
        <n x="24"/>
      </t>
    </mdx>
    <mdx n="0" f="v">
      <t c="8">
        <n x="7" s="1"/>
        <n x="69" s="1"/>
        <n x="3" s="1"/>
        <n x="70" s="1"/>
        <n x="2" s="1"/>
        <n x="68"/>
        <n x="79"/>
        <n x="25"/>
      </t>
    </mdx>
    <mdx n="0" f="v">
      <t c="8">
        <n x="7" s="1"/>
        <n x="69" s="1"/>
        <n x="3" s="1"/>
        <n x="70" s="1"/>
        <n x="2" s="1"/>
        <n x="68"/>
        <n x="79"/>
        <n x="26"/>
      </t>
    </mdx>
    <mdx n="0" f="v">
      <t c="8">
        <n x="7" s="1"/>
        <n x="69" s="1"/>
        <n x="3" s="1"/>
        <n x="70" s="1"/>
        <n x="2" s="1"/>
        <n x="68"/>
        <n x="79"/>
        <n x="27"/>
      </t>
    </mdx>
    <mdx n="0" f="v">
      <t c="8">
        <n x="7" s="1"/>
        <n x="69" s="1"/>
        <n x="3" s="1"/>
        <n x="70" s="1"/>
        <n x="2" s="1"/>
        <n x="68"/>
        <n x="79"/>
        <n x="28"/>
      </t>
    </mdx>
    <mdx n="0" f="v">
      <t c="8">
        <n x="7" s="1"/>
        <n x="69" s="1"/>
        <n x="3" s="1"/>
        <n x="70" s="1"/>
        <n x="2" s="1"/>
        <n x="68"/>
        <n x="79"/>
        <n x="29"/>
      </t>
    </mdx>
    <mdx n="0" f="v">
      <t c="8">
        <n x="7" s="1"/>
        <n x="69" s="1"/>
        <n x="3" s="1"/>
        <n x="70" s="1"/>
        <n x="2" s="1"/>
        <n x="68"/>
        <n x="79"/>
        <n x="30"/>
      </t>
    </mdx>
    <mdx n="0" f="v">
      <t c="8">
        <n x="7" s="1"/>
        <n x="69" s="1"/>
        <n x="3" s="1"/>
        <n x="70" s="1"/>
        <n x="2" s="1"/>
        <n x="68"/>
        <n x="79"/>
        <n x="31"/>
      </t>
    </mdx>
    <mdx n="0" f="v">
      <t c="8">
        <n x="7" s="1"/>
        <n x="69" s="1"/>
        <n x="3" s="1"/>
        <n x="70" s="1"/>
        <n x="2" s="1"/>
        <n x="68"/>
        <n x="79"/>
        <n x="32"/>
      </t>
    </mdx>
    <mdx n="0" f="v">
      <t c="8">
        <n x="7" s="1"/>
        <n x="69" s="1"/>
        <n x="3" s="1"/>
        <n x="70" s="1"/>
        <n x="2" s="1"/>
        <n x="68"/>
        <n x="79"/>
        <n x="33"/>
      </t>
    </mdx>
    <mdx n="0" f="v">
      <t c="8">
        <n x="7" s="1"/>
        <n x="69" s="1"/>
        <n x="3" s="1"/>
        <n x="70" s="1"/>
        <n x="2" s="1"/>
        <n x="68"/>
        <n x="79"/>
        <n x="34"/>
      </t>
    </mdx>
    <mdx n="0" f="v">
      <t c="8">
        <n x="7" s="1"/>
        <n x="69" s="1"/>
        <n x="3" s="1"/>
        <n x="70" s="1"/>
        <n x="2" s="1"/>
        <n x="68"/>
        <n x="79"/>
        <n x="35"/>
      </t>
    </mdx>
    <mdx n="0" f="v">
      <t c="8">
        <n x="7" s="1"/>
        <n x="69" s="1"/>
        <n x="3" s="1"/>
        <n x="70" s="1"/>
        <n x="2" s="1"/>
        <n x="68"/>
        <n x="79"/>
        <n x="36"/>
      </t>
    </mdx>
    <mdx n="0" f="v">
      <t c="8">
        <n x="7" s="1"/>
        <n x="69" s="1"/>
        <n x="3" s="1"/>
        <n x="70" s="1"/>
        <n x="2" s="1"/>
        <n x="68"/>
        <n x="79"/>
        <n x="37"/>
      </t>
    </mdx>
    <mdx n="0" f="v">
      <t c="8">
        <n x="7" s="1"/>
        <n x="69" s="1"/>
        <n x="3" s="1"/>
        <n x="70" s="1"/>
        <n x="2" s="1"/>
        <n x="68"/>
        <n x="79"/>
        <n x="38"/>
      </t>
    </mdx>
    <mdx n="0" f="v">
      <t c="8">
        <n x="7" s="1"/>
        <n x="69" s="1"/>
        <n x="3" s="1"/>
        <n x="70" s="1"/>
        <n x="2" s="1"/>
        <n x="68"/>
        <n x="79"/>
        <n x="39"/>
      </t>
    </mdx>
    <mdx n="0" f="v">
      <t c="8">
        <n x="7" s="1"/>
        <n x="69" s="1"/>
        <n x="3" s="1"/>
        <n x="70" s="1"/>
        <n x="2" s="1"/>
        <n x="68"/>
        <n x="79"/>
        <n x="40"/>
      </t>
    </mdx>
    <mdx n="0" f="v">
      <t c="8">
        <n x="7" s="1"/>
        <n x="69" s="1"/>
        <n x="3" s="1"/>
        <n x="70" s="1"/>
        <n x="2" s="1"/>
        <n x="68"/>
        <n x="79"/>
        <n x="41"/>
      </t>
    </mdx>
    <mdx n="0" f="v">
      <t c="8">
        <n x="7" s="1"/>
        <n x="69" s="1"/>
        <n x="3" s="1"/>
        <n x="70" s="1"/>
        <n x="2" s="1"/>
        <n x="68"/>
        <n x="79"/>
        <n x="42"/>
      </t>
    </mdx>
    <mdx n="0" f="v">
      <t c="8">
        <n x="7" s="1"/>
        <n x="69" s="1"/>
        <n x="3" s="1"/>
        <n x="70" s="1"/>
        <n x="2" s="1"/>
        <n x="68"/>
        <n x="79"/>
        <n x="43"/>
      </t>
    </mdx>
    <mdx n="0" f="v">
      <t c="8">
        <n x="7" s="1"/>
        <n x="69" s="1"/>
        <n x="3" s="1"/>
        <n x="70" s="1"/>
        <n x="2" s="1"/>
        <n x="68"/>
        <n x="79"/>
        <n x="44"/>
      </t>
    </mdx>
    <mdx n="0" f="v">
      <t c="8">
        <n x="7" s="1"/>
        <n x="69" s="1"/>
        <n x="3" s="1"/>
        <n x="70" s="1"/>
        <n x="2" s="1"/>
        <n x="68"/>
        <n x="79"/>
        <n x="45"/>
      </t>
    </mdx>
    <mdx n="0" f="v">
      <t c="8">
        <n x="7" s="1"/>
        <n x="69" s="1"/>
        <n x="3" s="1"/>
        <n x="70" s="1"/>
        <n x="2" s="1"/>
        <n x="68"/>
        <n x="79"/>
        <n x="46"/>
      </t>
    </mdx>
    <mdx n="0" f="v">
      <t c="8">
        <n x="7" s="1"/>
        <n x="69" s="1"/>
        <n x="3" s="1"/>
        <n x="70" s="1"/>
        <n x="2" s="1"/>
        <n x="68"/>
        <n x="79"/>
        <n x="47"/>
      </t>
    </mdx>
    <mdx n="0" f="v">
      <t c="8">
        <n x="7" s="1"/>
        <n x="69" s="1"/>
        <n x="3" s="1"/>
        <n x="70" s="1"/>
        <n x="2" s="1"/>
        <n x="68"/>
        <n x="79"/>
        <n x="48"/>
      </t>
    </mdx>
    <mdx n="0" f="v">
      <t c="8">
        <n x="7" s="1"/>
        <n x="69" s="1"/>
        <n x="3" s="1"/>
        <n x="70" s="1"/>
        <n x="2" s="1"/>
        <n x="68"/>
        <n x="79"/>
        <n x="49"/>
      </t>
    </mdx>
    <mdx n="0" f="v">
      <t c="8">
        <n x="7" s="1"/>
        <n x="69" s="1"/>
        <n x="3" s="1"/>
        <n x="70" s="1"/>
        <n x="2" s="1"/>
        <n x="68"/>
        <n x="79"/>
        <n x="50"/>
      </t>
    </mdx>
    <mdx n="0" f="v">
      <t c="8">
        <n x="7" s="1"/>
        <n x="69" s="1"/>
        <n x="3" s="1"/>
        <n x="70" s="1"/>
        <n x="2" s="1"/>
        <n x="68"/>
        <n x="79"/>
        <n x="51"/>
      </t>
    </mdx>
    <mdx n="0" f="v">
      <t c="8">
        <n x="7" s="1"/>
        <n x="69" s="1"/>
        <n x="3" s="1"/>
        <n x="70" s="1"/>
        <n x="2" s="1"/>
        <n x="68"/>
        <n x="79"/>
        <n x="52"/>
      </t>
    </mdx>
    <mdx n="0" f="v">
      <t c="8">
        <n x="7" s="1"/>
        <n x="69" s="1"/>
        <n x="3" s="1"/>
        <n x="70" s="1"/>
        <n x="2" s="1"/>
        <n x="68"/>
        <n x="79"/>
        <n x="53"/>
      </t>
    </mdx>
    <mdx n="0" f="v">
      <t c="8">
        <n x="7" s="1"/>
        <n x="69" s="1"/>
        <n x="3" s="1"/>
        <n x="70" s="1"/>
        <n x="2" s="1"/>
        <n x="68"/>
        <n x="79"/>
        <n x="54"/>
      </t>
    </mdx>
    <mdx n="0" f="v">
      <t c="8">
        <n x="7" s="1"/>
        <n x="69" s="1"/>
        <n x="3" s="1"/>
        <n x="70" s="1"/>
        <n x="2" s="1"/>
        <n x="68"/>
        <n x="79"/>
        <n x="55"/>
      </t>
    </mdx>
    <mdx n="0" f="v">
      <t c="8">
        <n x="7" s="1"/>
        <n x="69" s="1"/>
        <n x="3" s="1"/>
        <n x="70" s="1"/>
        <n x="2" s="1"/>
        <n x="68"/>
        <n x="79"/>
        <n x="56"/>
      </t>
    </mdx>
    <mdx n="0" f="v">
      <t c="8">
        <n x="7" s="1"/>
        <n x="69" s="1"/>
        <n x="3" s="1"/>
        <n x="70" s="1"/>
        <n x="2" s="1"/>
        <n x="68"/>
        <n x="79"/>
        <n x="57"/>
      </t>
    </mdx>
    <mdx n="0" f="v">
      <t c="8">
        <n x="7" s="1"/>
        <n x="69" s="1"/>
        <n x="3" s="1"/>
        <n x="70" s="1"/>
        <n x="2" s="1"/>
        <n x="68"/>
        <n x="79"/>
        <n x="58"/>
      </t>
    </mdx>
    <mdx n="0" f="v">
      <t c="8">
        <n x="7" s="1"/>
        <n x="69" s="1"/>
        <n x="3" s="1"/>
        <n x="70" s="1"/>
        <n x="2" s="1"/>
        <n x="68"/>
        <n x="79"/>
        <n x="59"/>
      </t>
    </mdx>
    <mdx n="0" f="v">
      <t c="8">
        <n x="7" s="1"/>
        <n x="69" s="1"/>
        <n x="3" s="1"/>
        <n x="70" s="1"/>
        <n x="2" s="1"/>
        <n x="68"/>
        <n x="79"/>
        <n x="60"/>
      </t>
    </mdx>
    <mdx n="0" f="v">
      <t c="8">
        <n x="7" s="1"/>
        <n x="69" s="1"/>
        <n x="3" s="1"/>
        <n x="70" s="1"/>
        <n x="2" s="1"/>
        <n x="68"/>
        <n x="79"/>
        <n x="61"/>
      </t>
    </mdx>
    <mdx n="0" f="v">
      <t c="8">
        <n x="7" s="1"/>
        <n x="69" s="1"/>
        <n x="3" s="1"/>
        <n x="70" s="1"/>
        <n x="2" s="1"/>
        <n x="68"/>
        <n x="79"/>
        <n x="62"/>
      </t>
    </mdx>
    <mdx n="0" f="v">
      <t c="8">
        <n x="7" s="1"/>
        <n x="69" s="1"/>
        <n x="3" s="1"/>
        <n x="70" s="1"/>
        <n x="2" s="1"/>
        <n x="68"/>
        <n x="79"/>
        <n x="63"/>
      </t>
    </mdx>
    <mdx n="0" f="v">
      <t c="8">
        <n x="7" s="1"/>
        <n x="69" s="1"/>
        <n x="3" s="1"/>
        <n x="70" s="1"/>
        <n x="2" s="1"/>
        <n x="68"/>
        <n x="79"/>
        <n x="64"/>
      </t>
    </mdx>
    <mdx n="0" f="v">
      <t c="8">
        <n x="7" s="1"/>
        <n x="69" s="1"/>
        <n x="3" s="1"/>
        <n x="70" s="1"/>
        <n x="2" s="1"/>
        <n x="68"/>
        <n x="79"/>
        <n x="65"/>
      </t>
    </mdx>
    <mdx n="0" f="v">
      <t c="8">
        <n x="7" s="1"/>
        <n x="69" s="1"/>
        <n x="3" s="1"/>
        <n x="70" s="1"/>
        <n x="2" s="1"/>
        <n x="68"/>
        <n x="79"/>
        <n x="66"/>
      </t>
    </mdx>
    <mdx n="0" f="v">
      <t c="8">
        <n x="7" s="1"/>
        <n x="69" s="1"/>
        <n x="3" s="1"/>
        <n x="70" s="1"/>
        <n x="2" s="1"/>
        <n x="68"/>
        <n x="80"/>
        <n x="8"/>
      </t>
    </mdx>
    <mdx n="0" f="v">
      <t c="8">
        <n x="7" s="1"/>
        <n x="69" s="1"/>
        <n x="3" s="1"/>
        <n x="70" s="1"/>
        <n x="2" s="1"/>
        <n x="68"/>
        <n x="80"/>
        <n x="9"/>
      </t>
    </mdx>
    <mdx n="0" f="v">
      <t c="8">
        <n x="7" s="1"/>
        <n x="69" s="1"/>
        <n x="3" s="1"/>
        <n x="70" s="1"/>
        <n x="2" s="1"/>
        <n x="68"/>
        <n x="80"/>
        <n x="10"/>
      </t>
    </mdx>
    <mdx n="0" f="v">
      <t c="8">
        <n x="7" s="1"/>
        <n x="69" s="1"/>
        <n x="3" s="1"/>
        <n x="70" s="1"/>
        <n x="2" s="1"/>
        <n x="68"/>
        <n x="80"/>
        <n x="11"/>
      </t>
    </mdx>
    <mdx n="0" f="v">
      <t c="8">
        <n x="7" s="1"/>
        <n x="69" s="1"/>
        <n x="3" s="1"/>
        <n x="70" s="1"/>
        <n x="2" s="1"/>
        <n x="68"/>
        <n x="80"/>
        <n x="12"/>
      </t>
    </mdx>
    <mdx n="0" f="v">
      <t c="8">
        <n x="7" s="1"/>
        <n x="69" s="1"/>
        <n x="3" s="1"/>
        <n x="70" s="1"/>
        <n x="2" s="1"/>
        <n x="68"/>
        <n x="80"/>
        <n x="13"/>
      </t>
    </mdx>
    <mdx n="0" f="v">
      <t c="8">
        <n x="7" s="1"/>
        <n x="69" s="1"/>
        <n x="3" s="1"/>
        <n x="70" s="1"/>
        <n x="2" s="1"/>
        <n x="68"/>
        <n x="80"/>
        <n x="14"/>
      </t>
    </mdx>
    <mdx n="0" f="v">
      <t c="8">
        <n x="7" s="1"/>
        <n x="69" s="1"/>
        <n x="3" s="1"/>
        <n x="70" s="1"/>
        <n x="2" s="1"/>
        <n x="68"/>
        <n x="80"/>
        <n x="15"/>
      </t>
    </mdx>
    <mdx n="0" f="v">
      <t c="8">
        <n x="7" s="1"/>
        <n x="69" s="1"/>
        <n x="3" s="1"/>
        <n x="70" s="1"/>
        <n x="2" s="1"/>
        <n x="68"/>
        <n x="80"/>
        <n x="16"/>
      </t>
    </mdx>
    <mdx n="0" f="v">
      <t c="8">
        <n x="7" s="1"/>
        <n x="69" s="1"/>
        <n x="3" s="1"/>
        <n x="70" s="1"/>
        <n x="2" s="1"/>
        <n x="68"/>
        <n x="80"/>
        <n x="17"/>
      </t>
    </mdx>
    <mdx n="0" f="v">
      <t c="8">
        <n x="7" s="1"/>
        <n x="69" s="1"/>
        <n x="3" s="1"/>
        <n x="70" s="1"/>
        <n x="2" s="1"/>
        <n x="68"/>
        <n x="80"/>
        <n x="18"/>
      </t>
    </mdx>
    <mdx n="0" f="v">
      <t c="8">
        <n x="7" s="1"/>
        <n x="69" s="1"/>
        <n x="3" s="1"/>
        <n x="70" s="1"/>
        <n x="2" s="1"/>
        <n x="68"/>
        <n x="80"/>
        <n x="19"/>
      </t>
    </mdx>
    <mdx n="0" f="v">
      <t c="8">
        <n x="7" s="1"/>
        <n x="69" s="1"/>
        <n x="3" s="1"/>
        <n x="70" s="1"/>
        <n x="2" s="1"/>
        <n x="68"/>
        <n x="80"/>
        <n x="20"/>
      </t>
    </mdx>
    <mdx n="0" f="v">
      <t c="8">
        <n x="7" s="1"/>
        <n x="69" s="1"/>
        <n x="3" s="1"/>
        <n x="70" s="1"/>
        <n x="2" s="1"/>
        <n x="68"/>
        <n x="80"/>
        <n x="21"/>
      </t>
    </mdx>
    <mdx n="0" f="v">
      <t c="8">
        <n x="7" s="1"/>
        <n x="69" s="1"/>
        <n x="3" s="1"/>
        <n x="70" s="1"/>
        <n x="2" s="1"/>
        <n x="68"/>
        <n x="80"/>
        <n x="22"/>
      </t>
    </mdx>
    <mdx n="0" f="v">
      <t c="8">
        <n x="7" s="1"/>
        <n x="69" s="1"/>
        <n x="3" s="1"/>
        <n x="70" s="1"/>
        <n x="2" s="1"/>
        <n x="68"/>
        <n x="80"/>
        <n x="23"/>
      </t>
    </mdx>
    <mdx n="0" f="v">
      <t c="8">
        <n x="7" s="1"/>
        <n x="69" s="1"/>
        <n x="3" s="1"/>
        <n x="70" s="1"/>
        <n x="2" s="1"/>
        <n x="68"/>
        <n x="80"/>
        <n x="24"/>
      </t>
    </mdx>
    <mdx n="0" f="v">
      <t c="8">
        <n x="7" s="1"/>
        <n x="69" s="1"/>
        <n x="3" s="1"/>
        <n x="70" s="1"/>
        <n x="2" s="1"/>
        <n x="68"/>
        <n x="80"/>
        <n x="25"/>
      </t>
    </mdx>
    <mdx n="0" f="v">
      <t c="8">
        <n x="7" s="1"/>
        <n x="69" s="1"/>
        <n x="3" s="1"/>
        <n x="70" s="1"/>
        <n x="2" s="1"/>
        <n x="68"/>
        <n x="80"/>
        <n x="26"/>
      </t>
    </mdx>
    <mdx n="0" f="v">
      <t c="8">
        <n x="7" s="1"/>
        <n x="69" s="1"/>
        <n x="3" s="1"/>
        <n x="70" s="1"/>
        <n x="2" s="1"/>
        <n x="68"/>
        <n x="80"/>
        <n x="27"/>
      </t>
    </mdx>
    <mdx n="0" f="v">
      <t c="8">
        <n x="7" s="1"/>
        <n x="69" s="1"/>
        <n x="3" s="1"/>
        <n x="70" s="1"/>
        <n x="2" s="1"/>
        <n x="68"/>
        <n x="80"/>
        <n x="28"/>
      </t>
    </mdx>
    <mdx n="0" f="v">
      <t c="8">
        <n x="7" s="1"/>
        <n x="69" s="1"/>
        <n x="3" s="1"/>
        <n x="70" s="1"/>
        <n x="2" s="1"/>
        <n x="68"/>
        <n x="80"/>
        <n x="29"/>
      </t>
    </mdx>
    <mdx n="0" f="v">
      <t c="8">
        <n x="7" s="1"/>
        <n x="69" s="1"/>
        <n x="3" s="1"/>
        <n x="70" s="1"/>
        <n x="2" s="1"/>
        <n x="68"/>
        <n x="80"/>
        <n x="30"/>
      </t>
    </mdx>
    <mdx n="0" f="v">
      <t c="8">
        <n x="7" s="1"/>
        <n x="69" s="1"/>
        <n x="3" s="1"/>
        <n x="70" s="1"/>
        <n x="2" s="1"/>
        <n x="68"/>
        <n x="80"/>
        <n x="31"/>
      </t>
    </mdx>
    <mdx n="0" f="v">
      <t c="8">
        <n x="7" s="1"/>
        <n x="69" s="1"/>
        <n x="3" s="1"/>
        <n x="70" s="1"/>
        <n x="2" s="1"/>
        <n x="68"/>
        <n x="80"/>
        <n x="32"/>
      </t>
    </mdx>
    <mdx n="0" f="v">
      <t c="8">
        <n x="7" s="1"/>
        <n x="69" s="1"/>
        <n x="3" s="1"/>
        <n x="70" s="1"/>
        <n x="2" s="1"/>
        <n x="68"/>
        <n x="80"/>
        <n x="33"/>
      </t>
    </mdx>
    <mdx n="0" f="v">
      <t c="8">
        <n x="7" s="1"/>
        <n x="69" s="1"/>
        <n x="3" s="1"/>
        <n x="70" s="1"/>
        <n x="2" s="1"/>
        <n x="68"/>
        <n x="80"/>
        <n x="34"/>
      </t>
    </mdx>
    <mdx n="0" f="v">
      <t c="8">
        <n x="7" s="1"/>
        <n x="69" s="1"/>
        <n x="3" s="1"/>
        <n x="70" s="1"/>
        <n x="2" s="1"/>
        <n x="68"/>
        <n x="80"/>
        <n x="35"/>
      </t>
    </mdx>
    <mdx n="0" f="v">
      <t c="8">
        <n x="7" s="1"/>
        <n x="69" s="1"/>
        <n x="3" s="1"/>
        <n x="70" s="1"/>
        <n x="2" s="1"/>
        <n x="68"/>
        <n x="80"/>
        <n x="36"/>
      </t>
    </mdx>
    <mdx n="0" f="v">
      <t c="8">
        <n x="7" s="1"/>
        <n x="69" s="1"/>
        <n x="3" s="1"/>
        <n x="70" s="1"/>
        <n x="2" s="1"/>
        <n x="68"/>
        <n x="80"/>
        <n x="37"/>
      </t>
    </mdx>
    <mdx n="0" f="v">
      <t c="8">
        <n x="7" s="1"/>
        <n x="69" s="1"/>
        <n x="3" s="1"/>
        <n x="70" s="1"/>
        <n x="2" s="1"/>
        <n x="68"/>
        <n x="80"/>
        <n x="38"/>
      </t>
    </mdx>
    <mdx n="0" f="v">
      <t c="8">
        <n x="7" s="1"/>
        <n x="69" s="1"/>
        <n x="3" s="1"/>
        <n x="70" s="1"/>
        <n x="2" s="1"/>
        <n x="68"/>
        <n x="80"/>
        <n x="39"/>
      </t>
    </mdx>
    <mdx n="0" f="v">
      <t c="8">
        <n x="7" s="1"/>
        <n x="69" s="1"/>
        <n x="3" s="1"/>
        <n x="70" s="1"/>
        <n x="2" s="1"/>
        <n x="68"/>
        <n x="80"/>
        <n x="40"/>
      </t>
    </mdx>
    <mdx n="0" f="v">
      <t c="8">
        <n x="7" s="1"/>
        <n x="69" s="1"/>
        <n x="3" s="1"/>
        <n x="70" s="1"/>
        <n x="2" s="1"/>
        <n x="68"/>
        <n x="80"/>
        <n x="41"/>
      </t>
    </mdx>
    <mdx n="0" f="v">
      <t c="8">
        <n x="7" s="1"/>
        <n x="69" s="1"/>
        <n x="3" s="1"/>
        <n x="70" s="1"/>
        <n x="2" s="1"/>
        <n x="68"/>
        <n x="80"/>
        <n x="42"/>
      </t>
    </mdx>
    <mdx n="0" f="v">
      <t c="8">
        <n x="7" s="1"/>
        <n x="69" s="1"/>
        <n x="3" s="1"/>
        <n x="70" s="1"/>
        <n x="2" s="1"/>
        <n x="68"/>
        <n x="80"/>
        <n x="43"/>
      </t>
    </mdx>
    <mdx n="0" f="v">
      <t c="8">
        <n x="7" s="1"/>
        <n x="69" s="1"/>
        <n x="3" s="1"/>
        <n x="70" s="1"/>
        <n x="2" s="1"/>
        <n x="68"/>
        <n x="80"/>
        <n x="44"/>
      </t>
    </mdx>
    <mdx n="0" f="v">
      <t c="8">
        <n x="7" s="1"/>
        <n x="69" s="1"/>
        <n x="3" s="1"/>
        <n x="70" s="1"/>
        <n x="2" s="1"/>
        <n x="68"/>
        <n x="80"/>
        <n x="45"/>
      </t>
    </mdx>
    <mdx n="0" f="v">
      <t c="8">
        <n x="7" s="1"/>
        <n x="69" s="1"/>
        <n x="3" s="1"/>
        <n x="70" s="1"/>
        <n x="2" s="1"/>
        <n x="68"/>
        <n x="80"/>
        <n x="46"/>
      </t>
    </mdx>
    <mdx n="0" f="v">
      <t c="8">
        <n x="7" s="1"/>
        <n x="69" s="1"/>
        <n x="3" s="1"/>
        <n x="70" s="1"/>
        <n x="2" s="1"/>
        <n x="68"/>
        <n x="80"/>
        <n x="47"/>
      </t>
    </mdx>
    <mdx n="0" f="v">
      <t c="8">
        <n x="7" s="1"/>
        <n x="69" s="1"/>
        <n x="3" s="1"/>
        <n x="70" s="1"/>
        <n x="2" s="1"/>
        <n x="68"/>
        <n x="80"/>
        <n x="48"/>
      </t>
    </mdx>
    <mdx n="0" f="v">
      <t c="8">
        <n x="7" s="1"/>
        <n x="69" s="1"/>
        <n x="3" s="1"/>
        <n x="70" s="1"/>
        <n x="2" s="1"/>
        <n x="68"/>
        <n x="80"/>
        <n x="49"/>
      </t>
    </mdx>
    <mdx n="0" f="v">
      <t c="8">
        <n x="7" s="1"/>
        <n x="69" s="1"/>
        <n x="3" s="1"/>
        <n x="70" s="1"/>
        <n x="2" s="1"/>
        <n x="68"/>
        <n x="80"/>
        <n x="50"/>
      </t>
    </mdx>
    <mdx n="0" f="v">
      <t c="8">
        <n x="7" s="1"/>
        <n x="69" s="1"/>
        <n x="3" s="1"/>
        <n x="70" s="1"/>
        <n x="2" s="1"/>
        <n x="68"/>
        <n x="80"/>
        <n x="51"/>
      </t>
    </mdx>
    <mdx n="0" f="v">
      <t c="8">
        <n x="7" s="1"/>
        <n x="69" s="1"/>
        <n x="3" s="1"/>
        <n x="70" s="1"/>
        <n x="2" s="1"/>
        <n x="68"/>
        <n x="80"/>
        <n x="52"/>
      </t>
    </mdx>
    <mdx n="0" f="v">
      <t c="8">
        <n x="7" s="1"/>
        <n x="69" s="1"/>
        <n x="3" s="1"/>
        <n x="70" s="1"/>
        <n x="2" s="1"/>
        <n x="68"/>
        <n x="80"/>
        <n x="53"/>
      </t>
    </mdx>
    <mdx n="0" f="v">
      <t c="8">
        <n x="7" s="1"/>
        <n x="69" s="1"/>
        <n x="3" s="1"/>
        <n x="70" s="1"/>
        <n x="2" s="1"/>
        <n x="68"/>
        <n x="80"/>
        <n x="54"/>
      </t>
    </mdx>
    <mdx n="0" f="v">
      <t c="8">
        <n x="7" s="1"/>
        <n x="69" s="1"/>
        <n x="3" s="1"/>
        <n x="70" s="1"/>
        <n x="2" s="1"/>
        <n x="68"/>
        <n x="80"/>
        <n x="55"/>
      </t>
    </mdx>
    <mdx n="0" f="v">
      <t c="8">
        <n x="7" s="1"/>
        <n x="69" s="1"/>
        <n x="3" s="1"/>
        <n x="70" s="1"/>
        <n x="2" s="1"/>
        <n x="68"/>
        <n x="80"/>
        <n x="56"/>
      </t>
    </mdx>
    <mdx n="0" f="v">
      <t c="8">
        <n x="7" s="1"/>
        <n x="69" s="1"/>
        <n x="3" s="1"/>
        <n x="70" s="1"/>
        <n x="2" s="1"/>
        <n x="68"/>
        <n x="80"/>
        <n x="57"/>
      </t>
    </mdx>
    <mdx n="0" f="v">
      <t c="8">
        <n x="7" s="1"/>
        <n x="69" s="1"/>
        <n x="3" s="1"/>
        <n x="70" s="1"/>
        <n x="2" s="1"/>
        <n x="68"/>
        <n x="80"/>
        <n x="58"/>
      </t>
    </mdx>
    <mdx n="0" f="v">
      <t c="8">
        <n x="7" s="1"/>
        <n x="69" s="1"/>
        <n x="3" s="1"/>
        <n x="70" s="1"/>
        <n x="2" s="1"/>
        <n x="68"/>
        <n x="80"/>
        <n x="59"/>
      </t>
    </mdx>
    <mdx n="0" f="v">
      <t c="8">
        <n x="7" s="1"/>
        <n x="69" s="1"/>
        <n x="3" s="1"/>
        <n x="70" s="1"/>
        <n x="2" s="1"/>
        <n x="68"/>
        <n x="80"/>
        <n x="60"/>
      </t>
    </mdx>
    <mdx n="0" f="v">
      <t c="8">
        <n x="7" s="1"/>
        <n x="69" s="1"/>
        <n x="3" s="1"/>
        <n x="70" s="1"/>
        <n x="2" s="1"/>
        <n x="68"/>
        <n x="80"/>
        <n x="61"/>
      </t>
    </mdx>
    <mdx n="0" f="v">
      <t c="8">
        <n x="7" s="1"/>
        <n x="69" s="1"/>
        <n x="3" s="1"/>
        <n x="70" s="1"/>
        <n x="2" s="1"/>
        <n x="68"/>
        <n x="80"/>
        <n x="62"/>
      </t>
    </mdx>
    <mdx n="0" f="v">
      <t c="8">
        <n x="7" s="1"/>
        <n x="69" s="1"/>
        <n x="3" s="1"/>
        <n x="70" s="1"/>
        <n x="2" s="1"/>
        <n x="68"/>
        <n x="80"/>
        <n x="63"/>
      </t>
    </mdx>
    <mdx n="0" f="v">
      <t c="8">
        <n x="7" s="1"/>
        <n x="69" s="1"/>
        <n x="3" s="1"/>
        <n x="70" s="1"/>
        <n x="2" s="1"/>
        <n x="68"/>
        <n x="80"/>
        <n x="64"/>
      </t>
    </mdx>
    <mdx n="0" f="v">
      <t c="8">
        <n x="7" s="1"/>
        <n x="69" s="1"/>
        <n x="3" s="1"/>
        <n x="70" s="1"/>
        <n x="2" s="1"/>
        <n x="68"/>
        <n x="80"/>
        <n x="65"/>
      </t>
    </mdx>
    <mdx n="0" f="v">
      <t c="8">
        <n x="7" s="1"/>
        <n x="69" s="1"/>
        <n x="3" s="1"/>
        <n x="70" s="1"/>
        <n x="2" s="1"/>
        <n x="68"/>
        <n x="80"/>
        <n x="66"/>
      </t>
    </mdx>
    <mdx n="0" f="v">
      <t c="8">
        <n x="7" s="1"/>
        <n x="69" s="1"/>
        <n x="3" s="1"/>
        <n x="70" s="1"/>
        <n x="2" s="1"/>
        <n x="68"/>
        <n x="81"/>
        <n x="8"/>
      </t>
    </mdx>
    <mdx n="0" f="v">
      <t c="8">
        <n x="7" s="1"/>
        <n x="69" s="1"/>
        <n x="3" s="1"/>
        <n x="70" s="1"/>
        <n x="2" s="1"/>
        <n x="68"/>
        <n x="81"/>
        <n x="9"/>
      </t>
    </mdx>
    <mdx n="0" f="v">
      <t c="8">
        <n x="7" s="1"/>
        <n x="69" s="1"/>
        <n x="3" s="1"/>
        <n x="70" s="1"/>
        <n x="2" s="1"/>
        <n x="68"/>
        <n x="81"/>
        <n x="10"/>
      </t>
    </mdx>
    <mdx n="0" f="v">
      <t c="8">
        <n x="7" s="1"/>
        <n x="69" s="1"/>
        <n x="3" s="1"/>
        <n x="70" s="1"/>
        <n x="2" s="1"/>
        <n x="68"/>
        <n x="81"/>
        <n x="11"/>
      </t>
    </mdx>
    <mdx n="0" f="v">
      <t c="8">
        <n x="7" s="1"/>
        <n x="69" s="1"/>
        <n x="3" s="1"/>
        <n x="70" s="1"/>
        <n x="2" s="1"/>
        <n x="68"/>
        <n x="81"/>
        <n x="12"/>
      </t>
    </mdx>
    <mdx n="0" f="v">
      <t c="8">
        <n x="7" s="1"/>
        <n x="69" s="1"/>
        <n x="3" s="1"/>
        <n x="70" s="1"/>
        <n x="2" s="1"/>
        <n x="68"/>
        <n x="81"/>
        <n x="13"/>
      </t>
    </mdx>
    <mdx n="0" f="v">
      <t c="8">
        <n x="7" s="1"/>
        <n x="69" s="1"/>
        <n x="3" s="1"/>
        <n x="70" s="1"/>
        <n x="2" s="1"/>
        <n x="68"/>
        <n x="81"/>
        <n x="14"/>
      </t>
    </mdx>
    <mdx n="0" f="v">
      <t c="8">
        <n x="7" s="1"/>
        <n x="69" s="1"/>
        <n x="3" s="1"/>
        <n x="70" s="1"/>
        <n x="2" s="1"/>
        <n x="68"/>
        <n x="81"/>
        <n x="15"/>
      </t>
    </mdx>
    <mdx n="0" f="v">
      <t c="8">
        <n x="7" s="1"/>
        <n x="69" s="1"/>
        <n x="3" s="1"/>
        <n x="70" s="1"/>
        <n x="2" s="1"/>
        <n x="68"/>
        <n x="81"/>
        <n x="16"/>
      </t>
    </mdx>
    <mdx n="0" f="v">
      <t c="8">
        <n x="7" s="1"/>
        <n x="69" s="1"/>
        <n x="3" s="1"/>
        <n x="70" s="1"/>
        <n x="2" s="1"/>
        <n x="68"/>
        <n x="81"/>
        <n x="17"/>
      </t>
    </mdx>
    <mdx n="0" f="v">
      <t c="8">
        <n x="7" s="1"/>
        <n x="69" s="1"/>
        <n x="3" s="1"/>
        <n x="70" s="1"/>
        <n x="2" s="1"/>
        <n x="68"/>
        <n x="81"/>
        <n x="18"/>
      </t>
    </mdx>
    <mdx n="0" f="v">
      <t c="8">
        <n x="7" s="1"/>
        <n x="69" s="1"/>
        <n x="3" s="1"/>
        <n x="70" s="1"/>
        <n x="2" s="1"/>
        <n x="68"/>
        <n x="81"/>
        <n x="19"/>
      </t>
    </mdx>
    <mdx n="0" f="v">
      <t c="8">
        <n x="7" s="1"/>
        <n x="69" s="1"/>
        <n x="3" s="1"/>
        <n x="70" s="1"/>
        <n x="2" s="1"/>
        <n x="68"/>
        <n x="81"/>
        <n x="20"/>
      </t>
    </mdx>
    <mdx n="0" f="v">
      <t c="8">
        <n x="7" s="1"/>
        <n x="69" s="1"/>
        <n x="3" s="1"/>
        <n x="70" s="1"/>
        <n x="2" s="1"/>
        <n x="68"/>
        <n x="81"/>
        <n x="21"/>
      </t>
    </mdx>
    <mdx n="0" f="v">
      <t c="8">
        <n x="7" s="1"/>
        <n x="69" s="1"/>
        <n x="3" s="1"/>
        <n x="70" s="1"/>
        <n x="2" s="1"/>
        <n x="68"/>
        <n x="81"/>
        <n x="22"/>
      </t>
    </mdx>
    <mdx n="0" f="v">
      <t c="8">
        <n x="7" s="1"/>
        <n x="69" s="1"/>
        <n x="3" s="1"/>
        <n x="70" s="1"/>
        <n x="2" s="1"/>
        <n x="68"/>
        <n x="81"/>
        <n x="23"/>
      </t>
    </mdx>
    <mdx n="0" f="v">
      <t c="8">
        <n x="7" s="1"/>
        <n x="69" s="1"/>
        <n x="3" s="1"/>
        <n x="70" s="1"/>
        <n x="2" s="1"/>
        <n x="68"/>
        <n x="81"/>
        <n x="24"/>
      </t>
    </mdx>
    <mdx n="0" f="v">
      <t c="8">
        <n x="7" s="1"/>
        <n x="69" s="1"/>
        <n x="3" s="1"/>
        <n x="70" s="1"/>
        <n x="2" s="1"/>
        <n x="68"/>
        <n x="81"/>
        <n x="25"/>
      </t>
    </mdx>
    <mdx n="0" f="v">
      <t c="8">
        <n x="7" s="1"/>
        <n x="69" s="1"/>
        <n x="3" s="1"/>
        <n x="70" s="1"/>
        <n x="2" s="1"/>
        <n x="68"/>
        <n x="81"/>
        <n x="26"/>
      </t>
    </mdx>
    <mdx n="0" f="v">
      <t c="8">
        <n x="7" s="1"/>
        <n x="69" s="1"/>
        <n x="3" s="1"/>
        <n x="70" s="1"/>
        <n x="2" s="1"/>
        <n x="68"/>
        <n x="81"/>
        <n x="27"/>
      </t>
    </mdx>
    <mdx n="0" f="v">
      <t c="8">
        <n x="7" s="1"/>
        <n x="69" s="1"/>
        <n x="3" s="1"/>
        <n x="70" s="1"/>
        <n x="2" s="1"/>
        <n x="68"/>
        <n x="81"/>
        <n x="28"/>
      </t>
    </mdx>
    <mdx n="0" f="v">
      <t c="8">
        <n x="7" s="1"/>
        <n x="69" s="1"/>
        <n x="3" s="1"/>
        <n x="70" s="1"/>
        <n x="2" s="1"/>
        <n x="68"/>
        <n x="81"/>
        <n x="29"/>
      </t>
    </mdx>
    <mdx n="0" f="v">
      <t c="8">
        <n x="7" s="1"/>
        <n x="69" s="1"/>
        <n x="3" s="1"/>
        <n x="70" s="1"/>
        <n x="2" s="1"/>
        <n x="68"/>
        <n x="81"/>
        <n x="30"/>
      </t>
    </mdx>
    <mdx n="0" f="v">
      <t c="8">
        <n x="7" s="1"/>
        <n x="69" s="1"/>
        <n x="3" s="1"/>
        <n x="70" s="1"/>
        <n x="2" s="1"/>
        <n x="68"/>
        <n x="81"/>
        <n x="31"/>
      </t>
    </mdx>
    <mdx n="0" f="v">
      <t c="8">
        <n x="7" s="1"/>
        <n x="69" s="1"/>
        <n x="3" s="1"/>
        <n x="70" s="1"/>
        <n x="2" s="1"/>
        <n x="68"/>
        <n x="81"/>
        <n x="32"/>
      </t>
    </mdx>
    <mdx n="0" f="v">
      <t c="8">
        <n x="7" s="1"/>
        <n x="69" s="1"/>
        <n x="3" s="1"/>
        <n x="70" s="1"/>
        <n x="2" s="1"/>
        <n x="68"/>
        <n x="81"/>
        <n x="33"/>
      </t>
    </mdx>
    <mdx n="0" f="v">
      <t c="8">
        <n x="7" s="1"/>
        <n x="69" s="1"/>
        <n x="3" s="1"/>
        <n x="70" s="1"/>
        <n x="2" s="1"/>
        <n x="68"/>
        <n x="81"/>
        <n x="34"/>
      </t>
    </mdx>
    <mdx n="0" f="v">
      <t c="8">
        <n x="7" s="1"/>
        <n x="69" s="1"/>
        <n x="3" s="1"/>
        <n x="70" s="1"/>
        <n x="2" s="1"/>
        <n x="68"/>
        <n x="81"/>
        <n x="35"/>
      </t>
    </mdx>
    <mdx n="0" f="v">
      <t c="8">
        <n x="7" s="1"/>
        <n x="69" s="1"/>
        <n x="3" s="1"/>
        <n x="70" s="1"/>
        <n x="2" s="1"/>
        <n x="68"/>
        <n x="81"/>
        <n x="36"/>
      </t>
    </mdx>
    <mdx n="0" f="v">
      <t c="8">
        <n x="7" s="1"/>
        <n x="69" s="1"/>
        <n x="3" s="1"/>
        <n x="70" s="1"/>
        <n x="2" s="1"/>
        <n x="68"/>
        <n x="81"/>
        <n x="37"/>
      </t>
    </mdx>
    <mdx n="0" f="v">
      <t c="8">
        <n x="7" s="1"/>
        <n x="69" s="1"/>
        <n x="3" s="1"/>
        <n x="70" s="1"/>
        <n x="2" s="1"/>
        <n x="68"/>
        <n x="81"/>
        <n x="38"/>
      </t>
    </mdx>
    <mdx n="0" f="v">
      <t c="8">
        <n x="7" s="1"/>
        <n x="69" s="1"/>
        <n x="3" s="1"/>
        <n x="70" s="1"/>
        <n x="2" s="1"/>
        <n x="68"/>
        <n x="81"/>
        <n x="39"/>
      </t>
    </mdx>
    <mdx n="0" f="v">
      <t c="8">
        <n x="7" s="1"/>
        <n x="69" s="1"/>
        <n x="3" s="1"/>
        <n x="70" s="1"/>
        <n x="2" s="1"/>
        <n x="68"/>
        <n x="81"/>
        <n x="40"/>
      </t>
    </mdx>
    <mdx n="0" f="v">
      <t c="8">
        <n x="7" s="1"/>
        <n x="69" s="1"/>
        <n x="3" s="1"/>
        <n x="70" s="1"/>
        <n x="2" s="1"/>
        <n x="68"/>
        <n x="81"/>
        <n x="41"/>
      </t>
    </mdx>
    <mdx n="0" f="v">
      <t c="8">
        <n x="7" s="1"/>
        <n x="69" s="1"/>
        <n x="3" s="1"/>
        <n x="70" s="1"/>
        <n x="2" s="1"/>
        <n x="68"/>
        <n x="81"/>
        <n x="42"/>
      </t>
    </mdx>
    <mdx n="0" f="v">
      <t c="8">
        <n x="7" s="1"/>
        <n x="69" s="1"/>
        <n x="3" s="1"/>
        <n x="70" s="1"/>
        <n x="2" s="1"/>
        <n x="68"/>
        <n x="81"/>
        <n x="43"/>
      </t>
    </mdx>
    <mdx n="0" f="v">
      <t c="8">
        <n x="7" s="1"/>
        <n x="69" s="1"/>
        <n x="3" s="1"/>
        <n x="70" s="1"/>
        <n x="2" s="1"/>
        <n x="68"/>
        <n x="81"/>
        <n x="44"/>
      </t>
    </mdx>
    <mdx n="0" f="v">
      <t c="8">
        <n x="7" s="1"/>
        <n x="69" s="1"/>
        <n x="3" s="1"/>
        <n x="70" s="1"/>
        <n x="2" s="1"/>
        <n x="68"/>
        <n x="81"/>
        <n x="45"/>
      </t>
    </mdx>
    <mdx n="0" f="v">
      <t c="8">
        <n x="7" s="1"/>
        <n x="69" s="1"/>
        <n x="3" s="1"/>
        <n x="70" s="1"/>
        <n x="2" s="1"/>
        <n x="68"/>
        <n x="81"/>
        <n x="46"/>
      </t>
    </mdx>
    <mdx n="0" f="v">
      <t c="8">
        <n x="7" s="1"/>
        <n x="69" s="1"/>
        <n x="3" s="1"/>
        <n x="70" s="1"/>
        <n x="2" s="1"/>
        <n x="68"/>
        <n x="81"/>
        <n x="47"/>
      </t>
    </mdx>
    <mdx n="0" f="v">
      <t c="8">
        <n x="7" s="1"/>
        <n x="69" s="1"/>
        <n x="3" s="1"/>
        <n x="70" s="1"/>
        <n x="2" s="1"/>
        <n x="68"/>
        <n x="81"/>
        <n x="48"/>
      </t>
    </mdx>
    <mdx n="0" f="v">
      <t c="8">
        <n x="7" s="1"/>
        <n x="69" s="1"/>
        <n x="3" s="1"/>
        <n x="70" s="1"/>
        <n x="2" s="1"/>
        <n x="68"/>
        <n x="81"/>
        <n x="49"/>
      </t>
    </mdx>
    <mdx n="0" f="v">
      <t c="8">
        <n x="7" s="1"/>
        <n x="69" s="1"/>
        <n x="3" s="1"/>
        <n x="70" s="1"/>
        <n x="2" s="1"/>
        <n x="68"/>
        <n x="81"/>
        <n x="50"/>
      </t>
    </mdx>
    <mdx n="0" f="v">
      <t c="8">
        <n x="7" s="1"/>
        <n x="69" s="1"/>
        <n x="3" s="1"/>
        <n x="70" s="1"/>
        <n x="2" s="1"/>
        <n x="68"/>
        <n x="81"/>
        <n x="51"/>
      </t>
    </mdx>
    <mdx n="0" f="v">
      <t c="8">
        <n x="7" s="1"/>
        <n x="69" s="1"/>
        <n x="3" s="1"/>
        <n x="70" s="1"/>
        <n x="2" s="1"/>
        <n x="68"/>
        <n x="81"/>
        <n x="52"/>
      </t>
    </mdx>
    <mdx n="0" f="v">
      <t c="8">
        <n x="7" s="1"/>
        <n x="69" s="1"/>
        <n x="3" s="1"/>
        <n x="70" s="1"/>
        <n x="2" s="1"/>
        <n x="68"/>
        <n x="81"/>
        <n x="53"/>
      </t>
    </mdx>
    <mdx n="0" f="v">
      <t c="8">
        <n x="7" s="1"/>
        <n x="69" s="1"/>
        <n x="3" s="1"/>
        <n x="70" s="1"/>
        <n x="2" s="1"/>
        <n x="68"/>
        <n x="81"/>
        <n x="54"/>
      </t>
    </mdx>
    <mdx n="0" f="v">
      <t c="8">
        <n x="7" s="1"/>
        <n x="69" s="1"/>
        <n x="3" s="1"/>
        <n x="70" s="1"/>
        <n x="2" s="1"/>
        <n x="68"/>
        <n x="81"/>
        <n x="55"/>
      </t>
    </mdx>
    <mdx n="0" f="v">
      <t c="8">
        <n x="7" s="1"/>
        <n x="69" s="1"/>
        <n x="3" s="1"/>
        <n x="70" s="1"/>
        <n x="2" s="1"/>
        <n x="68"/>
        <n x="81"/>
        <n x="56"/>
      </t>
    </mdx>
    <mdx n="0" f="v">
      <t c="8">
        <n x="7" s="1"/>
        <n x="69" s="1"/>
        <n x="3" s="1"/>
        <n x="70" s="1"/>
        <n x="2" s="1"/>
        <n x="68"/>
        <n x="81"/>
        <n x="57"/>
      </t>
    </mdx>
    <mdx n="0" f="v">
      <t c="8">
        <n x="7" s="1"/>
        <n x="69" s="1"/>
        <n x="3" s="1"/>
        <n x="70" s="1"/>
        <n x="2" s="1"/>
        <n x="68"/>
        <n x="81"/>
        <n x="58"/>
      </t>
    </mdx>
    <mdx n="0" f="v">
      <t c="8">
        <n x="7" s="1"/>
        <n x="69" s="1"/>
        <n x="3" s="1"/>
        <n x="70" s="1"/>
        <n x="2" s="1"/>
        <n x="68"/>
        <n x="81"/>
        <n x="59"/>
      </t>
    </mdx>
    <mdx n="0" f="v">
      <t c="8">
        <n x="7" s="1"/>
        <n x="69" s="1"/>
        <n x="3" s="1"/>
        <n x="70" s="1"/>
        <n x="2" s="1"/>
        <n x="68"/>
        <n x="81"/>
        <n x="60"/>
      </t>
    </mdx>
    <mdx n="0" f="v">
      <t c="8">
        <n x="7" s="1"/>
        <n x="69" s="1"/>
        <n x="3" s="1"/>
        <n x="70" s="1"/>
        <n x="2" s="1"/>
        <n x="68"/>
        <n x="81"/>
        <n x="61"/>
      </t>
    </mdx>
    <mdx n="0" f="v">
      <t c="8">
        <n x="7" s="1"/>
        <n x="69" s="1"/>
        <n x="3" s="1"/>
        <n x="70" s="1"/>
        <n x="2" s="1"/>
        <n x="68"/>
        <n x="81"/>
        <n x="62"/>
      </t>
    </mdx>
    <mdx n="0" f="v">
      <t c="8">
        <n x="7" s="1"/>
        <n x="69" s="1"/>
        <n x="3" s="1"/>
        <n x="70" s="1"/>
        <n x="2" s="1"/>
        <n x="68"/>
        <n x="81"/>
        <n x="63"/>
      </t>
    </mdx>
    <mdx n="0" f="v">
      <t c="8">
        <n x="7" s="1"/>
        <n x="69" s="1"/>
        <n x="3" s="1"/>
        <n x="70" s="1"/>
        <n x="2" s="1"/>
        <n x="68"/>
        <n x="81"/>
        <n x="64"/>
      </t>
    </mdx>
    <mdx n="0" f="v">
      <t c="8">
        <n x="7" s="1"/>
        <n x="69" s="1"/>
        <n x="3" s="1"/>
        <n x="70" s="1"/>
        <n x="2" s="1"/>
        <n x="68"/>
        <n x="81"/>
        <n x="65"/>
      </t>
    </mdx>
    <mdx n="0" f="v">
      <t c="8">
        <n x="7" s="1"/>
        <n x="69" s="1"/>
        <n x="3" s="1"/>
        <n x="70" s="1"/>
        <n x="2" s="1"/>
        <n x="68"/>
        <n x="81"/>
        <n x="66"/>
      </t>
    </mdx>
    <mdx n="0" f="v">
      <t c="8">
        <n x="7" s="1"/>
        <n x="69" s="1"/>
        <n x="3" s="1"/>
        <n x="70" s="1"/>
        <n x="2" s="1"/>
        <n x="68"/>
        <n x="82"/>
        <n x="8"/>
      </t>
    </mdx>
    <mdx n="0" f="v">
      <t c="8">
        <n x="7" s="1"/>
        <n x="69" s="1"/>
        <n x="3" s="1"/>
        <n x="70" s="1"/>
        <n x="2" s="1"/>
        <n x="68"/>
        <n x="82"/>
        <n x="9"/>
      </t>
    </mdx>
    <mdx n="0" f="v">
      <t c="8">
        <n x="7" s="1"/>
        <n x="69" s="1"/>
        <n x="3" s="1"/>
        <n x="70" s="1"/>
        <n x="2" s="1"/>
        <n x="68"/>
        <n x="82"/>
        <n x="10"/>
      </t>
    </mdx>
    <mdx n="0" f="v">
      <t c="8">
        <n x="7" s="1"/>
        <n x="69" s="1"/>
        <n x="3" s="1"/>
        <n x="70" s="1"/>
        <n x="2" s="1"/>
        <n x="68"/>
        <n x="82"/>
        <n x="11"/>
      </t>
    </mdx>
    <mdx n="0" f="v">
      <t c="8">
        <n x="7" s="1"/>
        <n x="69" s="1"/>
        <n x="3" s="1"/>
        <n x="70" s="1"/>
        <n x="2" s="1"/>
        <n x="68"/>
        <n x="82"/>
        <n x="12"/>
      </t>
    </mdx>
    <mdx n="0" f="v">
      <t c="8">
        <n x="7" s="1"/>
        <n x="69" s="1"/>
        <n x="3" s="1"/>
        <n x="70" s="1"/>
        <n x="2" s="1"/>
        <n x="68"/>
        <n x="82"/>
        <n x="13"/>
      </t>
    </mdx>
    <mdx n="0" f="v">
      <t c="8">
        <n x="7" s="1"/>
        <n x="69" s="1"/>
        <n x="3" s="1"/>
        <n x="70" s="1"/>
        <n x="2" s="1"/>
        <n x="68"/>
        <n x="82"/>
        <n x="14"/>
      </t>
    </mdx>
    <mdx n="0" f="v">
      <t c="8">
        <n x="7" s="1"/>
        <n x="69" s="1"/>
        <n x="3" s="1"/>
        <n x="70" s="1"/>
        <n x="2" s="1"/>
        <n x="68"/>
        <n x="82"/>
        <n x="15"/>
      </t>
    </mdx>
    <mdx n="0" f="v">
      <t c="8">
        <n x="7" s="1"/>
        <n x="69" s="1"/>
        <n x="3" s="1"/>
        <n x="70" s="1"/>
        <n x="2" s="1"/>
        <n x="68"/>
        <n x="82"/>
        <n x="16"/>
      </t>
    </mdx>
    <mdx n="0" f="v">
      <t c="8">
        <n x="7" s="1"/>
        <n x="69" s="1"/>
        <n x="3" s="1"/>
        <n x="70" s="1"/>
        <n x="2" s="1"/>
        <n x="68"/>
        <n x="82"/>
        <n x="17"/>
      </t>
    </mdx>
    <mdx n="0" f="v">
      <t c="8">
        <n x="7" s="1"/>
        <n x="69" s="1"/>
        <n x="3" s="1"/>
        <n x="70" s="1"/>
        <n x="2" s="1"/>
        <n x="68"/>
        <n x="82"/>
        <n x="18"/>
      </t>
    </mdx>
    <mdx n="0" f="v">
      <t c="8">
        <n x="7" s="1"/>
        <n x="69" s="1"/>
        <n x="3" s="1"/>
        <n x="70" s="1"/>
        <n x="2" s="1"/>
        <n x="68"/>
        <n x="82"/>
        <n x="19"/>
      </t>
    </mdx>
    <mdx n="0" f="v">
      <t c="8">
        <n x="7" s="1"/>
        <n x="69" s="1"/>
        <n x="3" s="1"/>
        <n x="70" s="1"/>
        <n x="2" s="1"/>
        <n x="68"/>
        <n x="82"/>
        <n x="20"/>
      </t>
    </mdx>
    <mdx n="0" f="v">
      <t c="8">
        <n x="7" s="1"/>
        <n x="69" s="1"/>
        <n x="3" s="1"/>
        <n x="70" s="1"/>
        <n x="2" s="1"/>
        <n x="68"/>
        <n x="82"/>
        <n x="21"/>
      </t>
    </mdx>
    <mdx n="0" f="v">
      <t c="8">
        <n x="7" s="1"/>
        <n x="69" s="1"/>
        <n x="3" s="1"/>
        <n x="70" s="1"/>
        <n x="2" s="1"/>
        <n x="68"/>
        <n x="82"/>
        <n x="22"/>
      </t>
    </mdx>
    <mdx n="0" f="v">
      <t c="8">
        <n x="7" s="1"/>
        <n x="69" s="1"/>
        <n x="3" s="1"/>
        <n x="70" s="1"/>
        <n x="2" s="1"/>
        <n x="68"/>
        <n x="82"/>
        <n x="23"/>
      </t>
    </mdx>
    <mdx n="0" f="v">
      <t c="8">
        <n x="7" s="1"/>
        <n x="69" s="1"/>
        <n x="3" s="1"/>
        <n x="70" s="1"/>
        <n x="2" s="1"/>
        <n x="68"/>
        <n x="82"/>
        <n x="24"/>
      </t>
    </mdx>
    <mdx n="0" f="v">
      <t c="8">
        <n x="7" s="1"/>
        <n x="69" s="1"/>
        <n x="3" s="1"/>
        <n x="70" s="1"/>
        <n x="2" s="1"/>
        <n x="68"/>
        <n x="82"/>
        <n x="25"/>
      </t>
    </mdx>
    <mdx n="0" f="v">
      <t c="8">
        <n x="7" s="1"/>
        <n x="69" s="1"/>
        <n x="3" s="1"/>
        <n x="70" s="1"/>
        <n x="2" s="1"/>
        <n x="68"/>
        <n x="82"/>
        <n x="26"/>
      </t>
    </mdx>
    <mdx n="0" f="v">
      <t c="8">
        <n x="7" s="1"/>
        <n x="69" s="1"/>
        <n x="3" s="1"/>
        <n x="70" s="1"/>
        <n x="2" s="1"/>
        <n x="68"/>
        <n x="82"/>
        <n x="27"/>
      </t>
    </mdx>
    <mdx n="0" f="v">
      <t c="8">
        <n x="7" s="1"/>
        <n x="69" s="1"/>
        <n x="3" s="1"/>
        <n x="70" s="1"/>
        <n x="2" s="1"/>
        <n x="68"/>
        <n x="82"/>
        <n x="28"/>
      </t>
    </mdx>
    <mdx n="0" f="v">
      <t c="8">
        <n x="7" s="1"/>
        <n x="69" s="1"/>
        <n x="3" s="1"/>
        <n x="70" s="1"/>
        <n x="2" s="1"/>
        <n x="68"/>
        <n x="82"/>
        <n x="29"/>
      </t>
    </mdx>
    <mdx n="0" f="v">
      <t c="8">
        <n x="7" s="1"/>
        <n x="69" s="1"/>
        <n x="3" s="1"/>
        <n x="70" s="1"/>
        <n x="2" s="1"/>
        <n x="68"/>
        <n x="82"/>
        <n x="30"/>
      </t>
    </mdx>
    <mdx n="0" f="v">
      <t c="8">
        <n x="7" s="1"/>
        <n x="69" s="1"/>
        <n x="3" s="1"/>
        <n x="70" s="1"/>
        <n x="2" s="1"/>
        <n x="68"/>
        <n x="82"/>
        <n x="31"/>
      </t>
    </mdx>
    <mdx n="0" f="v">
      <t c="8">
        <n x="7" s="1"/>
        <n x="69" s="1"/>
        <n x="3" s="1"/>
        <n x="70" s="1"/>
        <n x="2" s="1"/>
        <n x="68"/>
        <n x="82"/>
        <n x="32"/>
      </t>
    </mdx>
    <mdx n="0" f="v">
      <t c="8">
        <n x="7" s="1"/>
        <n x="69" s="1"/>
        <n x="3" s="1"/>
        <n x="70" s="1"/>
        <n x="2" s="1"/>
        <n x="68"/>
        <n x="82"/>
        <n x="33"/>
      </t>
    </mdx>
    <mdx n="0" f="v">
      <t c="8">
        <n x="7" s="1"/>
        <n x="69" s="1"/>
        <n x="3" s="1"/>
        <n x="70" s="1"/>
        <n x="2" s="1"/>
        <n x="68"/>
        <n x="82"/>
        <n x="34"/>
      </t>
    </mdx>
    <mdx n="0" f="v">
      <t c="8">
        <n x="7" s="1"/>
        <n x="69" s="1"/>
        <n x="3" s="1"/>
        <n x="70" s="1"/>
        <n x="2" s="1"/>
        <n x="68"/>
        <n x="82"/>
        <n x="35"/>
      </t>
    </mdx>
    <mdx n="0" f="v">
      <t c="8">
        <n x="7" s="1"/>
        <n x="69" s="1"/>
        <n x="3" s="1"/>
        <n x="70" s="1"/>
        <n x="2" s="1"/>
        <n x="68"/>
        <n x="82"/>
        <n x="36"/>
      </t>
    </mdx>
    <mdx n="0" f="v">
      <t c="8">
        <n x="7" s="1"/>
        <n x="69" s="1"/>
        <n x="3" s="1"/>
        <n x="70" s="1"/>
        <n x="2" s="1"/>
        <n x="68"/>
        <n x="82"/>
        <n x="37"/>
      </t>
    </mdx>
    <mdx n="0" f="v">
      <t c="8">
        <n x="7" s="1"/>
        <n x="69" s="1"/>
        <n x="3" s="1"/>
        <n x="70" s="1"/>
        <n x="2" s="1"/>
        <n x="68"/>
        <n x="82"/>
        <n x="38"/>
      </t>
    </mdx>
    <mdx n="0" f="v">
      <t c="8">
        <n x="7" s="1"/>
        <n x="69" s="1"/>
        <n x="3" s="1"/>
        <n x="70" s="1"/>
        <n x="2" s="1"/>
        <n x="68"/>
        <n x="82"/>
        <n x="39"/>
      </t>
    </mdx>
    <mdx n="0" f="v">
      <t c="8">
        <n x="7" s="1"/>
        <n x="69" s="1"/>
        <n x="3" s="1"/>
        <n x="70" s="1"/>
        <n x="2" s="1"/>
        <n x="68"/>
        <n x="82"/>
        <n x="40"/>
      </t>
    </mdx>
    <mdx n="0" f="v">
      <t c="8">
        <n x="7" s="1"/>
        <n x="69" s="1"/>
        <n x="3" s="1"/>
        <n x="70" s="1"/>
        <n x="2" s="1"/>
        <n x="68"/>
        <n x="82"/>
        <n x="41"/>
      </t>
    </mdx>
    <mdx n="0" f="v">
      <t c="8">
        <n x="7" s="1"/>
        <n x="69" s="1"/>
        <n x="3" s="1"/>
        <n x="70" s="1"/>
        <n x="2" s="1"/>
        <n x="68"/>
        <n x="82"/>
        <n x="42"/>
      </t>
    </mdx>
    <mdx n="0" f="v">
      <t c="8">
        <n x="7" s="1"/>
        <n x="69" s="1"/>
        <n x="3" s="1"/>
        <n x="70" s="1"/>
        <n x="2" s="1"/>
        <n x="68"/>
        <n x="82"/>
        <n x="43"/>
      </t>
    </mdx>
    <mdx n="0" f="v">
      <t c="8">
        <n x="7" s="1"/>
        <n x="69" s="1"/>
        <n x="3" s="1"/>
        <n x="70" s="1"/>
        <n x="2" s="1"/>
        <n x="68"/>
        <n x="82"/>
        <n x="44"/>
      </t>
    </mdx>
    <mdx n="0" f="v">
      <t c="8">
        <n x="7" s="1"/>
        <n x="69" s="1"/>
        <n x="3" s="1"/>
        <n x="70" s="1"/>
        <n x="2" s="1"/>
        <n x="68"/>
        <n x="82"/>
        <n x="45"/>
      </t>
    </mdx>
    <mdx n="0" f="v">
      <t c="8">
        <n x="7" s="1"/>
        <n x="69" s="1"/>
        <n x="3" s="1"/>
        <n x="70" s="1"/>
        <n x="2" s="1"/>
        <n x="68"/>
        <n x="82"/>
        <n x="46"/>
      </t>
    </mdx>
    <mdx n="0" f="v">
      <t c="8">
        <n x="7" s="1"/>
        <n x="69" s="1"/>
        <n x="3" s="1"/>
        <n x="70" s="1"/>
        <n x="2" s="1"/>
        <n x="68"/>
        <n x="82"/>
        <n x="47"/>
      </t>
    </mdx>
    <mdx n="0" f="v">
      <t c="8">
        <n x="7" s="1"/>
        <n x="69" s="1"/>
        <n x="3" s="1"/>
        <n x="70" s="1"/>
        <n x="2" s="1"/>
        <n x="68"/>
        <n x="82"/>
        <n x="48"/>
      </t>
    </mdx>
    <mdx n="0" f="v">
      <t c="8">
        <n x="7" s="1"/>
        <n x="69" s="1"/>
        <n x="3" s="1"/>
        <n x="70" s="1"/>
        <n x="2" s="1"/>
        <n x="68"/>
        <n x="82"/>
        <n x="49"/>
      </t>
    </mdx>
    <mdx n="0" f="v">
      <t c="8">
        <n x="7" s="1"/>
        <n x="69" s="1"/>
        <n x="3" s="1"/>
        <n x="70" s="1"/>
        <n x="2" s="1"/>
        <n x="68"/>
        <n x="82"/>
        <n x="50"/>
      </t>
    </mdx>
    <mdx n="0" f="v">
      <t c="8">
        <n x="7" s="1"/>
        <n x="69" s="1"/>
        <n x="3" s="1"/>
        <n x="70" s="1"/>
        <n x="2" s="1"/>
        <n x="68"/>
        <n x="82"/>
        <n x="51"/>
      </t>
    </mdx>
    <mdx n="0" f="v">
      <t c="8">
        <n x="7" s="1"/>
        <n x="69" s="1"/>
        <n x="3" s="1"/>
        <n x="70" s="1"/>
        <n x="2" s="1"/>
        <n x="68"/>
        <n x="82"/>
        <n x="52"/>
      </t>
    </mdx>
    <mdx n="0" f="v">
      <t c="8">
        <n x="7" s="1"/>
        <n x="69" s="1"/>
        <n x="3" s="1"/>
        <n x="70" s="1"/>
        <n x="2" s="1"/>
        <n x="68"/>
        <n x="82"/>
        <n x="53"/>
      </t>
    </mdx>
    <mdx n="0" f="v">
      <t c="8">
        <n x="7" s="1"/>
        <n x="69" s="1"/>
        <n x="3" s="1"/>
        <n x="70" s="1"/>
        <n x="2" s="1"/>
        <n x="68"/>
        <n x="82"/>
        <n x="54"/>
      </t>
    </mdx>
    <mdx n="0" f="v">
      <t c="8">
        <n x="7" s="1"/>
        <n x="69" s="1"/>
        <n x="3" s="1"/>
        <n x="70" s="1"/>
        <n x="2" s="1"/>
        <n x="68"/>
        <n x="82"/>
        <n x="55"/>
      </t>
    </mdx>
    <mdx n="0" f="v">
      <t c="8">
        <n x="7" s="1"/>
        <n x="69" s="1"/>
        <n x="3" s="1"/>
        <n x="70" s="1"/>
        <n x="2" s="1"/>
        <n x="68"/>
        <n x="82"/>
        <n x="56"/>
      </t>
    </mdx>
    <mdx n="0" f="v">
      <t c="8">
        <n x="7" s="1"/>
        <n x="69" s="1"/>
        <n x="3" s="1"/>
        <n x="70" s="1"/>
        <n x="2" s="1"/>
        <n x="68"/>
        <n x="82"/>
        <n x="57"/>
      </t>
    </mdx>
    <mdx n="0" f="v">
      <t c="8">
        <n x="7" s="1"/>
        <n x="69" s="1"/>
        <n x="3" s="1"/>
        <n x="70" s="1"/>
        <n x="2" s="1"/>
        <n x="68"/>
        <n x="82"/>
        <n x="58"/>
      </t>
    </mdx>
    <mdx n="0" f="v">
      <t c="8">
        <n x="7" s="1"/>
        <n x="69" s="1"/>
        <n x="3" s="1"/>
        <n x="70" s="1"/>
        <n x="2" s="1"/>
        <n x="68"/>
        <n x="82"/>
        <n x="59"/>
      </t>
    </mdx>
    <mdx n="0" f="v">
      <t c="8">
        <n x="7" s="1"/>
        <n x="69" s="1"/>
        <n x="3" s="1"/>
        <n x="70" s="1"/>
        <n x="2" s="1"/>
        <n x="68"/>
        <n x="82"/>
        <n x="60"/>
      </t>
    </mdx>
    <mdx n="0" f="v">
      <t c="8">
        <n x="7" s="1"/>
        <n x="69" s="1"/>
        <n x="3" s="1"/>
        <n x="70" s="1"/>
        <n x="2" s="1"/>
        <n x="68"/>
        <n x="82"/>
        <n x="61"/>
      </t>
    </mdx>
    <mdx n="0" f="v">
      <t c="8">
        <n x="7" s="1"/>
        <n x="69" s="1"/>
        <n x="3" s="1"/>
        <n x="70" s="1"/>
        <n x="2" s="1"/>
        <n x="68"/>
        <n x="82"/>
        <n x="62"/>
      </t>
    </mdx>
    <mdx n="0" f="v">
      <t c="8">
        <n x="7" s="1"/>
        <n x="69" s="1"/>
        <n x="3" s="1"/>
        <n x="70" s="1"/>
        <n x="2" s="1"/>
        <n x="68"/>
        <n x="82"/>
        <n x="63"/>
      </t>
    </mdx>
    <mdx n="0" f="v">
      <t c="8">
        <n x="7" s="1"/>
        <n x="69" s="1"/>
        <n x="3" s="1"/>
        <n x="70" s="1"/>
        <n x="2" s="1"/>
        <n x="68"/>
        <n x="82"/>
        <n x="64"/>
      </t>
    </mdx>
    <mdx n="0" f="v">
      <t c="8">
        <n x="7" s="1"/>
        <n x="69" s="1"/>
        <n x="3" s="1"/>
        <n x="70" s="1"/>
        <n x="2" s="1"/>
        <n x="68"/>
        <n x="82"/>
        <n x="65"/>
      </t>
    </mdx>
    <mdx n="0" f="v">
      <t c="8">
        <n x="7" s="1"/>
        <n x="69" s="1"/>
        <n x="3" s="1"/>
        <n x="70" s="1"/>
        <n x="2" s="1"/>
        <n x="68"/>
        <n x="82"/>
        <n x="66"/>
      </t>
    </mdx>
    <mdx n="0" f="v">
      <t c="8">
        <n x="7" s="1"/>
        <n x="69" s="1"/>
        <n x="3" s="1"/>
        <n x="70" s="1"/>
        <n x="2" s="1"/>
        <n x="68"/>
        <n x="83"/>
        <n x="8"/>
      </t>
    </mdx>
    <mdx n="0" f="v">
      <t c="8">
        <n x="7" s="1"/>
        <n x="69" s="1"/>
        <n x="3" s="1"/>
        <n x="70" s="1"/>
        <n x="2" s="1"/>
        <n x="68"/>
        <n x="83"/>
        <n x="9"/>
      </t>
    </mdx>
    <mdx n="0" f="v">
      <t c="8">
        <n x="7" s="1"/>
        <n x="69" s="1"/>
        <n x="3" s="1"/>
        <n x="70" s="1"/>
        <n x="2" s="1"/>
        <n x="68"/>
        <n x="83"/>
        <n x="10"/>
      </t>
    </mdx>
    <mdx n="0" f="v">
      <t c="8">
        <n x="7" s="1"/>
        <n x="69" s="1"/>
        <n x="3" s="1"/>
        <n x="70" s="1"/>
        <n x="2" s="1"/>
        <n x="68"/>
        <n x="83"/>
        <n x="11"/>
      </t>
    </mdx>
    <mdx n="0" f="v">
      <t c="8">
        <n x="7" s="1"/>
        <n x="69" s="1"/>
        <n x="3" s="1"/>
        <n x="70" s="1"/>
        <n x="2" s="1"/>
        <n x="68"/>
        <n x="83"/>
        <n x="12"/>
      </t>
    </mdx>
    <mdx n="0" f="v">
      <t c="8">
        <n x="7" s="1"/>
        <n x="69" s="1"/>
        <n x="3" s="1"/>
        <n x="70" s="1"/>
        <n x="2" s="1"/>
        <n x="68"/>
        <n x="83"/>
        <n x="13"/>
      </t>
    </mdx>
    <mdx n="0" f="v">
      <t c="8">
        <n x="7" s="1"/>
        <n x="69" s="1"/>
        <n x="3" s="1"/>
        <n x="70" s="1"/>
        <n x="2" s="1"/>
        <n x="68"/>
        <n x="83"/>
        <n x="14"/>
      </t>
    </mdx>
    <mdx n="0" f="v">
      <t c="8">
        <n x="7" s="1"/>
        <n x="69" s="1"/>
        <n x="3" s="1"/>
        <n x="70" s="1"/>
        <n x="2" s="1"/>
        <n x="68"/>
        <n x="83"/>
        <n x="15"/>
      </t>
    </mdx>
    <mdx n="0" f="v">
      <t c="8">
        <n x="7" s="1"/>
        <n x="69" s="1"/>
        <n x="3" s="1"/>
        <n x="70" s="1"/>
        <n x="2" s="1"/>
        <n x="68"/>
        <n x="83"/>
        <n x="16"/>
      </t>
    </mdx>
    <mdx n="0" f="v">
      <t c="8">
        <n x="7" s="1"/>
        <n x="69" s="1"/>
        <n x="3" s="1"/>
        <n x="70" s="1"/>
        <n x="2" s="1"/>
        <n x="68"/>
        <n x="83"/>
        <n x="17"/>
      </t>
    </mdx>
    <mdx n="0" f="v">
      <t c="8">
        <n x="7" s="1"/>
        <n x="69" s="1"/>
        <n x="3" s="1"/>
        <n x="70" s="1"/>
        <n x="2" s="1"/>
        <n x="68"/>
        <n x="83"/>
        <n x="18"/>
      </t>
    </mdx>
    <mdx n="0" f="v">
      <t c="8">
        <n x="7" s="1"/>
        <n x="69" s="1"/>
        <n x="3" s="1"/>
        <n x="70" s="1"/>
        <n x="2" s="1"/>
        <n x="68"/>
        <n x="83"/>
        <n x="19"/>
      </t>
    </mdx>
    <mdx n="0" f="v">
      <t c="8">
        <n x="7" s="1"/>
        <n x="69" s="1"/>
        <n x="3" s="1"/>
        <n x="70" s="1"/>
        <n x="2" s="1"/>
        <n x="68"/>
        <n x="83"/>
        <n x="20"/>
      </t>
    </mdx>
    <mdx n="0" f="v">
      <t c="8">
        <n x="7" s="1"/>
        <n x="69" s="1"/>
        <n x="3" s="1"/>
        <n x="70" s="1"/>
        <n x="2" s="1"/>
        <n x="68"/>
        <n x="83"/>
        <n x="21"/>
      </t>
    </mdx>
    <mdx n="0" f="v">
      <t c="8">
        <n x="7" s="1"/>
        <n x="69" s="1"/>
        <n x="3" s="1"/>
        <n x="70" s="1"/>
        <n x="2" s="1"/>
        <n x="68"/>
        <n x="83"/>
        <n x="22"/>
      </t>
    </mdx>
    <mdx n="0" f="v">
      <t c="8">
        <n x="7" s="1"/>
        <n x="69" s="1"/>
        <n x="3" s="1"/>
        <n x="70" s="1"/>
        <n x="2" s="1"/>
        <n x="68"/>
        <n x="83"/>
        <n x="23"/>
      </t>
    </mdx>
    <mdx n="0" f="v">
      <t c="8">
        <n x="7" s="1"/>
        <n x="69" s="1"/>
        <n x="3" s="1"/>
        <n x="70" s="1"/>
        <n x="2" s="1"/>
        <n x="68"/>
        <n x="83"/>
        <n x="24"/>
      </t>
    </mdx>
    <mdx n="0" f="v">
      <t c="8">
        <n x="7" s="1"/>
        <n x="69" s="1"/>
        <n x="3" s="1"/>
        <n x="70" s="1"/>
        <n x="2" s="1"/>
        <n x="68"/>
        <n x="83"/>
        <n x="25"/>
      </t>
    </mdx>
    <mdx n="0" f="v">
      <t c="8">
        <n x="7" s="1"/>
        <n x="69" s="1"/>
        <n x="3" s="1"/>
        <n x="70" s="1"/>
        <n x="2" s="1"/>
        <n x="68"/>
        <n x="83"/>
        <n x="26"/>
      </t>
    </mdx>
    <mdx n="0" f="v">
      <t c="8">
        <n x="7" s="1"/>
        <n x="69" s="1"/>
        <n x="3" s="1"/>
        <n x="70" s="1"/>
        <n x="2" s="1"/>
        <n x="68"/>
        <n x="83"/>
        <n x="27"/>
      </t>
    </mdx>
    <mdx n="0" f="v">
      <t c="8">
        <n x="7" s="1"/>
        <n x="69" s="1"/>
        <n x="3" s="1"/>
        <n x="70" s="1"/>
        <n x="2" s="1"/>
        <n x="68"/>
        <n x="83"/>
        <n x="28"/>
      </t>
    </mdx>
    <mdx n="0" f="v">
      <t c="8">
        <n x="7" s="1"/>
        <n x="69" s="1"/>
        <n x="3" s="1"/>
        <n x="70" s="1"/>
        <n x="2" s="1"/>
        <n x="68"/>
        <n x="83"/>
        <n x="29"/>
      </t>
    </mdx>
    <mdx n="0" f="v">
      <t c="8">
        <n x="7" s="1"/>
        <n x="69" s="1"/>
        <n x="3" s="1"/>
        <n x="70" s="1"/>
        <n x="2" s="1"/>
        <n x="68"/>
        <n x="83"/>
        <n x="30"/>
      </t>
    </mdx>
    <mdx n="0" f="v">
      <t c="8">
        <n x="7" s="1"/>
        <n x="69" s="1"/>
        <n x="3" s="1"/>
        <n x="70" s="1"/>
        <n x="2" s="1"/>
        <n x="68"/>
        <n x="83"/>
        <n x="31"/>
      </t>
    </mdx>
    <mdx n="0" f="v">
      <t c="8">
        <n x="7" s="1"/>
        <n x="69" s="1"/>
        <n x="3" s="1"/>
        <n x="70" s="1"/>
        <n x="2" s="1"/>
        <n x="68"/>
        <n x="83"/>
        <n x="32"/>
      </t>
    </mdx>
    <mdx n="0" f="v">
      <t c="8">
        <n x="7" s="1"/>
        <n x="69" s="1"/>
        <n x="3" s="1"/>
        <n x="70" s="1"/>
        <n x="2" s="1"/>
        <n x="68"/>
        <n x="83"/>
        <n x="33"/>
      </t>
    </mdx>
    <mdx n="0" f="v">
      <t c="8">
        <n x="7" s="1"/>
        <n x="69" s="1"/>
        <n x="3" s="1"/>
        <n x="70" s="1"/>
        <n x="2" s="1"/>
        <n x="68"/>
        <n x="83"/>
        <n x="34"/>
      </t>
    </mdx>
    <mdx n="0" f="v">
      <t c="8">
        <n x="7" s="1"/>
        <n x="69" s="1"/>
        <n x="3" s="1"/>
        <n x="70" s="1"/>
        <n x="2" s="1"/>
        <n x="68"/>
        <n x="83"/>
        <n x="35"/>
      </t>
    </mdx>
    <mdx n="0" f="v">
      <t c="8">
        <n x="7" s="1"/>
        <n x="69" s="1"/>
        <n x="3" s="1"/>
        <n x="70" s="1"/>
        <n x="2" s="1"/>
        <n x="68"/>
        <n x="83"/>
        <n x="36"/>
      </t>
    </mdx>
    <mdx n="0" f="v">
      <t c="8">
        <n x="7" s="1"/>
        <n x="69" s="1"/>
        <n x="3" s="1"/>
        <n x="70" s="1"/>
        <n x="2" s="1"/>
        <n x="68"/>
        <n x="83"/>
        <n x="37"/>
      </t>
    </mdx>
    <mdx n="0" f="v">
      <t c="8">
        <n x="7" s="1"/>
        <n x="69" s="1"/>
        <n x="3" s="1"/>
        <n x="70" s="1"/>
        <n x="2" s="1"/>
        <n x="68"/>
        <n x="83"/>
        <n x="38"/>
      </t>
    </mdx>
    <mdx n="0" f="v">
      <t c="8">
        <n x="7" s="1"/>
        <n x="69" s="1"/>
        <n x="3" s="1"/>
        <n x="70" s="1"/>
        <n x="2" s="1"/>
        <n x="68"/>
        <n x="83"/>
        <n x="39"/>
      </t>
    </mdx>
    <mdx n="0" f="v">
      <t c="8">
        <n x="7" s="1"/>
        <n x="69" s="1"/>
        <n x="3" s="1"/>
        <n x="70" s="1"/>
        <n x="2" s="1"/>
        <n x="68"/>
        <n x="83"/>
        <n x="40"/>
      </t>
    </mdx>
    <mdx n="0" f="v">
      <t c="8">
        <n x="7" s="1"/>
        <n x="69" s="1"/>
        <n x="3" s="1"/>
        <n x="70" s="1"/>
        <n x="2" s="1"/>
        <n x="68"/>
        <n x="83"/>
        <n x="41"/>
      </t>
    </mdx>
    <mdx n="0" f="v">
      <t c="8">
        <n x="7" s="1"/>
        <n x="69" s="1"/>
        <n x="3" s="1"/>
        <n x="70" s="1"/>
        <n x="2" s="1"/>
        <n x="68"/>
        <n x="83"/>
        <n x="42"/>
      </t>
    </mdx>
    <mdx n="0" f="v">
      <t c="8">
        <n x="7" s="1"/>
        <n x="69" s="1"/>
        <n x="3" s="1"/>
        <n x="70" s="1"/>
        <n x="2" s="1"/>
        <n x="68"/>
        <n x="83"/>
        <n x="43"/>
      </t>
    </mdx>
    <mdx n="0" f="v">
      <t c="8">
        <n x="7" s="1"/>
        <n x="69" s="1"/>
        <n x="3" s="1"/>
        <n x="70" s="1"/>
        <n x="2" s="1"/>
        <n x="68"/>
        <n x="83"/>
        <n x="44"/>
      </t>
    </mdx>
    <mdx n="0" f="v">
      <t c="8">
        <n x="7" s="1"/>
        <n x="69" s="1"/>
        <n x="3" s="1"/>
        <n x="70" s="1"/>
        <n x="2" s="1"/>
        <n x="68"/>
        <n x="83"/>
        <n x="45"/>
      </t>
    </mdx>
    <mdx n="0" f="v">
      <t c="8">
        <n x="7" s="1"/>
        <n x="69" s="1"/>
        <n x="3" s="1"/>
        <n x="70" s="1"/>
        <n x="2" s="1"/>
        <n x="68"/>
        <n x="83"/>
        <n x="46"/>
      </t>
    </mdx>
    <mdx n="0" f="v">
      <t c="8">
        <n x="7" s="1"/>
        <n x="69" s="1"/>
        <n x="3" s="1"/>
        <n x="70" s="1"/>
        <n x="2" s="1"/>
        <n x="68"/>
        <n x="83"/>
        <n x="47"/>
      </t>
    </mdx>
    <mdx n="0" f="v">
      <t c="8">
        <n x="7" s="1"/>
        <n x="69" s="1"/>
        <n x="3" s="1"/>
        <n x="70" s="1"/>
        <n x="2" s="1"/>
        <n x="68"/>
        <n x="83"/>
        <n x="48"/>
      </t>
    </mdx>
    <mdx n="0" f="v">
      <t c="8">
        <n x="7" s="1"/>
        <n x="69" s="1"/>
        <n x="3" s="1"/>
        <n x="70" s="1"/>
        <n x="2" s="1"/>
        <n x="68"/>
        <n x="83"/>
        <n x="49"/>
      </t>
    </mdx>
    <mdx n="0" f="v">
      <t c="8">
        <n x="7" s="1"/>
        <n x="69" s="1"/>
        <n x="3" s="1"/>
        <n x="70" s="1"/>
        <n x="2" s="1"/>
        <n x="68"/>
        <n x="83"/>
        <n x="50"/>
      </t>
    </mdx>
    <mdx n="0" f="v">
      <t c="8">
        <n x="7" s="1"/>
        <n x="69" s="1"/>
        <n x="3" s="1"/>
        <n x="70" s="1"/>
        <n x="2" s="1"/>
        <n x="68"/>
        <n x="83"/>
        <n x="51"/>
      </t>
    </mdx>
    <mdx n="0" f="v">
      <t c="8">
        <n x="7" s="1"/>
        <n x="69" s="1"/>
        <n x="3" s="1"/>
        <n x="70" s="1"/>
        <n x="2" s="1"/>
        <n x="68"/>
        <n x="83"/>
        <n x="52"/>
      </t>
    </mdx>
    <mdx n="0" f="v">
      <t c="8">
        <n x="7" s="1"/>
        <n x="69" s="1"/>
        <n x="3" s="1"/>
        <n x="70" s="1"/>
        <n x="2" s="1"/>
        <n x="68"/>
        <n x="83"/>
        <n x="53"/>
      </t>
    </mdx>
    <mdx n="0" f="v">
      <t c="8">
        <n x="7" s="1"/>
        <n x="69" s="1"/>
        <n x="3" s="1"/>
        <n x="70" s="1"/>
        <n x="2" s="1"/>
        <n x="68"/>
        <n x="83"/>
        <n x="54"/>
      </t>
    </mdx>
    <mdx n="0" f="v">
      <t c="8">
        <n x="7" s="1"/>
        <n x="69" s="1"/>
        <n x="3" s="1"/>
        <n x="70" s="1"/>
        <n x="2" s="1"/>
        <n x="68"/>
        <n x="83"/>
        <n x="55"/>
      </t>
    </mdx>
    <mdx n="0" f="v">
      <t c="8">
        <n x="7" s="1"/>
        <n x="69" s="1"/>
        <n x="3" s="1"/>
        <n x="70" s="1"/>
        <n x="2" s="1"/>
        <n x="68"/>
        <n x="83"/>
        <n x="56"/>
      </t>
    </mdx>
    <mdx n="0" f="v">
      <t c="8">
        <n x="7" s="1"/>
        <n x="69" s="1"/>
        <n x="3" s="1"/>
        <n x="70" s="1"/>
        <n x="2" s="1"/>
        <n x="68"/>
        <n x="83"/>
        <n x="57"/>
      </t>
    </mdx>
    <mdx n="0" f="v">
      <t c="8">
        <n x="7" s="1"/>
        <n x="69" s="1"/>
        <n x="3" s="1"/>
        <n x="70" s="1"/>
        <n x="2" s="1"/>
        <n x="68"/>
        <n x="83"/>
        <n x="58"/>
      </t>
    </mdx>
    <mdx n="0" f="v">
      <t c="8">
        <n x="7" s="1"/>
        <n x="69" s="1"/>
        <n x="3" s="1"/>
        <n x="70" s="1"/>
        <n x="2" s="1"/>
        <n x="68"/>
        <n x="83"/>
        <n x="59"/>
      </t>
    </mdx>
    <mdx n="0" f="v">
      <t c="8">
        <n x="7" s="1"/>
        <n x="69" s="1"/>
        <n x="3" s="1"/>
        <n x="70" s="1"/>
        <n x="2" s="1"/>
        <n x="68"/>
        <n x="83"/>
        <n x="60"/>
      </t>
    </mdx>
    <mdx n="0" f="v">
      <t c="8">
        <n x="7" s="1"/>
        <n x="69" s="1"/>
        <n x="3" s="1"/>
        <n x="70" s="1"/>
        <n x="2" s="1"/>
        <n x="68"/>
        <n x="83"/>
        <n x="61"/>
      </t>
    </mdx>
    <mdx n="0" f="v">
      <t c="8">
        <n x="7" s="1"/>
        <n x="69" s="1"/>
        <n x="3" s="1"/>
        <n x="70" s="1"/>
        <n x="2" s="1"/>
        <n x="68"/>
        <n x="83"/>
        <n x="62"/>
      </t>
    </mdx>
    <mdx n="0" f="v">
      <t c="8">
        <n x="7" s="1"/>
        <n x="69" s="1"/>
        <n x="3" s="1"/>
        <n x="70" s="1"/>
        <n x="2" s="1"/>
        <n x="68"/>
        <n x="83"/>
        <n x="63"/>
      </t>
    </mdx>
    <mdx n="0" f="v">
      <t c="8">
        <n x="7" s="1"/>
        <n x="69" s="1"/>
        <n x="3" s="1"/>
        <n x="70" s="1"/>
        <n x="2" s="1"/>
        <n x="68"/>
        <n x="83"/>
        <n x="64"/>
      </t>
    </mdx>
    <mdx n="0" f="v">
      <t c="8">
        <n x="7" s="1"/>
        <n x="69" s="1"/>
        <n x="3" s="1"/>
        <n x="70" s="1"/>
        <n x="2" s="1"/>
        <n x="68"/>
        <n x="83"/>
        <n x="65"/>
      </t>
    </mdx>
    <mdx n="0" f="v">
      <t c="8">
        <n x="7" s="1"/>
        <n x="69" s="1"/>
        <n x="3" s="1"/>
        <n x="70" s="1"/>
        <n x="2" s="1"/>
        <n x="68"/>
        <n x="83"/>
        <n x="66"/>
      </t>
    </mdx>
    <mdx n="0" f="v">
      <t c="8">
        <n x="7" s="1"/>
        <n x="69" s="1"/>
        <n x="3" s="1"/>
        <n x="70" s="1"/>
        <n x="2" s="1"/>
        <n x="68"/>
        <n x="84"/>
        <n x="8"/>
      </t>
    </mdx>
    <mdx n="0" f="v">
      <t c="8">
        <n x="7" s="1"/>
        <n x="69" s="1"/>
        <n x="3" s="1"/>
        <n x="70" s="1"/>
        <n x="2" s="1"/>
        <n x="68"/>
        <n x="84"/>
        <n x="9"/>
      </t>
    </mdx>
    <mdx n="0" f="v">
      <t c="8">
        <n x="7" s="1"/>
        <n x="69" s="1"/>
        <n x="3" s="1"/>
        <n x="70" s="1"/>
        <n x="2" s="1"/>
        <n x="68"/>
        <n x="84"/>
        <n x="10"/>
      </t>
    </mdx>
    <mdx n="0" f="v">
      <t c="8">
        <n x="7" s="1"/>
        <n x="69" s="1"/>
        <n x="3" s="1"/>
        <n x="70" s="1"/>
        <n x="2" s="1"/>
        <n x="68"/>
        <n x="84"/>
        <n x="11"/>
      </t>
    </mdx>
    <mdx n="0" f="v">
      <t c="8">
        <n x="7" s="1"/>
        <n x="69" s="1"/>
        <n x="3" s="1"/>
        <n x="70" s="1"/>
        <n x="2" s="1"/>
        <n x="68"/>
        <n x="84"/>
        <n x="12"/>
      </t>
    </mdx>
    <mdx n="0" f="v">
      <t c="8">
        <n x="7" s="1"/>
        <n x="69" s="1"/>
        <n x="3" s="1"/>
        <n x="70" s="1"/>
        <n x="2" s="1"/>
        <n x="68"/>
        <n x="84"/>
        <n x="13"/>
      </t>
    </mdx>
    <mdx n="0" f="v">
      <t c="8">
        <n x="7" s="1"/>
        <n x="69" s="1"/>
        <n x="3" s="1"/>
        <n x="70" s="1"/>
        <n x="2" s="1"/>
        <n x="68"/>
        <n x="84"/>
        <n x="14"/>
      </t>
    </mdx>
    <mdx n="0" f="v">
      <t c="8">
        <n x="7" s="1"/>
        <n x="69" s="1"/>
        <n x="3" s="1"/>
        <n x="70" s="1"/>
        <n x="2" s="1"/>
        <n x="68"/>
        <n x="84"/>
        <n x="15"/>
      </t>
    </mdx>
    <mdx n="0" f="v">
      <t c="8">
        <n x="7" s="1"/>
        <n x="69" s="1"/>
        <n x="3" s="1"/>
        <n x="70" s="1"/>
        <n x="2" s="1"/>
        <n x="68"/>
        <n x="84"/>
        <n x="16"/>
      </t>
    </mdx>
    <mdx n="0" f="v">
      <t c="8">
        <n x="7" s="1"/>
        <n x="69" s="1"/>
        <n x="3" s="1"/>
        <n x="70" s="1"/>
        <n x="2" s="1"/>
        <n x="68"/>
        <n x="84"/>
        <n x="17"/>
      </t>
    </mdx>
    <mdx n="0" f="v">
      <t c="8">
        <n x="7" s="1"/>
        <n x="69" s="1"/>
        <n x="3" s="1"/>
        <n x="70" s="1"/>
        <n x="2" s="1"/>
        <n x="68"/>
        <n x="84"/>
        <n x="18"/>
      </t>
    </mdx>
    <mdx n="0" f="v">
      <t c="8">
        <n x="7" s="1"/>
        <n x="69" s="1"/>
        <n x="3" s="1"/>
        <n x="70" s="1"/>
        <n x="2" s="1"/>
        <n x="68"/>
        <n x="84"/>
        <n x="19"/>
      </t>
    </mdx>
    <mdx n="0" f="v">
      <t c="8">
        <n x="7" s="1"/>
        <n x="69" s="1"/>
        <n x="3" s="1"/>
        <n x="70" s="1"/>
        <n x="2" s="1"/>
        <n x="68"/>
        <n x="84"/>
        <n x="20"/>
      </t>
    </mdx>
    <mdx n="0" f="v">
      <t c="8">
        <n x="7" s="1"/>
        <n x="69" s="1"/>
        <n x="3" s="1"/>
        <n x="70" s="1"/>
        <n x="2" s="1"/>
        <n x="68"/>
        <n x="84"/>
        <n x="21"/>
      </t>
    </mdx>
    <mdx n="0" f="v">
      <t c="8">
        <n x="7" s="1"/>
        <n x="69" s="1"/>
        <n x="3" s="1"/>
        <n x="70" s="1"/>
        <n x="2" s="1"/>
        <n x="68"/>
        <n x="84"/>
        <n x="22"/>
      </t>
    </mdx>
    <mdx n="0" f="v">
      <t c="8">
        <n x="7" s="1"/>
        <n x="69" s="1"/>
        <n x="3" s="1"/>
        <n x="70" s="1"/>
        <n x="2" s="1"/>
        <n x="68"/>
        <n x="84"/>
        <n x="23"/>
      </t>
    </mdx>
    <mdx n="0" f="v">
      <t c="8">
        <n x="7" s="1"/>
        <n x="69" s="1"/>
        <n x="3" s="1"/>
        <n x="70" s="1"/>
        <n x="2" s="1"/>
        <n x="68"/>
        <n x="84"/>
        <n x="24"/>
      </t>
    </mdx>
    <mdx n="0" f="v">
      <t c="8">
        <n x="7" s="1"/>
        <n x="69" s="1"/>
        <n x="3" s="1"/>
        <n x="70" s="1"/>
        <n x="2" s="1"/>
        <n x="68"/>
        <n x="84"/>
        <n x="25"/>
      </t>
    </mdx>
    <mdx n="0" f="v">
      <t c="8">
        <n x="7" s="1"/>
        <n x="69" s="1"/>
        <n x="3" s="1"/>
        <n x="70" s="1"/>
        <n x="2" s="1"/>
        <n x="68"/>
        <n x="84"/>
        <n x="26"/>
      </t>
    </mdx>
    <mdx n="0" f="v">
      <t c="8">
        <n x="7" s="1"/>
        <n x="69" s="1"/>
        <n x="3" s="1"/>
        <n x="70" s="1"/>
        <n x="2" s="1"/>
        <n x="68"/>
        <n x="84"/>
        <n x="27"/>
      </t>
    </mdx>
    <mdx n="0" f="v">
      <t c="8">
        <n x="7" s="1"/>
        <n x="69" s="1"/>
        <n x="3" s="1"/>
        <n x="70" s="1"/>
        <n x="2" s="1"/>
        <n x="68"/>
        <n x="84"/>
        <n x="28"/>
      </t>
    </mdx>
    <mdx n="0" f="v">
      <t c="8">
        <n x="7" s="1"/>
        <n x="69" s="1"/>
        <n x="3" s="1"/>
        <n x="70" s="1"/>
        <n x="2" s="1"/>
        <n x="68"/>
        <n x="84"/>
        <n x="29"/>
      </t>
    </mdx>
    <mdx n="0" f="v">
      <t c="8">
        <n x="7" s="1"/>
        <n x="69" s="1"/>
        <n x="3" s="1"/>
        <n x="70" s="1"/>
        <n x="2" s="1"/>
        <n x="68"/>
        <n x="84"/>
        <n x="30"/>
      </t>
    </mdx>
    <mdx n="0" f="v">
      <t c="8">
        <n x="7" s="1"/>
        <n x="69" s="1"/>
        <n x="3" s="1"/>
        <n x="70" s="1"/>
        <n x="2" s="1"/>
        <n x="68"/>
        <n x="84"/>
        <n x="31"/>
      </t>
    </mdx>
    <mdx n="0" f="v">
      <t c="8">
        <n x="7" s="1"/>
        <n x="69" s="1"/>
        <n x="3" s="1"/>
        <n x="70" s="1"/>
        <n x="2" s="1"/>
        <n x="68"/>
        <n x="84"/>
        <n x="32"/>
      </t>
    </mdx>
    <mdx n="0" f="v">
      <t c="8">
        <n x="7" s="1"/>
        <n x="69" s="1"/>
        <n x="3" s="1"/>
        <n x="70" s="1"/>
        <n x="2" s="1"/>
        <n x="68"/>
        <n x="84"/>
        <n x="33"/>
      </t>
    </mdx>
    <mdx n="0" f="v">
      <t c="8">
        <n x="7" s="1"/>
        <n x="69" s="1"/>
        <n x="3" s="1"/>
        <n x="70" s="1"/>
        <n x="2" s="1"/>
        <n x="68"/>
        <n x="84"/>
        <n x="34"/>
      </t>
    </mdx>
    <mdx n="0" f="v">
      <t c="8">
        <n x="7" s="1"/>
        <n x="69" s="1"/>
        <n x="3" s="1"/>
        <n x="70" s="1"/>
        <n x="2" s="1"/>
        <n x="68"/>
        <n x="84"/>
        <n x="35"/>
      </t>
    </mdx>
    <mdx n="0" f="v">
      <t c="8">
        <n x="7" s="1"/>
        <n x="69" s="1"/>
        <n x="3" s="1"/>
        <n x="70" s="1"/>
        <n x="2" s="1"/>
        <n x="68"/>
        <n x="84"/>
        <n x="36"/>
      </t>
    </mdx>
    <mdx n="0" f="v">
      <t c="8">
        <n x="7" s="1"/>
        <n x="69" s="1"/>
        <n x="3" s="1"/>
        <n x="70" s="1"/>
        <n x="2" s="1"/>
        <n x="68"/>
        <n x="84"/>
        <n x="37"/>
      </t>
    </mdx>
    <mdx n="0" f="v">
      <t c="8">
        <n x="7" s="1"/>
        <n x="69" s="1"/>
        <n x="3" s="1"/>
        <n x="70" s="1"/>
        <n x="2" s="1"/>
        <n x="68"/>
        <n x="84"/>
        <n x="38"/>
      </t>
    </mdx>
    <mdx n="0" f="v">
      <t c="8">
        <n x="7" s="1"/>
        <n x="69" s="1"/>
        <n x="3" s="1"/>
        <n x="70" s="1"/>
        <n x="2" s="1"/>
        <n x="68"/>
        <n x="84"/>
        <n x="39"/>
      </t>
    </mdx>
    <mdx n="0" f="v">
      <t c="8">
        <n x="7" s="1"/>
        <n x="69" s="1"/>
        <n x="3" s="1"/>
        <n x="70" s="1"/>
        <n x="2" s="1"/>
        <n x="68"/>
        <n x="84"/>
        <n x="40"/>
      </t>
    </mdx>
    <mdx n="0" f="v">
      <t c="8">
        <n x="7" s="1"/>
        <n x="69" s="1"/>
        <n x="3" s="1"/>
        <n x="70" s="1"/>
        <n x="2" s="1"/>
        <n x="68"/>
        <n x="84"/>
        <n x="41"/>
      </t>
    </mdx>
    <mdx n="0" f="v">
      <t c="8">
        <n x="7" s="1"/>
        <n x="69" s="1"/>
        <n x="3" s="1"/>
        <n x="70" s="1"/>
        <n x="2" s="1"/>
        <n x="68"/>
        <n x="84"/>
        <n x="42"/>
      </t>
    </mdx>
    <mdx n="0" f="v">
      <t c="8">
        <n x="7" s="1"/>
        <n x="69" s="1"/>
        <n x="3" s="1"/>
        <n x="70" s="1"/>
        <n x="2" s="1"/>
        <n x="68"/>
        <n x="84"/>
        <n x="43"/>
      </t>
    </mdx>
    <mdx n="0" f="v">
      <t c="8">
        <n x="7" s="1"/>
        <n x="69" s="1"/>
        <n x="3" s="1"/>
        <n x="70" s="1"/>
        <n x="2" s="1"/>
        <n x="68"/>
        <n x="84"/>
        <n x="44"/>
      </t>
    </mdx>
    <mdx n="0" f="v">
      <t c="8">
        <n x="7" s="1"/>
        <n x="69" s="1"/>
        <n x="3" s="1"/>
        <n x="70" s="1"/>
        <n x="2" s="1"/>
        <n x="68"/>
        <n x="84"/>
        <n x="45"/>
      </t>
    </mdx>
    <mdx n="0" f="v">
      <t c="8">
        <n x="7" s="1"/>
        <n x="69" s="1"/>
        <n x="3" s="1"/>
        <n x="70" s="1"/>
        <n x="2" s="1"/>
        <n x="68"/>
        <n x="84"/>
        <n x="46"/>
      </t>
    </mdx>
    <mdx n="0" f="v">
      <t c="8">
        <n x="7" s="1"/>
        <n x="69" s="1"/>
        <n x="3" s="1"/>
        <n x="70" s="1"/>
        <n x="2" s="1"/>
        <n x="68"/>
        <n x="84"/>
        <n x="47"/>
      </t>
    </mdx>
    <mdx n="0" f="v">
      <t c="8">
        <n x="7" s="1"/>
        <n x="69" s="1"/>
        <n x="3" s="1"/>
        <n x="70" s="1"/>
        <n x="2" s="1"/>
        <n x="68"/>
        <n x="84"/>
        <n x="48"/>
      </t>
    </mdx>
    <mdx n="0" f="v">
      <t c="8">
        <n x="7" s="1"/>
        <n x="69" s="1"/>
        <n x="3" s="1"/>
        <n x="70" s="1"/>
        <n x="2" s="1"/>
        <n x="68"/>
        <n x="84"/>
        <n x="49"/>
      </t>
    </mdx>
    <mdx n="0" f="v">
      <t c="8">
        <n x="7" s="1"/>
        <n x="69" s="1"/>
        <n x="3" s="1"/>
        <n x="70" s="1"/>
        <n x="2" s="1"/>
        <n x="68"/>
        <n x="84"/>
        <n x="50"/>
      </t>
    </mdx>
    <mdx n="0" f="v">
      <t c="8">
        <n x="7" s="1"/>
        <n x="69" s="1"/>
        <n x="3" s="1"/>
        <n x="70" s="1"/>
        <n x="2" s="1"/>
        <n x="68"/>
        <n x="84"/>
        <n x="51"/>
      </t>
    </mdx>
    <mdx n="0" f="v">
      <t c="8">
        <n x="7" s="1"/>
        <n x="69" s="1"/>
        <n x="3" s="1"/>
        <n x="70" s="1"/>
        <n x="2" s="1"/>
        <n x="68"/>
        <n x="84"/>
        <n x="52"/>
      </t>
    </mdx>
    <mdx n="0" f="v">
      <t c="8">
        <n x="7" s="1"/>
        <n x="69" s="1"/>
        <n x="3" s="1"/>
        <n x="70" s="1"/>
        <n x="2" s="1"/>
        <n x="68"/>
        <n x="84"/>
        <n x="53"/>
      </t>
    </mdx>
    <mdx n="0" f="v">
      <t c="8">
        <n x="7" s="1"/>
        <n x="69" s="1"/>
        <n x="3" s="1"/>
        <n x="70" s="1"/>
        <n x="2" s="1"/>
        <n x="68"/>
        <n x="84"/>
        <n x="54"/>
      </t>
    </mdx>
    <mdx n="0" f="v">
      <t c="8">
        <n x="7" s="1"/>
        <n x="69" s="1"/>
        <n x="3" s="1"/>
        <n x="70" s="1"/>
        <n x="2" s="1"/>
        <n x="68"/>
        <n x="84"/>
        <n x="55"/>
      </t>
    </mdx>
    <mdx n="0" f="v">
      <t c="8">
        <n x="7" s="1"/>
        <n x="69" s="1"/>
        <n x="3" s="1"/>
        <n x="70" s="1"/>
        <n x="2" s="1"/>
        <n x="68"/>
        <n x="84"/>
        <n x="56"/>
      </t>
    </mdx>
    <mdx n="0" f="v">
      <t c="8">
        <n x="7" s="1"/>
        <n x="69" s="1"/>
        <n x="3" s="1"/>
        <n x="70" s="1"/>
        <n x="2" s="1"/>
        <n x="68"/>
        <n x="84"/>
        <n x="57"/>
      </t>
    </mdx>
    <mdx n="0" f="v">
      <t c="8">
        <n x="7" s="1"/>
        <n x="69" s="1"/>
        <n x="3" s="1"/>
        <n x="70" s="1"/>
        <n x="2" s="1"/>
        <n x="68"/>
        <n x="84"/>
        <n x="58"/>
      </t>
    </mdx>
    <mdx n="0" f="v">
      <t c="8">
        <n x="7" s="1"/>
        <n x="69" s="1"/>
        <n x="3" s="1"/>
        <n x="70" s="1"/>
        <n x="2" s="1"/>
        <n x="68"/>
        <n x="84"/>
        <n x="59"/>
      </t>
    </mdx>
    <mdx n="0" f="v">
      <t c="8">
        <n x="7" s="1"/>
        <n x="69" s="1"/>
        <n x="3" s="1"/>
        <n x="70" s="1"/>
        <n x="2" s="1"/>
        <n x="68"/>
        <n x="84"/>
        <n x="60"/>
      </t>
    </mdx>
    <mdx n="0" f="v">
      <t c="8">
        <n x="7" s="1"/>
        <n x="69" s="1"/>
        <n x="3" s="1"/>
        <n x="70" s="1"/>
        <n x="2" s="1"/>
        <n x="68"/>
        <n x="84"/>
        <n x="61"/>
      </t>
    </mdx>
    <mdx n="0" f="v">
      <t c="8">
        <n x="7" s="1"/>
        <n x="69" s="1"/>
        <n x="3" s="1"/>
        <n x="70" s="1"/>
        <n x="2" s="1"/>
        <n x="68"/>
        <n x="84"/>
        <n x="62"/>
      </t>
    </mdx>
    <mdx n="0" f="v">
      <t c="8">
        <n x="7" s="1"/>
        <n x="69" s="1"/>
        <n x="3" s="1"/>
        <n x="70" s="1"/>
        <n x="2" s="1"/>
        <n x="68"/>
        <n x="84"/>
        <n x="63"/>
      </t>
    </mdx>
    <mdx n="0" f="v">
      <t c="8">
        <n x="7" s="1"/>
        <n x="69" s="1"/>
        <n x="3" s="1"/>
        <n x="70" s="1"/>
        <n x="2" s="1"/>
        <n x="68"/>
        <n x="84"/>
        <n x="64"/>
      </t>
    </mdx>
    <mdx n="0" f="v">
      <t c="8">
        <n x="7" s="1"/>
        <n x="69" s="1"/>
        <n x="3" s="1"/>
        <n x="70" s="1"/>
        <n x="2" s="1"/>
        <n x="68"/>
        <n x="84"/>
        <n x="65"/>
      </t>
    </mdx>
    <mdx n="0" f="v">
      <t c="8">
        <n x="7" s="1"/>
        <n x="69" s="1"/>
        <n x="3" s="1"/>
        <n x="70" s="1"/>
        <n x="2" s="1"/>
        <n x="68"/>
        <n x="84"/>
        <n x="66"/>
      </t>
    </mdx>
    <mdx n="0" f="v">
      <t c="8">
        <n x="7" s="1"/>
        <n x="69" s="1"/>
        <n x="3" s="1"/>
        <n x="70" s="1"/>
        <n x="2" s="1"/>
        <n x="68"/>
        <n x="85"/>
        <n x="8"/>
      </t>
    </mdx>
    <mdx n="0" f="v">
      <t c="8">
        <n x="7" s="1"/>
        <n x="69" s="1"/>
        <n x="3" s="1"/>
        <n x="70" s="1"/>
        <n x="2" s="1"/>
        <n x="68"/>
        <n x="85"/>
        <n x="9"/>
      </t>
    </mdx>
    <mdx n="0" f="v">
      <t c="8">
        <n x="7" s="1"/>
        <n x="69" s="1"/>
        <n x="3" s="1"/>
        <n x="70" s="1"/>
        <n x="2" s="1"/>
        <n x="68"/>
        <n x="85"/>
        <n x="10"/>
      </t>
    </mdx>
    <mdx n="0" f="v">
      <t c="8">
        <n x="7" s="1"/>
        <n x="69" s="1"/>
        <n x="3" s="1"/>
        <n x="70" s="1"/>
        <n x="2" s="1"/>
        <n x="68"/>
        <n x="85"/>
        <n x="11"/>
      </t>
    </mdx>
    <mdx n="0" f="v">
      <t c="8">
        <n x="7" s="1"/>
        <n x="69" s="1"/>
        <n x="3" s="1"/>
        <n x="70" s="1"/>
        <n x="2" s="1"/>
        <n x="68"/>
        <n x="85"/>
        <n x="12"/>
      </t>
    </mdx>
    <mdx n="0" f="v">
      <t c="8">
        <n x="7" s="1"/>
        <n x="69" s="1"/>
        <n x="3" s="1"/>
        <n x="70" s="1"/>
        <n x="2" s="1"/>
        <n x="68"/>
        <n x="85"/>
        <n x="13"/>
      </t>
    </mdx>
    <mdx n="0" f="v">
      <t c="8">
        <n x="7" s="1"/>
        <n x="69" s="1"/>
        <n x="3" s="1"/>
        <n x="70" s="1"/>
        <n x="2" s="1"/>
        <n x="68"/>
        <n x="85"/>
        <n x="14"/>
      </t>
    </mdx>
    <mdx n="0" f="v">
      <t c="8">
        <n x="7" s="1"/>
        <n x="69" s="1"/>
        <n x="3" s="1"/>
        <n x="70" s="1"/>
        <n x="2" s="1"/>
        <n x="68"/>
        <n x="85"/>
        <n x="15"/>
      </t>
    </mdx>
    <mdx n="0" f="v">
      <t c="8">
        <n x="7" s="1"/>
        <n x="69" s="1"/>
        <n x="3" s="1"/>
        <n x="70" s="1"/>
        <n x="2" s="1"/>
        <n x="68"/>
        <n x="85"/>
        <n x="16"/>
      </t>
    </mdx>
    <mdx n="0" f="v">
      <t c="8">
        <n x="7" s="1"/>
        <n x="69" s="1"/>
        <n x="3" s="1"/>
        <n x="70" s="1"/>
        <n x="2" s="1"/>
        <n x="68"/>
        <n x="85"/>
        <n x="17"/>
      </t>
    </mdx>
    <mdx n="0" f="v">
      <t c="8">
        <n x="7" s="1"/>
        <n x="69" s="1"/>
        <n x="3" s="1"/>
        <n x="70" s="1"/>
        <n x="2" s="1"/>
        <n x="68"/>
        <n x="85"/>
        <n x="18"/>
      </t>
    </mdx>
    <mdx n="0" f="v">
      <t c="8">
        <n x="7" s="1"/>
        <n x="69" s="1"/>
        <n x="3" s="1"/>
        <n x="70" s="1"/>
        <n x="2" s="1"/>
        <n x="68"/>
        <n x="85"/>
        <n x="19"/>
      </t>
    </mdx>
    <mdx n="0" f="v">
      <t c="8">
        <n x="7" s="1"/>
        <n x="69" s="1"/>
        <n x="3" s="1"/>
        <n x="70" s="1"/>
        <n x="2" s="1"/>
        <n x="68"/>
        <n x="85"/>
        <n x="20"/>
      </t>
    </mdx>
    <mdx n="0" f="v">
      <t c="8">
        <n x="7" s="1"/>
        <n x="69" s="1"/>
        <n x="3" s="1"/>
        <n x="70" s="1"/>
        <n x="2" s="1"/>
        <n x="68"/>
        <n x="85"/>
        <n x="21"/>
      </t>
    </mdx>
    <mdx n="0" f="v">
      <t c="8">
        <n x="7" s="1"/>
        <n x="69" s="1"/>
        <n x="3" s="1"/>
        <n x="70" s="1"/>
        <n x="2" s="1"/>
        <n x="68"/>
        <n x="85"/>
        <n x="22"/>
      </t>
    </mdx>
    <mdx n="0" f="v">
      <t c="8">
        <n x="7" s="1"/>
        <n x="69" s="1"/>
        <n x="3" s="1"/>
        <n x="70" s="1"/>
        <n x="2" s="1"/>
        <n x="68"/>
        <n x="85"/>
        <n x="23"/>
      </t>
    </mdx>
    <mdx n="0" f="v">
      <t c="8">
        <n x="7" s="1"/>
        <n x="69" s="1"/>
        <n x="3" s="1"/>
        <n x="70" s="1"/>
        <n x="2" s="1"/>
        <n x="68"/>
        <n x="85"/>
        <n x="24"/>
      </t>
    </mdx>
    <mdx n="0" f="v">
      <t c="8">
        <n x="7" s="1"/>
        <n x="69" s="1"/>
        <n x="3" s="1"/>
        <n x="70" s="1"/>
        <n x="2" s="1"/>
        <n x="68"/>
        <n x="85"/>
        <n x="25"/>
      </t>
    </mdx>
    <mdx n="0" f="v">
      <t c="8">
        <n x="7" s="1"/>
        <n x="69" s="1"/>
        <n x="3" s="1"/>
        <n x="70" s="1"/>
        <n x="2" s="1"/>
        <n x="68"/>
        <n x="85"/>
        <n x="26"/>
      </t>
    </mdx>
    <mdx n="0" f="v">
      <t c="8">
        <n x="7" s="1"/>
        <n x="69" s="1"/>
        <n x="3" s="1"/>
        <n x="70" s="1"/>
        <n x="2" s="1"/>
        <n x="68"/>
        <n x="85"/>
        <n x="27"/>
      </t>
    </mdx>
    <mdx n="0" f="v">
      <t c="8">
        <n x="7" s="1"/>
        <n x="69" s="1"/>
        <n x="3" s="1"/>
        <n x="70" s="1"/>
        <n x="2" s="1"/>
        <n x="68"/>
        <n x="85"/>
        <n x="28"/>
      </t>
    </mdx>
    <mdx n="0" f="v">
      <t c="8">
        <n x="7" s="1"/>
        <n x="69" s="1"/>
        <n x="3" s="1"/>
        <n x="70" s="1"/>
        <n x="2" s="1"/>
        <n x="68"/>
        <n x="85"/>
        <n x="29"/>
      </t>
    </mdx>
    <mdx n="0" f="v">
      <t c="8">
        <n x="7" s="1"/>
        <n x="69" s="1"/>
        <n x="3" s="1"/>
        <n x="70" s="1"/>
        <n x="2" s="1"/>
        <n x="68"/>
        <n x="85"/>
        <n x="30"/>
      </t>
    </mdx>
    <mdx n="0" f="v">
      <t c="8">
        <n x="7" s="1"/>
        <n x="69" s="1"/>
        <n x="3" s="1"/>
        <n x="70" s="1"/>
        <n x="2" s="1"/>
        <n x="68"/>
        <n x="85"/>
        <n x="31"/>
      </t>
    </mdx>
    <mdx n="0" f="v">
      <t c="8">
        <n x="7" s="1"/>
        <n x="69" s="1"/>
        <n x="3" s="1"/>
        <n x="70" s="1"/>
        <n x="2" s="1"/>
        <n x="68"/>
        <n x="85"/>
        <n x="32"/>
      </t>
    </mdx>
    <mdx n="0" f="v">
      <t c="8">
        <n x="7" s="1"/>
        <n x="69" s="1"/>
        <n x="3" s="1"/>
        <n x="70" s="1"/>
        <n x="2" s="1"/>
        <n x="68"/>
        <n x="85"/>
        <n x="33"/>
      </t>
    </mdx>
    <mdx n="0" f="v">
      <t c="8">
        <n x="7" s="1"/>
        <n x="69" s="1"/>
        <n x="3" s="1"/>
        <n x="70" s="1"/>
        <n x="2" s="1"/>
        <n x="68"/>
        <n x="85"/>
        <n x="34"/>
      </t>
    </mdx>
    <mdx n="0" f="v">
      <t c="8">
        <n x="7" s="1"/>
        <n x="69" s="1"/>
        <n x="3" s="1"/>
        <n x="70" s="1"/>
        <n x="2" s="1"/>
        <n x="68"/>
        <n x="85"/>
        <n x="35"/>
      </t>
    </mdx>
    <mdx n="0" f="v">
      <t c="8">
        <n x="7" s="1"/>
        <n x="69" s="1"/>
        <n x="3" s="1"/>
        <n x="70" s="1"/>
        <n x="2" s="1"/>
        <n x="68"/>
        <n x="85"/>
        <n x="36"/>
      </t>
    </mdx>
    <mdx n="0" f="v">
      <t c="8">
        <n x="7" s="1"/>
        <n x="69" s="1"/>
        <n x="3" s="1"/>
        <n x="70" s="1"/>
        <n x="2" s="1"/>
        <n x="68"/>
        <n x="85"/>
        <n x="37"/>
      </t>
    </mdx>
    <mdx n="0" f="v">
      <t c="8">
        <n x="7" s="1"/>
        <n x="69" s="1"/>
        <n x="3" s="1"/>
        <n x="70" s="1"/>
        <n x="2" s="1"/>
        <n x="68"/>
        <n x="85"/>
        <n x="38"/>
      </t>
    </mdx>
    <mdx n="0" f="v">
      <t c="8">
        <n x="7" s="1"/>
        <n x="69" s="1"/>
        <n x="3" s="1"/>
        <n x="70" s="1"/>
        <n x="2" s="1"/>
        <n x="68"/>
        <n x="85"/>
        <n x="39"/>
      </t>
    </mdx>
    <mdx n="0" f="v">
      <t c="8">
        <n x="7" s="1"/>
        <n x="69" s="1"/>
        <n x="3" s="1"/>
        <n x="70" s="1"/>
        <n x="2" s="1"/>
        <n x="68"/>
        <n x="85"/>
        <n x="40"/>
      </t>
    </mdx>
    <mdx n="0" f="v">
      <t c="8">
        <n x="7" s="1"/>
        <n x="69" s="1"/>
        <n x="3" s="1"/>
        <n x="70" s="1"/>
        <n x="2" s="1"/>
        <n x="68"/>
        <n x="85"/>
        <n x="41"/>
      </t>
    </mdx>
    <mdx n="0" f="v">
      <t c="8">
        <n x="7" s="1"/>
        <n x="69" s="1"/>
        <n x="3" s="1"/>
        <n x="70" s="1"/>
        <n x="2" s="1"/>
        <n x="68"/>
        <n x="85"/>
        <n x="42"/>
      </t>
    </mdx>
    <mdx n="0" f="v">
      <t c="8">
        <n x="7" s="1"/>
        <n x="69" s="1"/>
        <n x="3" s="1"/>
        <n x="70" s="1"/>
        <n x="2" s="1"/>
        <n x="68"/>
        <n x="85"/>
        <n x="43"/>
      </t>
    </mdx>
    <mdx n="0" f="v">
      <t c="8">
        <n x="7" s="1"/>
        <n x="69" s="1"/>
        <n x="3" s="1"/>
        <n x="70" s="1"/>
        <n x="2" s="1"/>
        <n x="68"/>
        <n x="85"/>
        <n x="44"/>
      </t>
    </mdx>
    <mdx n="0" f="v">
      <t c="8">
        <n x="7" s="1"/>
        <n x="69" s="1"/>
        <n x="3" s="1"/>
        <n x="70" s="1"/>
        <n x="2" s="1"/>
        <n x="68"/>
        <n x="85"/>
        <n x="45"/>
      </t>
    </mdx>
    <mdx n="0" f="v">
      <t c="8">
        <n x="7" s="1"/>
        <n x="69" s="1"/>
        <n x="3" s="1"/>
        <n x="70" s="1"/>
        <n x="2" s="1"/>
        <n x="68"/>
        <n x="85"/>
        <n x="46"/>
      </t>
    </mdx>
    <mdx n="0" f="v">
      <t c="8">
        <n x="7" s="1"/>
        <n x="69" s="1"/>
        <n x="3" s="1"/>
        <n x="70" s="1"/>
        <n x="2" s="1"/>
        <n x="68"/>
        <n x="85"/>
        <n x="47"/>
      </t>
    </mdx>
    <mdx n="0" f="v">
      <t c="8">
        <n x="7" s="1"/>
        <n x="69" s="1"/>
        <n x="3" s="1"/>
        <n x="70" s="1"/>
        <n x="2" s="1"/>
        <n x="68"/>
        <n x="85"/>
        <n x="48"/>
      </t>
    </mdx>
    <mdx n="0" f="v">
      <t c="8">
        <n x="7" s="1"/>
        <n x="69" s="1"/>
        <n x="3" s="1"/>
        <n x="70" s="1"/>
        <n x="2" s="1"/>
        <n x="68"/>
        <n x="85"/>
        <n x="49"/>
      </t>
    </mdx>
    <mdx n="0" f="v">
      <t c="8">
        <n x="7" s="1"/>
        <n x="69" s="1"/>
        <n x="3" s="1"/>
        <n x="70" s="1"/>
        <n x="2" s="1"/>
        <n x="68"/>
        <n x="85"/>
        <n x="50"/>
      </t>
    </mdx>
    <mdx n="0" f="v">
      <t c="8">
        <n x="7" s="1"/>
        <n x="69" s="1"/>
        <n x="3" s="1"/>
        <n x="70" s="1"/>
        <n x="2" s="1"/>
        <n x="68"/>
        <n x="85"/>
        <n x="51"/>
      </t>
    </mdx>
    <mdx n="0" f="v">
      <t c="8">
        <n x="7" s="1"/>
        <n x="69" s="1"/>
        <n x="3" s="1"/>
        <n x="70" s="1"/>
        <n x="2" s="1"/>
        <n x="68"/>
        <n x="85"/>
        <n x="52"/>
      </t>
    </mdx>
    <mdx n="0" f="v">
      <t c="8">
        <n x="7" s="1"/>
        <n x="69" s="1"/>
        <n x="3" s="1"/>
        <n x="70" s="1"/>
        <n x="2" s="1"/>
        <n x="68"/>
        <n x="85"/>
        <n x="53"/>
      </t>
    </mdx>
    <mdx n="0" f="v">
      <t c="8">
        <n x="7" s="1"/>
        <n x="69" s="1"/>
        <n x="3" s="1"/>
        <n x="70" s="1"/>
        <n x="2" s="1"/>
        <n x="68"/>
        <n x="85"/>
        <n x="54"/>
      </t>
    </mdx>
    <mdx n="0" f="v">
      <t c="8">
        <n x="7" s="1"/>
        <n x="69" s="1"/>
        <n x="3" s="1"/>
        <n x="70" s="1"/>
        <n x="2" s="1"/>
        <n x="68"/>
        <n x="85"/>
        <n x="55"/>
      </t>
    </mdx>
    <mdx n="0" f="v">
      <t c="8">
        <n x="7" s="1"/>
        <n x="69" s="1"/>
        <n x="3" s="1"/>
        <n x="70" s="1"/>
        <n x="2" s="1"/>
        <n x="68"/>
        <n x="85"/>
        <n x="56"/>
      </t>
    </mdx>
    <mdx n="0" f="v">
      <t c="8">
        <n x="7" s="1"/>
        <n x="69" s="1"/>
        <n x="3" s="1"/>
        <n x="70" s="1"/>
        <n x="2" s="1"/>
        <n x="68"/>
        <n x="85"/>
        <n x="57"/>
      </t>
    </mdx>
    <mdx n="0" f="v">
      <t c="8">
        <n x="7" s="1"/>
        <n x="69" s="1"/>
        <n x="3" s="1"/>
        <n x="70" s="1"/>
        <n x="2" s="1"/>
        <n x="68"/>
        <n x="85"/>
        <n x="58"/>
      </t>
    </mdx>
    <mdx n="0" f="v">
      <t c="8">
        <n x="7" s="1"/>
        <n x="69" s="1"/>
        <n x="3" s="1"/>
        <n x="70" s="1"/>
        <n x="2" s="1"/>
        <n x="68"/>
        <n x="85"/>
        <n x="59"/>
      </t>
    </mdx>
    <mdx n="0" f="v">
      <t c="8">
        <n x="7" s="1"/>
        <n x="69" s="1"/>
        <n x="3" s="1"/>
        <n x="70" s="1"/>
        <n x="2" s="1"/>
        <n x="68"/>
        <n x="85"/>
        <n x="60"/>
      </t>
    </mdx>
    <mdx n="0" f="v">
      <t c="8">
        <n x="7" s="1"/>
        <n x="69" s="1"/>
        <n x="3" s="1"/>
        <n x="70" s="1"/>
        <n x="2" s="1"/>
        <n x="68"/>
        <n x="85"/>
        <n x="61"/>
      </t>
    </mdx>
    <mdx n="0" f="v">
      <t c="8">
        <n x="7" s="1"/>
        <n x="69" s="1"/>
        <n x="3" s="1"/>
        <n x="70" s="1"/>
        <n x="2" s="1"/>
        <n x="68"/>
        <n x="85"/>
        <n x="62"/>
      </t>
    </mdx>
    <mdx n="0" f="v">
      <t c="8">
        <n x="7" s="1"/>
        <n x="69" s="1"/>
        <n x="3" s="1"/>
        <n x="70" s="1"/>
        <n x="2" s="1"/>
        <n x="68"/>
        <n x="85"/>
        <n x="63"/>
      </t>
    </mdx>
    <mdx n="0" f="v">
      <t c="8">
        <n x="7" s="1"/>
        <n x="69" s="1"/>
        <n x="3" s="1"/>
        <n x="70" s="1"/>
        <n x="2" s="1"/>
        <n x="68"/>
        <n x="85"/>
        <n x="64"/>
      </t>
    </mdx>
    <mdx n="0" f="v">
      <t c="8">
        <n x="7" s="1"/>
        <n x="69" s="1"/>
        <n x="3" s="1"/>
        <n x="70" s="1"/>
        <n x="2" s="1"/>
        <n x="68"/>
        <n x="85"/>
        <n x="65"/>
      </t>
    </mdx>
    <mdx n="0" f="v">
      <t c="8">
        <n x="7" s="1"/>
        <n x="69" s="1"/>
        <n x="3" s="1"/>
        <n x="70" s="1"/>
        <n x="2" s="1"/>
        <n x="68"/>
        <n x="85"/>
        <n x="66"/>
      </t>
    </mdx>
    <mdx n="0" f="v">
      <t c="8">
        <n x="7" s="1"/>
        <n x="69" s="1"/>
        <n x="3" s="1"/>
        <n x="70" s="1"/>
        <n x="2" s="1"/>
        <n x="68"/>
        <n x="86"/>
        <n x="8"/>
      </t>
    </mdx>
    <mdx n="0" f="v">
      <t c="8">
        <n x="7" s="1"/>
        <n x="69" s="1"/>
        <n x="3" s="1"/>
        <n x="70" s="1"/>
        <n x="2" s="1"/>
        <n x="68"/>
        <n x="86"/>
        <n x="9"/>
      </t>
    </mdx>
    <mdx n="0" f="v">
      <t c="8">
        <n x="7" s="1"/>
        <n x="69" s="1"/>
        <n x="3" s="1"/>
        <n x="70" s="1"/>
        <n x="2" s="1"/>
        <n x="68"/>
        <n x="86"/>
        <n x="10"/>
      </t>
    </mdx>
    <mdx n="0" f="v">
      <t c="8">
        <n x="7" s="1"/>
        <n x="69" s="1"/>
        <n x="3" s="1"/>
        <n x="70" s="1"/>
        <n x="2" s="1"/>
        <n x="68"/>
        <n x="86"/>
        <n x="11"/>
      </t>
    </mdx>
    <mdx n="0" f="v">
      <t c="8">
        <n x="7" s="1"/>
        <n x="69" s="1"/>
        <n x="3" s="1"/>
        <n x="70" s="1"/>
        <n x="2" s="1"/>
        <n x="68"/>
        <n x="86"/>
        <n x="12"/>
      </t>
    </mdx>
    <mdx n="0" f="v">
      <t c="8">
        <n x="7" s="1"/>
        <n x="69" s="1"/>
        <n x="3" s="1"/>
        <n x="70" s="1"/>
        <n x="2" s="1"/>
        <n x="68"/>
        <n x="86"/>
        <n x="13"/>
      </t>
    </mdx>
    <mdx n="0" f="v">
      <t c="8">
        <n x="7" s="1"/>
        <n x="69" s="1"/>
        <n x="3" s="1"/>
        <n x="70" s="1"/>
        <n x="2" s="1"/>
        <n x="68"/>
        <n x="86"/>
        <n x="14"/>
      </t>
    </mdx>
    <mdx n="0" f="v">
      <t c="8">
        <n x="7" s="1"/>
        <n x="69" s="1"/>
        <n x="3" s="1"/>
        <n x="70" s="1"/>
        <n x="2" s="1"/>
        <n x="68"/>
        <n x="86"/>
        <n x="15"/>
      </t>
    </mdx>
    <mdx n="0" f="v">
      <t c="8">
        <n x="7" s="1"/>
        <n x="69" s="1"/>
        <n x="3" s="1"/>
        <n x="70" s="1"/>
        <n x="2" s="1"/>
        <n x="68"/>
        <n x="86"/>
        <n x="16"/>
      </t>
    </mdx>
    <mdx n="0" f="v">
      <t c="8">
        <n x="7" s="1"/>
        <n x="69" s="1"/>
        <n x="3" s="1"/>
        <n x="70" s="1"/>
        <n x="2" s="1"/>
        <n x="68"/>
        <n x="86"/>
        <n x="17"/>
      </t>
    </mdx>
    <mdx n="0" f="v">
      <t c="8">
        <n x="7" s="1"/>
        <n x="69" s="1"/>
        <n x="3" s="1"/>
        <n x="70" s="1"/>
        <n x="2" s="1"/>
        <n x="68"/>
        <n x="86"/>
        <n x="18"/>
      </t>
    </mdx>
    <mdx n="0" f="v">
      <t c="8">
        <n x="7" s="1"/>
        <n x="69" s="1"/>
        <n x="3" s="1"/>
        <n x="70" s="1"/>
        <n x="2" s="1"/>
        <n x="68"/>
        <n x="86"/>
        <n x="19"/>
      </t>
    </mdx>
    <mdx n="0" f="v">
      <t c="8">
        <n x="7" s="1"/>
        <n x="69" s="1"/>
        <n x="3" s="1"/>
        <n x="70" s="1"/>
        <n x="2" s="1"/>
        <n x="68"/>
        <n x="86"/>
        <n x="20"/>
      </t>
    </mdx>
    <mdx n="0" f="v">
      <t c="8">
        <n x="7" s="1"/>
        <n x="69" s="1"/>
        <n x="3" s="1"/>
        <n x="70" s="1"/>
        <n x="2" s="1"/>
        <n x="68"/>
        <n x="86"/>
        <n x="21"/>
      </t>
    </mdx>
    <mdx n="0" f="v">
      <t c="8">
        <n x="7" s="1"/>
        <n x="69" s="1"/>
        <n x="3" s="1"/>
        <n x="70" s="1"/>
        <n x="2" s="1"/>
        <n x="68"/>
        <n x="86"/>
        <n x="22"/>
      </t>
    </mdx>
    <mdx n="0" f="v">
      <t c="8">
        <n x="7" s="1"/>
        <n x="69" s="1"/>
        <n x="3" s="1"/>
        <n x="70" s="1"/>
        <n x="2" s="1"/>
        <n x="68"/>
        <n x="86"/>
        <n x="23"/>
      </t>
    </mdx>
    <mdx n="0" f="v">
      <t c="8">
        <n x="7" s="1"/>
        <n x="69" s="1"/>
        <n x="3" s="1"/>
        <n x="70" s="1"/>
        <n x="2" s="1"/>
        <n x="68"/>
        <n x="86"/>
        <n x="24"/>
      </t>
    </mdx>
    <mdx n="0" f="v">
      <t c="8">
        <n x="7" s="1"/>
        <n x="69" s="1"/>
        <n x="3" s="1"/>
        <n x="70" s="1"/>
        <n x="2" s="1"/>
        <n x="68"/>
        <n x="86"/>
        <n x="25"/>
      </t>
    </mdx>
    <mdx n="0" f="v">
      <t c="8">
        <n x="7" s="1"/>
        <n x="69" s="1"/>
        <n x="3" s="1"/>
        <n x="70" s="1"/>
        <n x="2" s="1"/>
        <n x="68"/>
        <n x="86"/>
        <n x="26"/>
      </t>
    </mdx>
    <mdx n="0" f="v">
      <t c="8">
        <n x="7" s="1"/>
        <n x="69" s="1"/>
        <n x="3" s="1"/>
        <n x="70" s="1"/>
        <n x="2" s="1"/>
        <n x="68"/>
        <n x="86"/>
        <n x="27"/>
      </t>
    </mdx>
    <mdx n="0" f="v">
      <t c="8">
        <n x="7" s="1"/>
        <n x="69" s="1"/>
        <n x="3" s="1"/>
        <n x="70" s="1"/>
        <n x="2" s="1"/>
        <n x="68"/>
        <n x="86"/>
        <n x="28"/>
      </t>
    </mdx>
    <mdx n="0" f="v">
      <t c="8">
        <n x="7" s="1"/>
        <n x="69" s="1"/>
        <n x="3" s="1"/>
        <n x="70" s="1"/>
        <n x="2" s="1"/>
        <n x="68"/>
        <n x="86"/>
        <n x="29"/>
      </t>
    </mdx>
    <mdx n="0" f="v">
      <t c="8">
        <n x="7" s="1"/>
        <n x="69" s="1"/>
        <n x="3" s="1"/>
        <n x="70" s="1"/>
        <n x="2" s="1"/>
        <n x="68"/>
        <n x="86"/>
        <n x="30"/>
      </t>
    </mdx>
    <mdx n="0" f="v">
      <t c="8">
        <n x="7" s="1"/>
        <n x="69" s="1"/>
        <n x="3" s="1"/>
        <n x="70" s="1"/>
        <n x="2" s="1"/>
        <n x="68"/>
        <n x="86"/>
        <n x="31"/>
      </t>
    </mdx>
    <mdx n="0" f="v">
      <t c="8">
        <n x="7" s="1"/>
        <n x="69" s="1"/>
        <n x="3" s="1"/>
        <n x="70" s="1"/>
        <n x="2" s="1"/>
        <n x="68"/>
        <n x="86"/>
        <n x="32"/>
      </t>
    </mdx>
    <mdx n="0" f="v">
      <t c="8">
        <n x="7" s="1"/>
        <n x="69" s="1"/>
        <n x="3" s="1"/>
        <n x="70" s="1"/>
        <n x="2" s="1"/>
        <n x="68"/>
        <n x="86"/>
        <n x="33"/>
      </t>
    </mdx>
    <mdx n="0" f="v">
      <t c="8">
        <n x="7" s="1"/>
        <n x="69" s="1"/>
        <n x="3" s="1"/>
        <n x="70" s="1"/>
        <n x="2" s="1"/>
        <n x="68"/>
        <n x="86"/>
        <n x="34"/>
      </t>
    </mdx>
    <mdx n="0" f="v">
      <t c="8">
        <n x="7" s="1"/>
        <n x="69" s="1"/>
        <n x="3" s="1"/>
        <n x="70" s="1"/>
        <n x="2" s="1"/>
        <n x="68"/>
        <n x="86"/>
        <n x="35"/>
      </t>
    </mdx>
    <mdx n="0" f="v">
      <t c="8">
        <n x="7" s="1"/>
        <n x="69" s="1"/>
        <n x="3" s="1"/>
        <n x="70" s="1"/>
        <n x="2" s="1"/>
        <n x="68"/>
        <n x="86"/>
        <n x="36"/>
      </t>
    </mdx>
    <mdx n="0" f="v">
      <t c="8">
        <n x="7" s="1"/>
        <n x="69" s="1"/>
        <n x="3" s="1"/>
        <n x="70" s="1"/>
        <n x="2" s="1"/>
        <n x="68"/>
        <n x="86"/>
        <n x="37"/>
      </t>
    </mdx>
    <mdx n="0" f="v">
      <t c="8">
        <n x="7" s="1"/>
        <n x="69" s="1"/>
        <n x="3" s="1"/>
        <n x="70" s="1"/>
        <n x="2" s="1"/>
        <n x="68"/>
        <n x="86"/>
        <n x="38"/>
      </t>
    </mdx>
    <mdx n="0" f="v">
      <t c="8">
        <n x="7" s="1"/>
        <n x="69" s="1"/>
        <n x="3" s="1"/>
        <n x="70" s="1"/>
        <n x="2" s="1"/>
        <n x="68"/>
        <n x="86"/>
        <n x="39"/>
      </t>
    </mdx>
    <mdx n="0" f="v">
      <t c="8">
        <n x="7" s="1"/>
        <n x="69" s="1"/>
        <n x="3" s="1"/>
        <n x="70" s="1"/>
        <n x="2" s="1"/>
        <n x="68"/>
        <n x="86"/>
        <n x="40"/>
      </t>
    </mdx>
    <mdx n="0" f="v">
      <t c="8">
        <n x="7" s="1"/>
        <n x="69" s="1"/>
        <n x="3" s="1"/>
        <n x="70" s="1"/>
        <n x="2" s="1"/>
        <n x="68"/>
        <n x="86"/>
        <n x="41"/>
      </t>
    </mdx>
    <mdx n="0" f="v">
      <t c="8">
        <n x="7" s="1"/>
        <n x="69" s="1"/>
        <n x="3" s="1"/>
        <n x="70" s="1"/>
        <n x="2" s="1"/>
        <n x="68"/>
        <n x="86"/>
        <n x="42"/>
      </t>
    </mdx>
    <mdx n="0" f="v">
      <t c="8">
        <n x="7" s="1"/>
        <n x="69" s="1"/>
        <n x="3" s="1"/>
        <n x="70" s="1"/>
        <n x="2" s="1"/>
        <n x="68"/>
        <n x="86"/>
        <n x="43"/>
      </t>
    </mdx>
    <mdx n="0" f="v">
      <t c="8">
        <n x="7" s="1"/>
        <n x="69" s="1"/>
        <n x="3" s="1"/>
        <n x="70" s="1"/>
        <n x="2" s="1"/>
        <n x="68"/>
        <n x="86"/>
        <n x="44"/>
      </t>
    </mdx>
    <mdx n="0" f="v">
      <t c="8">
        <n x="7" s="1"/>
        <n x="69" s="1"/>
        <n x="3" s="1"/>
        <n x="70" s="1"/>
        <n x="2" s="1"/>
        <n x="68"/>
        <n x="86"/>
        <n x="45"/>
      </t>
    </mdx>
    <mdx n="0" f="v">
      <t c="8">
        <n x="7" s="1"/>
        <n x="69" s="1"/>
        <n x="3" s="1"/>
        <n x="70" s="1"/>
        <n x="2" s="1"/>
        <n x="68"/>
        <n x="86"/>
        <n x="46"/>
      </t>
    </mdx>
    <mdx n="0" f="v">
      <t c="8">
        <n x="7" s="1"/>
        <n x="69" s="1"/>
        <n x="3" s="1"/>
        <n x="70" s="1"/>
        <n x="2" s="1"/>
        <n x="68"/>
        <n x="86"/>
        <n x="47"/>
      </t>
    </mdx>
    <mdx n="0" f="v">
      <t c="8">
        <n x="7" s="1"/>
        <n x="69" s="1"/>
        <n x="3" s="1"/>
        <n x="70" s="1"/>
        <n x="2" s="1"/>
        <n x="68"/>
        <n x="86"/>
        <n x="48"/>
      </t>
    </mdx>
    <mdx n="0" f="v">
      <t c="8">
        <n x="7" s="1"/>
        <n x="69" s="1"/>
        <n x="3" s="1"/>
        <n x="70" s="1"/>
        <n x="2" s="1"/>
        <n x="68"/>
        <n x="86"/>
        <n x="49"/>
      </t>
    </mdx>
    <mdx n="0" f="v">
      <t c="8">
        <n x="7" s="1"/>
        <n x="69" s="1"/>
        <n x="3" s="1"/>
        <n x="70" s="1"/>
        <n x="2" s="1"/>
        <n x="68"/>
        <n x="86"/>
        <n x="50"/>
      </t>
    </mdx>
    <mdx n="0" f="v">
      <t c="8">
        <n x="7" s="1"/>
        <n x="69" s="1"/>
        <n x="3" s="1"/>
        <n x="70" s="1"/>
        <n x="2" s="1"/>
        <n x="68"/>
        <n x="86"/>
        <n x="51"/>
      </t>
    </mdx>
    <mdx n="0" f="v">
      <t c="8">
        <n x="7" s="1"/>
        <n x="69" s="1"/>
        <n x="3" s="1"/>
        <n x="70" s="1"/>
        <n x="2" s="1"/>
        <n x="68"/>
        <n x="86"/>
        <n x="52"/>
      </t>
    </mdx>
    <mdx n="0" f="v">
      <t c="8">
        <n x="7" s="1"/>
        <n x="69" s="1"/>
        <n x="3" s="1"/>
        <n x="70" s="1"/>
        <n x="2" s="1"/>
        <n x="68"/>
        <n x="86"/>
        <n x="53"/>
      </t>
    </mdx>
    <mdx n="0" f="v">
      <t c="8">
        <n x="7" s="1"/>
        <n x="69" s="1"/>
        <n x="3" s="1"/>
        <n x="70" s="1"/>
        <n x="2" s="1"/>
        <n x="68"/>
        <n x="86"/>
        <n x="54"/>
      </t>
    </mdx>
    <mdx n="0" f="v">
      <t c="8">
        <n x="7" s="1"/>
        <n x="69" s="1"/>
        <n x="3" s="1"/>
        <n x="70" s="1"/>
        <n x="2" s="1"/>
        <n x="68"/>
        <n x="86"/>
        <n x="55"/>
      </t>
    </mdx>
    <mdx n="0" f="v">
      <t c="8">
        <n x="7" s="1"/>
        <n x="69" s="1"/>
        <n x="3" s="1"/>
        <n x="70" s="1"/>
        <n x="2" s="1"/>
        <n x="68"/>
        <n x="86"/>
        <n x="56"/>
      </t>
    </mdx>
    <mdx n="0" f="v">
      <t c="8">
        <n x="7" s="1"/>
        <n x="69" s="1"/>
        <n x="3" s="1"/>
        <n x="70" s="1"/>
        <n x="2" s="1"/>
        <n x="68"/>
        <n x="86"/>
        <n x="57"/>
      </t>
    </mdx>
    <mdx n="0" f="v">
      <t c="8">
        <n x="7" s="1"/>
        <n x="69" s="1"/>
        <n x="3" s="1"/>
        <n x="70" s="1"/>
        <n x="2" s="1"/>
        <n x="68"/>
        <n x="86"/>
        <n x="58"/>
      </t>
    </mdx>
    <mdx n="0" f="v">
      <t c="8">
        <n x="7" s="1"/>
        <n x="69" s="1"/>
        <n x="3" s="1"/>
        <n x="70" s="1"/>
        <n x="2" s="1"/>
        <n x="68"/>
        <n x="86"/>
        <n x="59"/>
      </t>
    </mdx>
    <mdx n="0" f="v">
      <t c="8">
        <n x="7" s="1"/>
        <n x="69" s="1"/>
        <n x="3" s="1"/>
        <n x="70" s="1"/>
        <n x="2" s="1"/>
        <n x="68"/>
        <n x="86"/>
        <n x="60"/>
      </t>
    </mdx>
    <mdx n="0" f="v">
      <t c="8">
        <n x="7" s="1"/>
        <n x="69" s="1"/>
        <n x="3" s="1"/>
        <n x="70" s="1"/>
        <n x="2" s="1"/>
        <n x="68"/>
        <n x="86"/>
        <n x="61"/>
      </t>
    </mdx>
    <mdx n="0" f="v">
      <t c="8">
        <n x="7" s="1"/>
        <n x="69" s="1"/>
        <n x="3" s="1"/>
        <n x="70" s="1"/>
        <n x="2" s="1"/>
        <n x="68"/>
        <n x="86"/>
        <n x="62"/>
      </t>
    </mdx>
    <mdx n="0" f="v">
      <t c="8">
        <n x="7" s="1"/>
        <n x="69" s="1"/>
        <n x="3" s="1"/>
        <n x="70" s="1"/>
        <n x="2" s="1"/>
        <n x="68"/>
        <n x="86"/>
        <n x="63"/>
      </t>
    </mdx>
    <mdx n="0" f="v">
      <t c="8">
        <n x="7" s="1"/>
        <n x="69" s="1"/>
        <n x="3" s="1"/>
        <n x="70" s="1"/>
        <n x="2" s="1"/>
        <n x="68"/>
        <n x="86"/>
        <n x="64"/>
      </t>
    </mdx>
    <mdx n="0" f="v">
      <t c="8">
        <n x="7" s="1"/>
        <n x="69" s="1"/>
        <n x="3" s="1"/>
        <n x="70" s="1"/>
        <n x="2" s="1"/>
        <n x="68"/>
        <n x="86"/>
        <n x="65"/>
      </t>
    </mdx>
    <mdx n="0" f="v">
      <t c="8">
        <n x="7" s="1"/>
        <n x="69" s="1"/>
        <n x="3" s="1"/>
        <n x="70" s="1"/>
        <n x="2" s="1"/>
        <n x="68"/>
        <n x="86"/>
        <n x="66"/>
      </t>
    </mdx>
    <mdx n="0" f="v">
      <t c="8">
        <n x="7" s="1"/>
        <n x="69" s="1"/>
        <n x="3" s="1"/>
        <n x="70" s="1"/>
        <n x="2" s="1"/>
        <n x="68"/>
        <n x="87"/>
        <n x="8"/>
      </t>
    </mdx>
    <mdx n="0" f="v">
      <t c="8">
        <n x="7" s="1"/>
        <n x="69" s="1"/>
        <n x="3" s="1"/>
        <n x="70" s="1"/>
        <n x="2" s="1"/>
        <n x="68"/>
        <n x="87"/>
        <n x="9"/>
      </t>
    </mdx>
    <mdx n="0" f="v">
      <t c="8">
        <n x="7" s="1"/>
        <n x="69" s="1"/>
        <n x="3" s="1"/>
        <n x="70" s="1"/>
        <n x="2" s="1"/>
        <n x="68"/>
        <n x="87"/>
        <n x="10"/>
      </t>
    </mdx>
    <mdx n="0" f="v">
      <t c="8">
        <n x="7" s="1"/>
        <n x="69" s="1"/>
        <n x="3" s="1"/>
        <n x="70" s="1"/>
        <n x="2" s="1"/>
        <n x="68"/>
        <n x="87"/>
        <n x="11"/>
      </t>
    </mdx>
    <mdx n="0" f="v">
      <t c="8">
        <n x="7" s="1"/>
        <n x="69" s="1"/>
        <n x="3" s="1"/>
        <n x="70" s="1"/>
        <n x="2" s="1"/>
        <n x="68"/>
        <n x="87"/>
        <n x="12"/>
      </t>
    </mdx>
    <mdx n="0" f="v">
      <t c="8">
        <n x="7" s="1"/>
        <n x="69" s="1"/>
        <n x="3" s="1"/>
        <n x="70" s="1"/>
        <n x="2" s="1"/>
        <n x="68"/>
        <n x="87"/>
        <n x="13"/>
      </t>
    </mdx>
    <mdx n="0" f="v">
      <t c="8">
        <n x="7" s="1"/>
        <n x="69" s="1"/>
        <n x="3" s="1"/>
        <n x="70" s="1"/>
        <n x="2" s="1"/>
        <n x="68"/>
        <n x="87"/>
        <n x="14"/>
      </t>
    </mdx>
    <mdx n="0" f="v">
      <t c="8">
        <n x="7" s="1"/>
        <n x="69" s="1"/>
        <n x="3" s="1"/>
        <n x="70" s="1"/>
        <n x="2" s="1"/>
        <n x="68"/>
        <n x="87"/>
        <n x="15"/>
      </t>
    </mdx>
    <mdx n="0" f="v">
      <t c="8">
        <n x="7" s="1"/>
        <n x="69" s="1"/>
        <n x="3" s="1"/>
        <n x="70" s="1"/>
        <n x="2" s="1"/>
        <n x="68"/>
        <n x="87"/>
        <n x="16"/>
      </t>
    </mdx>
    <mdx n="0" f="v">
      <t c="8">
        <n x="7" s="1"/>
        <n x="69" s="1"/>
        <n x="3" s="1"/>
        <n x="70" s="1"/>
        <n x="2" s="1"/>
        <n x="68"/>
        <n x="87"/>
        <n x="17"/>
      </t>
    </mdx>
    <mdx n="0" f="v">
      <t c="8">
        <n x="7" s="1"/>
        <n x="69" s="1"/>
        <n x="3" s="1"/>
        <n x="70" s="1"/>
        <n x="2" s="1"/>
        <n x="68"/>
        <n x="87"/>
        <n x="18"/>
      </t>
    </mdx>
    <mdx n="0" f="v">
      <t c="8">
        <n x="7" s="1"/>
        <n x="69" s="1"/>
        <n x="3" s="1"/>
        <n x="70" s="1"/>
        <n x="2" s="1"/>
        <n x="68"/>
        <n x="87"/>
        <n x="19"/>
      </t>
    </mdx>
    <mdx n="0" f="v">
      <t c="8">
        <n x="7" s="1"/>
        <n x="69" s="1"/>
        <n x="3" s="1"/>
        <n x="70" s="1"/>
        <n x="2" s="1"/>
        <n x="68"/>
        <n x="87"/>
        <n x="20"/>
      </t>
    </mdx>
    <mdx n="0" f="v">
      <t c="8">
        <n x="7" s="1"/>
        <n x="69" s="1"/>
        <n x="3" s="1"/>
        <n x="70" s="1"/>
        <n x="2" s="1"/>
        <n x="68"/>
        <n x="87"/>
        <n x="21"/>
      </t>
    </mdx>
    <mdx n="0" f="v">
      <t c="8">
        <n x="7" s="1"/>
        <n x="69" s="1"/>
        <n x="3" s="1"/>
        <n x="70" s="1"/>
        <n x="2" s="1"/>
        <n x="68"/>
        <n x="87"/>
        <n x="22"/>
      </t>
    </mdx>
    <mdx n="0" f="v">
      <t c="8">
        <n x="7" s="1"/>
        <n x="69" s="1"/>
        <n x="3" s="1"/>
        <n x="70" s="1"/>
        <n x="2" s="1"/>
        <n x="68"/>
        <n x="87"/>
        <n x="23"/>
      </t>
    </mdx>
    <mdx n="0" f="v">
      <t c="8">
        <n x="7" s="1"/>
        <n x="69" s="1"/>
        <n x="3" s="1"/>
        <n x="70" s="1"/>
        <n x="2" s="1"/>
        <n x="68"/>
        <n x="87"/>
        <n x="24"/>
      </t>
    </mdx>
    <mdx n="0" f="v">
      <t c="8">
        <n x="7" s="1"/>
        <n x="69" s="1"/>
        <n x="3" s="1"/>
        <n x="70" s="1"/>
        <n x="2" s="1"/>
        <n x="68"/>
        <n x="87"/>
        <n x="25"/>
      </t>
    </mdx>
    <mdx n="0" f="v">
      <t c="8">
        <n x="7" s="1"/>
        <n x="69" s="1"/>
        <n x="3" s="1"/>
        <n x="70" s="1"/>
        <n x="2" s="1"/>
        <n x="68"/>
        <n x="87"/>
        <n x="26"/>
      </t>
    </mdx>
    <mdx n="0" f="v">
      <t c="8">
        <n x="7" s="1"/>
        <n x="69" s="1"/>
        <n x="3" s="1"/>
        <n x="70" s="1"/>
        <n x="2" s="1"/>
        <n x="68"/>
        <n x="87"/>
        <n x="27"/>
      </t>
    </mdx>
    <mdx n="0" f="v">
      <t c="8">
        <n x="7" s="1"/>
        <n x="69" s="1"/>
        <n x="3" s="1"/>
        <n x="70" s="1"/>
        <n x="2" s="1"/>
        <n x="68"/>
        <n x="87"/>
        <n x="28"/>
      </t>
    </mdx>
    <mdx n="0" f="v">
      <t c="8">
        <n x="7" s="1"/>
        <n x="69" s="1"/>
        <n x="3" s="1"/>
        <n x="70" s="1"/>
        <n x="2" s="1"/>
        <n x="68"/>
        <n x="87"/>
        <n x="29"/>
      </t>
    </mdx>
    <mdx n="0" f="v">
      <t c="8">
        <n x="7" s="1"/>
        <n x="69" s="1"/>
        <n x="3" s="1"/>
        <n x="70" s="1"/>
        <n x="2" s="1"/>
        <n x="68"/>
        <n x="87"/>
        <n x="30"/>
      </t>
    </mdx>
    <mdx n="0" f="v">
      <t c="8">
        <n x="7" s="1"/>
        <n x="69" s="1"/>
        <n x="3" s="1"/>
        <n x="70" s="1"/>
        <n x="2" s="1"/>
        <n x="68"/>
        <n x="87"/>
        <n x="31"/>
      </t>
    </mdx>
    <mdx n="0" f="v">
      <t c="8">
        <n x="7" s="1"/>
        <n x="69" s="1"/>
        <n x="3" s="1"/>
        <n x="70" s="1"/>
        <n x="2" s="1"/>
        <n x="68"/>
        <n x="87"/>
        <n x="32"/>
      </t>
    </mdx>
    <mdx n="0" f="v">
      <t c="8">
        <n x="7" s="1"/>
        <n x="69" s="1"/>
        <n x="3" s="1"/>
        <n x="70" s="1"/>
        <n x="2" s="1"/>
        <n x="68"/>
        <n x="87"/>
        <n x="33"/>
      </t>
    </mdx>
    <mdx n="0" f="v">
      <t c="8">
        <n x="7" s="1"/>
        <n x="69" s="1"/>
        <n x="3" s="1"/>
        <n x="70" s="1"/>
        <n x="2" s="1"/>
        <n x="68"/>
        <n x="87"/>
        <n x="34"/>
      </t>
    </mdx>
    <mdx n="0" f="v">
      <t c="8">
        <n x="7" s="1"/>
        <n x="69" s="1"/>
        <n x="3" s="1"/>
        <n x="70" s="1"/>
        <n x="2" s="1"/>
        <n x="68"/>
        <n x="87"/>
        <n x="35"/>
      </t>
    </mdx>
    <mdx n="0" f="v">
      <t c="8">
        <n x="7" s="1"/>
        <n x="69" s="1"/>
        <n x="3" s="1"/>
        <n x="70" s="1"/>
        <n x="2" s="1"/>
        <n x="68"/>
        <n x="87"/>
        <n x="36"/>
      </t>
    </mdx>
    <mdx n="0" f="v">
      <t c="8">
        <n x="7" s="1"/>
        <n x="69" s="1"/>
        <n x="3" s="1"/>
        <n x="70" s="1"/>
        <n x="2" s="1"/>
        <n x="68"/>
        <n x="87"/>
        <n x="37"/>
      </t>
    </mdx>
    <mdx n="0" f="v">
      <t c="8">
        <n x="7" s="1"/>
        <n x="69" s="1"/>
        <n x="3" s="1"/>
        <n x="70" s="1"/>
        <n x="2" s="1"/>
        <n x="68"/>
        <n x="87"/>
        <n x="38"/>
      </t>
    </mdx>
    <mdx n="0" f="v">
      <t c="8">
        <n x="7" s="1"/>
        <n x="69" s="1"/>
        <n x="3" s="1"/>
        <n x="70" s="1"/>
        <n x="2" s="1"/>
        <n x="68"/>
        <n x="87"/>
        <n x="39"/>
      </t>
    </mdx>
    <mdx n="0" f="v">
      <t c="8">
        <n x="7" s="1"/>
        <n x="69" s="1"/>
        <n x="3" s="1"/>
        <n x="70" s="1"/>
        <n x="2" s="1"/>
        <n x="68"/>
        <n x="87"/>
        <n x="40"/>
      </t>
    </mdx>
    <mdx n="0" f="v">
      <t c="8">
        <n x="7" s="1"/>
        <n x="69" s="1"/>
        <n x="3" s="1"/>
        <n x="70" s="1"/>
        <n x="2" s="1"/>
        <n x="68"/>
        <n x="87"/>
        <n x="41"/>
      </t>
    </mdx>
    <mdx n="0" f="v">
      <t c="8">
        <n x="7" s="1"/>
        <n x="69" s="1"/>
        <n x="3" s="1"/>
        <n x="70" s="1"/>
        <n x="2" s="1"/>
        <n x="68"/>
        <n x="87"/>
        <n x="42"/>
      </t>
    </mdx>
    <mdx n="0" f="v">
      <t c="8">
        <n x="7" s="1"/>
        <n x="69" s="1"/>
        <n x="3" s="1"/>
        <n x="70" s="1"/>
        <n x="2" s="1"/>
        <n x="68"/>
        <n x="87"/>
        <n x="43"/>
      </t>
    </mdx>
    <mdx n="0" f="v">
      <t c="8">
        <n x="7" s="1"/>
        <n x="69" s="1"/>
        <n x="3" s="1"/>
        <n x="70" s="1"/>
        <n x="2" s="1"/>
        <n x="68"/>
        <n x="87"/>
        <n x="44"/>
      </t>
    </mdx>
    <mdx n="0" f="v">
      <t c="8">
        <n x="7" s="1"/>
        <n x="69" s="1"/>
        <n x="3" s="1"/>
        <n x="70" s="1"/>
        <n x="2" s="1"/>
        <n x="68"/>
        <n x="87"/>
        <n x="45"/>
      </t>
    </mdx>
    <mdx n="0" f="v">
      <t c="8">
        <n x="7" s="1"/>
        <n x="69" s="1"/>
        <n x="3" s="1"/>
        <n x="70" s="1"/>
        <n x="2" s="1"/>
        <n x="68"/>
        <n x="87"/>
        <n x="46"/>
      </t>
    </mdx>
    <mdx n="0" f="v">
      <t c="8">
        <n x="7" s="1"/>
        <n x="69" s="1"/>
        <n x="3" s="1"/>
        <n x="70" s="1"/>
        <n x="2" s="1"/>
        <n x="68"/>
        <n x="87"/>
        <n x="47"/>
      </t>
    </mdx>
    <mdx n="0" f="v">
      <t c="8">
        <n x="7" s="1"/>
        <n x="69" s="1"/>
        <n x="3" s="1"/>
        <n x="70" s="1"/>
        <n x="2" s="1"/>
        <n x="68"/>
        <n x="87"/>
        <n x="48"/>
      </t>
    </mdx>
    <mdx n="0" f="v">
      <t c="8">
        <n x="7" s="1"/>
        <n x="69" s="1"/>
        <n x="3" s="1"/>
        <n x="70" s="1"/>
        <n x="2" s="1"/>
        <n x="68"/>
        <n x="87"/>
        <n x="49"/>
      </t>
    </mdx>
    <mdx n="0" f="v">
      <t c="8">
        <n x="7" s="1"/>
        <n x="69" s="1"/>
        <n x="3" s="1"/>
        <n x="70" s="1"/>
        <n x="2" s="1"/>
        <n x="68"/>
        <n x="87"/>
        <n x="50"/>
      </t>
    </mdx>
    <mdx n="0" f="v">
      <t c="8">
        <n x="7" s="1"/>
        <n x="69" s="1"/>
        <n x="3" s="1"/>
        <n x="70" s="1"/>
        <n x="2" s="1"/>
        <n x="68"/>
        <n x="87"/>
        <n x="51"/>
      </t>
    </mdx>
    <mdx n="0" f="v">
      <t c="8">
        <n x="7" s="1"/>
        <n x="69" s="1"/>
        <n x="3" s="1"/>
        <n x="70" s="1"/>
        <n x="2" s="1"/>
        <n x="68"/>
        <n x="87"/>
        <n x="52"/>
      </t>
    </mdx>
    <mdx n="0" f="v">
      <t c="8">
        <n x="7" s="1"/>
        <n x="69" s="1"/>
        <n x="3" s="1"/>
        <n x="70" s="1"/>
        <n x="2" s="1"/>
        <n x="68"/>
        <n x="87"/>
        <n x="53"/>
      </t>
    </mdx>
    <mdx n="0" f="v">
      <t c="8">
        <n x="7" s="1"/>
        <n x="69" s="1"/>
        <n x="3" s="1"/>
        <n x="70" s="1"/>
        <n x="2" s="1"/>
        <n x="68"/>
        <n x="87"/>
        <n x="54"/>
      </t>
    </mdx>
    <mdx n="0" f="v">
      <t c="8">
        <n x="7" s="1"/>
        <n x="69" s="1"/>
        <n x="3" s="1"/>
        <n x="70" s="1"/>
        <n x="2" s="1"/>
        <n x="68"/>
        <n x="87"/>
        <n x="55"/>
      </t>
    </mdx>
    <mdx n="0" f="v">
      <t c="8">
        <n x="7" s="1"/>
        <n x="69" s="1"/>
        <n x="3" s="1"/>
        <n x="70" s="1"/>
        <n x="2" s="1"/>
        <n x="68"/>
        <n x="87"/>
        <n x="56"/>
      </t>
    </mdx>
    <mdx n="0" f="v">
      <t c="8">
        <n x="7" s="1"/>
        <n x="69" s="1"/>
        <n x="3" s="1"/>
        <n x="70" s="1"/>
        <n x="2" s="1"/>
        <n x="68"/>
        <n x="87"/>
        <n x="57"/>
      </t>
    </mdx>
    <mdx n="0" f="v">
      <t c="8">
        <n x="7" s="1"/>
        <n x="69" s="1"/>
        <n x="3" s="1"/>
        <n x="70" s="1"/>
        <n x="2" s="1"/>
        <n x="68"/>
        <n x="87"/>
        <n x="58"/>
      </t>
    </mdx>
    <mdx n="0" f="v">
      <t c="8">
        <n x="7" s="1"/>
        <n x="69" s="1"/>
        <n x="3" s="1"/>
        <n x="70" s="1"/>
        <n x="2" s="1"/>
        <n x="68"/>
        <n x="87"/>
        <n x="59"/>
      </t>
    </mdx>
    <mdx n="0" f="v">
      <t c="8">
        <n x="7" s="1"/>
        <n x="69" s="1"/>
        <n x="3" s="1"/>
        <n x="70" s="1"/>
        <n x="2" s="1"/>
        <n x="68"/>
        <n x="87"/>
        <n x="60"/>
      </t>
    </mdx>
    <mdx n="0" f="v">
      <t c="8">
        <n x="7" s="1"/>
        <n x="69" s="1"/>
        <n x="3" s="1"/>
        <n x="70" s="1"/>
        <n x="2" s="1"/>
        <n x="68"/>
        <n x="87"/>
        <n x="61"/>
      </t>
    </mdx>
    <mdx n="0" f="v">
      <t c="8">
        <n x="7" s="1"/>
        <n x="69" s="1"/>
        <n x="3" s="1"/>
        <n x="70" s="1"/>
        <n x="2" s="1"/>
        <n x="68"/>
        <n x="87"/>
        <n x="62"/>
      </t>
    </mdx>
    <mdx n="0" f="v">
      <t c="8">
        <n x="7" s="1"/>
        <n x="69" s="1"/>
        <n x="3" s="1"/>
        <n x="70" s="1"/>
        <n x="2" s="1"/>
        <n x="68"/>
        <n x="87"/>
        <n x="63"/>
      </t>
    </mdx>
    <mdx n="0" f="v">
      <t c="8">
        <n x="7" s="1"/>
        <n x="69" s="1"/>
        <n x="3" s="1"/>
        <n x="70" s="1"/>
        <n x="2" s="1"/>
        <n x="68"/>
        <n x="87"/>
        <n x="64"/>
      </t>
    </mdx>
    <mdx n="0" f="v">
      <t c="8">
        <n x="7" s="1"/>
        <n x="69" s="1"/>
        <n x="3" s="1"/>
        <n x="70" s="1"/>
        <n x="2" s="1"/>
        <n x="68"/>
        <n x="87"/>
        <n x="65"/>
      </t>
    </mdx>
    <mdx n="0" f="v">
      <t c="8">
        <n x="7" s="1"/>
        <n x="69" s="1"/>
        <n x="3" s="1"/>
        <n x="70" s="1"/>
        <n x="2" s="1"/>
        <n x="68"/>
        <n x="87"/>
        <n x="66"/>
      </t>
    </mdx>
    <mdx n="0" f="v">
      <t c="8">
        <n x="7" s="1"/>
        <n x="69" s="1"/>
        <n x="3" s="1"/>
        <n x="70" s="1"/>
        <n x="2" s="1"/>
        <n x="68"/>
        <n x="88"/>
        <n x="8"/>
      </t>
    </mdx>
    <mdx n="0" f="v">
      <t c="8">
        <n x="7" s="1"/>
        <n x="69" s="1"/>
        <n x="3" s="1"/>
        <n x="70" s="1"/>
        <n x="2" s="1"/>
        <n x="68"/>
        <n x="88"/>
        <n x="9"/>
      </t>
    </mdx>
    <mdx n="0" f="v">
      <t c="8">
        <n x="7" s="1"/>
        <n x="69" s="1"/>
        <n x="3" s="1"/>
        <n x="70" s="1"/>
        <n x="2" s="1"/>
        <n x="68"/>
        <n x="88"/>
        <n x="10"/>
      </t>
    </mdx>
    <mdx n="0" f="v">
      <t c="8">
        <n x="7" s="1"/>
        <n x="69" s="1"/>
        <n x="3" s="1"/>
        <n x="70" s="1"/>
        <n x="2" s="1"/>
        <n x="68"/>
        <n x="88"/>
        <n x="11"/>
      </t>
    </mdx>
    <mdx n="0" f="v">
      <t c="8">
        <n x="7" s="1"/>
        <n x="69" s="1"/>
        <n x="3" s="1"/>
        <n x="70" s="1"/>
        <n x="2" s="1"/>
        <n x="68"/>
        <n x="88"/>
        <n x="12"/>
      </t>
    </mdx>
    <mdx n="0" f="v">
      <t c="8">
        <n x="7" s="1"/>
        <n x="69" s="1"/>
        <n x="3" s="1"/>
        <n x="70" s="1"/>
        <n x="2" s="1"/>
        <n x="68"/>
        <n x="88"/>
        <n x="13"/>
      </t>
    </mdx>
    <mdx n="0" f="v">
      <t c="8">
        <n x="7" s="1"/>
        <n x="69" s="1"/>
        <n x="3" s="1"/>
        <n x="70" s="1"/>
        <n x="2" s="1"/>
        <n x="68"/>
        <n x="88"/>
        <n x="14"/>
      </t>
    </mdx>
    <mdx n="0" f="v">
      <t c="8">
        <n x="7" s="1"/>
        <n x="69" s="1"/>
        <n x="3" s="1"/>
        <n x="70" s="1"/>
        <n x="2" s="1"/>
        <n x="68"/>
        <n x="88"/>
        <n x="15"/>
      </t>
    </mdx>
    <mdx n="0" f="v">
      <t c="8">
        <n x="7" s="1"/>
        <n x="69" s="1"/>
        <n x="3" s="1"/>
        <n x="70" s="1"/>
        <n x="2" s="1"/>
        <n x="68"/>
        <n x="88"/>
        <n x="16"/>
      </t>
    </mdx>
    <mdx n="0" f="v">
      <t c="8">
        <n x="7" s="1"/>
        <n x="69" s="1"/>
        <n x="3" s="1"/>
        <n x="70" s="1"/>
        <n x="2" s="1"/>
        <n x="68"/>
        <n x="88"/>
        <n x="17"/>
      </t>
    </mdx>
    <mdx n="0" f="v">
      <t c="8">
        <n x="7" s="1"/>
        <n x="69" s="1"/>
        <n x="3" s="1"/>
        <n x="70" s="1"/>
        <n x="2" s="1"/>
        <n x="68"/>
        <n x="88"/>
        <n x="18"/>
      </t>
    </mdx>
    <mdx n="0" f="v">
      <t c="8">
        <n x="7" s="1"/>
        <n x="69" s="1"/>
        <n x="3" s="1"/>
        <n x="70" s="1"/>
        <n x="2" s="1"/>
        <n x="68"/>
        <n x="88"/>
        <n x="19"/>
      </t>
    </mdx>
    <mdx n="0" f="v">
      <t c="8">
        <n x="7" s="1"/>
        <n x="69" s="1"/>
        <n x="3" s="1"/>
        <n x="70" s="1"/>
        <n x="2" s="1"/>
        <n x="68"/>
        <n x="88"/>
        <n x="20"/>
      </t>
    </mdx>
    <mdx n="0" f="v">
      <t c="8">
        <n x="7" s="1"/>
        <n x="69" s="1"/>
        <n x="3" s="1"/>
        <n x="70" s="1"/>
        <n x="2" s="1"/>
        <n x="68"/>
        <n x="88"/>
        <n x="21"/>
      </t>
    </mdx>
    <mdx n="0" f="v">
      <t c="8">
        <n x="7" s="1"/>
        <n x="69" s="1"/>
        <n x="3" s="1"/>
        <n x="70" s="1"/>
        <n x="2" s="1"/>
        <n x="68"/>
        <n x="88"/>
        <n x="22"/>
      </t>
    </mdx>
    <mdx n="0" f="v">
      <t c="8">
        <n x="7" s="1"/>
        <n x="69" s="1"/>
        <n x="3" s="1"/>
        <n x="70" s="1"/>
        <n x="2" s="1"/>
        <n x="68"/>
        <n x="88"/>
        <n x="23"/>
      </t>
    </mdx>
    <mdx n="0" f="v">
      <t c="8">
        <n x="7" s="1"/>
        <n x="69" s="1"/>
        <n x="3" s="1"/>
        <n x="70" s="1"/>
        <n x="2" s="1"/>
        <n x="68"/>
        <n x="88"/>
        <n x="24"/>
      </t>
    </mdx>
    <mdx n="0" f="v">
      <t c="8">
        <n x="7" s="1"/>
        <n x="69" s="1"/>
        <n x="3" s="1"/>
        <n x="70" s="1"/>
        <n x="2" s="1"/>
        <n x="68"/>
        <n x="88"/>
        <n x="25"/>
      </t>
    </mdx>
    <mdx n="0" f="v">
      <t c="8">
        <n x="7" s="1"/>
        <n x="69" s="1"/>
        <n x="3" s="1"/>
        <n x="70" s="1"/>
        <n x="2" s="1"/>
        <n x="68"/>
        <n x="88"/>
        <n x="26"/>
      </t>
    </mdx>
    <mdx n="0" f="v">
      <t c="8">
        <n x="7" s="1"/>
        <n x="69" s="1"/>
        <n x="3" s="1"/>
        <n x="70" s="1"/>
        <n x="2" s="1"/>
        <n x="68"/>
        <n x="88"/>
        <n x="27"/>
      </t>
    </mdx>
    <mdx n="0" f="v">
      <t c="8">
        <n x="7" s="1"/>
        <n x="69" s="1"/>
        <n x="3" s="1"/>
        <n x="70" s="1"/>
        <n x="2" s="1"/>
        <n x="68"/>
        <n x="88"/>
        <n x="28"/>
      </t>
    </mdx>
    <mdx n="0" f="v">
      <t c="8">
        <n x="7" s="1"/>
        <n x="69" s="1"/>
        <n x="3" s="1"/>
        <n x="70" s="1"/>
        <n x="2" s="1"/>
        <n x="68"/>
        <n x="88"/>
        <n x="29"/>
      </t>
    </mdx>
    <mdx n="0" f="v">
      <t c="8">
        <n x="7" s="1"/>
        <n x="69" s="1"/>
        <n x="3" s="1"/>
        <n x="70" s="1"/>
        <n x="2" s="1"/>
        <n x="68"/>
        <n x="88"/>
        <n x="30"/>
      </t>
    </mdx>
    <mdx n="0" f="v">
      <t c="8">
        <n x="7" s="1"/>
        <n x="69" s="1"/>
        <n x="3" s="1"/>
        <n x="70" s="1"/>
        <n x="2" s="1"/>
        <n x="68"/>
        <n x="88"/>
        <n x="31"/>
      </t>
    </mdx>
    <mdx n="0" f="v">
      <t c="8">
        <n x="7" s="1"/>
        <n x="69" s="1"/>
        <n x="3" s="1"/>
        <n x="70" s="1"/>
        <n x="2" s="1"/>
        <n x="68"/>
        <n x="88"/>
        <n x="32"/>
      </t>
    </mdx>
    <mdx n="0" f="v">
      <t c="8">
        <n x="7" s="1"/>
        <n x="69" s="1"/>
        <n x="3" s="1"/>
        <n x="70" s="1"/>
        <n x="2" s="1"/>
        <n x="68"/>
        <n x="88"/>
        <n x="33"/>
      </t>
    </mdx>
    <mdx n="0" f="v">
      <t c="8">
        <n x="7" s="1"/>
        <n x="69" s="1"/>
        <n x="3" s="1"/>
        <n x="70" s="1"/>
        <n x="2" s="1"/>
        <n x="68"/>
        <n x="88"/>
        <n x="34"/>
      </t>
    </mdx>
    <mdx n="0" f="v">
      <t c="8">
        <n x="7" s="1"/>
        <n x="69" s="1"/>
        <n x="3" s="1"/>
        <n x="70" s="1"/>
        <n x="2" s="1"/>
        <n x="68"/>
        <n x="88"/>
        <n x="35"/>
      </t>
    </mdx>
    <mdx n="0" f="v">
      <t c="8">
        <n x="7" s="1"/>
        <n x="69" s="1"/>
        <n x="3" s="1"/>
        <n x="70" s="1"/>
        <n x="2" s="1"/>
        <n x="68"/>
        <n x="88"/>
        <n x="36"/>
      </t>
    </mdx>
    <mdx n="0" f="v">
      <t c="8">
        <n x="7" s="1"/>
        <n x="69" s="1"/>
        <n x="3" s="1"/>
        <n x="70" s="1"/>
        <n x="2" s="1"/>
        <n x="68"/>
        <n x="88"/>
        <n x="37"/>
      </t>
    </mdx>
    <mdx n="0" f="v">
      <t c="8">
        <n x="7" s="1"/>
        <n x="69" s="1"/>
        <n x="3" s="1"/>
        <n x="70" s="1"/>
        <n x="2" s="1"/>
        <n x="68"/>
        <n x="88"/>
        <n x="38"/>
      </t>
    </mdx>
    <mdx n="0" f="v">
      <t c="8">
        <n x="7" s="1"/>
        <n x="69" s="1"/>
        <n x="3" s="1"/>
        <n x="70" s="1"/>
        <n x="2" s="1"/>
        <n x="68"/>
        <n x="88"/>
        <n x="39"/>
      </t>
    </mdx>
    <mdx n="0" f="v">
      <t c="8">
        <n x="7" s="1"/>
        <n x="69" s="1"/>
        <n x="3" s="1"/>
        <n x="70" s="1"/>
        <n x="2" s="1"/>
        <n x="68"/>
        <n x="88"/>
        <n x="40"/>
      </t>
    </mdx>
    <mdx n="0" f="v">
      <t c="8">
        <n x="7" s="1"/>
        <n x="69" s="1"/>
        <n x="3" s="1"/>
        <n x="70" s="1"/>
        <n x="2" s="1"/>
        <n x="68"/>
        <n x="88"/>
        <n x="41"/>
      </t>
    </mdx>
    <mdx n="0" f="v">
      <t c="8">
        <n x="7" s="1"/>
        <n x="69" s="1"/>
        <n x="3" s="1"/>
        <n x="70" s="1"/>
        <n x="2" s="1"/>
        <n x="68"/>
        <n x="88"/>
        <n x="42"/>
      </t>
    </mdx>
    <mdx n="0" f="v">
      <t c="8">
        <n x="7" s="1"/>
        <n x="69" s="1"/>
        <n x="3" s="1"/>
        <n x="70" s="1"/>
        <n x="2" s="1"/>
        <n x="68"/>
        <n x="88"/>
        <n x="43"/>
      </t>
    </mdx>
    <mdx n="0" f="v">
      <t c="8">
        <n x="7" s="1"/>
        <n x="69" s="1"/>
        <n x="3" s="1"/>
        <n x="70" s="1"/>
        <n x="2" s="1"/>
        <n x="68"/>
        <n x="88"/>
        <n x="44"/>
      </t>
    </mdx>
    <mdx n="0" f="v">
      <t c="8">
        <n x="7" s="1"/>
        <n x="69" s="1"/>
        <n x="3" s="1"/>
        <n x="70" s="1"/>
        <n x="2" s="1"/>
        <n x="68"/>
        <n x="88"/>
        <n x="45"/>
      </t>
    </mdx>
    <mdx n="0" f="v">
      <t c="8">
        <n x="7" s="1"/>
        <n x="69" s="1"/>
        <n x="3" s="1"/>
        <n x="70" s="1"/>
        <n x="2" s="1"/>
        <n x="68"/>
        <n x="88"/>
        <n x="46"/>
      </t>
    </mdx>
    <mdx n="0" f="v">
      <t c="8">
        <n x="7" s="1"/>
        <n x="69" s="1"/>
        <n x="3" s="1"/>
        <n x="70" s="1"/>
        <n x="2" s="1"/>
        <n x="68"/>
        <n x="88"/>
        <n x="47"/>
      </t>
    </mdx>
    <mdx n="0" f="v">
      <t c="8">
        <n x="7" s="1"/>
        <n x="69" s="1"/>
        <n x="3" s="1"/>
        <n x="70" s="1"/>
        <n x="2" s="1"/>
        <n x="68"/>
        <n x="88"/>
        <n x="48"/>
      </t>
    </mdx>
    <mdx n="0" f="v">
      <t c="8">
        <n x="7" s="1"/>
        <n x="69" s="1"/>
        <n x="3" s="1"/>
        <n x="70" s="1"/>
        <n x="2" s="1"/>
        <n x="68"/>
        <n x="88"/>
        <n x="49"/>
      </t>
    </mdx>
    <mdx n="0" f="v">
      <t c="8">
        <n x="7" s="1"/>
        <n x="69" s="1"/>
        <n x="3" s="1"/>
        <n x="70" s="1"/>
        <n x="2" s="1"/>
        <n x="68"/>
        <n x="88"/>
        <n x="50"/>
      </t>
    </mdx>
    <mdx n="0" f="v">
      <t c="8">
        <n x="7" s="1"/>
        <n x="69" s="1"/>
        <n x="3" s="1"/>
        <n x="70" s="1"/>
        <n x="2" s="1"/>
        <n x="68"/>
        <n x="88"/>
        <n x="51"/>
      </t>
    </mdx>
    <mdx n="0" f="v">
      <t c="8">
        <n x="7" s="1"/>
        <n x="69" s="1"/>
        <n x="3" s="1"/>
        <n x="70" s="1"/>
        <n x="2" s="1"/>
        <n x="68"/>
        <n x="88"/>
        <n x="52"/>
      </t>
    </mdx>
    <mdx n="0" f="v">
      <t c="8">
        <n x="7" s="1"/>
        <n x="69" s="1"/>
        <n x="3" s="1"/>
        <n x="70" s="1"/>
        <n x="2" s="1"/>
        <n x="68"/>
        <n x="88"/>
        <n x="53"/>
      </t>
    </mdx>
    <mdx n="0" f="v">
      <t c="8">
        <n x="7" s="1"/>
        <n x="69" s="1"/>
        <n x="3" s="1"/>
        <n x="70" s="1"/>
        <n x="2" s="1"/>
        <n x="68"/>
        <n x="88"/>
        <n x="54"/>
      </t>
    </mdx>
    <mdx n="0" f="v">
      <t c="8">
        <n x="7" s="1"/>
        <n x="69" s="1"/>
        <n x="3" s="1"/>
        <n x="70" s="1"/>
        <n x="2" s="1"/>
        <n x="68"/>
        <n x="88"/>
        <n x="55"/>
      </t>
    </mdx>
    <mdx n="0" f="v">
      <t c="8">
        <n x="7" s="1"/>
        <n x="69" s="1"/>
        <n x="3" s="1"/>
        <n x="70" s="1"/>
        <n x="2" s="1"/>
        <n x="68"/>
        <n x="88"/>
        <n x="56"/>
      </t>
    </mdx>
    <mdx n="0" f="v">
      <t c="8">
        <n x="7" s="1"/>
        <n x="69" s="1"/>
        <n x="3" s="1"/>
        <n x="70" s="1"/>
        <n x="2" s="1"/>
        <n x="68"/>
        <n x="88"/>
        <n x="57"/>
      </t>
    </mdx>
    <mdx n="0" f="v">
      <t c="8">
        <n x="7" s="1"/>
        <n x="69" s="1"/>
        <n x="3" s="1"/>
        <n x="70" s="1"/>
        <n x="2" s="1"/>
        <n x="68"/>
        <n x="88"/>
        <n x="58"/>
      </t>
    </mdx>
    <mdx n="0" f="v">
      <t c="8">
        <n x="7" s="1"/>
        <n x="69" s="1"/>
        <n x="3" s="1"/>
        <n x="70" s="1"/>
        <n x="2" s="1"/>
        <n x="68"/>
        <n x="88"/>
        <n x="59"/>
      </t>
    </mdx>
    <mdx n="0" f="v">
      <t c="8">
        <n x="7" s="1"/>
        <n x="69" s="1"/>
        <n x="3" s="1"/>
        <n x="70" s="1"/>
        <n x="2" s="1"/>
        <n x="68"/>
        <n x="88"/>
        <n x="60"/>
      </t>
    </mdx>
    <mdx n="0" f="v">
      <t c="8">
        <n x="7" s="1"/>
        <n x="69" s="1"/>
        <n x="3" s="1"/>
        <n x="70" s="1"/>
        <n x="2" s="1"/>
        <n x="68"/>
        <n x="88"/>
        <n x="61"/>
      </t>
    </mdx>
    <mdx n="0" f="v">
      <t c="8">
        <n x="7" s="1"/>
        <n x="69" s="1"/>
        <n x="3" s="1"/>
        <n x="70" s="1"/>
        <n x="2" s="1"/>
        <n x="68"/>
        <n x="88"/>
        <n x="62"/>
      </t>
    </mdx>
    <mdx n="0" f="v">
      <t c="8">
        <n x="7" s="1"/>
        <n x="69" s="1"/>
        <n x="3" s="1"/>
        <n x="70" s="1"/>
        <n x="2" s="1"/>
        <n x="68"/>
        <n x="88"/>
        <n x="63"/>
      </t>
    </mdx>
    <mdx n="0" f="v">
      <t c="8">
        <n x="7" s="1"/>
        <n x="69" s="1"/>
        <n x="3" s="1"/>
        <n x="70" s="1"/>
        <n x="2" s="1"/>
        <n x="68"/>
        <n x="88"/>
        <n x="64"/>
      </t>
    </mdx>
    <mdx n="0" f="v">
      <t c="8">
        <n x="7" s="1"/>
        <n x="69" s="1"/>
        <n x="3" s="1"/>
        <n x="70" s="1"/>
        <n x="2" s="1"/>
        <n x="68"/>
        <n x="88"/>
        <n x="65"/>
      </t>
    </mdx>
    <mdx n="0" f="v">
      <t c="8">
        <n x="7" s="1"/>
        <n x="69" s="1"/>
        <n x="3" s="1"/>
        <n x="70" s="1"/>
        <n x="2" s="1"/>
        <n x="68"/>
        <n x="88"/>
        <n x="66"/>
      </t>
    </mdx>
    <mdx n="0" f="v">
      <t c="8">
        <n x="7" s="1"/>
        <n x="69" s="1"/>
        <n x="3" s="1"/>
        <n x="70" s="1"/>
        <n x="2" s="1"/>
        <n x="68"/>
        <n x="89"/>
        <n x="8"/>
      </t>
    </mdx>
    <mdx n="0" f="v">
      <t c="8">
        <n x="7" s="1"/>
        <n x="69" s="1"/>
        <n x="3" s="1"/>
        <n x="70" s="1"/>
        <n x="2" s="1"/>
        <n x="68"/>
        <n x="89"/>
        <n x="9"/>
      </t>
    </mdx>
    <mdx n="0" f="v">
      <t c="8">
        <n x="7" s="1"/>
        <n x="69" s="1"/>
        <n x="3" s="1"/>
        <n x="70" s="1"/>
        <n x="2" s="1"/>
        <n x="68"/>
        <n x="89"/>
        <n x="10"/>
      </t>
    </mdx>
    <mdx n="0" f="v">
      <t c="8">
        <n x="7" s="1"/>
        <n x="69" s="1"/>
        <n x="3" s="1"/>
        <n x="70" s="1"/>
        <n x="2" s="1"/>
        <n x="68"/>
        <n x="89"/>
        <n x="11"/>
      </t>
    </mdx>
    <mdx n="0" f="v">
      <t c="8">
        <n x="7" s="1"/>
        <n x="69" s="1"/>
        <n x="3" s="1"/>
        <n x="70" s="1"/>
        <n x="2" s="1"/>
        <n x="68"/>
        <n x="89"/>
        <n x="12"/>
      </t>
    </mdx>
    <mdx n="0" f="v">
      <t c="8">
        <n x="7" s="1"/>
        <n x="69" s="1"/>
        <n x="3" s="1"/>
        <n x="70" s="1"/>
        <n x="2" s="1"/>
        <n x="68"/>
        <n x="89"/>
        <n x="13"/>
      </t>
    </mdx>
    <mdx n="0" f="v">
      <t c="8">
        <n x="7" s="1"/>
        <n x="69" s="1"/>
        <n x="3" s="1"/>
        <n x="70" s="1"/>
        <n x="2" s="1"/>
        <n x="68"/>
        <n x="89"/>
        <n x="14"/>
      </t>
    </mdx>
    <mdx n="0" f="v">
      <t c="8">
        <n x="7" s="1"/>
        <n x="69" s="1"/>
        <n x="3" s="1"/>
        <n x="70" s="1"/>
        <n x="2" s="1"/>
        <n x="68"/>
        <n x="89"/>
        <n x="15"/>
      </t>
    </mdx>
    <mdx n="0" f="v">
      <t c="8">
        <n x="7" s="1"/>
        <n x="69" s="1"/>
        <n x="3" s="1"/>
        <n x="70" s="1"/>
        <n x="2" s="1"/>
        <n x="68"/>
        <n x="89"/>
        <n x="16"/>
      </t>
    </mdx>
    <mdx n="0" f="v">
      <t c="8">
        <n x="7" s="1"/>
        <n x="69" s="1"/>
        <n x="3" s="1"/>
        <n x="70" s="1"/>
        <n x="2" s="1"/>
        <n x="68"/>
        <n x="89"/>
        <n x="17"/>
      </t>
    </mdx>
    <mdx n="0" f="v">
      <t c="8">
        <n x="7" s="1"/>
        <n x="69" s="1"/>
        <n x="3" s="1"/>
        <n x="70" s="1"/>
        <n x="2" s="1"/>
        <n x="68"/>
        <n x="89"/>
        <n x="18"/>
      </t>
    </mdx>
    <mdx n="0" f="v">
      <t c="8">
        <n x="7" s="1"/>
        <n x="69" s="1"/>
        <n x="3" s="1"/>
        <n x="70" s="1"/>
        <n x="2" s="1"/>
        <n x="68"/>
        <n x="89"/>
        <n x="19"/>
      </t>
    </mdx>
    <mdx n="0" f="v">
      <t c="8">
        <n x="7" s="1"/>
        <n x="69" s="1"/>
        <n x="3" s="1"/>
        <n x="70" s="1"/>
        <n x="2" s="1"/>
        <n x="68"/>
        <n x="89"/>
        <n x="20"/>
      </t>
    </mdx>
    <mdx n="0" f="v">
      <t c="8">
        <n x="7" s="1"/>
        <n x="69" s="1"/>
        <n x="3" s="1"/>
        <n x="70" s="1"/>
        <n x="2" s="1"/>
        <n x="68"/>
        <n x="89"/>
        <n x="21"/>
      </t>
    </mdx>
    <mdx n="0" f="v">
      <t c="8">
        <n x="7" s="1"/>
        <n x="69" s="1"/>
        <n x="3" s="1"/>
        <n x="70" s="1"/>
        <n x="2" s="1"/>
        <n x="68"/>
        <n x="89"/>
        <n x="22"/>
      </t>
    </mdx>
    <mdx n="0" f="v">
      <t c="8">
        <n x="7" s="1"/>
        <n x="69" s="1"/>
        <n x="3" s="1"/>
        <n x="70" s="1"/>
        <n x="2" s="1"/>
        <n x="68"/>
        <n x="89"/>
        <n x="23"/>
      </t>
    </mdx>
    <mdx n="0" f="v">
      <t c="8">
        <n x="7" s="1"/>
        <n x="69" s="1"/>
        <n x="3" s="1"/>
        <n x="70" s="1"/>
        <n x="2" s="1"/>
        <n x="68"/>
        <n x="89"/>
        <n x="24"/>
      </t>
    </mdx>
    <mdx n="0" f="v">
      <t c="8">
        <n x="7" s="1"/>
        <n x="69" s="1"/>
        <n x="3" s="1"/>
        <n x="70" s="1"/>
        <n x="2" s="1"/>
        <n x="68"/>
        <n x="89"/>
        <n x="25"/>
      </t>
    </mdx>
    <mdx n="0" f="v">
      <t c="8">
        <n x="7" s="1"/>
        <n x="69" s="1"/>
        <n x="3" s="1"/>
        <n x="70" s="1"/>
        <n x="2" s="1"/>
        <n x="68"/>
        <n x="89"/>
        <n x="26"/>
      </t>
    </mdx>
    <mdx n="0" f="v">
      <t c="8">
        <n x="7" s="1"/>
        <n x="69" s="1"/>
        <n x="3" s="1"/>
        <n x="70" s="1"/>
        <n x="2" s="1"/>
        <n x="68"/>
        <n x="89"/>
        <n x="27"/>
      </t>
    </mdx>
    <mdx n="0" f="v">
      <t c="8">
        <n x="7" s="1"/>
        <n x="69" s="1"/>
        <n x="3" s="1"/>
        <n x="70" s="1"/>
        <n x="2" s="1"/>
        <n x="68"/>
        <n x="89"/>
        <n x="28"/>
      </t>
    </mdx>
    <mdx n="0" f="v">
      <t c="8">
        <n x="7" s="1"/>
        <n x="69" s="1"/>
        <n x="3" s="1"/>
        <n x="70" s="1"/>
        <n x="2" s="1"/>
        <n x="68"/>
        <n x="89"/>
        <n x="29"/>
      </t>
    </mdx>
    <mdx n="0" f="v">
      <t c="8">
        <n x="7" s="1"/>
        <n x="69" s="1"/>
        <n x="3" s="1"/>
        <n x="70" s="1"/>
        <n x="2" s="1"/>
        <n x="68"/>
        <n x="89"/>
        <n x="30"/>
      </t>
    </mdx>
    <mdx n="0" f="v">
      <t c="8">
        <n x="7" s="1"/>
        <n x="69" s="1"/>
        <n x="3" s="1"/>
        <n x="70" s="1"/>
        <n x="2" s="1"/>
        <n x="68"/>
        <n x="89"/>
        <n x="31"/>
      </t>
    </mdx>
    <mdx n="0" f="v">
      <t c="8">
        <n x="7" s="1"/>
        <n x="69" s="1"/>
        <n x="3" s="1"/>
        <n x="70" s="1"/>
        <n x="2" s="1"/>
        <n x="68"/>
        <n x="89"/>
        <n x="32"/>
      </t>
    </mdx>
    <mdx n="0" f="v">
      <t c="8">
        <n x="7" s="1"/>
        <n x="69" s="1"/>
        <n x="3" s="1"/>
        <n x="70" s="1"/>
        <n x="2" s="1"/>
        <n x="68"/>
        <n x="89"/>
        <n x="33"/>
      </t>
    </mdx>
    <mdx n="0" f="v">
      <t c="8">
        <n x="7" s="1"/>
        <n x="69" s="1"/>
        <n x="3" s="1"/>
        <n x="70" s="1"/>
        <n x="2" s="1"/>
        <n x="68"/>
        <n x="89"/>
        <n x="34"/>
      </t>
    </mdx>
    <mdx n="0" f="v">
      <t c="8">
        <n x="7" s="1"/>
        <n x="69" s="1"/>
        <n x="3" s="1"/>
        <n x="70" s="1"/>
        <n x="2" s="1"/>
        <n x="68"/>
        <n x="89"/>
        <n x="35"/>
      </t>
    </mdx>
    <mdx n="0" f="v">
      <t c="8">
        <n x="7" s="1"/>
        <n x="69" s="1"/>
        <n x="3" s="1"/>
        <n x="70" s="1"/>
        <n x="2" s="1"/>
        <n x="68"/>
        <n x="89"/>
        <n x="36"/>
      </t>
    </mdx>
    <mdx n="0" f="v">
      <t c="8">
        <n x="7" s="1"/>
        <n x="69" s="1"/>
        <n x="3" s="1"/>
        <n x="70" s="1"/>
        <n x="2" s="1"/>
        <n x="68"/>
        <n x="89"/>
        <n x="37"/>
      </t>
    </mdx>
    <mdx n="0" f="v">
      <t c="8">
        <n x="7" s="1"/>
        <n x="69" s="1"/>
        <n x="3" s="1"/>
        <n x="70" s="1"/>
        <n x="2" s="1"/>
        <n x="68"/>
        <n x="89"/>
        <n x="38"/>
      </t>
    </mdx>
    <mdx n="0" f="v">
      <t c="8">
        <n x="7" s="1"/>
        <n x="69" s="1"/>
        <n x="3" s="1"/>
        <n x="70" s="1"/>
        <n x="2" s="1"/>
        <n x="68"/>
        <n x="89"/>
        <n x="39"/>
      </t>
    </mdx>
    <mdx n="0" f="v">
      <t c="8">
        <n x="7" s="1"/>
        <n x="69" s="1"/>
        <n x="3" s="1"/>
        <n x="70" s="1"/>
        <n x="2" s="1"/>
        <n x="68"/>
        <n x="89"/>
        <n x="40"/>
      </t>
    </mdx>
    <mdx n="0" f="v">
      <t c="8">
        <n x="7" s="1"/>
        <n x="69" s="1"/>
        <n x="3" s="1"/>
        <n x="70" s="1"/>
        <n x="2" s="1"/>
        <n x="68"/>
        <n x="89"/>
        <n x="41"/>
      </t>
    </mdx>
    <mdx n="0" f="v">
      <t c="8">
        <n x="7" s="1"/>
        <n x="69" s="1"/>
        <n x="3" s="1"/>
        <n x="70" s="1"/>
        <n x="2" s="1"/>
        <n x="68"/>
        <n x="89"/>
        <n x="42"/>
      </t>
    </mdx>
    <mdx n="0" f="v">
      <t c="8">
        <n x="7" s="1"/>
        <n x="69" s="1"/>
        <n x="3" s="1"/>
        <n x="70" s="1"/>
        <n x="2" s="1"/>
        <n x="68"/>
        <n x="89"/>
        <n x="43"/>
      </t>
    </mdx>
    <mdx n="0" f="v">
      <t c="8">
        <n x="7" s="1"/>
        <n x="69" s="1"/>
        <n x="3" s="1"/>
        <n x="70" s="1"/>
        <n x="2" s="1"/>
        <n x="68"/>
        <n x="89"/>
        <n x="44"/>
      </t>
    </mdx>
    <mdx n="0" f="v">
      <t c="8">
        <n x="7" s="1"/>
        <n x="69" s="1"/>
        <n x="3" s="1"/>
        <n x="70" s="1"/>
        <n x="2" s="1"/>
        <n x="68"/>
        <n x="89"/>
        <n x="45"/>
      </t>
    </mdx>
    <mdx n="0" f="v">
      <t c="8">
        <n x="7" s="1"/>
        <n x="69" s="1"/>
        <n x="3" s="1"/>
        <n x="70" s="1"/>
        <n x="2" s="1"/>
        <n x="68"/>
        <n x="89"/>
        <n x="46"/>
      </t>
    </mdx>
    <mdx n="0" f="v">
      <t c="8">
        <n x="7" s="1"/>
        <n x="69" s="1"/>
        <n x="3" s="1"/>
        <n x="70" s="1"/>
        <n x="2" s="1"/>
        <n x="68"/>
        <n x="89"/>
        <n x="47"/>
      </t>
    </mdx>
    <mdx n="0" f="v">
      <t c="8">
        <n x="7" s="1"/>
        <n x="69" s="1"/>
        <n x="3" s="1"/>
        <n x="70" s="1"/>
        <n x="2" s="1"/>
        <n x="68"/>
        <n x="89"/>
        <n x="48"/>
      </t>
    </mdx>
    <mdx n="0" f="v">
      <t c="8">
        <n x="7" s="1"/>
        <n x="69" s="1"/>
        <n x="3" s="1"/>
        <n x="70" s="1"/>
        <n x="2" s="1"/>
        <n x="68"/>
        <n x="89"/>
        <n x="49"/>
      </t>
    </mdx>
    <mdx n="0" f="v">
      <t c="8">
        <n x="7" s="1"/>
        <n x="69" s="1"/>
        <n x="3" s="1"/>
        <n x="70" s="1"/>
        <n x="2" s="1"/>
        <n x="68"/>
        <n x="89"/>
        <n x="50"/>
      </t>
    </mdx>
    <mdx n="0" f="v">
      <t c="8">
        <n x="7" s="1"/>
        <n x="69" s="1"/>
        <n x="3" s="1"/>
        <n x="70" s="1"/>
        <n x="2" s="1"/>
        <n x="68"/>
        <n x="89"/>
        <n x="51"/>
      </t>
    </mdx>
    <mdx n="0" f="v">
      <t c="8">
        <n x="7" s="1"/>
        <n x="69" s="1"/>
        <n x="3" s="1"/>
        <n x="70" s="1"/>
        <n x="2" s="1"/>
        <n x="68"/>
        <n x="89"/>
        <n x="52"/>
      </t>
    </mdx>
    <mdx n="0" f="v">
      <t c="8">
        <n x="7" s="1"/>
        <n x="69" s="1"/>
        <n x="3" s="1"/>
        <n x="70" s="1"/>
        <n x="2" s="1"/>
        <n x="68"/>
        <n x="89"/>
        <n x="53"/>
      </t>
    </mdx>
    <mdx n="0" f="v">
      <t c="8">
        <n x="7" s="1"/>
        <n x="69" s="1"/>
        <n x="3" s="1"/>
        <n x="70" s="1"/>
        <n x="2" s="1"/>
        <n x="68"/>
        <n x="89"/>
        <n x="54"/>
      </t>
    </mdx>
    <mdx n="0" f="v">
      <t c="8">
        <n x="7" s="1"/>
        <n x="69" s="1"/>
        <n x="3" s="1"/>
        <n x="70" s="1"/>
        <n x="2" s="1"/>
        <n x="68"/>
        <n x="89"/>
        <n x="55"/>
      </t>
    </mdx>
    <mdx n="0" f="v">
      <t c="8">
        <n x="7" s="1"/>
        <n x="69" s="1"/>
        <n x="3" s="1"/>
        <n x="70" s="1"/>
        <n x="2" s="1"/>
        <n x="68"/>
        <n x="89"/>
        <n x="56"/>
      </t>
    </mdx>
    <mdx n="0" f="v">
      <t c="8">
        <n x="7" s="1"/>
        <n x="69" s="1"/>
        <n x="3" s="1"/>
        <n x="70" s="1"/>
        <n x="2" s="1"/>
        <n x="68"/>
        <n x="89"/>
        <n x="57"/>
      </t>
    </mdx>
    <mdx n="0" f="v">
      <t c="8">
        <n x="7" s="1"/>
        <n x="69" s="1"/>
        <n x="3" s="1"/>
        <n x="70" s="1"/>
        <n x="2" s="1"/>
        <n x="68"/>
        <n x="89"/>
        <n x="58"/>
      </t>
    </mdx>
    <mdx n="0" f="v">
      <t c="8">
        <n x="7" s="1"/>
        <n x="69" s="1"/>
        <n x="3" s="1"/>
        <n x="70" s="1"/>
        <n x="2" s="1"/>
        <n x="68"/>
        <n x="89"/>
        <n x="59"/>
      </t>
    </mdx>
    <mdx n="0" f="v">
      <t c="8">
        <n x="7" s="1"/>
        <n x="69" s="1"/>
        <n x="3" s="1"/>
        <n x="70" s="1"/>
        <n x="2" s="1"/>
        <n x="68"/>
        <n x="89"/>
        <n x="60"/>
      </t>
    </mdx>
    <mdx n="0" f="v">
      <t c="8">
        <n x="7" s="1"/>
        <n x="69" s="1"/>
        <n x="3" s="1"/>
        <n x="70" s="1"/>
        <n x="2" s="1"/>
        <n x="68"/>
        <n x="89"/>
        <n x="61"/>
      </t>
    </mdx>
    <mdx n="0" f="v">
      <t c="8">
        <n x="7" s="1"/>
        <n x="69" s="1"/>
        <n x="3" s="1"/>
        <n x="70" s="1"/>
        <n x="2" s="1"/>
        <n x="68"/>
        <n x="89"/>
        <n x="62"/>
      </t>
    </mdx>
    <mdx n="0" f="v">
      <t c="8">
        <n x="7" s="1"/>
        <n x="69" s="1"/>
        <n x="3" s="1"/>
        <n x="70" s="1"/>
        <n x="2" s="1"/>
        <n x="68"/>
        <n x="89"/>
        <n x="63"/>
      </t>
    </mdx>
    <mdx n="0" f="v">
      <t c="8">
        <n x="7" s="1"/>
        <n x="69" s="1"/>
        <n x="3" s="1"/>
        <n x="70" s="1"/>
        <n x="2" s="1"/>
        <n x="68"/>
        <n x="89"/>
        <n x="64"/>
      </t>
    </mdx>
    <mdx n="0" f="v">
      <t c="8">
        <n x="7" s="1"/>
        <n x="69" s="1"/>
        <n x="3" s="1"/>
        <n x="70" s="1"/>
        <n x="2" s="1"/>
        <n x="68"/>
        <n x="89"/>
        <n x="65"/>
      </t>
    </mdx>
    <mdx n="0" f="v">
      <t c="8">
        <n x="7" s="1"/>
        <n x="69" s="1"/>
        <n x="3" s="1"/>
        <n x="70" s="1"/>
        <n x="2" s="1"/>
        <n x="68"/>
        <n x="89"/>
        <n x="66"/>
      </t>
    </mdx>
    <mdx n="0" f="s">
      <ms ns="90" c="0"/>
    </mdx>
  </mdxMetadata>
  <futureMetadata name="XLDAPR" count="1">
    <bk>
      <extLst>
        <ext uri="{bdbb8cdc-fa1e-496e-a857-3c3f30c029c3}">
          <xda:dynamicArrayProperties fDynamic="1" fCollapsed="0"/>
        </ext>
      </extLst>
    </bk>
  </futureMetadata>
  <cellMetadata count="1">
    <bk>
      <rc t="2" v="0"/>
    </bk>
  </cellMetadata>
  <valueMetadata count="226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valueMetadata>
</metadata>
</file>

<file path=xl/sharedStrings.xml><?xml version="1.0" encoding="utf-8"?>
<sst xmlns="http://schemas.openxmlformats.org/spreadsheetml/2006/main" count="847" uniqueCount="309">
  <si>
    <t>Geopolitical Economy Research Group Data Project pluralist dataset</t>
  </si>
  <si>
    <t>http:/www.geopoliticaleconomy.org</t>
  </si>
  <si>
    <t>https://github.com/axfreeman/Economic-History</t>
  </si>
  <si>
    <t xml:space="preserve"> Use subject to Creative Commons Attribution-NonCommercial-ShareAlike 4.0 International (CC-BY-NC-SA 4.0) </t>
  </si>
  <si>
    <t xml:space="preserve"> For full license see: https://creativecommons.org/licenses/by-nc-sa/4.0/legalcode </t>
  </si>
  <si>
    <t xml:space="preserve"> Below is a human-readable summary from: https://creativecommons.org/licenses/by-nc-sa/4.0/ </t>
  </si>
  <si>
    <t xml:space="preserve"> Attribution-NonCommercial-ShareAlike 4.0 International (CC-BY-NC-SA 4.0) </t>
  </si>
  <si>
    <t xml:space="preserve"> This is a human-readable summary of (and not a substitute for) the license</t>
  </si>
  <si>
    <t>This license does not override or replace any of the rights of the original providers of the data hosted on this site</t>
  </si>
  <si>
    <t xml:space="preserve"> </t>
  </si>
  <si>
    <t xml:space="preserve">You are free to: </t>
  </si>
  <si>
    <t xml:space="preserve"> Share -- copy and redistribute the material in any medium or format </t>
  </si>
  <si>
    <t xml:space="preserve"> Adapt -- remix, transform, and build upon the material </t>
  </si>
  <si>
    <t xml:space="preserve"> The licensor cannot revoke these freedoms as long as you follow the license terms</t>
  </si>
  <si>
    <t>Under the following terms</t>
  </si>
  <si>
    <t xml:space="preserve"> Attribution --  You must give appropriate credit, provide a link to the   license, and indicate if changes were made. You may do so   in any reasonable manner, but not in any way that   suggests the licensor endorses you or your use. </t>
  </si>
  <si>
    <t xml:space="preserve"> NonCommercial --  You may not use the material for commercial purposes. </t>
  </si>
  <si>
    <t xml:space="preserve"> ShareAlike --  If you remix, transform, or build upon the  material, you must distribute your contributions under the same license as the original.</t>
  </si>
  <si>
    <t xml:space="preserve"> No additional restrictions --  You may not apply legal terms or technological measures that  legally restrict others from doing anything the license permits. </t>
  </si>
  <si>
    <t>Notices</t>
  </si>
  <si>
    <t xml:space="preserve"> You do not have to comply with the license for elements of the   material in the public domain or where your use is permitted by an   applicable exception or limitation. No warranties are given. The   license may not give you all of the permissions necessary for   your intended use. For example, other rights such as publicity,   privacy, or moral rights may limit how you use the material. </t>
  </si>
  <si>
    <t>To comply with the attribution requirement in the license, whenever it is used the dataset must be cited as follows: Freeman, A. 2019. Dataset to accompany 'Geopolitical Economy of Inequality'. Winnnipeg, MP: Geopolitical Economy Research Group. (https://github.com/axfreeman/Economic-History)</t>
  </si>
  <si>
    <t>Individual working papers drawing on this data, and individual datasets derived from a selection of data in the full set, should additionally be cited as specified in the relevant document or accompanying documentation</t>
  </si>
  <si>
    <t>Demographics</t>
  </si>
  <si>
    <t>All</t>
  </si>
  <si>
    <t>North</t>
  </si>
  <si>
    <t>South</t>
  </si>
  <si>
    <t>Units</t>
  </si>
  <si>
    <t>Industrial Sector (Agriculture/Manufacturing/etc)</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</si>
  <si>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</si>
  <si>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</si>
  <si>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</si>
  <si>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</si>
  <si>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</si>
  <si>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</si>
  <si>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</si>
  <si>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</si>
  <si>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</si>
  <si>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</si>
  <si>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</si>
  <si>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</si>
  <si>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</si>
  <si>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</si>
  <si>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</si>
  <si>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</si>
  <si>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</si>
  <si>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</si>
  <si>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</si>
  <si>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</si>
  <si>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</si>
  <si>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</si>
  <si>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</si>
  <si>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</si>
  <si>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</si>
  <si>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</si>
  <si>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</si>
  <si>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</si>
  <si>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</si>
  <si>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</si>
  <si>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</si>
  <si>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</si>
  <si>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</si>
  <si>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</si>
  <si>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</si>
  <si>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</si>
  <si>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</si>
  <si>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</si>
  <si>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</si>
  <si>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</si>
  <si>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</si>
  <si>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</si>
  <si>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</si>
  <si>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</si>
  <si>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</si>
  <si>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</si>
  <si>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</si>
  <si>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</si>
  <si>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</si>
  <si>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</si>
  <si>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Item</t>
  </si>
  <si>
    <t>Expenditure Approach</t>
  </si>
  <si>
    <t>Total</t>
  </si>
  <si>
    <t>WDI2020</t>
  </si>
  <si>
    <t>Original Source Data</t>
  </si>
  <si>
    <t>Australia</t>
  </si>
  <si>
    <t>Austria</t>
  </si>
  <si>
    <t>Belgium</t>
  </si>
  <si>
    <t>Finland</t>
  </si>
  <si>
    <t>France</t>
  </si>
  <si>
    <t>Greece</t>
  </si>
  <si>
    <t>Israel</t>
  </si>
  <si>
    <t>Italy</t>
  </si>
  <si>
    <t>Japan</t>
  </si>
  <si>
    <t>Luxemburg</t>
  </si>
  <si>
    <t>Netherlands</t>
  </si>
  <si>
    <t>Norway</t>
  </si>
  <si>
    <t>Portugal</t>
  </si>
  <si>
    <t>Singapore</t>
  </si>
  <si>
    <t>South Korea</t>
  </si>
  <si>
    <t>Spain</t>
  </si>
  <si>
    <t>Sweden</t>
  </si>
  <si>
    <t>United Kingdom</t>
  </si>
  <si>
    <t>United States</t>
  </si>
  <si>
    <t>Bahamas</t>
  </si>
  <si>
    <t>Bangladesh</t>
  </si>
  <si>
    <t>Belize</t>
  </si>
  <si>
    <t>Benin</t>
  </si>
  <si>
    <t>Bolivia</t>
  </si>
  <si>
    <t>Botswana</t>
  </si>
  <si>
    <t>Brazil</t>
  </si>
  <si>
    <t>Burkina Faso</t>
  </si>
  <si>
    <t>Burundi</t>
  </si>
  <si>
    <t>Cameroon</t>
  </si>
  <si>
    <t>Central African Republic</t>
  </si>
  <si>
    <t>Chad</t>
  </si>
  <si>
    <t>Chile</t>
  </si>
  <si>
    <t>Colombia</t>
  </si>
  <si>
    <t>Congo DR</t>
  </si>
  <si>
    <t>Congo R</t>
  </si>
  <si>
    <t>Costa Rica</t>
  </si>
  <si>
    <t>Cote d'Ivoire</t>
  </si>
  <si>
    <t>Dominican Republic</t>
  </si>
  <si>
    <t>Ecuador</t>
  </si>
  <si>
    <t>Fiji</t>
  </si>
  <si>
    <t>Gabon</t>
  </si>
  <si>
    <t>Ghana</t>
  </si>
  <si>
    <t>Guatemala</t>
  </si>
  <si>
    <t>Guyana</t>
  </si>
  <si>
    <t>Haiti</t>
  </si>
  <si>
    <t>Honduras</t>
  </si>
  <si>
    <t>India</t>
  </si>
  <si>
    <t>Kenya</t>
  </si>
  <si>
    <t>Lesotho</t>
  </si>
  <si>
    <t>Madagascar</t>
  </si>
  <si>
    <t>Malawi</t>
  </si>
  <si>
    <t>Malaysia</t>
  </si>
  <si>
    <t>Mexico</t>
  </si>
  <si>
    <t>Nepal</t>
  </si>
  <si>
    <t>Nicaragua</t>
  </si>
  <si>
    <t>Niger</t>
  </si>
  <si>
    <t>Nigeria</t>
  </si>
  <si>
    <t>Pakistan</t>
  </si>
  <si>
    <t>Panama</t>
  </si>
  <si>
    <t>Papua New Guinea</t>
  </si>
  <si>
    <t>Peru</t>
  </si>
  <si>
    <t>Philippines</t>
  </si>
  <si>
    <t>Puerto Rico</t>
  </si>
  <si>
    <t>Rwanda</t>
  </si>
  <si>
    <t>Senegal</t>
  </si>
  <si>
    <t>Seychelles</t>
  </si>
  <si>
    <t>Sierra Leone</t>
  </si>
  <si>
    <t>South Africa</t>
  </si>
  <si>
    <t>Sudan (Former)</t>
  </si>
  <si>
    <t>Suriname</t>
  </si>
  <si>
    <t>Thailand</t>
  </si>
  <si>
    <t>Togo</t>
  </si>
  <si>
    <t>Trinidad and Tobago</t>
  </si>
  <si>
    <t>Turkey</t>
  </si>
  <si>
    <t>Uruguay</t>
  </si>
  <si>
    <t>Zambia</t>
  </si>
  <si>
    <t>Zimbabwe</t>
  </si>
  <si>
    <t>GDP and other output measures</t>
  </si>
  <si>
    <t>USD</t>
  </si>
  <si>
    <t>Whole economy</t>
  </si>
  <si>
    <t>WDI Availability</t>
  </si>
  <si>
    <t>Year</t>
  </si>
  <si>
    <t>Major_Blocs</t>
  </si>
  <si>
    <t>Country</t>
  </si>
  <si>
    <t>Interbloc</t>
  </si>
  <si>
    <t>Global</t>
  </si>
  <si>
    <t>World Population</t>
  </si>
  <si>
    <t>South intrabloc Theil</t>
  </si>
  <si>
    <t>Count</t>
  </si>
  <si>
    <t>Relative Count</t>
  </si>
  <si>
    <t>GDP/Cap</t>
  </si>
  <si>
    <t>Relative GDP/Cap weights</t>
  </si>
  <si>
    <t>Theil Weights</t>
  </si>
  <si>
    <t>Theil Contributions</t>
  </si>
  <si>
    <t>(Total)</t>
  </si>
  <si>
    <t>(Check)</t>
  </si>
  <si>
    <t>Discrepancy</t>
  </si>
  <si>
    <t>Global T comparison</t>
  </si>
  <si>
    <t>Sum of components</t>
  </si>
  <si>
    <t>Direct Calculation</t>
  </si>
  <si>
    <t xml:space="preserve">North </t>
  </si>
  <si>
    <t>GDP</t>
  </si>
  <si>
    <t>Population</t>
  </si>
  <si>
    <t>World</t>
  </si>
  <si>
    <t>Theil Elements</t>
  </si>
  <si>
    <t>North intrabloc Theil</t>
  </si>
  <si>
    <t>Global Theil</t>
  </si>
  <si>
    <t>From 1960</t>
  </si>
  <si>
    <t>1960</t>
  </si>
  <si>
    <t>1961</t>
  </si>
  <si>
    <t>1962</t>
  </si>
  <si>
    <t>1963</t>
  </si>
  <si>
    <t>1964</t>
  </si>
  <si>
    <t>1965</t>
  </si>
  <si>
    <t>1966</t>
  </si>
  <si>
    <t>1967</t>
  </si>
  <si>
    <t>1968</t>
  </si>
  <si>
    <t>1969</t>
  </si>
  <si>
    <t>Decomposition</t>
  </si>
  <si>
    <t>Theil T decomposition with WDI data from 2016</t>
  </si>
  <si>
    <t>Percentage Contributions</t>
  </si>
  <si>
    <t>South Gini</t>
  </si>
  <si>
    <t>North Gini</t>
  </si>
  <si>
    <t>Interbloc Gini</t>
  </si>
  <si>
    <t>Concept 1 Gini</t>
  </si>
  <si>
    <t>Concept 2 Gini</t>
  </si>
  <si>
    <t>Global Gini</t>
  </si>
  <si>
    <t>Pop</t>
  </si>
  <si>
    <t>Cumulative Sum</t>
  </si>
  <si>
    <t>Proportionate Sum</t>
  </si>
  <si>
    <t>Tests the weighted quartile function</t>
  </si>
  <si>
    <t>Includes test for mis-specification</t>
  </si>
  <si>
    <t>Ranges of different sizes</t>
  </si>
  <si>
    <t>Quartile out of bounds above</t>
  </si>
  <si>
    <t>quartile out of bounds below</t>
  </si>
  <si>
    <t>Results</t>
  </si>
  <si>
    <t>IQR</t>
  </si>
  <si>
    <t>(Memo: GDP Cap)</t>
  </si>
  <si>
    <t>Pop Cumulative Sum</t>
  </si>
  <si>
    <t>Pop Cum. Prop.</t>
  </si>
  <si>
    <t>2019 Data</t>
  </si>
  <si>
    <t>2018 Data</t>
  </si>
  <si>
    <t>2019 recopied</t>
  </si>
  <si>
    <t>Afghanistan</t>
  </si>
  <si>
    <t>Algeria</t>
  </si>
  <si>
    <t>Angola</t>
  </si>
  <si>
    <t>Anguilla</t>
  </si>
  <si>
    <t>Antigua</t>
  </si>
  <si>
    <t>Argentina</t>
  </si>
  <si>
    <t>Aruba</t>
  </si>
  <si>
    <t>Bahrain</t>
  </si>
  <si>
    <t>Barbados</t>
  </si>
  <si>
    <t>Bermuda</t>
  </si>
  <si>
    <t>Bhutan</t>
  </si>
  <si>
    <t>Brunei</t>
  </si>
  <si>
    <t>Cabo Verde</t>
  </si>
  <si>
    <t>Cambodia</t>
  </si>
  <si>
    <t>Cayman Islands</t>
  </si>
  <si>
    <t>Comoros</t>
  </si>
  <si>
    <t>Cook Islands</t>
  </si>
  <si>
    <t>Djibouti</t>
  </si>
  <si>
    <t>Dominica</t>
  </si>
  <si>
    <t>Egypt</t>
  </si>
  <si>
    <t>El Salvador</t>
  </si>
  <si>
    <t>Equatorial Guinea</t>
  </si>
  <si>
    <t>Ethiopia (Former)</t>
  </si>
  <si>
    <t>French Polynesia</t>
  </si>
  <si>
    <t>Gambia</t>
  </si>
  <si>
    <t>Grenada</t>
  </si>
  <si>
    <t>Guinea</t>
  </si>
  <si>
    <t>Guinea-Bissau</t>
  </si>
  <si>
    <t>Indonesia (Former)</t>
  </si>
  <si>
    <t>Iran</t>
  </si>
  <si>
    <t>Iraq</t>
  </si>
  <si>
    <t>Jamaica</t>
  </si>
  <si>
    <t>Jordan</t>
  </si>
  <si>
    <t>Kiribati</t>
  </si>
  <si>
    <t>Kuwait</t>
  </si>
  <si>
    <t>Laos</t>
  </si>
  <si>
    <t>Lebanon</t>
  </si>
  <si>
    <t>Liberia</t>
  </si>
  <si>
    <t>Libya</t>
  </si>
  <si>
    <t>Maldives</t>
  </si>
  <si>
    <t>Mali</t>
  </si>
  <si>
    <t>Marshall Islands</t>
  </si>
  <si>
    <t>Mauritania</t>
  </si>
  <si>
    <t>Mauritius</t>
  </si>
  <si>
    <t>Micronesia Federated States</t>
  </si>
  <si>
    <t>Mongolia</t>
  </si>
  <si>
    <t>Montserrat</t>
  </si>
  <si>
    <t>Morocco</t>
  </si>
  <si>
    <t>Mozambique</t>
  </si>
  <si>
    <t>Myanmar</t>
  </si>
  <si>
    <t>Namibia</t>
  </si>
  <si>
    <t>Nauru</t>
  </si>
  <si>
    <t>New Caledonia</t>
  </si>
  <si>
    <t>Oman</t>
  </si>
  <si>
    <t>Palau</t>
  </si>
  <si>
    <t>Paraguay</t>
  </si>
  <si>
    <t>Qatar</t>
  </si>
  <si>
    <t>San Marino</t>
  </si>
  <si>
    <t>Sao Tome</t>
  </si>
  <si>
    <t>Saudi Arabia</t>
  </si>
  <si>
    <t>Solomon Islands</t>
  </si>
  <si>
    <t>Somalia</t>
  </si>
  <si>
    <t>Sri Lanka</t>
  </si>
  <si>
    <t>St. Kitts and Nevis</t>
  </si>
  <si>
    <t>St. Lucia</t>
  </si>
  <si>
    <t>St. Vincent</t>
  </si>
  <si>
    <t>Swaziland</t>
  </si>
  <si>
    <t>Syria</t>
  </si>
  <si>
    <t>Tanzania</t>
  </si>
  <si>
    <t>Tonga</t>
  </si>
  <si>
    <t>Tunisia</t>
  </si>
  <si>
    <t>Turks and Caicos Islands</t>
  </si>
  <si>
    <t>Tuvalu</t>
  </si>
  <si>
    <t>Uganda</t>
  </si>
  <si>
    <t>United Arab Emirates</t>
  </si>
  <si>
    <t>Vanuatu</t>
  </si>
  <si>
    <t>Venezuela</t>
  </si>
  <si>
    <t>Virgin Islands</t>
  </si>
  <si>
    <t>West Bank and Gaza</t>
  </si>
  <si>
    <t>Western Samoa</t>
  </si>
  <si>
    <t>Yemen</t>
  </si>
  <si>
    <t>South GDPCap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</si>
</sst>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5" formatCode="_-* #,##0.0000_-;\-* #,##0.0000_-;_-* &quot;-&quot;??_-;_-@_-"/>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FF00"/>
        <bgColor indexed="64"/>
      </patternFill>
    </fill>
  </fills>
  <borders count="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38">
    <xf numFmtId="0" fontId="0" fillId="0" borderId="0" xfId="0"/>
    <xf numFmtId="0" fontId="2" fillId="2" borderId="0" xfId="0" applyFont="1" applyFill="1" applyAlignment="1">
      <alignment horizontal="center"/>
    </xf>
    <xf numFmtId="0" fontId="2" fillId="3" borderId="0" xfId="0" applyFont="1" applyFill="1" applyAlignment="1">
      <alignment horizontal="center"/>
    </xf>
    <xf numFmtId="0" fontId="2" fillId="3" borderId="0" xfId="0" applyFont="1" applyFill="1" applyAlignment="1">
      <alignment horizontal="center" wrapText="1"/>
    </xf>
    <xf numFmtId="0" fontId="0" fillId="4" borderId="0" xfId="0" applyFill="1" applyAlignment="1">
      <alignment horizontal="center"/>
    </xf>
    <xf numFmtId="0" fontId="1" fillId="4" borderId="0" xfId="0" applyFont="1" applyFill="1" applyAlignment="1">
      <alignment horizontal="center"/>
    </xf>
    <xf numFmtId="0" fontId="0" fillId="4" borderId="0" xfId="0" applyFill="1"/>
    <xf numFmtId="0" fontId="0" fillId="4" borderId="0" xfId="0" applyFill="1" applyAlignment="1">
      <alignment horizontal="center" wrapText="1"/>
    </xf>
    <xf numFmtId="0" fontId="1" fillId="4" borderId="0" xfId="0" applyFont="1" applyFill="1" applyAlignment="1">
      <alignment horizontal="center" wrapText="1"/>
    </xf>
    <xf numFmtId="0" fontId="0" fillId="0" borderId="0" xfId="0" pivotButton="1"/>
    <xf numFmtId="0" fontId="0" fillId="0" borderId="0" xfId="0" applyNumberFormat="1"/>
    <xf numFmtId="164" fontId="0" fillId="0" borderId="0" xfId="1" applyNumberFormat="1" applyFont="1"/>
    <xf numFmtId="0" fontId="1" fillId="0" borderId="0" xfId="0" applyFont="1"/>
    <xf numFmtId="165" fontId="0" fillId="0" borderId="0" xfId="1" applyNumberFormat="1" applyFont="1"/>
    <xf numFmtId="165" fontId="0" fillId="0" borderId="0" xfId="0" applyNumberFormat="1"/>
    <xf numFmtId="164" fontId="0" fillId="0" borderId="0" xfId="0" applyNumberFormat="1"/>
    <xf numFmtId="9" fontId="0" fillId="0" borderId="0" xfId="2" applyFont="1"/>
    <xf numFmtId="43" fontId="0" fillId="0" borderId="0" xfId="1" applyFont="1"/>
    <xf numFmtId="0" fontId="0" fillId="0" borderId="1" xfId="0" applyBorder="1"/>
    <xf numFmtId="0" fontId="1" fillId="0" borderId="2" xfId="0" applyFont="1" applyBorder="1"/>
    <xf numFmtId="0" fontId="0" fillId="0" borderId="2" xfId="0" applyBorder="1"/>
    <xf numFmtId="0" fontId="0" fillId="0" borderId="3" xfId="0" applyBorder="1"/>
    <xf numFmtId="0" fontId="0" fillId="0" borderId="4" xfId="0" applyBorder="1"/>
    <xf numFmtId="0" fontId="0" fillId="0" borderId="0" xfId="0" applyBorder="1"/>
    <xf numFmtId="43" fontId="0" fillId="0" borderId="0" xfId="1" quotePrefix="1" applyFont="1" applyBorder="1"/>
    <xf numFmtId="0" fontId="0" fillId="0" borderId="5" xfId="0" applyBorder="1"/>
    <xf numFmtId="43" fontId="0" fillId="0" borderId="0" xfId="1" applyFont="1" applyBorder="1"/>
    <xf numFmtId="43" fontId="0" fillId="0" borderId="5" xfId="1" applyFont="1" applyBorder="1"/>
    <xf numFmtId="0" fontId="0" fillId="0" borderId="7" xfId="0" applyBorder="1"/>
    <xf numFmtId="43" fontId="0" fillId="0" borderId="7" xfId="1" quotePrefix="1" applyFont="1" applyBorder="1"/>
    <xf numFmtId="43" fontId="0" fillId="0" borderId="7" xfId="1" applyFont="1" applyBorder="1"/>
    <xf numFmtId="0" fontId="0" fillId="0" borderId="8" xfId="0" applyBorder="1"/>
    <xf numFmtId="0" fontId="1" fillId="0" borderId="4" xfId="0" applyFont="1" applyBorder="1"/>
    <xf numFmtId="0" fontId="1" fillId="0" borderId="6" xfId="0" applyFont="1" applyBorder="1"/>
    <xf numFmtId="0" fontId="0" fillId="5" borderId="0" xfId="0" applyFill="1"/>
    <xf numFmtId="164" fontId="0" fillId="5" borderId="0" xfId="1" applyNumberFormat="1" applyFont="1" applyFill="1"/>
    <xf numFmtId="10" fontId="0" fillId="0" borderId="0" xfId="2" applyNumberFormat="1" applyFont="1"/>
    <xf numFmtId="10" fontId="0" fillId="5" borderId="0" xfId="2" applyNumberFormat="1" applyFont="1" applyFill="1"/>
  </cellXfs>
  <cellStyles count="3">
    <cellStyle name="Comma" xfId="1" builtinId="3"/>
    <cellStyle name="Normal" xfId="0" builtinId="0"/>
    <cellStyle name="Percent" xfId="2" builtinId="5"/>
  </cellStyles>
  <dxfs count="1">
    <dxf>
      <numFmt numFmtId="164" formatCode="_-* #,##0_-;\-* #,##0_-;_-* &quot;-&quot;??_-;_-@_-"/>
    </dxf>
  </dxfs>
  <tableStyles count="1" defaultTableStyle="TableStyleMedium2" defaultPivotStyle="PivotStyleLight16">
    <tableStyle name="Invisible" pivot="0" table="0" count="0" xr9:uid="{01A2265D-D03D-4CF1-BFA3-93BC85F5817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externalLink" Target="externalLinks/externalLink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externalLink" Target="externalLinks/externalLink1.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5.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calcChain" Target="calcChain.xml"/><Relationship Id="rId10" Type="http://schemas.openxmlformats.org/officeDocument/2006/relationships/chartsheet" Target="chartsheets/sheet4.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externalLink" Target="externalLinks/externalLink3.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Contributions to global inequality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Measures'!$B$51</c:f>
              <c:strCache>
                <c:ptCount val="1"/>
                <c:pt idx="0">
                  <c:v>South</c:v>
                </c:pt>
              </c:strCache>
            </c:strRef>
          </c:tx>
          <c:spPr>
            <a:ln w="28575" cap="rnd">
              <a:solidFill>
                <a:schemeClr val="accent1"/>
              </a:solidFill>
              <a:round/>
            </a:ln>
            <a:effectLst/>
          </c:spPr>
          <c:marker>
            <c:symbol val="none"/>
          </c:marker>
          <c:cat>
            <c:strRef>
              <c:f>'Dispersion Measures'!$C$50:$BJ$50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Measures'!$C$51:$BJ$51</c:f>
              <c:numCache>
                <c:formatCode>0%</c:formatCode>
                <c:ptCount val="60"/>
                <c:pt idx="0">
                  <c:v>5.5017045822281944E-2</c:v>
                </c:pt>
                <c:pt idx="1">
                  <c:v>3.7668528688904038E-2</c:v>
                </c:pt>
                <c:pt idx="2">
                  <c:v>3.8563837609003934E-2</c:v>
                </c:pt>
                <c:pt idx="3">
                  <c:v>3.9990575078598704E-2</c:v>
                </c:pt>
                <c:pt idx="4">
                  <c:v>3.7251314695063951E-2</c:v>
                </c:pt>
                <c:pt idx="5">
                  <c:v>3.5838063558970408E-2</c:v>
                </c:pt>
                <c:pt idx="6">
                  <c:v>4.4675103018399193E-2</c:v>
                </c:pt>
                <c:pt idx="7">
                  <c:v>4.49241657591204E-2</c:v>
                </c:pt>
                <c:pt idx="8">
                  <c:v>4.470024188368088E-2</c:v>
                </c:pt>
                <c:pt idx="9">
                  <c:v>4.581650743361846E-2</c:v>
                </c:pt>
                <c:pt idx="10">
                  <c:v>4.4638076784295919E-2</c:v>
                </c:pt>
                <c:pt idx="11">
                  <c:v>4.6271150773430754E-2</c:v>
                </c:pt>
                <c:pt idx="12">
                  <c:v>4.8104294666489925E-2</c:v>
                </c:pt>
                <c:pt idx="13">
                  <c:v>5.71743032490174E-2</c:v>
                </c:pt>
                <c:pt idx="14">
                  <c:v>6.7605389498137394E-2</c:v>
                </c:pt>
                <c:pt idx="15">
                  <c:v>6.914881294165616E-2</c:v>
                </c:pt>
                <c:pt idx="16">
                  <c:v>7.3450447953725115E-2</c:v>
                </c:pt>
                <c:pt idx="17">
                  <c:v>6.8504221405308444E-2</c:v>
                </c:pt>
                <c:pt idx="18">
                  <c:v>6.4430302221175836E-2</c:v>
                </c:pt>
                <c:pt idx="19">
                  <c:v>7.2204264213008781E-2</c:v>
                </c:pt>
                <c:pt idx="20">
                  <c:v>7.869297481742224E-2</c:v>
                </c:pt>
                <c:pt idx="21">
                  <c:v>9.9144826213363138E-2</c:v>
                </c:pt>
                <c:pt idx="22">
                  <c:v>7.9176211339138436E-2</c:v>
                </c:pt>
                <c:pt idx="23">
                  <c:v>5.4479892814122757E-2</c:v>
                </c:pt>
                <c:pt idx="24">
                  <c:v>5.2267474246123442E-2</c:v>
                </c:pt>
                <c:pt idx="25">
                  <c:v>4.6165782544386816E-2</c:v>
                </c:pt>
                <c:pt idx="26">
                  <c:v>3.5222263123370651E-2</c:v>
                </c:pt>
                <c:pt idx="27">
                  <c:v>3.4933919860595367E-2</c:v>
                </c:pt>
                <c:pt idx="28">
                  <c:v>3.4784694451803523E-2</c:v>
                </c:pt>
                <c:pt idx="29">
                  <c:v>4.399458719051421E-2</c:v>
                </c:pt>
                <c:pt idx="30">
                  <c:v>4.7422642047527989E-2</c:v>
                </c:pt>
                <c:pt idx="31">
                  <c:v>6.0135926054251103E-2</c:v>
                </c:pt>
                <c:pt idx="32">
                  <c:v>4.9714380332936903E-2</c:v>
                </c:pt>
                <c:pt idx="33">
                  <c:v>6.2258698481463003E-2</c:v>
                </c:pt>
                <c:pt idx="34">
                  <c:v>6.2771753808010769E-2</c:v>
                </c:pt>
                <c:pt idx="35">
                  <c:v>5.9704785008819157E-2</c:v>
                </c:pt>
                <c:pt idx="36">
                  <c:v>6.6090575087959791E-2</c:v>
                </c:pt>
                <c:pt idx="37">
                  <c:v>7.1974937390085147E-2</c:v>
                </c:pt>
                <c:pt idx="38">
                  <c:v>7.1732280624735786E-2</c:v>
                </c:pt>
                <c:pt idx="39">
                  <c:v>5.7545962127016848E-2</c:v>
                </c:pt>
                <c:pt idx="40">
                  <c:v>6.2498703446198289E-2</c:v>
                </c:pt>
                <c:pt idx="41">
                  <c:v>5.9839940122573605E-2</c:v>
                </c:pt>
                <c:pt idx="42">
                  <c:v>5.7288017485655936E-2</c:v>
                </c:pt>
                <c:pt idx="43">
                  <c:v>5.2741474954041349E-2</c:v>
                </c:pt>
                <c:pt idx="44">
                  <c:v>5.5651930760211549E-2</c:v>
                </c:pt>
                <c:pt idx="45">
                  <c:v>6.4664613602571766E-2</c:v>
                </c:pt>
                <c:pt idx="46">
                  <c:v>7.0836203029425629E-2</c:v>
                </c:pt>
                <c:pt idx="47">
                  <c:v>7.5703121657722597E-2</c:v>
                </c:pt>
                <c:pt idx="48">
                  <c:v>8.4300560096869231E-2</c:v>
                </c:pt>
                <c:pt idx="49">
                  <c:v>7.5521604571029813E-2</c:v>
                </c:pt>
                <c:pt idx="50">
                  <c:v>9.4913810760829553E-2</c:v>
                </c:pt>
                <c:pt idx="51">
                  <c:v>0.10374792438466389</c:v>
                </c:pt>
                <c:pt idx="52">
                  <c:v>0.10052057877637624</c:v>
                </c:pt>
                <c:pt idx="53">
                  <c:v>0.10299360429647217</c:v>
                </c:pt>
                <c:pt idx="54">
                  <c:v>9.6641949678861042E-2</c:v>
                </c:pt>
                <c:pt idx="55">
                  <c:v>7.4846512514109412E-2</c:v>
                </c:pt>
                <c:pt idx="56">
                  <c:v>6.9261684353601319E-2</c:v>
                </c:pt>
                <c:pt idx="57">
                  <c:v>7.2092009930083606E-2</c:v>
                </c:pt>
                <c:pt idx="58">
                  <c:v>6.51725419418904E-2</c:v>
                </c:pt>
                <c:pt idx="59">
                  <c:v>6.2387874834371464E-2</c:v>
                </c:pt>
              </c:numCache>
            </c:numRef>
          </c:val>
          <c:smooth val="0"/>
          <c:extLst>
            <c:ext xmlns:c16="http://schemas.microsoft.com/office/drawing/2014/chart" uri="{C3380CC4-5D6E-409C-BE32-E72D297353CC}">
              <c16:uniqueId val="{00000000-55F8-4248-8447-B95CBCA7D11E}"/>
            </c:ext>
          </c:extLst>
        </c:ser>
        <c:ser>
          <c:idx val="1"/>
          <c:order val="1"/>
          <c:tx>
            <c:strRef>
              <c:f>'Dispersion Measures'!$B$52</c:f>
              <c:strCache>
                <c:ptCount val="1"/>
                <c:pt idx="0">
                  <c:v>North</c:v>
                </c:pt>
              </c:strCache>
            </c:strRef>
          </c:tx>
          <c:spPr>
            <a:ln w="28575" cap="rnd">
              <a:solidFill>
                <a:schemeClr val="accent2"/>
              </a:solidFill>
              <a:round/>
            </a:ln>
            <a:effectLst/>
          </c:spPr>
          <c:marker>
            <c:symbol val="none"/>
          </c:marker>
          <c:cat>
            <c:strRef>
              <c:f>'Dispersion Measures'!$C$50:$BJ$50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Measures'!$C$52:$BJ$52</c:f>
              <c:numCache>
                <c:formatCode>0%</c:formatCode>
                <c:ptCount val="60"/>
                <c:pt idx="0">
                  <c:v>0.22238182499788256</c:v>
                </c:pt>
                <c:pt idx="1">
                  <c:v>0.25991482811741107</c:v>
                </c:pt>
                <c:pt idx="2">
                  <c:v>0.2517374264204959</c:v>
                </c:pt>
                <c:pt idx="3">
                  <c:v>0.24285456865393315</c:v>
                </c:pt>
                <c:pt idx="4">
                  <c:v>0.23378209119174814</c:v>
                </c:pt>
                <c:pt idx="5">
                  <c:v>0.23029069869897478</c:v>
                </c:pt>
                <c:pt idx="6">
                  <c:v>0.21828682987964354</c:v>
                </c:pt>
                <c:pt idx="7">
                  <c:v>0.2064206968396238</c:v>
                </c:pt>
                <c:pt idx="8">
                  <c:v>0.20488018409370692</c:v>
                </c:pt>
                <c:pt idx="9">
                  <c:v>0.19524670658081728</c:v>
                </c:pt>
                <c:pt idx="10">
                  <c:v>0.17357579247350885</c:v>
                </c:pt>
                <c:pt idx="11">
                  <c:v>0.1646669291185896</c:v>
                </c:pt>
                <c:pt idx="12">
                  <c:v>0.14150967820676016</c:v>
                </c:pt>
                <c:pt idx="13">
                  <c:v>0.11957181146370885</c:v>
                </c:pt>
                <c:pt idx="14">
                  <c:v>0.11351428418204509</c:v>
                </c:pt>
                <c:pt idx="15">
                  <c:v>0.11004685339331613</c:v>
                </c:pt>
                <c:pt idx="16">
                  <c:v>0.11521498292241557</c:v>
                </c:pt>
                <c:pt idx="17">
                  <c:v>0.10684281495429247</c:v>
                </c:pt>
                <c:pt idx="18">
                  <c:v>9.1934346458824548E-2</c:v>
                </c:pt>
                <c:pt idx="19">
                  <c:v>7.9043063734543728E-2</c:v>
                </c:pt>
                <c:pt idx="20">
                  <c:v>7.9365330252535879E-2</c:v>
                </c:pt>
                <c:pt idx="21">
                  <c:v>9.1940493841636911E-2</c:v>
                </c:pt>
                <c:pt idx="22">
                  <c:v>9.8709333362708332E-2</c:v>
                </c:pt>
                <c:pt idx="23">
                  <c:v>0.10818429225168867</c:v>
                </c:pt>
                <c:pt idx="24">
                  <c:v>0.12361400041668691</c:v>
                </c:pt>
                <c:pt idx="25">
                  <c:v>0.12788642713487722</c:v>
                </c:pt>
                <c:pt idx="26">
                  <c:v>9.324494669100937E-2</c:v>
                </c:pt>
                <c:pt idx="27">
                  <c:v>7.862384457117666E-2</c:v>
                </c:pt>
                <c:pt idx="28">
                  <c:v>7.1892482079018771E-2</c:v>
                </c:pt>
                <c:pt idx="29">
                  <c:v>6.508624549924924E-2</c:v>
                </c:pt>
                <c:pt idx="30">
                  <c:v>5.0091273373917909E-2</c:v>
                </c:pt>
                <c:pt idx="31">
                  <c:v>4.8941766985533618E-2</c:v>
                </c:pt>
                <c:pt idx="32">
                  <c:v>4.8431784380393049E-2</c:v>
                </c:pt>
                <c:pt idx="33">
                  <c:v>6.8518931467851929E-2</c:v>
                </c:pt>
                <c:pt idx="34">
                  <c:v>7.1337487892274204E-2</c:v>
                </c:pt>
                <c:pt idx="35">
                  <c:v>6.5959603015229462E-2</c:v>
                </c:pt>
                <c:pt idx="36">
                  <c:v>4.7361452289461363E-2</c:v>
                </c:pt>
                <c:pt idx="37">
                  <c:v>4.8415884050242053E-2</c:v>
                </c:pt>
                <c:pt idx="38">
                  <c:v>5.7127444961957381E-2</c:v>
                </c:pt>
                <c:pt idx="39">
                  <c:v>5.7933981260816191E-2</c:v>
                </c:pt>
                <c:pt idx="40">
                  <c:v>6.9002372046907082E-2</c:v>
                </c:pt>
                <c:pt idx="41">
                  <c:v>6.6699347152997593E-2</c:v>
                </c:pt>
                <c:pt idx="42">
                  <c:v>5.7104405774145335E-2</c:v>
                </c:pt>
                <c:pt idx="43">
                  <c:v>4.1990735327574961E-2</c:v>
                </c:pt>
                <c:pt idx="44">
                  <c:v>3.5516791459127922E-2</c:v>
                </c:pt>
                <c:pt idx="45">
                  <c:v>3.4254748272972826E-2</c:v>
                </c:pt>
                <c:pt idx="46">
                  <c:v>3.4602146477657483E-2</c:v>
                </c:pt>
                <c:pt idx="47">
                  <c:v>3.3021919413524607E-2</c:v>
                </c:pt>
                <c:pt idx="48">
                  <c:v>3.269016791607561E-2</c:v>
                </c:pt>
                <c:pt idx="49">
                  <c:v>3.3458347137816376E-2</c:v>
                </c:pt>
                <c:pt idx="50">
                  <c:v>3.4191046718223761E-2</c:v>
                </c:pt>
                <c:pt idx="51">
                  <c:v>3.6474012048835873E-2</c:v>
                </c:pt>
                <c:pt idx="52">
                  <c:v>4.6441550734404917E-2</c:v>
                </c:pt>
                <c:pt idx="53">
                  <c:v>4.7662612102522775E-2</c:v>
                </c:pt>
                <c:pt idx="54">
                  <c:v>4.7965426720362379E-2</c:v>
                </c:pt>
                <c:pt idx="55">
                  <c:v>6.4626162226444961E-2</c:v>
                </c:pt>
                <c:pt idx="56">
                  <c:v>5.9600764191407342E-2</c:v>
                </c:pt>
                <c:pt idx="57">
                  <c:v>6.0564947428316591E-2</c:v>
                </c:pt>
                <c:pt idx="58">
                  <c:v>5.9246776606589682E-2</c:v>
                </c:pt>
                <c:pt idx="59">
                  <c:v>6.7563919339244757E-2</c:v>
                </c:pt>
              </c:numCache>
            </c:numRef>
          </c:val>
          <c:smooth val="0"/>
          <c:extLst>
            <c:ext xmlns:c16="http://schemas.microsoft.com/office/drawing/2014/chart" uri="{C3380CC4-5D6E-409C-BE32-E72D297353CC}">
              <c16:uniqueId val="{00000001-55F8-4248-8447-B95CBCA7D11E}"/>
            </c:ext>
          </c:extLst>
        </c:ser>
        <c:ser>
          <c:idx val="2"/>
          <c:order val="2"/>
          <c:tx>
            <c:strRef>
              <c:f>'Dispersion Measures'!$B$53</c:f>
              <c:strCache>
                <c:ptCount val="1"/>
                <c:pt idx="0">
                  <c:v> Interbloc </c:v>
                </c:pt>
              </c:strCache>
            </c:strRef>
          </c:tx>
          <c:spPr>
            <a:ln w="28575" cap="rnd">
              <a:solidFill>
                <a:schemeClr val="accent3"/>
              </a:solidFill>
              <a:round/>
            </a:ln>
            <a:effectLst/>
          </c:spPr>
          <c:marker>
            <c:symbol val="none"/>
          </c:marker>
          <c:cat>
            <c:strRef>
              <c:f>'Dispersion Measures'!$C$50:$BJ$50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Measures'!$C$53:$BJ$53</c:f>
              <c:numCache>
                <c:formatCode>0%</c:formatCode>
                <c:ptCount val="60"/>
                <c:pt idx="0">
                  <c:v>0.72260112917983554</c:v>
                </c:pt>
                <c:pt idx="1">
                  <c:v>0.70241664319368491</c:v>
                </c:pt>
                <c:pt idx="2">
                  <c:v>0.70969873597050015</c:v>
                </c:pt>
                <c:pt idx="3">
                  <c:v>0.71715485626746811</c:v>
                </c:pt>
                <c:pt idx="4">
                  <c:v>0.72896659411318776</c:v>
                </c:pt>
                <c:pt idx="5">
                  <c:v>0.73387123774205476</c:v>
                </c:pt>
                <c:pt idx="6">
                  <c:v>0.73703806710195718</c:v>
                </c:pt>
                <c:pt idx="7">
                  <c:v>0.74865513740125578</c:v>
                </c:pt>
                <c:pt idx="8">
                  <c:v>0.75041957402261228</c:v>
                </c:pt>
                <c:pt idx="9">
                  <c:v>0.75893678598556424</c:v>
                </c:pt>
                <c:pt idx="10">
                  <c:v>0.78178613074219516</c:v>
                </c:pt>
                <c:pt idx="11">
                  <c:v>0.7890619201079796</c:v>
                </c:pt>
                <c:pt idx="12">
                  <c:v>0.81038602712674979</c:v>
                </c:pt>
                <c:pt idx="13">
                  <c:v>0.82325388528727383</c:v>
                </c:pt>
                <c:pt idx="14">
                  <c:v>0.81888032631981755</c:v>
                </c:pt>
                <c:pt idx="15">
                  <c:v>0.8208043336650277</c:v>
                </c:pt>
                <c:pt idx="16">
                  <c:v>0.81133456912385937</c:v>
                </c:pt>
                <c:pt idx="17">
                  <c:v>0.82465296364039908</c:v>
                </c:pt>
                <c:pt idx="18">
                  <c:v>0.84363535131999967</c:v>
                </c:pt>
                <c:pt idx="19">
                  <c:v>0.84875267205244753</c:v>
                </c:pt>
                <c:pt idx="20">
                  <c:v>0.8419416949300419</c:v>
                </c:pt>
                <c:pt idx="21">
                  <c:v>0.80891467994499999</c:v>
                </c:pt>
                <c:pt idx="22">
                  <c:v>0.8221144552981533</c:v>
                </c:pt>
                <c:pt idx="23">
                  <c:v>0.83733581493418863</c:v>
                </c:pt>
                <c:pt idx="24">
                  <c:v>0.82411852533718966</c:v>
                </c:pt>
                <c:pt idx="25">
                  <c:v>0.82594779032073606</c:v>
                </c:pt>
                <c:pt idx="26">
                  <c:v>0.87153279018562002</c:v>
                </c:pt>
                <c:pt idx="27">
                  <c:v>0.88644223556822799</c:v>
                </c:pt>
                <c:pt idx="28">
                  <c:v>0.89332282346917768</c:v>
                </c:pt>
                <c:pt idx="29">
                  <c:v>0.89091916731023646</c:v>
                </c:pt>
                <c:pt idx="30">
                  <c:v>0.90248608457855417</c:v>
                </c:pt>
                <c:pt idx="31">
                  <c:v>0.89092230696021524</c:v>
                </c:pt>
                <c:pt idx="32">
                  <c:v>0.90185383528667007</c:v>
                </c:pt>
                <c:pt idx="33">
                  <c:v>0.86922237005068503</c:v>
                </c:pt>
                <c:pt idx="34">
                  <c:v>0.86589075829971496</c:v>
                </c:pt>
                <c:pt idx="35">
                  <c:v>0.87433561197595144</c:v>
                </c:pt>
                <c:pt idx="36">
                  <c:v>0.88654797262257878</c:v>
                </c:pt>
                <c:pt idx="37">
                  <c:v>0.8796091785596728</c:v>
                </c:pt>
                <c:pt idx="38">
                  <c:v>0.87114027441330688</c:v>
                </c:pt>
                <c:pt idx="39">
                  <c:v>0.88452005661216693</c:v>
                </c:pt>
                <c:pt idx="40">
                  <c:v>0.8684989245068947</c:v>
                </c:pt>
                <c:pt idx="41">
                  <c:v>0.87346071272442882</c:v>
                </c:pt>
                <c:pt idx="42">
                  <c:v>0.88560757674019863</c:v>
                </c:pt>
                <c:pt idx="43">
                  <c:v>0.90526778971838384</c:v>
                </c:pt>
                <c:pt idx="44">
                  <c:v>0.90883127778066053</c:v>
                </c:pt>
                <c:pt idx="45">
                  <c:v>0.90108063812445538</c:v>
                </c:pt>
                <c:pt idx="46">
                  <c:v>0.89456165049291692</c:v>
                </c:pt>
                <c:pt idx="47">
                  <c:v>0.89127495892875275</c:v>
                </c:pt>
                <c:pt idx="48">
                  <c:v>0.88300927198705514</c:v>
                </c:pt>
                <c:pt idx="49">
                  <c:v>0.89102004829115389</c:v>
                </c:pt>
                <c:pt idx="50">
                  <c:v>0.87089514252094669</c:v>
                </c:pt>
                <c:pt idx="51">
                  <c:v>0.85977806356650022</c:v>
                </c:pt>
                <c:pt idx="52">
                  <c:v>0.85303787048921886</c:v>
                </c:pt>
                <c:pt idx="53">
                  <c:v>0.84934378360100504</c:v>
                </c:pt>
                <c:pt idx="54">
                  <c:v>0.8553926236007765</c:v>
                </c:pt>
                <c:pt idx="55">
                  <c:v>0.86052732525944564</c:v>
                </c:pt>
                <c:pt idx="56">
                  <c:v>0.87113755145499139</c:v>
                </c:pt>
                <c:pt idx="57">
                  <c:v>0.86734304264159978</c:v>
                </c:pt>
                <c:pt idx="58">
                  <c:v>0.8755806814515199</c:v>
                </c:pt>
                <c:pt idx="59">
                  <c:v>0.87004820582638376</c:v>
                </c:pt>
              </c:numCache>
            </c:numRef>
          </c:val>
          <c:smooth val="0"/>
          <c:extLst>
            <c:ext xmlns:c16="http://schemas.microsoft.com/office/drawing/2014/chart" uri="{C3380CC4-5D6E-409C-BE32-E72D297353CC}">
              <c16:uniqueId val="{00000002-55F8-4248-8447-B95CBCA7D11E}"/>
            </c:ext>
          </c:extLst>
        </c:ser>
        <c:dLbls>
          <c:showLegendKey val="0"/>
          <c:showVal val="0"/>
          <c:showCatName val="0"/>
          <c:showSerName val="0"/>
          <c:showPercent val="0"/>
          <c:showBubbleSize val="0"/>
        </c:dLbls>
        <c:smooth val="0"/>
        <c:axId val="121057024"/>
        <c:axId val="121060768"/>
      </c:lineChart>
      <c:catAx>
        <c:axId val="1210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0768"/>
        <c:crosses val="autoZero"/>
        <c:auto val="1"/>
        <c:lblAlgn val="ctr"/>
        <c:lblOffset val="100"/>
        <c:noMultiLvlLbl val="0"/>
      </c:catAx>
      <c:valAx>
        <c:axId val="1210607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Gini1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Measures'!$B$56</c:f>
              <c:strCache>
                <c:ptCount val="1"/>
                <c:pt idx="0">
                  <c:v>South Gini</c:v>
                </c:pt>
              </c:strCache>
            </c:strRef>
          </c:tx>
          <c:spPr>
            <a:ln w="28575" cap="rnd">
              <a:solidFill>
                <a:schemeClr val="accent1"/>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Measures'!$C$56:$BJ$56</c:f>
              <c:numCache>
                <c:formatCode>General</c:formatCode>
                <c:ptCount val="60"/>
                <c:pt idx="0">
                  <c:v>0.42953433339748093</c:v>
                </c:pt>
                <c:pt idx="1">
                  <c:v>0.43199544716227922</c:v>
                </c:pt>
                <c:pt idx="2">
                  <c:v>0.4366476788215139</c:v>
                </c:pt>
                <c:pt idx="3">
                  <c:v>0.43838035602541636</c:v>
                </c:pt>
                <c:pt idx="4">
                  <c:v>0.44622018653824436</c:v>
                </c:pt>
                <c:pt idx="5">
                  <c:v>0.44486762755922221</c:v>
                </c:pt>
                <c:pt idx="6">
                  <c:v>0.44994655785988324</c:v>
                </c:pt>
                <c:pt idx="7">
                  <c:v>0.46111214847151061</c:v>
                </c:pt>
                <c:pt idx="8">
                  <c:v>0.46845188172799085</c:v>
                </c:pt>
                <c:pt idx="9">
                  <c:v>0.47891830438009175</c:v>
                </c:pt>
                <c:pt idx="10">
                  <c:v>0.47657412687740491</c:v>
                </c:pt>
                <c:pt idx="11">
                  <c:v>0.48625551067211031</c:v>
                </c:pt>
                <c:pt idx="12">
                  <c:v>0.47963902761488414</c:v>
                </c:pt>
                <c:pt idx="13">
                  <c:v>0.48510233770774036</c:v>
                </c:pt>
                <c:pt idx="14">
                  <c:v>0.47729328235732649</c:v>
                </c:pt>
                <c:pt idx="15">
                  <c:v>0.46823528895095889</c:v>
                </c:pt>
                <c:pt idx="16">
                  <c:v>0.48311368957378581</c:v>
                </c:pt>
                <c:pt idx="17">
                  <c:v>0.476187645483785</c:v>
                </c:pt>
                <c:pt idx="18">
                  <c:v>0.46287306126899153</c:v>
                </c:pt>
                <c:pt idx="19">
                  <c:v>0.48205252693023232</c:v>
                </c:pt>
                <c:pt idx="20">
                  <c:v>0.50057009121316831</c:v>
                </c:pt>
                <c:pt idx="21">
                  <c:v>0.51051278321913507</c:v>
                </c:pt>
                <c:pt idx="22">
                  <c:v>0.51523555410873478</c:v>
                </c:pt>
                <c:pt idx="23">
                  <c:v>0.52007359835680622</c:v>
                </c:pt>
                <c:pt idx="24">
                  <c:v>0.53700584042900124</c:v>
                </c:pt>
                <c:pt idx="25">
                  <c:v>0.54731739354741915</c:v>
                </c:pt>
                <c:pt idx="26">
                  <c:v>0.53288636270870449</c:v>
                </c:pt>
                <c:pt idx="27">
                  <c:v>0.53373655759524807</c:v>
                </c:pt>
                <c:pt idx="28">
                  <c:v>0.53777996815512741</c:v>
                </c:pt>
                <c:pt idx="29">
                  <c:v>0.55177345550671253</c:v>
                </c:pt>
                <c:pt idx="30">
                  <c:v>0.56384833303407533</c:v>
                </c:pt>
                <c:pt idx="31">
                  <c:v>0.56291518665100015</c:v>
                </c:pt>
                <c:pt idx="32">
                  <c:v>0.57292623097915285</c:v>
                </c:pt>
                <c:pt idx="33">
                  <c:v>0.5803966227829076</c:v>
                </c:pt>
                <c:pt idx="34">
                  <c:v>0.59059075502183667</c:v>
                </c:pt>
                <c:pt idx="35">
                  <c:v>0.58045292570596574</c:v>
                </c:pt>
                <c:pt idx="36">
                  <c:v>0.57938335956070586</c:v>
                </c:pt>
                <c:pt idx="37">
                  <c:v>0.61254928160404598</c:v>
                </c:pt>
                <c:pt idx="38">
                  <c:v>0.62783731852420155</c:v>
                </c:pt>
                <c:pt idx="39">
                  <c:v>0.63893209977150345</c:v>
                </c:pt>
                <c:pt idx="40">
                  <c:v>0.64362921746297175</c:v>
                </c:pt>
                <c:pt idx="41">
                  <c:v>0.65205365925508307</c:v>
                </c:pt>
                <c:pt idx="42">
                  <c:v>0.64762661504043195</c:v>
                </c:pt>
                <c:pt idx="43">
                  <c:v>0.63701143599981136</c:v>
                </c:pt>
                <c:pt idx="44">
                  <c:v>0.63125281690209156</c:v>
                </c:pt>
                <c:pt idx="45">
                  <c:v>0.62585364183565118</c:v>
                </c:pt>
                <c:pt idx="46">
                  <c:v>0.61255926996328092</c:v>
                </c:pt>
                <c:pt idx="47">
                  <c:v>0.60393371353741565</c:v>
                </c:pt>
                <c:pt idx="48">
                  <c:v>0.59336517601892669</c:v>
                </c:pt>
                <c:pt idx="49">
                  <c:v>0.58073647865206801</c:v>
                </c:pt>
                <c:pt idx="50">
                  <c:v>0.57858020590703241</c:v>
                </c:pt>
                <c:pt idx="51">
                  <c:v>0.57341954011299368</c:v>
                </c:pt>
                <c:pt idx="52">
                  <c:v>0.57199446920060248</c:v>
                </c:pt>
                <c:pt idx="53">
                  <c:v>0.57096257425851982</c:v>
                </c:pt>
                <c:pt idx="54">
                  <c:v>0.56618341473583744</c:v>
                </c:pt>
                <c:pt idx="55">
                  <c:v>0.57317253935617485</c:v>
                </c:pt>
                <c:pt idx="56">
                  <c:v>0.57526073434530711</c:v>
                </c:pt>
                <c:pt idx="57">
                  <c:v>0.572313524510077</c:v>
                </c:pt>
                <c:pt idx="58">
                  <c:v>0.56847568226529432</c:v>
                </c:pt>
                <c:pt idx="59">
                  <c:v>0.57228748699430942</c:v>
                </c:pt>
              </c:numCache>
            </c:numRef>
          </c:val>
          <c:smooth val="0"/>
          <c:extLst>
            <c:ext xmlns:c16="http://schemas.microsoft.com/office/drawing/2014/chart" uri="{C3380CC4-5D6E-409C-BE32-E72D297353CC}">
              <c16:uniqueId val="{00000000-D386-4B8C-AC68-8490535F9A4C}"/>
            </c:ext>
          </c:extLst>
        </c:ser>
        <c:ser>
          <c:idx val="1"/>
          <c:order val="1"/>
          <c:tx>
            <c:strRef>
              <c:f>'Dispersion Measures'!$B$57</c:f>
              <c:strCache>
                <c:ptCount val="1"/>
                <c:pt idx="0">
                  <c:v>North Gini</c:v>
                </c:pt>
              </c:strCache>
            </c:strRef>
          </c:tx>
          <c:spPr>
            <a:ln w="28575" cap="rnd">
              <a:solidFill>
                <a:schemeClr val="accent2"/>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Measures'!$C$57:$BJ$57</c:f>
              <c:numCache>
                <c:formatCode>General</c:formatCode>
                <c:ptCount val="60"/>
                <c:pt idx="0">
                  <c:v>0.34051067157340253</c:v>
                </c:pt>
                <c:pt idx="1">
                  <c:v>0.33002812130813103</c:v>
                </c:pt>
                <c:pt idx="2">
                  <c:v>0.32963207516331017</c:v>
                </c:pt>
                <c:pt idx="3">
                  <c:v>0.31816503287405351</c:v>
                </c:pt>
                <c:pt idx="4">
                  <c:v>0.3184093617375966</c:v>
                </c:pt>
                <c:pt idx="5">
                  <c:v>0.31387753344869646</c:v>
                </c:pt>
                <c:pt idx="6">
                  <c:v>0.30736139972643056</c:v>
                </c:pt>
                <c:pt idx="7">
                  <c:v>0.30214549725206208</c:v>
                </c:pt>
                <c:pt idx="8">
                  <c:v>0.30075015090447355</c:v>
                </c:pt>
                <c:pt idx="9">
                  <c:v>0.29379148468811472</c:v>
                </c:pt>
                <c:pt idx="10">
                  <c:v>0.28329353198437712</c:v>
                </c:pt>
                <c:pt idx="11">
                  <c:v>0.27800732158765873</c:v>
                </c:pt>
                <c:pt idx="12">
                  <c:v>0.26863970819426281</c:v>
                </c:pt>
                <c:pt idx="13">
                  <c:v>0.2623259715574785</c:v>
                </c:pt>
                <c:pt idx="14">
                  <c:v>0.25559896163903234</c:v>
                </c:pt>
                <c:pt idx="15">
                  <c:v>0.25821683238148513</c:v>
                </c:pt>
                <c:pt idx="16">
                  <c:v>0.26641226230761972</c:v>
                </c:pt>
                <c:pt idx="17">
                  <c:v>0.26229459854472775</c:v>
                </c:pt>
                <c:pt idx="18">
                  <c:v>0.26204693490061365</c:v>
                </c:pt>
                <c:pt idx="19">
                  <c:v>0.24922717155560384</c:v>
                </c:pt>
                <c:pt idx="20">
                  <c:v>0.24732539135642279</c:v>
                </c:pt>
                <c:pt idx="21">
                  <c:v>0.23447513546998389</c:v>
                </c:pt>
                <c:pt idx="22">
                  <c:v>0.22661511131510328</c:v>
                </c:pt>
                <c:pt idx="23">
                  <c:v>0.22629438532232449</c:v>
                </c:pt>
                <c:pt idx="24">
                  <c:v>0.23965493033769833</c:v>
                </c:pt>
                <c:pt idx="25">
                  <c:v>0.24590760013805973</c:v>
                </c:pt>
                <c:pt idx="26">
                  <c:v>0.24302449129609399</c:v>
                </c:pt>
                <c:pt idx="27">
                  <c:v>0.24292283462001391</c:v>
                </c:pt>
                <c:pt idx="28">
                  <c:v>0.23214010736520385</c:v>
                </c:pt>
                <c:pt idx="29">
                  <c:v>0.22219782797291038</c:v>
                </c:pt>
                <c:pt idx="30">
                  <c:v>0.21890654785641203</c:v>
                </c:pt>
                <c:pt idx="31">
                  <c:v>0.20778337471584868</c:v>
                </c:pt>
                <c:pt idx="32">
                  <c:v>0.20437888627602355</c:v>
                </c:pt>
                <c:pt idx="33">
                  <c:v>0.21543965009814944</c:v>
                </c:pt>
                <c:pt idx="34">
                  <c:v>0.21585112548347668</c:v>
                </c:pt>
                <c:pt idx="35">
                  <c:v>0.21265030023531331</c:v>
                </c:pt>
                <c:pt idx="36">
                  <c:v>0.19774198796290193</c:v>
                </c:pt>
                <c:pt idx="37">
                  <c:v>0.18810345314673751</c:v>
                </c:pt>
                <c:pt idx="38">
                  <c:v>0.19679354610166339</c:v>
                </c:pt>
                <c:pt idx="39">
                  <c:v>0.2072044736233197</c:v>
                </c:pt>
                <c:pt idx="40">
                  <c:v>0.21028385750448197</c:v>
                </c:pt>
                <c:pt idx="41">
                  <c:v>0.20799073521152683</c:v>
                </c:pt>
                <c:pt idx="42">
                  <c:v>0.20901620699017501</c:v>
                </c:pt>
                <c:pt idx="43">
                  <c:v>0.206586222821911</c:v>
                </c:pt>
                <c:pt idx="44">
                  <c:v>0.20327836860045931</c:v>
                </c:pt>
                <c:pt idx="45">
                  <c:v>0.20521609057021278</c:v>
                </c:pt>
                <c:pt idx="46">
                  <c:v>0.20996191398164823</c:v>
                </c:pt>
                <c:pt idx="47">
                  <c:v>0.21564995426890224</c:v>
                </c:pt>
                <c:pt idx="48">
                  <c:v>0.21926374030206169</c:v>
                </c:pt>
                <c:pt idx="49">
                  <c:v>0.20637931581690222</c:v>
                </c:pt>
                <c:pt idx="50">
                  <c:v>0.21139688881235422</c:v>
                </c:pt>
                <c:pt idx="51">
                  <c:v>0.22785148239418895</c:v>
                </c:pt>
                <c:pt idx="52">
                  <c:v>0.23931455261973444</c:v>
                </c:pt>
                <c:pt idx="53">
                  <c:v>0.24148005920487237</c:v>
                </c:pt>
                <c:pt idx="54">
                  <c:v>0.23446805324152881</c:v>
                </c:pt>
                <c:pt idx="55">
                  <c:v>0.22693082177954355</c:v>
                </c:pt>
                <c:pt idx="56">
                  <c:v>0.21899051448141549</c:v>
                </c:pt>
                <c:pt idx="57">
                  <c:v>0.21886199313072155</c:v>
                </c:pt>
                <c:pt idx="58">
                  <c:v>0.22161747906757709</c:v>
                </c:pt>
                <c:pt idx="59">
                  <c:v>0.21942778445989167</c:v>
                </c:pt>
              </c:numCache>
            </c:numRef>
          </c:val>
          <c:smooth val="0"/>
          <c:extLst>
            <c:ext xmlns:c16="http://schemas.microsoft.com/office/drawing/2014/chart" uri="{C3380CC4-5D6E-409C-BE32-E72D297353CC}">
              <c16:uniqueId val="{00000001-D386-4B8C-AC68-8490535F9A4C}"/>
            </c:ext>
          </c:extLst>
        </c:ser>
        <c:ser>
          <c:idx val="2"/>
          <c:order val="2"/>
          <c:tx>
            <c:strRef>
              <c:f>'Dispersion Measures'!$B$58</c:f>
              <c:strCache>
                <c:ptCount val="1"/>
                <c:pt idx="0">
                  <c:v>Global Gini</c:v>
                </c:pt>
              </c:strCache>
            </c:strRef>
          </c:tx>
          <c:spPr>
            <a:ln w="28575" cap="rnd">
              <a:solidFill>
                <a:schemeClr val="accent3"/>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Measures'!$C$58:$BJ$58</c:f>
              <c:numCache>
                <c:formatCode>General</c:formatCode>
                <c:ptCount val="60"/>
                <c:pt idx="0">
                  <c:v>0.5567817796748088</c:v>
                </c:pt>
                <c:pt idx="1">
                  <c:v>0.56418972145934976</c:v>
                </c:pt>
                <c:pt idx="2">
                  <c:v>0.56537808288819047</c:v>
                </c:pt>
                <c:pt idx="3">
                  <c:v>0.5669336889034694</c:v>
                </c:pt>
                <c:pt idx="4">
                  <c:v>0.57469597577612397</c:v>
                </c:pt>
                <c:pt idx="5">
                  <c:v>0.57727425365491547</c:v>
                </c:pt>
                <c:pt idx="6">
                  <c:v>0.57938806130803722</c:v>
                </c:pt>
                <c:pt idx="7">
                  <c:v>0.58512827180728944</c:v>
                </c:pt>
                <c:pt idx="8">
                  <c:v>0.59057652829496454</c:v>
                </c:pt>
                <c:pt idx="9">
                  <c:v>0.59500189194418418</c:v>
                </c:pt>
                <c:pt idx="10">
                  <c:v>0.60231239400968195</c:v>
                </c:pt>
                <c:pt idx="11">
                  <c:v>0.60573449162837534</c:v>
                </c:pt>
                <c:pt idx="12">
                  <c:v>0.61481222735554975</c:v>
                </c:pt>
                <c:pt idx="13">
                  <c:v>0.61837208137927613</c:v>
                </c:pt>
                <c:pt idx="14">
                  <c:v>0.6111808949019194</c:v>
                </c:pt>
                <c:pt idx="15">
                  <c:v>0.61521921015242576</c:v>
                </c:pt>
                <c:pt idx="16">
                  <c:v>0.61897344902900431</c:v>
                </c:pt>
                <c:pt idx="17">
                  <c:v>0.61783647357531213</c:v>
                </c:pt>
                <c:pt idx="18">
                  <c:v>0.62214995848840915</c:v>
                </c:pt>
                <c:pt idx="19">
                  <c:v>0.6210073399936028</c:v>
                </c:pt>
                <c:pt idx="20">
                  <c:v>0.61802781106720972</c:v>
                </c:pt>
                <c:pt idx="21">
                  <c:v>0.6036874062864056</c:v>
                </c:pt>
                <c:pt idx="22">
                  <c:v>0.60546045803176807</c:v>
                </c:pt>
                <c:pt idx="23">
                  <c:v>0.61332153017608959</c:v>
                </c:pt>
                <c:pt idx="24">
                  <c:v>0.61847708554068848</c:v>
                </c:pt>
                <c:pt idx="25">
                  <c:v>0.62929486128263135</c:v>
                </c:pt>
                <c:pt idx="26">
                  <c:v>0.65400094318431745</c:v>
                </c:pt>
                <c:pt idx="27">
                  <c:v>0.66608620358927029</c:v>
                </c:pt>
                <c:pt idx="28">
                  <c:v>0.67322478560947008</c:v>
                </c:pt>
                <c:pt idx="29">
                  <c:v>0.67535567418585951</c:v>
                </c:pt>
                <c:pt idx="30">
                  <c:v>0.68288611412859979</c:v>
                </c:pt>
                <c:pt idx="31">
                  <c:v>0.68036415931591032</c:v>
                </c:pt>
                <c:pt idx="32">
                  <c:v>0.68344148661816462</c:v>
                </c:pt>
                <c:pt idx="33">
                  <c:v>0.67855320154834886</c:v>
                </c:pt>
                <c:pt idx="34">
                  <c:v>0.68339787977069266</c:v>
                </c:pt>
                <c:pt idx="35">
                  <c:v>0.68754597656297856</c:v>
                </c:pt>
                <c:pt idx="36">
                  <c:v>0.68176000560317684</c:v>
                </c:pt>
                <c:pt idx="37">
                  <c:v>0.67200495046414865</c:v>
                </c:pt>
                <c:pt idx="38">
                  <c:v>0.67521038319705284</c:v>
                </c:pt>
                <c:pt idx="39">
                  <c:v>0.68169566347639754</c:v>
                </c:pt>
                <c:pt idx="40">
                  <c:v>0.67836557001680697</c:v>
                </c:pt>
                <c:pt idx="41">
                  <c:v>0.67858377824680127</c:v>
                </c:pt>
                <c:pt idx="42">
                  <c:v>0.68163936788575719</c:v>
                </c:pt>
                <c:pt idx="43">
                  <c:v>0.68695354562221622</c:v>
                </c:pt>
                <c:pt idx="44">
                  <c:v>0.68697347487827198</c:v>
                </c:pt>
                <c:pt idx="45">
                  <c:v>0.68045752292701323</c:v>
                </c:pt>
                <c:pt idx="46">
                  <c:v>0.67595893612599678</c:v>
                </c:pt>
                <c:pt idx="47">
                  <c:v>0.67807235868703475</c:v>
                </c:pt>
                <c:pt idx="48">
                  <c:v>0.67522903634144626</c:v>
                </c:pt>
                <c:pt idx="49">
                  <c:v>0.66828482040688486</c:v>
                </c:pt>
                <c:pt idx="50">
                  <c:v>0.65978756692499951</c:v>
                </c:pt>
                <c:pt idx="51">
                  <c:v>0.66101383789666002</c:v>
                </c:pt>
                <c:pt idx="52">
                  <c:v>0.65599008726316022</c:v>
                </c:pt>
                <c:pt idx="53">
                  <c:v>0.65436008300316695</c:v>
                </c:pt>
                <c:pt idx="54">
                  <c:v>0.65117963486240737</c:v>
                </c:pt>
                <c:pt idx="55">
                  <c:v>0.64309648562317634</c:v>
                </c:pt>
                <c:pt idx="56">
                  <c:v>0.64428589583600271</c:v>
                </c:pt>
                <c:pt idx="57">
                  <c:v>0.64360777974553163</c:v>
                </c:pt>
                <c:pt idx="58">
                  <c:v>0.64736553446364808</c:v>
                </c:pt>
                <c:pt idx="59">
                  <c:v>0.64492513620408853</c:v>
                </c:pt>
              </c:numCache>
            </c:numRef>
          </c:val>
          <c:smooth val="0"/>
          <c:extLst>
            <c:ext xmlns:c16="http://schemas.microsoft.com/office/drawing/2014/chart" uri="{C3380CC4-5D6E-409C-BE32-E72D297353CC}">
              <c16:uniqueId val="{00000002-D386-4B8C-AC68-8490535F9A4C}"/>
            </c:ext>
          </c:extLst>
        </c:ser>
        <c:ser>
          <c:idx val="3"/>
          <c:order val="3"/>
          <c:tx>
            <c:strRef>
              <c:f>'Dispersion Measures'!$B$59</c:f>
              <c:strCache>
                <c:ptCount val="1"/>
                <c:pt idx="0">
                  <c:v>Interbloc Gini</c:v>
                </c:pt>
              </c:strCache>
            </c:strRef>
          </c:tx>
          <c:spPr>
            <a:ln w="28575" cap="rnd">
              <a:solidFill>
                <a:schemeClr val="accent4"/>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Measures'!$C$59:$BJ$59</c:f>
              <c:numCache>
                <c:formatCode>General</c:formatCode>
                <c:ptCount val="60"/>
                <c:pt idx="0">
                  <c:v>0.41275267480351552</c:v>
                </c:pt>
                <c:pt idx="1">
                  <c:v>0.41685753462951386</c:v>
                </c:pt>
                <c:pt idx="2">
                  <c:v>0.41759447015654894</c:v>
                </c:pt>
                <c:pt idx="3">
                  <c:v>0.41523738445030811</c:v>
                </c:pt>
                <c:pt idx="4">
                  <c:v>0.41682698779660304</c:v>
                </c:pt>
                <c:pt idx="5">
                  <c:v>0.41891991219569685</c:v>
                </c:pt>
                <c:pt idx="6">
                  <c:v>0.42497309367238645</c:v>
                </c:pt>
                <c:pt idx="7">
                  <c:v>0.42615864467148618</c:v>
                </c:pt>
                <c:pt idx="8">
                  <c:v>0.42808076740756779</c:v>
                </c:pt>
                <c:pt idx="9">
                  <c:v>0.42800749137764738</c:v>
                </c:pt>
                <c:pt idx="10">
                  <c:v>0.42943536933370918</c:v>
                </c:pt>
                <c:pt idx="11">
                  <c:v>0.43176848563581738</c:v>
                </c:pt>
                <c:pt idx="12">
                  <c:v>0.43528948258128553</c:v>
                </c:pt>
                <c:pt idx="13">
                  <c:v>0.43332625699216981</c:v>
                </c:pt>
                <c:pt idx="14">
                  <c:v>0.42551256363447632</c:v>
                </c:pt>
                <c:pt idx="15">
                  <c:v>0.42713323961648697</c:v>
                </c:pt>
                <c:pt idx="16">
                  <c:v>0.42753595696628199</c:v>
                </c:pt>
                <c:pt idx="17">
                  <c:v>0.42968971295980873</c:v>
                </c:pt>
                <c:pt idx="18">
                  <c:v>0.43387678911791827</c:v>
                </c:pt>
                <c:pt idx="19">
                  <c:v>0.43224071456635327</c:v>
                </c:pt>
                <c:pt idx="20">
                  <c:v>0.4290864209997115</c:v>
                </c:pt>
                <c:pt idx="21">
                  <c:v>0.4206162624470014</c:v>
                </c:pt>
                <c:pt idx="22">
                  <c:v>0.42619606447982217</c:v>
                </c:pt>
                <c:pt idx="23">
                  <c:v>0.43730984076191398</c:v>
                </c:pt>
                <c:pt idx="24">
                  <c:v>0.44142004152885378</c:v>
                </c:pt>
                <c:pt idx="25">
                  <c:v>0.44450948821662295</c:v>
                </c:pt>
                <c:pt idx="26">
                  <c:v>0.45398673371447745</c:v>
                </c:pt>
                <c:pt idx="27">
                  <c:v>0.45608905923134618</c:v>
                </c:pt>
                <c:pt idx="28">
                  <c:v>0.45832421726752315</c:v>
                </c:pt>
                <c:pt idx="29">
                  <c:v>0.45625573283772775</c:v>
                </c:pt>
                <c:pt idx="30">
                  <c:v>0.45615096259454874</c:v>
                </c:pt>
                <c:pt idx="31">
                  <c:v>0.45515443970712477</c:v>
                </c:pt>
                <c:pt idx="32">
                  <c:v>0.45963288355320958</c:v>
                </c:pt>
                <c:pt idx="33">
                  <c:v>0.4566232338866929</c:v>
                </c:pt>
                <c:pt idx="34">
                  <c:v>0.45615743479929299</c:v>
                </c:pt>
                <c:pt idx="35">
                  <c:v>0.45666203971379887</c:v>
                </c:pt>
                <c:pt idx="36">
                  <c:v>0.45398032268359367</c:v>
                </c:pt>
                <c:pt idx="37">
                  <c:v>0.45175504425122526</c:v>
                </c:pt>
                <c:pt idx="38">
                  <c:v>0.45248233815523997</c:v>
                </c:pt>
                <c:pt idx="39">
                  <c:v>0.45775137278954203</c:v>
                </c:pt>
                <c:pt idx="40">
                  <c:v>0.45595550169385568</c:v>
                </c:pt>
                <c:pt idx="41">
                  <c:v>0.45757867418268877</c:v>
                </c:pt>
                <c:pt idx="42">
                  <c:v>0.45841018130848349</c:v>
                </c:pt>
                <c:pt idx="43">
                  <c:v>0.45922078190070204</c:v>
                </c:pt>
                <c:pt idx="44">
                  <c:v>0.45750413288695607</c:v>
                </c:pt>
                <c:pt idx="45">
                  <c:v>0.4528129971683908</c:v>
                </c:pt>
                <c:pt idx="46">
                  <c:v>0.44866994513684266</c:v>
                </c:pt>
                <c:pt idx="47">
                  <c:v>0.44419707066043257</c:v>
                </c:pt>
                <c:pt idx="48">
                  <c:v>0.44162775298291906</c:v>
                </c:pt>
                <c:pt idx="49">
                  <c:v>0.44168738131601154</c:v>
                </c:pt>
                <c:pt idx="50">
                  <c:v>0.43247601467482427</c:v>
                </c:pt>
                <c:pt idx="51">
                  <c:v>0.42942462822259575</c:v>
                </c:pt>
                <c:pt idx="52">
                  <c:v>0.4294364912721943</c:v>
                </c:pt>
                <c:pt idx="53">
                  <c:v>0.42782223607120418</c:v>
                </c:pt>
                <c:pt idx="54">
                  <c:v>0.42801546186418832</c:v>
                </c:pt>
                <c:pt idx="55">
                  <c:v>0.43233216728346335</c:v>
                </c:pt>
                <c:pt idx="56">
                  <c:v>0.43409910334484497</c:v>
                </c:pt>
                <c:pt idx="57">
                  <c:v>0.43131525662139625</c:v>
                </c:pt>
                <c:pt idx="58">
                  <c:v>0.43454696469134313</c:v>
                </c:pt>
                <c:pt idx="59">
                  <c:v>0.43480980315932066</c:v>
                </c:pt>
              </c:numCache>
            </c:numRef>
          </c:val>
          <c:smooth val="0"/>
          <c:extLst>
            <c:ext xmlns:c16="http://schemas.microsoft.com/office/drawing/2014/chart" uri="{C3380CC4-5D6E-409C-BE32-E72D297353CC}">
              <c16:uniqueId val="{00000003-D386-4B8C-AC68-8490535F9A4C}"/>
            </c:ext>
          </c:extLst>
        </c:ser>
        <c:dLbls>
          <c:showLegendKey val="0"/>
          <c:showVal val="0"/>
          <c:showCatName val="0"/>
          <c:showSerName val="0"/>
          <c:showPercent val="0"/>
          <c:showBubbleSize val="0"/>
        </c:dLbls>
        <c:smooth val="0"/>
        <c:axId val="1082068527"/>
        <c:axId val="1082063535"/>
      </c:lineChart>
      <c:catAx>
        <c:axId val="108206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063535"/>
        <c:crosses val="autoZero"/>
        <c:auto val="1"/>
        <c:lblAlgn val="ctr"/>
        <c:lblOffset val="100"/>
        <c:noMultiLvlLbl val="0"/>
      </c:catAx>
      <c:valAx>
        <c:axId val="1082063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0685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Gini2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Measures'!$B$61</c:f>
              <c:strCache>
                <c:ptCount val="1"/>
                <c:pt idx="0">
                  <c:v>South Gini</c:v>
                </c:pt>
              </c:strCache>
            </c:strRef>
          </c:tx>
          <c:spPr>
            <a:ln w="28575" cap="rnd">
              <a:solidFill>
                <a:schemeClr val="accent1"/>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Measures'!$C$61:$BJ$61</c:f>
              <c:numCache>
                <c:formatCode>General</c:formatCode>
                <c:ptCount val="60"/>
                <c:pt idx="0">
                  <c:v>0.35418143944748232</c:v>
                </c:pt>
                <c:pt idx="1">
                  <c:v>0.32880575154610253</c:v>
                </c:pt>
                <c:pt idx="2">
                  <c:v>0.33176245471105431</c:v>
                </c:pt>
                <c:pt idx="3">
                  <c:v>0.33011547528678331</c:v>
                </c:pt>
                <c:pt idx="4">
                  <c:v>0.31624869360761543</c:v>
                </c:pt>
                <c:pt idx="5">
                  <c:v>0.31490965974308688</c:v>
                </c:pt>
                <c:pt idx="6">
                  <c:v>0.38827000720011645</c:v>
                </c:pt>
                <c:pt idx="7">
                  <c:v>0.38795177248294155</c:v>
                </c:pt>
                <c:pt idx="8">
                  <c:v>0.39432907062402178</c:v>
                </c:pt>
                <c:pt idx="9">
                  <c:v>0.39637597123489671</c:v>
                </c:pt>
                <c:pt idx="10">
                  <c:v>0.39286625252752277</c:v>
                </c:pt>
                <c:pt idx="11">
                  <c:v>0.40227731719885296</c:v>
                </c:pt>
                <c:pt idx="12">
                  <c:v>0.42388363361692621</c:v>
                </c:pt>
                <c:pt idx="13">
                  <c:v>0.44993730516640779</c:v>
                </c:pt>
                <c:pt idx="14">
                  <c:v>0.4554359562626959</c:v>
                </c:pt>
                <c:pt idx="15">
                  <c:v>0.46854338728902672</c:v>
                </c:pt>
                <c:pt idx="16">
                  <c:v>0.48459075677584262</c:v>
                </c:pt>
                <c:pt idx="17">
                  <c:v>0.47622878955662662</c:v>
                </c:pt>
                <c:pt idx="18">
                  <c:v>0.47411589809519938</c:v>
                </c:pt>
                <c:pt idx="19">
                  <c:v>0.4894672523264344</c:v>
                </c:pt>
                <c:pt idx="20">
                  <c:v>0.49774031610940478</c:v>
                </c:pt>
                <c:pt idx="21">
                  <c:v>0.52259658097173312</c:v>
                </c:pt>
                <c:pt idx="22">
                  <c:v>0.49083997987802608</c:v>
                </c:pt>
                <c:pt idx="23">
                  <c:v>0.45153498815812315</c:v>
                </c:pt>
                <c:pt idx="24">
                  <c:v>0.46422863612139409</c:v>
                </c:pt>
                <c:pt idx="25">
                  <c:v>0.44855072321462508</c:v>
                </c:pt>
                <c:pt idx="26">
                  <c:v>0.42996592245613863</c:v>
                </c:pt>
                <c:pt idx="27">
                  <c:v>0.43565126308518981</c:v>
                </c:pt>
                <c:pt idx="28">
                  <c:v>0.44415415693521848</c:v>
                </c:pt>
                <c:pt idx="29">
                  <c:v>0.48174572044848485</c:v>
                </c:pt>
                <c:pt idx="30">
                  <c:v>0.49187942874446638</c:v>
                </c:pt>
                <c:pt idx="31">
                  <c:v>0.55132814791195039</c:v>
                </c:pt>
                <c:pt idx="32">
                  <c:v>0.53453183064404253</c:v>
                </c:pt>
                <c:pt idx="33">
                  <c:v>0.57486121448697325</c:v>
                </c:pt>
                <c:pt idx="34">
                  <c:v>0.57441435171010502</c:v>
                </c:pt>
                <c:pt idx="35">
                  <c:v>0.56161526116578631</c:v>
                </c:pt>
                <c:pt idx="36">
                  <c:v>0.56126919444855905</c:v>
                </c:pt>
                <c:pt idx="37">
                  <c:v>0.5657189780531896</c:v>
                </c:pt>
                <c:pt idx="38">
                  <c:v>0.56862556952257481</c:v>
                </c:pt>
                <c:pt idx="39">
                  <c:v>0.5461475165343489</c:v>
                </c:pt>
                <c:pt idx="40">
                  <c:v>0.55690658426232498</c:v>
                </c:pt>
                <c:pt idx="41">
                  <c:v>0.54994473239722108</c:v>
                </c:pt>
                <c:pt idx="42">
                  <c:v>0.54165002962243736</c:v>
                </c:pt>
                <c:pt idx="43">
                  <c:v>0.52438447670434885</c:v>
                </c:pt>
                <c:pt idx="44">
                  <c:v>0.52618501860957412</c:v>
                </c:pt>
                <c:pt idx="45">
                  <c:v>0.53242613116029502</c:v>
                </c:pt>
                <c:pt idx="46">
                  <c:v>0.53086130807436538</c:v>
                </c:pt>
                <c:pt idx="47">
                  <c:v>0.51950471892156824</c:v>
                </c:pt>
                <c:pt idx="48">
                  <c:v>0.53346008256242938</c:v>
                </c:pt>
                <c:pt idx="49">
                  <c:v>0.50034700903699625</c:v>
                </c:pt>
                <c:pt idx="50">
                  <c:v>0.51230577162187485</c:v>
                </c:pt>
                <c:pt idx="51">
                  <c:v>0.51990353534354827</c:v>
                </c:pt>
                <c:pt idx="52">
                  <c:v>0.51408721490969234</c:v>
                </c:pt>
                <c:pt idx="53">
                  <c:v>0.51252107770489141</c:v>
                </c:pt>
                <c:pt idx="54">
                  <c:v>0.49526852476247935</c:v>
                </c:pt>
                <c:pt idx="55">
                  <c:v>0.45488591224801717</c:v>
                </c:pt>
                <c:pt idx="56">
                  <c:v>0.4390396274322782</c:v>
                </c:pt>
                <c:pt idx="57">
                  <c:v>0.43198579535851672</c:v>
                </c:pt>
                <c:pt idx="58">
                  <c:v>0.4227811395587811</c:v>
                </c:pt>
                <c:pt idx="59">
                  <c:v>0.41869333512847962</c:v>
                </c:pt>
              </c:numCache>
            </c:numRef>
          </c:val>
          <c:smooth val="0"/>
          <c:extLst>
            <c:ext xmlns:c16="http://schemas.microsoft.com/office/drawing/2014/chart" uri="{C3380CC4-5D6E-409C-BE32-E72D297353CC}">
              <c16:uniqueId val="{00000000-DCFF-40A5-B0ED-0AE48F4EDE26}"/>
            </c:ext>
          </c:extLst>
        </c:ser>
        <c:ser>
          <c:idx val="1"/>
          <c:order val="1"/>
          <c:tx>
            <c:strRef>
              <c:f>'Dispersion Measures'!$B$62</c:f>
              <c:strCache>
                <c:ptCount val="1"/>
                <c:pt idx="0">
                  <c:v>North Gini</c:v>
                </c:pt>
              </c:strCache>
            </c:strRef>
          </c:tx>
          <c:spPr>
            <a:ln w="28575" cap="rnd">
              <a:solidFill>
                <a:schemeClr val="accent2"/>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Measures'!$C$62:$BJ$62</c:f>
              <c:numCache>
                <c:formatCode>General</c:formatCode>
                <c:ptCount val="60"/>
                <c:pt idx="0">
                  <c:v>0.3776369298915192</c:v>
                </c:pt>
                <c:pt idx="1">
                  <c:v>0.36464572970672471</c:v>
                </c:pt>
                <c:pt idx="2">
                  <c:v>0.3576949102845281</c:v>
                </c:pt>
                <c:pt idx="3">
                  <c:v>0.34365461952900311</c:v>
                </c:pt>
                <c:pt idx="4">
                  <c:v>0.33446528965881056</c:v>
                </c:pt>
                <c:pt idx="5">
                  <c:v>0.33133310394481807</c:v>
                </c:pt>
                <c:pt idx="6">
                  <c:v>0.32686294859665727</c:v>
                </c:pt>
                <c:pt idx="7">
                  <c:v>0.31608546906818652</c:v>
                </c:pt>
                <c:pt idx="8">
                  <c:v>0.31557356543280934</c:v>
                </c:pt>
                <c:pt idx="9">
                  <c:v>0.3056028450049636</c:v>
                </c:pt>
                <c:pt idx="10">
                  <c:v>0.28164647117604413</c:v>
                </c:pt>
                <c:pt idx="11">
                  <c:v>0.27381528188937526</c:v>
                </c:pt>
                <c:pt idx="12">
                  <c:v>0.24815360696054181</c:v>
                </c:pt>
                <c:pt idx="13">
                  <c:v>0.22190065129468156</c:v>
                </c:pt>
                <c:pt idx="14">
                  <c:v>0.21204853640682539</c:v>
                </c:pt>
                <c:pt idx="15">
                  <c:v>0.20550637101037025</c:v>
                </c:pt>
                <c:pt idx="16">
                  <c:v>0.21836113108423327</c:v>
                </c:pt>
                <c:pt idx="17">
                  <c:v>0.20751556894836762</c:v>
                </c:pt>
                <c:pt idx="18">
                  <c:v>0.18187279707791171</c:v>
                </c:pt>
                <c:pt idx="19">
                  <c:v>0.16595176833706457</c:v>
                </c:pt>
                <c:pt idx="20">
                  <c:v>0.15898734047888671</c:v>
                </c:pt>
                <c:pt idx="21">
                  <c:v>0.18014941724634853</c:v>
                </c:pt>
                <c:pt idx="22">
                  <c:v>0.1938314397520112</c:v>
                </c:pt>
                <c:pt idx="23">
                  <c:v>0.21016192104133133</c:v>
                </c:pt>
                <c:pt idx="24">
                  <c:v>0.23526421419488894</c:v>
                </c:pt>
                <c:pt idx="25">
                  <c:v>0.24093205837749701</c:v>
                </c:pt>
                <c:pt idx="26">
                  <c:v>0.1903878922843828</c:v>
                </c:pt>
                <c:pt idx="27">
                  <c:v>0.16541892118469925</c:v>
                </c:pt>
                <c:pt idx="28">
                  <c:v>0.16607333558056417</c:v>
                </c:pt>
                <c:pt idx="29">
                  <c:v>0.15569653087262184</c:v>
                </c:pt>
                <c:pt idx="30">
                  <c:v>0.12479592338205239</c:v>
                </c:pt>
                <c:pt idx="31">
                  <c:v>0.13253979410265096</c:v>
                </c:pt>
                <c:pt idx="32">
                  <c:v>0.13397530079087602</c:v>
                </c:pt>
                <c:pt idx="33">
                  <c:v>0.17623380532948543</c:v>
                </c:pt>
                <c:pt idx="34">
                  <c:v>0.18096571822388285</c:v>
                </c:pt>
                <c:pt idx="35">
                  <c:v>0.17099031789303057</c:v>
                </c:pt>
                <c:pt idx="36">
                  <c:v>0.14070307422779579</c:v>
                </c:pt>
                <c:pt idx="37">
                  <c:v>0.13703851971855058</c:v>
                </c:pt>
                <c:pt idx="38">
                  <c:v>0.13675724923042878</c:v>
                </c:pt>
                <c:pt idx="39">
                  <c:v>0.14787353779228854</c:v>
                </c:pt>
                <c:pt idx="40">
                  <c:v>0.1680038693805545</c:v>
                </c:pt>
                <c:pt idx="41">
                  <c:v>0.16679431225734648</c:v>
                </c:pt>
                <c:pt idx="42">
                  <c:v>0.15580376399366924</c:v>
                </c:pt>
                <c:pt idx="43">
                  <c:v>0.12573883794698415</c:v>
                </c:pt>
                <c:pt idx="44">
                  <c:v>0.10903505353692054</c:v>
                </c:pt>
                <c:pt idx="45">
                  <c:v>0.11095716554655766</c:v>
                </c:pt>
                <c:pt idx="46">
                  <c:v>0.11310156410688572</c:v>
                </c:pt>
                <c:pt idx="47">
                  <c:v>0.10987907122783819</c:v>
                </c:pt>
                <c:pt idx="48">
                  <c:v>9.8422564887121422E-2</c:v>
                </c:pt>
                <c:pt idx="49">
                  <c:v>0.10016281045869263</c:v>
                </c:pt>
                <c:pt idx="50">
                  <c:v>0.10342083377282714</c:v>
                </c:pt>
                <c:pt idx="51">
                  <c:v>0.10383311194404965</c:v>
                </c:pt>
                <c:pt idx="52">
                  <c:v>0.12186880530634829</c:v>
                </c:pt>
                <c:pt idx="53">
                  <c:v>0.12908421054920044</c:v>
                </c:pt>
                <c:pt idx="54">
                  <c:v>0.13102633586676307</c:v>
                </c:pt>
                <c:pt idx="55">
                  <c:v>0.15581595300824239</c:v>
                </c:pt>
                <c:pt idx="56">
                  <c:v>0.14977387376873233</c:v>
                </c:pt>
                <c:pt idx="57">
                  <c:v>0.14930559443132363</c:v>
                </c:pt>
                <c:pt idx="58">
                  <c:v>0.14867132069621442</c:v>
                </c:pt>
                <c:pt idx="59">
                  <c:v>0.15894273672570194</c:v>
                </c:pt>
              </c:numCache>
            </c:numRef>
          </c:val>
          <c:smooth val="0"/>
          <c:extLst>
            <c:ext xmlns:c16="http://schemas.microsoft.com/office/drawing/2014/chart" uri="{C3380CC4-5D6E-409C-BE32-E72D297353CC}">
              <c16:uniqueId val="{00000001-DCFF-40A5-B0ED-0AE48F4EDE26}"/>
            </c:ext>
          </c:extLst>
        </c:ser>
        <c:ser>
          <c:idx val="2"/>
          <c:order val="2"/>
          <c:tx>
            <c:strRef>
              <c:f>'Dispersion Measures'!$B$63</c:f>
              <c:strCache>
                <c:ptCount val="1"/>
                <c:pt idx="0">
                  <c:v>Global Gini</c:v>
                </c:pt>
              </c:strCache>
            </c:strRef>
          </c:tx>
          <c:spPr>
            <a:ln w="28575" cap="rnd">
              <a:solidFill>
                <a:schemeClr val="accent3"/>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Measures'!$C$63:$BJ$63</c:f>
              <c:numCache>
                <c:formatCode>General</c:formatCode>
                <c:ptCount val="60"/>
                <c:pt idx="0">
                  <c:v>0.64598817804045583</c:v>
                </c:pt>
                <c:pt idx="1">
                  <c:v>0.64612655739441238</c:v>
                </c:pt>
                <c:pt idx="2">
                  <c:v>0.64591297241212775</c:v>
                </c:pt>
                <c:pt idx="3">
                  <c:v>0.63853637022316367</c:v>
                </c:pt>
                <c:pt idx="4">
                  <c:v>0.63765899457399211</c:v>
                </c:pt>
                <c:pt idx="5">
                  <c:v>0.64077161663102289</c:v>
                </c:pt>
                <c:pt idx="6">
                  <c:v>0.65553933747610282</c:v>
                </c:pt>
                <c:pt idx="7">
                  <c:v>0.65487802187927613</c:v>
                </c:pt>
                <c:pt idx="8">
                  <c:v>0.65906394364602228</c:v>
                </c:pt>
                <c:pt idx="9">
                  <c:v>0.65713775309927125</c:v>
                </c:pt>
                <c:pt idx="10">
                  <c:v>0.65296662693645435</c:v>
                </c:pt>
                <c:pt idx="11">
                  <c:v>0.65607164852470445</c:v>
                </c:pt>
                <c:pt idx="12">
                  <c:v>0.65697224338496285</c:v>
                </c:pt>
                <c:pt idx="13">
                  <c:v>0.65064958784143112</c:v>
                </c:pt>
                <c:pt idx="14">
                  <c:v>0.63906241072439074</c:v>
                </c:pt>
                <c:pt idx="15">
                  <c:v>0.64225874951875539</c:v>
                </c:pt>
                <c:pt idx="16">
                  <c:v>0.64922563448522097</c:v>
                </c:pt>
                <c:pt idx="17">
                  <c:v>0.64974930055494728</c:v>
                </c:pt>
                <c:pt idx="18">
                  <c:v>0.64996243794280206</c:v>
                </c:pt>
                <c:pt idx="19">
                  <c:v>0.64672687007779017</c:v>
                </c:pt>
                <c:pt idx="20">
                  <c:v>0.64381701812174397</c:v>
                </c:pt>
                <c:pt idx="21">
                  <c:v>0.64259875160186164</c:v>
                </c:pt>
                <c:pt idx="22">
                  <c:v>0.65097035965609329</c:v>
                </c:pt>
                <c:pt idx="23">
                  <c:v>0.66839445077305726</c:v>
                </c:pt>
                <c:pt idx="24">
                  <c:v>0.68376920628848947</c:v>
                </c:pt>
                <c:pt idx="25">
                  <c:v>0.69014432493472744</c:v>
                </c:pt>
                <c:pt idx="26">
                  <c:v>0.69329938155319104</c:v>
                </c:pt>
                <c:pt idx="27">
                  <c:v>0.69300659878054471</c:v>
                </c:pt>
                <c:pt idx="28">
                  <c:v>0.69945227324017278</c:v>
                </c:pt>
                <c:pt idx="29">
                  <c:v>0.69832345009123464</c:v>
                </c:pt>
                <c:pt idx="30">
                  <c:v>0.69344601636136671</c:v>
                </c:pt>
                <c:pt idx="31">
                  <c:v>0.70033650272383419</c:v>
                </c:pt>
                <c:pt idx="32">
                  <c:v>0.7077569943332721</c:v>
                </c:pt>
                <c:pt idx="33">
                  <c:v>0.71761271406520521</c:v>
                </c:pt>
                <c:pt idx="34">
                  <c:v>0.71937036859890802</c:v>
                </c:pt>
                <c:pt idx="35">
                  <c:v>0.71822181460138013</c:v>
                </c:pt>
                <c:pt idx="36">
                  <c:v>0.70883339520302047</c:v>
                </c:pt>
                <c:pt idx="37">
                  <c:v>0.70648779704799647</c:v>
                </c:pt>
                <c:pt idx="38">
                  <c:v>0.7092655056332291</c:v>
                </c:pt>
                <c:pt idx="39">
                  <c:v>0.7191713530724736</c:v>
                </c:pt>
                <c:pt idx="40">
                  <c:v>0.72273703526427524</c:v>
                </c:pt>
                <c:pt idx="41">
                  <c:v>0.72567214020711879</c:v>
                </c:pt>
                <c:pt idx="42">
                  <c:v>0.72512834983997299</c:v>
                </c:pt>
                <c:pt idx="43">
                  <c:v>0.71981844161324593</c:v>
                </c:pt>
                <c:pt idx="44">
                  <c:v>0.71474567454291416</c:v>
                </c:pt>
                <c:pt idx="45">
                  <c:v>0.70889809896922484</c:v>
                </c:pt>
                <c:pt idx="46">
                  <c:v>0.70317290041325076</c:v>
                </c:pt>
                <c:pt idx="47">
                  <c:v>0.69458529069115504</c:v>
                </c:pt>
                <c:pt idx="48">
                  <c:v>0.69089481046019663</c:v>
                </c:pt>
                <c:pt idx="49">
                  <c:v>0.68758417071166789</c:v>
                </c:pt>
                <c:pt idx="50">
                  <c:v>0.67558825213576668</c:v>
                </c:pt>
                <c:pt idx="51">
                  <c:v>0.67281562267317063</c:v>
                </c:pt>
                <c:pt idx="52">
                  <c:v>0.67569698287270175</c:v>
                </c:pt>
                <c:pt idx="53">
                  <c:v>0.67472681887144126</c:v>
                </c:pt>
                <c:pt idx="54">
                  <c:v>0.67297972559834518</c:v>
                </c:pt>
                <c:pt idx="55">
                  <c:v>0.67821531683289094</c:v>
                </c:pt>
                <c:pt idx="56">
                  <c:v>0.67828765017685078</c:v>
                </c:pt>
                <c:pt idx="57">
                  <c:v>0.67239417947983415</c:v>
                </c:pt>
                <c:pt idx="58">
                  <c:v>0.67722412378352048</c:v>
                </c:pt>
                <c:pt idx="59">
                  <c:v>0.67917022016772133</c:v>
                </c:pt>
              </c:numCache>
            </c:numRef>
          </c:val>
          <c:smooth val="0"/>
          <c:extLst>
            <c:ext xmlns:c16="http://schemas.microsoft.com/office/drawing/2014/chart" uri="{C3380CC4-5D6E-409C-BE32-E72D297353CC}">
              <c16:uniqueId val="{00000002-DCFF-40A5-B0ED-0AE48F4EDE26}"/>
            </c:ext>
          </c:extLst>
        </c:ser>
        <c:ser>
          <c:idx val="3"/>
          <c:order val="3"/>
          <c:tx>
            <c:strRef>
              <c:f>'Dispersion Measures'!$B$64</c:f>
              <c:strCache>
                <c:ptCount val="1"/>
                <c:pt idx="0">
                  <c:v>Interbloc Gini</c:v>
                </c:pt>
              </c:strCache>
            </c:strRef>
          </c:tx>
          <c:spPr>
            <a:ln w="28575" cap="rnd">
              <a:solidFill>
                <a:schemeClr val="accent4"/>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Measures'!$C$64:$BJ$64</c:f>
              <c:numCache>
                <c:formatCode>General</c:formatCode>
                <c:ptCount val="60"/>
                <c:pt idx="0">
                  <c:v>0.49379745470675918</c:v>
                </c:pt>
                <c:pt idx="1">
                  <c:v>0.50105919368209417</c:v>
                </c:pt>
                <c:pt idx="2">
                  <c:v>0.50345060163081712</c:v>
                </c:pt>
                <c:pt idx="3">
                  <c:v>0.50098417132558104</c:v>
                </c:pt>
                <c:pt idx="4">
                  <c:v>0.50480086463574458</c:v>
                </c:pt>
                <c:pt idx="5">
                  <c:v>0.50952838461544447</c:v>
                </c:pt>
                <c:pt idx="6">
                  <c:v>0.52095948837921147</c:v>
                </c:pt>
                <c:pt idx="7">
                  <c:v>0.52451128147039028</c:v>
                </c:pt>
                <c:pt idx="8">
                  <c:v>0.52950785570025416</c:v>
                </c:pt>
                <c:pt idx="9">
                  <c:v>0.53084007582726311</c:v>
                </c:pt>
                <c:pt idx="10">
                  <c:v>0.53485716074664358</c:v>
                </c:pt>
                <c:pt idx="11">
                  <c:v>0.54039596105554355</c:v>
                </c:pt>
                <c:pt idx="12">
                  <c:v>0.54822739512327556</c:v>
                </c:pt>
                <c:pt idx="13">
                  <c:v>0.54637094215764559</c:v>
                </c:pt>
                <c:pt idx="14">
                  <c:v>0.53361732485745927</c:v>
                </c:pt>
                <c:pt idx="15">
                  <c:v>0.53791249727794566</c:v>
                </c:pt>
                <c:pt idx="16">
                  <c:v>0.54017905836032476</c:v>
                </c:pt>
                <c:pt idx="17">
                  <c:v>0.54570600467354802</c:v>
                </c:pt>
                <c:pt idx="18">
                  <c:v>0.55521730856454998</c:v>
                </c:pt>
                <c:pt idx="19">
                  <c:v>0.55358089751378958</c:v>
                </c:pt>
                <c:pt idx="20">
                  <c:v>0.54891849447025076</c:v>
                </c:pt>
                <c:pt idx="21">
                  <c:v>0.53376816080463463</c:v>
                </c:pt>
                <c:pt idx="22">
                  <c:v>0.54591271512491368</c:v>
                </c:pt>
                <c:pt idx="23">
                  <c:v>0.56980237720850557</c:v>
                </c:pt>
                <c:pt idx="24">
                  <c:v>0.57995421819437332</c:v>
                </c:pt>
                <c:pt idx="25">
                  <c:v>0.58814978866560719</c:v>
                </c:pt>
                <c:pt idx="26">
                  <c:v>0.61076081395492621</c:v>
                </c:pt>
                <c:pt idx="27">
                  <c:v>0.61734496208169609</c:v>
                </c:pt>
                <c:pt idx="28">
                  <c:v>0.62430895235110151</c:v>
                </c:pt>
                <c:pt idx="29">
                  <c:v>0.62109200840401002</c:v>
                </c:pt>
                <c:pt idx="30">
                  <c:v>0.6223059710570672</c:v>
                </c:pt>
                <c:pt idx="31">
                  <c:v>0.62118457657067883</c:v>
                </c:pt>
                <c:pt idx="32">
                  <c:v>0.63334776025843698</c:v>
                </c:pt>
                <c:pt idx="33">
                  <c:v>0.62714875892927546</c:v>
                </c:pt>
                <c:pt idx="34">
                  <c:v>0.62715503510768189</c:v>
                </c:pt>
                <c:pt idx="35">
                  <c:v>0.62954715764057356</c:v>
                </c:pt>
                <c:pt idx="36">
                  <c:v>0.62386603390524964</c:v>
                </c:pt>
                <c:pt idx="37">
                  <c:v>0.61921643803285198</c:v>
                </c:pt>
                <c:pt idx="38">
                  <c:v>0.62197788072897897</c:v>
                </c:pt>
                <c:pt idx="39">
                  <c:v>0.63659999187392891</c:v>
                </c:pt>
                <c:pt idx="40">
                  <c:v>0.63276657393028668</c:v>
                </c:pt>
                <c:pt idx="41">
                  <c:v>0.63793527134846739</c:v>
                </c:pt>
                <c:pt idx="42">
                  <c:v>0.64100653940427355</c:v>
                </c:pt>
                <c:pt idx="43">
                  <c:v>0.64402242258965681</c:v>
                </c:pt>
                <c:pt idx="44">
                  <c:v>0.64004011473170486</c:v>
                </c:pt>
                <c:pt idx="45">
                  <c:v>0.62785479070553896</c:v>
                </c:pt>
                <c:pt idx="46">
                  <c:v>0.61715364410939011</c:v>
                </c:pt>
                <c:pt idx="47">
                  <c:v>0.60558991428608655</c:v>
                </c:pt>
                <c:pt idx="48">
                  <c:v>0.59907182145743176</c:v>
                </c:pt>
                <c:pt idx="49">
                  <c:v>0.59950077346503083</c:v>
                </c:pt>
                <c:pt idx="50">
                  <c:v>0.57562656838496384</c:v>
                </c:pt>
                <c:pt idx="51">
                  <c:v>0.56789264936132255</c:v>
                </c:pt>
                <c:pt idx="52">
                  <c:v>0.5679554121951802</c:v>
                </c:pt>
                <c:pt idx="53">
                  <c:v>0.56381510214361752</c:v>
                </c:pt>
                <c:pt idx="54">
                  <c:v>0.56428237653093283</c:v>
                </c:pt>
                <c:pt idx="55">
                  <c:v>0.5755402303194902</c:v>
                </c:pt>
                <c:pt idx="56">
                  <c:v>0.58025727307252128</c:v>
                </c:pt>
                <c:pt idx="57">
                  <c:v>0.57279441427689115</c:v>
                </c:pt>
                <c:pt idx="58">
                  <c:v>0.58145946193957943</c:v>
                </c:pt>
                <c:pt idx="59">
                  <c:v>0.58214521648188844</c:v>
                </c:pt>
              </c:numCache>
            </c:numRef>
          </c:val>
          <c:smooth val="0"/>
          <c:extLst>
            <c:ext xmlns:c16="http://schemas.microsoft.com/office/drawing/2014/chart" uri="{C3380CC4-5D6E-409C-BE32-E72D297353CC}">
              <c16:uniqueId val="{00000003-DCFF-40A5-B0ED-0AE48F4EDE26}"/>
            </c:ext>
          </c:extLst>
        </c:ser>
        <c:dLbls>
          <c:showLegendKey val="0"/>
          <c:showVal val="0"/>
          <c:showCatName val="0"/>
          <c:showSerName val="0"/>
          <c:showPercent val="0"/>
          <c:showBubbleSize val="0"/>
        </c:dLbls>
        <c:smooth val="0"/>
        <c:axId val="1192072287"/>
        <c:axId val="1192072703"/>
      </c:lineChart>
      <c:catAx>
        <c:axId val="119207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072703"/>
        <c:crosses val="autoZero"/>
        <c:auto val="1"/>
        <c:lblAlgn val="ctr"/>
        <c:lblOffset val="100"/>
        <c:noMultiLvlLbl val="0"/>
      </c:catAx>
      <c:valAx>
        <c:axId val="1192072703"/>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0722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Theil Decomposition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'Dispersion Measures'!$B$38</c:f>
              <c:strCache>
                <c:ptCount val="1"/>
                <c:pt idx="0">
                  <c:v>South</c:v>
                </c:pt>
              </c:strCache>
            </c:strRef>
          </c:tx>
          <c:spPr>
            <a:solidFill>
              <a:schemeClr val="accent1"/>
            </a:solidFill>
            <a:ln>
              <a:noFill/>
            </a:ln>
            <a:effectLst/>
          </c:spPr>
          <c:cat>
            <c:strRef>
              <c:f>'Dispersion Measures'!$C$37:$BJ$37</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Measures'!$C$38:$BJ$38</c:f>
              <c:numCache>
                <c:formatCode>_-* #,##0.0000_-;\-* #,##0.0000_-;_-* "-"??_-;_-@_-</c:formatCode>
                <c:ptCount val="60"/>
                <c:pt idx="0">
                  <c:v>3.9734972838904786E-2</c:v>
                </c:pt>
                <c:pt idx="1">
                  <c:v>2.8890229698381883E-2</c:v>
                </c:pt>
                <c:pt idx="2">
                  <c:v>2.9554984201101545E-2</c:v>
                </c:pt>
                <c:pt idx="3">
                  <c:v>2.9969572917172862E-2</c:v>
                </c:pt>
                <c:pt idx="4">
                  <c:v>2.7903731890279102E-2</c:v>
                </c:pt>
                <c:pt idx="5">
                  <c:v>2.7196615623224035E-2</c:v>
                </c:pt>
                <c:pt idx="6">
                  <c:v>3.5431080851315508E-2</c:v>
                </c:pt>
                <c:pt idx="7">
                  <c:v>3.5573339194715933E-2</c:v>
                </c:pt>
                <c:pt idx="8">
                  <c:v>3.6027743458617284E-2</c:v>
                </c:pt>
                <c:pt idx="9">
                  <c:v>3.6684884580490067E-2</c:v>
                </c:pt>
                <c:pt idx="10">
                  <c:v>3.5253781319236843E-2</c:v>
                </c:pt>
                <c:pt idx="11">
                  <c:v>3.7020193209690598E-2</c:v>
                </c:pt>
                <c:pt idx="12">
                  <c:v>3.8670110115163511E-2</c:v>
                </c:pt>
                <c:pt idx="13">
                  <c:v>4.4862083365168115E-2</c:v>
                </c:pt>
                <c:pt idx="14">
                  <c:v>5.0588883778699141E-2</c:v>
                </c:pt>
                <c:pt idx="15">
                  <c:v>5.2521043221578093E-2</c:v>
                </c:pt>
                <c:pt idx="16">
                  <c:v>5.6945146276360353E-2</c:v>
                </c:pt>
                <c:pt idx="17">
                  <c:v>5.3419547252330134E-2</c:v>
                </c:pt>
                <c:pt idx="18">
                  <c:v>5.1001937224438236E-2</c:v>
                </c:pt>
                <c:pt idx="19">
                  <c:v>5.6438263102375257E-2</c:v>
                </c:pt>
                <c:pt idx="20">
                  <c:v>6.0882939101780137E-2</c:v>
                </c:pt>
                <c:pt idx="21">
                  <c:v>7.5210125366407546E-2</c:v>
                </c:pt>
                <c:pt idx="22">
                  <c:v>6.2048850772399168E-2</c:v>
                </c:pt>
                <c:pt idx="23">
                  <c:v>4.6006376786830457E-2</c:v>
                </c:pt>
                <c:pt idx="24">
                  <c:v>4.6626919713415989E-2</c:v>
                </c:pt>
                <c:pt idx="25">
                  <c:v>4.2392308435777862E-2</c:v>
                </c:pt>
                <c:pt idx="26">
                  <c:v>3.33364473415372E-2</c:v>
                </c:pt>
                <c:pt idx="27">
                  <c:v>3.330268734347757E-2</c:v>
                </c:pt>
                <c:pt idx="28">
                  <c:v>3.3750813922084483E-2</c:v>
                </c:pt>
                <c:pt idx="29">
                  <c:v>4.2316935354250046E-2</c:v>
                </c:pt>
                <c:pt idx="30">
                  <c:v>4.5241921632545673E-2</c:v>
                </c:pt>
                <c:pt idx="31">
                  <c:v>5.7907070975550354E-2</c:v>
                </c:pt>
                <c:pt idx="32">
                  <c:v>4.9398703326660076E-2</c:v>
                </c:pt>
                <c:pt idx="33">
                  <c:v>6.2825215478239119E-2</c:v>
                </c:pt>
                <c:pt idx="34">
                  <c:v>6.3626484804490679E-2</c:v>
                </c:pt>
                <c:pt idx="35">
                  <c:v>6.0478276449885439E-2</c:v>
                </c:pt>
                <c:pt idx="36">
                  <c:v>6.4779512227009728E-2</c:v>
                </c:pt>
                <c:pt idx="37">
                  <c:v>7.0025617123845349E-2</c:v>
                </c:pt>
                <c:pt idx="38">
                  <c:v>7.1220006361413318E-2</c:v>
                </c:pt>
                <c:pt idx="39">
                  <c:v>5.9236295725297365E-2</c:v>
                </c:pt>
                <c:pt idx="40">
                  <c:v>6.4726304984031202E-2</c:v>
                </c:pt>
                <c:pt idx="41">
                  <c:v>6.2776284821713074E-2</c:v>
                </c:pt>
                <c:pt idx="42">
                  <c:v>5.9951610178740497E-2</c:v>
                </c:pt>
                <c:pt idx="43">
                  <c:v>5.4598546178866225E-2</c:v>
                </c:pt>
                <c:pt idx="44">
                  <c:v>5.6674609107025598E-2</c:v>
                </c:pt>
                <c:pt idx="45">
                  <c:v>6.3812623660467027E-2</c:v>
                </c:pt>
                <c:pt idx="46">
                  <c:v>6.7981482320671582E-2</c:v>
                </c:pt>
                <c:pt idx="47">
                  <c:v>7.0185089576401058E-2</c:v>
                </c:pt>
                <c:pt idx="48">
                  <c:v>7.7235854075476923E-2</c:v>
                </c:pt>
                <c:pt idx="49">
                  <c:v>6.8765461795566044E-2</c:v>
                </c:pt>
                <c:pt idx="50">
                  <c:v>8.1520527098788015E-2</c:v>
                </c:pt>
                <c:pt idx="51">
                  <c:v>8.7989665478745538E-2</c:v>
                </c:pt>
                <c:pt idx="52">
                  <c:v>8.6102371961897045E-2</c:v>
                </c:pt>
                <c:pt idx="53">
                  <c:v>8.7475448746255152E-2</c:v>
                </c:pt>
                <c:pt idx="54">
                  <c:v>8.1782318469477616E-2</c:v>
                </c:pt>
                <c:pt idx="55">
                  <c:v>6.5616901961277022E-2</c:v>
                </c:pt>
                <c:pt idx="56">
                  <c:v>6.1082969229339777E-2</c:v>
                </c:pt>
                <c:pt idx="57">
                  <c:v>6.2350959319516029E-2</c:v>
                </c:pt>
                <c:pt idx="58">
                  <c:v>5.765031249188015E-2</c:v>
                </c:pt>
                <c:pt idx="59">
                  <c:v>5.5783712620629179E-2</c:v>
                </c:pt>
              </c:numCache>
            </c:numRef>
          </c:val>
          <c:extLst>
            <c:ext xmlns:c16="http://schemas.microsoft.com/office/drawing/2014/chart" uri="{C3380CC4-5D6E-409C-BE32-E72D297353CC}">
              <c16:uniqueId val="{00000000-124A-4982-AED5-F926DB0D301A}"/>
            </c:ext>
          </c:extLst>
        </c:ser>
        <c:ser>
          <c:idx val="1"/>
          <c:order val="1"/>
          <c:tx>
            <c:strRef>
              <c:f>'Dispersion Measures'!$B$39</c:f>
              <c:strCache>
                <c:ptCount val="1"/>
                <c:pt idx="0">
                  <c:v>North</c:v>
                </c:pt>
              </c:strCache>
            </c:strRef>
          </c:tx>
          <c:spPr>
            <a:solidFill>
              <a:schemeClr val="accent2"/>
            </a:solidFill>
            <a:ln>
              <a:noFill/>
            </a:ln>
            <a:effectLst/>
          </c:spPr>
          <c:cat>
            <c:strRef>
              <c:f>'Dispersion Measures'!$C$37:$BJ$37</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Measures'!$C$39:$BJ$39</c:f>
              <c:numCache>
                <c:formatCode>_-* #,##0.0000_-;\-* #,##0.0000_-;_-* "-"??_-;_-@_-</c:formatCode>
                <c:ptCount val="60"/>
                <c:pt idx="0">
                  <c:v>0.16061087330461896</c:v>
                </c:pt>
                <c:pt idx="1">
                  <c:v>0.19934410362407826</c:v>
                </c:pt>
                <c:pt idx="2">
                  <c:v>0.19292933800101358</c:v>
                </c:pt>
                <c:pt idx="3">
                  <c:v>0.1819990757631697</c:v>
                </c:pt>
                <c:pt idx="4">
                  <c:v>0.17511845814740368</c:v>
                </c:pt>
                <c:pt idx="5">
                  <c:v>0.17476188700357476</c:v>
                </c:pt>
                <c:pt idx="6">
                  <c:v>0.17311965268569707</c:v>
                </c:pt>
                <c:pt idx="7">
                  <c:v>0.16345486535817955</c:v>
                </c:pt>
                <c:pt idx="8">
                  <c:v>0.16513044228015997</c:v>
                </c:pt>
                <c:pt idx="9">
                  <c:v>0.15633236352674143</c:v>
                </c:pt>
                <c:pt idx="10">
                  <c:v>0.13708482692352705</c:v>
                </c:pt>
                <c:pt idx="11">
                  <c:v>0.13174518959050796</c:v>
                </c:pt>
                <c:pt idx="12">
                  <c:v>0.11375688754103636</c:v>
                </c:pt>
                <c:pt idx="13">
                  <c:v>9.382257883660805E-2</c:v>
                </c:pt>
                <c:pt idx="14">
                  <c:v>8.4942354039183807E-2</c:v>
                </c:pt>
                <c:pt idx="15">
                  <c:v>8.3584595274913409E-2</c:v>
                </c:pt>
                <c:pt idx="16">
                  <c:v>8.9324629577191977E-2</c:v>
                </c:pt>
                <c:pt idx="17">
                  <c:v>8.3315957541567121E-2</c:v>
                </c:pt>
                <c:pt idx="18">
                  <c:v>7.2773673337227993E-2</c:v>
                </c:pt>
                <c:pt idx="19">
                  <c:v>6.1783791803590789E-2</c:v>
                </c:pt>
                <c:pt idx="20">
                  <c:v>6.1403124990110684E-2</c:v>
                </c:pt>
                <c:pt idx="21">
                  <c:v>6.9745001652410182E-2</c:v>
                </c:pt>
                <c:pt idx="22">
                  <c:v>7.7356577083880704E-2</c:v>
                </c:pt>
                <c:pt idx="23">
                  <c:v>9.1357876358698464E-2</c:v>
                </c:pt>
                <c:pt idx="24">
                  <c:v>0.11027393529180367</c:v>
                </c:pt>
                <c:pt idx="25">
                  <c:v>0.11743331456883363</c:v>
                </c:pt>
                <c:pt idx="26">
                  <c:v>8.825257037974818E-2</c:v>
                </c:pt>
                <c:pt idx="27">
                  <c:v>7.4952519612594332E-2</c:v>
                </c:pt>
                <c:pt idx="28">
                  <c:v>6.9755673386975803E-2</c:v>
                </c:pt>
                <c:pt idx="29">
                  <c:v>6.260430246374557E-2</c:v>
                </c:pt>
                <c:pt idx="30">
                  <c:v>4.7787836497720983E-2</c:v>
                </c:pt>
                <c:pt idx="31">
                  <c:v>4.7127807958646996E-2</c:v>
                </c:pt>
                <c:pt idx="32">
                  <c:v>4.8124251618253441E-2</c:v>
                </c:pt>
                <c:pt idx="33">
                  <c:v>6.914241284835386E-2</c:v>
                </c:pt>
                <c:pt idx="34">
                  <c:v>7.2308854126504798E-2</c:v>
                </c:pt>
                <c:pt idx="35">
                  <c:v>6.6814127294663239E-2</c:v>
                </c:pt>
                <c:pt idx="36">
                  <c:v>4.642192587355818E-2</c:v>
                </c:pt>
                <c:pt idx="37">
                  <c:v>4.710462116611408E-2</c:v>
                </c:pt>
                <c:pt idx="38">
                  <c:v>5.6719470762217658E-2</c:v>
                </c:pt>
                <c:pt idx="39">
                  <c:v>5.9635712388208986E-2</c:v>
                </c:pt>
                <c:pt idx="40">
                  <c:v>7.1461779708349674E-2</c:v>
                </c:pt>
                <c:pt idx="41">
                  <c:v>6.9972282821843396E-2</c:v>
                </c:pt>
                <c:pt idx="42">
                  <c:v>5.9759461484548193E-2</c:v>
                </c:pt>
                <c:pt idx="43">
                  <c:v>4.3469264063338002E-2</c:v>
                </c:pt>
                <c:pt idx="44">
                  <c:v>3.6169459804635332E-2</c:v>
                </c:pt>
                <c:pt idx="45">
                  <c:v>3.3803424134901401E-2</c:v>
                </c:pt>
                <c:pt idx="46">
                  <c:v>3.3207669361541077E-2</c:v>
                </c:pt>
                <c:pt idx="47">
                  <c:v>3.0614937948024432E-2</c:v>
                </c:pt>
                <c:pt idx="48">
                  <c:v>2.9950608109454567E-2</c:v>
                </c:pt>
                <c:pt idx="49">
                  <c:v>3.0465172249940255E-2</c:v>
                </c:pt>
                <c:pt idx="50">
                  <c:v>2.9366349619576963E-2</c:v>
                </c:pt>
                <c:pt idx="51">
                  <c:v>3.0933979044685443E-2</c:v>
                </c:pt>
                <c:pt idx="52">
                  <c:v>3.978018953429268E-2</c:v>
                </c:pt>
                <c:pt idx="53">
                  <c:v>4.0481235806500294E-2</c:v>
                </c:pt>
                <c:pt idx="54">
                  <c:v>4.0590280065791177E-2</c:v>
                </c:pt>
                <c:pt idx="55">
                  <c:v>5.665686227059448E-2</c:v>
                </c:pt>
                <c:pt idx="56">
                  <c:v>5.2562851728562891E-2</c:v>
                </c:pt>
                <c:pt idx="57">
                  <c:v>5.2381430021911105E-2</c:v>
                </c:pt>
                <c:pt idx="58">
                  <c:v>5.2408500324445641E-2</c:v>
                </c:pt>
                <c:pt idx="59">
                  <c:v>6.0411839158646202E-2</c:v>
                </c:pt>
              </c:numCache>
            </c:numRef>
          </c:val>
          <c:extLst>
            <c:ext xmlns:c16="http://schemas.microsoft.com/office/drawing/2014/chart" uri="{C3380CC4-5D6E-409C-BE32-E72D297353CC}">
              <c16:uniqueId val="{00000001-124A-4982-AED5-F926DB0D301A}"/>
            </c:ext>
          </c:extLst>
        </c:ser>
        <c:ser>
          <c:idx val="3"/>
          <c:order val="3"/>
          <c:tx>
            <c:strRef>
              <c:f>'Dispersion Measures'!$B$40</c:f>
              <c:strCache>
                <c:ptCount val="1"/>
                <c:pt idx="0">
                  <c:v> Interbloc </c:v>
                </c:pt>
              </c:strCache>
            </c:strRef>
          </c:tx>
          <c:spPr>
            <a:solidFill>
              <a:schemeClr val="accent4"/>
            </a:solidFill>
            <a:ln>
              <a:noFill/>
            </a:ln>
            <a:effectLst/>
          </c:spPr>
          <c:cat>
            <c:strRef>
              <c:f>'Dispersion Measures'!$C$37:$BJ$37</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Measures'!$C$40:$BJ$40</c:f>
              <c:numCache>
                <c:formatCode>_-* #,##0.0000_-;\-* #,##0.0000_-;_-* "-"??_-;_-@_-</c:formatCode>
                <c:ptCount val="60"/>
                <c:pt idx="0">
                  <c:v>0.52188436896577417</c:v>
                </c:pt>
                <c:pt idx="1">
                  <c:v>0.53872500127167378</c:v>
                </c:pt>
                <c:pt idx="2">
                  <c:v>0.54390683680953389</c:v>
                </c:pt>
                <c:pt idx="3">
                  <c:v>0.53744725389844605</c:v>
                </c:pt>
                <c:pt idx="4">
                  <c:v>0.54604484608430759</c:v>
                </c:pt>
                <c:pt idx="5">
                  <c:v>0.5569166407936279</c:v>
                </c:pt>
                <c:pt idx="6">
                  <c:v>0.58453262738379863</c:v>
                </c:pt>
                <c:pt idx="7">
                  <c:v>0.59282487927412952</c:v>
                </c:pt>
                <c:pt idx="8">
                  <c:v>0.60482723940430816</c:v>
                </c:pt>
                <c:pt idx="9">
                  <c:v>0.6076741759093458</c:v>
                </c:pt>
                <c:pt idx="10">
                  <c:v>0.6174306618266725</c:v>
                </c:pt>
                <c:pt idx="11">
                  <c:v>0.63130534357879331</c:v>
                </c:pt>
                <c:pt idx="12">
                  <c:v>0.65145362014031483</c:v>
                </c:pt>
                <c:pt idx="13">
                  <c:v>0.64596999584933212</c:v>
                </c:pt>
                <c:pt idx="14">
                  <c:v>0.61276537217491833</c:v>
                </c:pt>
                <c:pt idx="15">
                  <c:v>0.62343080164301412</c:v>
                </c:pt>
                <c:pt idx="16">
                  <c:v>0.62901679982855452</c:v>
                </c:pt>
                <c:pt idx="17">
                  <c:v>0.64306384415820417</c:v>
                </c:pt>
                <c:pt idx="18">
                  <c:v>0.66780747171783617</c:v>
                </c:pt>
                <c:pt idx="19">
                  <c:v>0.66342517490136965</c:v>
                </c:pt>
                <c:pt idx="20">
                  <c:v>0.65139086504995869</c:v>
                </c:pt>
                <c:pt idx="21">
                  <c:v>0.61363337667730777</c:v>
                </c:pt>
                <c:pt idx="22">
                  <c:v>0.64427504539373459</c:v>
                </c:pt>
                <c:pt idx="23">
                  <c:v>0.70710100569404577</c:v>
                </c:pt>
                <c:pt idx="24">
                  <c:v>0.73518203948961425</c:v>
                </c:pt>
                <c:pt idx="25">
                  <c:v>0.75843691039919492</c:v>
                </c:pt>
                <c:pt idx="26">
                  <c:v>0.82487053329540738</c:v>
                </c:pt>
                <c:pt idx="27">
                  <c:v>0.84504998972305068</c:v>
                </c:pt>
                <c:pt idx="28">
                  <c:v>0.86677122977275711</c:v>
                </c:pt>
                <c:pt idx="29">
                  <c:v>0.85694562027981391</c:v>
                </c:pt>
                <c:pt idx="30">
                  <c:v>0.86098544809133637</c:v>
                </c:pt>
                <c:pt idx="31">
                  <c:v>0.85790150161326428</c:v>
                </c:pt>
                <c:pt idx="32">
                  <c:v>0.89612723230145797</c:v>
                </c:pt>
                <c:pt idx="33">
                  <c:v>0.87713177481857219</c:v>
                </c:pt>
                <c:pt idx="34">
                  <c:v>0.87768115168187044</c:v>
                </c:pt>
                <c:pt idx="35">
                  <c:v>0.88566286342460754</c:v>
                </c:pt>
                <c:pt idx="36">
                  <c:v>0.86896119690139462</c:v>
                </c:pt>
                <c:pt idx="37">
                  <c:v>0.85578644164162565</c:v>
                </c:pt>
                <c:pt idx="38">
                  <c:v>0.86491904823118926</c:v>
                </c:pt>
                <c:pt idx="39">
                  <c:v>0.91050161838959331</c:v>
                </c:pt>
                <c:pt idx="40">
                  <c:v>0.89945427930882649</c:v>
                </c:pt>
                <c:pt idx="41">
                  <c:v>0.91632141292669123</c:v>
                </c:pt>
                <c:pt idx="42">
                  <c:v>0.92678368954487289</c:v>
                </c:pt>
                <c:pt idx="43">
                  <c:v>0.93714302196230137</c:v>
                </c:pt>
                <c:pt idx="44">
                  <c:v>0.92553226292164914</c:v>
                </c:pt>
                <c:pt idx="45">
                  <c:v>0.88920843170525821</c:v>
                </c:pt>
                <c:pt idx="46">
                  <c:v>0.85851054160078022</c:v>
                </c:pt>
                <c:pt idx="47">
                  <c:v>0.82630955579936027</c:v>
                </c:pt>
                <c:pt idx="48">
                  <c:v>0.80900975272426601</c:v>
                </c:pt>
                <c:pt idx="49">
                  <c:v>0.81130963037499537</c:v>
                </c:pt>
                <c:pt idx="50">
                  <c:v>0.74800316726279104</c:v>
                </c:pt>
                <c:pt idx="51">
                  <c:v>0.7291864839501585</c:v>
                </c:pt>
                <c:pt idx="52">
                  <c:v>0.73068206447403328</c:v>
                </c:pt>
                <c:pt idx="53">
                  <c:v>0.72137225527590387</c:v>
                </c:pt>
                <c:pt idx="54">
                  <c:v>0.7238677633493823</c:v>
                </c:pt>
                <c:pt idx="55">
                  <c:v>0.75441239998863896</c:v>
                </c:pt>
                <c:pt idx="56">
                  <c:v>0.76826991354103336</c:v>
                </c:pt>
                <c:pt idx="57">
                  <c:v>0.75014791265022684</c:v>
                </c:pt>
                <c:pt idx="58">
                  <c:v>0.77452096225647604</c:v>
                </c:pt>
                <c:pt idx="59">
                  <c:v>0.77794794595525807</c:v>
                </c:pt>
              </c:numCache>
            </c:numRef>
          </c:val>
          <c:extLst>
            <c:ext xmlns:c16="http://schemas.microsoft.com/office/drawing/2014/chart" uri="{C3380CC4-5D6E-409C-BE32-E72D297353CC}">
              <c16:uniqueId val="{00000003-124A-4982-AED5-F926DB0D301A}"/>
            </c:ext>
          </c:extLst>
        </c:ser>
        <c:dLbls>
          <c:showLegendKey val="0"/>
          <c:showVal val="0"/>
          <c:showCatName val="0"/>
          <c:showSerName val="0"/>
          <c:showPercent val="0"/>
          <c:showBubbleSize val="0"/>
        </c:dLbls>
        <c:axId val="1106749744"/>
        <c:axId val="1106741008"/>
        <c:extLst>
          <c:ext xmlns:c15="http://schemas.microsoft.com/office/drawing/2012/chart" uri="{02D57815-91ED-43cb-92C2-25804820EDAC}">
            <c15:filteredAreaSeries>
              <c15:ser>
                <c:idx val="2"/>
                <c:order val="2"/>
                <c:tx>
                  <c:strRef>
                    <c:extLst>
                      <c:ext uri="{02D57815-91ED-43cb-92C2-25804820EDAC}">
                        <c15:formulaRef>
                          <c15:sqref>Theil!#REF!</c15:sqref>
                        </c15:formulaRef>
                      </c:ext>
                    </c:extLst>
                    <c:strCache>
                      <c:ptCount val="1"/>
                      <c:pt idx="0">
                        <c:v>#REF!</c:v>
                      </c:pt>
                    </c:strCache>
                  </c:strRef>
                </c:tx>
                <c:spPr>
                  <a:solidFill>
                    <a:schemeClr val="accent3"/>
                  </a:solidFill>
                  <a:ln w="25400">
                    <a:noFill/>
                  </a:ln>
                  <a:effectLst/>
                </c:spPr>
                <c:cat>
                  <c:strRef>
                    <c:extLst>
                      <c:ext uri="{02D57815-91ED-43cb-92C2-25804820EDAC}">
                        <c15:formulaRef>
                          <c15:sqref>'Dispersion Measures'!$C$37:$BJ$37</c15:sqref>
                        </c15:formulaRef>
                      </c:ext>
                    </c:extLst>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extLst>
                      <c:ext uri="{02D57815-91ED-43cb-92C2-25804820EDAC}">
                        <c15:formulaRef>
                          <c15:sqref>Theil!#REF!</c15:sqref>
                        </c15:formulaRef>
                      </c:ext>
                    </c:extLst>
                    <c:numCache>
                      <c:formatCode>General</c:formatCode>
                      <c:ptCount val="1"/>
                      <c:pt idx="0">
                        <c:v>1</c:v>
                      </c:pt>
                    </c:numCache>
                  </c:numRef>
                </c:val>
                <c:extLst>
                  <c:ext xmlns:c16="http://schemas.microsoft.com/office/drawing/2014/chart" uri="{C3380CC4-5D6E-409C-BE32-E72D297353CC}">
                    <c16:uniqueId val="{00000002-124A-4982-AED5-F926DB0D301A}"/>
                  </c:ext>
                </c:extLst>
              </c15:ser>
            </c15:filteredAreaSeries>
          </c:ext>
        </c:extLst>
      </c:areaChart>
      <c:catAx>
        <c:axId val="1106749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1008"/>
        <c:crosses val="autoZero"/>
        <c:auto val="1"/>
        <c:lblAlgn val="ctr"/>
        <c:lblOffset val="100"/>
        <c:noMultiLvlLbl val="0"/>
      </c:catAx>
      <c:valAx>
        <c:axId val="1106741008"/>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97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Measures'!$A$72</c:f>
              <c:strCache>
                <c:ptCount val="1"/>
                <c:pt idx="0">
                  <c:v>IQR</c:v>
                </c:pt>
              </c:strCache>
            </c:strRef>
          </c:tx>
          <c:spPr>
            <a:ln w="31750" cap="rnd">
              <a:solidFill>
                <a:schemeClr val="accent1"/>
              </a:solidFill>
              <a:round/>
            </a:ln>
            <a:effectLst/>
          </c:spPr>
          <c:marker>
            <c:symbol val="circle"/>
            <c:size val="17"/>
            <c:spPr>
              <a:solidFill>
                <a:schemeClr val="accent1"/>
              </a:solidFill>
              <a:ln>
                <a:noFill/>
              </a:ln>
              <a:effectLst/>
            </c:spPr>
          </c:marker>
          <c:cat>
            <c:strRef>
              <c:f>'Dispersion Measures'!$B$71:$BI$71</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Measures'!$B$72:$BI$72</c:f>
              <c:numCache>
                <c:formatCode>General</c:formatCode>
                <c:ptCount val="60"/>
                <c:pt idx="0">
                  <c:v>1.5384482635666779</c:v>
                </c:pt>
                <c:pt idx="1">
                  <c:v>1.3801517631985898</c:v>
                </c:pt>
                <c:pt idx="2">
                  <c:v>1.4708299032574559</c:v>
                </c:pt>
                <c:pt idx="3">
                  <c:v>1.6919639433359888</c:v>
                </c:pt>
                <c:pt idx="4">
                  <c:v>0.8724180027019286</c:v>
                </c:pt>
                <c:pt idx="5">
                  <c:v>1.0746466677260058</c:v>
                </c:pt>
                <c:pt idx="6">
                  <c:v>1.5348760485851298</c:v>
                </c:pt>
                <c:pt idx="7">
                  <c:v>1.383427022192705</c:v>
                </c:pt>
                <c:pt idx="8">
                  <c:v>1.2973472669677781</c:v>
                </c:pt>
                <c:pt idx="9">
                  <c:v>1.2797582442877411</c:v>
                </c:pt>
                <c:pt idx="10">
                  <c:v>1.2032435471872482</c:v>
                </c:pt>
                <c:pt idx="11">
                  <c:v>1.2338380365184503</c:v>
                </c:pt>
                <c:pt idx="12">
                  <c:v>1.6896994237839367</c:v>
                </c:pt>
                <c:pt idx="13">
                  <c:v>1.5584453962255806</c:v>
                </c:pt>
                <c:pt idx="14">
                  <c:v>1.7529228623380799</c:v>
                </c:pt>
                <c:pt idx="15">
                  <c:v>1.870456221506442</c:v>
                </c:pt>
                <c:pt idx="16">
                  <c:v>2.3514897876754732</c:v>
                </c:pt>
                <c:pt idx="17">
                  <c:v>2.1325418831849494</c:v>
                </c:pt>
                <c:pt idx="18">
                  <c:v>1.9805939349131787</c:v>
                </c:pt>
                <c:pt idx="19">
                  <c:v>2.1843704038174687</c:v>
                </c:pt>
                <c:pt idx="20">
                  <c:v>2.1890506093261699</c:v>
                </c:pt>
                <c:pt idx="21">
                  <c:v>3.3307988599698573</c:v>
                </c:pt>
                <c:pt idx="22">
                  <c:v>3.9764190265602455</c:v>
                </c:pt>
                <c:pt idx="23">
                  <c:v>2.8004027765014388</c:v>
                </c:pt>
                <c:pt idx="24">
                  <c:v>2.1071239454741</c:v>
                </c:pt>
                <c:pt idx="25">
                  <c:v>2.3767937491403419</c:v>
                </c:pt>
                <c:pt idx="26">
                  <c:v>1.7751393835317022</c:v>
                </c:pt>
                <c:pt idx="27">
                  <c:v>1.7370742819659015</c:v>
                </c:pt>
                <c:pt idx="28">
                  <c:v>1.6604766776277147</c:v>
                </c:pt>
                <c:pt idx="29">
                  <c:v>1.8823175826525702</c:v>
                </c:pt>
                <c:pt idx="30">
                  <c:v>1.6729630005040816</c:v>
                </c:pt>
                <c:pt idx="31">
                  <c:v>2.5587554715040266</c:v>
                </c:pt>
                <c:pt idx="32">
                  <c:v>2.7049099933551357</c:v>
                </c:pt>
                <c:pt idx="33">
                  <c:v>3.8604620143177035</c:v>
                </c:pt>
                <c:pt idx="34">
                  <c:v>2.1375033559337071</c:v>
                </c:pt>
                <c:pt idx="35">
                  <c:v>2.7492825609352636</c:v>
                </c:pt>
                <c:pt idx="36">
                  <c:v>2.5306647164990772</c:v>
                </c:pt>
                <c:pt idx="37">
                  <c:v>2.9661341965842252</c:v>
                </c:pt>
                <c:pt idx="38">
                  <c:v>1.4268868827489491</c:v>
                </c:pt>
                <c:pt idx="39">
                  <c:v>2.493778828418129</c:v>
                </c:pt>
                <c:pt idx="40">
                  <c:v>1.4042274794184164</c:v>
                </c:pt>
                <c:pt idx="41">
                  <c:v>1.1950672837864933</c:v>
                </c:pt>
                <c:pt idx="42">
                  <c:v>1.2813860752080226</c:v>
                </c:pt>
                <c:pt idx="43">
                  <c:v>1.0158463966604292</c:v>
                </c:pt>
                <c:pt idx="44">
                  <c:v>0.75110914449521005</c:v>
                </c:pt>
                <c:pt idx="45">
                  <c:v>0.73141506345738116</c:v>
                </c:pt>
                <c:pt idx="46">
                  <c:v>1.3350764712310215</c:v>
                </c:pt>
                <c:pt idx="47">
                  <c:v>1.0409342875936516</c:v>
                </c:pt>
                <c:pt idx="48">
                  <c:v>1.2900471536701925</c:v>
                </c:pt>
                <c:pt idx="49">
                  <c:v>0.9952156026768989</c:v>
                </c:pt>
                <c:pt idx="50">
                  <c:v>0.88822614304438152</c:v>
                </c:pt>
                <c:pt idx="51">
                  <c:v>1.1179387062120367</c:v>
                </c:pt>
                <c:pt idx="52">
                  <c:v>0.91418279285561299</c:v>
                </c:pt>
                <c:pt idx="53">
                  <c:v>1.0795920594133059</c:v>
                </c:pt>
                <c:pt idx="54">
                  <c:v>1.2103176482457727</c:v>
                </c:pt>
                <c:pt idx="55">
                  <c:v>0.74095846387510989</c:v>
                </c:pt>
                <c:pt idx="56">
                  <c:v>0.69485272822876187</c:v>
                </c:pt>
                <c:pt idx="57">
                  <c:v>0.6759716524236159</c:v>
                </c:pt>
                <c:pt idx="58">
                  <c:v>0.75625221541427723</c:v>
                </c:pt>
                <c:pt idx="59">
                  <c:v>0.69977999288352499</c:v>
                </c:pt>
              </c:numCache>
            </c:numRef>
          </c:val>
          <c:smooth val="0"/>
          <c:extLst>
            <c:ext xmlns:c16="http://schemas.microsoft.com/office/drawing/2014/chart" uri="{C3380CC4-5D6E-409C-BE32-E72D297353CC}">
              <c16:uniqueId val="{00000000-2B3E-46EF-9A61-4979D0255FFB}"/>
            </c:ext>
          </c:extLst>
        </c:ser>
        <c:dLbls>
          <c:showLegendKey val="0"/>
          <c:showVal val="0"/>
          <c:showCatName val="0"/>
          <c:showSerName val="0"/>
          <c:showPercent val="0"/>
          <c:showBubbleSize val="0"/>
        </c:dLbls>
        <c:marker val="1"/>
        <c:smooth val="0"/>
        <c:axId val="2106736800"/>
        <c:axId val="2106744704"/>
      </c:lineChart>
      <c:catAx>
        <c:axId val="210673680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106744704"/>
        <c:crosses val="autoZero"/>
        <c:auto val="1"/>
        <c:lblAlgn val="ctr"/>
        <c:lblOffset val="100"/>
        <c:noMultiLvlLbl val="0"/>
      </c:catAx>
      <c:valAx>
        <c:axId val="210674470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106736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2720B27-1D83-44D1-8CDC-B22D65EF6C1F}">
  <sheetPr codeName="Chart6"/>
  <sheetViews>
    <sheetView zoomScale="11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85C4949-1D4D-49A4-95FB-7166052D8C7A}">
  <sheetPr codeName="Chart7"/>
  <sheetViews>
    <sheetView zoomScale="117"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73B49C4-7209-4B34-B201-5F44DAA80028}">
  <sheetPr codeName="Chart8"/>
  <sheetViews>
    <sheetView zoomScale="117"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F478FBF-AA8D-4765-9E05-9977799FEE45}">
  <sheetPr codeName="Chart5"/>
  <sheetViews>
    <sheetView zoomScale="117" workbookViewId="0" zoomToFit="1"/>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BFB7567-98D3-4329-B5C4-AD3CF9EFD4C7}">
  <sheetPr codeName="Chart10"/>
  <sheetViews>
    <sheetView tabSelected="1"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223D304B-DEB5-41ED-88B6-DC95685E601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3FE73E4F-3667-4CB9-AF4D-0AF38A70CF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013881FD-7D91-446C-991C-44137481955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9CC4A104-4975-4491-B992-540F5D12249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F156D9C5-5409-40C3-8CE7-91E73C7288C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ree/source/repos/MACROHISTORY/REPORTS/International%20Inequality%20Dispersion%2015.03.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free/Documents/Github/MacroEconomic%20History/DATA/VALIDATIONS/Theil/Theil%20Comparison%206%20December%2020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ree/source/repos/MACROHISTORY/REPORTS/Working%20Paper%202%20(inequality)%20Complete%20with%20Offline%20Dataset,%20Charts,%20Tables,%20Indexed%20and%20Annotated%2017.04.201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free/AppData/Roaming/Microsoft/AddIns/Test%20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Pop"/>
      <sheetName val="Src UN GDP"/>
      <sheetName val="Src MADDISON PPP"/>
      <sheetName val="Src PENN GDP"/>
      <sheetName val="SRC Quintiles"/>
      <sheetName val="Calc USD"/>
      <sheetName val="Dispersion PENN GDP-Cap"/>
      <sheetName val="Dispersion UN GD-Cap"/>
      <sheetName val="Table x top quartile"/>
      <sheetName val="Dispersion UN Ratios"/>
      <sheetName val="Dispersion Charts Calc"/>
      <sheetName val="Dispersion Weighted"/>
      <sheetName val="Table 1"/>
      <sheetName val="Dispersion PPP UN Geography"/>
      <sheetName val="Price Levels"/>
      <sheetName val="NORTH ADVANTAGE"/>
      <sheetName val="Price Levels Regressions"/>
      <sheetName val="CH REGRESS"/>
      <sheetName val="CH 1970"/>
      <sheetName val="CH1980"/>
      <sheetName val="CH 1990"/>
      <sheetName val="CH2000"/>
      <sheetName val="CH2010"/>
      <sheetName val="CH2016"/>
      <sheetName val="CHART SOUTH UNWEIGHTED IQ RANGE"/>
      <sheetName val="CHART PPP MAXMIN"/>
      <sheetName val="CHART SOUTH INTERQUARTILE"/>
      <sheetName val="CHART SOUTH MAXMIN QUARTILES"/>
      <sheetName val="CHART SOUTH QUART + MIN"/>
      <sheetName val="CHART NORTH QUART+MAXMIN"/>
      <sheetName val="CHART NORTH MAX-MIN"/>
      <sheetName val="CHART ALL MAX-MIN"/>
      <sheetName val="CHART NORTH INTERQUARTILE"/>
      <sheetName val="CHART MAXMIN SOUTH"/>
      <sheetName val="CH Q1-Q4 UN"/>
      <sheetName val="CH dispersion measures"/>
    </sheetNames>
    <sheetDataSet>
      <sheetData sheetId="0"/>
      <sheetData sheetId="1"/>
      <sheetData sheetId="2"/>
      <sheetData sheetId="3"/>
      <sheetData sheetId="4"/>
      <sheetData sheetId="5"/>
      <sheetData sheetId="6"/>
      <sheetData sheetId="7"/>
      <sheetData sheetId="8"/>
      <sheetData sheetId="9"/>
      <sheetData sheetId="10"/>
      <sheetData sheetId="11">
        <row r="5">
          <cell r="AZ5" t="str">
            <v>China Mainland</v>
          </cell>
          <cell r="BA5">
            <v>11.931175348929909</v>
          </cell>
          <cell r="BB5">
            <v>2.1063052556712782</v>
          </cell>
          <cell r="BC5">
            <v>3.1714588888523361</v>
          </cell>
          <cell r="BD5">
            <v>1.7860879108751808</v>
          </cell>
        </row>
        <row r="6">
          <cell r="AZ6" t="str">
            <v>Australia</v>
          </cell>
          <cell r="BA6">
            <v>1.4071041526480221</v>
          </cell>
          <cell r="BB6">
            <v>0.84910818011412748</v>
          </cell>
          <cell r="BC6">
            <v>1.8262946337456429</v>
          </cell>
          <cell r="BD6">
            <v>0.90738663231617955</v>
          </cell>
        </row>
        <row r="7">
          <cell r="AZ7" t="str">
            <v>Austria</v>
          </cell>
          <cell r="BA7">
            <v>1.0341907152930558</v>
          </cell>
          <cell r="BB7">
            <v>0.85486484835687704</v>
          </cell>
          <cell r="BC7">
            <v>1.2727478552487208</v>
          </cell>
          <cell r="BD7">
            <v>0.95051899716112331</v>
          </cell>
        </row>
        <row r="8">
          <cell r="AZ8" t="str">
            <v>Belgium</v>
          </cell>
          <cell r="BA8">
            <v>0.97615699653916144</v>
          </cell>
          <cell r="BB8">
            <v>0.84615387313684032</v>
          </cell>
          <cell r="BC8">
            <v>1.2742700119579475</v>
          </cell>
          <cell r="BD8">
            <v>0.90533406515467862</v>
          </cell>
        </row>
        <row r="9">
          <cell r="AZ9" t="str">
            <v>Canada</v>
          </cell>
          <cell r="BA9">
            <v>0.97514739682138962</v>
          </cell>
          <cell r="BB9">
            <v>0.84697933767597644</v>
          </cell>
          <cell r="BC9">
            <v>1.3011260516331467</v>
          </cell>
          <cell r="BD9">
            <v>0.88486715999393672</v>
          </cell>
        </row>
        <row r="10">
          <cell r="AZ10" t="str">
            <v>Cyprus</v>
          </cell>
          <cell r="BA10">
            <v>1.0736421642137974</v>
          </cell>
          <cell r="BB10">
            <v>1.0036262973878332</v>
          </cell>
          <cell r="BC10">
            <v>1.4218840920265954</v>
          </cell>
          <cell r="BD10">
            <v>0.7523559000723461</v>
          </cell>
        </row>
        <row r="11">
          <cell r="AZ11" t="str">
            <v>Denmark</v>
          </cell>
          <cell r="BA11">
            <v>0.99687595789198979</v>
          </cell>
          <cell r="BB11">
            <v>0.86083164123641254</v>
          </cell>
          <cell r="BC11">
            <v>1.2585191668876685</v>
          </cell>
          <cell r="BD11">
            <v>0.92015939801917324</v>
          </cell>
        </row>
        <row r="12">
          <cell r="AZ12" t="str">
            <v>Finland</v>
          </cell>
          <cell r="BA12">
            <v>0.74597039661547693</v>
          </cell>
          <cell r="BB12">
            <v>0.64307600555905042</v>
          </cell>
          <cell r="BC12">
            <v>1.2686024710964217</v>
          </cell>
          <cell r="BD12">
            <v>0.91439477251324486</v>
          </cell>
        </row>
        <row r="13">
          <cell r="AZ13" t="str">
            <v>France</v>
          </cell>
          <cell r="BA13">
            <v>0.82714580769224755</v>
          </cell>
          <cell r="BB13">
            <v>0.77008741949753223</v>
          </cell>
          <cell r="BC13">
            <v>1.2238480683663349</v>
          </cell>
          <cell r="BD13">
            <v>0.87763621862548469</v>
          </cell>
        </row>
        <row r="14">
          <cell r="AZ14" t="str">
            <v>Germany</v>
          </cell>
          <cell r="BA14">
            <v>0.93770970893429617</v>
          </cell>
          <cell r="BB14">
            <v>0.80954530542247727</v>
          </cell>
          <cell r="BC14">
            <v>1.1777271302045056</v>
          </cell>
          <cell r="BD14">
            <v>0.98351859284252729</v>
          </cell>
        </row>
        <row r="15">
          <cell r="AZ15" t="str">
            <v>Iceland</v>
          </cell>
          <cell r="BA15">
            <v>1.3549753797271757</v>
          </cell>
          <cell r="BB15">
            <v>0.96693313413076631</v>
          </cell>
          <cell r="BC15">
            <v>0.88695883392198882</v>
          </cell>
          <cell r="BD15">
            <v>1.5799069076552963</v>
          </cell>
        </row>
        <row r="16">
          <cell r="AZ16" t="str">
            <v>Ireland</v>
          </cell>
          <cell r="BA16">
            <v>2.3256654772908836</v>
          </cell>
          <cell r="BB16">
            <v>1.4116151636225509</v>
          </cell>
          <cell r="BC16">
            <v>1.2328311306831357</v>
          </cell>
          <cell r="BD16">
            <v>1.3363719114959356</v>
          </cell>
        </row>
        <row r="17">
          <cell r="AZ17" t="str">
            <v>Israel</v>
          </cell>
          <cell r="BA17">
            <v>1.5063517650578806</v>
          </cell>
          <cell r="BB17">
            <v>1.2655883578894078</v>
          </cell>
          <cell r="BC17">
            <v>0.95700768212956899</v>
          </cell>
          <cell r="BD17">
            <v>1.2437082225214233</v>
          </cell>
        </row>
        <row r="18">
          <cell r="AZ18" t="str">
            <v>Italy</v>
          </cell>
          <cell r="BA18">
            <v>0.73546065535271588</v>
          </cell>
          <cell r="BB18">
            <v>0.72492428173930989</v>
          </cell>
          <cell r="BC18">
            <v>1.194736080985384</v>
          </cell>
          <cell r="BD18">
            <v>0.84917034249774448</v>
          </cell>
        </row>
        <row r="19">
          <cell r="AZ19" t="str">
            <v>Japan</v>
          </cell>
          <cell r="BA19">
            <v>0.70646054279830339</v>
          </cell>
          <cell r="BB19">
            <v>1.1478810293510939</v>
          </cell>
          <cell r="BC19">
            <v>0.77089402465012646</v>
          </cell>
          <cell r="BD19">
            <v>0.79835555738857999</v>
          </cell>
        </row>
        <row r="20">
          <cell r="AZ20">
            <v>0</v>
          </cell>
          <cell r="BA20" t="e">
            <v>#DIV/0!</v>
          </cell>
          <cell r="BB20" t="e">
            <v>#DIV/0!</v>
          </cell>
          <cell r="BC20" t="e">
            <v>#DIV/0!</v>
          </cell>
          <cell r="BD20" t="e">
            <v>#DIV/0!</v>
          </cell>
        </row>
        <row r="21">
          <cell r="AZ21" t="str">
            <v>Netherlands</v>
          </cell>
          <cell r="BA21">
            <v>1.066495495118837</v>
          </cell>
          <cell r="BB21">
            <v>0.92507850295720861</v>
          </cell>
          <cell r="BC21">
            <v>1.295720271996363</v>
          </cell>
          <cell r="BD21">
            <v>0.88975243027593975</v>
          </cell>
        </row>
        <row r="22">
          <cell r="AZ22" t="str">
            <v>New Zealand</v>
          </cell>
          <cell r="BA22">
            <v>1.4900226465140474</v>
          </cell>
          <cell r="BB22">
            <v>0.79398100481562461</v>
          </cell>
          <cell r="BC22">
            <v>1.5894272312548783</v>
          </cell>
          <cell r="BD22">
            <v>1.1807069164699107</v>
          </cell>
        </row>
        <row r="23">
          <cell r="AZ23" t="str">
            <v>Norway</v>
          </cell>
          <cell r="BA23">
            <v>1.2380928245738634</v>
          </cell>
          <cell r="BB23">
            <v>1.0123002486733685</v>
          </cell>
          <cell r="BC23">
            <v>1.5401084615528597</v>
          </cell>
          <cell r="BD23">
            <v>0.79413174334844538</v>
          </cell>
        </row>
        <row r="24">
          <cell r="AZ24" t="str">
            <v>Portugal</v>
          </cell>
          <cell r="BA24">
            <v>1.1081779342281051</v>
          </cell>
          <cell r="BB24">
            <v>1.0842050793119991</v>
          </cell>
          <cell r="BC24">
            <v>1.3070344656025428</v>
          </cell>
          <cell r="BD24">
            <v>0.78200768501943252</v>
          </cell>
        </row>
        <row r="25">
          <cell r="AZ25" t="str">
            <v>Spain</v>
          </cell>
          <cell r="BA25">
            <v>0.96302019355923918</v>
          </cell>
          <cell r="BB25">
            <v>0.80425719486342861</v>
          </cell>
          <cell r="BC25">
            <v>1.4006278932548377</v>
          </cell>
          <cell r="BD25">
            <v>0.85490462806878675</v>
          </cell>
        </row>
        <row r="26">
          <cell r="AZ26" t="str">
            <v>Sweden</v>
          </cell>
          <cell r="BA26">
            <v>0.83418313830473867</v>
          </cell>
          <cell r="BB26">
            <v>0.73154863291569294</v>
          </cell>
          <cell r="BC26">
            <v>1.1858687908218599</v>
          </cell>
          <cell r="BD26">
            <v>0.96157145908189834</v>
          </cell>
        </row>
        <row r="27">
          <cell r="AZ27" t="str">
            <v>Switzerland</v>
          </cell>
          <cell r="BA27">
            <v>0.96361317055608331</v>
          </cell>
          <cell r="BB27">
            <v>0.73888228087799401</v>
          </cell>
          <cell r="BC27">
            <v>1.3098053215677046</v>
          </cell>
          <cell r="BD27">
            <v>0.99568215774264679</v>
          </cell>
        </row>
        <row r="28">
          <cell r="AZ28" t="str">
            <v>United Kingdom</v>
          </cell>
          <cell r="BA28">
            <v>0.96821421138739505</v>
          </cell>
          <cell r="BB28">
            <v>1.1050230600059556</v>
          </cell>
          <cell r="BC28">
            <v>0.92172816511075295</v>
          </cell>
          <cell r="BD28">
            <v>0.95059878180595614</v>
          </cell>
        </row>
        <row r="29">
          <cell r="AZ29" t="str">
            <v>United States</v>
          </cell>
          <cell r="BA29">
            <v>1.1826465741585974</v>
          </cell>
          <cell r="BB29">
            <v>1.1647045208640456</v>
          </cell>
          <cell r="BC29">
            <v>0.88695953479521117</v>
          </cell>
          <cell r="BD29">
            <v>1.1448152609066593</v>
          </cell>
        </row>
        <row r="30">
          <cell r="AZ30" t="str">
            <v>Greece</v>
          </cell>
          <cell r="BA30">
            <v>0.88264897655726127</v>
          </cell>
          <cell r="BB30">
            <v>0.93336425358999398</v>
          </cell>
          <cell r="BC30">
            <v>1.4699157495877413</v>
          </cell>
          <cell r="BD30">
            <v>0.64334571796603357</v>
          </cell>
        </row>
        <row r="31">
          <cell r="AZ31">
            <v>0</v>
          </cell>
          <cell r="BA31" t="e">
            <v>#DIV/0!</v>
          </cell>
          <cell r="BB31" t="e">
            <v>#DIV/0!</v>
          </cell>
          <cell r="BC31" t="e">
            <v>#DIV/0!</v>
          </cell>
          <cell r="BD31" t="e">
            <v>#DIV/0!</v>
          </cell>
        </row>
        <row r="32">
          <cell r="AZ32" t="str">
            <v>Malta</v>
          </cell>
          <cell r="BA32">
            <v>1.8751643620702008</v>
          </cell>
          <cell r="BB32">
            <v>1.0636715544916735</v>
          </cell>
          <cell r="BC32">
            <v>1.3703309277608018</v>
          </cell>
          <cell r="BD32">
            <v>1.2864897658729839</v>
          </cell>
        </row>
        <row r="33">
          <cell r="AZ33" t="str">
            <v>Singapore</v>
          </cell>
          <cell r="BA33">
            <v>2.0356167628075061</v>
          </cell>
          <cell r="BB33">
            <v>1.4272200348586506</v>
          </cell>
          <cell r="BC33">
            <v>1.2662198918384344</v>
          </cell>
          <cell r="BD33">
            <v>1.1264085883856438</v>
          </cell>
        </row>
        <row r="34">
          <cell r="AZ34" t="str">
            <v>South Korea</v>
          </cell>
          <cell r="BA34">
            <v>2.1473899679374227</v>
          </cell>
          <cell r="BB34">
            <v>1.3731092748696769</v>
          </cell>
          <cell r="BC34">
            <v>1.2363906910859026</v>
          </cell>
          <cell r="BD34">
            <v>1.2648822338377816</v>
          </cell>
        </row>
        <row r="36">
          <cell r="AZ36" t="str">
            <v>Argentina</v>
          </cell>
          <cell r="BA36">
            <v>1.4282040429694804</v>
          </cell>
          <cell r="BB36">
            <v>1.3380143781585838</v>
          </cell>
          <cell r="BC36">
            <v>0.82883257732348314</v>
          </cell>
          <cell r="BD36">
            <v>1.2878422389855149</v>
          </cell>
        </row>
        <row r="37">
          <cell r="AZ37" t="str">
            <v>Bolivia</v>
          </cell>
          <cell r="BA37">
            <v>2.2158147493707441</v>
          </cell>
          <cell r="BB37">
            <v>1.067419413320521</v>
          </cell>
          <cell r="BC37">
            <v>1.3115252966576911</v>
          </cell>
          <cell r="BD37">
            <v>1.5827841044817832</v>
          </cell>
        </row>
        <row r="38">
          <cell r="AZ38" t="str">
            <v>Brazil</v>
          </cell>
          <cell r="BA38">
            <v>1.6758914688419786</v>
          </cell>
          <cell r="BB38">
            <v>1.0271833870865323</v>
          </cell>
          <cell r="BC38">
            <v>2.0126130801164428</v>
          </cell>
          <cell r="BD38">
            <v>0.81065788722788823</v>
          </cell>
        </row>
        <row r="39">
          <cell r="AZ39" t="str">
            <v>Colombia</v>
          </cell>
          <cell r="BA39">
            <v>1.7582764448896349</v>
          </cell>
          <cell r="BB39">
            <v>1.119960081232757</v>
          </cell>
          <cell r="BC39">
            <v>1.6855558605596894</v>
          </cell>
          <cell r="BD39">
            <v>0.93141121886995126</v>
          </cell>
        </row>
        <row r="40">
          <cell r="AZ40" t="str">
            <v>Congo DR</v>
          </cell>
          <cell r="BA40">
            <v>0.5004415151511008</v>
          </cell>
          <cell r="BB40">
            <v>0.31117660386844914</v>
          </cell>
          <cell r="BC40">
            <v>1.2578036104995731</v>
          </cell>
          <cell r="BD40">
            <v>1.2785966334689198</v>
          </cell>
        </row>
        <row r="41">
          <cell r="AZ41" t="str">
            <v>Costa Rica</v>
          </cell>
          <cell r="BA41">
            <v>2.3208538193839612</v>
          </cell>
          <cell r="BB41">
            <v>1.2220967135838947</v>
          </cell>
          <cell r="BC41">
            <v>1.4352285401733922</v>
          </cell>
          <cell r="BD41">
            <v>1.3231867667477011</v>
          </cell>
        </row>
        <row r="42">
          <cell r="AZ42" t="str">
            <v>Ecuador</v>
          </cell>
          <cell r="BA42">
            <v>1.9456016081757121</v>
          </cell>
          <cell r="BB42">
            <v>0.73229375796236096</v>
          </cell>
          <cell r="BC42">
            <v>2.1403190929044325</v>
          </cell>
          <cell r="BD42">
            <v>1.2413380239599168</v>
          </cell>
        </row>
        <row r="43">
          <cell r="AZ43" t="str">
            <v>Egypt</v>
          </cell>
          <cell r="BA43">
            <v>1.4759319563910198</v>
          </cell>
          <cell r="BB43">
            <v>1.6420484054667239</v>
          </cell>
          <cell r="BC43">
            <v>1.2449764823659799</v>
          </cell>
          <cell r="BD43">
            <v>0.72197013505373997</v>
          </cell>
        </row>
        <row r="44">
          <cell r="AZ44" t="str">
            <v>El Salvador</v>
          </cell>
          <cell r="BA44">
            <v>1.9676307872923455</v>
          </cell>
          <cell r="BB44">
            <v>1.64871223632556</v>
          </cell>
          <cell r="BC44">
            <v>0.99324767741581532</v>
          </cell>
          <cell r="BD44">
            <v>1.2015481799750736</v>
          </cell>
        </row>
        <row r="45">
          <cell r="AZ45" t="str">
            <v>Ethiopia (Former)</v>
          </cell>
          <cell r="BA45">
            <v>1.5173381918318383</v>
          </cell>
          <cell r="BB45">
            <v>0.41712198034477033</v>
          </cell>
          <cell r="BC45">
            <v>1.6471265380043132</v>
          </cell>
          <cell r="BD45">
            <v>2.2084742967587401</v>
          </cell>
        </row>
        <row r="46">
          <cell r="AZ46" t="str">
            <v>Guatemala</v>
          </cell>
          <cell r="BA46">
            <v>2.8109407728196256</v>
          </cell>
          <cell r="BB46">
            <v>1.5087125884405745</v>
          </cell>
          <cell r="BC46">
            <v>1.276178308588944</v>
          </cell>
          <cell r="BD46">
            <v>1.4599360154865579</v>
          </cell>
        </row>
        <row r="47">
          <cell r="AZ47" t="str">
            <v>Honduras</v>
          </cell>
          <cell r="BA47">
            <v>1.5643224968871101</v>
          </cell>
          <cell r="BB47">
            <v>1.1294411850828063</v>
          </cell>
          <cell r="BC47">
            <v>1.1696255895369805</v>
          </cell>
          <cell r="BD47">
            <v>1.1841747853625524</v>
          </cell>
        </row>
        <row r="48">
          <cell r="AZ48" t="str">
            <v>India</v>
          </cell>
          <cell r="BA48">
            <v>2.4219187740108135</v>
          </cell>
          <cell r="BB48">
            <v>0.89109463551199364</v>
          </cell>
          <cell r="BC48">
            <v>2.0703227916077593</v>
          </cell>
          <cell r="BD48">
            <v>1.3127973197816434</v>
          </cell>
        </row>
        <row r="49">
          <cell r="AZ49" t="str">
            <v>Kenya</v>
          </cell>
          <cell r="BA49">
            <v>1.2904080378021159</v>
          </cell>
          <cell r="BB49">
            <v>0.63957860865005112</v>
          </cell>
          <cell r="BC49">
            <v>1.4020904809675019</v>
          </cell>
          <cell r="BD49">
            <v>1.4389877235108806</v>
          </cell>
        </row>
        <row r="50">
          <cell r="AZ50" t="str">
            <v>Mauritius</v>
          </cell>
          <cell r="BA50">
            <v>1.8915167550252874</v>
          </cell>
          <cell r="BB50">
            <v>1.1936163297881262</v>
          </cell>
          <cell r="BC50">
            <v>1.3006208610687804</v>
          </cell>
          <cell r="BD50">
            <v>1.2184135646707628</v>
          </cell>
        </row>
        <row r="51">
          <cell r="AZ51" t="str">
            <v>Mexico</v>
          </cell>
          <cell r="BA51">
            <v>1.1844090901732269</v>
          </cell>
          <cell r="BB51">
            <v>1.4903392021478554</v>
          </cell>
          <cell r="BC51">
            <v>0.86534788863247702</v>
          </cell>
          <cell r="BD51">
            <v>0.91838729730110547</v>
          </cell>
        </row>
        <row r="52">
          <cell r="AZ52" t="str">
            <v>Morocco</v>
          </cell>
          <cell r="BA52">
            <v>1.1707208131407525</v>
          </cell>
          <cell r="BB52">
            <v>0.83265177448118444</v>
          </cell>
          <cell r="BC52">
            <v>1.4219515182410636</v>
          </cell>
          <cell r="BD52">
            <v>0.98879244195417071</v>
          </cell>
        </row>
        <row r="53">
          <cell r="AZ53" t="str">
            <v>Nigeria</v>
          </cell>
          <cell r="BA53">
            <v>1.2735489745368485</v>
          </cell>
          <cell r="BB53">
            <v>0.63968186436152941</v>
          </cell>
          <cell r="BC53">
            <v>2.5444040875418392</v>
          </cell>
          <cell r="BD53">
            <v>0.78246609403597411</v>
          </cell>
        </row>
        <row r="54">
          <cell r="AZ54" t="str">
            <v>Pakistan</v>
          </cell>
          <cell r="BA54">
            <v>1.4785261879687266</v>
          </cell>
          <cell r="BB54">
            <v>0.8702996597919449</v>
          </cell>
          <cell r="BC54">
            <v>1.232623894414598</v>
          </cell>
          <cell r="BD54">
            <v>1.3782551540481276</v>
          </cell>
        </row>
        <row r="55">
          <cell r="AZ55" t="str">
            <v>Panama</v>
          </cell>
          <cell r="BA55">
            <v>2.7997344043811832</v>
          </cell>
          <cell r="BB55">
            <v>1.1735222053829222</v>
          </cell>
          <cell r="BC55">
            <v>1.3824635551196569</v>
          </cell>
          <cell r="BD55">
            <v>1.7257259562045686</v>
          </cell>
        </row>
        <row r="56">
          <cell r="AZ56" t="str">
            <v>Peru</v>
          </cell>
          <cell r="BA56">
            <v>2.2798900933986443</v>
          </cell>
          <cell r="BB56">
            <v>1.1262940849785459</v>
          </cell>
          <cell r="BC56">
            <v>1.6822112932786688</v>
          </cell>
          <cell r="BD56">
            <v>1.2033211884238886</v>
          </cell>
        </row>
        <row r="57">
          <cell r="AZ57" t="str">
            <v>Philippines</v>
          </cell>
          <cell r="BA57">
            <v>1.7504713457153176</v>
          </cell>
          <cell r="BB57">
            <v>0.98649363316479566</v>
          </cell>
          <cell r="BC57">
            <v>1.3692175141723375</v>
          </cell>
          <cell r="BD57">
            <v>1.2959500823118042</v>
          </cell>
        </row>
        <row r="58">
          <cell r="AZ58" t="str">
            <v>South Africa</v>
          </cell>
          <cell r="BA58">
            <v>0.91927385163082675</v>
          </cell>
          <cell r="BB58">
            <v>0.72907826740580572</v>
          </cell>
          <cell r="BC58">
            <v>1.6058246063340564</v>
          </cell>
          <cell r="BD58">
            <v>0.78518617766333121</v>
          </cell>
        </row>
        <row r="59">
          <cell r="AZ59" t="str">
            <v>Sri Lanka</v>
          </cell>
          <cell r="BA59">
            <v>3.5840046865079818</v>
          </cell>
          <cell r="BB59">
            <v>1.4148042763290418</v>
          </cell>
          <cell r="BC59">
            <v>1.8379357398424938</v>
          </cell>
          <cell r="BD59">
            <v>1.3782940523437179</v>
          </cell>
        </row>
        <row r="60">
          <cell r="AZ60" t="str">
            <v>Thailand</v>
          </cell>
          <cell r="BA60">
            <v>1.9567708092747906</v>
          </cell>
          <cell r="BB60">
            <v>0.96335894686158774</v>
          </cell>
          <cell r="BC60">
            <v>1.6900129289093009</v>
          </cell>
          <cell r="BD60">
            <v>1.2018819110509935</v>
          </cell>
        </row>
        <row r="61">
          <cell r="AZ61" t="str">
            <v>Trinidad and Tobago</v>
          </cell>
          <cell r="BA61">
            <v>1.8108954029987916</v>
          </cell>
          <cell r="BB61">
            <v>1.1668398876338151</v>
          </cell>
          <cell r="BC61">
            <v>1.7266953184365579</v>
          </cell>
          <cell r="BD61">
            <v>0.89880687974723084</v>
          </cell>
        </row>
        <row r="62">
          <cell r="AZ62" t="str">
            <v>Turkey</v>
          </cell>
          <cell r="BA62">
            <v>1.2688059837465269</v>
          </cell>
          <cell r="BB62">
            <v>0.8462480600555109</v>
          </cell>
          <cell r="BC62">
            <v>1.6482714654176061</v>
          </cell>
          <cell r="BD62">
            <v>0.90963841283452795</v>
          </cell>
        </row>
        <row r="63">
          <cell r="AZ63" t="str">
            <v>Uganda</v>
          </cell>
          <cell r="BA63">
            <v>1.2078113103579702</v>
          </cell>
          <cell r="BB63">
            <v>0.85705600687071459</v>
          </cell>
          <cell r="BC63">
            <v>1.371998738054617</v>
          </cell>
          <cell r="BD63">
            <v>1.0271554554972395</v>
          </cell>
        </row>
        <row r="64">
          <cell r="AZ64" t="str">
            <v>Uruguay</v>
          </cell>
          <cell r="BA64">
            <v>2.6737523485793462</v>
          </cell>
          <cell r="BB64">
            <v>1.7407053073190784</v>
          </cell>
          <cell r="BC64">
            <v>1.1580967827863098</v>
          </cell>
          <cell r="BD64">
            <v>1.3263284042882328</v>
          </cell>
        </row>
        <row r="65">
          <cell r="AZ65" t="str">
            <v>Venezuela</v>
          </cell>
          <cell r="BA65">
            <v>1.561335065017238</v>
          </cell>
          <cell r="BB65">
            <v>1.5182690684423741</v>
          </cell>
          <cell r="BC65">
            <v>1.8937970610908152</v>
          </cell>
          <cell r="BD65">
            <v>0.54301763112074619</v>
          </cell>
        </row>
        <row r="66">
          <cell r="AZ66" t="str">
            <v>Afghanistan</v>
          </cell>
          <cell r="BA66">
            <v>0.96768729996480363</v>
          </cell>
          <cell r="BB66">
            <v>0.44738579846248316</v>
          </cell>
          <cell r="BC66">
            <v>2.1170321482554271</v>
          </cell>
          <cell r="BD66">
            <v>1.021704707257987</v>
          </cell>
        </row>
        <row r="67">
          <cell r="AZ67" t="str">
            <v>Algeria</v>
          </cell>
          <cell r="BA67">
            <v>0.7893833570392782</v>
          </cell>
          <cell r="BB67">
            <v>0.55359517105731071</v>
          </cell>
          <cell r="BC67">
            <v>1.6950813621073018</v>
          </cell>
          <cell r="BD67">
            <v>0.84121135015331239</v>
          </cell>
        </row>
        <row r="68">
          <cell r="AZ68" t="str">
            <v>Angola</v>
          </cell>
          <cell r="BA68">
            <v>1.7597234242898032</v>
          </cell>
          <cell r="BB68">
            <v>0.49780842484250459</v>
          </cell>
          <cell r="BC68">
            <v>3.2194724974783204</v>
          </cell>
          <cell r="BD68">
            <v>1.0979876452499444</v>
          </cell>
        </row>
        <row r="69">
          <cell r="AZ69" t="str">
            <v>Antigua</v>
          </cell>
          <cell r="BA69">
            <v>0.99707290467235121</v>
          </cell>
          <cell r="BB69">
            <v>1.0849657293531947</v>
          </cell>
          <cell r="BC69">
            <v>0.81714947557209172</v>
          </cell>
          <cell r="BD69">
            <v>1.1246292838978704</v>
          </cell>
        </row>
        <row r="70">
          <cell r="AZ70" t="str">
            <v>Aruba</v>
          </cell>
          <cell r="BA70">
            <v>0.96831494183455835</v>
          </cell>
          <cell r="BB70">
            <v>1.2608827695115479</v>
          </cell>
          <cell r="BC70">
            <v>0.76011378944531371</v>
          </cell>
          <cell r="BD70">
            <v>1.0103301474410715</v>
          </cell>
        </row>
        <row r="71">
          <cell r="AZ71" t="str">
            <v>Bahamas</v>
          </cell>
          <cell r="BA71">
            <v>0.75159132485484015</v>
          </cell>
          <cell r="BB71">
            <v>1.1073348957418343</v>
          </cell>
          <cell r="BC71">
            <v>0.68793683144926376</v>
          </cell>
          <cell r="BD71">
            <v>0.98662975923240759</v>
          </cell>
        </row>
        <row r="72">
          <cell r="AZ72" t="str">
            <v>Bahrain</v>
          </cell>
          <cell r="BA72">
            <v>1.0806772439241989</v>
          </cell>
          <cell r="BB72">
            <v>1.0366907594656676</v>
          </cell>
          <cell r="BC72">
            <v>1.0130183900958198</v>
          </cell>
          <cell r="BD72">
            <v>1.0290333487544154</v>
          </cell>
        </row>
        <row r="73">
          <cell r="AZ73" t="str">
            <v>Bangladesh</v>
          </cell>
          <cell r="BA73">
            <v>2.6157907965284379</v>
          </cell>
          <cell r="BB73">
            <v>0.98145050666915334</v>
          </cell>
          <cell r="BC73">
            <v>1.4580846579100164</v>
          </cell>
          <cell r="BD73">
            <v>1.8278976039036807</v>
          </cell>
        </row>
        <row r="74">
          <cell r="AZ74" t="str">
            <v>Barbados</v>
          </cell>
          <cell r="BA74">
            <v>0.98050910589277396</v>
          </cell>
          <cell r="BB74">
            <v>1.1139528192335892</v>
          </cell>
          <cell r="BC74">
            <v>0.89973764222530961</v>
          </cell>
          <cell r="BD74">
            <v>0.97829299527685498</v>
          </cell>
        </row>
        <row r="75">
          <cell r="AZ75" t="str">
            <v>Belize</v>
          </cell>
          <cell r="BA75">
            <v>1.0881236705431838</v>
          </cell>
          <cell r="BB75">
            <v>1.1711960029305435</v>
          </cell>
          <cell r="BC75">
            <v>0.86074784585414421</v>
          </cell>
          <cell r="BD75">
            <v>1.0793759367015325</v>
          </cell>
        </row>
        <row r="76">
          <cell r="AZ76" t="str">
            <v>Benin</v>
          </cell>
          <cell r="BA76">
            <v>0.9560110000989458</v>
          </cell>
          <cell r="BB76">
            <v>0.7034498899072108</v>
          </cell>
          <cell r="BC76">
            <v>1.3498344090974088</v>
          </cell>
          <cell r="BD76">
            <v>1.0068139601515462</v>
          </cell>
        </row>
        <row r="77">
          <cell r="AZ77" t="str">
            <v>Bhutan</v>
          </cell>
          <cell r="BA77">
            <v>2.890152609153636</v>
          </cell>
          <cell r="BB77">
            <v>1.1317609926356302</v>
          </cell>
          <cell r="BC77">
            <v>1.8966400135324279</v>
          </cell>
          <cell r="BD77">
            <v>1.3464218331008138</v>
          </cell>
        </row>
        <row r="78">
          <cell r="AZ78" t="str">
            <v>Botswana</v>
          </cell>
          <cell r="BA78">
            <v>1.3066864164097753</v>
          </cell>
          <cell r="BB78">
            <v>0.93322393618438992</v>
          </cell>
          <cell r="BC78">
            <v>1.2631878218799726</v>
          </cell>
          <cell r="BD78">
            <v>1.108453749811525</v>
          </cell>
        </row>
        <row r="79">
          <cell r="AZ79" t="str">
            <v>Brunei</v>
          </cell>
          <cell r="BA79">
            <v>0.87106536990390071</v>
          </cell>
          <cell r="BB79">
            <v>0.9962652735470845</v>
          </cell>
          <cell r="BC79">
            <v>1.1781785807035239</v>
          </cell>
          <cell r="BD79">
            <v>0.74210376120167165</v>
          </cell>
        </row>
        <row r="80">
          <cell r="AZ80" t="str">
            <v>Burkina Faso</v>
          </cell>
          <cell r="BA80">
            <v>0.83648055828145051</v>
          </cell>
          <cell r="BB80">
            <v>0.47995830502721715</v>
          </cell>
          <cell r="BC80">
            <v>1.691375233684919</v>
          </cell>
          <cell r="BD80">
            <v>1.0304154774233505</v>
          </cell>
        </row>
        <row r="81">
          <cell r="AZ81" t="str">
            <v>Burundi</v>
          </cell>
          <cell r="BA81">
            <v>0.63396512743524269</v>
          </cell>
          <cell r="BB81">
            <v>0.3931796807944033</v>
          </cell>
          <cell r="BC81">
            <v>1.394759059256786</v>
          </cell>
          <cell r="BD81">
            <v>1.1560459926391635</v>
          </cell>
        </row>
        <row r="82">
          <cell r="AZ82" t="str">
            <v>Cabo Verde</v>
          </cell>
          <cell r="BA82">
            <v>1.4662757360755039</v>
          </cell>
          <cell r="BB82">
            <v>1.035136343294387</v>
          </cell>
          <cell r="BC82">
            <v>1.5668031100283069</v>
          </cell>
          <cell r="BD82">
            <v>0.90407334745702261</v>
          </cell>
        </row>
        <row r="83">
          <cell r="AZ83" t="str">
            <v>Cambodia</v>
          </cell>
          <cell r="BA83">
            <v>3.3871892653893254</v>
          </cell>
          <cell r="BB83">
            <v>1.2001356501644558</v>
          </cell>
          <cell r="BC83">
            <v>1.7359080332593779</v>
          </cell>
          <cell r="BD83">
            <v>1.6258572601934074</v>
          </cell>
        </row>
        <row r="84">
          <cell r="AZ84" t="str">
            <v>Cameroon</v>
          </cell>
          <cell r="BA84">
            <v>0.61485317527816352</v>
          </cell>
          <cell r="BB84">
            <v>0.45254016265500302</v>
          </cell>
          <cell r="BC84">
            <v>1.3267718230231176</v>
          </cell>
          <cell r="BD84">
            <v>1.024042666646656</v>
          </cell>
        </row>
        <row r="85">
          <cell r="AZ85" t="str">
            <v>Central African Republic</v>
          </cell>
          <cell r="BA85">
            <v>0.38701372938140355</v>
          </cell>
          <cell r="BB85">
            <v>0.37397955428052071</v>
          </cell>
          <cell r="BC85">
            <v>1.1960493269068579</v>
          </cell>
          <cell r="BD85">
            <v>0.86522572070987225</v>
          </cell>
        </row>
        <row r="86">
          <cell r="AZ86" t="str">
            <v>Chad</v>
          </cell>
          <cell r="BA86">
            <v>1.0813648416979098</v>
          </cell>
          <cell r="BB86">
            <v>0.46176577403065644</v>
          </cell>
          <cell r="BC86">
            <v>3.2568726593466062</v>
          </cell>
          <cell r="BD86">
            <v>0.71903449696405275</v>
          </cell>
        </row>
        <row r="87">
          <cell r="AZ87" t="str">
            <v>Chile</v>
          </cell>
          <cell r="BA87">
            <v>2.7002324858015134</v>
          </cell>
          <cell r="BB87">
            <v>1.4652727925844093</v>
          </cell>
          <cell r="BC87">
            <v>1.6732750743095188</v>
          </cell>
          <cell r="BD87">
            <v>1.1013245757950396</v>
          </cell>
        </row>
        <row r="88">
          <cell r="AZ88" t="str">
            <v>Comoros</v>
          </cell>
          <cell r="BA88">
            <v>0.49607670204620385</v>
          </cell>
          <cell r="BB88">
            <v>0.47179434239753421</v>
          </cell>
          <cell r="BC88">
            <v>1.1269650768842132</v>
          </cell>
          <cell r="BD88">
            <v>0.9330085946997736</v>
          </cell>
        </row>
        <row r="89">
          <cell r="AZ89" t="str">
            <v>Congo R</v>
          </cell>
          <cell r="BA89">
            <v>0.78987627695721541</v>
          </cell>
          <cell r="BB89">
            <v>0.62233743237895189</v>
          </cell>
          <cell r="BC89">
            <v>1.9961358497750163</v>
          </cell>
          <cell r="BD89">
            <v>0.63583298250024256</v>
          </cell>
        </row>
        <row r="90">
          <cell r="AZ90" t="str">
            <v>Cote d'Ivoire</v>
          </cell>
          <cell r="BA90">
            <v>0.74968955053273678</v>
          </cell>
          <cell r="BB90">
            <v>0.49691378210865172</v>
          </cell>
          <cell r="BC90">
            <v>1.2702375095483585</v>
          </cell>
          <cell r="BD90">
            <v>1.1877238630717042</v>
          </cell>
        </row>
        <row r="91">
          <cell r="AZ91" t="str">
            <v>Djibouti</v>
          </cell>
          <cell r="BA91">
            <v>1.1828521746656497</v>
          </cell>
          <cell r="BB91">
            <v>0.73528369928170767</v>
          </cell>
          <cell r="BC91">
            <v>1.0787076688627144</v>
          </cell>
          <cell r="BD91">
            <v>1.4913231801710094</v>
          </cell>
        </row>
        <row r="92">
          <cell r="AZ92" t="str">
            <v>Dominican Republic</v>
          </cell>
          <cell r="BA92">
            <v>2.4661417511920285</v>
          </cell>
          <cell r="BB92">
            <v>1.5885882283595223</v>
          </cell>
          <cell r="BC92">
            <v>1.2794899111889713</v>
          </cell>
          <cell r="BD92">
            <v>1.2133045602079209</v>
          </cell>
        </row>
        <row r="93">
          <cell r="AZ93" t="str">
            <v>Equatorial Guinea</v>
          </cell>
          <cell r="BA93">
            <v>11.46567069261339</v>
          </cell>
          <cell r="BB93">
            <v>4.654299119628746</v>
          </cell>
          <cell r="BC93">
            <v>4.6450065390219866</v>
          </cell>
          <cell r="BD93">
            <v>0.53034544559546493</v>
          </cell>
        </row>
        <row r="94">
          <cell r="AZ94" t="str">
            <v>Fiji</v>
          </cell>
          <cell r="BA94">
            <v>1.3567389995097119</v>
          </cell>
          <cell r="BB94">
            <v>0.8621127684098745</v>
          </cell>
          <cell r="BC94">
            <v>1.1563204564387104</v>
          </cell>
          <cell r="BD94">
            <v>1.3609871441296015</v>
          </cell>
        </row>
        <row r="95">
          <cell r="AZ95" t="str">
            <v>French Polynesia</v>
          </cell>
          <cell r="BA95">
            <v>0.50875753820178449</v>
          </cell>
          <cell r="BB95">
            <v>0.66254209765530481</v>
          </cell>
          <cell r="BC95">
            <v>0.95580311542955354</v>
          </cell>
          <cell r="BD95">
            <v>0.80339465313368874</v>
          </cell>
        </row>
        <row r="96">
          <cell r="AZ96" t="str">
            <v>Gabon</v>
          </cell>
          <cell r="BA96">
            <v>0.52891571439209017</v>
          </cell>
          <cell r="BB96">
            <v>0.54710288210135383</v>
          </cell>
          <cell r="BC96">
            <v>1.2655918393352155</v>
          </cell>
          <cell r="BD96">
            <v>0.7638776475129766</v>
          </cell>
        </row>
        <row r="97">
          <cell r="AZ97" t="str">
            <v>Gambia</v>
          </cell>
          <cell r="BA97">
            <v>0.28125631965913794</v>
          </cell>
          <cell r="BB97">
            <v>0.61966726540565664</v>
          </cell>
          <cell r="BC97">
            <v>0.59036118453095732</v>
          </cell>
          <cell r="BD97">
            <v>0.76882224280227107</v>
          </cell>
        </row>
        <row r="98">
          <cell r="AZ98" t="str">
            <v>Ghana</v>
          </cell>
          <cell r="BA98">
            <v>1.0493581064151205</v>
          </cell>
          <cell r="BB98">
            <v>0.46496867822350885</v>
          </cell>
          <cell r="BC98">
            <v>2.0752353886114157</v>
          </cell>
          <cell r="BD98">
            <v>1.0875084964613462</v>
          </cell>
        </row>
        <row r="99">
          <cell r="AZ99" t="str">
            <v>Grenada</v>
          </cell>
          <cell r="BA99">
            <v>1.9758325428515118</v>
          </cell>
          <cell r="BB99">
            <v>1.5705230146992566</v>
          </cell>
          <cell r="BC99">
            <v>0.9594608006171268</v>
          </cell>
          <cell r="BD99">
            <v>1.3112291428424176</v>
          </cell>
        </row>
        <row r="100">
          <cell r="AZ100" t="str">
            <v>Guinea</v>
          </cell>
          <cell r="BA100">
            <v>0.5748602945367508</v>
          </cell>
          <cell r="BB100">
            <v>0.56416401557128482</v>
          </cell>
          <cell r="BC100">
            <v>0.87324466721904959</v>
          </cell>
          <cell r="BD100">
            <v>1.166866009381234</v>
          </cell>
        </row>
        <row r="101">
          <cell r="AZ101" t="str">
            <v>Guinea-Bissau</v>
          </cell>
          <cell r="BA101">
            <v>0.55596379599148649</v>
          </cell>
          <cell r="BB101">
            <v>0.36418425127478427</v>
          </cell>
          <cell r="BC101">
            <v>1.2469967346838275</v>
          </cell>
          <cell r="BD101">
            <v>1.2242215889893655</v>
          </cell>
        </row>
        <row r="102">
          <cell r="AZ102" t="str">
            <v>Guyana</v>
          </cell>
          <cell r="BA102">
            <v>2.4852022349711818</v>
          </cell>
          <cell r="BB102">
            <v>1.3355461450011317</v>
          </cell>
          <cell r="BC102">
            <v>1.3371804729180043</v>
          </cell>
          <cell r="BD102">
            <v>1.39159484573975</v>
          </cell>
        </row>
        <row r="103">
          <cell r="AZ103" t="str">
            <v>Haiti</v>
          </cell>
          <cell r="BA103">
            <v>0.82410391947227513</v>
          </cell>
          <cell r="BB103">
            <v>0.7396471893616906</v>
          </cell>
          <cell r="BC103">
            <v>1.0432458685198787</v>
          </cell>
          <cell r="BD103">
            <v>1.067998628293507</v>
          </cell>
        </row>
        <row r="104">
          <cell r="AZ104" t="str">
            <v>Indonesia (Former)</v>
          </cell>
          <cell r="BA104">
            <v>2.4273264479301497</v>
          </cell>
          <cell r="BB104">
            <v>0.84861520828305592</v>
          </cell>
          <cell r="BC104">
            <v>2.5001620692378723</v>
          </cell>
          <cell r="BD104">
            <v>1.1440610898606791</v>
          </cell>
        </row>
        <row r="105">
          <cell r="AZ105" t="str">
            <v>Iran</v>
          </cell>
          <cell r="BA105">
            <v>1.5360354399208624</v>
          </cell>
          <cell r="BB105">
            <v>0.74364775160106389</v>
          </cell>
          <cell r="BC105">
            <v>2.5918260644045561</v>
          </cell>
          <cell r="BD105">
            <v>0.79694456617220955</v>
          </cell>
        </row>
        <row r="106">
          <cell r="AZ106" t="str">
            <v>Iraq</v>
          </cell>
          <cell r="BA106">
            <v>2.2550111011164549</v>
          </cell>
          <cell r="BB106">
            <v>0.55196267081800987</v>
          </cell>
          <cell r="BC106">
            <v>3.5356677274006079</v>
          </cell>
          <cell r="BD106">
            <v>1.1554935679926197</v>
          </cell>
        </row>
        <row r="107">
          <cell r="AZ107" t="str">
            <v>Jamaica</v>
          </cell>
          <cell r="BA107">
            <v>1.0928125184428823</v>
          </cell>
          <cell r="BB107">
            <v>1.1717611297980177</v>
          </cell>
          <cell r="BC107">
            <v>0.92290764975024908</v>
          </cell>
          <cell r="BD107">
            <v>1.0105279457649314</v>
          </cell>
        </row>
        <row r="108">
          <cell r="AZ108" t="str">
            <v>Jordan</v>
          </cell>
          <cell r="BA108">
            <v>1.6986844897443549</v>
          </cell>
          <cell r="BB108">
            <v>1.1050172616916998</v>
          </cell>
          <cell r="BC108">
            <v>1.4692655419329224</v>
          </cell>
          <cell r="BD108">
            <v>1.0462690191507213</v>
          </cell>
        </row>
        <row r="109">
          <cell r="AZ109" t="str">
            <v>Kiribati</v>
          </cell>
          <cell r="BA109">
            <v>1.4212082723167712</v>
          </cell>
          <cell r="BB109">
            <v>1.2057435150321094</v>
          </cell>
          <cell r="BC109">
            <v>1.1456340715841586</v>
          </cell>
          <cell r="BD109">
            <v>1.0288613920559246</v>
          </cell>
        </row>
        <row r="110">
          <cell r="AZ110" t="str">
            <v>Kuwait</v>
          </cell>
          <cell r="BA110">
            <v>1.5455768275079984</v>
          </cell>
          <cell r="BB110">
            <v>1.573344214893815</v>
          </cell>
          <cell r="BC110">
            <v>1.3902720179145813</v>
          </cell>
          <cell r="BD110">
            <v>0.70658931938148917</v>
          </cell>
        </row>
        <row r="111">
          <cell r="AZ111" t="str">
            <v>Laos</v>
          </cell>
          <cell r="BA111">
            <v>5.3652217965819151</v>
          </cell>
          <cell r="BB111">
            <v>1.2042984249428617</v>
          </cell>
          <cell r="BC111">
            <v>2.3031846963980258</v>
          </cell>
          <cell r="BD111">
            <v>1.9343042931375463</v>
          </cell>
        </row>
        <row r="112">
          <cell r="AZ112" t="str">
            <v>Lebanon</v>
          </cell>
          <cell r="BA112">
            <v>3.7546396251925089</v>
          </cell>
          <cell r="BB112">
            <v>3.5544043606867786</v>
          </cell>
          <cell r="BC112">
            <v>1.14550330577322</v>
          </cell>
          <cell r="BD112">
            <v>0.92215745027533613</v>
          </cell>
        </row>
        <row r="113">
          <cell r="AZ113" t="str">
            <v>Lesotho</v>
          </cell>
          <cell r="BA113">
            <v>1.3940169918138572</v>
          </cell>
          <cell r="BB113">
            <v>0.90325134582819522</v>
          </cell>
          <cell r="BC113">
            <v>1.6569256383278275</v>
          </cell>
          <cell r="BD113">
            <v>0.93144331927849244</v>
          </cell>
        </row>
        <row r="114">
          <cell r="AZ114" t="str">
            <v>Liberia</v>
          </cell>
          <cell r="BA114">
            <v>0.9531056891738815</v>
          </cell>
          <cell r="BB114">
            <v>0.5928747859899608</v>
          </cell>
          <cell r="BC114">
            <v>0.97567371537584158</v>
          </cell>
          <cell r="BD114">
            <v>1.6476822975714596</v>
          </cell>
        </row>
        <row r="115">
          <cell r="AZ115" t="str">
            <v>Libya</v>
          </cell>
          <cell r="BA115">
            <v>0.25901884131933006</v>
          </cell>
          <cell r="BB115">
            <v>0.77143727199787848</v>
          </cell>
          <cell r="BC115">
            <v>1.2176580782544804</v>
          </cell>
          <cell r="BD115">
            <v>0.27574356363202362</v>
          </cell>
        </row>
        <row r="116">
          <cell r="AZ116" t="str">
            <v>Madagascar</v>
          </cell>
          <cell r="BA116">
            <v>0.75723954020408346</v>
          </cell>
          <cell r="BB116">
            <v>0.69049753490960852</v>
          </cell>
          <cell r="BC116">
            <v>1.1138097082972058</v>
          </cell>
          <cell r="BD116">
            <v>0.98460072590190539</v>
          </cell>
        </row>
        <row r="117">
          <cell r="AZ117" t="str">
            <v>Malawi</v>
          </cell>
          <cell r="BA117">
            <v>0.47031846434299651</v>
          </cell>
          <cell r="BB117">
            <v>0.62116283297977271</v>
          </cell>
          <cell r="BC117">
            <v>1.0900882770395983</v>
          </cell>
          <cell r="BD117">
            <v>0.69458419669437266</v>
          </cell>
        </row>
        <row r="118">
          <cell r="AZ118" t="str">
            <v>Maldives</v>
          </cell>
          <cell r="BA118">
            <v>4.1137203451446993</v>
          </cell>
          <cell r="BB118">
            <v>1.8915628397230368</v>
          </cell>
          <cell r="BC118">
            <v>1.4975143572057059</v>
          </cell>
          <cell r="BD118">
            <v>1.4522553871733155</v>
          </cell>
        </row>
        <row r="119">
          <cell r="AZ119" t="str">
            <v>Mali</v>
          </cell>
          <cell r="BA119">
            <v>1.179376517705051</v>
          </cell>
          <cell r="BB119">
            <v>0.62811694883278513</v>
          </cell>
          <cell r="BC119">
            <v>1.7531841916189597</v>
          </cell>
          <cell r="BD119">
            <v>1.070987539515269</v>
          </cell>
        </row>
        <row r="120">
          <cell r="AZ120" t="str">
            <v>Mauritania</v>
          </cell>
          <cell r="BA120">
            <v>0.65457874250965509</v>
          </cell>
          <cell r="BB120">
            <v>0.44960156333049239</v>
          </cell>
          <cell r="BC120">
            <v>1.6778209107854103</v>
          </cell>
          <cell r="BD120">
            <v>0.86773773137166832</v>
          </cell>
        </row>
        <row r="121">
          <cell r="AZ121" t="str">
            <v>Micronesia Federated States</v>
          </cell>
          <cell r="BA121">
            <v>0.90013845010059923</v>
          </cell>
          <cell r="BB121">
            <v>0.99652661919126073</v>
          </cell>
          <cell r="BC121">
            <v>0.8789119015409671</v>
          </cell>
          <cell r="BD121">
            <v>1.0277206049808376</v>
          </cell>
        </row>
        <row r="122">
          <cell r="AZ122" t="str">
            <v>Mongolia</v>
          </cell>
          <cell r="BA122">
            <v>2.1322251262692218</v>
          </cell>
          <cell r="BB122">
            <v>0.52598062302321913</v>
          </cell>
          <cell r="BC122">
            <v>3.2132231285396164</v>
          </cell>
          <cell r="BD122">
            <v>1.2616021699670514</v>
          </cell>
        </row>
        <row r="123">
          <cell r="AZ123" t="str">
            <v>Mozambique</v>
          </cell>
          <cell r="BA123">
            <v>0.74316122596376122</v>
          </cell>
          <cell r="BB123">
            <v>0.78521961748939562</v>
          </cell>
          <cell r="BC123">
            <v>1.0065471955290233</v>
          </cell>
          <cell r="BD123">
            <v>0.94028121130513354</v>
          </cell>
        </row>
        <row r="124">
          <cell r="AZ124" t="str">
            <v>Myanmar</v>
          </cell>
          <cell r="BA124">
            <v>4.5639012821729379</v>
          </cell>
          <cell r="BB124">
            <v>0.92998930871902041</v>
          </cell>
          <cell r="BC124">
            <v>3.490088210302237</v>
          </cell>
          <cell r="BD124">
            <v>1.406118371276579</v>
          </cell>
        </row>
        <row r="125">
          <cell r="AZ125" t="str">
            <v>Namibia</v>
          </cell>
          <cell r="BA125">
            <v>1.2315349978891519</v>
          </cell>
          <cell r="BB125">
            <v>0.77147413999965242</v>
          </cell>
          <cell r="BC125">
            <v>1.7144070482510898</v>
          </cell>
          <cell r="BD125">
            <v>0.9311324062505919</v>
          </cell>
        </row>
        <row r="126">
          <cell r="AZ126" t="str">
            <v>Nepal</v>
          </cell>
          <cell r="BA126">
            <v>1.9508084248024231</v>
          </cell>
          <cell r="BB126">
            <v>0.90093786914215479</v>
          </cell>
          <cell r="BC126">
            <v>1.6639311566624686</v>
          </cell>
          <cell r="BD126">
            <v>1.3013209650967508</v>
          </cell>
        </row>
        <row r="127">
          <cell r="AZ127" t="str">
            <v>New Caledonia</v>
          </cell>
          <cell r="BA127">
            <v>1.1154043950539632</v>
          </cell>
          <cell r="BB127">
            <v>0.80955894464077738</v>
          </cell>
          <cell r="BC127">
            <v>1.5501142211765209</v>
          </cell>
          <cell r="BD127">
            <v>0.88883300981762792</v>
          </cell>
        </row>
        <row r="128">
          <cell r="AZ128" t="str">
            <v>Nicaragua</v>
          </cell>
          <cell r="BA128">
            <v>1.2003347664981834</v>
          </cell>
          <cell r="BB128">
            <v>0.88883709437876846</v>
          </cell>
          <cell r="BC128">
            <v>1.0044589659690921</v>
          </cell>
          <cell r="BD128">
            <v>1.3444603985885011</v>
          </cell>
        </row>
        <row r="129">
          <cell r="AZ129" t="str">
            <v>Niger</v>
          </cell>
          <cell r="BA129">
            <v>0.53292248072180537</v>
          </cell>
          <cell r="BB129">
            <v>0.34775291777215689</v>
          </cell>
          <cell r="BC129">
            <v>1.5256405818263867</v>
          </cell>
          <cell r="BD129">
            <v>1.0044793798882925</v>
          </cell>
        </row>
        <row r="130">
          <cell r="AZ130" t="str">
            <v>Oman</v>
          </cell>
          <cell r="BA130">
            <v>1.0993597141634739</v>
          </cell>
          <cell r="BB130">
            <v>1.0150362593853948</v>
          </cell>
          <cell r="BC130">
            <v>1.4537286768266329</v>
          </cell>
          <cell r="BD130">
            <v>0.74503196153747564</v>
          </cell>
        </row>
        <row r="131">
          <cell r="AZ131" t="str">
            <v>Papua New Guinea</v>
          </cell>
          <cell r="BA131">
            <v>1.0791782011750857</v>
          </cell>
          <cell r="BB131">
            <v>0.62038986979472144</v>
          </cell>
          <cell r="BC131">
            <v>1.4162216613038672</v>
          </cell>
          <cell r="BD131">
            <v>1.2282795857195099</v>
          </cell>
        </row>
        <row r="132">
          <cell r="AZ132" t="str">
            <v>Paraguay</v>
          </cell>
          <cell r="BA132">
            <v>1.813745016995655</v>
          </cell>
          <cell r="BB132">
            <v>0.91198505510802852</v>
          </cell>
          <cell r="BC132">
            <v>1.6083493105677293</v>
          </cell>
          <cell r="BD132">
            <v>1.2365398972606891</v>
          </cell>
        </row>
        <row r="133">
          <cell r="AZ133" t="str">
            <v>Qatar</v>
          </cell>
          <cell r="BA133">
            <v>1.9266086418949293</v>
          </cell>
          <cell r="BB133">
            <v>1.4607175790758224</v>
          </cell>
          <cell r="BC133">
            <v>1.5614484652611362</v>
          </cell>
          <cell r="BD133">
            <v>0.84469435726355069</v>
          </cell>
        </row>
        <row r="134">
          <cell r="AZ134" t="str">
            <v>Rwanda</v>
          </cell>
          <cell r="BA134">
            <v>1.0290428524632502</v>
          </cell>
          <cell r="BB134">
            <v>0.48334103344684215</v>
          </cell>
          <cell r="BC134">
            <v>1.7374083899584118</v>
          </cell>
          <cell r="BD134">
            <v>1.225400010625006</v>
          </cell>
        </row>
        <row r="135">
          <cell r="AZ135" t="str">
            <v>Sao Tome</v>
          </cell>
          <cell r="BA135">
            <v>0.89258740155362026</v>
          </cell>
          <cell r="BB135">
            <v>0.39496824186420842</v>
          </cell>
          <cell r="BC135">
            <v>1.4405112559538436</v>
          </cell>
          <cell r="BD135">
            <v>1.5688156741352179</v>
          </cell>
        </row>
        <row r="136">
          <cell r="AZ136" t="str">
            <v>Saudi Arabia</v>
          </cell>
          <cell r="BA136">
            <v>1.3432718952717924</v>
          </cell>
          <cell r="BB136">
            <v>0.96091762485037124</v>
          </cell>
          <cell r="BC136">
            <v>1.4025612992821346</v>
          </cell>
          <cell r="BD136">
            <v>0.99668040004200786</v>
          </cell>
        </row>
        <row r="137">
          <cell r="AZ137" t="str">
            <v>Senegal</v>
          </cell>
          <cell r="BA137">
            <v>0.58079928591039631</v>
          </cell>
          <cell r="BB137">
            <v>0.43386486100069244</v>
          </cell>
          <cell r="BC137">
            <v>1.4090447816159979</v>
          </cell>
          <cell r="BD137">
            <v>0.95005073896614722</v>
          </cell>
        </row>
        <row r="138">
          <cell r="AZ138" t="str">
            <v>Seychelles</v>
          </cell>
          <cell r="BA138">
            <v>1.1526239162998537</v>
          </cell>
          <cell r="BB138">
            <v>1.0982799628921447</v>
          </cell>
          <cell r="BC138">
            <v>0.76864948298294999</v>
          </cell>
          <cell r="BD138">
            <v>1.3653570179232264</v>
          </cell>
        </row>
        <row r="139">
          <cell r="AZ139" t="str">
            <v>Sierra Leone</v>
          </cell>
          <cell r="BA139">
            <v>1.1229073391757376</v>
          </cell>
          <cell r="BB139">
            <v>0.69591466598975815</v>
          </cell>
          <cell r="BC139">
            <v>1.4111372714034081</v>
          </cell>
          <cell r="BD139">
            <v>1.1434539221792919</v>
          </cell>
        </row>
        <row r="140">
          <cell r="AZ140" t="str">
            <v>Solomon Islands</v>
          </cell>
          <cell r="BA140">
            <v>1.3753451434738424</v>
          </cell>
          <cell r="BB140">
            <v>0.92418771604126515</v>
          </cell>
          <cell r="BC140">
            <v>1.1089437786610181</v>
          </cell>
          <cell r="BD140">
            <v>1.3419674368112138</v>
          </cell>
        </row>
        <row r="141">
          <cell r="AZ141" t="str">
            <v>Somalia</v>
          </cell>
          <cell r="BA141">
            <v>0.35917215718429751</v>
          </cell>
          <cell r="BB141">
            <v>1.2752155143662212</v>
          </cell>
          <cell r="BC141">
            <v>0.26541232463450914</v>
          </cell>
          <cell r="BD141">
            <v>1.0612018281882987</v>
          </cell>
        </row>
        <row r="142">
          <cell r="AZ142" t="str">
            <v>St. Lucia</v>
          </cell>
          <cell r="BA142">
            <v>1.3245076091977832</v>
          </cell>
          <cell r="BB142">
            <v>1.114636608617833</v>
          </cell>
          <cell r="BC142">
            <v>1.0711828769314495</v>
          </cell>
          <cell r="BD142">
            <v>1.1093217628441856</v>
          </cell>
        </row>
        <row r="143">
          <cell r="AZ143" t="str">
            <v>St. Vincent</v>
          </cell>
          <cell r="BA143">
            <v>1.5090385929851402</v>
          </cell>
          <cell r="BB143">
            <v>1.2683659079700451</v>
          </cell>
          <cell r="BC143">
            <v>1.1311563704611138</v>
          </cell>
          <cell r="BD143">
            <v>1.0517999379300229</v>
          </cell>
        </row>
        <row r="144">
          <cell r="AZ144" t="str">
            <v>Sudan (Former)</v>
          </cell>
          <cell r="BA144">
            <v>2.2478598464610053</v>
          </cell>
          <cell r="BB144">
            <v>0.59511051520439162</v>
          </cell>
          <cell r="BC144">
            <v>2.7091719615937286</v>
          </cell>
          <cell r="BD144">
            <v>1.3942319582291804</v>
          </cell>
        </row>
        <row r="145">
          <cell r="AZ145" t="str">
            <v>Suriname</v>
          </cell>
          <cell r="BA145">
            <v>1.6954186107605176</v>
          </cell>
          <cell r="BB145">
            <v>0.99704434128691477</v>
          </cell>
          <cell r="BC145">
            <v>2.26060729218886</v>
          </cell>
          <cell r="BD145">
            <v>0.75220696242561236</v>
          </cell>
        </row>
        <row r="146">
          <cell r="AZ146" t="str">
            <v>Swaziland</v>
          </cell>
          <cell r="BA146">
            <v>1.0273846541157865</v>
          </cell>
          <cell r="BB146">
            <v>0.84616504607924081</v>
          </cell>
          <cell r="BC146">
            <v>1.5023315308310556</v>
          </cell>
          <cell r="BD146">
            <v>0.80818765232896006</v>
          </cell>
        </row>
        <row r="147">
          <cell r="AZ147" t="str">
            <v>Syria</v>
          </cell>
          <cell r="BA147">
            <v>0.43801882111207341</v>
          </cell>
          <cell r="BB147">
            <v>1.005407770506711</v>
          </cell>
          <cell r="BC147">
            <v>1.6002903856942612</v>
          </cell>
          <cell r="BD147">
            <v>0.27223987612569411</v>
          </cell>
        </row>
        <row r="148">
          <cell r="AZ148" t="str">
            <v>Tanzania</v>
          </cell>
          <cell r="BA148">
            <v>1.5641556900241533</v>
          </cell>
          <cell r="BB148">
            <v>1.0631751328939043</v>
          </cell>
          <cell r="BC148">
            <v>1.1810764655330594</v>
          </cell>
          <cell r="BD148">
            <v>1.2456532143100483</v>
          </cell>
        </row>
        <row r="149">
          <cell r="AZ149" t="str">
            <v>Togo</v>
          </cell>
          <cell r="BA149">
            <v>0.52335958881709921</v>
          </cell>
          <cell r="BB149">
            <v>0.41480207045428352</v>
          </cell>
          <cell r="BC149">
            <v>1.1729843681783414</v>
          </cell>
          <cell r="BD149">
            <v>1.0756402515348917</v>
          </cell>
        </row>
        <row r="150">
          <cell r="AZ150" t="str">
            <v>Tonga</v>
          </cell>
          <cell r="BA150">
            <v>1.0719579849280039</v>
          </cell>
          <cell r="BB150">
            <v>0.8526041642792711</v>
          </cell>
          <cell r="BC150">
            <v>1.2401916567168252</v>
          </cell>
          <cell r="BD150">
            <v>1.0137748404008209</v>
          </cell>
        </row>
        <row r="151">
          <cell r="AZ151" t="str">
            <v>Tunisia</v>
          </cell>
          <cell r="BA151">
            <v>0.98117751282171362</v>
          </cell>
          <cell r="BB151">
            <v>1.0145831788158908</v>
          </cell>
          <cell r="BC151">
            <v>1.2466165309132302</v>
          </cell>
          <cell r="BD151">
            <v>0.77575940041470204</v>
          </cell>
        </row>
        <row r="152">
          <cell r="AZ152" t="str">
            <v>United Arab Emirates</v>
          </cell>
          <cell r="BA152">
            <v>0.68256293500451359</v>
          </cell>
          <cell r="BB152">
            <v>0.91568565786562461</v>
          </cell>
          <cell r="BC152">
            <v>0.69569850337607075</v>
          </cell>
          <cell r="BD152">
            <v>1.0714581685260156</v>
          </cell>
        </row>
        <row r="153">
          <cell r="AZ153" t="str">
            <v>Vanuatu</v>
          </cell>
          <cell r="BA153">
            <v>1.2395197036530206</v>
          </cell>
          <cell r="BB153">
            <v>0.92136430344256315</v>
          </cell>
          <cell r="BC153">
            <v>1.3808221362409103</v>
          </cell>
          <cell r="BD153">
            <v>0.97428117628984967</v>
          </cell>
        </row>
        <row r="154">
          <cell r="AZ154" t="str">
            <v>Virgin Islands</v>
          </cell>
          <cell r="BA154">
            <v>3.9595407152296773</v>
          </cell>
          <cell r="BB154">
            <v>5.0026908227991385</v>
          </cell>
          <cell r="BC154">
            <v>0.76972305340660174</v>
          </cell>
          <cell r="BD154">
            <v>1.0282687934001011</v>
          </cell>
        </row>
        <row r="155">
          <cell r="AZ155" t="str">
            <v>West Bank and Gaza</v>
          </cell>
          <cell r="BA155">
            <v>1.4795210219162584</v>
          </cell>
          <cell r="BB155">
            <v>1.0930609698509699</v>
          </cell>
          <cell r="BC155">
            <v>1.091630949006984</v>
          </cell>
          <cell r="BD155">
            <v>1.239940693170688</v>
          </cell>
        </row>
        <row r="156">
          <cell r="AZ156" t="str">
            <v>Western Samoa</v>
          </cell>
          <cell r="BA156">
            <v>2.9312740514916324</v>
          </cell>
          <cell r="BB156">
            <v>1.4471842048325723</v>
          </cell>
          <cell r="BC156">
            <v>1.8381540312614295</v>
          </cell>
          <cell r="BD156">
            <v>1.1019216315749205</v>
          </cell>
        </row>
        <row r="157">
          <cell r="AZ157" t="str">
            <v>Yemen</v>
          </cell>
          <cell r="BA157">
            <v>0.66107122004144259</v>
          </cell>
          <cell r="BB157">
            <v>0.6615473922497539</v>
          </cell>
          <cell r="BC157">
            <v>1.4359027446335406</v>
          </cell>
          <cell r="BD157">
            <v>0.6959247193120025</v>
          </cell>
        </row>
        <row r="158">
          <cell r="AZ158" t="str">
            <v>Zambia</v>
          </cell>
          <cell r="BA158">
            <v>1.4845250636034302</v>
          </cell>
          <cell r="BB158">
            <v>0.54426596210326217</v>
          </cell>
          <cell r="BC158">
            <v>2.8528956922726008</v>
          </cell>
          <cell r="BD158">
            <v>0.95607170686764598</v>
          </cell>
        </row>
        <row r="159">
          <cell r="AZ159" t="str">
            <v>Zimbabwe</v>
          </cell>
          <cell r="BA159">
            <v>0.43866465480021855</v>
          </cell>
          <cell r="BB159">
            <v>0.40322296551687348</v>
          </cell>
          <cell r="BC159">
            <v>0.77711671737775156</v>
          </cell>
          <cell r="BD159">
            <v>1.3999132747607606</v>
          </cell>
        </row>
      </sheetData>
      <sheetData sheetId="12"/>
      <sheetData sheetId="13"/>
      <sheetData sheetId="14"/>
      <sheetData sheetId="15"/>
      <sheetData sheetId="16"/>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xplanation"/>
      <sheetName val="GDP"/>
      <sheetName val="POP"/>
      <sheetName val="Interbloc Theil"/>
      <sheetName val="Global Theil"/>
      <sheetName val="Decomposition"/>
      <sheetName val="Chart Decomposition"/>
      <sheetName val="Chart Discrepancy"/>
    </sheetNames>
    <sheetDataSet>
      <sheetData sheetId="0"/>
      <sheetData sheetId="1"/>
      <sheetData sheetId="2">
        <row r="11">
          <cell r="B11" t="str" vm="7">
            <v>Australia</v>
          </cell>
          <cell r="C11" vm="8">
            <v>19652816896</v>
          </cell>
          <cell r="D11" vm="9">
            <v>19892486144</v>
          </cell>
          <cell r="E11" vm="10">
            <v>21507446784</v>
          </cell>
          <cell r="F11" vm="11">
            <v>23764140032</v>
          </cell>
          <cell r="G11" vm="12">
            <v>25936834560</v>
          </cell>
          <cell r="H11" vm="13">
            <v>27268450304</v>
          </cell>
          <cell r="I11" vm="14">
            <v>30397581312</v>
          </cell>
          <cell r="J11" vm="15">
            <v>32665473024</v>
          </cell>
          <cell r="K11" vm="16">
            <v>36628963328</v>
          </cell>
          <cell r="L11" vm="17">
            <v>41271140352</v>
          </cell>
          <cell r="M11" vm="18">
            <v>45149511680</v>
          </cell>
          <cell r="N11" vm="19">
            <v>51967291392</v>
          </cell>
          <cell r="O11" vm="20">
            <v>63737348096</v>
          </cell>
          <cell r="P11" vm="21">
            <v>88831246336</v>
          </cell>
          <cell r="Q11" vm="22">
            <v>97170554880</v>
          </cell>
          <cell r="R11" vm="23">
            <v>104921219072</v>
          </cell>
          <cell r="S11" vm="24">
            <v>110201880576</v>
          </cell>
          <cell r="T11" vm="25">
            <v>118338600960</v>
          </cell>
          <cell r="U11" vm="26">
            <v>134712033280</v>
          </cell>
          <cell r="V11" vm="27">
            <v>149774925824</v>
          </cell>
          <cell r="W11" vm="28">
            <v>176642277376</v>
          </cell>
          <cell r="X11" vm="29">
            <v>193770274816</v>
          </cell>
          <cell r="Y11" vm="30">
            <v>177030414336</v>
          </cell>
          <cell r="Z11" vm="31">
            <v>193242169344</v>
          </cell>
          <cell r="AA11" vm="32">
            <v>180234715136</v>
          </cell>
          <cell r="AB11" vm="33">
            <v>182036938752</v>
          </cell>
          <cell r="AC11" vm="34">
            <v>189060349952</v>
          </cell>
          <cell r="AD11" vm="35">
            <v>235659198464</v>
          </cell>
          <cell r="AE11" vm="36">
            <v>299267981312</v>
          </cell>
          <cell r="AF11" vm="37">
            <v>310777217024</v>
          </cell>
          <cell r="AG11" vm="38">
            <v>325310414848</v>
          </cell>
          <cell r="AH11" vm="39">
            <v>324878860288</v>
          </cell>
          <cell r="AI11" vm="40">
            <v>311544414208</v>
          </cell>
          <cell r="AJ11" vm="41">
            <v>322211676160</v>
          </cell>
          <cell r="AK11" vm="42">
            <v>367216361472</v>
          </cell>
          <cell r="AL11" vm="43">
            <v>400302735360</v>
          </cell>
          <cell r="AM11" vm="44">
            <v>434568003584</v>
          </cell>
          <cell r="AN11" vm="45">
            <v>398899150848</v>
          </cell>
          <cell r="AO11" vm="46">
            <v>388608229376</v>
          </cell>
          <cell r="AP11" vm="47">
            <v>415222628352</v>
          </cell>
          <cell r="AQ11" vm="48">
            <v>378376093696</v>
          </cell>
          <cell r="AR11" vm="49">
            <v>394648911872</v>
          </cell>
          <cell r="AS11" vm="50">
            <v>466488066048</v>
          </cell>
          <cell r="AT11" vm="51">
            <v>612490412032</v>
          </cell>
          <cell r="AU11" vm="52">
            <v>693407776768</v>
          </cell>
          <cell r="AV11" vm="53">
            <v>746054221824</v>
          </cell>
          <cell r="AW11" vm="54">
            <v>853099610112</v>
          </cell>
          <cell r="AX11" vm="55">
            <v>1053995499520</v>
          </cell>
          <cell r="AY11" vm="56">
            <v>927805210624</v>
          </cell>
          <cell r="AZ11" vm="57">
            <v>1146138525696</v>
          </cell>
          <cell r="BA11" vm="58">
            <v>1396649885696</v>
          </cell>
          <cell r="BB11" vm="59">
            <v>1546151788544</v>
          </cell>
          <cell r="BC11" vm="60">
            <v>1576184446976</v>
          </cell>
          <cell r="BD11" vm="61">
            <v>1467483684864</v>
          </cell>
          <cell r="BE11" vm="62">
            <v>1351694024704</v>
          </cell>
          <cell r="BF11" vm="63">
            <v>1208847040512</v>
          </cell>
          <cell r="BG11" vm="64">
            <v>1330135695360</v>
          </cell>
          <cell r="BH11" vm="65">
            <v>1433904349184</v>
          </cell>
          <cell r="BI11" vm="66">
            <v>1392680632320</v>
          </cell>
        </row>
        <row r="12">
          <cell r="B12" t="str" vm="67">
            <v>Austria</v>
          </cell>
          <cell r="C12" vm="68">
            <v>7311749632</v>
          </cell>
          <cell r="D12" vm="69">
            <v>7756110336</v>
          </cell>
          <cell r="E12" vm="70">
            <v>8374175232</v>
          </cell>
          <cell r="F12" vm="71">
            <v>9169983488</v>
          </cell>
          <cell r="G12" vm="72">
            <v>9994071040</v>
          </cell>
          <cell r="H12" vm="73">
            <v>10887682048</v>
          </cell>
          <cell r="I12" vm="74">
            <v>11579431936</v>
          </cell>
          <cell r="J12" vm="75">
            <v>12440625152</v>
          </cell>
          <cell r="K12" vm="76">
            <v>13582798848</v>
          </cell>
          <cell r="L12" vm="77">
            <v>15373005824</v>
          </cell>
          <cell r="M12" vm="78">
            <v>17858486272</v>
          </cell>
          <cell r="N12" vm="79">
            <v>22059612160</v>
          </cell>
          <cell r="O12" vm="80">
            <v>29515468800</v>
          </cell>
          <cell r="P12" vm="81">
            <v>35189301248</v>
          </cell>
          <cell r="Q12" vm="82">
            <v>40059207680</v>
          </cell>
          <cell r="R12" vm="83">
            <v>42959974400</v>
          </cell>
          <cell r="S12" vm="84">
            <v>51545759744</v>
          </cell>
          <cell r="T12" vm="85">
            <v>62052257792</v>
          </cell>
          <cell r="U12" vm="86">
            <v>73937297408</v>
          </cell>
          <cell r="V12" vm="87">
            <v>82058911744</v>
          </cell>
          <cell r="W12" vm="88">
            <v>71034224640</v>
          </cell>
          <cell r="X12" vm="89">
            <v>71275290624</v>
          </cell>
          <cell r="Y12" vm="90">
            <v>72121016320</v>
          </cell>
          <cell r="Z12" vm="91">
            <v>67985346560</v>
          </cell>
          <cell r="AA12" vm="92">
            <v>69386772480</v>
          </cell>
          <cell r="AB12" vm="93">
            <v>99036168192</v>
          </cell>
          <cell r="AC12" vm="94">
            <v>124168445952</v>
          </cell>
          <cell r="AD12" vm="95">
            <v>133339398144</v>
          </cell>
          <cell r="AE12" vm="96">
            <v>133105803264</v>
          </cell>
          <cell r="AF12" vm="97">
            <v>166463389696</v>
          </cell>
          <cell r="AG12" vm="98">
            <v>173794181120</v>
          </cell>
          <cell r="AH12" vm="99">
            <v>195078127616</v>
          </cell>
          <cell r="AI12" vm="100">
            <v>190379720704</v>
          </cell>
          <cell r="AJ12" vm="101">
            <v>203535237120</v>
          </cell>
          <cell r="AK12" vm="102">
            <v>241038278656</v>
          </cell>
          <cell r="AL12" vm="103">
            <v>237250953216</v>
          </cell>
          <cell r="AM12" vm="104">
            <v>212790345728</v>
          </cell>
          <cell r="AN12" vm="105">
            <v>218259898368</v>
          </cell>
          <cell r="AO12" vm="106">
            <v>217185779712</v>
          </cell>
          <cell r="AP12" vm="107">
            <v>196799774720</v>
          </cell>
          <cell r="AQ12" vm="108">
            <v>197337874432</v>
          </cell>
          <cell r="AR12" vm="109">
            <v>213377777664</v>
          </cell>
          <cell r="AS12" vm="110">
            <v>261695782912</v>
          </cell>
          <cell r="AT12" vm="111">
            <v>300904218624</v>
          </cell>
          <cell r="AU12" vm="112">
            <v>315974418432</v>
          </cell>
          <cell r="AV12" vm="113">
            <v>335998550016</v>
          </cell>
          <cell r="AW12" vm="114">
            <v>388691460096</v>
          </cell>
          <cell r="AX12" vm="115">
            <v>430294302720</v>
          </cell>
          <cell r="AY12" vm="116">
            <v>400172285952</v>
          </cell>
          <cell r="AZ12" vm="117">
            <v>391892762624</v>
          </cell>
          <cell r="BA12" vm="118">
            <v>431120318464</v>
          </cell>
          <cell r="BB12" vm="119">
            <v>409425248256</v>
          </cell>
          <cell r="BC12" vm="120">
            <v>430068727808</v>
          </cell>
          <cell r="BD12" vm="121">
            <v>441996115968</v>
          </cell>
          <cell r="BE12" vm="122">
            <v>381817552896</v>
          </cell>
          <cell r="BF12" vm="123">
            <v>395227693056</v>
          </cell>
          <cell r="BG12" vm="124">
            <v>418316156928</v>
          </cell>
          <cell r="BH12" vm="125">
            <v>455508262912</v>
          </cell>
          <cell r="BI12" vm="126">
            <v>446314741760</v>
          </cell>
        </row>
        <row r="13">
          <cell r="B13" t="str" vm="127">
            <v>Belgium</v>
          </cell>
          <cell r="C13" vm="128">
            <v>12400145408</v>
          </cell>
          <cell r="D13" vm="129">
            <v>13264015360</v>
          </cell>
          <cell r="E13" vm="130">
            <v>14260017152</v>
          </cell>
          <cell r="F13" vm="131">
            <v>15960107008</v>
          </cell>
          <cell r="G13" vm="132">
            <v>17371457536</v>
          </cell>
          <cell r="H13" vm="133">
            <v>18651883520</v>
          </cell>
          <cell r="I13" vm="134">
            <v>19992041472</v>
          </cell>
          <cell r="J13" vm="135">
            <v>21376352256</v>
          </cell>
          <cell r="K13" vm="136">
            <v>23710736384</v>
          </cell>
          <cell r="L13" vm="137">
            <v>26706196480</v>
          </cell>
          <cell r="M13" vm="138">
            <v>29821661184</v>
          </cell>
          <cell r="N13" vm="139">
            <v>37209419776</v>
          </cell>
          <cell r="O13" vm="140">
            <v>47743803392</v>
          </cell>
          <cell r="P13" vm="141">
            <v>56033079296</v>
          </cell>
          <cell r="Q13" vm="142">
            <v>65678188544</v>
          </cell>
          <cell r="R13" vm="143">
            <v>71113883648</v>
          </cell>
          <cell r="S13" vm="144">
            <v>82839904256</v>
          </cell>
          <cell r="T13" vm="145">
            <v>101246525440</v>
          </cell>
          <cell r="U13" vm="146">
            <v>116315455488</v>
          </cell>
          <cell r="V13" vm="147">
            <v>126829314048</v>
          </cell>
          <cell r="W13" vm="148">
            <v>104730017792</v>
          </cell>
          <cell r="X13" vm="149">
            <v>92095930368</v>
          </cell>
          <cell r="Y13" vm="150">
            <v>87184236544</v>
          </cell>
          <cell r="Z13" vm="151">
            <v>83349528576</v>
          </cell>
          <cell r="AA13" vm="152">
            <v>86268264448</v>
          </cell>
          <cell r="AB13" vm="153">
            <v>120018788352</v>
          </cell>
          <cell r="AC13" vm="154">
            <v>149394407424</v>
          </cell>
          <cell r="AD13" vm="155">
            <v>162299101184</v>
          </cell>
          <cell r="AE13" vm="156">
            <v>164221059072</v>
          </cell>
          <cell r="AF13" vm="157">
            <v>205331742720</v>
          </cell>
          <cell r="AG13" vm="158">
            <v>210511003648</v>
          </cell>
          <cell r="AH13" vm="159">
            <v>234781655040</v>
          </cell>
          <cell r="AI13" vm="160">
            <v>224721797120</v>
          </cell>
          <cell r="AJ13" vm="161">
            <v>244884127744</v>
          </cell>
          <cell r="AK13" vm="162">
            <v>288025575424</v>
          </cell>
          <cell r="AL13" vm="163">
            <v>279201447936</v>
          </cell>
          <cell r="AM13" vm="164">
            <v>252708044800</v>
          </cell>
          <cell r="AN13" vm="165">
            <v>258528346112</v>
          </cell>
          <cell r="AO13" vm="166">
            <v>258158526464</v>
          </cell>
          <cell r="AP13" vm="167">
            <v>236204539904</v>
          </cell>
          <cell r="AQ13" vm="168">
            <v>236541296640</v>
          </cell>
          <cell r="AR13" vm="169">
            <v>257157824512</v>
          </cell>
          <cell r="AS13" vm="170">
            <v>317381705728</v>
          </cell>
          <cell r="AT13" vm="171">
            <v>368537010176</v>
          </cell>
          <cell r="AU13" vm="172">
            <v>385570963456</v>
          </cell>
          <cell r="AV13" vm="173">
            <v>407918084096</v>
          </cell>
          <cell r="AW13" vm="174">
            <v>470324248576</v>
          </cell>
          <cell r="AX13" vm="175">
            <v>515223519232</v>
          </cell>
          <cell r="AY13" vm="176">
            <v>481345929216</v>
          </cell>
          <cell r="AZ13" vm="177">
            <v>480951631872</v>
          </cell>
          <cell r="BA13" vm="178">
            <v>522645504000</v>
          </cell>
          <cell r="BB13" vm="179">
            <v>496181248000</v>
          </cell>
          <cell r="BC13" vm="180">
            <v>521642704896</v>
          </cell>
          <cell r="BD13" vm="181">
            <v>534678077440</v>
          </cell>
          <cell r="BE13" vm="182">
            <v>462149681152</v>
          </cell>
          <cell r="BF13" vm="183">
            <v>475900870656</v>
          </cell>
          <cell r="BG13" vm="184">
            <v>503788765184</v>
          </cell>
          <cell r="BH13" vm="185">
            <v>542685921280</v>
          </cell>
          <cell r="BI13" vm="186">
            <v>529606705152</v>
          </cell>
        </row>
        <row r="14">
          <cell r="B14" t="str" vm="187">
            <v>Finland</v>
          </cell>
          <cell r="C14" vm="188">
            <v>5921659392</v>
          </cell>
          <cell r="D14" vm="189">
            <v>6340580864</v>
          </cell>
          <cell r="E14" vm="190">
            <v>6885920256</v>
          </cell>
          <cell r="F14" vm="191">
            <v>7766654976</v>
          </cell>
          <cell r="G14" vm="192">
            <v>8589340160</v>
          </cell>
          <cell r="H14" vm="193">
            <v>9208524800</v>
          </cell>
          <cell r="I14" vm="194">
            <v>9368953856</v>
          </cell>
          <cell r="J14" vm="195">
            <v>8823033856</v>
          </cell>
          <cell r="K14" vm="196">
            <v>10070766592</v>
          </cell>
          <cell r="L14" vm="197">
            <v>11357516800</v>
          </cell>
          <cell r="M14" vm="198">
            <v>12527405056</v>
          </cell>
          <cell r="N14" vm="199">
            <v>14743185408</v>
          </cell>
          <cell r="O14" vm="200">
            <v>19472363520</v>
          </cell>
          <cell r="P14" vm="201">
            <v>24848822272</v>
          </cell>
          <cell r="Q14" vm="202">
            <v>29472624640</v>
          </cell>
          <cell r="R14" vm="203">
            <v>31849515008</v>
          </cell>
          <cell r="S14" vm="204">
            <v>33499799552</v>
          </cell>
          <cell r="T14" vm="205">
            <v>36256161792</v>
          </cell>
          <cell r="U14" vm="206">
            <v>44465254400</v>
          </cell>
          <cell r="V14" vm="207">
            <v>53645201408</v>
          </cell>
          <cell r="W14" vm="208">
            <v>52448333824</v>
          </cell>
          <cell r="X14" vm="209">
            <v>52797583360</v>
          </cell>
          <cell r="Y14" vm="210">
            <v>50973528064</v>
          </cell>
          <cell r="Z14" vm="211">
            <v>52888801280</v>
          </cell>
          <cell r="AA14" vm="212">
            <v>55875862528</v>
          </cell>
          <cell r="AB14" vm="213">
            <v>73531547648</v>
          </cell>
          <cell r="AC14" vm="214">
            <v>91594752000</v>
          </cell>
          <cell r="AD14" vm="215">
            <v>109058990080</v>
          </cell>
          <cell r="AE14" vm="216">
            <v>119012057088</v>
          </cell>
          <cell r="AF14" vm="217">
            <v>141438353408</v>
          </cell>
          <cell r="AG14" vm="218">
            <v>127773859840</v>
          </cell>
          <cell r="AH14" vm="219">
            <v>112532520960</v>
          </cell>
          <cell r="AI14" vm="220">
            <v>89214115840</v>
          </cell>
          <cell r="AJ14" vm="221">
            <v>103299940352</v>
          </cell>
          <cell r="AK14" vm="222">
            <v>134189817856</v>
          </cell>
          <cell r="AL14" vm="223">
            <v>132129177600</v>
          </cell>
          <cell r="AM14" vm="224">
            <v>126912151552</v>
          </cell>
          <cell r="AN14" vm="225">
            <v>134038716416</v>
          </cell>
          <cell r="AO14" vm="226">
            <v>135218413568</v>
          </cell>
          <cell r="AP14" vm="227">
            <v>125706649600</v>
          </cell>
          <cell r="AQ14" vm="228">
            <v>129421025280</v>
          </cell>
          <cell r="AR14" vm="229">
            <v>139738382336</v>
          </cell>
          <cell r="AS14" vm="230">
            <v>171274272768</v>
          </cell>
          <cell r="AT14" vm="231">
            <v>197116952576</v>
          </cell>
          <cell r="AU14" vm="232">
            <v>204809109504</v>
          </cell>
          <cell r="AV14" vm="233">
            <v>216907546624</v>
          </cell>
          <cell r="AW14" vm="234">
            <v>256052559872</v>
          </cell>
          <cell r="AX14" vm="235">
            <v>284553969664</v>
          </cell>
          <cell r="AY14" vm="236">
            <v>252496527360</v>
          </cell>
          <cell r="AZ14" vm="237">
            <v>249181192192</v>
          </cell>
          <cell r="BA14" vm="238">
            <v>275243696128</v>
          </cell>
          <cell r="BB14" vm="239">
            <v>258304835584</v>
          </cell>
          <cell r="BC14" vm="240">
            <v>271285272576</v>
          </cell>
          <cell r="BD14" vm="241">
            <v>274497224704</v>
          </cell>
          <cell r="BE14" vm="242">
            <v>234440081408</v>
          </cell>
          <cell r="BF14" vm="243">
            <v>240607903744</v>
          </cell>
          <cell r="BG14" vm="244">
            <v>255122538496</v>
          </cell>
          <cell r="BH14" vm="245">
            <v>275893682176</v>
          </cell>
          <cell r="BI14" vm="246">
            <v>268761202688</v>
          </cell>
        </row>
        <row r="15">
          <cell r="B15" t="str" vm="247">
            <v>France</v>
          </cell>
          <cell r="C15" vm="248">
            <v>67461644288</v>
          </cell>
          <cell r="D15" vm="249">
            <v>75607531520</v>
          </cell>
          <cell r="E15" vm="250">
            <v>84759191552</v>
          </cell>
          <cell r="F15" vm="251">
            <v>94007853056</v>
          </cell>
          <cell r="G15" vm="252">
            <v>101537251328</v>
          </cell>
          <cell r="H15" vm="253">
            <v>110045855744</v>
          </cell>
          <cell r="I15" vm="254">
            <v>118972981248</v>
          </cell>
          <cell r="J15" vm="255">
            <v>129785438208</v>
          </cell>
          <cell r="K15" vm="256">
            <v>141903069184</v>
          </cell>
          <cell r="L15" vm="257">
            <v>148456357888</v>
          </cell>
          <cell r="M15" vm="258">
            <v>165966610432</v>
          </cell>
          <cell r="N15" vm="259">
            <v>203494146048</v>
          </cell>
          <cell r="O15" vm="260">
            <v>264429879296</v>
          </cell>
          <cell r="P15" vm="261">
            <v>285552377856</v>
          </cell>
          <cell r="Q15" vm="262">
            <v>360832172032</v>
          </cell>
          <cell r="R15" vm="263">
            <v>372319027200</v>
          </cell>
          <cell r="S15" vm="264">
            <v>410279477248</v>
          </cell>
          <cell r="T15" vm="265">
            <v>506707836928</v>
          </cell>
          <cell r="U15" vm="266">
            <v>613953110016</v>
          </cell>
          <cell r="V15" vm="267">
            <v>701288415232</v>
          </cell>
          <cell r="W15" vm="268">
            <v>615552188416</v>
          </cell>
          <cell r="X15" vm="269">
            <v>584877735936</v>
          </cell>
          <cell r="Y15" vm="270">
            <v>559869198336</v>
          </cell>
          <cell r="Z15" vm="271">
            <v>530683789312</v>
          </cell>
          <cell r="AA15" vm="272">
            <v>553138388992</v>
          </cell>
          <cell r="AB15" vm="273">
            <v>771470786560</v>
          </cell>
          <cell r="AC15" vm="274">
            <v>934173278208</v>
          </cell>
          <cell r="AD15" vm="275">
            <v>1018847035392</v>
          </cell>
          <cell r="AE15" vm="276">
            <v>1025211826176</v>
          </cell>
          <cell r="AF15" vm="277">
            <v>1269179613184</v>
          </cell>
          <cell r="AG15" vm="278">
            <v>1269276868608</v>
          </cell>
          <cell r="AH15" vm="279">
            <v>1401465864192</v>
          </cell>
          <cell r="AI15" vm="280">
            <v>1322815586304</v>
          </cell>
          <cell r="AJ15" vm="281">
            <v>1393982701568</v>
          </cell>
          <cell r="AK15" vm="282">
            <v>1601094811648</v>
          </cell>
          <cell r="AL15" vm="283">
            <v>1605675122688</v>
          </cell>
          <cell r="AM15" vm="284">
            <v>1452884885504</v>
          </cell>
          <cell r="AN15" vm="285">
            <v>1503108792320</v>
          </cell>
          <cell r="AO15" vm="286">
            <v>1492647542784</v>
          </cell>
          <cell r="AP15" vm="287">
            <v>1362248990720</v>
          </cell>
          <cell r="AQ15" vm="288">
            <v>1376465321984</v>
          </cell>
          <cell r="AR15" vm="289">
            <v>1494286598144</v>
          </cell>
          <cell r="AS15" vm="290">
            <v>1840480780288</v>
          </cell>
          <cell r="AT15" vm="291">
            <v>2115742466048</v>
          </cell>
          <cell r="AU15" vm="292">
            <v>2196126040064</v>
          </cell>
          <cell r="AV15" vm="293">
            <v>2318593687552</v>
          </cell>
          <cell r="AW15" vm="294">
            <v>2657213218816</v>
          </cell>
          <cell r="AX15" vm="295">
            <v>2918382829568</v>
          </cell>
          <cell r="AY15" vm="296">
            <v>2690222391296</v>
          </cell>
          <cell r="AZ15" vm="297">
            <v>2642609438720</v>
          </cell>
          <cell r="BA15" vm="298">
            <v>2861408190464</v>
          </cell>
          <cell r="BB15" vm="299">
            <v>2683825291264</v>
          </cell>
          <cell r="BC15" vm="300">
            <v>2811077853184</v>
          </cell>
          <cell r="BD15" vm="301">
            <v>2852165779456</v>
          </cell>
          <cell r="BE15" vm="302">
            <v>2438207897600</v>
          </cell>
          <cell r="BF15" vm="303">
            <v>2471285489664</v>
          </cell>
          <cell r="BG15" vm="304">
            <v>2595151151104</v>
          </cell>
          <cell r="BH15" vm="305">
            <v>2787863953408</v>
          </cell>
          <cell r="BI15" vm="306">
            <v>2715518238720</v>
          </cell>
        </row>
        <row r="16">
          <cell r="B16" t="str" vm="307">
            <v>Greece</v>
          </cell>
          <cell r="C16" vm="308">
            <v>4961400320</v>
          </cell>
          <cell r="D16" vm="309">
            <v>5213047808</v>
          </cell>
          <cell r="E16" vm="310">
            <v>5895278080</v>
          </cell>
          <cell r="F16" vm="311">
            <v>6669673472</v>
          </cell>
          <cell r="G16" vm="312">
            <v>7689154048</v>
          </cell>
          <cell r="H16" vm="313">
            <v>8591517696</v>
          </cell>
          <cell r="I16" vm="314">
            <v>9275600896</v>
          </cell>
          <cell r="J16" vm="315">
            <v>10090676224</v>
          </cell>
          <cell r="K16" vm="316">
            <v>11615656960</v>
          </cell>
          <cell r="L16" vm="317">
            <v>13139862528</v>
          </cell>
          <cell r="M16" vm="318">
            <v>14591755264</v>
          </cell>
          <cell r="N16" vm="319">
            <v>16885507072</v>
          </cell>
          <cell r="O16" vm="320">
            <v>22347845632</v>
          </cell>
          <cell r="P16" vm="321">
            <v>25351305216</v>
          </cell>
          <cell r="Q16" vm="322">
            <v>28525873152</v>
          </cell>
          <cell r="R16" vm="323">
            <v>31152840704</v>
          </cell>
          <cell r="S16" vm="324">
            <v>36176232448</v>
          </cell>
          <cell r="T16" vm="325">
            <v>44270202880</v>
          </cell>
          <cell r="U16" vm="326">
            <v>54481874944</v>
          </cell>
          <cell r="V16" vm="327">
            <v>56829665280</v>
          </cell>
          <cell r="W16" vm="328">
            <v>52346507264</v>
          </cell>
          <cell r="X16" vm="329">
            <v>54617993216</v>
          </cell>
          <cell r="Y16" vm="330">
            <v>49428873216</v>
          </cell>
          <cell r="Z16" vm="331">
            <v>48020025344</v>
          </cell>
          <cell r="AA16" vm="332">
            <v>47820849152</v>
          </cell>
          <cell r="AB16" vm="333">
            <v>56379592704</v>
          </cell>
          <cell r="AC16" vm="334">
            <v>65652752384</v>
          </cell>
          <cell r="AD16" vm="335">
            <v>76261277696</v>
          </cell>
          <cell r="AE16" vm="336">
            <v>79169044480</v>
          </cell>
          <cell r="AF16" vm="337">
            <v>97891090432</v>
          </cell>
          <cell r="AG16" vm="338">
            <v>105143230464</v>
          </cell>
          <cell r="AH16" vm="339">
            <v>116224671744</v>
          </cell>
          <cell r="AI16" vm="340">
            <v>108809060352</v>
          </cell>
          <cell r="AJ16" vm="341">
            <v>116601798656</v>
          </cell>
          <cell r="AK16" vm="342">
            <v>136878366720</v>
          </cell>
          <cell r="AL16" vm="343">
            <v>145861607424</v>
          </cell>
          <cell r="AM16" vm="344">
            <v>143157592064</v>
          </cell>
          <cell r="AN16" vm="345">
            <v>144428171264</v>
          </cell>
          <cell r="AO16" vm="346">
            <v>142540734464</v>
          </cell>
          <cell r="AP16" vm="347">
            <v>130133843968</v>
          </cell>
          <cell r="AQ16" vm="348">
            <v>136191352832</v>
          </cell>
          <cell r="AR16" vm="349">
            <v>153830948864</v>
          </cell>
          <cell r="AS16" vm="350">
            <v>201924263936</v>
          </cell>
          <cell r="AT16" vm="351">
            <v>240521265152</v>
          </cell>
          <cell r="AU16" vm="352">
            <v>247782998016</v>
          </cell>
          <cell r="AV16" vm="353">
            <v>273317740544</v>
          </cell>
          <cell r="AW16" vm="354">
            <v>318497947648</v>
          </cell>
          <cell r="AX16" vm="355">
            <v>354460794880</v>
          </cell>
          <cell r="AY16" vm="356">
            <v>330000236544</v>
          </cell>
          <cell r="AZ16" vm="357">
            <v>299361566720</v>
          </cell>
          <cell r="BA16" vm="358">
            <v>287797837824</v>
          </cell>
          <cell r="BB16" vm="359">
            <v>245670674432</v>
          </cell>
          <cell r="BC16" vm="360">
            <v>239862005760</v>
          </cell>
          <cell r="BD16" vm="361">
            <v>237029572608</v>
          </cell>
          <cell r="BE16" vm="362">
            <v>196591353856</v>
          </cell>
          <cell r="BF16" vm="363">
            <v>195222437888</v>
          </cell>
          <cell r="BG16" vm="364">
            <v>203588419584</v>
          </cell>
          <cell r="BH16" vm="365">
            <v>218138361856</v>
          </cell>
          <cell r="BI16" vm="366">
            <v>209852760064</v>
          </cell>
        </row>
        <row r="17">
          <cell r="B17" t="str" vm="367">
            <v>Israel</v>
          </cell>
          <cell r="C17" vm="368">
            <v>3138500096</v>
          </cell>
          <cell r="D17" vm="369">
            <v>2510000128</v>
          </cell>
          <cell r="E17" vm="370">
            <v>2992333312</v>
          </cell>
          <cell r="F17" vm="371">
            <v>3405333248</v>
          </cell>
          <cell r="G17" vm="372">
            <v>3663333376</v>
          </cell>
          <cell r="H17" vm="373">
            <v>3980000000</v>
          </cell>
          <cell r="I17" vm="374">
            <v>4030000128</v>
          </cell>
          <cell r="J17" vm="375">
            <v>4618999808</v>
          </cell>
          <cell r="K17" vm="376">
            <v>5329333248</v>
          </cell>
          <cell r="L17" vm="377">
            <v>7048666624</v>
          </cell>
          <cell r="M17" vm="378">
            <v>6711750144</v>
          </cell>
          <cell r="N17" vm="379">
            <v>8775249920</v>
          </cell>
          <cell r="O17" vm="380">
            <v>11326249984</v>
          </cell>
          <cell r="P17" vm="381">
            <v>16341000192</v>
          </cell>
          <cell r="Q17" vm="382">
            <v>15360166912</v>
          </cell>
          <cell r="R17" vm="383">
            <v>15183125504</v>
          </cell>
          <cell r="S17" vm="384">
            <v>17372798976</v>
          </cell>
          <cell r="T17" vm="385">
            <v>16843176960</v>
          </cell>
          <cell r="U17" vm="386">
            <v>21514080256</v>
          </cell>
          <cell r="V17" vm="387">
            <v>24164509696</v>
          </cell>
          <cell r="W17" vm="388">
            <v>25579227136</v>
          </cell>
          <cell r="X17" vm="389">
            <v>27837509632</v>
          </cell>
          <cell r="Y17" vm="390">
            <v>31092230144</v>
          </cell>
          <cell r="Z17" vm="391">
            <v>29160458240</v>
          </cell>
          <cell r="AA17" vm="392">
            <v>27504906240</v>
          </cell>
          <cell r="AB17" vm="393">
            <v>34097559552</v>
          </cell>
          <cell r="AC17" vm="394">
            <v>40963276800</v>
          </cell>
          <cell r="AD17" vm="395">
            <v>50099380224</v>
          </cell>
          <cell r="AE17" vm="396">
            <v>49901961216</v>
          </cell>
          <cell r="AF17" vm="397">
            <v>59011272704</v>
          </cell>
          <cell r="AG17" vm="398">
            <v>67558014976</v>
          </cell>
          <cell r="AH17" vm="399">
            <v>75607007232</v>
          </cell>
          <cell r="AI17" vm="400">
            <v>75985903616</v>
          </cell>
          <cell r="AJ17" vm="401">
            <v>86342656000</v>
          </cell>
          <cell r="AK17" vm="402">
            <v>100384808960</v>
          </cell>
          <cell r="AL17" vm="403">
            <v>109995843584</v>
          </cell>
          <cell r="AM17" vm="404">
            <v>114692620288</v>
          </cell>
          <cell r="AN17" vm="405">
            <v>115932848128</v>
          </cell>
          <cell r="AO17" vm="406">
            <v>117111537664</v>
          </cell>
          <cell r="AP17" vm="407">
            <v>132343046144</v>
          </cell>
          <cell r="AQ17" vm="408">
            <v>130756337664</v>
          </cell>
          <cell r="AR17" vm="409">
            <v>121123831808</v>
          </cell>
          <cell r="AS17" vm="410">
            <v>126965981184</v>
          </cell>
          <cell r="AT17" vm="411">
            <v>135477428224</v>
          </cell>
          <cell r="AU17" vm="412">
            <v>142528905216</v>
          </cell>
          <cell r="AV17" vm="413">
            <v>154034323456</v>
          </cell>
          <cell r="AW17" vm="414">
            <v>178959187968</v>
          </cell>
          <cell r="AX17" vm="415">
            <v>216105172992</v>
          </cell>
          <cell r="AY17" vm="416">
            <v>207468167168</v>
          </cell>
          <cell r="AZ17" vm="417">
            <v>233995681792</v>
          </cell>
          <cell r="BA17" vm="418">
            <v>261468635136</v>
          </cell>
          <cell r="BB17" vm="419">
            <v>257180139520</v>
          </cell>
          <cell r="BC17" vm="420">
            <v>292636164096</v>
          </cell>
          <cell r="BD17" vm="421">
            <v>309558444032</v>
          </cell>
          <cell r="BE17" vm="422">
            <v>299813109760</v>
          </cell>
          <cell r="BF17" vm="423">
            <v>318950604800</v>
          </cell>
          <cell r="BG17" vm="424">
            <v>353253392384</v>
          </cell>
          <cell r="BH17" vm="425">
            <v>370587992064</v>
          </cell>
          <cell r="BI17" vm="426">
            <v>395098652672</v>
          </cell>
        </row>
        <row r="18">
          <cell r="B18" t="str" vm="427">
            <v>Italy</v>
          </cell>
          <cell r="C18" vm="428">
            <v>44842762240</v>
          </cell>
          <cell r="D18" vm="429">
            <v>50383892480</v>
          </cell>
          <cell r="E18" vm="430">
            <v>57710743552</v>
          </cell>
          <cell r="F18" vm="431">
            <v>63175417856</v>
          </cell>
          <cell r="G18" vm="432">
            <v>67978153984</v>
          </cell>
          <cell r="H18" vm="433">
            <v>73654870016</v>
          </cell>
          <cell r="I18" vm="434">
            <v>81133117440</v>
          </cell>
          <cell r="J18" vm="435">
            <v>87942234112</v>
          </cell>
          <cell r="K18" vm="436">
            <v>97085079552</v>
          </cell>
          <cell r="L18" vm="437">
            <v>113395318784</v>
          </cell>
          <cell r="M18" vm="438">
            <v>124672368640</v>
          </cell>
          <cell r="N18" vm="439">
            <v>145260036096</v>
          </cell>
          <cell r="O18" vm="440">
            <v>175492055040</v>
          </cell>
          <cell r="P18" vm="441">
            <v>199564492800</v>
          </cell>
          <cell r="Q18" vm="442">
            <v>227695853568</v>
          </cell>
          <cell r="R18" vm="443">
            <v>224717275136</v>
          </cell>
          <cell r="S18" vm="444">
            <v>257596309504</v>
          </cell>
          <cell r="T18" vm="445">
            <v>315058323456</v>
          </cell>
          <cell r="U18" vm="446">
            <v>393677176832</v>
          </cell>
          <cell r="V18" vm="447">
            <v>477256777728</v>
          </cell>
          <cell r="W18" vm="448">
            <v>430702854144</v>
          </cell>
          <cell r="X18" vm="449">
            <v>427272634368</v>
          </cell>
          <cell r="Y18" vm="450">
            <v>443042365440</v>
          </cell>
          <cell r="Z18" vm="451">
            <v>437887696896</v>
          </cell>
          <cell r="AA18" vm="452">
            <v>452217503744</v>
          </cell>
          <cell r="AB18" vm="453">
            <v>640386334720</v>
          </cell>
          <cell r="AC18" vm="454">
            <v>805713149952</v>
          </cell>
          <cell r="AD18" vm="455">
            <v>891608956928</v>
          </cell>
          <cell r="AE18" vm="456">
            <v>928661307392</v>
          </cell>
          <cell r="AF18" vm="457">
            <v>1181222699008</v>
          </cell>
          <cell r="AG18" vm="458">
            <v>1246220124160</v>
          </cell>
          <cell r="AH18" vm="459">
            <v>1320161640448</v>
          </cell>
          <cell r="AI18" vm="460">
            <v>1064958099456</v>
          </cell>
          <cell r="AJ18" vm="461">
            <v>1099216715776</v>
          </cell>
          <cell r="AK18" vm="462">
            <v>1174662021120</v>
          </cell>
          <cell r="AL18" vm="463">
            <v>1312426557440</v>
          </cell>
          <cell r="AM18" vm="464">
            <v>1241879543808</v>
          </cell>
          <cell r="AN18" vm="465">
            <v>1270052552704</v>
          </cell>
          <cell r="AO18" vm="466">
            <v>1252023730176</v>
          </cell>
          <cell r="AP18" vm="467">
            <v>1143829823488</v>
          </cell>
          <cell r="AQ18" vm="468">
            <v>1167012790272</v>
          </cell>
          <cell r="AR18" vm="469">
            <v>1270712369152</v>
          </cell>
          <cell r="AS18" vm="470">
            <v>1574145884160</v>
          </cell>
          <cell r="AT18" vm="471">
            <v>1803226972160</v>
          </cell>
          <cell r="AU18" vm="472">
            <v>1857524334592</v>
          </cell>
          <cell r="AV18" vm="473">
            <v>1947919712256</v>
          </cell>
          <cell r="AW18" vm="474">
            <v>2210292563968</v>
          </cell>
          <cell r="AX18" vm="475">
            <v>2398856675328</v>
          </cell>
          <cell r="AY18" vm="476">
            <v>2191241904128</v>
          </cell>
          <cell r="AZ18" vm="477">
            <v>2134017835008</v>
          </cell>
          <cell r="BA18" vm="478">
            <v>2291991052288</v>
          </cell>
          <cell r="BB18" vm="479">
            <v>2087077019648</v>
          </cell>
          <cell r="BC18" vm="480">
            <v>2141315268608</v>
          </cell>
          <cell r="BD18" vm="481">
            <v>2159133982720</v>
          </cell>
          <cell r="BE18" vm="482">
            <v>1835899289600</v>
          </cell>
          <cell r="BF18" vm="483">
            <v>1875797475328</v>
          </cell>
          <cell r="BG18" vm="484">
            <v>1961796173824</v>
          </cell>
          <cell r="BH18" vm="485">
            <v>2085764333568</v>
          </cell>
          <cell r="BI18" vm="486">
            <v>2001244389376</v>
          </cell>
        </row>
        <row r="19">
          <cell r="B19" t="str" vm="487">
            <v>Japan</v>
          </cell>
          <cell r="C19" vm="488">
            <v>53508616192</v>
          </cell>
          <cell r="D19" vm="489">
            <v>60723019776</v>
          </cell>
          <cell r="E19" vm="490">
            <v>69498134528</v>
          </cell>
          <cell r="F19" vm="491">
            <v>81749008384</v>
          </cell>
          <cell r="G19" vm="492">
            <v>90950279168</v>
          </cell>
          <cell r="H19" vm="493">
            <v>105628073984</v>
          </cell>
          <cell r="I19" vm="494">
            <v>123781881856</v>
          </cell>
          <cell r="J19" vm="495">
            <v>146601066496</v>
          </cell>
          <cell r="K19" vm="496">
            <v>172204195840</v>
          </cell>
          <cell r="L19" vm="497">
            <v>212609187840</v>
          </cell>
          <cell r="M19" vm="498">
            <v>240151805952</v>
          </cell>
          <cell r="N19" vm="499">
            <v>318031298560</v>
          </cell>
          <cell r="O19" vm="500">
            <v>432082681856</v>
          </cell>
          <cell r="P19" vm="501">
            <v>479626002432</v>
          </cell>
          <cell r="Q19" vm="502">
            <v>521541910528</v>
          </cell>
          <cell r="R19" vm="503">
            <v>586161848320</v>
          </cell>
          <cell r="S19" vm="504">
            <v>721411768320</v>
          </cell>
          <cell r="T19" vm="505">
            <v>1013612150784</v>
          </cell>
          <cell r="U19" vm="506">
            <v>1055012093952</v>
          </cell>
          <cell r="V19" vm="507">
            <v>1105386012672</v>
          </cell>
          <cell r="W19" vm="508">
            <v>1218988998656</v>
          </cell>
          <cell r="X19" vm="509">
            <v>1134517944320</v>
          </cell>
          <cell r="Y19" vm="510">
            <v>1243323564032</v>
          </cell>
          <cell r="Z19" vm="511">
            <v>1318381682688</v>
          </cell>
          <cell r="AA19" vm="512">
            <v>1398892789760</v>
          </cell>
          <cell r="AB19" vm="513">
            <v>2078953308160</v>
          </cell>
          <cell r="AC19" vm="514">
            <v>2532808589312</v>
          </cell>
          <cell r="AD19" vm="515">
            <v>3071683067904</v>
          </cell>
          <cell r="AE19" vm="516">
            <v>3054914240512</v>
          </cell>
          <cell r="AF19" vm="517">
            <v>3132817670144</v>
          </cell>
          <cell r="AG19" vm="518">
            <v>3584419954688</v>
          </cell>
          <cell r="AH19" vm="519">
            <v>3908809523200</v>
          </cell>
          <cell r="AI19" vm="520">
            <v>4454143754240</v>
          </cell>
          <cell r="AJ19" vm="521">
            <v>4907039457280</v>
          </cell>
          <cell r="AK19" vm="522">
            <v>5449116549120</v>
          </cell>
          <cell r="AL19" vm="523">
            <v>4833712537600</v>
          </cell>
          <cell r="AM19" vm="524">
            <v>4414733025280</v>
          </cell>
          <cell r="AN19" vm="525">
            <v>4032509771776</v>
          </cell>
          <cell r="AO19" vm="526">
            <v>4562078924800</v>
          </cell>
          <cell r="AP19" vm="527">
            <v>4887519690752</v>
          </cell>
          <cell r="AQ19" vm="528">
            <v>4303544385536</v>
          </cell>
          <cell r="AR19" vm="529">
            <v>4115116326912</v>
          </cell>
          <cell r="AS19" vm="530">
            <v>4445658152960</v>
          </cell>
          <cell r="AT19" vm="531">
            <v>4815149072384</v>
          </cell>
          <cell r="AU19" vm="532">
            <v>4755410649088</v>
          </cell>
          <cell r="AV19" vm="533">
            <v>4530377326592</v>
          </cell>
          <cell r="AW19" vm="534">
            <v>4515264724992</v>
          </cell>
          <cell r="AX19" vm="535">
            <v>5037908557824</v>
          </cell>
          <cell r="AY19" vm="536">
            <v>5231382888448</v>
          </cell>
          <cell r="AZ19" vm="537">
            <v>5700097933312</v>
          </cell>
          <cell r="BA19" vm="538">
            <v>6157459521536</v>
          </cell>
          <cell r="BB19" vm="539">
            <v>6203213086720</v>
          </cell>
          <cell r="BC19" vm="540">
            <v>5155717120000</v>
          </cell>
          <cell r="BD19" vm="541">
            <v>4850413731840</v>
          </cell>
          <cell r="BE19" vm="542">
            <v>4389475713024</v>
          </cell>
          <cell r="BF19" vm="543">
            <v>4922537934848</v>
          </cell>
          <cell r="BG19" vm="544">
            <v>4866864316416</v>
          </cell>
          <cell r="BH19" vm="545">
            <v>4954806812672</v>
          </cell>
          <cell r="BI19" vm="546">
            <v>5081769443328</v>
          </cell>
        </row>
        <row r="20">
          <cell r="B20" t="str" vm="547">
            <v>Luxemburg</v>
          </cell>
          <cell r="C20" vm="548">
            <v>704145664</v>
          </cell>
          <cell r="D20" vm="549">
            <v>741509504</v>
          </cell>
          <cell r="E20" vm="550">
            <v>791140608</v>
          </cell>
          <cell r="F20" vm="551">
            <v>903158784</v>
          </cell>
          <cell r="G20" vm="552">
            <v>921600768</v>
          </cell>
          <cell r="H20" vm="553">
            <v>968440128</v>
          </cell>
          <cell r="I20" vm="554">
            <v>974721792</v>
          </cell>
          <cell r="J20" vm="555">
            <v>1066447104</v>
          </cell>
          <cell r="K20" vm="556">
            <v>1234878976</v>
          </cell>
          <cell r="L20" vm="557">
            <v>1509155072</v>
          </cell>
          <cell r="M20" vm="558">
            <v>1572310784</v>
          </cell>
          <cell r="N20" vm="559">
            <v>1968733056</v>
          </cell>
          <cell r="O20" vm="560">
            <v>2701874688</v>
          </cell>
          <cell r="P20" vm="561">
            <v>3295860992</v>
          </cell>
          <cell r="Q20" vm="562">
            <v>3233431552</v>
          </cell>
          <cell r="R20" vm="563">
            <v>3544268032</v>
          </cell>
          <cell r="S20" vm="564">
            <v>3922895872</v>
          </cell>
          <cell r="T20" vm="565">
            <v>4884869120</v>
          </cell>
          <cell r="U20" vm="566">
            <v>5711457792</v>
          </cell>
          <cell r="V20" vm="567">
            <v>6232005632</v>
          </cell>
          <cell r="W20" vm="568">
            <v>5231808512</v>
          </cell>
          <cell r="X20" vm="569">
            <v>4764549632</v>
          </cell>
          <cell r="Y20" vm="570">
            <v>4683697664</v>
          </cell>
          <cell r="Z20" vm="571">
            <v>4594891776</v>
          </cell>
          <cell r="AA20" vm="572">
            <v>4738559488</v>
          </cell>
          <cell r="AB20" vm="573">
            <v>6921264128</v>
          </cell>
          <cell r="AC20" vm="574">
            <v>8614215680</v>
          </cell>
          <cell r="AD20" vm="575">
            <v>9750161408</v>
          </cell>
          <cell r="AE20" vm="576">
            <v>10391504896</v>
          </cell>
          <cell r="AF20" vm="577">
            <v>13229247488</v>
          </cell>
          <cell r="AG20" vm="578">
            <v>14321879040</v>
          </cell>
          <cell r="AH20" vm="579">
            <v>16065740800</v>
          </cell>
          <cell r="AI20" vm="580">
            <v>16486899712</v>
          </cell>
          <cell r="AJ20" vm="581">
            <v>18325790720</v>
          </cell>
          <cell r="AK20" vm="582">
            <v>21588170752</v>
          </cell>
          <cell r="AL20" vm="583">
            <v>21776609280</v>
          </cell>
          <cell r="AM20" vm="584">
            <v>19731912704</v>
          </cell>
          <cell r="AN20" vm="585">
            <v>20209121280</v>
          </cell>
          <cell r="AO20" vm="586">
            <v>22235928576</v>
          </cell>
          <cell r="AP20" vm="587">
            <v>21263515648</v>
          </cell>
          <cell r="AQ20" vm="588">
            <v>21272418304</v>
          </cell>
          <cell r="AR20" vm="589">
            <v>23616329728</v>
          </cell>
          <cell r="AS20" vm="590">
            <v>29557325824</v>
          </cell>
          <cell r="AT20" vm="591">
            <v>34685280256</v>
          </cell>
          <cell r="AU20" vm="592">
            <v>37347393536</v>
          </cell>
          <cell r="AV20" vm="593">
            <v>42414309376</v>
          </cell>
          <cell r="AW20" vm="594">
            <v>50888134656</v>
          </cell>
          <cell r="AX20" vm="595">
            <v>55849684992</v>
          </cell>
          <cell r="AY20" vm="596">
            <v>51370545152</v>
          </cell>
          <cell r="AZ20" vm="597">
            <v>53212475392</v>
          </cell>
          <cell r="BA20" vm="598">
            <v>60004630528</v>
          </cell>
          <cell r="BB20" vm="599">
            <v>56677961728</v>
          </cell>
          <cell r="BC20" vm="600">
            <v>61739352064</v>
          </cell>
          <cell r="BD20" vm="601">
            <v>66103853056</v>
          </cell>
          <cell r="BE20" vm="602">
            <v>57744457728</v>
          </cell>
          <cell r="BF20" vm="603">
            <v>60691484672</v>
          </cell>
          <cell r="BG20" vm="604">
            <v>64181944320</v>
          </cell>
          <cell r="BH20" vm="605">
            <v>70919954432</v>
          </cell>
          <cell r="BI20" vm="606">
            <v>71104921600</v>
          </cell>
        </row>
        <row r="21">
          <cell r="B21" t="str" vm="607">
            <v>Netherlands</v>
          </cell>
          <cell r="C21" vm="608">
            <v>13493833728</v>
          </cell>
          <cell r="D21" vm="609">
            <v>14647057408</v>
          </cell>
          <cell r="E21" vm="610">
            <v>15891240960</v>
          </cell>
          <cell r="F21" vm="611">
            <v>18699380736</v>
          </cell>
          <cell r="G21" vm="612">
            <v>21000587264</v>
          </cell>
          <cell r="H21" vm="613">
            <v>22867204096</v>
          </cell>
          <cell r="I21" vm="614">
            <v>25087561728</v>
          </cell>
          <cell r="J21" vm="615">
            <v>27817605120</v>
          </cell>
          <cell r="K21" vm="616">
            <v>34035947520</v>
          </cell>
          <cell r="L21" vm="617">
            <v>38164717568</v>
          </cell>
          <cell r="M21" vm="618">
            <v>44579123200</v>
          </cell>
          <cell r="N21" vm="619">
            <v>54706556928</v>
          </cell>
          <cell r="O21" vm="620">
            <v>71840907264</v>
          </cell>
          <cell r="P21" vm="621">
            <v>87243415552</v>
          </cell>
          <cell r="Q21" vm="622">
            <v>100249526272</v>
          </cell>
          <cell r="R21" vm="623">
            <v>109168721920</v>
          </cell>
          <cell r="S21" vm="624">
            <v>127016992768</v>
          </cell>
          <cell r="T21" vm="625">
            <v>155859697664</v>
          </cell>
          <cell r="U21" vm="626">
            <v>179669401600</v>
          </cell>
          <cell r="V21" vm="627">
            <v>195152084992</v>
          </cell>
          <cell r="W21" vm="628">
            <v>164134223872</v>
          </cell>
          <cell r="X21" vm="629">
            <v>158479532032</v>
          </cell>
          <cell r="Y21" vm="630">
            <v>153445466112</v>
          </cell>
          <cell r="Z21" vm="631">
            <v>143912665088</v>
          </cell>
          <cell r="AA21" vm="632">
            <v>143845818368</v>
          </cell>
          <cell r="AB21" vm="633">
            <v>200862089216</v>
          </cell>
          <cell r="AC21" vm="634">
            <v>245046312960</v>
          </cell>
          <cell r="AD21" vm="635">
            <v>261910511616</v>
          </cell>
          <cell r="AE21" vm="636">
            <v>258336702464</v>
          </cell>
          <cell r="AF21" vm="637">
            <v>318330503168</v>
          </cell>
          <cell r="AG21" vm="638">
            <v>327500333056</v>
          </cell>
          <cell r="AH21" vm="639">
            <v>362962878464</v>
          </cell>
          <cell r="AI21" vm="640">
            <v>353550172160</v>
          </cell>
          <cell r="AJ21" vm="641">
            <v>379130249216</v>
          </cell>
          <cell r="AK21" vm="642">
            <v>452301684736</v>
          </cell>
          <cell r="AL21" vm="643">
            <v>450490204160</v>
          </cell>
          <cell r="AM21" vm="644">
            <v>416812728320</v>
          </cell>
          <cell r="AN21" vm="645">
            <v>438008217600</v>
          </cell>
          <cell r="AO21" vm="646">
            <v>446898569216</v>
          </cell>
          <cell r="AP21" vm="647">
            <v>416442777600</v>
          </cell>
          <cell r="AQ21" vm="648">
            <v>431213412352</v>
          </cell>
          <cell r="AR21" vm="649">
            <v>471613964288</v>
          </cell>
          <cell r="AS21" vm="650">
            <v>578792325120</v>
          </cell>
          <cell r="AT21" vm="651">
            <v>657171611648</v>
          </cell>
          <cell r="AU21" vm="652">
            <v>685092634624</v>
          </cell>
          <cell r="AV21" vm="653">
            <v>733340893184</v>
          </cell>
          <cell r="AW21" vm="654">
            <v>847481536512</v>
          </cell>
          <cell r="AX21" vm="655">
            <v>947997638656</v>
          </cell>
          <cell r="AY21" vm="656">
            <v>868077273088</v>
          </cell>
          <cell r="AZ21" vm="657">
            <v>846554923008</v>
          </cell>
          <cell r="BA21" vm="658">
            <v>904085962752</v>
          </cell>
          <cell r="BB21" vm="659">
            <v>838971293696</v>
          </cell>
          <cell r="BC21" vm="660">
            <v>876923518976</v>
          </cell>
          <cell r="BD21" vm="661">
            <v>890981318656</v>
          </cell>
          <cell r="BE21" vm="662">
            <v>765264920576</v>
          </cell>
          <cell r="BF21" vm="663">
            <v>783528165376</v>
          </cell>
          <cell r="BG21" vm="664">
            <v>833869643776</v>
          </cell>
          <cell r="BH21" vm="665">
            <v>914104844288</v>
          </cell>
          <cell r="BI21" vm="666">
            <v>909070368768</v>
          </cell>
        </row>
        <row r="22">
          <cell r="B22" t="str" vm="667">
            <v>Norway</v>
          </cell>
          <cell r="C22" vm="668">
            <v>5632460800</v>
          </cell>
          <cell r="D22" vm="669">
            <v>6066976768</v>
          </cell>
          <cell r="E22" vm="670">
            <v>6510239744</v>
          </cell>
          <cell r="F22" vm="671">
            <v>7159202816</v>
          </cell>
          <cell r="G22" vm="672">
            <v>8058680832</v>
          </cell>
          <cell r="H22" vm="673">
            <v>8696460288</v>
          </cell>
          <cell r="I22" vm="674">
            <v>9514497024</v>
          </cell>
          <cell r="J22" vm="675">
            <v>10159934464</v>
          </cell>
          <cell r="K22" vm="676">
            <v>11063064576</v>
          </cell>
          <cell r="L22" vm="677">
            <v>12814123008</v>
          </cell>
          <cell r="M22" vm="678">
            <v>14583114752</v>
          </cell>
          <cell r="N22" vm="679">
            <v>17358610432</v>
          </cell>
          <cell r="O22" vm="680">
            <v>22534254592</v>
          </cell>
          <cell r="P22" vm="681">
            <v>27145693184</v>
          </cell>
          <cell r="Q22" vm="682">
            <v>32877805568</v>
          </cell>
          <cell r="R22" vm="683">
            <v>35942268928</v>
          </cell>
          <cell r="S22" vm="684">
            <v>41508028416</v>
          </cell>
          <cell r="T22" vm="685">
            <v>46523092992</v>
          </cell>
          <cell r="U22" vm="686">
            <v>53132242944</v>
          </cell>
          <cell r="V22" vm="687">
            <v>64439382016</v>
          </cell>
          <cell r="W22" vm="688">
            <v>63596654592</v>
          </cell>
          <cell r="X22" vm="689">
            <v>62647193600</v>
          </cell>
          <cell r="Y22" vm="690">
            <v>61627240448</v>
          </cell>
          <cell r="Z22" vm="691">
            <v>62057955328</v>
          </cell>
          <cell r="AA22" vm="692">
            <v>65416880128</v>
          </cell>
          <cell r="AB22" vm="693">
            <v>78693253120</v>
          </cell>
          <cell r="AC22" vm="694">
            <v>94230052864</v>
          </cell>
          <cell r="AD22" vm="695">
            <v>101900263424</v>
          </cell>
          <cell r="AE22" vm="696">
            <v>102633791488</v>
          </cell>
          <cell r="AF22" vm="697">
            <v>119791681536</v>
          </cell>
          <cell r="AG22" vm="698">
            <v>121872465920</v>
          </cell>
          <cell r="AH22" vm="699">
            <v>130838036480</v>
          </cell>
          <cell r="AI22" vm="700">
            <v>120579072000</v>
          </cell>
          <cell r="AJ22" vm="701">
            <v>127131459584</v>
          </cell>
          <cell r="AK22" vm="702">
            <v>152029609984</v>
          </cell>
          <cell r="AL22" vm="703">
            <v>163520102400</v>
          </cell>
          <cell r="AM22" vm="704">
            <v>161356627968</v>
          </cell>
          <cell r="AN22" vm="705">
            <v>154163363840</v>
          </cell>
          <cell r="AO22" vm="706">
            <v>162284470272</v>
          </cell>
          <cell r="AP22" vm="707">
            <v>171247124480</v>
          </cell>
          <cell r="AQ22" vm="708">
            <v>173972226048</v>
          </cell>
          <cell r="AR22" vm="709">
            <v>195524182016</v>
          </cell>
          <cell r="AS22" vm="710">
            <v>228858511360</v>
          </cell>
          <cell r="AT22" vm="711">
            <v>264511635456</v>
          </cell>
          <cell r="AU22" vm="712">
            <v>308884275200</v>
          </cell>
          <cell r="AV22" vm="713">
            <v>345581355008</v>
          </cell>
          <cell r="AW22" vm="714">
            <v>400937091072</v>
          </cell>
          <cell r="AX22" vm="715">
            <v>462249984000</v>
          </cell>
          <cell r="AY22" vm="716">
            <v>386190376960</v>
          </cell>
          <cell r="AZ22" vm="717">
            <v>428757024768</v>
          </cell>
          <cell r="BA22" vm="718">
            <v>498283446272</v>
          </cell>
          <cell r="BB22" vm="719">
            <v>509506322432</v>
          </cell>
          <cell r="BC22" vm="720">
            <v>522761535488</v>
          </cell>
          <cell r="BD22" vm="721">
            <v>498410061824</v>
          </cell>
          <cell r="BE22" vm="722">
            <v>385801551872</v>
          </cell>
          <cell r="BF22" vm="723">
            <v>368819929088</v>
          </cell>
          <cell r="BG22" vm="724">
            <v>398393966592</v>
          </cell>
          <cell r="BH22" vm="725">
            <v>434166628352</v>
          </cell>
          <cell r="BI22" vm="726">
            <v>403336364032</v>
          </cell>
        </row>
        <row r="23">
          <cell r="B23" t="str" vm="727">
            <v>Portugal</v>
          </cell>
          <cell r="C23" vm="728">
            <v>3417516544</v>
          </cell>
          <cell r="D23" vm="729">
            <v>3668222464</v>
          </cell>
          <cell r="E23" vm="730">
            <v>3905734400</v>
          </cell>
          <cell r="F23" vm="731">
            <v>4235608064</v>
          </cell>
          <cell r="G23" vm="732">
            <v>4687463936</v>
          </cell>
          <cell r="H23" vm="733">
            <v>5135387648</v>
          </cell>
          <cell r="I23" vm="734">
            <v>5740241408</v>
          </cell>
          <cell r="J23" vm="735">
            <v>6354262528</v>
          </cell>
          <cell r="K23" vm="736">
            <v>6969026048</v>
          </cell>
          <cell r="L23" vm="737">
            <v>8108234752</v>
          </cell>
          <cell r="M23" vm="738">
            <v>9201606656</v>
          </cell>
          <cell r="N23" vm="739">
            <v>11239116800</v>
          </cell>
          <cell r="O23" vm="740">
            <v>15090566144</v>
          </cell>
          <cell r="P23" vm="741">
            <v>17512388608</v>
          </cell>
          <cell r="Q23" vm="742">
            <v>19347609600</v>
          </cell>
          <cell r="R23" vm="743">
            <v>20332834816</v>
          </cell>
          <cell r="S23" vm="744">
            <v>21439524864</v>
          </cell>
          <cell r="T23" vm="745">
            <v>23487612928</v>
          </cell>
          <cell r="U23" vm="746">
            <v>26622818304</v>
          </cell>
          <cell r="V23" vm="747">
            <v>32896522240</v>
          </cell>
          <cell r="W23" vm="748">
            <v>31977275392</v>
          </cell>
          <cell r="X23" vm="749">
            <v>30527754240</v>
          </cell>
          <cell r="Y23" vm="750">
            <v>27239651328</v>
          </cell>
          <cell r="Z23" vm="751">
            <v>25217970176</v>
          </cell>
          <cell r="AA23" vm="752">
            <v>27115806720</v>
          </cell>
          <cell r="AB23" vm="753">
            <v>38745903104</v>
          </cell>
          <cell r="AC23" vm="754">
            <v>48182923264</v>
          </cell>
          <cell r="AD23" vm="755">
            <v>56347250688</v>
          </cell>
          <cell r="AE23" vm="756">
            <v>60594094080</v>
          </cell>
          <cell r="AF23" vm="757">
            <v>78713856000</v>
          </cell>
          <cell r="AG23" vm="758">
            <v>89233596416</v>
          </cell>
          <cell r="AH23" vm="759">
            <v>107592097792</v>
          </cell>
          <cell r="AI23" vm="760">
            <v>95009751040</v>
          </cell>
          <cell r="AJ23" vm="761">
            <v>99688644608</v>
          </cell>
          <cell r="AK23" vm="762">
            <v>118122004480</v>
          </cell>
          <cell r="AL23" vm="763">
            <v>122630086656</v>
          </cell>
          <cell r="AM23" vm="764">
            <v>117016535040</v>
          </cell>
          <cell r="AN23" vm="765">
            <v>123946328064</v>
          </cell>
          <cell r="AO23" vm="766">
            <v>127427346432</v>
          </cell>
          <cell r="AP23" vm="767">
            <v>118310707200</v>
          </cell>
          <cell r="AQ23" vm="768">
            <v>121498886144</v>
          </cell>
          <cell r="AR23" vm="769">
            <v>134156091392</v>
          </cell>
          <cell r="AS23" vm="770">
            <v>164862148608</v>
          </cell>
          <cell r="AT23" vm="771">
            <v>189034496000</v>
          </cell>
          <cell r="AU23" vm="772">
            <v>197180325888</v>
          </cell>
          <cell r="AV23" vm="773">
            <v>208581689344</v>
          </cell>
          <cell r="AW23" vm="774">
            <v>240190799872</v>
          </cell>
          <cell r="AX23" vm="775">
            <v>262344785920</v>
          </cell>
          <cell r="AY23" vm="776">
            <v>243701628928</v>
          </cell>
          <cell r="AZ23" vm="777">
            <v>237880901632</v>
          </cell>
          <cell r="BA23" vm="778">
            <v>244797227008</v>
          </cell>
          <cell r="BB23" vm="779">
            <v>216236605440</v>
          </cell>
          <cell r="BC23" vm="780">
            <v>226369503232</v>
          </cell>
          <cell r="BD23" vm="781">
            <v>229596168192</v>
          </cell>
          <cell r="BE23" vm="782">
            <v>199313899520</v>
          </cell>
          <cell r="BF23" vm="783">
            <v>206286028800</v>
          </cell>
          <cell r="BG23" vm="784">
            <v>221357867008</v>
          </cell>
          <cell r="BH23" vm="785">
            <v>241274634240</v>
          </cell>
          <cell r="BI23" vm="786">
            <v>237686079488</v>
          </cell>
        </row>
        <row r="24">
          <cell r="B24" t="str" vm="787">
            <v>Singapore</v>
          </cell>
          <cell r="C24" vm="788">
            <v>764634752</v>
          </cell>
          <cell r="D24" vm="789">
            <v>826244608</v>
          </cell>
          <cell r="E24" vm="790">
            <v>917614016</v>
          </cell>
          <cell r="F24" vm="791">
            <v>894159168</v>
          </cell>
          <cell r="G24" vm="792">
            <v>974650432</v>
          </cell>
          <cell r="H24" vm="793">
            <v>1096432768</v>
          </cell>
          <cell r="I24" vm="794">
            <v>1238043904</v>
          </cell>
          <cell r="J24" vm="795">
            <v>1425715456</v>
          </cell>
          <cell r="K24" vm="796">
            <v>1659904640</v>
          </cell>
          <cell r="L24" vm="797">
            <v>1920586752</v>
          </cell>
          <cell r="M24" vm="798">
            <v>2263785472</v>
          </cell>
          <cell r="N24" vm="799">
            <v>2721441024</v>
          </cell>
          <cell r="O24" vm="800">
            <v>3696213248</v>
          </cell>
          <cell r="P24" vm="801">
            <v>5221534720</v>
          </cell>
          <cell r="Q24" vm="802">
            <v>5633673728</v>
          </cell>
          <cell r="R24" vm="803">
            <v>6327077888</v>
          </cell>
          <cell r="S24" vm="804">
            <v>6618585088</v>
          </cell>
          <cell r="T24" vm="805">
            <v>7517176320</v>
          </cell>
          <cell r="U24" vm="806">
            <v>9296921600</v>
          </cell>
          <cell r="V24" vm="807">
            <v>11896256512</v>
          </cell>
          <cell r="W24" vm="808">
            <v>14175228928</v>
          </cell>
          <cell r="X24" vm="809">
            <v>16084252672</v>
          </cell>
          <cell r="Y24" vm="810">
            <v>17784113152</v>
          </cell>
          <cell r="Z24" vm="811">
            <v>19749361664</v>
          </cell>
          <cell r="AA24" vm="812">
            <v>19156533248</v>
          </cell>
          <cell r="AB24" vm="813">
            <v>18586746880</v>
          </cell>
          <cell r="AC24" vm="814">
            <v>20919216128</v>
          </cell>
          <cell r="AD24" vm="815">
            <v>25371461632</v>
          </cell>
          <cell r="AE24" vm="816">
            <v>30465363968</v>
          </cell>
          <cell r="AF24" vm="817">
            <v>36144336896</v>
          </cell>
          <cell r="AG24" vm="818">
            <v>45466165248</v>
          </cell>
          <cell r="AH24" vm="819">
            <v>52130263040</v>
          </cell>
          <cell r="AI24" vm="820">
            <v>60603478016</v>
          </cell>
          <cell r="AJ24" vm="821">
            <v>73690849280</v>
          </cell>
          <cell r="AK24" vm="822">
            <v>87810990080</v>
          </cell>
          <cell r="AL24" vm="823">
            <v>96295886848</v>
          </cell>
          <cell r="AM24" vm="824">
            <v>100124188672</v>
          </cell>
          <cell r="AN24" vm="825">
            <v>85728313344</v>
          </cell>
          <cell r="AO24" vm="826">
            <v>86284664832</v>
          </cell>
          <cell r="AP24" vm="827">
            <v>96074481664</v>
          </cell>
          <cell r="AQ24" vm="828">
            <v>89794945024</v>
          </cell>
          <cell r="AR24" vm="829">
            <v>92537749504</v>
          </cell>
          <cell r="AS24" vm="830">
            <v>97645445120</v>
          </cell>
          <cell r="AT24" vm="831">
            <v>115035496448</v>
          </cell>
          <cell r="AU24" vm="832">
            <v>127807619072</v>
          </cell>
          <cell r="AV24" vm="833">
            <v>148630372352</v>
          </cell>
          <cell r="AW24" vm="834">
            <v>180941946880</v>
          </cell>
          <cell r="AX24" vm="835">
            <v>193611988992</v>
          </cell>
          <cell r="AY24" vm="836">
            <v>194152284160</v>
          </cell>
          <cell r="AZ24" vm="837">
            <v>239809380352</v>
          </cell>
          <cell r="BA24" vm="838">
            <v>279351164928</v>
          </cell>
          <cell r="BB24" vm="839">
            <v>295087210496</v>
          </cell>
          <cell r="BC24" vm="840">
            <v>307576373248</v>
          </cell>
          <cell r="BD24" vm="841">
            <v>314851164160</v>
          </cell>
          <cell r="BE24" vm="842">
            <v>308004159488</v>
          </cell>
          <cell r="BF24" vm="843">
            <v>318652350464</v>
          </cell>
          <cell r="BG24" vm="844">
            <v>341863333888</v>
          </cell>
          <cell r="BH24" vm="845">
            <v>373217067008</v>
          </cell>
          <cell r="BI24" vm="846">
            <v>372062519296</v>
          </cell>
        </row>
        <row r="25">
          <cell r="B25" t="str" vm="847">
            <v>South Korea</v>
          </cell>
          <cell r="C25" vm="848">
            <v>2417558272</v>
          </cell>
          <cell r="D25" vm="849">
            <v>2814318592</v>
          </cell>
          <cell r="E25" vm="850">
            <v>3988784640</v>
          </cell>
          <cell r="F25" vm="851">
            <v>3458939392</v>
          </cell>
          <cell r="G25" vm="852">
            <v>3120833280</v>
          </cell>
          <cell r="H25" vm="853">
            <v>3928908288</v>
          </cell>
          <cell r="I25" vm="854">
            <v>4855907328</v>
          </cell>
          <cell r="J25" vm="855">
            <v>6119284224</v>
          </cell>
          <cell r="K25" vm="856">
            <v>7678581248</v>
          </cell>
          <cell r="L25" vm="857">
            <v>9005023232</v>
          </cell>
          <cell r="M25" vm="858">
            <v>9903500288</v>
          </cell>
          <cell r="N25" vm="859">
            <v>10862327808</v>
          </cell>
          <cell r="O25" vm="860">
            <v>13876531200</v>
          </cell>
          <cell r="P25" vm="861">
            <v>19544094720</v>
          </cell>
          <cell r="Q25" vm="862">
            <v>21784297472</v>
          </cell>
          <cell r="R25" vm="863">
            <v>29902479360</v>
          </cell>
          <cell r="S25" vm="864">
            <v>38446489600</v>
          </cell>
          <cell r="T25" vm="865">
            <v>51972108288</v>
          </cell>
          <cell r="U25" vm="866">
            <v>66946899968</v>
          </cell>
          <cell r="V25" vm="867">
            <v>65398644736</v>
          </cell>
          <cell r="W25" vm="868">
            <v>72933351424</v>
          </cell>
          <cell r="X25" vm="869">
            <v>78358863872</v>
          </cell>
          <cell r="Y25" vm="870">
            <v>87760363520</v>
          </cell>
          <cell r="Z25" vm="871">
            <v>97510236160</v>
          </cell>
          <cell r="AA25" vm="872">
            <v>101296177152</v>
          </cell>
          <cell r="AB25" vm="873">
            <v>116836802560</v>
          </cell>
          <cell r="AC25" vm="874">
            <v>147948257280</v>
          </cell>
          <cell r="AD25" vm="875">
            <v>199590821888</v>
          </cell>
          <cell r="AE25" vm="876">
            <v>246927294464</v>
          </cell>
          <cell r="AF25" vm="877">
            <v>283367538688</v>
          </cell>
          <cell r="AG25" vm="878">
            <v>330648518656</v>
          </cell>
          <cell r="AH25" vm="879">
            <v>355525263360</v>
          </cell>
          <cell r="AI25" vm="880">
            <v>392666087424</v>
          </cell>
          <cell r="AJ25" vm="881">
            <v>463617392640</v>
          </cell>
          <cell r="AK25" vm="882">
            <v>566583427072</v>
          </cell>
          <cell r="AL25" vm="883">
            <v>610169585664</v>
          </cell>
          <cell r="AM25" vm="884">
            <v>569754517504</v>
          </cell>
          <cell r="AN25" vm="885">
            <v>383330942976</v>
          </cell>
          <cell r="AO25" vm="886">
            <v>497512644608</v>
          </cell>
          <cell r="AP25" vm="887">
            <v>576178094080</v>
          </cell>
          <cell r="AQ25" vm="888">
            <v>547658235904</v>
          </cell>
          <cell r="AR25" vm="889">
            <v>627246104576</v>
          </cell>
          <cell r="AS25" vm="890">
            <v>702717362176</v>
          </cell>
          <cell r="AT25" vm="891">
            <v>793174999040</v>
          </cell>
          <cell r="AU25" vm="892">
            <v>934901055488</v>
          </cell>
          <cell r="AV25" vm="893">
            <v>1053216931840</v>
          </cell>
          <cell r="AW25" vm="894">
            <v>1172614021120</v>
          </cell>
          <cell r="AX25" vm="895">
            <v>1047339008000</v>
          </cell>
          <cell r="AY25" vm="896">
            <v>943941877760</v>
          </cell>
          <cell r="AZ25" vm="897">
            <v>1144066932736</v>
          </cell>
          <cell r="BA25" vm="898">
            <v>1253223038976</v>
          </cell>
          <cell r="BB25" vm="899">
            <v>1278427660288</v>
          </cell>
          <cell r="BC25" vm="900">
            <v>1370795147264</v>
          </cell>
          <cell r="BD25" vm="901">
            <v>1484318179328</v>
          </cell>
          <cell r="BE25" vm="902">
            <v>1465773195264</v>
          </cell>
          <cell r="BF25" vm="903">
            <v>1500111568896</v>
          </cell>
          <cell r="BG25" vm="904">
            <v>1623901470720</v>
          </cell>
          <cell r="BH25" vm="905">
            <v>1720578867200</v>
          </cell>
          <cell r="BI25" vm="906">
            <v>1642383278080</v>
          </cell>
        </row>
        <row r="26">
          <cell r="B26" t="str" vm="907">
            <v>Spain</v>
          </cell>
          <cell r="C26" vm="908">
            <v>13834300416</v>
          </cell>
          <cell r="D26" vm="909">
            <v>16138545152</v>
          </cell>
          <cell r="E26" vm="910">
            <v>19074914304</v>
          </cell>
          <cell r="F26" vm="911">
            <v>21343844352</v>
          </cell>
          <cell r="G26" vm="912">
            <v>24756959232</v>
          </cell>
          <cell r="H26" vm="913">
            <v>28721061888</v>
          </cell>
          <cell r="I26" vm="914">
            <v>31647119360</v>
          </cell>
          <cell r="J26" vm="915">
            <v>31475548160</v>
          </cell>
          <cell r="K26" vm="916">
            <v>36038713344</v>
          </cell>
          <cell r="L26" vm="917">
            <v>40992997376</v>
          </cell>
          <cell r="M26" vm="918">
            <v>46619418624</v>
          </cell>
          <cell r="N26" vm="919">
            <v>59132416000</v>
          </cell>
          <cell r="O26" vm="920">
            <v>78639529984</v>
          </cell>
          <cell r="P26" vm="921">
            <v>97274003456</v>
          </cell>
          <cell r="Q26" vm="922">
            <v>114777047040</v>
          </cell>
          <cell r="R26" vm="923">
            <v>118507184128</v>
          </cell>
          <cell r="S26" vm="924">
            <v>132449280000</v>
          </cell>
          <cell r="T26" vm="925">
            <v>160599687168</v>
          </cell>
          <cell r="U26" vm="926">
            <v>214601957376</v>
          </cell>
          <cell r="V26" vm="927">
            <v>232766816256</v>
          </cell>
          <cell r="W26" vm="928">
            <v>202807885824</v>
          </cell>
          <cell r="X26" vm="929">
            <v>195996762112</v>
          </cell>
          <cell r="Y26" vm="930">
            <v>170951180288</v>
          </cell>
          <cell r="Z26" vm="931">
            <v>172102909952</v>
          </cell>
          <cell r="AA26" vm="932">
            <v>180793458688</v>
          </cell>
          <cell r="AB26" vm="933">
            <v>251321073664</v>
          </cell>
          <cell r="AC26" vm="934">
            <v>318747934720</v>
          </cell>
          <cell r="AD26" vm="935">
            <v>376160419840</v>
          </cell>
          <cell r="AE26" vm="936">
            <v>414757060608</v>
          </cell>
          <cell r="AF26" vm="937">
            <v>536558600192</v>
          </cell>
          <cell r="AG26" vm="938">
            <v>577166180352</v>
          </cell>
          <cell r="AH26" vm="939">
            <v>630915989504</v>
          </cell>
          <cell r="AI26" vm="940">
            <v>525075644416</v>
          </cell>
          <cell r="AJ26" vm="941">
            <v>530562646016</v>
          </cell>
          <cell r="AK26" vm="942">
            <v>614608994304</v>
          </cell>
          <cell r="AL26" vm="943">
            <v>642588999680</v>
          </cell>
          <cell r="AM26" vm="944">
            <v>590077296640</v>
          </cell>
          <cell r="AN26" vm="945">
            <v>619214864384</v>
          </cell>
          <cell r="AO26" vm="946">
            <v>634693156864</v>
          </cell>
          <cell r="AP26" vm="947">
            <v>596877639680</v>
          </cell>
          <cell r="AQ26" vm="948">
            <v>627286802432</v>
          </cell>
          <cell r="AR26" vm="949">
            <v>705394311168</v>
          </cell>
          <cell r="AS26" vm="950">
            <v>905492103168</v>
          </cell>
          <cell r="AT26" vm="951">
            <v>1067093393408</v>
          </cell>
          <cell r="AU26" vm="952">
            <v>1153285619712</v>
          </cell>
          <cell r="AV26" vm="953">
            <v>1259343839232</v>
          </cell>
          <cell r="AW26" vm="954">
            <v>1472131104768</v>
          </cell>
          <cell r="AX26" vm="955">
            <v>1625224904704</v>
          </cell>
          <cell r="AY26" vm="956">
            <v>1485583548416</v>
          </cell>
          <cell r="AZ26" vm="957">
            <v>1420722044928</v>
          </cell>
          <cell r="BA26" vm="958">
            <v>1478772785152</v>
          </cell>
          <cell r="BB26" vm="959">
            <v>1324820070400</v>
          </cell>
          <cell r="BC26" vm="960">
            <v>1354757439488</v>
          </cell>
          <cell r="BD26" vm="961">
            <v>1369398837248</v>
          </cell>
          <cell r="BE26" vm="962">
            <v>1195119214592</v>
          </cell>
          <cell r="BF26" vm="963">
            <v>1232076013568</v>
          </cell>
          <cell r="BG26" vm="964">
            <v>1312551731200</v>
          </cell>
          <cell r="BH26" vm="965">
            <v>1419735203840</v>
          </cell>
          <cell r="BI26" vm="966">
            <v>1394116263936</v>
          </cell>
        </row>
        <row r="27">
          <cell r="B27" t="str" vm="967">
            <v>Sweden</v>
          </cell>
          <cell r="C27" vm="968">
            <v>17212686336</v>
          </cell>
          <cell r="D27" vm="969">
            <v>18667251712</v>
          </cell>
          <cell r="E27" vm="970">
            <v>20204869632</v>
          </cell>
          <cell r="F27" vm="971">
            <v>22532417536</v>
          </cell>
          <cell r="G27" vm="972">
            <v>24795500544</v>
          </cell>
          <cell r="H27" vm="973">
            <v>26971486208</v>
          </cell>
          <cell r="I27" vm="974">
            <v>29275996160</v>
          </cell>
          <cell r="J27" vm="975">
            <v>31066820608</v>
          </cell>
          <cell r="K27" vm="976">
            <v>33738102784</v>
          </cell>
          <cell r="L27" vm="977">
            <v>38092451840</v>
          </cell>
          <cell r="M27" vm="978">
            <v>41566412800</v>
          </cell>
          <cell r="N27" vm="979">
            <v>48954146816</v>
          </cell>
          <cell r="O27" vm="980">
            <v>59404967936</v>
          </cell>
          <cell r="P27" vm="981">
            <v>66013339648</v>
          </cell>
          <cell r="Q27" vm="982">
            <v>82885394432</v>
          </cell>
          <cell r="R27" vm="983">
            <v>89362071552</v>
          </cell>
          <cell r="S27" vm="984">
            <v>94468743168</v>
          </cell>
          <cell r="T27" vm="985">
            <v>104442347520</v>
          </cell>
          <cell r="U27" vm="986">
            <v>123386413056</v>
          </cell>
          <cell r="V27" vm="987">
            <v>142092075008</v>
          </cell>
          <cell r="W27" vm="988">
            <v>129686937600</v>
          </cell>
          <cell r="X27" vm="989">
            <v>114380554240</v>
          </cell>
          <cell r="Y27" vm="990">
            <v>105014353920</v>
          </cell>
          <cell r="Z27" vm="991">
            <v>109201358848</v>
          </cell>
          <cell r="AA27" vm="992">
            <v>114123538432</v>
          </cell>
          <cell r="AB27" vm="993">
            <v>150498050048</v>
          </cell>
          <cell r="AC27" vm="994">
            <v>183009640448</v>
          </cell>
          <cell r="AD27" vm="995">
            <v>206986674176</v>
          </cell>
          <cell r="AE27" vm="996">
            <v>217948323840</v>
          </cell>
          <cell r="AF27" vm="997">
            <v>261846188032</v>
          </cell>
          <cell r="AG27" vm="998">
            <v>274229035008</v>
          </cell>
          <cell r="AH27" vm="999">
            <v>284321120256</v>
          </cell>
          <cell r="AI27" vm="1000">
            <v>212953333760</v>
          </cell>
          <cell r="AJ27" vm="1001">
            <v>229033574400</v>
          </cell>
          <cell r="AK27" vm="1002">
            <v>267305877504</v>
          </cell>
          <cell r="AL27" vm="1003">
            <v>291743825920</v>
          </cell>
          <cell r="AM27" vm="1004">
            <v>268146147328</v>
          </cell>
          <cell r="AN27" vm="1005">
            <v>270809071616</v>
          </cell>
          <cell r="AO27" vm="1006">
            <v>274072174592</v>
          </cell>
          <cell r="AP27" vm="1007">
            <v>262835453952</v>
          </cell>
          <cell r="AQ27" vm="1008">
            <v>242395856896</v>
          </cell>
          <cell r="AR27" vm="1009">
            <v>266849058816</v>
          </cell>
          <cell r="AS27" vm="1010">
            <v>334337212416</v>
          </cell>
          <cell r="AT27" vm="1011">
            <v>385118044160</v>
          </cell>
          <cell r="AU27" vm="1012">
            <v>392218083328</v>
          </cell>
          <cell r="AV27" vm="1013">
            <v>423093436416</v>
          </cell>
          <cell r="AW27" vm="1014">
            <v>491252580352</v>
          </cell>
          <cell r="AX27" vm="1015">
            <v>517706153984</v>
          </cell>
          <cell r="AY27" vm="1016">
            <v>436536999936</v>
          </cell>
          <cell r="AZ27" vm="1017">
            <v>495812542464</v>
          </cell>
          <cell r="BA27" vm="1018">
            <v>574094114816</v>
          </cell>
          <cell r="BB27" vm="1019">
            <v>552483749888</v>
          </cell>
          <cell r="BC27" vm="1020">
            <v>586841849856</v>
          </cell>
          <cell r="BD27" vm="1021">
            <v>581964005376</v>
          </cell>
          <cell r="BE27" vm="1022">
            <v>505103777792</v>
          </cell>
          <cell r="BF27" vm="1023">
            <v>515654680576</v>
          </cell>
          <cell r="BG27" vm="1024">
            <v>541018750976</v>
          </cell>
          <cell r="BH27" vm="1025">
            <v>555455348736</v>
          </cell>
          <cell r="BI27" vm="1026">
            <v>530832916480</v>
          </cell>
        </row>
        <row r="28">
          <cell r="B28" t="str" vm="1027">
            <v>United Kingdom</v>
          </cell>
          <cell r="C28" vm="1028">
            <v>77741965312</v>
          </cell>
          <cell r="D28" vm="1029">
            <v>81247567872</v>
          </cell>
          <cell r="E28" vm="1030">
            <v>86561964032</v>
          </cell>
          <cell r="F28" vm="1031">
            <v>94407557120</v>
          </cell>
          <cell r="G28" vm="1032">
            <v>101824757760</v>
          </cell>
          <cell r="H28" vm="1033">
            <v>108572753920</v>
          </cell>
          <cell r="I28" vm="1034">
            <v>113116889088</v>
          </cell>
          <cell r="J28" vm="1035">
            <v>107759910912</v>
          </cell>
          <cell r="K28" vm="1036">
            <v>116464705536</v>
          </cell>
          <cell r="L28" vm="1037">
            <v>130671943680</v>
          </cell>
          <cell r="M28" vm="1038">
            <v>148113899520</v>
          </cell>
          <cell r="N28" vm="1039">
            <v>169965027328</v>
          </cell>
          <cell r="O28" vm="1040">
            <v>192537968640</v>
          </cell>
          <cell r="P28" vm="1041">
            <v>206131363840</v>
          </cell>
          <cell r="Q28" vm="1042">
            <v>241756635136</v>
          </cell>
          <cell r="R28" vm="1043">
            <v>232614559744</v>
          </cell>
          <cell r="S28" vm="1044">
            <v>263066451968</v>
          </cell>
          <cell r="T28" vm="1045">
            <v>335883042816</v>
          </cell>
          <cell r="U28" vm="1046">
            <v>438994075648</v>
          </cell>
          <cell r="V28" vm="1047">
            <v>564947714048</v>
          </cell>
          <cell r="W28" vm="1048">
            <v>540765683712</v>
          </cell>
          <cell r="X28" vm="1049">
            <v>515048931328</v>
          </cell>
          <cell r="Y28" vm="1050">
            <v>489618014208</v>
          </cell>
          <cell r="Z28" vm="1051">
            <v>461487112192</v>
          </cell>
          <cell r="AA28" vm="1052">
            <v>489285156864</v>
          </cell>
          <cell r="AB28" vm="1053">
            <v>601452642304</v>
          </cell>
          <cell r="AC28" vm="1054">
            <v>745162604544</v>
          </cell>
          <cell r="AD28" vm="1055">
            <v>910122745856</v>
          </cell>
          <cell r="AE28" vm="1056">
            <v>926884823040</v>
          </cell>
          <cell r="AF28" vm="1057">
            <v>1093169381376</v>
          </cell>
          <cell r="AG28" vm="1058">
            <v>1142797238272</v>
          </cell>
          <cell r="AH28" vm="1059">
            <v>1179659534336</v>
          </cell>
          <cell r="AI28" vm="1060">
            <v>1061388746752</v>
          </cell>
          <cell r="AJ28" vm="1061">
            <v>1140489715712</v>
          </cell>
          <cell r="AK28" vm="1062">
            <v>1341584310272</v>
          </cell>
          <cell r="AL28" vm="1063">
            <v>1415358840832</v>
          </cell>
          <cell r="AM28" vm="1064">
            <v>1559078240256</v>
          </cell>
          <cell r="AN28" vm="1065">
            <v>1650172231680</v>
          </cell>
          <cell r="AO28" vm="1066">
            <v>1682399297536</v>
          </cell>
          <cell r="AP28" vm="1067">
            <v>1657816612864</v>
          </cell>
          <cell r="AQ28" vm="1068">
            <v>1640246149120</v>
          </cell>
          <cell r="AR28" vm="1069">
            <v>1784473976832</v>
          </cell>
          <cell r="AS28" vm="1070">
            <v>2053018746880</v>
          </cell>
          <cell r="AT28" vm="1071">
            <v>2416931504128</v>
          </cell>
          <cell r="AU28" vm="1072">
            <v>2538680090624</v>
          </cell>
          <cell r="AV28" vm="1073">
            <v>2713749815296</v>
          </cell>
          <cell r="AW28" vm="1074">
            <v>3100882239488</v>
          </cell>
          <cell r="AX28" vm="1075">
            <v>2922667311104</v>
          </cell>
          <cell r="AY28" vm="1076">
            <v>2410909794304</v>
          </cell>
          <cell r="AZ28" vm="1077">
            <v>2475244388352</v>
          </cell>
          <cell r="BA28" vm="1078">
            <v>2659310108672</v>
          </cell>
          <cell r="BB28" vm="1079">
            <v>2704887775232</v>
          </cell>
          <cell r="BC28" vm="1080">
            <v>2786022916096</v>
          </cell>
          <cell r="BD28" vm="1081">
            <v>3063803281408</v>
          </cell>
          <cell r="BE28" vm="1082">
            <v>2928590979072</v>
          </cell>
          <cell r="BF28" vm="1083">
            <v>2694283264000</v>
          </cell>
          <cell r="BG28" vm="1084">
            <v>2666229137408</v>
          </cell>
          <cell r="BH28" vm="1085">
            <v>2860667633664</v>
          </cell>
          <cell r="BI28" vm="1086">
            <v>2827113201664</v>
          </cell>
        </row>
        <row r="29">
          <cell r="B29" t="str" vm="1087">
            <v>United States</v>
          </cell>
          <cell r="C29" vm="1088">
            <v>563300007936</v>
          </cell>
          <cell r="D29" vm="1089">
            <v>605099982848</v>
          </cell>
          <cell r="E29" vm="1090">
            <v>638600019968</v>
          </cell>
          <cell r="F29" vm="1091">
            <v>685800030208</v>
          </cell>
          <cell r="G29" vm="1092">
            <v>743699972096</v>
          </cell>
          <cell r="H29" vm="1093">
            <v>814999994368</v>
          </cell>
          <cell r="I29" vm="1094">
            <v>861700030464</v>
          </cell>
          <cell r="J29" vm="1095">
            <v>942500020224</v>
          </cell>
          <cell r="K29" vm="1096">
            <v>1019900002304</v>
          </cell>
          <cell r="L29" vm="1097">
            <v>1073302994944</v>
          </cell>
          <cell r="M29" vm="1098">
            <v>1164849971200</v>
          </cell>
          <cell r="N29" vm="1099">
            <v>1279110021120</v>
          </cell>
          <cell r="O29" vm="1100">
            <v>1425376018432</v>
          </cell>
          <cell r="P29" vm="1101">
            <v>1545242935296</v>
          </cell>
          <cell r="Q29" vm="1102">
            <v>1684903952384</v>
          </cell>
          <cell r="R29" vm="1103">
            <v>1873411964928</v>
          </cell>
          <cell r="S29" vm="1104">
            <v>2081826013184</v>
          </cell>
          <cell r="T29" vm="1105">
            <v>2351598927872</v>
          </cell>
          <cell r="U29" vm="1106">
            <v>2627334045696</v>
          </cell>
          <cell r="V29" vm="1107">
            <v>2857306947584</v>
          </cell>
          <cell r="W29" vm="1108">
            <v>3207041908736</v>
          </cell>
          <cell r="X29" vm="1109">
            <v>3343789064192</v>
          </cell>
          <cell r="Y29" vm="1110">
            <v>3634038046720</v>
          </cell>
          <cell r="Z29" vm="1111">
            <v>4037612929024</v>
          </cell>
          <cell r="AA29" vm="1112">
            <v>4338978914304</v>
          </cell>
          <cell r="AB29" vm="1113">
            <v>4579631038464</v>
          </cell>
          <cell r="AC29" vm="1114">
            <v>4855215161344</v>
          </cell>
          <cell r="AD29" vm="1115">
            <v>5236438073344</v>
          </cell>
          <cell r="AE29" vm="1116">
            <v>5641580052480</v>
          </cell>
          <cell r="AF29" vm="1117">
            <v>5963144232960</v>
          </cell>
          <cell r="AG29" vm="1118">
            <v>6158129037312</v>
          </cell>
          <cell r="AH29" vm="1119">
            <v>6520327110656</v>
          </cell>
          <cell r="AI29" vm="1120">
            <v>6858558930944</v>
          </cell>
          <cell r="AJ29" vm="1121">
            <v>7287236198400</v>
          </cell>
          <cell r="AK29" vm="1122">
            <v>7639749099520</v>
          </cell>
          <cell r="AL29" vm="1123">
            <v>8073121890304</v>
          </cell>
          <cell r="AM29" vm="1124">
            <v>8577554579456</v>
          </cell>
          <cell r="AN29" vm="1125">
            <v>9062818250752</v>
          </cell>
          <cell r="AO29" vm="1126">
            <v>9630664097792</v>
          </cell>
          <cell r="AP29" vm="1127">
            <v>10252345933824</v>
          </cell>
          <cell r="AQ29" vm="1128">
            <v>10581821095936</v>
          </cell>
          <cell r="AR29" vm="1129">
            <v>10936419090432</v>
          </cell>
          <cell r="AS29" vm="1130">
            <v>11458243985408</v>
          </cell>
          <cell r="AT29" vm="1131">
            <v>12213729361920</v>
          </cell>
          <cell r="AU29" vm="1132">
            <v>13036640272384</v>
          </cell>
          <cell r="AV29" vm="1133">
            <v>13814611312640</v>
          </cell>
          <cell r="AW29" vm="1134">
            <v>14451858210816</v>
          </cell>
          <cell r="AX29" vm="1135">
            <v>14712844582912</v>
          </cell>
          <cell r="AY29" vm="1136">
            <v>14448932683776</v>
          </cell>
          <cell r="AZ29" vm="1137">
            <v>14992053108736</v>
          </cell>
          <cell r="BA29" vm="1138">
            <v>15542580674560</v>
          </cell>
          <cell r="BB29" vm="1139">
            <v>16197007441920</v>
          </cell>
          <cell r="BC29" vm="1140">
            <v>16784849633280</v>
          </cell>
          <cell r="BD29" vm="1141">
            <v>17521746903040</v>
          </cell>
          <cell r="BE29" vm="1142">
            <v>18219297406976</v>
          </cell>
          <cell r="BF29" vm="1143">
            <v>18707187236864</v>
          </cell>
          <cell r="BG29" vm="1144">
            <v>19485394206720</v>
          </cell>
          <cell r="BH29" vm="1145">
            <v>20529048190976</v>
          </cell>
          <cell r="BI29" vm="1146">
            <v>21374418550784</v>
          </cell>
        </row>
      </sheetData>
      <sheetData sheetId="3">
        <row r="11">
          <cell r="B11" t="str" vm="7">
            <v>Australia</v>
          </cell>
          <cell r="C11" vm="1147">
            <v>10483000</v>
          </cell>
          <cell r="D11" vm="1148">
            <v>10742000</v>
          </cell>
          <cell r="E11" vm="1149">
            <v>10950000</v>
          </cell>
          <cell r="F11" vm="1150">
            <v>11167000</v>
          </cell>
          <cell r="G11" vm="1151">
            <v>11388000</v>
          </cell>
          <cell r="H11" vm="1152">
            <v>11651000</v>
          </cell>
          <cell r="I11" vm="1153">
            <v>11799000</v>
          </cell>
          <cell r="J11" vm="1154">
            <v>12009000</v>
          </cell>
          <cell r="K11" vm="1155">
            <v>12263000</v>
          </cell>
          <cell r="L11" vm="1156">
            <v>12507000</v>
          </cell>
          <cell r="M11" vm="1157">
            <v>12937000</v>
          </cell>
          <cell r="N11" vm="1158">
            <v>13177000</v>
          </cell>
          <cell r="O11" vm="1159">
            <v>13380000</v>
          </cell>
          <cell r="P11" vm="1160">
            <v>13723000</v>
          </cell>
          <cell r="Q11" vm="1161">
            <v>13893000</v>
          </cell>
          <cell r="R11" vm="1162">
            <v>14033000</v>
          </cell>
          <cell r="S11" vm="1163">
            <v>14192000</v>
          </cell>
          <cell r="T11" vm="1164">
            <v>14358000</v>
          </cell>
          <cell r="U11" vm="1165">
            <v>14514000</v>
          </cell>
          <cell r="V11" vm="1166">
            <v>14692000</v>
          </cell>
          <cell r="W11" vm="1167">
            <v>14927000</v>
          </cell>
          <cell r="X11" vm="1168">
            <v>15178000</v>
          </cell>
          <cell r="Y11" vm="1169">
            <v>15369000</v>
          </cell>
          <cell r="Z11" vm="1170">
            <v>15544000</v>
          </cell>
          <cell r="AA11" vm="1171">
            <v>15758000</v>
          </cell>
          <cell r="AB11" vm="1172">
            <v>16018400</v>
          </cell>
          <cell r="AC11" vm="1173">
            <v>16263900</v>
          </cell>
          <cell r="AD11" vm="1174">
            <v>16532200</v>
          </cell>
          <cell r="AE11" vm="1175">
            <v>16814400</v>
          </cell>
          <cell r="AF11" vm="1176">
            <v>17065100</v>
          </cell>
          <cell r="AG11" vm="1177">
            <v>17284000</v>
          </cell>
          <cell r="AH11" vm="1178">
            <v>17495000</v>
          </cell>
          <cell r="AI11" vm="1179">
            <v>17667000</v>
          </cell>
          <cell r="AJ11" vm="1180">
            <v>17855000</v>
          </cell>
          <cell r="AK11" vm="1181">
            <v>18072000</v>
          </cell>
          <cell r="AL11" vm="1182">
            <v>18311000</v>
          </cell>
          <cell r="AM11" vm="1183">
            <v>18517000</v>
          </cell>
          <cell r="AN11" vm="1184">
            <v>18711000</v>
          </cell>
          <cell r="AO11" vm="1185">
            <v>18926000</v>
          </cell>
          <cell r="AP11" vm="1186">
            <v>19153000</v>
          </cell>
          <cell r="AQ11" vm="1187">
            <v>19413000</v>
          </cell>
          <cell r="AR11" vm="1188">
            <v>19651400</v>
          </cell>
          <cell r="AS11" vm="1189">
            <v>19895400</v>
          </cell>
          <cell r="AT11" vm="1190">
            <v>20127400</v>
          </cell>
          <cell r="AU11" vm="1191">
            <v>20394800</v>
          </cell>
          <cell r="AV11" vm="1192">
            <v>20697900</v>
          </cell>
          <cell r="AW11" vm="1193">
            <v>20827600</v>
          </cell>
          <cell r="AX11" vm="1194">
            <v>21249200</v>
          </cell>
          <cell r="AY11" vm="1195">
            <v>21691700</v>
          </cell>
          <cell r="AZ11" vm="1196">
            <v>22031750</v>
          </cell>
          <cell r="BA11" vm="1197">
            <v>22340024</v>
          </cell>
          <cell r="BB11" vm="1198">
            <v>22733464</v>
          </cell>
          <cell r="BC11" vm="1199">
            <v>23128128</v>
          </cell>
          <cell r="BD11" vm="1200">
            <v>23475686</v>
          </cell>
          <cell r="BE11" vm="1201">
            <v>23815996</v>
          </cell>
          <cell r="BF11" vm="1202">
            <v>24190908</v>
          </cell>
          <cell r="BG11" vm="1203">
            <v>24601860</v>
          </cell>
          <cell r="BH11" vm="1204">
            <v>24982688</v>
          </cell>
          <cell r="BI11" vm="1205">
            <v>25364308</v>
          </cell>
        </row>
        <row r="12">
          <cell r="B12" t="str" vm="67">
            <v>Austria</v>
          </cell>
          <cell r="C12" vm="1206">
            <v>7086299</v>
          </cell>
          <cell r="D12" vm="1207">
            <v>7129864</v>
          </cell>
          <cell r="E12" vm="1208">
            <v>7175811</v>
          </cell>
          <cell r="F12" vm="1209">
            <v>7223801</v>
          </cell>
          <cell r="G12" vm="1210">
            <v>7270889</v>
          </cell>
          <cell r="H12" vm="1211">
            <v>7322066</v>
          </cell>
          <cell r="I12" vm="1212">
            <v>7376998</v>
          </cell>
          <cell r="J12" vm="1213">
            <v>7415403</v>
          </cell>
          <cell r="K12" vm="1214">
            <v>7441055</v>
          </cell>
          <cell r="L12" vm="1215">
            <v>7467086</v>
          </cell>
          <cell r="M12" vm="1216">
            <v>7500482</v>
          </cell>
          <cell r="N12" vm="1217">
            <v>7544201</v>
          </cell>
          <cell r="O12" vm="1218">
            <v>7586115</v>
          </cell>
          <cell r="P12" vm="1219">
            <v>7599038</v>
          </cell>
          <cell r="Q12" vm="1220">
            <v>7578903</v>
          </cell>
          <cell r="R12" vm="1221">
            <v>7565525</v>
          </cell>
          <cell r="S12" vm="1222">
            <v>7568430</v>
          </cell>
          <cell r="T12" vm="1223">
            <v>7562305</v>
          </cell>
          <cell r="U12" vm="1224">
            <v>7549425</v>
          </cell>
          <cell r="V12" vm="1225">
            <v>7549433</v>
          </cell>
          <cell r="W12" vm="1226">
            <v>7568710</v>
          </cell>
          <cell r="X12" vm="1227">
            <v>7574140</v>
          </cell>
          <cell r="Y12" vm="1228">
            <v>7561910</v>
          </cell>
          <cell r="Z12" vm="1229">
            <v>7561434</v>
          </cell>
          <cell r="AA12" vm="1230">
            <v>7564985</v>
          </cell>
          <cell r="AB12" vm="1231">
            <v>7569794</v>
          </cell>
          <cell r="AC12" vm="1232">
            <v>7574586</v>
          </cell>
          <cell r="AD12" vm="1233">
            <v>7585317</v>
          </cell>
          <cell r="AE12" vm="1234">
            <v>7619567</v>
          </cell>
          <cell r="AF12" vm="1235">
            <v>7677850</v>
          </cell>
          <cell r="AG12" vm="1236">
            <v>7754891</v>
          </cell>
          <cell r="AH12" vm="1237">
            <v>7840709</v>
          </cell>
          <cell r="AI12" vm="1238">
            <v>7905633</v>
          </cell>
          <cell r="AJ12" vm="1239">
            <v>7936118</v>
          </cell>
          <cell r="AK12" vm="1240">
            <v>7948278</v>
          </cell>
          <cell r="AL12" vm="1241">
            <v>7959017</v>
          </cell>
          <cell r="AM12" vm="1242">
            <v>7968041</v>
          </cell>
          <cell r="AN12" vm="1243">
            <v>7976789</v>
          </cell>
          <cell r="AO12" vm="1244">
            <v>7992324</v>
          </cell>
          <cell r="AP12" vm="1245">
            <v>8011566</v>
          </cell>
          <cell r="AQ12" vm="1246">
            <v>8042293</v>
          </cell>
          <cell r="AR12" vm="1247">
            <v>8081957</v>
          </cell>
          <cell r="AS12" vm="1248">
            <v>8121423</v>
          </cell>
          <cell r="AT12" vm="1249">
            <v>8171966</v>
          </cell>
          <cell r="AU12" vm="1250">
            <v>8227829</v>
          </cell>
          <cell r="AV12" vm="1251">
            <v>8268641</v>
          </cell>
          <cell r="AW12" vm="1252">
            <v>8295487</v>
          </cell>
          <cell r="AX12" vm="1253">
            <v>8321496</v>
          </cell>
          <cell r="AY12" vm="1254">
            <v>8343323</v>
          </cell>
          <cell r="AZ12" vm="1255">
            <v>8363404</v>
          </cell>
          <cell r="BA12" vm="1256">
            <v>8391643</v>
          </cell>
          <cell r="BB12" vm="1257">
            <v>8429991</v>
          </cell>
          <cell r="BC12" vm="1258">
            <v>8479823</v>
          </cell>
          <cell r="BD12" vm="1259">
            <v>8546356</v>
          </cell>
          <cell r="BE12" vm="1260">
            <v>8642699</v>
          </cell>
          <cell r="BF12" vm="1261">
            <v>8736668</v>
          </cell>
          <cell r="BG12" vm="1262">
            <v>8797566</v>
          </cell>
          <cell r="BH12" vm="1263">
            <v>8840521</v>
          </cell>
          <cell r="BI12" vm="1264">
            <v>8877067</v>
          </cell>
        </row>
        <row r="13">
          <cell r="B13" t="str" vm="127">
            <v>Belgium</v>
          </cell>
          <cell r="C13" vm="1265">
            <v>9183948</v>
          </cell>
          <cell r="D13" vm="1266">
            <v>9220578</v>
          </cell>
          <cell r="E13" vm="1267">
            <v>9289770</v>
          </cell>
          <cell r="F13" vm="1268">
            <v>9378113</v>
          </cell>
          <cell r="G13" vm="1269">
            <v>9463667</v>
          </cell>
          <cell r="H13" vm="1270">
            <v>9527807</v>
          </cell>
          <cell r="I13" vm="1271">
            <v>9580991</v>
          </cell>
          <cell r="J13" vm="1272">
            <v>9618756</v>
          </cell>
          <cell r="K13" vm="1273">
            <v>9646032</v>
          </cell>
          <cell r="L13" vm="1274">
            <v>9655549</v>
          </cell>
          <cell r="M13" vm="1275">
            <v>9673162</v>
          </cell>
          <cell r="N13" vm="1276">
            <v>9711115</v>
          </cell>
          <cell r="O13" vm="1277">
            <v>9741720</v>
          </cell>
          <cell r="P13" vm="1278">
            <v>9772419</v>
          </cell>
          <cell r="Q13" vm="1279">
            <v>9800700</v>
          </cell>
          <cell r="R13" vm="1280">
            <v>9818227</v>
          </cell>
          <cell r="S13" vm="1281">
            <v>9830358</v>
          </cell>
          <cell r="T13" vm="1282">
            <v>9839534</v>
          </cell>
          <cell r="U13" vm="1283">
            <v>9848382</v>
          </cell>
          <cell r="V13" vm="1284">
            <v>9859242</v>
          </cell>
          <cell r="W13" vm="1285">
            <v>9858982</v>
          </cell>
          <cell r="X13" vm="1286">
            <v>9856303</v>
          </cell>
          <cell r="Y13" vm="1287">
            <v>9855520</v>
          </cell>
          <cell r="Z13" vm="1288">
            <v>9855372</v>
          </cell>
          <cell r="AA13" vm="1289">
            <v>9858308</v>
          </cell>
          <cell r="AB13" vm="1290">
            <v>9861823</v>
          </cell>
          <cell r="AC13" vm="1291">
            <v>9870234</v>
          </cell>
          <cell r="AD13" vm="1292">
            <v>9901664</v>
          </cell>
          <cell r="AE13" vm="1293">
            <v>9937697</v>
          </cell>
          <cell r="AF13" vm="1294">
            <v>9967379</v>
          </cell>
          <cell r="AG13" vm="1295">
            <v>10004486</v>
          </cell>
          <cell r="AH13" vm="1296">
            <v>10045158</v>
          </cell>
          <cell r="AI13" vm="1297">
            <v>10084475</v>
          </cell>
          <cell r="AJ13" vm="1298">
            <v>10115603</v>
          </cell>
          <cell r="AK13" vm="1299">
            <v>10136811</v>
          </cell>
          <cell r="AL13" vm="1300">
            <v>10156637</v>
          </cell>
          <cell r="AM13" vm="1301">
            <v>10181245</v>
          </cell>
          <cell r="AN13" vm="1302">
            <v>10203008</v>
          </cell>
          <cell r="AO13" vm="1303">
            <v>10226419</v>
          </cell>
          <cell r="AP13" vm="1304">
            <v>10251250</v>
          </cell>
          <cell r="AQ13" vm="1305">
            <v>10286570</v>
          </cell>
          <cell r="AR13" vm="1306">
            <v>10332785</v>
          </cell>
          <cell r="AS13" vm="1307">
            <v>10376133</v>
          </cell>
          <cell r="AT13" vm="1308">
            <v>10421137</v>
          </cell>
          <cell r="AU13" vm="1309">
            <v>10478617</v>
          </cell>
          <cell r="AV13" vm="1310">
            <v>10547958</v>
          </cell>
          <cell r="AW13" vm="1311">
            <v>10625700</v>
          </cell>
          <cell r="AX13" vm="1312">
            <v>10709973</v>
          </cell>
          <cell r="AY13" vm="1313">
            <v>10796493</v>
          </cell>
          <cell r="AZ13" vm="1314">
            <v>10895586</v>
          </cell>
          <cell r="BA13" vm="1315">
            <v>11038264</v>
          </cell>
          <cell r="BB13" vm="1316">
            <v>11106932</v>
          </cell>
          <cell r="BC13" vm="1317">
            <v>11159407</v>
          </cell>
          <cell r="BD13" vm="1318">
            <v>11209057</v>
          </cell>
          <cell r="BE13" vm="1319">
            <v>11274196</v>
          </cell>
          <cell r="BF13" vm="1320">
            <v>11331422</v>
          </cell>
          <cell r="BG13" vm="1321">
            <v>11375158</v>
          </cell>
          <cell r="BH13" vm="1322">
            <v>11427054</v>
          </cell>
          <cell r="BI13" vm="1323">
            <v>11484055</v>
          </cell>
        </row>
        <row r="14">
          <cell r="B14" t="str" vm="187">
            <v>Finland</v>
          </cell>
          <cell r="C14" vm="1324">
            <v>4461005</v>
          </cell>
          <cell r="D14" vm="1325">
            <v>4491443</v>
          </cell>
          <cell r="E14" vm="1326">
            <v>4523309</v>
          </cell>
          <cell r="F14" vm="1327">
            <v>4548543</v>
          </cell>
          <cell r="G14" vm="1328">
            <v>4563732</v>
          </cell>
          <cell r="H14" vm="1329">
            <v>4580869</v>
          </cell>
          <cell r="I14" vm="1330">
            <v>4605744</v>
          </cell>
          <cell r="J14" vm="1331">
            <v>4626469</v>
          </cell>
          <cell r="K14" vm="1332">
            <v>4623785</v>
          </cell>
          <cell r="L14" vm="1333">
            <v>4606307</v>
          </cell>
          <cell r="M14" vm="1334">
            <v>4612124</v>
          </cell>
          <cell r="N14" vm="1335">
            <v>4639657</v>
          </cell>
          <cell r="O14" vm="1336">
            <v>4666081</v>
          </cell>
          <cell r="P14" vm="1337">
            <v>4690574</v>
          </cell>
          <cell r="Q14" vm="1338">
            <v>4711440</v>
          </cell>
          <cell r="R14" vm="1339">
            <v>4725664</v>
          </cell>
          <cell r="S14" vm="1340">
            <v>4738902</v>
          </cell>
          <cell r="T14" vm="1341">
            <v>4752528</v>
          </cell>
          <cell r="U14" vm="1342">
            <v>4764690</v>
          </cell>
          <cell r="V14" vm="1343">
            <v>4779535</v>
          </cell>
          <cell r="W14" vm="1344">
            <v>4799964</v>
          </cell>
          <cell r="X14" vm="1345">
            <v>4826933</v>
          </cell>
          <cell r="Y14" vm="1346">
            <v>4855787</v>
          </cell>
          <cell r="Z14" vm="1347">
            <v>4881803</v>
          </cell>
          <cell r="AA14" vm="1348">
            <v>4902206</v>
          </cell>
          <cell r="AB14" vm="1349">
            <v>4918154</v>
          </cell>
          <cell r="AC14" vm="1350">
            <v>4932123</v>
          </cell>
          <cell r="AD14" vm="1351">
            <v>4946481</v>
          </cell>
          <cell r="AE14" vm="1352">
            <v>4964371</v>
          </cell>
          <cell r="AF14" vm="1353">
            <v>4986431</v>
          </cell>
          <cell r="AG14" vm="1354">
            <v>5013740</v>
          </cell>
          <cell r="AH14" vm="1355">
            <v>5041992</v>
          </cell>
          <cell r="AI14" vm="1356">
            <v>5066447</v>
          </cell>
          <cell r="AJ14" vm="1357">
            <v>5088333</v>
          </cell>
          <cell r="AK14" vm="1358">
            <v>5107790</v>
          </cell>
          <cell r="AL14" vm="1359">
            <v>5124573</v>
          </cell>
          <cell r="AM14" vm="1360">
            <v>5139835</v>
          </cell>
          <cell r="AN14" vm="1361">
            <v>5153498</v>
          </cell>
          <cell r="AO14" vm="1362">
            <v>5165474</v>
          </cell>
          <cell r="AP14" vm="1363">
            <v>5176209</v>
          </cell>
          <cell r="AQ14" vm="1364">
            <v>5188008</v>
          </cell>
          <cell r="AR14" vm="1365">
            <v>5200598</v>
          </cell>
          <cell r="AS14" vm="1366">
            <v>5213014</v>
          </cell>
          <cell r="AT14" vm="1367">
            <v>5228172</v>
          </cell>
          <cell r="AU14" vm="1368">
            <v>5246096</v>
          </cell>
          <cell r="AV14" vm="1369">
            <v>5266268</v>
          </cell>
          <cell r="AW14" vm="1370">
            <v>5288720</v>
          </cell>
          <cell r="AX14" vm="1371">
            <v>5313399</v>
          </cell>
          <cell r="AY14" vm="1372">
            <v>5338871</v>
          </cell>
          <cell r="AZ14" vm="1373">
            <v>5363352</v>
          </cell>
          <cell r="BA14" vm="1374">
            <v>5388272</v>
          </cell>
          <cell r="BB14" vm="1375">
            <v>5413971</v>
          </cell>
          <cell r="BC14" vm="1376">
            <v>5438972</v>
          </cell>
          <cell r="BD14" vm="1377">
            <v>5461512</v>
          </cell>
          <cell r="BE14" vm="1378">
            <v>5479531</v>
          </cell>
          <cell r="BF14" vm="1379">
            <v>5495303</v>
          </cell>
          <cell r="BG14" vm="1380">
            <v>5508214</v>
          </cell>
          <cell r="BH14" vm="1381">
            <v>5515525</v>
          </cell>
          <cell r="BI14" vm="1382">
            <v>5520314</v>
          </cell>
        </row>
        <row r="15">
          <cell r="B15" t="str" vm="247">
            <v>France</v>
          </cell>
          <cell r="C15" vm="1383">
            <v>47240544</v>
          </cell>
          <cell r="D15" vm="1384">
            <v>47904876</v>
          </cell>
          <cell r="E15" vm="1385">
            <v>48582612</v>
          </cell>
          <cell r="F15" vm="1386">
            <v>49230596</v>
          </cell>
          <cell r="G15" vm="1387">
            <v>49818028</v>
          </cell>
          <cell r="H15" vm="1388">
            <v>50330264</v>
          </cell>
          <cell r="I15" vm="1389">
            <v>50775792</v>
          </cell>
          <cell r="J15" vm="1390">
            <v>51175508</v>
          </cell>
          <cell r="K15" vm="1391">
            <v>51561836</v>
          </cell>
          <cell r="L15" vm="1392">
            <v>51957736</v>
          </cell>
          <cell r="M15" vm="1393">
            <v>52371344</v>
          </cell>
          <cell r="N15" vm="1394">
            <v>52793136</v>
          </cell>
          <cell r="O15" vm="1395">
            <v>53207736</v>
          </cell>
          <cell r="P15" vm="1396">
            <v>53592232</v>
          </cell>
          <cell r="Q15" vm="1397">
            <v>53931392</v>
          </cell>
          <cell r="R15" vm="1398">
            <v>54220024</v>
          </cell>
          <cell r="S15" vm="1399">
            <v>54467704</v>
          </cell>
          <cell r="T15" vm="1400">
            <v>54691852</v>
          </cell>
          <cell r="U15" vm="1401">
            <v>54917120</v>
          </cell>
          <cell r="V15" vm="1402">
            <v>55161528</v>
          </cell>
          <cell r="W15" vm="1403">
            <v>55430296</v>
          </cell>
          <cell r="X15" vm="1404">
            <v>55718932</v>
          </cell>
          <cell r="Y15" vm="1405">
            <v>56023768</v>
          </cell>
          <cell r="Z15" vm="1406">
            <v>56337664</v>
          </cell>
          <cell r="AA15" vm="1407">
            <v>56654696</v>
          </cell>
          <cell r="AB15" vm="1408">
            <v>56976124</v>
          </cell>
          <cell r="AC15" vm="1409">
            <v>57302664</v>
          </cell>
          <cell r="AD15" vm="1410">
            <v>57627104</v>
          </cell>
          <cell r="AE15" vm="1411">
            <v>57940212</v>
          </cell>
          <cell r="AF15" vm="1412">
            <v>58235696</v>
          </cell>
          <cell r="AG15" vm="1413">
            <v>58559312</v>
          </cell>
          <cell r="AH15" vm="1414">
            <v>58851216</v>
          </cell>
          <cell r="AI15" vm="1415">
            <v>59106768</v>
          </cell>
          <cell r="AJ15" vm="1416">
            <v>59327192</v>
          </cell>
          <cell r="AK15" vm="1417">
            <v>59541900</v>
          </cell>
          <cell r="AL15" vm="1418">
            <v>59753100</v>
          </cell>
          <cell r="AM15" vm="1419">
            <v>59964852</v>
          </cell>
          <cell r="AN15" vm="1420">
            <v>60186288</v>
          </cell>
          <cell r="AO15" vm="1421">
            <v>60496720</v>
          </cell>
          <cell r="AP15" vm="1422">
            <v>60912500</v>
          </cell>
          <cell r="AQ15" vm="1423">
            <v>61357432</v>
          </cell>
          <cell r="AR15" vm="1424">
            <v>61805268</v>
          </cell>
          <cell r="AS15" vm="1425">
            <v>62244888</v>
          </cell>
          <cell r="AT15" vm="1426">
            <v>62704896</v>
          </cell>
          <cell r="AU15" vm="1427">
            <v>63179352</v>
          </cell>
          <cell r="AV15" vm="1428">
            <v>63621380</v>
          </cell>
          <cell r="AW15" vm="1429">
            <v>64016224</v>
          </cell>
          <cell r="AX15" vm="1430">
            <v>64374984</v>
          </cell>
          <cell r="AY15" vm="1431">
            <v>64707040</v>
          </cell>
          <cell r="AZ15" vm="1432">
            <v>65027508</v>
          </cell>
          <cell r="BA15" vm="1433">
            <v>65342780</v>
          </cell>
          <cell r="BB15" vm="1434">
            <v>65659808</v>
          </cell>
          <cell r="BC15" vm="1435">
            <v>65998688</v>
          </cell>
          <cell r="BD15" vm="1436">
            <v>66312068</v>
          </cell>
          <cell r="BE15" vm="1437">
            <v>66548272</v>
          </cell>
          <cell r="BF15" vm="1438">
            <v>66724104</v>
          </cell>
          <cell r="BG15" vm="1439">
            <v>66864380</v>
          </cell>
          <cell r="BH15" vm="1440">
            <v>66965912</v>
          </cell>
          <cell r="BI15" vm="1441">
            <v>67059888</v>
          </cell>
        </row>
        <row r="16">
          <cell r="B16" t="str" vm="307">
            <v>Greece</v>
          </cell>
          <cell r="C16" vm="1442">
            <v>8398050</v>
          </cell>
          <cell r="D16" vm="1443">
            <v>8448233</v>
          </cell>
          <cell r="E16" vm="1444">
            <v>8479625</v>
          </cell>
          <cell r="F16" vm="1445">
            <v>8510429</v>
          </cell>
          <cell r="G16" vm="1446">
            <v>8550333</v>
          </cell>
          <cell r="H16" vm="1447">
            <v>8613651</v>
          </cell>
          <cell r="I16" vm="1448">
            <v>8684088</v>
          </cell>
          <cell r="J16" vm="1449">
            <v>8740765</v>
          </cell>
          <cell r="K16" vm="1450">
            <v>8772764</v>
          </cell>
          <cell r="L16" vm="1451">
            <v>8792806</v>
          </cell>
          <cell r="M16" vm="1452">
            <v>8831036</v>
          </cell>
          <cell r="N16" vm="1453">
            <v>8888628</v>
          </cell>
          <cell r="O16" vm="1454">
            <v>8929086</v>
          </cell>
          <cell r="P16" vm="1455">
            <v>8962022</v>
          </cell>
          <cell r="Q16" vm="1456">
            <v>9046541</v>
          </cell>
          <cell r="R16" vm="1457">
            <v>9188150</v>
          </cell>
          <cell r="S16" vm="1458">
            <v>9308479</v>
          </cell>
          <cell r="T16" vm="1459">
            <v>9429959</v>
          </cell>
          <cell r="U16" vm="1460">
            <v>9548258</v>
          </cell>
          <cell r="V16" vm="1461">
            <v>9642505</v>
          </cell>
          <cell r="W16" vm="1462">
            <v>9729350</v>
          </cell>
          <cell r="X16" vm="1463">
            <v>9789513</v>
          </cell>
          <cell r="Y16" vm="1464">
            <v>9846627</v>
          </cell>
          <cell r="Z16" vm="1465">
            <v>9895801</v>
          </cell>
          <cell r="AA16" vm="1466">
            <v>9934300</v>
          </cell>
          <cell r="AB16" vm="1467">
            <v>9967213</v>
          </cell>
          <cell r="AC16" vm="1468">
            <v>10000595</v>
          </cell>
          <cell r="AD16" vm="1469">
            <v>10036983</v>
          </cell>
          <cell r="AE16" vm="1470">
            <v>10089498</v>
          </cell>
          <cell r="AF16" vm="1471">
            <v>10196792</v>
          </cell>
          <cell r="AG16" vm="1472">
            <v>10319927</v>
          </cell>
          <cell r="AH16" vm="1473">
            <v>10399061</v>
          </cell>
          <cell r="AI16" vm="1474">
            <v>10460415</v>
          </cell>
          <cell r="AJ16" vm="1475">
            <v>10512922</v>
          </cell>
          <cell r="AK16" vm="1476">
            <v>10562153</v>
          </cell>
          <cell r="AL16" vm="1477">
            <v>10608800</v>
          </cell>
          <cell r="AM16" vm="1478">
            <v>10661259</v>
          </cell>
          <cell r="AN16" vm="1479">
            <v>10720509</v>
          </cell>
          <cell r="AO16" vm="1480">
            <v>10761698</v>
          </cell>
          <cell r="AP16" vm="1481">
            <v>10805808</v>
          </cell>
          <cell r="AQ16" vm="1482">
            <v>10862132</v>
          </cell>
          <cell r="AR16" vm="1483">
            <v>10902022</v>
          </cell>
          <cell r="AS16" vm="1484">
            <v>10928070</v>
          </cell>
          <cell r="AT16" vm="1485">
            <v>10955141</v>
          </cell>
          <cell r="AU16" vm="1486">
            <v>10987314</v>
          </cell>
          <cell r="AV16" vm="1487">
            <v>11020362</v>
          </cell>
          <cell r="AW16" vm="1488">
            <v>11048473</v>
          </cell>
          <cell r="AX16" vm="1489">
            <v>11077841</v>
          </cell>
          <cell r="AY16" vm="1490">
            <v>11107017</v>
          </cell>
          <cell r="AZ16" vm="1491">
            <v>11121341</v>
          </cell>
          <cell r="BA16" vm="1492">
            <v>11104899</v>
          </cell>
          <cell r="BB16" vm="1493">
            <v>11045011</v>
          </cell>
          <cell r="BC16" vm="1494">
            <v>10965211</v>
          </cell>
          <cell r="BD16" vm="1495">
            <v>10892413</v>
          </cell>
          <cell r="BE16" vm="1496">
            <v>10820883</v>
          </cell>
          <cell r="BF16" vm="1497">
            <v>10775971</v>
          </cell>
          <cell r="BG16" vm="1498">
            <v>10754679</v>
          </cell>
          <cell r="BH16" vm="1499">
            <v>10732882</v>
          </cell>
          <cell r="BI16" vm="1500">
            <v>10716322</v>
          </cell>
        </row>
        <row r="17">
          <cell r="B17" t="str" vm="367">
            <v>Israel</v>
          </cell>
          <cell r="C17" vm="1501">
            <v>2185000</v>
          </cell>
          <cell r="D17" vm="1502">
            <v>2293000</v>
          </cell>
          <cell r="E17" vm="1503">
            <v>2379000</v>
          </cell>
          <cell r="F17" vm="1504">
            <v>2475000</v>
          </cell>
          <cell r="G17" vm="1505">
            <v>2563000</v>
          </cell>
          <cell r="H17" vm="1506">
            <v>2629000</v>
          </cell>
          <cell r="I17" vm="1507">
            <v>2745000</v>
          </cell>
          <cell r="J17" vm="1508">
            <v>2803000</v>
          </cell>
          <cell r="K17" vm="1509">
            <v>2877000</v>
          </cell>
          <cell r="L17" vm="1510">
            <v>2974000</v>
          </cell>
          <cell r="M17" vm="1511">
            <v>3069000</v>
          </cell>
          <cell r="N17" vm="1512">
            <v>3148000</v>
          </cell>
          <cell r="O17" vm="1513">
            <v>3278000</v>
          </cell>
          <cell r="P17" vm="1514">
            <v>3377000</v>
          </cell>
          <cell r="Q17" vm="1515">
            <v>3455000</v>
          </cell>
          <cell r="R17" vm="1516">
            <v>3533000</v>
          </cell>
          <cell r="S17" vm="1517">
            <v>3613000</v>
          </cell>
          <cell r="T17" vm="1518">
            <v>3690000</v>
          </cell>
          <cell r="U17" vm="1519">
            <v>3786000</v>
          </cell>
          <cell r="V17" vm="1520">
            <v>3878000</v>
          </cell>
          <cell r="W17" vm="1521">
            <v>3956000</v>
          </cell>
          <cell r="X17" vm="1522">
            <v>4031000</v>
          </cell>
          <cell r="Y17" vm="1523">
            <v>4105000</v>
          </cell>
          <cell r="Z17" vm="1524">
            <v>4159000</v>
          </cell>
          <cell r="AA17" vm="1525">
            <v>4233000</v>
          </cell>
          <cell r="AB17" vm="1526">
            <v>4299000</v>
          </cell>
          <cell r="AC17" vm="1527">
            <v>4369000</v>
          </cell>
          <cell r="AD17" vm="1528">
            <v>4442000</v>
          </cell>
          <cell r="AE17" vm="1529">
            <v>4518000</v>
          </cell>
          <cell r="AF17" vm="1530">
            <v>4660000</v>
          </cell>
          <cell r="AG17" vm="1531">
            <v>4949000</v>
          </cell>
          <cell r="AH17" vm="1532">
            <v>5123000</v>
          </cell>
          <cell r="AI17" vm="1533">
            <v>5261000</v>
          </cell>
          <cell r="AJ17" vm="1534">
            <v>5399000</v>
          </cell>
          <cell r="AK17" vm="1535">
            <v>5545000</v>
          </cell>
          <cell r="AL17" vm="1536">
            <v>5692000</v>
          </cell>
          <cell r="AM17" vm="1537">
            <v>5836000</v>
          </cell>
          <cell r="AN17" vm="1538">
            <v>5971000</v>
          </cell>
          <cell r="AO17" vm="1539">
            <v>6125000</v>
          </cell>
          <cell r="AP17" vm="1540">
            <v>6289000</v>
          </cell>
          <cell r="AQ17" vm="1541">
            <v>6439000</v>
          </cell>
          <cell r="AR17" vm="1542">
            <v>6570000</v>
          </cell>
          <cell r="AS17" vm="1543">
            <v>6689700</v>
          </cell>
          <cell r="AT17" vm="1544">
            <v>6809000</v>
          </cell>
          <cell r="AU17" vm="1545">
            <v>6930100</v>
          </cell>
          <cell r="AV17" vm="1546">
            <v>7053700</v>
          </cell>
          <cell r="AW17" vm="1547">
            <v>7180100</v>
          </cell>
          <cell r="AX17" vm="1548">
            <v>7308800</v>
          </cell>
          <cell r="AY17" vm="1549">
            <v>7485600</v>
          </cell>
          <cell r="AZ17" vm="1550">
            <v>7623600</v>
          </cell>
          <cell r="BA17" vm="1551">
            <v>7765800</v>
          </cell>
          <cell r="BB17" vm="1552">
            <v>7910500</v>
          </cell>
          <cell r="BC17" vm="1553">
            <v>8059500</v>
          </cell>
          <cell r="BD17" vm="1554">
            <v>8215700</v>
          </cell>
          <cell r="BE17" vm="1555">
            <v>8380100</v>
          </cell>
          <cell r="BF17" vm="1556">
            <v>8546000</v>
          </cell>
          <cell r="BG17" vm="1557">
            <v>8713300</v>
          </cell>
          <cell r="BH17" vm="1558">
            <v>8882800</v>
          </cell>
          <cell r="BI17" vm="1559">
            <v>9053300</v>
          </cell>
        </row>
        <row r="18">
          <cell r="B18" t="str" vm="427">
            <v>Italy</v>
          </cell>
          <cell r="C18" vm="1560">
            <v>50536352</v>
          </cell>
          <cell r="D18" vm="1561">
            <v>50879448</v>
          </cell>
          <cell r="E18" vm="1562">
            <v>51252000</v>
          </cell>
          <cell r="F18" vm="1563">
            <v>51675352</v>
          </cell>
          <cell r="G18" vm="1564">
            <v>52112352</v>
          </cell>
          <cell r="H18" vm="1565">
            <v>52519000</v>
          </cell>
          <cell r="I18" vm="1566">
            <v>52900500</v>
          </cell>
          <cell r="J18" vm="1567">
            <v>53235752</v>
          </cell>
          <cell r="K18" vm="1568">
            <v>53537952</v>
          </cell>
          <cell r="L18" vm="1569">
            <v>53821848</v>
          </cell>
          <cell r="M18" vm="1570">
            <v>54073488</v>
          </cell>
          <cell r="N18" vm="1571">
            <v>54381344</v>
          </cell>
          <cell r="O18" vm="1572">
            <v>54751408</v>
          </cell>
          <cell r="P18" vm="1573">
            <v>55110868</v>
          </cell>
          <cell r="Q18" vm="1574">
            <v>55441000</v>
          </cell>
          <cell r="R18" vm="1575">
            <v>55718260</v>
          </cell>
          <cell r="S18" vm="1576">
            <v>55955412</v>
          </cell>
          <cell r="T18" vm="1577">
            <v>56155144</v>
          </cell>
          <cell r="U18" vm="1578">
            <v>56317748</v>
          </cell>
          <cell r="V18" vm="1579">
            <v>56433884</v>
          </cell>
          <cell r="W18" vm="1580">
            <v>56501676</v>
          </cell>
          <cell r="X18" vm="1581">
            <v>56543548</v>
          </cell>
          <cell r="Y18" vm="1582">
            <v>56564072</v>
          </cell>
          <cell r="Z18" vm="1583">
            <v>56576720</v>
          </cell>
          <cell r="AA18" vm="1584">
            <v>56593072</v>
          </cell>
          <cell r="AB18" vm="1585">
            <v>56596156</v>
          </cell>
          <cell r="AC18" vm="1586">
            <v>56601932</v>
          </cell>
          <cell r="AD18" vm="1587">
            <v>56629288</v>
          </cell>
          <cell r="AE18" vm="1588">
            <v>56671780</v>
          </cell>
          <cell r="AF18" vm="1589">
            <v>56719240</v>
          </cell>
          <cell r="AG18" vm="1590">
            <v>56758520</v>
          </cell>
          <cell r="AH18" vm="1591">
            <v>56797088</v>
          </cell>
          <cell r="AI18" vm="1592">
            <v>56831820</v>
          </cell>
          <cell r="AJ18" vm="1593">
            <v>56843400</v>
          </cell>
          <cell r="AK18" vm="1594">
            <v>56844304</v>
          </cell>
          <cell r="AL18" vm="1595">
            <v>56860280</v>
          </cell>
          <cell r="AM18" vm="1596">
            <v>56890372</v>
          </cell>
          <cell r="AN18" vm="1597">
            <v>56906744</v>
          </cell>
          <cell r="AO18" vm="1598">
            <v>56916316</v>
          </cell>
          <cell r="AP18" vm="1599">
            <v>56942108</v>
          </cell>
          <cell r="AQ18" vm="1600">
            <v>56974100</v>
          </cell>
          <cell r="AR18" vm="1601">
            <v>57059008</v>
          </cell>
          <cell r="AS18" vm="1602">
            <v>57313204</v>
          </cell>
          <cell r="AT18" vm="1603">
            <v>57685328</v>
          </cell>
          <cell r="AU18" vm="1604">
            <v>57969484</v>
          </cell>
          <cell r="AV18" vm="1605">
            <v>58143980</v>
          </cell>
          <cell r="AW18" vm="1606">
            <v>58438312</v>
          </cell>
          <cell r="AX18" vm="1607">
            <v>58826732</v>
          </cell>
          <cell r="AY18" vm="1608">
            <v>59095364</v>
          </cell>
          <cell r="AZ18" vm="1609">
            <v>59277416</v>
          </cell>
          <cell r="BA18" vm="1610">
            <v>59379448</v>
          </cell>
          <cell r="BB18" vm="1611">
            <v>59539716</v>
          </cell>
          <cell r="BC18" vm="1612">
            <v>60233948</v>
          </cell>
          <cell r="BD18" vm="1613">
            <v>60789140</v>
          </cell>
          <cell r="BE18" vm="1614">
            <v>60730584</v>
          </cell>
          <cell r="BF18" vm="1615">
            <v>60627496</v>
          </cell>
          <cell r="BG18" vm="1616">
            <v>60536708</v>
          </cell>
          <cell r="BH18" vm="1617">
            <v>60421760</v>
          </cell>
          <cell r="BI18" vm="1618">
            <v>60297396</v>
          </cell>
        </row>
        <row r="19">
          <cell r="B19" t="str" vm="487">
            <v>Japan</v>
          </cell>
          <cell r="C19" vm="1619">
            <v>94943000</v>
          </cell>
          <cell r="D19" vm="1620">
            <v>95832000</v>
          </cell>
          <cell r="E19" vm="1621">
            <v>96812000</v>
          </cell>
          <cell r="F19" vm="1622">
            <v>97826000</v>
          </cell>
          <cell r="G19" vm="1623">
            <v>98883000</v>
          </cell>
          <cell r="H19" vm="1624">
            <v>99790000</v>
          </cell>
          <cell r="I19" vm="1625">
            <v>100725000</v>
          </cell>
          <cell r="J19" vm="1626">
            <v>101061000</v>
          </cell>
          <cell r="K19" vm="1627">
            <v>103172000</v>
          </cell>
          <cell r="L19" vm="1628">
            <v>104345000</v>
          </cell>
          <cell r="M19" vm="1629">
            <v>105697000</v>
          </cell>
          <cell r="N19" vm="1630">
            <v>107188000</v>
          </cell>
          <cell r="O19" vm="1631">
            <v>108079000</v>
          </cell>
          <cell r="P19" vm="1632">
            <v>110162000</v>
          </cell>
          <cell r="Q19" vm="1633">
            <v>111940000</v>
          </cell>
          <cell r="R19" vm="1634">
            <v>112771000</v>
          </cell>
          <cell r="S19" vm="1635">
            <v>113863000</v>
          </cell>
          <cell r="T19" vm="1636">
            <v>114898000</v>
          </cell>
          <cell r="U19" vm="1637">
            <v>115870000</v>
          </cell>
          <cell r="V19" vm="1638">
            <v>116782000</v>
          </cell>
          <cell r="W19" vm="1639">
            <v>117648000</v>
          </cell>
          <cell r="X19" vm="1640">
            <v>118449000</v>
          </cell>
          <cell r="Y19" vm="1641">
            <v>119259000</v>
          </cell>
          <cell r="Z19" vm="1642">
            <v>120018000</v>
          </cell>
          <cell r="AA19" vm="1643">
            <v>120754000</v>
          </cell>
          <cell r="AB19" vm="1644">
            <v>121492000</v>
          </cell>
          <cell r="AC19" vm="1645">
            <v>122091000</v>
          </cell>
          <cell r="AD19" vm="1646">
            <v>122613000</v>
          </cell>
          <cell r="AE19" vm="1647">
            <v>123116000</v>
          </cell>
          <cell r="AF19" vm="1648">
            <v>123537000</v>
          </cell>
          <cell r="AG19" vm="1649">
            <v>123921000</v>
          </cell>
          <cell r="AH19" vm="1650">
            <v>124229000</v>
          </cell>
          <cell r="AI19" vm="1651">
            <v>124536000</v>
          </cell>
          <cell r="AJ19" vm="1652">
            <v>124961000</v>
          </cell>
          <cell r="AK19" vm="1653">
            <v>125439000</v>
          </cell>
          <cell r="AL19" vm="1654">
            <v>125757000</v>
          </cell>
          <cell r="AM19" vm="1655">
            <v>126057000</v>
          </cell>
          <cell r="AN19" vm="1656">
            <v>126400000</v>
          </cell>
          <cell r="AO19" vm="1657">
            <v>126631000</v>
          </cell>
          <cell r="AP19" vm="1658">
            <v>126843000</v>
          </cell>
          <cell r="AQ19" vm="1659">
            <v>127149000</v>
          </cell>
          <cell r="AR19" vm="1660">
            <v>127445000</v>
          </cell>
          <cell r="AS19" vm="1661">
            <v>127718000</v>
          </cell>
          <cell r="AT19" vm="1662">
            <v>127761000</v>
          </cell>
          <cell r="AU19" vm="1663">
            <v>127773000</v>
          </cell>
          <cell r="AV19" vm="1664">
            <v>127854000</v>
          </cell>
          <cell r="AW19" vm="1665">
            <v>128001000</v>
          </cell>
          <cell r="AX19" vm="1666">
            <v>128063000</v>
          </cell>
          <cell r="AY19" vm="1667">
            <v>128047000</v>
          </cell>
          <cell r="AZ19" vm="1668">
            <v>128070000</v>
          </cell>
          <cell r="BA19" vm="1669">
            <v>127833000</v>
          </cell>
          <cell r="BB19" vm="1670">
            <v>127629000</v>
          </cell>
          <cell r="BC19" vm="1671">
            <v>127445000</v>
          </cell>
          <cell r="BD19" vm="1672">
            <v>127276000</v>
          </cell>
          <cell r="BE19" vm="1673">
            <v>127141000</v>
          </cell>
          <cell r="BF19" vm="1674">
            <v>126994512</v>
          </cell>
          <cell r="BG19" vm="1675">
            <v>126785800</v>
          </cell>
          <cell r="BH19" vm="1676">
            <v>126529104</v>
          </cell>
          <cell r="BI19" vm="1677">
            <v>126264928</v>
          </cell>
        </row>
        <row r="20">
          <cell r="B20" t="str" vm="547">
            <v>Luxemburg</v>
          </cell>
          <cell r="C20" vm="1678">
            <v>316845</v>
          </cell>
          <cell r="D20" vm="1679">
            <v>320750</v>
          </cell>
          <cell r="E20" vm="1680">
            <v>324100</v>
          </cell>
          <cell r="F20" vm="1681">
            <v>327750</v>
          </cell>
          <cell r="G20" vm="1682">
            <v>331500</v>
          </cell>
          <cell r="H20" vm="1683">
            <v>333895</v>
          </cell>
          <cell r="I20" vm="1684">
            <v>334995</v>
          </cell>
          <cell r="J20" vm="1685">
            <v>335850</v>
          </cell>
          <cell r="K20" vm="1686">
            <v>337500</v>
          </cell>
          <cell r="L20" vm="1687">
            <v>339171</v>
          </cell>
          <cell r="M20" vm="1688">
            <v>342421</v>
          </cell>
          <cell r="N20" vm="1689">
            <v>346600</v>
          </cell>
          <cell r="O20" vm="1690">
            <v>350450</v>
          </cell>
          <cell r="P20" vm="1691">
            <v>355050</v>
          </cell>
          <cell r="Q20" vm="1692">
            <v>358950</v>
          </cell>
          <cell r="R20" vm="1693">
            <v>360731</v>
          </cell>
          <cell r="S20" vm="1694">
            <v>361358</v>
          </cell>
          <cell r="T20" vm="1695">
            <v>362007</v>
          </cell>
          <cell r="U20" vm="1696">
            <v>362856</v>
          </cell>
          <cell r="V20" vm="1697">
            <v>364150</v>
          </cell>
          <cell r="W20" vm="1698">
            <v>365225</v>
          </cell>
          <cell r="X20" vm="1699">
            <v>365525</v>
          </cell>
          <cell r="Y20" vm="1700">
            <v>365622</v>
          </cell>
          <cell r="Z20" vm="1701">
            <v>365998</v>
          </cell>
          <cell r="AA20" vm="1702">
            <v>366706</v>
          </cell>
          <cell r="AB20" vm="1703">
            <v>368355</v>
          </cell>
          <cell r="AC20" vm="1704">
            <v>370750</v>
          </cell>
          <cell r="AD20" vm="1705">
            <v>373450</v>
          </cell>
          <cell r="AE20" vm="1706">
            <v>377100</v>
          </cell>
          <cell r="AF20" vm="1707">
            <v>381850</v>
          </cell>
          <cell r="AG20" vm="1708">
            <v>387000</v>
          </cell>
          <cell r="AH20" vm="1709">
            <v>392175</v>
          </cell>
          <cell r="AI20" vm="1710">
            <v>397475</v>
          </cell>
          <cell r="AJ20" vm="1711">
            <v>402925</v>
          </cell>
          <cell r="AK20" vm="1712">
            <v>408625</v>
          </cell>
          <cell r="AL20" vm="1713">
            <v>414225</v>
          </cell>
          <cell r="AM20" vm="1714">
            <v>419450</v>
          </cell>
          <cell r="AN20" vm="1715">
            <v>424700</v>
          </cell>
          <cell r="AO20" vm="1716">
            <v>430475</v>
          </cell>
          <cell r="AP20" vm="1717">
            <v>436300</v>
          </cell>
          <cell r="AQ20" vm="1718">
            <v>441525</v>
          </cell>
          <cell r="AR20" vm="1719">
            <v>446175</v>
          </cell>
          <cell r="AS20" vm="1720">
            <v>451630</v>
          </cell>
          <cell r="AT20" vm="1721">
            <v>458095</v>
          </cell>
          <cell r="AU20" vm="1722">
            <v>465158</v>
          </cell>
          <cell r="AV20" vm="1723">
            <v>472637</v>
          </cell>
          <cell r="AW20" vm="1724">
            <v>479993</v>
          </cell>
          <cell r="AX20" vm="1725">
            <v>488650</v>
          </cell>
          <cell r="AY20" vm="1726">
            <v>497783</v>
          </cell>
          <cell r="AZ20" vm="1727">
            <v>506953</v>
          </cell>
          <cell r="BA20" vm="1728">
            <v>518347</v>
          </cell>
          <cell r="BB20" vm="1729">
            <v>530946</v>
          </cell>
          <cell r="BC20" vm="1730">
            <v>543360</v>
          </cell>
          <cell r="BD20" vm="1731">
            <v>556319</v>
          </cell>
          <cell r="BE20" vm="1732">
            <v>569604</v>
          </cell>
          <cell r="BF20" vm="1733">
            <v>582014</v>
          </cell>
          <cell r="BG20" vm="1734">
            <v>596336</v>
          </cell>
          <cell r="BH20" vm="1735">
            <v>607950</v>
          </cell>
          <cell r="BI20" vm="1736">
            <v>619896</v>
          </cell>
        </row>
        <row r="21">
          <cell r="B21" t="str" vm="607">
            <v>Netherlands</v>
          </cell>
          <cell r="C21" vm="1737">
            <v>11638712</v>
          </cell>
          <cell r="D21" vm="1738">
            <v>11805689</v>
          </cell>
          <cell r="E21" vm="1739">
            <v>11965966</v>
          </cell>
          <cell r="F21" vm="1740">
            <v>12127120</v>
          </cell>
          <cell r="G21" vm="1741">
            <v>12294732</v>
          </cell>
          <cell r="H21" vm="1742">
            <v>12456251</v>
          </cell>
          <cell r="I21" vm="1743">
            <v>12598201</v>
          </cell>
          <cell r="J21" vm="1744">
            <v>12729721</v>
          </cell>
          <cell r="K21" vm="1745">
            <v>12877984</v>
          </cell>
          <cell r="L21" vm="1746">
            <v>13038526</v>
          </cell>
          <cell r="M21" vm="1747">
            <v>13194497</v>
          </cell>
          <cell r="N21" vm="1748">
            <v>13328593</v>
          </cell>
          <cell r="O21" vm="1749">
            <v>13439322</v>
          </cell>
          <cell r="P21" vm="1750">
            <v>13545056</v>
          </cell>
          <cell r="Q21" vm="1751">
            <v>13666335</v>
          </cell>
          <cell r="R21" vm="1752">
            <v>13774037</v>
          </cell>
          <cell r="S21" vm="1753">
            <v>13856185</v>
          </cell>
          <cell r="T21" vm="1754">
            <v>13941700</v>
          </cell>
          <cell r="U21" vm="1755">
            <v>14038270</v>
          </cell>
          <cell r="V21" vm="1756">
            <v>14149800</v>
          </cell>
          <cell r="W21" vm="1757">
            <v>14247208</v>
          </cell>
          <cell r="X21" vm="1758">
            <v>14312690</v>
          </cell>
          <cell r="Y21" vm="1759">
            <v>14367070</v>
          </cell>
          <cell r="Z21" vm="1760">
            <v>14424211</v>
          </cell>
          <cell r="AA21" vm="1761">
            <v>14491632</v>
          </cell>
          <cell r="AB21" vm="1762">
            <v>14572278</v>
          </cell>
          <cell r="AC21" vm="1763">
            <v>14665037</v>
          </cell>
          <cell r="AD21" vm="1764">
            <v>14760094</v>
          </cell>
          <cell r="AE21" vm="1765">
            <v>14848907</v>
          </cell>
          <cell r="AF21" vm="1766">
            <v>14951510</v>
          </cell>
          <cell r="AG21" vm="1767">
            <v>15069798</v>
          </cell>
          <cell r="AH21" vm="1768">
            <v>15184166</v>
          </cell>
          <cell r="AI21" vm="1769">
            <v>15290368</v>
          </cell>
          <cell r="AJ21" vm="1770">
            <v>15382838</v>
          </cell>
          <cell r="AK21" vm="1771">
            <v>15459006</v>
          </cell>
          <cell r="AL21" vm="1772">
            <v>15530498</v>
          </cell>
          <cell r="AM21" vm="1773">
            <v>15610650</v>
          </cell>
          <cell r="AN21" vm="1774">
            <v>15707209</v>
          </cell>
          <cell r="AO21" vm="1775">
            <v>15812088</v>
          </cell>
          <cell r="AP21" vm="1776">
            <v>15925513</v>
          </cell>
          <cell r="AQ21" vm="1777">
            <v>16046180</v>
          </cell>
          <cell r="AR21" vm="1778">
            <v>16148929</v>
          </cell>
          <cell r="AS21" vm="1779">
            <v>16225302</v>
          </cell>
          <cell r="AT21" vm="1780">
            <v>16281779</v>
          </cell>
          <cell r="AU21" vm="1781">
            <v>16319868</v>
          </cell>
          <cell r="AV21" vm="1782">
            <v>16346101</v>
          </cell>
          <cell r="AW21" vm="1783">
            <v>16381696</v>
          </cell>
          <cell r="AX21" vm="1784">
            <v>16445593</v>
          </cell>
          <cell r="AY21" vm="1785">
            <v>16530388</v>
          </cell>
          <cell r="AZ21" vm="1786">
            <v>16615394</v>
          </cell>
          <cell r="BA21" vm="1787">
            <v>16693074</v>
          </cell>
          <cell r="BB21" vm="1788">
            <v>16754962</v>
          </cell>
          <cell r="BC21" vm="1789">
            <v>16804432</v>
          </cell>
          <cell r="BD21" vm="1790">
            <v>16865008</v>
          </cell>
          <cell r="BE21" vm="1791">
            <v>16939924</v>
          </cell>
          <cell r="BF21" vm="1792">
            <v>17030314</v>
          </cell>
          <cell r="BG21" vm="1793">
            <v>17131296</v>
          </cell>
          <cell r="BH21" vm="1794">
            <v>17231624</v>
          </cell>
          <cell r="BI21" vm="1795">
            <v>17332850</v>
          </cell>
        </row>
        <row r="22">
          <cell r="B22" t="str" vm="667">
            <v>Norway</v>
          </cell>
          <cell r="C22" vm="1796">
            <v>3609800</v>
          </cell>
          <cell r="D22" vm="1797">
            <v>3638918</v>
          </cell>
          <cell r="E22" vm="1798">
            <v>3666537</v>
          </cell>
          <cell r="F22" vm="1799">
            <v>3694339</v>
          </cell>
          <cell r="G22" vm="1800">
            <v>3723168</v>
          </cell>
          <cell r="H22" vm="1801">
            <v>3753012</v>
          </cell>
          <cell r="I22" vm="1802">
            <v>3784539</v>
          </cell>
          <cell r="J22" vm="1803">
            <v>3816486</v>
          </cell>
          <cell r="K22" vm="1804">
            <v>3847707</v>
          </cell>
          <cell r="L22" vm="1805">
            <v>3875763</v>
          </cell>
          <cell r="M22" vm="1806">
            <v>3903039</v>
          </cell>
          <cell r="N22" vm="1807">
            <v>3933004</v>
          </cell>
          <cell r="O22" vm="1808">
            <v>3960612</v>
          </cell>
          <cell r="P22" vm="1809">
            <v>3985258</v>
          </cell>
          <cell r="Q22" vm="1810">
            <v>4007313</v>
          </cell>
          <cell r="R22" vm="1811">
            <v>4026152</v>
          </cell>
          <cell r="S22" vm="1812">
            <v>4043205</v>
          </cell>
          <cell r="T22" vm="1813">
            <v>4058671</v>
          </cell>
          <cell r="U22" vm="1814">
            <v>4072517</v>
          </cell>
          <cell r="V22" vm="1815">
            <v>4085620</v>
          </cell>
          <cell r="W22" vm="1816">
            <v>4099702</v>
          </cell>
          <cell r="X22" vm="1817">
            <v>4114787</v>
          </cell>
          <cell r="Y22" vm="1818">
            <v>4128432</v>
          </cell>
          <cell r="Z22" vm="1819">
            <v>4140099</v>
          </cell>
          <cell r="AA22" vm="1820">
            <v>4152516</v>
          </cell>
          <cell r="AB22" vm="1821">
            <v>4167354</v>
          </cell>
          <cell r="AC22" vm="1822">
            <v>4186905</v>
          </cell>
          <cell r="AD22" vm="1823">
            <v>4209488</v>
          </cell>
          <cell r="AE22" vm="1824">
            <v>4226901</v>
          </cell>
          <cell r="AF22" vm="1825">
            <v>4241473</v>
          </cell>
          <cell r="AG22" vm="1826">
            <v>4261732</v>
          </cell>
          <cell r="AH22" vm="1827">
            <v>4286401</v>
          </cell>
          <cell r="AI22" vm="1828">
            <v>4311991</v>
          </cell>
          <cell r="AJ22" vm="1829">
            <v>4336613</v>
          </cell>
          <cell r="AK22" vm="1830">
            <v>4359184</v>
          </cell>
          <cell r="AL22" vm="1831">
            <v>4381336</v>
          </cell>
          <cell r="AM22" vm="1832">
            <v>4405157</v>
          </cell>
          <cell r="AN22" vm="1833">
            <v>4431464</v>
          </cell>
          <cell r="AO22" vm="1834">
            <v>4461913</v>
          </cell>
          <cell r="AP22" vm="1835">
            <v>4490967</v>
          </cell>
          <cell r="AQ22" vm="1836">
            <v>4513751</v>
          </cell>
          <cell r="AR22" vm="1837">
            <v>4538159</v>
          </cell>
          <cell r="AS22" vm="1838">
            <v>4564855</v>
          </cell>
          <cell r="AT22" vm="1839">
            <v>4591910</v>
          </cell>
          <cell r="AU22" vm="1840">
            <v>4623291</v>
          </cell>
          <cell r="AV22" vm="1841">
            <v>4660677</v>
          </cell>
          <cell r="AW22" vm="1842">
            <v>4709153</v>
          </cell>
          <cell r="AX22" vm="1843">
            <v>4768212</v>
          </cell>
          <cell r="AY22" vm="1844">
            <v>4828726</v>
          </cell>
          <cell r="AZ22" vm="1845">
            <v>4889252</v>
          </cell>
          <cell r="BA22" vm="1846">
            <v>4953088</v>
          </cell>
          <cell r="BB22" vm="1847">
            <v>5018573</v>
          </cell>
          <cell r="BC22" vm="1848">
            <v>5079623</v>
          </cell>
          <cell r="BD22" vm="1849">
            <v>5137232</v>
          </cell>
          <cell r="BE22" vm="1850">
            <v>5188607</v>
          </cell>
          <cell r="BF22" vm="1851">
            <v>5234519</v>
          </cell>
          <cell r="BG22" vm="1852">
            <v>5276968</v>
          </cell>
          <cell r="BH22" vm="1853">
            <v>5311916</v>
          </cell>
          <cell r="BI22" vm="1854">
            <v>5347896</v>
          </cell>
        </row>
        <row r="23">
          <cell r="B23" t="str" vm="727">
            <v>Portugal</v>
          </cell>
          <cell r="C23" vm="1855">
            <v>8929316</v>
          </cell>
          <cell r="D23" vm="1856">
            <v>8993985</v>
          </cell>
          <cell r="E23" vm="1857">
            <v>9030355</v>
          </cell>
          <cell r="F23" vm="1858">
            <v>9035365</v>
          </cell>
          <cell r="G23" vm="1859">
            <v>8998595</v>
          </cell>
          <cell r="H23" vm="1860">
            <v>8930990</v>
          </cell>
          <cell r="I23" vm="1861">
            <v>8874520</v>
          </cell>
          <cell r="J23" vm="1862">
            <v>8836650</v>
          </cell>
          <cell r="K23" vm="1863">
            <v>8757705</v>
          </cell>
          <cell r="L23" vm="1864">
            <v>8680431</v>
          </cell>
          <cell r="M23" vm="1865">
            <v>8643756</v>
          </cell>
          <cell r="N23" vm="1866">
            <v>8630430</v>
          </cell>
          <cell r="O23" vm="1867">
            <v>8633100</v>
          </cell>
          <cell r="P23" vm="1868">
            <v>8754365</v>
          </cell>
          <cell r="Q23" vm="1869">
            <v>9093470</v>
          </cell>
          <cell r="R23" vm="1870">
            <v>9355810</v>
          </cell>
          <cell r="S23" vm="1871">
            <v>9455675</v>
          </cell>
          <cell r="T23" vm="1872">
            <v>9558250</v>
          </cell>
          <cell r="U23" vm="1873">
            <v>9661265</v>
          </cell>
          <cell r="V23" vm="1874">
            <v>9766312</v>
          </cell>
          <cell r="W23" vm="1875">
            <v>9851362</v>
          </cell>
          <cell r="X23" vm="1876">
            <v>9911771</v>
          </cell>
          <cell r="Y23" vm="1877">
            <v>9957865</v>
          </cell>
          <cell r="Z23" vm="1878">
            <v>9996232</v>
          </cell>
          <cell r="AA23" vm="1879">
            <v>10023613</v>
          </cell>
          <cell r="AB23" vm="1880">
            <v>10032734</v>
          </cell>
          <cell r="AC23" vm="1881">
            <v>10030031</v>
          </cell>
          <cell r="AD23" vm="1882">
            <v>10019610</v>
          </cell>
          <cell r="AE23" vm="1883">
            <v>10005000</v>
          </cell>
          <cell r="AF23" vm="1884">
            <v>9983218</v>
          </cell>
          <cell r="AG23" vm="1885">
            <v>9960235</v>
          </cell>
          <cell r="AH23" vm="1886">
            <v>9952494</v>
          </cell>
          <cell r="AI23" vm="1887">
            <v>9964675</v>
          </cell>
          <cell r="AJ23" vm="1888">
            <v>9991525</v>
          </cell>
          <cell r="AK23" vm="1889">
            <v>10026176</v>
          </cell>
          <cell r="AL23" vm="1890">
            <v>10063945</v>
          </cell>
          <cell r="AM23" vm="1891">
            <v>10108977</v>
          </cell>
          <cell r="AN23" vm="1892">
            <v>10160196</v>
          </cell>
          <cell r="AO23" vm="1893">
            <v>10217828</v>
          </cell>
          <cell r="AP23" vm="1894">
            <v>10289898</v>
          </cell>
          <cell r="AQ23" vm="1895">
            <v>10362722</v>
          </cell>
          <cell r="AR23" vm="1896">
            <v>10419631</v>
          </cell>
          <cell r="AS23" vm="1897">
            <v>10458821</v>
          </cell>
          <cell r="AT23" vm="1898">
            <v>10483861</v>
          </cell>
          <cell r="AU23" vm="1899">
            <v>10503330</v>
          </cell>
          <cell r="AV23" vm="1900">
            <v>10522288</v>
          </cell>
          <cell r="AW23" vm="1901">
            <v>10542964</v>
          </cell>
          <cell r="AX23" vm="1902">
            <v>10558177</v>
          </cell>
          <cell r="AY23" vm="1903">
            <v>10568247</v>
          </cell>
          <cell r="AZ23" vm="1904">
            <v>10573100</v>
          </cell>
          <cell r="BA23" vm="1905">
            <v>10557560</v>
          </cell>
          <cell r="BB23" vm="1906">
            <v>10514844</v>
          </cell>
          <cell r="BC23" vm="1907">
            <v>10457295</v>
          </cell>
          <cell r="BD23" vm="1908">
            <v>10401062</v>
          </cell>
          <cell r="BE23" vm="1909">
            <v>10358076</v>
          </cell>
          <cell r="BF23" vm="1910">
            <v>10325452</v>
          </cell>
          <cell r="BG23" vm="1911">
            <v>10300300</v>
          </cell>
          <cell r="BH23" vm="1912">
            <v>10283822</v>
          </cell>
          <cell r="BI23" vm="1913">
            <v>10269417</v>
          </cell>
        </row>
        <row r="24">
          <cell r="B24" t="str" vm="787">
            <v>Singapore</v>
          </cell>
          <cell r="C24" vm="1914">
            <v>1702400</v>
          </cell>
          <cell r="D24" vm="1915">
            <v>1750200</v>
          </cell>
          <cell r="E24" vm="1916">
            <v>1795000</v>
          </cell>
          <cell r="F24" vm="1917">
            <v>1841600</v>
          </cell>
          <cell r="G24" vm="1918">
            <v>1886900</v>
          </cell>
          <cell r="H24" vm="1919">
            <v>1934400</v>
          </cell>
          <cell r="I24" vm="1920">
            <v>1977600</v>
          </cell>
          <cell r="J24" vm="1921">
            <v>2012000</v>
          </cell>
          <cell r="K24" vm="1922">
            <v>2042500</v>
          </cell>
          <cell r="L24" vm="1923">
            <v>2074507</v>
          </cell>
          <cell r="M24" vm="1924">
            <v>2112900</v>
          </cell>
          <cell r="N24" vm="1925">
            <v>2152400</v>
          </cell>
          <cell r="O24" vm="1926">
            <v>2193000</v>
          </cell>
          <cell r="P24" vm="1927">
            <v>2229800</v>
          </cell>
          <cell r="Q24" vm="1928">
            <v>2262600</v>
          </cell>
          <cell r="R24" vm="1929">
            <v>2293300</v>
          </cell>
          <cell r="S24" vm="1930">
            <v>2325300</v>
          </cell>
          <cell r="T24" vm="1931">
            <v>2353600</v>
          </cell>
          <cell r="U24" vm="1932">
            <v>2383500</v>
          </cell>
          <cell r="V24" vm="1933">
            <v>2413945</v>
          </cell>
          <cell r="W24" vm="1934">
            <v>2532835</v>
          </cell>
          <cell r="X24" vm="1935">
            <v>2646466</v>
          </cell>
          <cell r="Y24" vm="1936">
            <v>2681061</v>
          </cell>
          <cell r="Z24" vm="1937">
            <v>2732221</v>
          </cell>
          <cell r="AA24" vm="1938">
            <v>2735957</v>
          </cell>
          <cell r="AB24" vm="1939">
            <v>2733373</v>
          </cell>
          <cell r="AC24" vm="1940">
            <v>2774789</v>
          </cell>
          <cell r="AD24" vm="1941">
            <v>2846108</v>
          </cell>
          <cell r="AE24" vm="1942">
            <v>2930901</v>
          </cell>
          <cell r="AF24" vm="1943">
            <v>3047132</v>
          </cell>
          <cell r="AG24" vm="1944">
            <v>3135083</v>
          </cell>
          <cell r="AH24" vm="1945">
            <v>3230698</v>
          </cell>
          <cell r="AI24" vm="1946">
            <v>3313471</v>
          </cell>
          <cell r="AJ24" vm="1947">
            <v>3419048</v>
          </cell>
          <cell r="AK24" vm="1948">
            <v>3524506</v>
          </cell>
          <cell r="AL24" vm="1949">
            <v>3670704</v>
          </cell>
          <cell r="AM24" vm="1950">
            <v>3796038</v>
          </cell>
          <cell r="AN24" vm="1951">
            <v>3927213</v>
          </cell>
          <cell r="AO24" vm="1952">
            <v>3958723</v>
          </cell>
          <cell r="AP24" vm="1953">
            <v>4027887</v>
          </cell>
          <cell r="AQ24" vm="1954">
            <v>4138012</v>
          </cell>
          <cell r="AR24" vm="1955">
            <v>4175950</v>
          </cell>
          <cell r="AS24" vm="1956">
            <v>4114826</v>
          </cell>
          <cell r="AT24" vm="1957">
            <v>4166664</v>
          </cell>
          <cell r="AU24" vm="1958">
            <v>4265762</v>
          </cell>
          <cell r="AV24" vm="1959">
            <v>4401365</v>
          </cell>
          <cell r="AW24" vm="1960">
            <v>4588599</v>
          </cell>
          <cell r="AX24" vm="1961">
            <v>4839396</v>
          </cell>
          <cell r="AY24" vm="1962">
            <v>4987573</v>
          </cell>
          <cell r="AZ24" vm="1963">
            <v>5076732</v>
          </cell>
          <cell r="BA24" vm="1964">
            <v>5183688</v>
          </cell>
          <cell r="BB24" vm="1965">
            <v>5312437</v>
          </cell>
          <cell r="BC24" vm="1966">
            <v>5399162</v>
          </cell>
          <cell r="BD24" vm="1967">
            <v>5469724</v>
          </cell>
          <cell r="BE24" vm="1968">
            <v>5535002</v>
          </cell>
          <cell r="BF24" vm="1969">
            <v>5607283</v>
          </cell>
          <cell r="BG24" vm="1970">
            <v>5612253</v>
          </cell>
          <cell r="BH24" vm="1971">
            <v>5638676</v>
          </cell>
          <cell r="BI24" vm="1972">
            <v>5703569</v>
          </cell>
        </row>
        <row r="25">
          <cell r="B25" t="str" vm="847">
            <v>South Korea</v>
          </cell>
          <cell r="C25" vm="1973">
            <v>25765672</v>
          </cell>
          <cell r="D25" vm="1974">
            <v>26513030</v>
          </cell>
          <cell r="E25" vm="1975">
            <v>27261748</v>
          </cell>
          <cell r="F25" vm="1976">
            <v>27984156</v>
          </cell>
          <cell r="G25" vm="1977">
            <v>28704674</v>
          </cell>
          <cell r="H25" vm="1978">
            <v>29435572</v>
          </cell>
          <cell r="I25" vm="1979">
            <v>30130984</v>
          </cell>
          <cell r="J25" vm="1980">
            <v>30838302</v>
          </cell>
          <cell r="K25" vm="1981">
            <v>31544266</v>
          </cell>
          <cell r="L25" vm="1982">
            <v>32240828</v>
          </cell>
          <cell r="M25" vm="1983">
            <v>32882704</v>
          </cell>
          <cell r="N25" vm="1984">
            <v>33505406</v>
          </cell>
          <cell r="O25" vm="1985">
            <v>34103148</v>
          </cell>
          <cell r="P25" vm="1986">
            <v>34692264</v>
          </cell>
          <cell r="Q25" vm="1987">
            <v>35280724</v>
          </cell>
          <cell r="R25" vm="1988">
            <v>35848524</v>
          </cell>
          <cell r="S25" vm="1989">
            <v>36411796</v>
          </cell>
          <cell r="T25" vm="1990">
            <v>36969184</v>
          </cell>
          <cell r="U25" vm="1991">
            <v>37534236</v>
          </cell>
          <cell r="V25" vm="1992">
            <v>38123776</v>
          </cell>
          <cell r="W25" vm="1993">
            <v>38723248</v>
          </cell>
          <cell r="X25" vm="1994">
            <v>39326352</v>
          </cell>
          <cell r="Y25" vm="1995">
            <v>39910404</v>
          </cell>
          <cell r="Z25" vm="1996">
            <v>40405956</v>
          </cell>
          <cell r="AA25" vm="1997">
            <v>40805744</v>
          </cell>
          <cell r="AB25" vm="1998">
            <v>41213672</v>
          </cell>
          <cell r="AC25" vm="1999">
            <v>41621688</v>
          </cell>
          <cell r="AD25" vm="2000">
            <v>42031248</v>
          </cell>
          <cell r="AE25" vm="2001">
            <v>42449040</v>
          </cell>
          <cell r="AF25" vm="2002">
            <v>42869284</v>
          </cell>
          <cell r="AG25" vm="2003">
            <v>43295704</v>
          </cell>
          <cell r="AH25" vm="2004">
            <v>43747960</v>
          </cell>
          <cell r="AI25" vm="2005">
            <v>44194628</v>
          </cell>
          <cell r="AJ25" vm="2006">
            <v>44641540</v>
          </cell>
          <cell r="AK25" vm="2007">
            <v>45092992</v>
          </cell>
          <cell r="AL25" vm="2008">
            <v>45524680</v>
          </cell>
          <cell r="AM25" vm="2009">
            <v>45953580</v>
          </cell>
          <cell r="AN25" vm="2010">
            <v>46286504</v>
          </cell>
          <cell r="AO25" vm="2011">
            <v>46616676</v>
          </cell>
          <cell r="AP25" vm="2012">
            <v>47008112</v>
          </cell>
          <cell r="AQ25" vm="2013">
            <v>47370164</v>
          </cell>
          <cell r="AR25" vm="2014">
            <v>47644736</v>
          </cell>
          <cell r="AS25" vm="2015">
            <v>47892328</v>
          </cell>
          <cell r="AT25" vm="2016">
            <v>48082520</v>
          </cell>
          <cell r="AU25" vm="2017">
            <v>48184560</v>
          </cell>
          <cell r="AV25" vm="2018">
            <v>48438292</v>
          </cell>
          <cell r="AW25" vm="2019">
            <v>48683640</v>
          </cell>
          <cell r="AX25" vm="2020">
            <v>49054708</v>
          </cell>
          <cell r="AY25" vm="2021">
            <v>49307836</v>
          </cell>
          <cell r="AZ25" vm="2022">
            <v>49554112</v>
          </cell>
          <cell r="BA25" vm="2023">
            <v>49936640</v>
          </cell>
          <cell r="BB25" vm="2024">
            <v>50199852</v>
          </cell>
          <cell r="BC25" vm="2025">
            <v>50428892</v>
          </cell>
          <cell r="BD25" vm="2026">
            <v>50746660</v>
          </cell>
          <cell r="BE25" vm="2027">
            <v>51014948</v>
          </cell>
          <cell r="BF25" vm="2028">
            <v>51217804</v>
          </cell>
          <cell r="BG25" vm="2029">
            <v>51361912</v>
          </cell>
          <cell r="BH25" vm="2030">
            <v>51606632</v>
          </cell>
          <cell r="BI25" vm="2031">
            <v>51709096</v>
          </cell>
        </row>
        <row r="26">
          <cell r="B26" t="str" vm="907">
            <v>Spain</v>
          </cell>
          <cell r="C26" vm="2032">
            <v>30739250</v>
          </cell>
          <cell r="D26" vm="2033">
            <v>31023366</v>
          </cell>
          <cell r="E26" vm="2034">
            <v>31296652</v>
          </cell>
          <cell r="F26" vm="2035">
            <v>31609196</v>
          </cell>
          <cell r="G26" vm="2036">
            <v>31954292</v>
          </cell>
          <cell r="H26" vm="2037">
            <v>32283194</v>
          </cell>
          <cell r="I26" vm="2038">
            <v>32682948</v>
          </cell>
          <cell r="J26" vm="2039">
            <v>33113134</v>
          </cell>
          <cell r="K26" vm="2040">
            <v>33441054</v>
          </cell>
          <cell r="L26" vm="2041">
            <v>33814532</v>
          </cell>
          <cell r="M26" vm="2042">
            <v>34224488</v>
          </cell>
          <cell r="N26" vm="2043">
            <v>34604468</v>
          </cell>
          <cell r="O26" vm="2044">
            <v>34988948</v>
          </cell>
          <cell r="P26" vm="2045">
            <v>35373336</v>
          </cell>
          <cell r="Q26" vm="2046">
            <v>35757900</v>
          </cell>
          <cell r="R26" vm="2047">
            <v>36137812</v>
          </cell>
          <cell r="S26" vm="2048">
            <v>36511640</v>
          </cell>
          <cell r="T26" vm="2049">
            <v>36864896</v>
          </cell>
          <cell r="U26" vm="2050">
            <v>37191328</v>
          </cell>
          <cell r="V26" vm="2051">
            <v>37491164</v>
          </cell>
          <cell r="W26" vm="2052">
            <v>37758632</v>
          </cell>
          <cell r="X26" vm="2053">
            <v>37986012</v>
          </cell>
          <cell r="Y26" vm="2054">
            <v>38171524</v>
          </cell>
          <cell r="Z26" vm="2055">
            <v>38330364</v>
          </cell>
          <cell r="AA26" vm="2056">
            <v>38469512</v>
          </cell>
          <cell r="AB26" vm="2057">
            <v>38584624</v>
          </cell>
          <cell r="AC26" vm="2058">
            <v>38684816</v>
          </cell>
          <cell r="AD26" vm="2059">
            <v>38766940</v>
          </cell>
          <cell r="AE26" vm="2060">
            <v>38827764</v>
          </cell>
          <cell r="AF26" vm="2061">
            <v>38867320</v>
          </cell>
          <cell r="AG26" vm="2062">
            <v>38966376</v>
          </cell>
          <cell r="AH26" vm="2063">
            <v>39157684</v>
          </cell>
          <cell r="AI26" vm="2064">
            <v>39361264</v>
          </cell>
          <cell r="AJ26" vm="2065">
            <v>39549108</v>
          </cell>
          <cell r="AK26" vm="2066">
            <v>39724048</v>
          </cell>
          <cell r="AL26" vm="2067">
            <v>39889852</v>
          </cell>
          <cell r="AM26" vm="2068">
            <v>40057388</v>
          </cell>
          <cell r="AN26" vm="2069">
            <v>40223508</v>
          </cell>
          <cell r="AO26" vm="2070">
            <v>40386876</v>
          </cell>
          <cell r="AP26" vm="2071">
            <v>40567864</v>
          </cell>
          <cell r="AQ26" vm="2072">
            <v>40850412</v>
          </cell>
          <cell r="AR26" vm="2073">
            <v>41431560</v>
          </cell>
          <cell r="AS26" vm="2074">
            <v>42187644</v>
          </cell>
          <cell r="AT26" vm="2075">
            <v>42921896</v>
          </cell>
          <cell r="AU26" vm="2076">
            <v>43653156</v>
          </cell>
          <cell r="AV26" vm="2077">
            <v>44397320</v>
          </cell>
          <cell r="AW26" vm="2078">
            <v>45226804</v>
          </cell>
          <cell r="AX26" vm="2079">
            <v>45954104</v>
          </cell>
          <cell r="AY26" vm="2080">
            <v>46362944</v>
          </cell>
          <cell r="AZ26" vm="2081">
            <v>46576896</v>
          </cell>
          <cell r="BA26" vm="2082">
            <v>46742696</v>
          </cell>
          <cell r="BB26" vm="2083">
            <v>46773056</v>
          </cell>
          <cell r="BC26" vm="2084">
            <v>46620044</v>
          </cell>
          <cell r="BD26" vm="2085">
            <v>46480880</v>
          </cell>
          <cell r="BE26" vm="2086">
            <v>46444832</v>
          </cell>
          <cell r="BF26" vm="2087">
            <v>46484064</v>
          </cell>
          <cell r="BG26" vm="2088">
            <v>46593236</v>
          </cell>
          <cell r="BH26" vm="2089">
            <v>46797752</v>
          </cell>
          <cell r="BI26" vm="2090">
            <v>47076780</v>
          </cell>
        </row>
        <row r="27">
          <cell r="B27" t="str" vm="967">
            <v>Sweden</v>
          </cell>
          <cell r="C27" vm="2091">
            <v>7519998</v>
          </cell>
          <cell r="D27" vm="2092">
            <v>7561588</v>
          </cell>
          <cell r="E27" vm="2093">
            <v>7604328</v>
          </cell>
          <cell r="F27" vm="2094">
            <v>7661354</v>
          </cell>
          <cell r="G27" vm="2095">
            <v>7733853</v>
          </cell>
          <cell r="H27" vm="2096">
            <v>7807797</v>
          </cell>
          <cell r="I27" vm="2097">
            <v>7867931</v>
          </cell>
          <cell r="J27" vm="2098">
            <v>7912273</v>
          </cell>
          <cell r="K27" vm="2099">
            <v>7968072</v>
          </cell>
          <cell r="L27" vm="2100">
            <v>8042801</v>
          </cell>
          <cell r="M27" vm="2101">
            <v>8098334</v>
          </cell>
          <cell r="N27" vm="2102">
            <v>8122300</v>
          </cell>
          <cell r="O27" vm="2103">
            <v>8136312</v>
          </cell>
          <cell r="P27" vm="2104">
            <v>8159955</v>
          </cell>
          <cell r="Q27" vm="2105">
            <v>8192437</v>
          </cell>
          <cell r="R27" vm="2106">
            <v>8222286</v>
          </cell>
          <cell r="S27" vm="2107">
            <v>8251540</v>
          </cell>
          <cell r="T27" vm="2108">
            <v>8275599</v>
          </cell>
          <cell r="U27" vm="2109">
            <v>8293678</v>
          </cell>
          <cell r="V27" vm="2110">
            <v>8310531</v>
          </cell>
          <cell r="W27" vm="2111">
            <v>8320503</v>
          </cell>
          <cell r="X27" vm="2112">
            <v>8325263</v>
          </cell>
          <cell r="Y27" vm="2113">
            <v>8329033</v>
          </cell>
          <cell r="Z27" vm="2114">
            <v>8336605</v>
          </cell>
          <cell r="AA27" vm="2115">
            <v>8350386</v>
          </cell>
          <cell r="AB27" vm="2116">
            <v>8369829</v>
          </cell>
          <cell r="AC27" vm="2117">
            <v>8397804</v>
          </cell>
          <cell r="AD27" vm="2118">
            <v>8436489</v>
          </cell>
          <cell r="AE27" vm="2119">
            <v>8492964</v>
          </cell>
          <cell r="AF27" vm="2120">
            <v>8558835</v>
          </cell>
          <cell r="AG27" vm="2121">
            <v>8617375</v>
          </cell>
          <cell r="AH27" vm="2122">
            <v>8668067</v>
          </cell>
          <cell r="AI27" vm="2123">
            <v>8718561</v>
          </cell>
          <cell r="AJ27" vm="2124">
            <v>8780745</v>
          </cell>
          <cell r="AK27" vm="2125">
            <v>8826939</v>
          </cell>
          <cell r="AL27" vm="2126">
            <v>8840998</v>
          </cell>
          <cell r="AM27" vm="2127">
            <v>8846062</v>
          </cell>
          <cell r="AN27" vm="2128">
            <v>8850974</v>
          </cell>
          <cell r="AO27" vm="2129">
            <v>8857874</v>
          </cell>
          <cell r="AP27" vm="2130">
            <v>8872109</v>
          </cell>
          <cell r="AQ27" vm="2131">
            <v>8895960</v>
          </cell>
          <cell r="AR27" vm="2132">
            <v>8924958</v>
          </cell>
          <cell r="AS27" vm="2133">
            <v>8958229</v>
          </cell>
          <cell r="AT27" vm="2134">
            <v>8993531</v>
          </cell>
          <cell r="AU27" vm="2135">
            <v>9029572</v>
          </cell>
          <cell r="AV27" vm="2136">
            <v>9080505</v>
          </cell>
          <cell r="AW27" vm="2137">
            <v>9148092</v>
          </cell>
          <cell r="AX27" vm="2138">
            <v>9219637</v>
          </cell>
          <cell r="AY27" vm="2139">
            <v>9298515</v>
          </cell>
          <cell r="AZ27" vm="2140">
            <v>9378126</v>
          </cell>
          <cell r="BA27" vm="2141">
            <v>9449213</v>
          </cell>
          <cell r="BB27" vm="2142">
            <v>9519374</v>
          </cell>
          <cell r="BC27" vm="2143">
            <v>9600379</v>
          </cell>
          <cell r="BD27" vm="2144">
            <v>9696110</v>
          </cell>
          <cell r="BE27" vm="2145">
            <v>9799186</v>
          </cell>
          <cell r="BF27" vm="2146">
            <v>9923085</v>
          </cell>
          <cell r="BG27" vm="2147">
            <v>10057698</v>
          </cell>
          <cell r="BH27" vm="2148">
            <v>10175214</v>
          </cell>
          <cell r="BI27" vm="2149">
            <v>10285453</v>
          </cell>
        </row>
        <row r="28">
          <cell r="B28" t="str" vm="1027">
            <v>United Kingdom</v>
          </cell>
          <cell r="C28" vm="2150">
            <v>52800000</v>
          </cell>
          <cell r="D28" vm="2151">
            <v>53250000</v>
          </cell>
          <cell r="E28" vm="2152">
            <v>53650000</v>
          </cell>
          <cell r="F28" vm="2153">
            <v>54000000</v>
          </cell>
          <cell r="G28" vm="2154">
            <v>54348048</v>
          </cell>
          <cell r="H28" vm="2155">
            <v>54648500</v>
          </cell>
          <cell r="I28" vm="2156">
            <v>54943600</v>
          </cell>
          <cell r="J28" vm="2157">
            <v>55211700</v>
          </cell>
          <cell r="K28" vm="2158">
            <v>55441752</v>
          </cell>
          <cell r="L28" vm="2159">
            <v>55663248</v>
          </cell>
          <cell r="M28" vm="2160">
            <v>55896224</v>
          </cell>
          <cell r="N28" vm="2161">
            <v>56086064</v>
          </cell>
          <cell r="O28" vm="2162">
            <v>56194528</v>
          </cell>
          <cell r="P28" vm="2163">
            <v>56229976</v>
          </cell>
          <cell r="Q28" vm="2164">
            <v>56225800</v>
          </cell>
          <cell r="R28" vm="2165">
            <v>56211968</v>
          </cell>
          <cell r="S28" vm="2166">
            <v>56193492</v>
          </cell>
          <cell r="T28" vm="2167">
            <v>56196504</v>
          </cell>
          <cell r="U28" vm="2168">
            <v>56246952</v>
          </cell>
          <cell r="V28" vm="2169">
            <v>56314216</v>
          </cell>
          <cell r="W28" vm="2170">
            <v>56333828</v>
          </cell>
          <cell r="X28" vm="2171">
            <v>56313640</v>
          </cell>
          <cell r="Y28" vm="2172">
            <v>56332848</v>
          </cell>
          <cell r="Z28" vm="2173">
            <v>56422072</v>
          </cell>
          <cell r="AA28" vm="2174">
            <v>56550268</v>
          </cell>
          <cell r="AB28" vm="2175">
            <v>56681396</v>
          </cell>
          <cell r="AC28" vm="2176">
            <v>56802048</v>
          </cell>
          <cell r="AD28" vm="2177">
            <v>56928328</v>
          </cell>
          <cell r="AE28" vm="2178">
            <v>57076712</v>
          </cell>
          <cell r="AF28" vm="2179">
            <v>57247584</v>
          </cell>
          <cell r="AG28" vm="2180">
            <v>57424896</v>
          </cell>
          <cell r="AH28" vm="2181">
            <v>57580400</v>
          </cell>
          <cell r="AI28" vm="2182">
            <v>57718616</v>
          </cell>
          <cell r="AJ28" vm="2183">
            <v>57865744</v>
          </cell>
          <cell r="AK28" vm="2184">
            <v>58019032</v>
          </cell>
          <cell r="AL28" vm="2185">
            <v>58166952</v>
          </cell>
          <cell r="AM28" vm="2186">
            <v>58316952</v>
          </cell>
          <cell r="AN28" vm="2187">
            <v>58487140</v>
          </cell>
          <cell r="AO28" vm="2188">
            <v>58682464</v>
          </cell>
          <cell r="AP28" vm="2189">
            <v>58892512</v>
          </cell>
          <cell r="AQ28" vm="2190">
            <v>59119672</v>
          </cell>
          <cell r="AR28" vm="2191">
            <v>59370480</v>
          </cell>
          <cell r="AS28" vm="2192">
            <v>59647576</v>
          </cell>
          <cell r="AT28" vm="2193">
            <v>59987904</v>
          </cell>
          <cell r="AU28" vm="2194">
            <v>60401208</v>
          </cell>
          <cell r="AV28" vm="2195">
            <v>60846820</v>
          </cell>
          <cell r="AW28" vm="2196">
            <v>61322464</v>
          </cell>
          <cell r="AX28" vm="2197">
            <v>61806996</v>
          </cell>
          <cell r="AY28" vm="2198">
            <v>62276272</v>
          </cell>
          <cell r="AZ28" vm="2199">
            <v>62766364</v>
          </cell>
          <cell r="BA28" vm="2200">
            <v>63258808</v>
          </cell>
          <cell r="BB28" vm="2201">
            <v>63700216</v>
          </cell>
          <cell r="BC28" vm="2202">
            <v>64128272</v>
          </cell>
          <cell r="BD28" vm="2203">
            <v>64602296</v>
          </cell>
          <cell r="BE28" vm="2204">
            <v>65116220</v>
          </cell>
          <cell r="BF28" vm="2205">
            <v>65611592</v>
          </cell>
          <cell r="BG28" vm="2206">
            <v>66058860</v>
          </cell>
          <cell r="BH28" vm="2207">
            <v>66460344</v>
          </cell>
          <cell r="BI28" vm="2208">
            <v>66834404</v>
          </cell>
        </row>
        <row r="29">
          <cell r="B29" t="str" vm="1087">
            <v>United States</v>
          </cell>
          <cell r="C29" vm="2209">
            <v>183691008</v>
          </cell>
          <cell r="D29" vm="2210">
            <v>186538000</v>
          </cell>
          <cell r="E29" vm="2211">
            <v>189242000</v>
          </cell>
          <cell r="F29" vm="2212">
            <v>191888992</v>
          </cell>
          <cell r="G29" vm="2213">
            <v>194303008</v>
          </cell>
          <cell r="H29" vm="2214">
            <v>196560000</v>
          </cell>
          <cell r="I29" vm="2215">
            <v>198712000</v>
          </cell>
          <cell r="J29" vm="2216">
            <v>200706000</v>
          </cell>
          <cell r="K29" vm="2217">
            <v>202676992</v>
          </cell>
          <cell r="L29" vm="2218">
            <v>205052000</v>
          </cell>
          <cell r="M29" vm="2219">
            <v>207660992</v>
          </cell>
          <cell r="N29" vm="2220">
            <v>209896000</v>
          </cell>
          <cell r="O29" vm="2221">
            <v>211908992</v>
          </cell>
          <cell r="P29" vm="2222">
            <v>213854000</v>
          </cell>
          <cell r="Q29" vm="2223">
            <v>215972992</v>
          </cell>
          <cell r="R29" vm="2224">
            <v>218035008</v>
          </cell>
          <cell r="S29" vm="2225">
            <v>220239008</v>
          </cell>
          <cell r="T29" vm="2226">
            <v>222584992</v>
          </cell>
          <cell r="U29" vm="2227">
            <v>225055008</v>
          </cell>
          <cell r="V29" vm="2228">
            <v>227224992</v>
          </cell>
          <cell r="W29" vm="2229">
            <v>229466000</v>
          </cell>
          <cell r="X29" vm="2230">
            <v>231664000</v>
          </cell>
          <cell r="Y29" vm="2231">
            <v>233792000</v>
          </cell>
          <cell r="Z29" vm="2232">
            <v>235824992</v>
          </cell>
          <cell r="AA29" vm="2233">
            <v>237924000</v>
          </cell>
          <cell r="AB29" vm="2234">
            <v>240132992</v>
          </cell>
          <cell r="AC29" vm="2235">
            <v>242288992</v>
          </cell>
          <cell r="AD29" vm="2236">
            <v>244499008</v>
          </cell>
          <cell r="AE29" vm="2237">
            <v>246819008</v>
          </cell>
          <cell r="AF29" vm="2238">
            <v>249623008</v>
          </cell>
          <cell r="AG29" vm="2239">
            <v>252980992</v>
          </cell>
          <cell r="AH29" vm="2240">
            <v>256514000</v>
          </cell>
          <cell r="AI29" vm="2241">
            <v>259919008</v>
          </cell>
          <cell r="AJ29" vm="2242">
            <v>263126000</v>
          </cell>
          <cell r="AK29" vm="2243">
            <v>266278000</v>
          </cell>
          <cell r="AL29" vm="2244">
            <v>269393984</v>
          </cell>
          <cell r="AM29" vm="2245">
            <v>272656992</v>
          </cell>
          <cell r="AN29" vm="2246">
            <v>275854016</v>
          </cell>
          <cell r="AO29" vm="2247">
            <v>279040000</v>
          </cell>
          <cell r="AP29" vm="2248">
            <v>282162400</v>
          </cell>
          <cell r="AQ29" vm="2249">
            <v>284968960</v>
          </cell>
          <cell r="AR29" vm="2250">
            <v>287625184</v>
          </cell>
          <cell r="AS29" vm="2251">
            <v>290107936</v>
          </cell>
          <cell r="AT29" vm="2252">
            <v>292805312</v>
          </cell>
          <cell r="AU29" vm="2253">
            <v>295516608</v>
          </cell>
          <cell r="AV29" vm="2254">
            <v>298379904</v>
          </cell>
          <cell r="AW29" vm="2255">
            <v>301231200</v>
          </cell>
          <cell r="AX29" vm="2256">
            <v>304093952</v>
          </cell>
          <cell r="AY29" vm="2257">
            <v>306771520</v>
          </cell>
          <cell r="AZ29" vm="2258">
            <v>309321664</v>
          </cell>
          <cell r="BA29" vm="2259">
            <v>311556864</v>
          </cell>
          <cell r="BB29" vm="2260">
            <v>313830976</v>
          </cell>
          <cell r="BC29" vm="2261">
            <v>315993728</v>
          </cell>
          <cell r="BD29" vm="2262">
            <v>318300992</v>
          </cell>
          <cell r="BE29" vm="2263">
            <v>320635168</v>
          </cell>
          <cell r="BF29" vm="2264">
            <v>322941312</v>
          </cell>
          <cell r="BG29" vm="2265">
            <v>324985536</v>
          </cell>
          <cell r="BH29" vm="2266">
            <v>326687488</v>
          </cell>
          <cell r="BI29" vm="2267">
            <v>328239520</v>
          </cell>
        </row>
      </sheetData>
      <sheetData sheetId="4"/>
      <sheetData sheetId="5"/>
      <sheetData sheetId="6"/>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Index"/>
      <sheetName val="Geography Geopolitical"/>
      <sheetName val="Geography Geoeconomic"/>
      <sheetName val="Src UN Pop"/>
      <sheetName val="Src UN GDP"/>
      <sheetName val="Src UN Consumption"/>
      <sheetName val="Src UN Real GDP"/>
      <sheetName val="Src PENN GDP"/>
      <sheetName val="Src North"/>
      <sheetName val="Src GDP comparisons"/>
      <sheetName val="Src MADDISON Multiple"/>
      <sheetName val="Src WID"/>
      <sheetName val="Src US Quintiles"/>
      <sheetName val="SRC Countries"/>
      <sheetName val="Real and Nominal GDP"/>
      <sheetName val="Growth"/>
      <sheetName val="Table 1"/>
      <sheetName val="Short Series"/>
      <sheetName val="CH Inverted Current Long Series"/>
      <sheetName val="Long Series"/>
      <sheetName val="Price Index"/>
      <sheetName val="Country GDP-Cap ratio North"/>
      <sheetName val="Geoeconomic"/>
      <sheetName val="PPP"/>
      <sheetName val="NDP-GDP-FI"/>
      <sheetName val="Comparisons"/>
      <sheetName val="MADDISON Multiple"/>
      <sheetName val="Transitional"/>
      <sheetName val="North"/>
      <sheetName val="Dispersion UN GD-Cap"/>
      <sheetName val="Dispersion PPP GD-Cap"/>
      <sheetName val="Dispersion Weighted"/>
      <sheetName val="Dispersion Weighted North"/>
      <sheetName val="Scale (includes Tables 4 and 5)"/>
      <sheetName val="In-text calculations"/>
      <sheetName val="CHART 1"/>
      <sheetName val="CHART 2"/>
      <sheetName val="CHART 3"/>
      <sheetName val="CHART 4"/>
      <sheetName val="CHART 5"/>
      <sheetName val="CHART 6"/>
      <sheetName val="CHART 7"/>
      <sheetName val="CHART 8"/>
      <sheetName val="CHART 9"/>
      <sheetName val="CHART 10"/>
      <sheetName val="CHART 11"/>
      <sheetName val="CHART 12"/>
      <sheetName val="CHART 13"/>
      <sheetName val="CHART 14"/>
      <sheetName val="CHART 15"/>
      <sheetName val="CHART 16"/>
      <sheetName val="CHART 17"/>
      <sheetName val="CHART 18"/>
      <sheetName val="CHART 19"/>
      <sheetName val="CHART 20"/>
      <sheetName val="CHART 21"/>
      <sheetName val="CHART 22"/>
      <sheetName val="CHART 23"/>
      <sheetName val="CHART 24"/>
      <sheetName val="CHART 25"/>
      <sheetName val="CHART 26"/>
      <sheetName val="CHART 27"/>
      <sheetName val="CHART 28"/>
      <sheetName val="CHART 29"/>
      <sheetName val="CHART 30"/>
      <sheetName val="CHART 31"/>
      <sheetName val="CHART 32"/>
      <sheetName val="CHART 33"/>
      <sheetName val="CHART 35"/>
      <sheetName val="CHART 36"/>
      <sheetName val="CHART X1"/>
      <sheetName val="CHART X2"/>
      <sheetName val="CHART X3"/>
      <sheetName val="CHART X4"/>
      <sheetName val="CHART X5"/>
      <sheetName val="CHART X6"/>
      <sheetName val="CHART X7"/>
      <sheetName val="CHART X8"/>
      <sheetName val="CHART X9"/>
      <sheetName val="CHART X10"/>
      <sheetName val="1970"/>
      <sheetName val="1975"/>
      <sheetName val="1980"/>
      <sheetName val="1985"/>
      <sheetName val="1990"/>
      <sheetName val="1995"/>
      <sheetName val="2000"/>
      <sheetName val="2005"/>
      <sheetName val="2010"/>
      <sheetName val="2015"/>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3">
          <cell r="E3">
            <v>4097.7420707694846</v>
          </cell>
          <cell r="F3">
            <v>4426.1704918032783</v>
          </cell>
          <cell r="G3">
            <v>5336.3827309236949</v>
          </cell>
          <cell r="H3">
            <v>6760.5480376877294</v>
          </cell>
          <cell r="I3">
            <v>7996.4589498644982</v>
          </cell>
          <cell r="J3">
            <v>9070.6502914834709</v>
          </cell>
          <cell r="K3">
            <v>9050.2050665575716</v>
          </cell>
          <cell r="L3">
            <v>9807.1507399835209</v>
          </cell>
          <cell r="M3">
            <v>11552.477354240153</v>
          </cell>
          <cell r="N3">
            <v>14956.124220230915</v>
          </cell>
          <cell r="O3">
            <v>15660.095297640502</v>
          </cell>
          <cell r="P3">
            <v>13125.066093333333</v>
          </cell>
          <cell r="Q3">
            <v>12160.719128700721</v>
          </cell>
          <cell r="R3">
            <v>10150.898659064771</v>
          </cell>
          <cell r="S3">
            <v>9779.6489767245821</v>
          </cell>
          <cell r="T3">
            <v>9837.2758811659187</v>
          </cell>
          <cell r="U3">
            <v>13110.947397725564</v>
          </cell>
          <cell r="V3">
            <v>15963.130682076155</v>
          </cell>
          <cell r="W3">
            <v>18099.664400999325</v>
          </cell>
          <cell r="X3">
            <v>19191.441389566808</v>
          </cell>
          <cell r="Y3">
            <v>23886.077234952027</v>
          </cell>
          <cell r="Z3">
            <v>24714.173298512465</v>
          </cell>
          <cell r="AA3">
            <v>25999.083599375084</v>
          </cell>
          <cell r="AB3">
            <v>20900.057551950926</v>
          </cell>
          <cell r="AC3">
            <v>20542.220687014375</v>
          </cell>
          <cell r="AD3">
            <v>23359.37334377447</v>
          </cell>
          <cell r="AE3">
            <v>24064.444422001245</v>
          </cell>
          <cell r="AF3">
            <v>23223.546691125033</v>
          </cell>
          <cell r="AG3">
            <v>23908.137912756072</v>
          </cell>
          <cell r="AH3">
            <v>24371.617710113405</v>
          </cell>
          <cell r="AI3">
            <v>21936.513258908089</v>
          </cell>
          <cell r="AJ3">
            <v>22228.647584680952</v>
          </cell>
          <cell r="AK3">
            <v>24742.619009550457</v>
          </cell>
          <cell r="AL3">
            <v>32775.178363532017</v>
          </cell>
          <cell r="AM3">
            <v>38505.152916950843</v>
          </cell>
          <cell r="AN3">
            <v>41280.993355902974</v>
          </cell>
          <cell r="AO3">
            <v>43746.531145435911</v>
          </cell>
          <cell r="AP3">
            <v>48580.31493777439</v>
          </cell>
          <cell r="AQ3">
            <v>47787.429246014239</v>
          </cell>
          <cell r="AR3">
            <v>43336.769328218608</v>
          </cell>
          <cell r="AS3">
            <v>39733.988336155548</v>
          </cell>
          <cell r="AT3">
            <v>41101.323423003902</v>
          </cell>
          <cell r="AU3">
            <v>38391.396489184895</v>
          </cell>
          <cell r="AV3">
            <v>40621.912722186462</v>
          </cell>
          <cell r="AW3">
            <v>42293.269959481462</v>
          </cell>
          <cell r="AX3">
            <v>36039.907862691311</v>
          </cell>
          <cell r="AY3">
            <v>37060.605963804985</v>
          </cell>
          <cell r="AZ3">
            <v>38952.39437184111</v>
          </cell>
        </row>
        <row r="4">
          <cell r="E4">
            <v>1516.6329631359633</v>
          </cell>
          <cell r="F4">
            <v>1673.9902257433216</v>
          </cell>
          <cell r="G4">
            <v>1924.5067126139627</v>
          </cell>
          <cell r="H4">
            <v>2528.2344226842383</v>
          </cell>
          <cell r="I4">
            <v>2842.5758789146635</v>
          </cell>
          <cell r="J4">
            <v>3167.3615923431926</v>
          </cell>
          <cell r="K4">
            <v>3415.1128542081406</v>
          </cell>
          <cell r="L4">
            <v>3908.3161922038857</v>
          </cell>
          <cell r="M4">
            <v>4711.9389498401479</v>
          </cell>
          <cell r="N4">
            <v>5722.0523996205711</v>
          </cell>
          <cell r="O4">
            <v>5900.1121751571227</v>
          </cell>
          <cell r="P4">
            <v>5380.927442431549</v>
          </cell>
          <cell r="Q4">
            <v>5569.5480398842692</v>
          </cell>
          <cell r="R4">
            <v>5008.6100909876714</v>
          </cell>
          <cell r="S4">
            <v>4839.6933145718021</v>
          </cell>
          <cell r="T4">
            <v>4793.7407172257845</v>
          </cell>
          <cell r="U4">
            <v>5624.7690750639458</v>
          </cell>
          <cell r="V4">
            <v>6520.006877837438</v>
          </cell>
          <cell r="W4">
            <v>7538.4552438632709</v>
          </cell>
          <cell r="X4">
            <v>7780.6518630661631</v>
          </cell>
          <cell r="Y4">
            <v>9551.8934363021763</v>
          </cell>
          <cell r="Z4">
            <v>10152.881116917484</v>
          </cell>
          <cell r="AA4">
            <v>11098.973469339133</v>
          </cell>
          <cell r="AB4">
            <v>10312.768285720827</v>
          </cell>
          <cell r="AC4">
            <v>10950.116323928025</v>
          </cell>
          <cell r="AD4">
            <v>12697.677112900423</v>
          </cell>
          <cell r="AE4">
            <v>13417.992903536027</v>
          </cell>
          <cell r="AF4">
            <v>13046.108505487988</v>
          </cell>
          <cell r="AG4">
            <v>13054.838571934835</v>
          </cell>
          <cell r="AH4">
            <v>13435.205251163497</v>
          </cell>
          <cell r="AI4">
            <v>11846.938629896162</v>
          </cell>
          <cell r="AJ4">
            <v>12159.796173204852</v>
          </cell>
          <cell r="AK4">
            <v>13729.407115167171</v>
          </cell>
          <cell r="AL4">
            <v>17965.828815713019</v>
          </cell>
          <cell r="AM4">
            <v>21383.302710551001</v>
          </cell>
          <cell r="AN4">
            <v>21944.56449065073</v>
          </cell>
          <cell r="AO4">
            <v>24076.685566423872</v>
          </cell>
          <cell r="AP4">
            <v>27941.558560805883</v>
          </cell>
          <cell r="AQ4">
            <v>30999.206893172792</v>
          </cell>
          <cell r="AR4">
            <v>28836.504708040004</v>
          </cell>
          <cell r="AS4">
            <v>26122.651527760121</v>
          </cell>
          <cell r="AT4">
            <v>25212.721393738229</v>
          </cell>
          <cell r="AU4">
            <v>21620.18312646656</v>
          </cell>
          <cell r="AV4">
            <v>21198.978915848886</v>
          </cell>
          <cell r="AW4">
            <v>21039.126917068377</v>
          </cell>
          <cell r="AX4">
            <v>17561.375670808891</v>
          </cell>
          <cell r="AY4">
            <v>17412.842694790103</v>
          </cell>
          <cell r="AZ4">
            <v>18166.521856518306</v>
          </cell>
        </row>
        <row r="5">
          <cell r="E5">
            <v>1648.8279708729438</v>
          </cell>
          <cell r="F5">
            <v>2051.1617988386388</v>
          </cell>
          <cell r="G5">
            <v>2411.5992740811612</v>
          </cell>
          <cell r="H5">
            <v>3142.380883499528</v>
          </cell>
          <cell r="I5">
            <v>3771.365580696267</v>
          </cell>
          <cell r="J5">
            <v>4654.1559371596823</v>
          </cell>
          <cell r="K5">
            <v>5285.5075934110082</v>
          </cell>
          <cell r="L5">
            <v>6188.331564481181</v>
          </cell>
          <cell r="M5">
            <v>7801.973387484958</v>
          </cell>
          <cell r="N5">
            <v>9203.1785748608509</v>
          </cell>
          <cell r="O5">
            <v>10367.026082624205</v>
          </cell>
          <cell r="P5">
            <v>9413.3727028309349</v>
          </cell>
          <cell r="Q5">
            <v>8595.6399006978518</v>
          </cell>
          <cell r="R5">
            <v>8774.7479480599668</v>
          </cell>
          <cell r="S5">
            <v>7891.2665930635394</v>
          </cell>
          <cell r="T5">
            <v>8482.2696503102088</v>
          </cell>
          <cell r="U5">
            <v>12248.785134858821</v>
          </cell>
          <cell r="V5">
            <v>15824.458435252791</v>
          </cell>
          <cell r="W5">
            <v>17893.440604613872</v>
          </cell>
          <cell r="X5">
            <v>18374.92789583145</v>
          </cell>
          <cell r="Y5">
            <v>20025.365549241062</v>
          </cell>
          <cell r="Z5">
            <v>19910.438419760168</v>
          </cell>
          <cell r="AA5">
            <v>20303.717155081362</v>
          </cell>
          <cell r="AB5">
            <v>18142.386943131358</v>
          </cell>
          <cell r="AC5">
            <v>19693.392278061452</v>
          </cell>
          <cell r="AD5">
            <v>23670.735482252603</v>
          </cell>
          <cell r="AE5">
            <v>23435.872503895265</v>
          </cell>
          <cell r="AF5">
            <v>20965.980404788748</v>
          </cell>
          <cell r="AG5">
            <v>22458.549456638306</v>
          </cell>
          <cell r="AH5">
            <v>22062.41738928737</v>
          </cell>
          <cell r="AI5">
            <v>20775.92386292835</v>
          </cell>
          <cell r="AJ5">
            <v>21071.887922310791</v>
          </cell>
          <cell r="AK5">
            <v>22604.79199547047</v>
          </cell>
          <cell r="AL5">
            <v>27487.475206320098</v>
          </cell>
          <cell r="AM5">
            <v>32051.843460368265</v>
          </cell>
          <cell r="AN5">
            <v>32480.599954346719</v>
          </cell>
          <cell r="AO5">
            <v>35335.641238524862</v>
          </cell>
          <cell r="AP5">
            <v>39520.989425053136</v>
          </cell>
          <cell r="AQ5">
            <v>43966.369275698882</v>
          </cell>
          <cell r="AR5">
            <v>44598.153663094061</v>
          </cell>
          <cell r="AS5">
            <v>44195.896518238638</v>
          </cell>
          <cell r="AT5">
            <v>47468.906634601779</v>
          </cell>
          <cell r="AU5">
            <v>46213.541615016824</v>
          </cell>
          <cell r="AV5">
            <v>47593.631722622042</v>
          </cell>
          <cell r="AW5">
            <v>50407.32639849597</v>
          </cell>
          <cell r="AX5">
            <v>44328.592954573673</v>
          </cell>
          <cell r="AY5">
            <v>48080.640572673954</v>
          </cell>
          <cell r="AZ5">
            <v>49363.478945506016</v>
          </cell>
        </row>
        <row r="6">
          <cell r="E6">
            <v>5201.8770185751237</v>
          </cell>
          <cell r="F6">
            <v>5927.3040044186691</v>
          </cell>
          <cell r="G6">
            <v>6924.8907724256242</v>
          </cell>
          <cell r="H6">
            <v>9138.158861853477</v>
          </cell>
          <cell r="I6">
            <v>10798.909964753493</v>
          </cell>
          <cell r="J6">
            <v>12192.841673779449</v>
          </cell>
          <cell r="K6">
            <v>13470.275022987544</v>
          </cell>
          <cell r="L6">
            <v>15384.370998363338</v>
          </cell>
          <cell r="M6">
            <v>20931.671396522714</v>
          </cell>
          <cell r="N6">
            <v>24641.711584862656</v>
          </cell>
          <cell r="O6">
            <v>26476.260152323513</v>
          </cell>
          <cell r="P6">
            <v>23186.973474679682</v>
          </cell>
          <cell r="Q6">
            <v>23706.97023948708</v>
          </cell>
          <cell r="R6">
            <v>23833.176271249766</v>
          </cell>
          <cell r="S6">
            <v>23481.8956536226</v>
          </cell>
          <cell r="T6">
            <v>24995.405892064424</v>
          </cell>
          <cell r="U6">
            <v>36642.20037058567</v>
          </cell>
          <cell r="V6">
            <v>45682.524027048414</v>
          </cell>
          <cell r="W6">
            <v>51738.808186510054</v>
          </cell>
          <cell r="X6">
            <v>51087.746224522125</v>
          </cell>
          <cell r="Y6">
            <v>61079.781124986956</v>
          </cell>
          <cell r="Z6">
            <v>65232.765974989692</v>
          </cell>
          <cell r="AA6">
            <v>68926.197918432386</v>
          </cell>
          <cell r="AB6">
            <v>67207.262074267186</v>
          </cell>
          <cell r="AC6">
            <v>73952.501498435697</v>
          </cell>
          <cell r="AD6">
            <v>87414.296468069922</v>
          </cell>
          <cell r="AE6">
            <v>86767.603351955302</v>
          </cell>
          <cell r="AF6">
            <v>80515.191689176456</v>
          </cell>
          <cell r="AG6">
            <v>84764.083016535311</v>
          </cell>
          <cell r="AH6">
            <v>89717.31484075269</v>
          </cell>
          <cell r="AI6">
            <v>82532.544222796365</v>
          </cell>
          <cell r="AJ6">
            <v>81848.673131181131</v>
          </cell>
          <cell r="AK6">
            <v>87412.730348638957</v>
          </cell>
          <cell r="AL6">
            <v>98956.986917630609</v>
          </cell>
          <cell r="AM6">
            <v>110432.74815007516</v>
          </cell>
          <cell r="AN6">
            <v>116094.77757374039</v>
          </cell>
          <cell r="AO6">
            <v>126060.80965949566</v>
          </cell>
          <cell r="AP6">
            <v>144079.42390011891</v>
          </cell>
          <cell r="AQ6">
            <v>158130.24470330041</v>
          </cell>
          <cell r="AR6">
            <v>139289.60319856848</v>
          </cell>
          <cell r="AS6">
            <v>156127.46762769768</v>
          </cell>
          <cell r="AT6">
            <v>175052.49586366644</v>
          </cell>
          <cell r="AU6">
            <v>165123.43308250103</v>
          </cell>
          <cell r="AV6">
            <v>173527.48626269208</v>
          </cell>
          <cell r="AW6">
            <v>179317.65658415708</v>
          </cell>
          <cell r="AX6">
            <v>167593.8598508141</v>
          </cell>
          <cell r="AY6">
            <v>165134.42644948716</v>
          </cell>
          <cell r="AZ6">
            <v>166337.51698811096</v>
          </cell>
        </row>
        <row r="7">
          <cell r="E7">
            <v>810.17816180651448</v>
          </cell>
          <cell r="F7">
            <v>854.95124969538688</v>
          </cell>
          <cell r="G7">
            <v>952.88860035527307</v>
          </cell>
          <cell r="H7">
            <v>1114.1134300959316</v>
          </cell>
          <cell r="I7">
            <v>1209.1952484278002</v>
          </cell>
          <cell r="J7">
            <v>1520.6372853686719</v>
          </cell>
          <cell r="K7">
            <v>1683.8605682144082</v>
          </cell>
          <cell r="L7">
            <v>1984.2272271443424</v>
          </cell>
          <cell r="M7">
            <v>2501.1803931127574</v>
          </cell>
          <cell r="N7">
            <v>3132.4544071431378</v>
          </cell>
          <cell r="O7">
            <v>3879.9012584239995</v>
          </cell>
          <cell r="P7">
            <v>3825.6347693140547</v>
          </cell>
          <cell r="Q7">
            <v>3762.5955142599501</v>
          </cell>
          <cell r="R7">
            <v>3518.9907596577045</v>
          </cell>
          <cell r="S7">
            <v>3294.1074525651252</v>
          </cell>
          <cell r="T7">
            <v>3310.828666422296</v>
          </cell>
          <cell r="U7">
            <v>4212.5913673311843</v>
          </cell>
          <cell r="V7">
            <v>5096.8314035122276</v>
          </cell>
          <cell r="W7">
            <v>5828.3586938930403</v>
          </cell>
          <cell r="X7">
            <v>6063.7030972851371</v>
          </cell>
          <cell r="Y7">
            <v>7229.5769734188361</v>
          </cell>
          <cell r="Z7">
            <v>7739.6114391284473</v>
          </cell>
          <cell r="AA7">
            <v>8432.8584860863048</v>
          </cell>
          <cell r="AB7">
            <v>7496.5675844872976</v>
          </cell>
          <cell r="AC7">
            <v>8226.2019543455535</v>
          </cell>
          <cell r="AD7">
            <v>9721.9962240833011</v>
          </cell>
          <cell r="AE7">
            <v>9919.3967866357398</v>
          </cell>
          <cell r="AF7">
            <v>9753.1940963469569</v>
          </cell>
          <cell r="AG7">
            <v>10178.367650183689</v>
          </cell>
          <cell r="AH7">
            <v>10395.2526199515</v>
          </cell>
          <cell r="AI7">
            <v>10218.471479927799</v>
          </cell>
          <cell r="AJ7">
            <v>10187.598757374955</v>
          </cell>
          <cell r="AK7">
            <v>11131.599033647892</v>
          </cell>
          <cell r="AL7">
            <v>13431.516027588534</v>
          </cell>
          <cell r="AM7">
            <v>14923.134814953815</v>
          </cell>
          <cell r="AN7">
            <v>15716.123145528249</v>
          </cell>
          <cell r="AO7">
            <v>16601.871782319984</v>
          </cell>
          <cell r="AP7">
            <v>19327.06677893567</v>
          </cell>
          <cell r="AQ7">
            <v>21783.237489323707</v>
          </cell>
          <cell r="AR7">
            <v>20596.042898718737</v>
          </cell>
          <cell r="AS7">
            <v>21005.35723486578</v>
          </cell>
          <cell r="AT7">
            <v>22727.688118326732</v>
          </cell>
          <cell r="AU7">
            <v>21887.197581210534</v>
          </cell>
          <cell r="AV7">
            <v>23972.335471569724</v>
          </cell>
          <cell r="AW7">
            <v>26397.814582794839</v>
          </cell>
          <cell r="AX7">
            <v>24703.045349098258</v>
          </cell>
          <cell r="AY7">
            <v>26266.187856296478</v>
          </cell>
          <cell r="AZ7">
            <v>29211.006515522069</v>
          </cell>
        </row>
        <row r="8">
          <cell r="E8">
            <v>12096.740040027255</v>
          </cell>
          <cell r="F8">
            <v>13393.913178752109</v>
          </cell>
          <cell r="G8">
            <v>16199.423695480438</v>
          </cell>
          <cell r="H8">
            <v>20710.653537378781</v>
          </cell>
          <cell r="I8">
            <v>22004.213074290317</v>
          </cell>
          <cell r="J8">
            <v>27403.083529785294</v>
          </cell>
          <cell r="K8">
            <v>27904.743435332839</v>
          </cell>
          <cell r="L8">
            <v>30407.973253516218</v>
          </cell>
          <cell r="M8">
            <v>37153.866998888334</v>
          </cell>
          <cell r="N8">
            <v>44501.425307823454</v>
          </cell>
          <cell r="O8">
            <v>50172.588259487755</v>
          </cell>
          <cell r="P8">
            <v>43363.590082462084</v>
          </cell>
          <cell r="Q8">
            <v>40517.785548798143</v>
          </cell>
          <cell r="R8">
            <v>38144.12514682328</v>
          </cell>
          <cell r="S8">
            <v>35632.24677328844</v>
          </cell>
          <cell r="T8">
            <v>36724.007907057392</v>
          </cell>
          <cell r="U8">
            <v>50871.043972315005</v>
          </cell>
          <cell r="V8">
            <v>61349.900761003701</v>
          </cell>
          <cell r="W8">
            <v>66771.533401744484</v>
          </cell>
          <cell r="X8">
            <v>67025.83617631004</v>
          </cell>
          <cell r="Y8">
            <v>82621.82652264004</v>
          </cell>
          <cell r="Z8">
            <v>82122.067040237642</v>
          </cell>
          <cell r="AA8">
            <v>89968.890098114731</v>
          </cell>
          <cell r="AB8">
            <v>84180.40261463933</v>
          </cell>
          <cell r="AC8">
            <v>87860.474315574989</v>
          </cell>
          <cell r="AD8">
            <v>100041.13463230262</v>
          </cell>
          <cell r="AE8">
            <v>99429.249297639428</v>
          </cell>
          <cell r="AF8">
            <v>89149.783270935324</v>
          </cell>
          <cell r="AG8">
            <v>91411.06696697649</v>
          </cell>
          <cell r="AH8">
            <v>89981.006226415091</v>
          </cell>
          <cell r="AI8">
            <v>81354.749797394179</v>
          </cell>
          <cell r="AJ8">
            <v>81467.369561186657</v>
          </cell>
          <cell r="AK8">
            <v>87705.029145851848</v>
          </cell>
          <cell r="AL8">
            <v>107029.2647800079</v>
          </cell>
          <cell r="AM8">
            <v>121615.51816053312</v>
          </cell>
          <cell r="AN8">
            <v>124374.15808007575</v>
          </cell>
          <cell r="AO8">
            <v>133187.40327830738</v>
          </cell>
          <cell r="AP8">
            <v>167129.76773660677</v>
          </cell>
          <cell r="AQ8">
            <v>180647.59294898613</v>
          </cell>
          <cell r="AR8">
            <v>149241.88068648381</v>
          </cell>
          <cell r="AS8">
            <v>144561.10271202889</v>
          </cell>
          <cell r="AT8">
            <v>162165.74485958877</v>
          </cell>
          <cell r="AU8">
            <v>152003.12600905169</v>
          </cell>
          <cell r="AV8">
            <v>172597.20923862947</v>
          </cell>
          <cell r="AW8">
            <v>185144.142478758</v>
          </cell>
          <cell r="AX8">
            <v>163393.91602057064</v>
          </cell>
          <cell r="AY8">
            <v>168011.80980336131</v>
          </cell>
          <cell r="AZ8">
            <v>165429.53991678081</v>
          </cell>
        </row>
        <row r="9">
          <cell r="E9">
            <v>926.26811257111694</v>
          </cell>
          <cell r="F9">
            <v>1075.4888892573338</v>
          </cell>
          <cell r="G9">
            <v>1371.8785649451017</v>
          </cell>
          <cell r="H9">
            <v>1930.7209804373788</v>
          </cell>
          <cell r="I9">
            <v>2362.8824755075898</v>
          </cell>
          <cell r="J9">
            <v>2561.8916529630737</v>
          </cell>
          <cell r="K9">
            <v>2652.630798448854</v>
          </cell>
          <cell r="L9">
            <v>2895.3219672442729</v>
          </cell>
          <cell r="M9">
            <v>3443.367435869292</v>
          </cell>
          <cell r="N9">
            <v>4096.6085437376059</v>
          </cell>
          <cell r="O9">
            <v>5008.4507604594273</v>
          </cell>
          <cell r="P9">
            <v>5837.7206016777036</v>
          </cell>
          <cell r="Q9">
            <v>6305.0863091088704</v>
          </cell>
          <cell r="R9">
            <v>6976.808802287831</v>
          </cell>
          <cell r="S9">
            <v>7394.2760402897029</v>
          </cell>
          <cell r="T9">
            <v>6858.1826023318863</v>
          </cell>
          <cell r="U9">
            <v>6789.265234808794</v>
          </cell>
          <cell r="V9">
            <v>7662.8914325111955</v>
          </cell>
          <cell r="W9">
            <v>9216.6731472714309</v>
          </cell>
          <cell r="X9">
            <v>10676.921972652795</v>
          </cell>
          <cell r="Y9">
            <v>12910.876442812085</v>
          </cell>
          <cell r="Z9">
            <v>14684.998783169765</v>
          </cell>
          <cell r="AA9">
            <v>16353.214583281731</v>
          </cell>
          <cell r="AB9">
            <v>18446.629077305308</v>
          </cell>
          <cell r="AC9">
            <v>21792.623809059623</v>
          </cell>
          <cell r="AD9">
            <v>25265.059982827308</v>
          </cell>
          <cell r="AE9">
            <v>27032.35328323425</v>
          </cell>
          <cell r="AF9">
            <v>27403.754588416159</v>
          </cell>
          <cell r="AG9">
            <v>22969.02827889501</v>
          </cell>
          <cell r="AH9">
            <v>22596.881352230295</v>
          </cell>
          <cell r="AI9">
            <v>24485.679717983832</v>
          </cell>
          <cell r="AJ9">
            <v>22216.968734782382</v>
          </cell>
          <cell r="AK9">
            <v>22255.425518153526</v>
          </cell>
          <cell r="AL9">
            <v>22827.858629725637</v>
          </cell>
          <cell r="AM9">
            <v>26086.717741714034</v>
          </cell>
          <cell r="AN9">
            <v>28278.515320052673</v>
          </cell>
          <cell r="AO9">
            <v>32090.888334333282</v>
          </cell>
          <cell r="AP9">
            <v>38034.640259920277</v>
          </cell>
          <cell r="AQ9">
            <v>39578.578836303204</v>
          </cell>
          <cell r="AR9">
            <v>38666.660759260165</v>
          </cell>
          <cell r="AS9">
            <v>46509.318023622007</v>
          </cell>
          <cell r="AT9">
            <v>53322.854233284008</v>
          </cell>
          <cell r="AU9">
            <v>55208.180372524308</v>
          </cell>
          <cell r="AV9">
            <v>56707.562643669262</v>
          </cell>
          <cell r="AW9">
            <v>57265.127629653201</v>
          </cell>
          <cell r="AX9">
            <v>54920.616223766825</v>
          </cell>
          <cell r="AY9">
            <v>55017.507990849343</v>
          </cell>
          <cell r="AZ9">
            <v>56629.931785401925</v>
          </cell>
        </row>
        <row r="10">
          <cell r="E10">
            <v>279.40203703189707</v>
          </cell>
          <cell r="F10">
            <v>300.94089013825101</v>
          </cell>
          <cell r="G10">
            <v>323.46742868033255</v>
          </cell>
          <cell r="H10">
            <v>405.1518440579801</v>
          </cell>
          <cell r="I10">
            <v>559.98717005400647</v>
          </cell>
          <cell r="J10">
            <v>613.36236019671674</v>
          </cell>
          <cell r="K10">
            <v>828.37895832343509</v>
          </cell>
          <cell r="L10">
            <v>1048.8876427350303</v>
          </cell>
          <cell r="M10">
            <v>1397.3971380730745</v>
          </cell>
          <cell r="N10">
            <v>1774.3658523420422</v>
          </cell>
          <cell r="O10">
            <v>1707.7484706872124</v>
          </cell>
          <cell r="P10">
            <v>1875.9837742398881</v>
          </cell>
          <cell r="Q10">
            <v>1985.0406588193064</v>
          </cell>
          <cell r="R10">
            <v>2189.1870195590545</v>
          </cell>
          <cell r="S10">
            <v>2396.9472650643665</v>
          </cell>
          <cell r="T10">
            <v>2450.4657943400512</v>
          </cell>
          <cell r="U10">
            <v>2810.8047333951708</v>
          </cell>
          <cell r="V10">
            <v>3501.9689700603722</v>
          </cell>
          <cell r="W10">
            <v>4680.3327949445948</v>
          </cell>
          <cell r="X10">
            <v>5741.7536181519235</v>
          </cell>
          <cell r="Y10">
            <v>6499.9916595089098</v>
          </cell>
          <cell r="Z10">
            <v>7515.313026619423</v>
          </cell>
          <cell r="AA10">
            <v>7981.1284166298619</v>
          </cell>
          <cell r="AB10">
            <v>8705.3478801350284</v>
          </cell>
          <cell r="AC10">
            <v>10172.693972973293</v>
          </cell>
          <cell r="AD10">
            <v>12274.106765125607</v>
          </cell>
          <cell r="AE10">
            <v>13068.935795246929</v>
          </cell>
          <cell r="AF10">
            <v>12077.241360681748</v>
          </cell>
          <cell r="AG10">
            <v>8021.0279612176864</v>
          </cell>
          <cell r="AH10">
            <v>10313.908592825603</v>
          </cell>
          <cell r="AI10">
            <v>11859.964962033762</v>
          </cell>
          <cell r="AJ10">
            <v>11171.009331921665</v>
          </cell>
          <cell r="AK10">
            <v>12686.235605184684</v>
          </cell>
          <cell r="AL10">
            <v>14109.596216092215</v>
          </cell>
          <cell r="AM10">
            <v>15773.819023448432</v>
          </cell>
          <cell r="AN10">
            <v>18436.208746827248</v>
          </cell>
          <cell r="AO10">
            <v>20656.152289752888</v>
          </cell>
          <cell r="AP10">
            <v>22828.05897824706</v>
          </cell>
          <cell r="AQ10">
            <v>20317.363722908216</v>
          </cell>
          <cell r="AR10">
            <v>18266.79763677052</v>
          </cell>
          <cell r="AS10">
            <v>21996.713973458965</v>
          </cell>
          <cell r="AT10">
            <v>24123.192318532281</v>
          </cell>
          <cell r="AU10">
            <v>24423.327208283175</v>
          </cell>
          <cell r="AV10">
            <v>26111.617397433169</v>
          </cell>
          <cell r="AW10">
            <v>27984.208173929197</v>
          </cell>
          <cell r="AX10">
            <v>27276.142720163538</v>
          </cell>
          <cell r="AY10">
            <v>27788.573496244011</v>
          </cell>
          <cell r="AZ10">
            <v>30075.857209108275</v>
          </cell>
        </row>
        <row r="11">
          <cell r="E11">
            <v>393.25049866474149</v>
          </cell>
          <cell r="F11">
            <v>446.89854148880846</v>
          </cell>
          <cell r="G11">
            <v>524.90572744184738</v>
          </cell>
          <cell r="H11">
            <v>699.9348901178322</v>
          </cell>
          <cell r="I11">
            <v>927.44519189414405</v>
          </cell>
          <cell r="J11">
            <v>978.39934691917267</v>
          </cell>
          <cell r="K11">
            <v>1150.557159794387</v>
          </cell>
          <cell r="L11">
            <v>1322.5548493245265</v>
          </cell>
          <cell r="M11">
            <v>1598.6182243493276</v>
          </cell>
          <cell r="N11">
            <v>1943.3259481526945</v>
          </cell>
          <cell r="O11">
            <v>2384.7401283344543</v>
          </cell>
          <cell r="P11">
            <v>2721.212587521597</v>
          </cell>
          <cell r="Q11">
            <v>2699.5554514190185</v>
          </cell>
          <cell r="R11">
            <v>2904.0072753658446</v>
          </cell>
          <cell r="S11">
            <v>3225.173115412696</v>
          </cell>
          <cell r="T11">
            <v>3315.1628210344202</v>
          </cell>
          <cell r="U11">
            <v>4038.1325261915636</v>
          </cell>
          <cell r="V11">
            <v>5350.2677248289847</v>
          </cell>
          <cell r="W11">
            <v>6369.3274596487945</v>
          </cell>
          <cell r="X11">
            <v>7614.3729714312412</v>
          </cell>
          <cell r="Y11">
            <v>8216.1763268176819</v>
          </cell>
          <cell r="Z11">
            <v>9135.6810031368095</v>
          </cell>
          <cell r="AA11">
            <v>10778.424268932895</v>
          </cell>
          <cell r="AB11">
            <v>11251.233845247336</v>
          </cell>
          <cell r="AC11">
            <v>12159.530532415361</v>
          </cell>
          <cell r="AD11">
            <v>13129.057332305963</v>
          </cell>
          <cell r="AE11">
            <v>13649.523566854785</v>
          </cell>
          <cell r="AF11">
            <v>14039.700438485943</v>
          </cell>
          <cell r="AG11">
            <v>12839.926813983631</v>
          </cell>
          <cell r="AH11">
            <v>13819.36138567146</v>
          </cell>
          <cell r="AI11">
            <v>14940.701902078761</v>
          </cell>
          <cell r="AJ11">
            <v>13448.288954458631</v>
          </cell>
          <cell r="AK11">
            <v>13750.265576138378</v>
          </cell>
          <cell r="AL11">
            <v>14120.228082333311</v>
          </cell>
          <cell r="AM11">
            <v>15387.52528571254</v>
          </cell>
          <cell r="AN11">
            <v>16532.042189373155</v>
          </cell>
          <cell r="AO11">
            <v>17025.866022327402</v>
          </cell>
          <cell r="AP11">
            <v>17814.116595569241</v>
          </cell>
          <cell r="AQ11">
            <v>18130.555421827747</v>
          </cell>
          <cell r="AR11">
            <v>16988.377696183772</v>
          </cell>
          <cell r="AS11">
            <v>19277.718274348124</v>
          </cell>
          <cell r="AT11">
            <v>20939.178207067653</v>
          </cell>
          <cell r="AU11">
            <v>21307.98359322951</v>
          </cell>
          <cell r="AV11">
            <v>21915.652330118912</v>
          </cell>
          <cell r="AW11">
            <v>22619.431152931047</v>
          </cell>
          <cell r="AX11"/>
          <cell r="AY11"/>
          <cell r="AZ11"/>
        </row>
        <row r="12">
          <cell r="E12">
            <v>3520.5742157908639</v>
          </cell>
          <cell r="F12">
            <v>3856.7853888485133</v>
          </cell>
          <cell r="G12">
            <v>4466.4404296739867</v>
          </cell>
          <cell r="H12">
            <v>6361.8359115283074</v>
          </cell>
          <cell r="I12">
            <v>7465.9377569160933</v>
          </cell>
          <cell r="J12">
            <v>7880.7299956345096</v>
          </cell>
          <cell r="K12">
            <v>8431.8098458243567</v>
          </cell>
          <cell r="L12">
            <v>8196.68366418611</v>
          </cell>
          <cell r="M12">
            <v>9504.30971526346</v>
          </cell>
          <cell r="N12">
            <v>10363.953010666166</v>
          </cell>
          <cell r="O12">
            <v>11809.587938219336</v>
          </cell>
          <cell r="P12">
            <v>13613.241343764401</v>
          </cell>
          <cell r="Q12">
            <v>12765.053538429625</v>
          </cell>
          <cell r="R12">
            <v>12649.634360024849</v>
          </cell>
          <cell r="S12">
            <v>13365.864254216414</v>
          </cell>
          <cell r="T12">
            <v>11570.510532247934</v>
          </cell>
          <cell r="U12">
            <v>12010.38598127731</v>
          </cell>
          <cell r="V12">
            <v>14026.509487734033</v>
          </cell>
          <cell r="W12">
            <v>17486.082228150415</v>
          </cell>
          <cell r="X12">
            <v>19056.360018470376</v>
          </cell>
          <cell r="Y12">
            <v>19012.486744071743</v>
          </cell>
          <cell r="Z12">
            <v>19106.207004520762</v>
          </cell>
          <cell r="AA12">
            <v>18643.541659851671</v>
          </cell>
          <cell r="AB12">
            <v>17922.281749576538</v>
          </cell>
          <cell r="AC12">
            <v>20298.907281301923</v>
          </cell>
          <cell r="AD12">
            <v>21630.001509121332</v>
          </cell>
          <cell r="AE12">
            <v>23807.329417474601</v>
          </cell>
          <cell r="AF12">
            <v>23608.930413652288</v>
          </cell>
          <cell r="AG12">
            <v>20841.097401109797</v>
          </cell>
          <cell r="AH12">
            <v>22582.563123034892</v>
          </cell>
          <cell r="AI12">
            <v>21451.983537464603</v>
          </cell>
          <cell r="AJ12">
            <v>20240.254940023453</v>
          </cell>
          <cell r="AK12">
            <v>22336.108419367574</v>
          </cell>
          <cell r="AL12">
            <v>28329.227456890327</v>
          </cell>
          <cell r="AM12">
            <v>33987.640529870325</v>
          </cell>
          <cell r="AN12">
            <v>37551.44053255058</v>
          </cell>
          <cell r="AO12">
            <v>39711.074470853579</v>
          </cell>
          <cell r="AP12">
            <v>46976.454102667616</v>
          </cell>
          <cell r="AQ12">
            <v>49666.177689090851</v>
          </cell>
          <cell r="AR12">
            <v>46460.193274404024</v>
          </cell>
          <cell r="AS12">
            <v>58770.173540185053</v>
          </cell>
          <cell r="AT12">
            <v>68505.947561811045</v>
          </cell>
          <cell r="AU12">
            <v>69670.0810556621</v>
          </cell>
          <cell r="AV12">
            <v>66520.586307264297</v>
          </cell>
          <cell r="AW12">
            <v>62194.702817522273</v>
          </cell>
          <cell r="AX12">
            <v>52521.988225326553</v>
          </cell>
          <cell r="AY12">
            <v>53865.951017453233</v>
          </cell>
          <cell r="AZ12">
            <v>57644.710709406063</v>
          </cell>
        </row>
        <row r="13">
          <cell r="E13">
            <v>2045.3124369781217</v>
          </cell>
          <cell r="F13">
            <v>2365.2907800178536</v>
          </cell>
          <cell r="G13">
            <v>2909.8851656029051</v>
          </cell>
          <cell r="H13">
            <v>3879.9143702597521</v>
          </cell>
          <cell r="I13">
            <v>4614.084011360701</v>
          </cell>
          <cell r="J13">
            <v>5244.8363222173621</v>
          </cell>
          <cell r="K13">
            <v>5622.3683651956107</v>
          </cell>
          <cell r="L13">
            <v>6750.0889316101875</v>
          </cell>
          <cell r="M13">
            <v>8134.821135539285</v>
          </cell>
          <cell r="N13">
            <v>9706.2109748586354</v>
          </cell>
          <cell r="O13">
            <v>10782.916843019326</v>
          </cell>
          <cell r="P13">
            <v>9340.6737622777418</v>
          </cell>
          <cell r="Q13">
            <v>9375.3036168173312</v>
          </cell>
          <cell r="R13">
            <v>9485.3990213468132</v>
          </cell>
          <cell r="S13">
            <v>8936.7610711195157</v>
          </cell>
          <cell r="T13">
            <v>9112.2272907422685</v>
          </cell>
          <cell r="U13">
            <v>12987.611671031251</v>
          </cell>
          <cell r="V13">
            <v>16231.743215916742</v>
          </cell>
          <cell r="W13">
            <v>17365.55405257193</v>
          </cell>
          <cell r="X13">
            <v>17302.901735650172</v>
          </cell>
          <cell r="Y13">
            <v>21491.597109198934</v>
          </cell>
          <cell r="Z13">
            <v>22386.040579716111</v>
          </cell>
          <cell r="AA13">
            <v>24901.247399256255</v>
          </cell>
          <cell r="AB13">
            <v>24074.750325832738</v>
          </cell>
          <cell r="AC13">
            <v>25669.389089930817</v>
          </cell>
          <cell r="AD13">
            <v>30162.246604275453</v>
          </cell>
          <cell r="AE13">
            <v>29558.99845133298</v>
          </cell>
          <cell r="AF13">
            <v>26516.032364996048</v>
          </cell>
          <cell r="AG13">
            <v>27110.887259748415</v>
          </cell>
          <cell r="AH13">
            <v>26952.795222225795</v>
          </cell>
          <cell r="AI13">
            <v>24413.590512953084</v>
          </cell>
          <cell r="AJ13">
            <v>24327.751369887035</v>
          </cell>
          <cell r="AK13">
            <v>26185.051851320048</v>
          </cell>
          <cell r="AL13">
            <v>32045.589866352766</v>
          </cell>
          <cell r="AM13">
            <v>36632.243311116668</v>
          </cell>
          <cell r="AN13">
            <v>38286.09160795527</v>
          </cell>
          <cell r="AO13">
            <v>40556.517498749206</v>
          </cell>
          <cell r="AP13">
            <v>46801.029333898638</v>
          </cell>
          <cell r="AQ13">
            <v>51568.318487853801</v>
          </cell>
          <cell r="AR13">
            <v>47789.508243570701</v>
          </cell>
          <cell r="AS13">
            <v>46611.459831682689</v>
          </cell>
          <cell r="AT13">
            <v>50946.445474773587</v>
          </cell>
          <cell r="AU13">
            <v>48018.51424846681</v>
          </cell>
          <cell r="AV13">
            <v>50129.509003609557</v>
          </cell>
          <cell r="AW13">
            <v>51197.583288738155</v>
          </cell>
          <cell r="AX13">
            <v>44016.026903701808</v>
          </cell>
          <cell r="AY13">
            <v>45320.601848390397</v>
          </cell>
          <cell r="AZ13">
            <v>47892.071255132891</v>
          </cell>
        </row>
        <row r="14">
          <cell r="E14">
            <v>2787.5153439823594</v>
          </cell>
          <cell r="F14">
            <v>3102.609331633711</v>
          </cell>
          <cell r="G14">
            <v>3859.4269007265771</v>
          </cell>
          <cell r="H14">
            <v>4937.8082603820831</v>
          </cell>
          <cell r="I14">
            <v>5779.6160878914789</v>
          </cell>
          <cell r="J14">
            <v>6757.1323729842834</v>
          </cell>
          <cell r="K14">
            <v>7299.2736201140669</v>
          </cell>
          <cell r="L14">
            <v>8483.6678677836207</v>
          </cell>
          <cell r="M14">
            <v>10369.211006734498</v>
          </cell>
          <cell r="N14">
            <v>11872.896683372272</v>
          </cell>
          <cell r="O14">
            <v>12969.912336565172</v>
          </cell>
          <cell r="P14">
            <v>10626.89361123301</v>
          </cell>
          <cell r="Q14">
            <v>9361.7062578666719</v>
          </cell>
          <cell r="R14">
            <v>8855.3781370354063</v>
          </cell>
          <cell r="S14">
            <v>8458.6138543569596</v>
          </cell>
          <cell r="T14">
            <v>8745.7138872905562</v>
          </cell>
          <cell r="U14">
            <v>12187.086482587272</v>
          </cell>
          <cell r="V14">
            <v>15087.06898381248</v>
          </cell>
          <cell r="W14">
            <v>16367.07226213021</v>
          </cell>
          <cell r="X14">
            <v>16532.774572312152</v>
          </cell>
          <cell r="Y14">
            <v>20586.528175961652</v>
          </cell>
          <cell r="Z14">
            <v>21116.705156510146</v>
          </cell>
          <cell r="AA14">
            <v>23417.110028962798</v>
          </cell>
          <cell r="AB14">
            <v>22334.942305681554</v>
          </cell>
          <cell r="AC14">
            <v>24222.327885836821</v>
          </cell>
          <cell r="AD14">
            <v>28469.597169925699</v>
          </cell>
          <cell r="AE14">
            <v>27526.68790760437</v>
          </cell>
          <cell r="AF14">
            <v>24941.829296359698</v>
          </cell>
          <cell r="AG14">
            <v>25495.006055796552</v>
          </cell>
          <cell r="AH14">
            <v>25353.090541737038</v>
          </cell>
          <cell r="AI14">
            <v>23147.173326520155</v>
          </cell>
          <cell r="AJ14">
            <v>23064.207944573027</v>
          </cell>
          <cell r="AK14">
            <v>24988.2174283651</v>
          </cell>
          <cell r="AL14">
            <v>30617.047725738819</v>
          </cell>
          <cell r="AM14">
            <v>35400.368144744949</v>
          </cell>
          <cell r="AN14">
            <v>36693.295063585596</v>
          </cell>
          <cell r="AO14">
            <v>38607.977142570882</v>
          </cell>
          <cell r="AP14">
            <v>44121.076834705338</v>
          </cell>
          <cell r="AQ14">
            <v>48148.406190345027</v>
          </cell>
          <cell r="AR14">
            <v>44658.107656425382</v>
          </cell>
          <cell r="AS14">
            <v>44246.416337385876</v>
          </cell>
          <cell r="AT14">
            <v>47852.17726952571</v>
          </cell>
          <cell r="AU14">
            <v>44931.452467846495</v>
          </cell>
          <cell r="AV14">
            <v>46720.121899164886</v>
          </cell>
          <cell r="AW14">
            <v>47329.742393392873</v>
          </cell>
          <cell r="AX14">
            <v>40397.096370108273</v>
          </cell>
          <cell r="AY14">
            <v>41354.437001134611</v>
          </cell>
          <cell r="AZ14">
            <v>43300.915381351158</v>
          </cell>
        </row>
        <row r="15">
          <cell r="E15">
            <v>4097.1386365356848</v>
          </cell>
          <cell r="F15">
            <v>4552.9059171351228</v>
          </cell>
          <cell r="G15">
            <v>5100.1507117102346</v>
          </cell>
          <cell r="H15">
            <v>5821.3829081709282</v>
          </cell>
          <cell r="I15">
            <v>7005.8091293574489</v>
          </cell>
          <cell r="J15">
            <v>7514.1836694505419</v>
          </cell>
          <cell r="K15">
            <v>8824.8429817430624</v>
          </cell>
          <cell r="L15">
            <v>8929.4785167698137</v>
          </cell>
          <cell r="M15">
            <v>9119.649045922306</v>
          </cell>
          <cell r="N15">
            <v>10009.041913089553</v>
          </cell>
          <cell r="O15">
            <v>11166.617259139937</v>
          </cell>
          <cell r="P15">
            <v>12343.119356350697</v>
          </cell>
          <cell r="Q15">
            <v>12499.526775104521</v>
          </cell>
          <cell r="R15">
            <v>13479.944530621216</v>
          </cell>
          <cell r="S15">
            <v>13882.549408579931</v>
          </cell>
          <cell r="T15">
            <v>14106.853735657194</v>
          </cell>
          <cell r="U15">
            <v>14384.876725040522</v>
          </cell>
          <cell r="V15">
            <v>16221.445081601396</v>
          </cell>
          <cell r="W15">
            <v>18814.122481495921</v>
          </cell>
          <cell r="X15">
            <v>20676.153398175215</v>
          </cell>
          <cell r="Y15">
            <v>21449.711620543767</v>
          </cell>
          <cell r="Z15">
            <v>21751.063288248726</v>
          </cell>
          <cell r="AA15">
            <v>20856.563564076681</v>
          </cell>
          <cell r="AB15">
            <v>20096.614211601118</v>
          </cell>
          <cell r="AC15">
            <v>19913.052309865834</v>
          </cell>
          <cell r="AD15">
            <v>20593.198680180532</v>
          </cell>
          <cell r="AE15">
            <v>21234.123188702284</v>
          </cell>
          <cell r="AF15">
            <v>21837.164312120964</v>
          </cell>
          <cell r="AG15">
            <v>20942.315386365506</v>
          </cell>
          <cell r="AH15">
            <v>22197.497041756644</v>
          </cell>
          <cell r="AI15">
            <v>24141.251438226442</v>
          </cell>
          <cell r="AJ15">
            <v>23723.00911414803</v>
          </cell>
          <cell r="AK15">
            <v>24201.101833383524</v>
          </cell>
          <cell r="AL15">
            <v>28203.031218795259</v>
          </cell>
          <cell r="AM15">
            <v>31925.466180665087</v>
          </cell>
          <cell r="AN15">
            <v>36236.395091919658</v>
          </cell>
          <cell r="AO15">
            <v>40434.382899637822</v>
          </cell>
          <cell r="AP15">
            <v>44215.717948783175</v>
          </cell>
          <cell r="AQ15">
            <v>46400.867330999361</v>
          </cell>
          <cell r="AR15">
            <v>40544.741388474496</v>
          </cell>
          <cell r="AS15">
            <v>47119.191184157367</v>
          </cell>
          <cell r="AT15">
            <v>51826.036845011542</v>
          </cell>
          <cell r="AU15">
            <v>52147.945210503487</v>
          </cell>
          <cell r="AV15">
            <v>52190.444292713961</v>
          </cell>
          <cell r="AW15">
            <v>50555.083583281412</v>
          </cell>
          <cell r="AX15">
            <v>43115.788311827178</v>
          </cell>
          <cell r="AY15">
            <v>42170.358989375498</v>
          </cell>
          <cell r="AZ15">
            <v>45069.840224411746</v>
          </cell>
        </row>
        <row r="16">
          <cell r="E16">
            <v>993.2357820218017</v>
          </cell>
          <cell r="F16">
            <v>1149.220660729731</v>
          </cell>
          <cell r="G16">
            <v>1382.2165252658431</v>
          </cell>
          <cell r="H16">
            <v>1663.4426407352416</v>
          </cell>
          <cell r="I16">
            <v>1457.2038023535858</v>
          </cell>
          <cell r="J16">
            <v>1201.5672467314603</v>
          </cell>
          <cell r="K16">
            <v>1372.6436397205316</v>
          </cell>
          <cell r="L16">
            <v>1728.4440970177063</v>
          </cell>
          <cell r="M16">
            <v>2235.3788735553308</v>
          </cell>
          <cell r="N16">
            <v>2899.3954759555359</v>
          </cell>
          <cell r="O16">
            <v>3486.7765499572515</v>
          </cell>
          <cell r="P16">
            <v>3346.7080036507523</v>
          </cell>
          <cell r="Q16">
            <v>3458.4728466883139</v>
          </cell>
          <cell r="R16">
            <v>3450.5786404102137</v>
          </cell>
          <cell r="S16">
            <v>3614.8309142532003</v>
          </cell>
          <cell r="T16">
            <v>3811.903452813538</v>
          </cell>
          <cell r="U16">
            <v>4811.8642504081608</v>
          </cell>
          <cell r="V16">
            <v>5677.8586704083609</v>
          </cell>
          <cell r="W16">
            <v>6432.9888034825162</v>
          </cell>
          <cell r="X16">
            <v>6739.1391662805372</v>
          </cell>
          <cell r="Y16">
            <v>8076.2741483980208</v>
          </cell>
          <cell r="Z16">
            <v>8160.9331068061583</v>
          </cell>
          <cell r="AA16">
            <v>9566.4955814885925</v>
          </cell>
          <cell r="AB16">
            <v>8923.1330734252533</v>
          </cell>
          <cell r="AC16">
            <v>9827.1111060673029</v>
          </cell>
          <cell r="AD16">
            <v>11487.912255782199</v>
          </cell>
          <cell r="AE16">
            <v>11338.124510117092</v>
          </cell>
          <cell r="AF16">
            <v>10752.998378576109</v>
          </cell>
          <cell r="AG16">
            <v>11384.075605477692</v>
          </cell>
          <cell r="AH16">
            <v>11453.774151503698</v>
          </cell>
          <cell r="AI16">
            <v>10770.815605235315</v>
          </cell>
          <cell r="AJ16">
            <v>10996.228051759796</v>
          </cell>
          <cell r="AK16">
            <v>11853.731648798423</v>
          </cell>
          <cell r="AL16">
            <v>14652.897057358216</v>
          </cell>
          <cell r="AM16">
            <v>17228.967823952651</v>
          </cell>
          <cell r="AN16">
            <v>18456.709555124369</v>
          </cell>
          <cell r="AO16">
            <v>19839.025317811705</v>
          </cell>
          <cell r="AP16">
            <v>22713.741942367858</v>
          </cell>
          <cell r="AQ16">
            <v>25741.251507309331</v>
          </cell>
          <cell r="AR16">
            <v>23624.10279069937</v>
          </cell>
          <cell r="AS16">
            <v>22973.727285555458</v>
          </cell>
          <cell r="AT16">
            <v>24384.668484711092</v>
          </cell>
          <cell r="AU16">
            <v>22061.859258789387</v>
          </cell>
          <cell r="AV16">
            <v>21056.00314713925</v>
          </cell>
          <cell r="AW16">
            <v>20275.621537278628</v>
          </cell>
          <cell r="AX16">
            <v>16952.414590197117</v>
          </cell>
          <cell r="AY16">
            <v>17467.686301085574</v>
          </cell>
          <cell r="AZ16">
            <v>18683.786952005936</v>
          </cell>
        </row>
        <row r="17">
          <cell r="E17">
            <v>3462.7118512358247</v>
          </cell>
          <cell r="F17">
            <v>3846.5336283763713</v>
          </cell>
          <cell r="G17">
            <v>4655.290174662251</v>
          </cell>
          <cell r="H17">
            <v>6124.9989837058083</v>
          </cell>
          <cell r="I17">
            <v>6775.9421678698</v>
          </cell>
          <cell r="J17">
            <v>7994.6512380970817</v>
          </cell>
          <cell r="K17">
            <v>8772.5489461585075</v>
          </cell>
          <cell r="L17">
            <v>9767.2967048554601</v>
          </cell>
          <cell r="M17">
            <v>11813.354886304258</v>
          </cell>
          <cell r="N17">
            <v>13746.994600003478</v>
          </cell>
          <cell r="O17">
            <v>13881.309599927399</v>
          </cell>
          <cell r="P17">
            <v>12073.06278893442</v>
          </cell>
          <cell r="Q17">
            <v>11791.61211660576</v>
          </cell>
          <cell r="R17">
            <v>11845.614030725405</v>
          </cell>
          <cell r="S17">
            <v>11552.89010288781</v>
          </cell>
          <cell r="T17">
            <v>12251.782656592579</v>
          </cell>
          <cell r="U17">
            <v>17220.865479346903</v>
          </cell>
          <cell r="V17">
            <v>21300.390813317317</v>
          </cell>
          <cell r="W17">
            <v>22645.453603077127</v>
          </cell>
          <cell r="X17">
            <v>21830.822431403951</v>
          </cell>
          <cell r="Y17">
            <v>26842.426205210348</v>
          </cell>
          <cell r="Z17">
            <v>26964.593742507142</v>
          </cell>
          <cell r="AA17">
            <v>29584.368625100306</v>
          </cell>
          <cell r="AB17">
            <v>27549.047901051526</v>
          </cell>
          <cell r="AC17">
            <v>29934.753750191408</v>
          </cell>
          <cell r="AD17">
            <v>35354.570027274618</v>
          </cell>
          <cell r="AE17">
            <v>35776.405080249519</v>
          </cell>
          <cell r="AF17">
            <v>32968.838195194847</v>
          </cell>
          <cell r="AG17">
            <v>33393.838440609623</v>
          </cell>
          <cell r="AH17">
            <v>33447.493260705924</v>
          </cell>
          <cell r="AI17">
            <v>30704.745043898423</v>
          </cell>
          <cell r="AJ17">
            <v>30794.716447849987</v>
          </cell>
          <cell r="AK17">
            <v>33315.955681217303</v>
          </cell>
          <cell r="AL17">
            <v>40468.033223884013</v>
          </cell>
          <cell r="AM17">
            <v>46457.727817314146</v>
          </cell>
          <cell r="AN17">
            <v>48693.196343140953</v>
          </cell>
          <cell r="AO17">
            <v>51980.942280398427</v>
          </cell>
          <cell r="AP17">
            <v>58318.557165988692</v>
          </cell>
          <cell r="AQ17">
            <v>64207.55957615735</v>
          </cell>
          <cell r="AR17">
            <v>58084.335197641449</v>
          </cell>
          <cell r="AS17">
            <v>57967.424467725825</v>
          </cell>
          <cell r="AT17">
            <v>61617.02048389781</v>
          </cell>
          <cell r="AU17">
            <v>58281.913357786783</v>
          </cell>
          <cell r="AV17">
            <v>61016.524658391718</v>
          </cell>
          <cell r="AW17">
            <v>62324.392637317585</v>
          </cell>
          <cell r="AX17">
            <v>53263.534079432982</v>
          </cell>
          <cell r="AY17">
            <v>54679.994097364739</v>
          </cell>
          <cell r="AZ17">
            <v>57657.682842558708</v>
          </cell>
        </row>
        <row r="18">
          <cell r="E18">
            <v>2443.9109444046721</v>
          </cell>
          <cell r="F18">
            <v>2685.1550767057361</v>
          </cell>
          <cell r="G18">
            <v>3146.204339895407</v>
          </cell>
          <cell r="H18">
            <v>4134.1850563880826</v>
          </cell>
          <cell r="I18">
            <v>5256.3027135347293</v>
          </cell>
          <cell r="J18">
            <v>6218.1357762406942</v>
          </cell>
          <cell r="K18">
            <v>6699.4050230259691</v>
          </cell>
          <cell r="L18">
            <v>7033.5887486907332</v>
          </cell>
          <cell r="M18">
            <v>7606.9301014322064</v>
          </cell>
          <cell r="N18">
            <v>9299.6106934208274</v>
          </cell>
          <cell r="O18">
            <v>11212.651870425123</v>
          </cell>
          <cell r="P18">
            <v>10912.584211901793</v>
          </cell>
          <cell r="Q18">
            <v>10926.305971748257</v>
          </cell>
          <cell r="R18">
            <v>10491.791893056979</v>
          </cell>
          <cell r="S18">
            <v>10827.269229557523</v>
          </cell>
          <cell r="T18">
            <v>11384.876468576036</v>
          </cell>
          <cell r="U18">
            <v>14924.709946837349</v>
          </cell>
          <cell r="V18">
            <v>18527.606737906746</v>
          </cell>
          <cell r="W18">
            <v>21970.991437965105</v>
          </cell>
          <cell r="X18">
            <v>23909.43347702434</v>
          </cell>
          <cell r="Y18">
            <v>28421.475266711528</v>
          </cell>
          <cell r="Z18">
            <v>25502.453116828132</v>
          </cell>
          <cell r="AA18">
            <v>22398.747255905688</v>
          </cell>
          <cell r="AB18">
            <v>17597.769760729399</v>
          </cell>
          <cell r="AC18">
            <v>20207.580903404429</v>
          </cell>
          <cell r="AD18">
            <v>26176.962124475362</v>
          </cell>
          <cell r="AE18">
            <v>25696.036522633243</v>
          </cell>
          <cell r="AF18">
            <v>24651.836484174491</v>
          </cell>
          <cell r="AG18">
            <v>25947.660857101586</v>
          </cell>
          <cell r="AH18">
            <v>26082.289429949346</v>
          </cell>
          <cell r="AI18">
            <v>24287.031072364945</v>
          </cell>
          <cell r="AJ18">
            <v>24805.407348053901</v>
          </cell>
          <cell r="AK18">
            <v>26854.015624817177</v>
          </cell>
          <cell r="AL18">
            <v>32714.105691049135</v>
          </cell>
          <cell r="AM18">
            <v>37579.749665454387</v>
          </cell>
          <cell r="AN18">
            <v>38791.183068333143</v>
          </cell>
          <cell r="AO18">
            <v>41117.408201122867</v>
          </cell>
          <cell r="AP18">
            <v>48131.243141297855</v>
          </cell>
          <cell r="AQ18">
            <v>53384.442044233147</v>
          </cell>
          <cell r="AR18">
            <v>46980.466233398205</v>
          </cell>
          <cell r="AS18">
            <v>46218.799049234578</v>
          </cell>
          <cell r="AT18">
            <v>50842.029361457513</v>
          </cell>
          <cell r="AU18">
            <v>47478.468422199971</v>
          </cell>
          <cell r="AV18">
            <v>49663.246401805831</v>
          </cell>
          <cell r="AW18">
            <v>50002.591709423767</v>
          </cell>
          <cell r="AX18">
            <v>42320.583527880328</v>
          </cell>
          <cell r="AY18">
            <v>43459.183734700411</v>
          </cell>
          <cell r="AZ18">
            <v>45683.829827733891</v>
          </cell>
        </row>
        <row r="19">
          <cell r="E19">
            <v>2910.8744526474284</v>
          </cell>
          <cell r="F19">
            <v>3237.5416277641584</v>
          </cell>
          <cell r="G19">
            <v>3923.4759074226677</v>
          </cell>
          <cell r="H19">
            <v>5056.2786800170807</v>
          </cell>
          <cell r="I19">
            <v>5432.4908540407478</v>
          </cell>
          <cell r="J19">
            <v>6809.9423195999116</v>
          </cell>
          <cell r="K19">
            <v>6979.913160873939</v>
          </cell>
          <cell r="L19">
            <v>7661.2298344284909</v>
          </cell>
          <cell r="M19">
            <v>9441.9646199342933</v>
          </cell>
          <cell r="N19">
            <v>11397.292463657301</v>
          </cell>
          <cell r="O19">
            <v>12964.479766682271</v>
          </cell>
          <cell r="P19">
            <v>11344.7917203058</v>
          </cell>
          <cell r="Q19">
            <v>10724.560864981115</v>
          </cell>
          <cell r="R19">
            <v>10215.653913492966</v>
          </cell>
          <cell r="S19">
            <v>9636.5436900928198</v>
          </cell>
          <cell r="T19">
            <v>9982.4035317129947</v>
          </cell>
          <cell r="U19">
            <v>13840.893560907543</v>
          </cell>
          <cell r="V19">
            <v>16671.275363988916</v>
          </cell>
          <cell r="W19">
            <v>18101.726592373394</v>
          </cell>
          <cell r="X19">
            <v>18177.581345382445</v>
          </cell>
          <cell r="Y19">
            <v>22296.021076656951</v>
          </cell>
          <cell r="Z19">
            <v>22188.171628966807</v>
          </cell>
          <cell r="AA19">
            <v>24349.106638234331</v>
          </cell>
          <cell r="AB19">
            <v>22859.193257507774</v>
          </cell>
          <cell r="AC19">
            <v>23969.377137628715</v>
          </cell>
          <cell r="AD19">
            <v>27471.682189998548</v>
          </cell>
          <cell r="AE19">
            <v>27521.514302777137</v>
          </cell>
          <cell r="AF19">
            <v>24675.22469259605</v>
          </cell>
          <cell r="AG19">
            <v>25408.690314139494</v>
          </cell>
          <cell r="AH19">
            <v>25119.652152497936</v>
          </cell>
          <cell r="AI19">
            <v>22815.652879972891</v>
          </cell>
          <cell r="AJ19">
            <v>23034.070461421838</v>
          </cell>
          <cell r="AK19">
            <v>24740.525026485644</v>
          </cell>
          <cell r="AL19">
            <v>30388.060821571613</v>
          </cell>
          <cell r="AM19">
            <v>34818.8225561851</v>
          </cell>
          <cell r="AN19">
            <v>35927.811228747472</v>
          </cell>
          <cell r="AO19">
            <v>37666.688898672124</v>
          </cell>
          <cell r="AP19">
            <v>42930.263563413289</v>
          </cell>
          <cell r="AQ19">
            <v>46847.749690804849</v>
          </cell>
          <cell r="AR19">
            <v>42911.252510866594</v>
          </cell>
          <cell r="AS19">
            <v>41886.983207444966</v>
          </cell>
          <cell r="AT19">
            <v>45150.592697829372</v>
          </cell>
          <cell r="AU19">
            <v>42111.964021549255</v>
          </cell>
          <cell r="AV19">
            <v>43961.259273244352</v>
          </cell>
          <cell r="AW19">
            <v>44398.99648920777</v>
          </cell>
          <cell r="AX19">
            <v>37854.576370056413</v>
          </cell>
          <cell r="AY19">
            <v>38176.837460460694</v>
          </cell>
          <cell r="AZ19">
            <v>39737.792180588243</v>
          </cell>
        </row>
        <row r="20">
          <cell r="E20">
            <v>2736.3094673863984</v>
          </cell>
          <cell r="F20">
            <v>3160.4355907795903</v>
          </cell>
          <cell r="G20">
            <v>3789.5252553734454</v>
          </cell>
          <cell r="H20">
            <v>5029.3801948936771</v>
          </cell>
          <cell r="I20">
            <v>5626.1487987614764</v>
          </cell>
          <cell r="J20">
            <v>6200.3515409128868</v>
          </cell>
          <cell r="K20">
            <v>6574.0632442144179</v>
          </cell>
          <cell r="L20">
            <v>7598.3014365618064</v>
          </cell>
          <cell r="M20">
            <v>9390.589906169429</v>
          </cell>
          <cell r="N20">
            <v>11191.150354405123</v>
          </cell>
          <cell r="O20">
            <v>12094.408209750703</v>
          </cell>
          <cell r="P20">
            <v>10201.455841187217</v>
          </cell>
          <cell r="Q20">
            <v>9930.0982664049843</v>
          </cell>
          <cell r="R20">
            <v>9872.7241314059575</v>
          </cell>
          <cell r="S20">
            <v>9291.6307784934943</v>
          </cell>
          <cell r="T20">
            <v>9393.0020744895428</v>
          </cell>
          <cell r="U20">
            <v>13361.168415677872</v>
          </cell>
          <cell r="V20">
            <v>16527.001122606162</v>
          </cell>
          <cell r="W20">
            <v>17867.622764862492</v>
          </cell>
          <cell r="X20">
            <v>17658.505540603841</v>
          </cell>
          <cell r="Y20">
            <v>22245.161702608275</v>
          </cell>
          <cell r="Z20">
            <v>23377.272886777482</v>
          </cell>
          <cell r="AA20">
            <v>26484.718317530784</v>
          </cell>
          <cell r="AB20">
            <v>25707.87056268493</v>
          </cell>
          <cell r="AC20">
            <v>27307.198820131311</v>
          </cell>
          <cell r="AD20">
            <v>31880.608279051776</v>
          </cell>
          <cell r="AE20">
            <v>30702.597253055817</v>
          </cell>
          <cell r="AF20">
            <v>27239.309258233854</v>
          </cell>
          <cell r="AG20">
            <v>27484.921575702701</v>
          </cell>
          <cell r="AH20">
            <v>26999.955425528133</v>
          </cell>
          <cell r="AI20">
            <v>23929.974268528182</v>
          </cell>
          <cell r="AJ20">
            <v>23915.860910651227</v>
          </cell>
          <cell r="AK20">
            <v>25486.488044288457</v>
          </cell>
          <cell r="AL20">
            <v>30727.233054530825</v>
          </cell>
          <cell r="AM20">
            <v>34509.91080583138</v>
          </cell>
          <cell r="AN20">
            <v>35018.450560412755</v>
          </cell>
          <cell r="AO20">
            <v>36791.599820417745</v>
          </cell>
          <cell r="AP20">
            <v>42289.298732294672</v>
          </cell>
          <cell r="AQ20">
            <v>46221.574840790709</v>
          </cell>
          <cell r="AR20">
            <v>42240.152906389303</v>
          </cell>
          <cell r="AS20">
            <v>42277.138659520991</v>
          </cell>
          <cell r="AT20">
            <v>46457.61661751385</v>
          </cell>
          <cell r="AU20">
            <v>43668.001608166676</v>
          </cell>
          <cell r="AV20">
            <v>46145.249790758979</v>
          </cell>
          <cell r="AW20">
            <v>47858.830292882296</v>
          </cell>
          <cell r="AX20">
            <v>41366.92373231674</v>
          </cell>
          <cell r="AY20">
            <v>42712.392129243497</v>
          </cell>
          <cell r="AZ20">
            <v>44946.74797001484</v>
          </cell>
        </row>
        <row r="21">
          <cell r="E21">
            <v>2538.3368333773592</v>
          </cell>
          <cell r="F21">
            <v>3188.6049355829405</v>
          </cell>
          <cell r="G21">
            <v>3940.4270500978905</v>
          </cell>
          <cell r="H21">
            <v>5325.6714313907923</v>
          </cell>
          <cell r="I21">
            <v>6924.7434903021394</v>
          </cell>
          <cell r="J21">
            <v>6356.1150639702846</v>
          </cell>
          <cell r="K21">
            <v>7466.2182068264246</v>
          </cell>
          <cell r="L21">
            <v>9789.1322604446923</v>
          </cell>
          <cell r="M21">
            <v>11039.959915235333</v>
          </cell>
          <cell r="N21">
            <v>12433.107123744488</v>
          </cell>
          <cell r="O21">
            <v>14594.177331312265</v>
          </cell>
          <cell r="P21">
            <v>14918.920256303541</v>
          </cell>
          <cell r="Q21">
            <v>13542.791519661849</v>
          </cell>
          <cell r="R21">
            <v>11545.586283307699</v>
          </cell>
          <cell r="S21">
            <v>11817.034307895883</v>
          </cell>
          <cell r="T21">
            <v>12169.149187439461</v>
          </cell>
          <cell r="U21">
            <v>16086.875386258806</v>
          </cell>
          <cell r="V21">
            <v>22013.388972540637</v>
          </cell>
          <cell r="W21">
            <v>24088.194986306637</v>
          </cell>
          <cell r="X21">
            <v>22140.435809566068</v>
          </cell>
          <cell r="Y21">
            <v>24987.581729355443</v>
          </cell>
          <cell r="Z21">
            <v>26423.629359065926</v>
          </cell>
          <cell r="AA21">
            <v>26815.489042902005</v>
          </cell>
          <cell r="AB21">
            <v>23325.02526879264</v>
          </cell>
          <cell r="AC21">
            <v>23741.619258650211</v>
          </cell>
          <cell r="AD21">
            <v>26223.255962545165</v>
          </cell>
          <cell r="AE21">
            <v>27136.647192300574</v>
          </cell>
          <cell r="AF21">
            <v>27798.825355965517</v>
          </cell>
          <cell r="AG21">
            <v>30854.392381291411</v>
          </cell>
          <cell r="AH21">
            <v>32287.076402634324</v>
          </cell>
          <cell r="AI21">
            <v>32105.998135040205</v>
          </cell>
          <cell r="AJ21">
            <v>29003.725704913628</v>
          </cell>
          <cell r="AK21">
            <v>32575.221134199466</v>
          </cell>
          <cell r="AL21">
            <v>39638.750614685778</v>
          </cell>
          <cell r="AM21">
            <v>47525.139661426845</v>
          </cell>
          <cell r="AN21">
            <v>56995.714227114469</v>
          </cell>
          <cell r="AO21">
            <v>57440.137594752574</v>
          </cell>
          <cell r="AP21">
            <v>70494.636084534737</v>
          </cell>
          <cell r="AQ21">
            <v>57594.628346907528</v>
          </cell>
          <cell r="AR21">
            <v>41648.964316673308</v>
          </cell>
          <cell r="AS21">
            <v>42717.744593042131</v>
          </cell>
          <cell r="AT21">
            <v>46869.835237989224</v>
          </cell>
          <cell r="AU21">
            <v>45231.6505102511</v>
          </cell>
          <cell r="AV21">
            <v>49027.815664665824</v>
          </cell>
          <cell r="AW21">
            <v>54064.858359795289</v>
          </cell>
          <cell r="AX21">
            <v>52519.405125922429</v>
          </cell>
          <cell r="AY21">
            <v>62232.149905522361</v>
          </cell>
          <cell r="AZ21">
            <v>72954.137381077278</v>
          </cell>
        </row>
        <row r="22">
          <cell r="E22">
            <v>1492.0720146250947</v>
          </cell>
          <cell r="F22">
            <v>1709.1085452140312</v>
          </cell>
          <cell r="G22">
            <v>2087.4306643193381</v>
          </cell>
          <cell r="H22">
            <v>2432.5578257360858</v>
          </cell>
          <cell r="I22">
            <v>2524.852363409902</v>
          </cell>
          <cell r="J22">
            <v>2982.1677706849541</v>
          </cell>
          <cell r="K22">
            <v>2923.4014876479264</v>
          </cell>
          <cell r="L22">
            <v>3421.8011144972761</v>
          </cell>
          <cell r="M22">
            <v>4386.917186411486</v>
          </cell>
          <cell r="N22">
            <v>5407.9935006693049</v>
          </cell>
          <cell r="O22">
            <v>6338.7991221422826</v>
          </cell>
          <cell r="P22">
            <v>5959.1085307098874</v>
          </cell>
          <cell r="Q22">
            <v>6133.53881084967</v>
          </cell>
          <cell r="R22">
            <v>5886.6425209299796</v>
          </cell>
          <cell r="S22">
            <v>5667.980575810594</v>
          </cell>
          <cell r="T22">
            <v>5973.6397950158753</v>
          </cell>
          <cell r="U22">
            <v>8050.0796685619371</v>
          </cell>
          <cell r="V22">
            <v>9507.9266753645261</v>
          </cell>
          <cell r="W22">
            <v>10595.419249101737</v>
          </cell>
          <cell r="X22">
            <v>11013.222449877203</v>
          </cell>
          <cell r="Y22">
            <v>13831.081634076783</v>
          </cell>
          <cell r="Z22">
            <v>13938.155121316977</v>
          </cell>
          <cell r="AA22">
            <v>15601.971837438283</v>
          </cell>
          <cell r="AB22">
            <v>14554.449227535004</v>
          </cell>
          <cell r="AC22">
            <v>15762.44238900474</v>
          </cell>
          <cell r="AD22">
            <v>18957.613752808742</v>
          </cell>
          <cell r="AE22">
            <v>20620.00255064814</v>
          </cell>
          <cell r="AF22">
            <v>22310.98061987941</v>
          </cell>
          <cell r="AG22">
            <v>24018.223870771642</v>
          </cell>
          <cell r="AH22">
            <v>26000.270656867153</v>
          </cell>
          <cell r="AI22">
            <v>25944.06152085754</v>
          </cell>
          <cell r="AJ22">
            <v>27882.279481225891</v>
          </cell>
          <cell r="AK22">
            <v>32190.827223782584</v>
          </cell>
          <cell r="AL22">
            <v>40498.356976718627</v>
          </cell>
          <cell r="AM22">
            <v>46987.598422669915</v>
          </cell>
          <cell r="AN22">
            <v>50320.711458904239</v>
          </cell>
          <cell r="AO22">
            <v>53911.237007275697</v>
          </cell>
          <cell r="AP22">
            <v>61390.522622066528</v>
          </cell>
          <cell r="AQ22">
            <v>61252.822919870836</v>
          </cell>
          <cell r="AR22">
            <v>51663.023985653439</v>
          </cell>
          <cell r="AS22">
            <v>47979.998824273905</v>
          </cell>
          <cell r="AT22">
            <v>51044.711521241785</v>
          </cell>
          <cell r="AU22">
            <v>48096.274633575857</v>
          </cell>
          <cell r="AV22">
            <v>51046.921091071337</v>
          </cell>
          <cell r="AW22">
            <v>55266.927523719438</v>
          </cell>
          <cell r="AX22">
            <v>61913.484097276931</v>
          </cell>
          <cell r="AY22">
            <v>63736.154270195708</v>
          </cell>
          <cell r="AZ22">
            <v>69310.285185648958</v>
          </cell>
        </row>
        <row r="23">
          <cell r="E23">
            <v>2110.3867849841135</v>
          </cell>
          <cell r="F23">
            <v>2166.6054051734823</v>
          </cell>
          <cell r="G23">
            <v>2755.1582499484166</v>
          </cell>
          <cell r="H23">
            <v>3427.0471295647831</v>
          </cell>
          <cell r="I23">
            <v>4511.6037854488395</v>
          </cell>
          <cell r="J23">
            <v>4338.9580293458321</v>
          </cell>
          <cell r="K23">
            <v>4450.5181966493801</v>
          </cell>
          <cell r="L23">
            <v>4711.8147981701586</v>
          </cell>
          <cell r="M23">
            <v>4547.7243643600978</v>
          </cell>
          <cell r="N23">
            <v>5739.7288936126397</v>
          </cell>
          <cell r="O23">
            <v>6392.7893356071445</v>
          </cell>
          <cell r="P23">
            <v>6655.6798931231442</v>
          </cell>
          <cell r="Q23">
            <v>7144.8015242565471</v>
          </cell>
          <cell r="R23">
            <v>7832.8262243985819</v>
          </cell>
          <cell r="S23">
            <v>7227.0569931750215</v>
          </cell>
          <cell r="T23">
            <v>6705.9656820206392</v>
          </cell>
          <cell r="U23">
            <v>8180.1743387356692</v>
          </cell>
          <cell r="V23">
            <v>9670.6018567997235</v>
          </cell>
          <cell r="W23">
            <v>11619.720511765374</v>
          </cell>
          <cell r="X23">
            <v>11329.150615312858</v>
          </cell>
          <cell r="Y23">
            <v>13051.824762275093</v>
          </cell>
          <cell r="Z23">
            <v>14482.624920367385</v>
          </cell>
          <cell r="AA23">
            <v>15649.924395147455</v>
          </cell>
          <cell r="AB23">
            <v>15164.281855673824</v>
          </cell>
          <cell r="AC23">
            <v>16636.448497620629</v>
          </cell>
          <cell r="AD23">
            <v>18748.644238663492</v>
          </cell>
          <cell r="AE23">
            <v>20043.450556542848</v>
          </cell>
          <cell r="AF23">
            <v>20420.687470434397</v>
          </cell>
          <cell r="AG23">
            <v>20120.689445831114</v>
          </cell>
          <cell r="AH23">
            <v>19858.20899322275</v>
          </cell>
          <cell r="AI23">
            <v>21949.731456675636</v>
          </cell>
          <cell r="AJ23">
            <v>21371.948583333469</v>
          </cell>
          <cell r="AK23">
            <v>19393.247784000891</v>
          </cell>
          <cell r="AL23">
            <v>20001.515075393901</v>
          </cell>
          <cell r="AM23">
            <v>20869.316801948793</v>
          </cell>
          <cell r="AN23">
            <v>21505.474051828194</v>
          </cell>
          <cell r="AO23">
            <v>22797.21536455338</v>
          </cell>
          <cell r="AP23">
            <v>25857.019350150989</v>
          </cell>
          <cell r="AQ23">
            <v>30433.637059152563</v>
          </cell>
          <cell r="AR23">
            <v>28481.42412624288</v>
          </cell>
          <cell r="AS23">
            <v>31511.081599023102</v>
          </cell>
          <cell r="AT23">
            <v>34615.910053596526</v>
          </cell>
          <cell r="AU23">
            <v>33380.503318242838</v>
          </cell>
          <cell r="AV23">
            <v>37462.737042911453</v>
          </cell>
          <cell r="AW23">
            <v>39036.287251164133</v>
          </cell>
          <cell r="AX23">
            <v>37199.857598945113</v>
          </cell>
          <cell r="AY23">
            <v>38908.313230704829</v>
          </cell>
          <cell r="AZ23">
            <v>42363.509393118125</v>
          </cell>
        </row>
        <row r="24">
          <cell r="E24">
            <v>2109.0476951617552</v>
          </cell>
          <cell r="F24">
            <v>2298.4275345094065</v>
          </cell>
          <cell r="G24">
            <v>2669.3167889201482</v>
          </cell>
          <cell r="H24">
            <v>3200.2851069996123</v>
          </cell>
          <cell r="I24">
            <v>3616.7209259619785</v>
          </cell>
          <cell r="J24">
            <v>4102.6051795914518</v>
          </cell>
          <cell r="K24">
            <v>4028.4662938225197</v>
          </cell>
          <cell r="L24">
            <v>4602.0178541102323</v>
          </cell>
          <cell r="M24">
            <v>5601.4389918380257</v>
          </cell>
          <cell r="N24">
            <v>6969.2853637895842</v>
          </cell>
          <cell r="O24">
            <v>8436.8322318186274</v>
          </cell>
          <cell r="P24">
            <v>7582.6530391485485</v>
          </cell>
          <cell r="Q24">
            <v>7510.9654806605331</v>
          </cell>
          <cell r="R24">
            <v>7776.3950729605313</v>
          </cell>
          <cell r="S24">
            <v>7657.4928497282363</v>
          </cell>
          <cell r="T24">
            <v>7910.5664681225571</v>
          </cell>
          <cell r="U24">
            <v>11180.863968842192</v>
          </cell>
          <cell r="V24">
            <v>14065.645611732269</v>
          </cell>
          <cell r="W24">
            <v>15568.324032967161</v>
          </cell>
          <cell r="X24">
            <v>16213.426117553292</v>
          </cell>
          <cell r="Y24">
            <v>20655.688576634006</v>
          </cell>
          <cell r="Z24">
            <v>21696.332668888979</v>
          </cell>
          <cell r="AA24">
            <v>23081.407003402481</v>
          </cell>
          <cell r="AB24">
            <v>18522.839219938236</v>
          </cell>
          <cell r="AC24">
            <v>19213.514688417577</v>
          </cell>
          <cell r="AD24">
            <v>20434.827989049449</v>
          </cell>
          <cell r="AE24">
            <v>22890.223798591753</v>
          </cell>
          <cell r="AF24">
            <v>21684.045963182587</v>
          </cell>
          <cell r="AG24">
            <v>22220.841147370858</v>
          </cell>
          <cell r="AH24">
            <v>21860.795073968886</v>
          </cell>
          <cell r="AI24">
            <v>19897.468692903865</v>
          </cell>
          <cell r="AJ24">
            <v>20171.679073872307</v>
          </cell>
          <cell r="AK24">
            <v>21971.647785697336</v>
          </cell>
          <cell r="AL24">
            <v>27000.516414972553</v>
          </cell>
          <cell r="AM24">
            <v>30772.016557259612</v>
          </cell>
          <cell r="AN24">
            <v>31458.046087363859</v>
          </cell>
          <cell r="AO24">
            <v>32836.904781168436</v>
          </cell>
          <cell r="AP24">
            <v>37091.042594139428</v>
          </cell>
          <cell r="AQ24">
            <v>40166.457868309946</v>
          </cell>
          <cell r="AR24">
            <v>36719.181691406899</v>
          </cell>
          <cell r="AS24">
            <v>35660.586754271833</v>
          </cell>
          <cell r="AT24">
            <v>38152.656408822986</v>
          </cell>
          <cell r="AU24">
            <v>34653.728560391035</v>
          </cell>
          <cell r="AV24">
            <v>35697.52631226118</v>
          </cell>
          <cell r="AW24">
            <v>36082.50225540813</v>
          </cell>
          <cell r="AX24">
            <v>30754.125439052954</v>
          </cell>
          <cell r="AY24">
            <v>31483.955675169895</v>
          </cell>
          <cell r="AZ24">
            <v>32733.573280549266</v>
          </cell>
        </row>
        <row r="25">
          <cell r="E25">
            <v>2030.0089068785164</v>
          </cell>
          <cell r="F25">
            <v>2255.1034682814811</v>
          </cell>
          <cell r="G25">
            <v>2945.0705446268948</v>
          </cell>
          <cell r="H25">
            <v>3944.0211925405411</v>
          </cell>
          <cell r="I25">
            <v>4323.1502969139619</v>
          </cell>
          <cell r="J25">
            <v>4643.1756845321834</v>
          </cell>
          <cell r="K25">
            <v>5154.3620609679756</v>
          </cell>
          <cell r="L25">
            <v>6278.3483537665561</v>
          </cell>
          <cell r="M25">
            <v>8715.1392703416186</v>
          </cell>
          <cell r="N25">
            <v>9069.2840597647337</v>
          </cell>
          <cell r="O25">
            <v>9420.5630624712667</v>
          </cell>
          <cell r="P25">
            <v>10274.273932219974</v>
          </cell>
          <cell r="Q25">
            <v>9446.9264316173285</v>
          </cell>
          <cell r="R25">
            <v>10295.74630909119</v>
          </cell>
          <cell r="S25">
            <v>10891.107081034786</v>
          </cell>
          <cell r="T25">
            <v>11485.385175518015</v>
          </cell>
          <cell r="U25">
            <v>16976.868885552136</v>
          </cell>
          <cell r="V25">
            <v>20555.200348694194</v>
          </cell>
          <cell r="W25">
            <v>24839.198955090145</v>
          </cell>
          <cell r="X25">
            <v>24583.113912249923</v>
          </cell>
          <cell r="Y25">
            <v>25137.420576191442</v>
          </cell>
          <cell r="Z25">
            <v>28653.750132383528</v>
          </cell>
          <cell r="AA25">
            <v>31194.782840909989</v>
          </cell>
          <cell r="AB25">
            <v>35396.816609172689</v>
          </cell>
          <cell r="AC25">
            <v>38948.72520108489</v>
          </cell>
          <cell r="AD25">
            <v>43125.459859834817</v>
          </cell>
          <cell r="AE25">
            <v>38135.385260242503</v>
          </cell>
          <cell r="AF25">
            <v>34751.054477801816</v>
          </cell>
          <cell r="AG25">
            <v>31700.517050378745</v>
          </cell>
          <cell r="AH25">
            <v>35810.808858111421</v>
          </cell>
          <cell r="AI25">
            <v>38342.735693502</v>
          </cell>
          <cell r="AJ25">
            <v>33666.471682989737</v>
          </cell>
          <cell r="AK25">
            <v>32212.007297802258</v>
          </cell>
          <cell r="AL25">
            <v>34747.2220025469</v>
          </cell>
          <cell r="AM25">
            <v>37593.506437755386</v>
          </cell>
          <cell r="AN25">
            <v>37090.205436725948</v>
          </cell>
          <cell r="AO25">
            <v>35271.310972806736</v>
          </cell>
          <cell r="AP25">
            <v>35173.660767535344</v>
          </cell>
          <cell r="AQ25">
            <v>39206.378267867185</v>
          </cell>
          <cell r="AR25">
            <v>40679.287792940653</v>
          </cell>
          <cell r="AS25">
            <v>44340.07775476035</v>
          </cell>
          <cell r="AT25">
            <v>47935.728770931026</v>
          </cell>
          <cell r="AU25">
            <v>48276.684329911521</v>
          </cell>
          <cell r="AV25">
            <v>40214.188875134321</v>
          </cell>
          <cell r="AW25">
            <v>37842.472818493021</v>
          </cell>
          <cell r="AX25">
            <v>34303.585638940618</v>
          </cell>
          <cell r="AY25">
            <v>38777.22302064133</v>
          </cell>
          <cell r="AZ25">
            <v>38265.105680836015</v>
          </cell>
        </row>
        <row r="26">
          <cell r="E26">
            <v>4443.1459690050287</v>
          </cell>
          <cell r="F26">
            <v>4594.550910801634</v>
          </cell>
          <cell r="G26">
            <v>5704.8057652353064</v>
          </cell>
          <cell r="H26">
            <v>7760.1322302418621</v>
          </cell>
          <cell r="I26">
            <v>9385.0346252302897</v>
          </cell>
          <cell r="J26">
            <v>9134.1703584635416</v>
          </cell>
          <cell r="K26">
            <v>9940.0916385277251</v>
          </cell>
          <cell r="L26">
            <v>10928.032245214057</v>
          </cell>
          <cell r="M26">
            <v>13529.306062762931</v>
          </cell>
          <cell r="N26">
            <v>15743.394626077417</v>
          </cell>
          <cell r="O26">
            <v>17119.532861953972</v>
          </cell>
          <cell r="P26">
            <v>14342.170902541526</v>
          </cell>
          <cell r="Q26">
            <v>13049.595982448549</v>
          </cell>
          <cell r="R26">
            <v>12821.123702111934</v>
          </cell>
          <cell r="S26">
            <v>12561.157364097377</v>
          </cell>
          <cell r="T26">
            <v>12915.319103585874</v>
          </cell>
          <cell r="U26">
            <v>18774.011690798718</v>
          </cell>
          <cell r="V26">
            <v>23214.336452174477</v>
          </cell>
          <cell r="W26">
            <v>26062.779505396695</v>
          </cell>
          <cell r="X26">
            <v>27512.161596585705</v>
          </cell>
          <cell r="Y26">
            <v>34650.140791689693</v>
          </cell>
          <cell r="Z26">
            <v>37068.939205698429</v>
          </cell>
          <cell r="AA26">
            <v>41049.276389009538</v>
          </cell>
          <cell r="AB26">
            <v>41547.372614097425</v>
          </cell>
          <cell r="AC26">
            <v>45539.423553734414</v>
          </cell>
          <cell r="AD26">
            <v>52893.552163548113</v>
          </cell>
          <cell r="AE26">
            <v>52599.546310498336</v>
          </cell>
          <cell r="AF26">
            <v>46983.03853809998</v>
          </cell>
          <cell r="AG26">
            <v>47456.813565411794</v>
          </cell>
          <cell r="AH26">
            <v>51558.641575190952</v>
          </cell>
          <cell r="AI26">
            <v>48757.973478742409</v>
          </cell>
          <cell r="AJ26">
            <v>48324.227815664766</v>
          </cell>
          <cell r="AK26">
            <v>53225.195447190381</v>
          </cell>
          <cell r="AL26">
            <v>66073.623219962348</v>
          </cell>
          <cell r="AM26">
            <v>76771.426655364208</v>
          </cell>
          <cell r="AN26">
            <v>81570.641623092684</v>
          </cell>
          <cell r="AO26">
            <v>91100.356682576021</v>
          </cell>
          <cell r="AP26">
            <v>107190.15039117631</v>
          </cell>
          <cell r="AQ26">
            <v>115133.3328145453</v>
          </cell>
          <cell r="AR26">
            <v>103505.18337467432</v>
          </cell>
          <cell r="AS26">
            <v>104771.86316695184</v>
          </cell>
          <cell r="AT26">
            <v>115406.61389273014</v>
          </cell>
          <cell r="AU26">
            <v>106460.07845232885</v>
          </cell>
          <cell r="AV26">
            <v>113341.23746284796</v>
          </cell>
          <cell r="AW26">
            <v>118824.28913962567</v>
          </cell>
          <cell r="AX26">
            <v>100935.70097275476</v>
          </cell>
          <cell r="AY26">
            <v>102791.37486161984</v>
          </cell>
          <cell r="AZ26">
            <v>107356.29975381721</v>
          </cell>
        </row>
        <row r="27">
          <cell r="E27">
            <v>2935.3366408389884</v>
          </cell>
          <cell r="F27">
            <v>3390.6197230104322</v>
          </cell>
          <cell r="G27">
            <v>4115.7684603215812</v>
          </cell>
          <cell r="H27">
            <v>5348.961555058967</v>
          </cell>
          <cell r="I27">
            <v>6432.5380391047684</v>
          </cell>
          <cell r="J27">
            <v>7308.1833895076852</v>
          </cell>
          <cell r="K27">
            <v>7902.4962463142829</v>
          </cell>
          <cell r="L27">
            <v>9141.3487894586851</v>
          </cell>
          <cell r="M27">
            <v>11155.558543084055</v>
          </cell>
          <cell r="N27">
            <v>12794.456417923242</v>
          </cell>
          <cell r="O27">
            <v>13782.462558526873</v>
          </cell>
          <cell r="P27">
            <v>11530.00088654458</v>
          </cell>
          <cell r="Q27">
            <v>11052.647889150616</v>
          </cell>
          <cell r="R27">
            <v>10650.602124481871</v>
          </cell>
          <cell r="S27">
            <v>9974.0218289779405</v>
          </cell>
          <cell r="T27">
            <v>9921.4900093696069</v>
          </cell>
          <cell r="U27">
            <v>13771.127290092221</v>
          </cell>
          <cell r="V27">
            <v>16686.362249754795</v>
          </cell>
          <cell r="W27">
            <v>17733.81116252713</v>
          </cell>
          <cell r="X27">
            <v>17351.939365060254</v>
          </cell>
          <cell r="Y27">
            <v>21248.946239364166</v>
          </cell>
          <cell r="Z27">
            <v>21706.633978821363</v>
          </cell>
          <cell r="AA27">
            <v>23935.335821992841</v>
          </cell>
          <cell r="AB27">
            <v>23185.738858106291</v>
          </cell>
          <cell r="AC27">
            <v>24659.837388217413</v>
          </cell>
          <cell r="AD27">
            <v>29221.900314400493</v>
          </cell>
          <cell r="AE27">
            <v>28914.259902571794</v>
          </cell>
          <cell r="AF27">
            <v>26636.049049933012</v>
          </cell>
          <cell r="AG27">
            <v>27817.211957057083</v>
          </cell>
          <cell r="AH27">
            <v>28227.675208453802</v>
          </cell>
          <cell r="AI27">
            <v>26120.500398463209</v>
          </cell>
          <cell r="AJ27">
            <v>26907.037869751708</v>
          </cell>
          <cell r="AK27">
            <v>29297.926706146449</v>
          </cell>
          <cell r="AL27">
            <v>35738.642750045969</v>
          </cell>
          <cell r="AM27">
            <v>40338.469847024491</v>
          </cell>
          <cell r="AN27">
            <v>41852.104073291157</v>
          </cell>
          <cell r="AO27">
            <v>44585.77262521151</v>
          </cell>
          <cell r="AP27">
            <v>51311.390716794078</v>
          </cell>
          <cell r="AQ27">
            <v>57216.200103158153</v>
          </cell>
          <cell r="AR27">
            <v>52204.478446587178</v>
          </cell>
          <cell r="AS27">
            <v>50770.497749284492</v>
          </cell>
          <cell r="AT27">
            <v>54012.062614320057</v>
          </cell>
          <cell r="AU27">
            <v>49972.910989370721</v>
          </cell>
          <cell r="AV27">
            <v>52079.312576827375</v>
          </cell>
          <cell r="AW27">
            <v>52755.119851816729</v>
          </cell>
          <cell r="AX27">
            <v>45163.3851875904</v>
          </cell>
          <cell r="AY27">
            <v>46175.50224693292</v>
          </cell>
          <cell r="AZ27">
            <v>48830.449046219692</v>
          </cell>
        </row>
        <row r="28">
          <cell r="E28">
            <v>2305.171603473902</v>
          </cell>
          <cell r="F28">
            <v>2764.9589041048175</v>
          </cell>
          <cell r="G28">
            <v>3296.3314157216851</v>
          </cell>
          <cell r="H28">
            <v>4249.9140134387771</v>
          </cell>
          <cell r="I28">
            <v>4688.0571870078566</v>
          </cell>
          <cell r="J28">
            <v>4484.5501465792395</v>
          </cell>
          <cell r="K28">
            <v>4472.804582492915</v>
          </cell>
          <cell r="L28">
            <v>4869.9876483071066</v>
          </cell>
          <cell r="M28">
            <v>5901.9564989089013</v>
          </cell>
          <cell r="N28">
            <v>6697.0980561012238</v>
          </cell>
          <cell r="O28">
            <v>7425.3132161853719</v>
          </cell>
          <cell r="P28">
            <v>7956.3690311132232</v>
          </cell>
          <cell r="Q28">
            <v>7866.6558495913023</v>
          </cell>
          <cell r="R28">
            <v>7739.7293363340004</v>
          </cell>
          <cell r="S28">
            <v>7384.4223856904455</v>
          </cell>
          <cell r="T28">
            <v>7376.3860902333854</v>
          </cell>
          <cell r="U28">
            <v>9206.369807166755</v>
          </cell>
          <cell r="V28">
            <v>11615.692184503599</v>
          </cell>
          <cell r="W28">
            <v>13883.536416013962</v>
          </cell>
          <cell r="X28">
            <v>13280.205049335651</v>
          </cell>
          <cell r="Y28">
            <v>13371.951515697263</v>
          </cell>
          <cell r="Z28">
            <v>12719.483922151258</v>
          </cell>
          <cell r="AA28">
            <v>12006.544070089441</v>
          </cell>
          <cell r="AB28">
            <v>12804.55900129725</v>
          </cell>
          <cell r="AC28">
            <v>14783.319469463986</v>
          </cell>
          <cell r="AD28">
            <v>17184.363520888528</v>
          </cell>
          <cell r="AE28">
            <v>18694.103498756776</v>
          </cell>
          <cell r="AF28">
            <v>18468.937640078435</v>
          </cell>
          <cell r="AG28">
            <v>15111.170003017991</v>
          </cell>
          <cell r="AH28">
            <v>15694.004473916688</v>
          </cell>
          <cell r="AI28">
            <v>14108.161148784957</v>
          </cell>
          <cell r="AJ28">
            <v>13845.956917122172</v>
          </cell>
          <cell r="AK28">
            <v>15775.204078213446</v>
          </cell>
          <cell r="AL28">
            <v>20862.492318505723</v>
          </cell>
          <cell r="AM28">
            <v>24997.31646455601</v>
          </cell>
          <cell r="AN28">
            <v>27808.978914748554</v>
          </cell>
          <cell r="AO28">
            <v>26756.383368327657</v>
          </cell>
          <cell r="AP28">
            <v>32363.598652634882</v>
          </cell>
          <cell r="AQ28">
            <v>31086.93238592206</v>
          </cell>
          <cell r="AR28">
            <v>27986.701459610566</v>
          </cell>
          <cell r="AS28">
            <v>33637.9666924634</v>
          </cell>
          <cell r="AT28">
            <v>38023.114885257331</v>
          </cell>
          <cell r="AU28">
            <v>39393.492418879061</v>
          </cell>
          <cell r="AV28">
            <v>42279.769440226919</v>
          </cell>
          <cell r="AW28">
            <v>44014.27726804914</v>
          </cell>
          <cell r="AX28">
            <v>38357.085832322759</v>
          </cell>
          <cell r="AY28">
            <v>40341.356542488247</v>
          </cell>
          <cell r="AZ28">
            <v>42932.082720346792</v>
          </cell>
        </row>
        <row r="29">
          <cell r="E29">
            <v>3305.984650134415</v>
          </cell>
          <cell r="F29">
            <v>3734.2122995880695</v>
          </cell>
          <cell r="G29">
            <v>4412.7338059981312</v>
          </cell>
          <cell r="H29">
            <v>5689.282986627456</v>
          </cell>
          <cell r="I29">
            <v>6810.6916580881698</v>
          </cell>
          <cell r="J29">
            <v>8202.9163746487993</v>
          </cell>
          <cell r="K29">
            <v>8924.241841103918</v>
          </cell>
          <cell r="L29">
            <v>10263.264975657277</v>
          </cell>
          <cell r="M29">
            <v>11461.305083067209</v>
          </cell>
          <cell r="N29">
            <v>13045.498741427416</v>
          </cell>
          <cell r="O29">
            <v>15770.400929400237</v>
          </cell>
          <cell r="P29">
            <v>15515.243070398366</v>
          </cell>
          <cell r="Q29">
            <v>15236.405174848</v>
          </cell>
          <cell r="R29">
            <v>14941.508632504845</v>
          </cell>
          <cell r="S29">
            <v>14996.194510118727</v>
          </cell>
          <cell r="T29">
            <v>15751.257500352147</v>
          </cell>
          <cell r="U29">
            <v>18874.246188708861</v>
          </cell>
          <cell r="V29">
            <v>22505.726090813208</v>
          </cell>
          <cell r="W29">
            <v>24251.265939857811</v>
          </cell>
          <cell r="X29">
            <v>24372.225884628981</v>
          </cell>
          <cell r="Y29">
            <v>28253.343017951469</v>
          </cell>
          <cell r="Z29">
            <v>28574.968655367375</v>
          </cell>
          <cell r="AA29">
            <v>30517.04493436855</v>
          </cell>
          <cell r="AB29">
            <v>28030.100157802513</v>
          </cell>
          <cell r="AC29">
            <v>29251.787641234885</v>
          </cell>
          <cell r="AD29">
            <v>34806.543172135527</v>
          </cell>
          <cell r="AE29">
            <v>37330.343263887517</v>
          </cell>
          <cell r="AF29">
            <v>36423.180345418441</v>
          </cell>
          <cell r="AG29">
            <v>34626.303489207159</v>
          </cell>
          <cell r="AH29">
            <v>36209.176388756023</v>
          </cell>
          <cell r="AI29">
            <v>38005.346085349338</v>
          </cell>
          <cell r="AJ29">
            <v>38468.808760276312</v>
          </cell>
          <cell r="AK29">
            <v>42894.673339464702</v>
          </cell>
          <cell r="AL29">
            <v>50108.246942193466</v>
          </cell>
          <cell r="AM29">
            <v>57413.595800456438</v>
          </cell>
          <cell r="AN29">
            <v>66704.602660758086</v>
          </cell>
          <cell r="AO29">
            <v>73827.269867560302</v>
          </cell>
          <cell r="AP29">
            <v>84963.963414220721</v>
          </cell>
          <cell r="AQ29">
            <v>97036.32616696661</v>
          </cell>
          <cell r="AR29">
            <v>80171.031533939065</v>
          </cell>
          <cell r="AS29">
            <v>87804.075337124668</v>
          </cell>
          <cell r="AT29">
            <v>100857.08308784368</v>
          </cell>
          <cell r="AU29">
            <v>101755.64399650678</v>
          </cell>
          <cell r="AV29">
            <v>103208.50422317775</v>
          </cell>
          <cell r="AW29">
            <v>97075.838407442658</v>
          </cell>
          <cell r="AX29">
            <v>74425.424186455115</v>
          </cell>
          <cell r="AY29">
            <v>70713.040952380776</v>
          </cell>
          <cell r="AZ29">
            <v>75373.26768995481</v>
          </cell>
        </row>
        <row r="30">
          <cell r="E30">
            <v>931.84547685522227</v>
          </cell>
          <cell r="F30">
            <v>1051.952753360777</v>
          </cell>
          <cell r="G30">
            <v>1271.1532266129218</v>
          </cell>
          <cell r="H30">
            <v>1684.8358736201806</v>
          </cell>
          <cell r="I30">
            <v>1925.9101851200035</v>
          </cell>
          <cell r="J30">
            <v>2098.4367835244766</v>
          </cell>
          <cell r="K30">
            <v>2174.0629431158968</v>
          </cell>
          <cell r="L30">
            <v>2260.6188301967527</v>
          </cell>
          <cell r="M30">
            <v>2445.9055638730479</v>
          </cell>
          <cell r="N30">
            <v>2740.561294440281</v>
          </cell>
          <cell r="O30">
            <v>3355.3381782140291</v>
          </cell>
          <cell r="P30">
            <v>3238.5237485971252</v>
          </cell>
          <cell r="Q30">
            <v>3075.8333061480926</v>
          </cell>
          <cell r="R30">
            <v>2735.7696723284434</v>
          </cell>
          <cell r="S30">
            <v>2527.8447170579866</v>
          </cell>
          <cell r="T30">
            <v>2715.6851811738434</v>
          </cell>
          <cell r="U30">
            <v>3881.2993103127737</v>
          </cell>
          <cell r="V30">
            <v>4832.5414796745799</v>
          </cell>
          <cell r="W30">
            <v>5659.4942581215892</v>
          </cell>
          <cell r="X30">
            <v>6091.3430452444745</v>
          </cell>
          <cell r="Y30">
            <v>7909.5186344224403</v>
          </cell>
          <cell r="Z30">
            <v>8947.659879017805</v>
          </cell>
          <cell r="AA30">
            <v>10789.667814101216</v>
          </cell>
          <cell r="AB30">
            <v>9450.3171392609202</v>
          </cell>
          <cell r="AC30">
            <v>9868.1458166290449</v>
          </cell>
          <cell r="AD30">
            <v>11625.919297400376</v>
          </cell>
          <cell r="AE30">
            <v>12067.8223388931</v>
          </cell>
          <cell r="AF30">
            <v>11433.726796863915</v>
          </cell>
          <cell r="AG30">
            <v>12071.31499259269</v>
          </cell>
          <cell r="AH30">
            <v>12315.01896076561</v>
          </cell>
          <cell r="AI30">
            <v>11395.332375288468</v>
          </cell>
          <cell r="AJ30">
            <v>11731.54531761332</v>
          </cell>
          <cell r="AK30">
            <v>12830.741076794091</v>
          </cell>
          <cell r="AL30">
            <v>15733.596081209385</v>
          </cell>
          <cell r="AM30">
            <v>17951.670683155102</v>
          </cell>
          <cell r="AN30">
            <v>18645.198250985759</v>
          </cell>
          <cell r="AO30">
            <v>19717.072277032225</v>
          </cell>
          <cell r="AP30">
            <v>22577.35566484668</v>
          </cell>
          <cell r="AQ30">
            <v>24596.091343124019</v>
          </cell>
          <cell r="AR30">
            <v>22887.983208475009</v>
          </cell>
          <cell r="AS30">
            <v>22342.548633297851</v>
          </cell>
          <cell r="AT30">
            <v>23058.107371723985</v>
          </cell>
          <cell r="AU30">
            <v>20412.36569773766</v>
          </cell>
          <cell r="AV30">
            <v>21467.230083302351</v>
          </cell>
          <cell r="AW30">
            <v>21965.075911302349</v>
          </cell>
          <cell r="AX30">
            <v>19100.687787932071</v>
          </cell>
          <cell r="AY30">
            <v>18127.060084936846</v>
          </cell>
          <cell r="AZ30">
            <v>18886.60280282997</v>
          </cell>
        </row>
        <row r="31">
          <cell r="E31">
            <v>1203.075327228066</v>
          </cell>
          <cell r="F31">
            <v>1352.9050751666371</v>
          </cell>
          <cell r="G31">
            <v>1696.6090692544301</v>
          </cell>
          <cell r="H31">
            <v>2230.5092955732025</v>
          </cell>
          <cell r="I31">
            <v>2727.0804330291767</v>
          </cell>
          <cell r="J31">
            <v>3168.8394342387433</v>
          </cell>
          <cell r="K31">
            <v>3244.1557084768688</v>
          </cell>
          <cell r="L31">
            <v>3590.5150343568766</v>
          </cell>
          <cell r="M31">
            <v>4308.2900332233785</v>
          </cell>
          <cell r="N31">
            <v>5708.9886265208452</v>
          </cell>
          <cell r="O31">
            <v>6138.0864134621361</v>
          </cell>
          <cell r="P31">
            <v>5305.8390706439377</v>
          </cell>
          <cell r="Q31">
            <v>5090.0930813575424</v>
          </cell>
          <cell r="R31">
            <v>4413.9724557732943</v>
          </cell>
          <cell r="S31">
            <v>4445.8092044793075</v>
          </cell>
          <cell r="T31">
            <v>4634.8887024175892</v>
          </cell>
          <cell r="U31">
            <v>6442.8239672640884</v>
          </cell>
          <cell r="V31">
            <v>8141.9021920970699</v>
          </cell>
          <cell r="W31">
            <v>9580.5986898237479</v>
          </cell>
          <cell r="X31">
            <v>10555.370567445503</v>
          </cell>
          <cell r="Y31">
            <v>13611.117499714548</v>
          </cell>
          <cell r="Z31">
            <v>14618.102083079546</v>
          </cell>
          <cell r="AA31">
            <v>15917.799571975684</v>
          </cell>
          <cell r="AB31">
            <v>13219.425612929768</v>
          </cell>
          <cell r="AC31">
            <v>13303.303242887636</v>
          </cell>
          <cell r="AD31">
            <v>15367.068887787207</v>
          </cell>
          <cell r="AE31">
            <v>16021.265443025231</v>
          </cell>
          <cell r="AF31">
            <v>14676.728240815957</v>
          </cell>
          <cell r="AG31">
            <v>15312.970309217762</v>
          </cell>
          <cell r="AH31">
            <v>15614.314493112977</v>
          </cell>
          <cell r="AI31">
            <v>14546.35706412171</v>
          </cell>
          <cell r="AJ31">
            <v>15123.657400938111</v>
          </cell>
          <cell r="AK31">
            <v>16791.503356395253</v>
          </cell>
          <cell r="AL31">
            <v>21264.420418645095</v>
          </cell>
          <cell r="AM31">
            <v>24681.864605532595</v>
          </cell>
          <cell r="AN31">
            <v>26338.117122518928</v>
          </cell>
          <cell r="AO31">
            <v>28171.828118221154</v>
          </cell>
          <cell r="AP31">
            <v>32603.531191533937</v>
          </cell>
          <cell r="AQ31">
            <v>35653.872897595465</v>
          </cell>
          <cell r="AR31">
            <v>32274.672437894493</v>
          </cell>
          <cell r="AS31">
            <v>30562.97948612817</v>
          </cell>
          <cell r="AT31">
            <v>31763.535359082289</v>
          </cell>
          <cell r="AU31">
            <v>28597.40159740817</v>
          </cell>
          <cell r="AV31">
            <v>29123.582323972787</v>
          </cell>
          <cell r="AW31">
            <v>29663.494736277346</v>
          </cell>
          <cell r="AX31">
            <v>25863.371052473678</v>
          </cell>
          <cell r="AY31">
            <v>26723.720948836919</v>
          </cell>
          <cell r="AZ31">
            <v>28243.822407674179</v>
          </cell>
        </row>
        <row r="32">
          <cell r="E32">
            <v>4667.6221252959067</v>
          </cell>
          <cell r="F32">
            <v>5067.5882908567446</v>
          </cell>
          <cell r="G32">
            <v>5945.3098991587831</v>
          </cell>
          <cell r="H32">
            <v>7192.8928538919608</v>
          </cell>
          <cell r="I32">
            <v>7971.0390593650473</v>
          </cell>
          <cell r="J32">
            <v>9979.8626536169049</v>
          </cell>
          <cell r="K32">
            <v>10725.788643150658</v>
          </cell>
          <cell r="L32">
            <v>11300.877625097037</v>
          </cell>
          <cell r="M32">
            <v>12443.499866020959</v>
          </cell>
          <cell r="N32">
            <v>14698.789867907277</v>
          </cell>
          <cell r="O32">
            <v>16834.33261130079</v>
          </cell>
          <cell r="P32">
            <v>15374.464911567398</v>
          </cell>
          <cell r="Q32">
            <v>13566.362624070689</v>
          </cell>
          <cell r="R32">
            <v>12481.333505671746</v>
          </cell>
          <cell r="S32">
            <v>12948.957129360082</v>
          </cell>
          <cell r="T32">
            <v>13520.543808237051</v>
          </cell>
          <cell r="U32">
            <v>17769.850383822806</v>
          </cell>
          <cell r="V32">
            <v>21493.741402503438</v>
          </cell>
          <cell r="W32">
            <v>24099.83854289541</v>
          </cell>
          <cell r="X32">
            <v>25251.91427127791</v>
          </cell>
          <cell r="Y32">
            <v>30114.209891840965</v>
          </cell>
          <cell r="Z32">
            <v>31419.790781294258</v>
          </cell>
          <cell r="AA32">
            <v>32348.161070358055</v>
          </cell>
          <cell r="AB32">
            <v>24008.846230885527</v>
          </cell>
          <cell r="AC32">
            <v>25686.973090281528</v>
          </cell>
          <cell r="AD32">
            <v>29876.352640549001</v>
          </cell>
          <cell r="AE32">
            <v>32508.611677973757</v>
          </cell>
          <cell r="AF32">
            <v>29879.850303077525</v>
          </cell>
          <cell r="AG32">
            <v>30098.588094396386</v>
          </cell>
          <cell r="AH32">
            <v>30541.749783052146</v>
          </cell>
          <cell r="AI32">
            <v>29273.872843303714</v>
          </cell>
          <cell r="AJ32">
            <v>26972.980827942389</v>
          </cell>
          <cell r="AK32">
            <v>29594.110054666151</v>
          </cell>
          <cell r="AL32">
            <v>37089.079254670374</v>
          </cell>
          <cell r="AM32">
            <v>42488.637348246324</v>
          </cell>
          <cell r="AN32">
            <v>43037.52905724688</v>
          </cell>
          <cell r="AO32">
            <v>46282.737616234532</v>
          </cell>
          <cell r="AP32">
            <v>53256.254363220534</v>
          </cell>
          <cell r="AQ32">
            <v>55754.696656558648</v>
          </cell>
          <cell r="AR32">
            <v>46169.647901675402</v>
          </cell>
          <cell r="AS32">
            <v>52075.745609663216</v>
          </cell>
          <cell r="AT32">
            <v>59582.340470396237</v>
          </cell>
          <cell r="AU32">
            <v>57017.639937167398</v>
          </cell>
          <cell r="AV32">
            <v>60216.861823726424</v>
          </cell>
          <cell r="AW32">
            <v>59240.140954381379</v>
          </cell>
          <cell r="AX32">
            <v>51005.959401099906</v>
          </cell>
          <cell r="AY32">
            <v>52063.345635332465</v>
          </cell>
          <cell r="AZ32">
            <v>54128.647435175641</v>
          </cell>
        </row>
        <row r="33">
          <cell r="E33">
            <v>3934.6642765746451</v>
          </cell>
          <cell r="F33">
            <v>4688.5544286992081</v>
          </cell>
          <cell r="G33">
            <v>5706.062981719173</v>
          </cell>
          <cell r="H33">
            <v>7623.323223023197</v>
          </cell>
          <cell r="I33">
            <v>8744.612458607091</v>
          </cell>
          <cell r="J33">
            <v>10001.356095204907</v>
          </cell>
          <cell r="K33">
            <v>10462.596191955286</v>
          </cell>
          <cell r="L33">
            <v>11199.31457452484</v>
          </cell>
          <cell r="M33">
            <v>15710.87492420749</v>
          </cell>
          <cell r="N33">
            <v>17759.344705550859</v>
          </cell>
          <cell r="O33">
            <v>18878.071454293651</v>
          </cell>
          <cell r="P33">
            <v>17258.083234943788</v>
          </cell>
          <cell r="Q33">
            <v>17661.302886929185</v>
          </cell>
          <cell r="R33">
            <v>17406.04460181321</v>
          </cell>
          <cell r="S33">
            <v>16519.381832264378</v>
          </cell>
          <cell r="T33">
            <v>16728.044132297764</v>
          </cell>
          <cell r="U33">
            <v>23713.883678165024</v>
          </cell>
          <cell r="V33">
            <v>29547.348401052132</v>
          </cell>
          <cell r="W33">
            <v>31800.295362360561</v>
          </cell>
          <cell r="X33">
            <v>30517.490525603345</v>
          </cell>
          <cell r="Y33">
            <v>38652.322360368482</v>
          </cell>
          <cell r="Z33">
            <v>38717.894743400488</v>
          </cell>
          <cell r="AA33">
            <v>39909.756996532546</v>
          </cell>
          <cell r="AB33">
            <v>38307.504788438098</v>
          </cell>
          <cell r="AC33">
            <v>42090.063254326116</v>
          </cell>
          <cell r="AD33">
            <v>48870.667269832338</v>
          </cell>
          <cell r="AE33">
            <v>46734.444829492211</v>
          </cell>
          <cell r="AF33">
            <v>40469.47410129918</v>
          </cell>
          <cell r="AG33">
            <v>41460.960570345407</v>
          </cell>
          <cell r="AH33">
            <v>40624.985991384143</v>
          </cell>
          <cell r="AI33">
            <v>37950.399386096484</v>
          </cell>
          <cell r="AJ33">
            <v>38735.554865997889</v>
          </cell>
          <cell r="AK33">
            <v>41552.122236680334</v>
          </cell>
          <cell r="AL33">
            <v>48409.925927327786</v>
          </cell>
          <cell r="AM33">
            <v>53625.528037916789</v>
          </cell>
          <cell r="AN33">
            <v>55193.387373372338</v>
          </cell>
          <cell r="AO33">
            <v>57609.484419174092</v>
          </cell>
          <cell r="AP33">
            <v>63489.056999681758</v>
          </cell>
          <cell r="AQ33">
            <v>72455.115429238358</v>
          </cell>
          <cell r="AR33">
            <v>69922.288033039513</v>
          </cell>
          <cell r="AS33">
            <v>74566.159655085547</v>
          </cell>
          <cell r="AT33">
            <v>88267.697263487018</v>
          </cell>
          <cell r="AU33">
            <v>83170.747802138285</v>
          </cell>
          <cell r="AV33">
            <v>84719.98262809994</v>
          </cell>
          <cell r="AW33">
            <v>86152.121802817594</v>
          </cell>
          <cell r="AX33">
            <v>81733.038501429546</v>
          </cell>
          <cell r="AY33">
            <v>79833.032192014885</v>
          </cell>
          <cell r="AZ33">
            <v>80255.095371183954</v>
          </cell>
        </row>
        <row r="34">
          <cell r="E34">
            <v>2354.6355836555649</v>
          </cell>
          <cell r="F34">
            <v>2651.8662903214477</v>
          </cell>
          <cell r="G34">
            <v>3038.2468815076568</v>
          </cell>
          <cell r="H34">
            <v>3442.3204079017696</v>
          </cell>
          <cell r="I34">
            <v>3668.6020026292836</v>
          </cell>
          <cell r="J34">
            <v>4305.1345596491337</v>
          </cell>
          <cell r="K34">
            <v>4142.4133992032766</v>
          </cell>
          <cell r="L34">
            <v>4674.5566547379567</v>
          </cell>
          <cell r="M34">
            <v>5971.8830947009137</v>
          </cell>
          <cell r="N34">
            <v>7802.7620995778898</v>
          </cell>
          <cell r="O34">
            <v>10041.681687719127</v>
          </cell>
          <cell r="P34">
            <v>9613.2803007218881</v>
          </cell>
          <cell r="Q34">
            <v>9148.0354638249373</v>
          </cell>
          <cell r="R34">
            <v>8698.6042965140459</v>
          </cell>
          <cell r="S34">
            <v>8175.7558370995012</v>
          </cell>
          <cell r="T34">
            <v>8660.0583868574522</v>
          </cell>
          <cell r="U34">
            <v>10623.201921438505</v>
          </cell>
          <cell r="V34">
            <v>13137.196343845959</v>
          </cell>
          <cell r="W34">
            <v>16003.406931888023</v>
          </cell>
          <cell r="X34">
            <v>16256.386111722162</v>
          </cell>
          <cell r="Y34">
            <v>19061.498549962078</v>
          </cell>
          <cell r="Z34">
            <v>19881.600534417423</v>
          </cell>
          <cell r="AA34">
            <v>20523.689416329926</v>
          </cell>
          <cell r="AB34">
            <v>18386.666461291072</v>
          </cell>
          <cell r="AC34">
            <v>19719.508329693297</v>
          </cell>
          <cell r="AD34">
            <v>23112.087414743994</v>
          </cell>
          <cell r="AE34">
            <v>24244.823609794938</v>
          </cell>
          <cell r="AF34">
            <v>26565.354061667818</v>
          </cell>
          <cell r="AG34">
            <v>28012.670472472633</v>
          </cell>
          <cell r="AH34">
            <v>28427.115123756339</v>
          </cell>
          <cell r="AI34">
            <v>27989.419253137799</v>
          </cell>
          <cell r="AJ34">
            <v>27557.363949801369</v>
          </cell>
          <cell r="AK34">
            <v>29823.610027688443</v>
          </cell>
          <cell r="AL34">
            <v>34239.54901545855</v>
          </cell>
          <cell r="AM34">
            <v>40077.397469994052</v>
          </cell>
          <cell r="AN34">
            <v>41966.102270694566</v>
          </cell>
          <cell r="AO34">
            <v>44405.84973060451</v>
          </cell>
          <cell r="AP34">
            <v>50150.892311379728</v>
          </cell>
          <cell r="AQ34">
            <v>46716.762070886405</v>
          </cell>
          <cell r="AR34">
            <v>38104.28290864436</v>
          </cell>
          <cell r="AS34">
            <v>38700.39706923315</v>
          </cell>
          <cell r="AT34">
            <v>41214.896035032973</v>
          </cell>
          <cell r="AU34">
            <v>41711.849315384039</v>
          </cell>
          <cell r="AV34">
            <v>42542.584972857519</v>
          </cell>
          <cell r="AW34">
            <v>46604.136527786955</v>
          </cell>
          <cell r="AX34">
            <v>44344.487552043611</v>
          </cell>
          <cell r="AY34">
            <v>40442.107032560096</v>
          </cell>
          <cell r="AZ34">
            <v>39766.996247870498</v>
          </cell>
        </row>
        <row r="35">
          <cell r="E35">
            <v>5105.2506099772518</v>
          </cell>
          <cell r="F35">
            <v>5485.6295421958412</v>
          </cell>
          <cell r="G35">
            <v>5999.481344837739</v>
          </cell>
          <cell r="H35">
            <v>6642.8611299010654</v>
          </cell>
          <cell r="I35">
            <v>7135.6754308106492</v>
          </cell>
          <cell r="J35">
            <v>7664.0484087574232</v>
          </cell>
          <cell r="K35">
            <v>8452.3893810941736</v>
          </cell>
          <cell r="L35">
            <v>9313.820068316154</v>
          </cell>
          <cell r="M35">
            <v>10423.612784803263</v>
          </cell>
          <cell r="N35">
            <v>11555.366779819629</v>
          </cell>
          <cell r="O35">
            <v>12447.606024181712</v>
          </cell>
          <cell r="P35">
            <v>13839.848208338952</v>
          </cell>
          <cell r="Q35">
            <v>14265.418098049038</v>
          </cell>
          <cell r="R35">
            <v>15358.968283518938</v>
          </cell>
          <cell r="S35">
            <v>16933.95943602471</v>
          </cell>
          <cell r="T35">
            <v>18021.450076630197</v>
          </cell>
          <cell r="U35">
            <v>18840.066625057269</v>
          </cell>
          <cell r="V35">
            <v>19804.169848645288</v>
          </cell>
          <cell r="W35">
            <v>21151.24242720937</v>
          </cell>
          <cell r="X35">
            <v>22549.790897868064</v>
          </cell>
          <cell r="Y35">
            <v>23601.160784285898</v>
          </cell>
          <cell r="Z35">
            <v>24159.248731451189</v>
          </cell>
          <cell r="AA35">
            <v>25324.885655810755</v>
          </cell>
          <cell r="AB35">
            <v>26382.566473914456</v>
          </cell>
          <cell r="AC35">
            <v>27745.895160372947</v>
          </cell>
          <cell r="AD35">
            <v>28758.688285812335</v>
          </cell>
          <cell r="AE35">
            <v>30021.939006253135</v>
          </cell>
          <cell r="AF35">
            <v>31528.290445255305</v>
          </cell>
          <cell r="AG35">
            <v>32880.579130213016</v>
          </cell>
          <cell r="AH35">
            <v>34533.176291413132</v>
          </cell>
          <cell r="AI35">
            <v>36527.052658647415</v>
          </cell>
          <cell r="AJ35">
            <v>37212.256577076776</v>
          </cell>
          <cell r="AK35">
            <v>37912.140444042569</v>
          </cell>
          <cell r="AL35">
            <v>39651.396507014011</v>
          </cell>
          <cell r="AM35">
            <v>41703.794438196019</v>
          </cell>
          <cell r="AN35">
            <v>44048.459485772051</v>
          </cell>
          <cell r="AO35">
            <v>46335.568364169092</v>
          </cell>
          <cell r="AP35">
            <v>48237.635010819598</v>
          </cell>
          <cell r="AQ35">
            <v>48455.029513398113</v>
          </cell>
          <cell r="AR35">
            <v>47047.08451308254</v>
          </cell>
          <cell r="AS35">
            <v>48600.094369719242</v>
          </cell>
          <cell r="AT35">
            <v>49830.998970716602</v>
          </cell>
          <cell r="AU35">
            <v>51701.78268767977</v>
          </cell>
          <cell r="AV35">
            <v>53242.622778248733</v>
          </cell>
          <cell r="AW35">
            <v>55080.155411900356</v>
          </cell>
          <cell r="AX35">
            <v>56887.594913513851</v>
          </cell>
          <cell r="AY35">
            <v>58060.772676488603</v>
          </cell>
          <cell r="AZ35">
            <v>60142.66061162285</v>
          </cell>
        </row>
      </sheetData>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Population"/>
      <sheetName val="GDP"/>
    </sheetNames>
    <definedNames>
      <definedName name="weightedQuartile"/>
    </definedNames>
    <sheetDataSet>
      <sheetData sheetId="0"/>
      <sheetData sheetId="1"/>
      <sheetData sheetId="2"/>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97757175926" backgroundQuery="1" createdVersion="6" refreshedVersion="6" minRefreshableVersion="3" recordCount="0" supportSubquery="1" supportAdvancedDrill="1" xr:uid="{E9EC0002-2739-4B09-B2A1-A354A6BC751F}">
  <cacheSource type="external" connectionId="1"/>
  <cacheFields count="15">
    <cacheField name="[Data].[Demographics].[Population]" caption="Population" numFmtId="0" hierarchy="1" level="1">
      <sharedItems containsSemiMixedTypes="0" containsString="0"/>
    </cacheField>
    <cacheField name="[Geography].[Blocs].[Major_Blocs]" caption="Major_Blocs" numFmtId="0" hierarchy="6" level="1">
      <sharedItems count="3">
        <s v="[Geography].[Blocs].[Major_Blocs].&amp;[North]" c="North"/>
        <s v="[Geography].[Blocs].[Major_Blocs].&amp;[South]" c="South"/>
        <s v="[Geography].[Blocs].[Major_Blocs].&amp;[Transitional]" u="1" c="Transitional"/>
      </sharedItems>
    </cacheField>
    <cacheField name="[Geography].[Blocs].[Country]" caption="Country" numFmtId="0" hierarchy="6" level="2">
      <sharedItems count="77">
        <s v="[Geography].[Blocs].[Country].&amp;[Australia]" c="Australia"/>
        <s v="[Geography].[Blocs].[Country].&amp;[Austria]" c="Austria"/>
        <s v="[Geography].[Blocs].[Country].&amp;[Belgium]" c="Belgium"/>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United Kingdom]" c="United Kingdom"/>
        <s v="[Geography].[Blocs].[Country].&amp;[United States]" c="United States"/>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exico]" c="Mexico"/>
        <s v="[Geography].[Blocs].[Country].&amp;[Nepal]" c="Nepal"/>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60">
        <s v="[Dates].[Year].&amp;[1960]" c="1960"/>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2" unbalanced="0">
      <fieldsUsage count="2">
        <fieldUsage x="-1"/>
        <fieldUsage x="0"/>
      </fieldsUsage>
    </cacheHierarchy>
    <cacheHierarchy uniqueName="[Data].[GDP and other output measures]" caption="GDP and other output measures" defaultMemberUniqueName="[Data].[GDP and other output measures].[All]" allUniqueName="[Data].[GDP and other output measures].[All]" dimensionUniqueName="[Data]" displayFolder="" count="0" unbalanced="0"/>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0"/>
        <fieldUsage x="11"/>
      </fieldsUsage>
    </cacheHierarchy>
    <cacheHierarchy uniqueName="[Dates].[Year]" caption="Year" attribute="1" defaultMemberUniqueName="[Dates].[Year].[All]" allUniqueName="[Dates].[Year].[All]" dimensionUniqueName="[Dates]" displayFolder="" count="2" unbalanced="0">
      <fieldsUsage count="2">
        <fieldUsage x="-1"/>
        <fieldUsage x="8"/>
      </fieldsUsage>
    </cacheHierarchy>
    <cacheHierarchy uniqueName="[Geography].[Blocs]" caption="Blocs" defaultMemberUniqueName="[Geography].[Blocs].[All]" allUniqueName="[Geography].[Blocs].[All]" dimensionUniqueName="[Geography]" displayFolder="" count="4" unbalanced="0">
      <fieldsUsage count="4">
        <fieldUsage x="-1"/>
        <fieldUsage x="1"/>
        <fieldUsage x="2"/>
        <fieldUsage x="3"/>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2"/>
        <fieldUsage x="13"/>
        <fieldUsage x="14"/>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0" unbalanced="0"/>
    <cacheHierarchy uniqueName="[Indicator Detail].[Units]" caption="Units" defaultMemberUniqueName="[Indicator Detail].[Units].[All]" allUniqueName="[Indicator Detail].[Units].[All]" dimensionUniqueName="[Indicator Detail]" displayFolder="" count="5" unbalanced="0">
      <fieldsUsage count="5">
        <fieldUsage x="-1"/>
        <fieldUsage x="4"/>
        <fieldUsage x="5"/>
        <fieldUsage x="6"/>
        <fieldUsage x="7"/>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9"/>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97850000003" backgroundQuery="1" createdVersion="6" refreshedVersion="6" minRefreshableVersion="3" recordCount="0" supportSubquery="1" supportAdvancedDrill="1" xr:uid="{FF8F0465-E5FE-41DA-9B77-394DB90C805A}">
  <cacheSource type="external" connectionId="1"/>
  <cacheFields count="16">
    <cacheField name="[Geography].[Blocs].[Major_Blocs]" caption="Major_Blocs" numFmtId="0" hierarchy="6" level="1">
      <sharedItems count="3">
        <s v="[Geography].[Blocs].[Major_Blocs].&amp;[North]" c="North"/>
        <s v="[Geography].[Blocs].[Major_Blocs].&amp;[South]" c="South"/>
        <s v="[Geography].[Blocs].[Major_Blocs].&amp;[Transitional]" u="1" c="Transitional"/>
      </sharedItems>
    </cacheField>
    <cacheField name="[Geography].[Blocs].[Country]" caption="Country" numFmtId="0" hierarchy="6" level="2">
      <sharedItems count="77">
        <s v="[Geography].[Blocs].[Country].&amp;[Australia]" c="Australia"/>
        <s v="[Geography].[Blocs].[Country].&amp;[Austria]" c="Austria"/>
        <s v="[Geography].[Blocs].[Country].&amp;[Belgium]" c="Belgium"/>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United Kingdom]" c="United Kingdom"/>
        <s v="[Geography].[Blocs].[Country].&amp;[United States]" c="United States"/>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exico]" c="Mexico"/>
        <s v="[Geography].[Blocs].[Country].&amp;[Nepal]" c="Nepal"/>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60">
        <s v="[Dates].[Year].&amp;[1960]" c="1960"/>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Data].[GDP and other output measures].[Output Definition]" caption="Output Definition" numFmtId="0" hierarchy="2" level="1">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0" unbalanced="0"/>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11"/>
      </fieldsUsage>
    </cacheHierarchy>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9"/>
        <fieldUsage x="10"/>
      </fieldsUsage>
    </cacheHierarchy>
    <cacheHierarchy uniqueName="[Dates].[Year]" caption="Year" attribute="1" defaultMemberUniqueName="[Dates].[Year].[All]" allUniqueName="[Dates].[Year].[All]" dimensionUniqueName="[Dates]" displayFolder="" count="2" unbalanced="0">
      <fieldsUsage count="2">
        <fieldUsage x="-1"/>
        <fieldUsage x="7"/>
      </fieldsUsage>
    </cacheHierarchy>
    <cacheHierarchy uniqueName="[Geography].[Blocs]" caption="Blocs" defaultMemberUniqueName="[Geography].[Blocs].[All]" allUniqueName="[Geography].[Blocs].[All]" dimensionUniqueName="[Geography]" displayFolder="" count="4" unbalanced="0">
      <fieldsUsage count="4">
        <fieldUsage x="-1"/>
        <fieldUsage x="0"/>
        <fieldUsage x="1"/>
        <fieldUsage x="2"/>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3"/>
        <fieldUsage x="14"/>
        <fieldUsage x="15"/>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2"/>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3"/>
        <fieldUsage x="4"/>
        <fieldUsage x="5"/>
        <fieldUsage x="6"/>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8"/>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E30774-8BF9-4151-BD86-53108B6FADEB}" name="PivotTable1"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A10:BJ88" firstHeaderRow="1" firstDataRow="2" firstDataCol="2" rowPageCount="4" colPageCount="1"/>
  <pivotFields count="15">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items count="3">
        <item s="1" c="1" x="0" d="1"/>
        <item s="1" c="1" x="1" d="1"/>
        <item x="2" d="1"/>
      </items>
      <extLst>
        <ext xmlns:x14="http://schemas.microsoft.com/office/spreadsheetml/2009/9/main" uri="{2946ED86-A175-432a-8AC1-64E0C546D7DE}">
          <x14:pivotField fillDownLabels="1"/>
        </ext>
      </extLst>
    </pivotField>
    <pivotField axis="axisRow" compact="0" outline="0" subtotalTop="0" showAll="0" dataSourceSort="1" defaultSubtotal="0">
      <items count="77">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c="1" x="53"/>
        <item c="1" x="54"/>
        <item c="1" x="55"/>
        <item c="1" x="56"/>
        <item c="1" x="57"/>
        <item c="1" x="58"/>
        <item c="1" x="59"/>
        <item c="1" x="60"/>
        <item c="1" x="61"/>
        <item c="1" x="62"/>
        <item c="1" x="63"/>
        <item c="1" x="64"/>
        <item c="1" x="65"/>
        <item c="1" x="66"/>
        <item c="1" x="67"/>
        <item c="1" x="68"/>
        <item c="1" x="69"/>
        <item c="1" x="70"/>
        <item c="1" x="71"/>
        <item c="1" x="72"/>
        <item c="1" x="73"/>
        <item c="1" x="74"/>
        <item c="1" x="75"/>
        <item c="1" x="76"/>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Col" compact="0" allDrilled="1" outline="0" subtotalTop="0" showAll="0" dataSourceSort="1" defaultSubtotal="0"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s>
  <rowFields count="2">
    <field x="1"/>
    <field x="2"/>
  </rowFields>
  <rowItems count="77">
    <i>
      <x/>
      <x/>
    </i>
    <i r="1">
      <x v="1"/>
    </i>
    <i r="1">
      <x v="2"/>
    </i>
    <i r="1">
      <x v="3"/>
    </i>
    <i r="1">
      <x v="4"/>
    </i>
    <i r="1">
      <x v="5"/>
    </i>
    <i r="1">
      <x v="6"/>
    </i>
    <i r="1">
      <x v="7"/>
    </i>
    <i r="1">
      <x v="8"/>
    </i>
    <i r="1">
      <x v="9"/>
    </i>
    <i r="1">
      <x v="10"/>
    </i>
    <i r="1">
      <x v="11"/>
    </i>
    <i r="1">
      <x v="12"/>
    </i>
    <i r="1">
      <x v="13"/>
    </i>
    <i r="1">
      <x v="14"/>
    </i>
    <i r="1">
      <x v="15"/>
    </i>
    <i r="1">
      <x v="16"/>
    </i>
    <i r="1">
      <x v="17"/>
    </i>
    <i r="1">
      <x v="18"/>
    </i>
    <i>
      <x v="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rowItems>
  <colFields count="1">
    <field x="8"/>
  </colFields>
  <col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colItems>
  <pageFields count="4">
    <pageField fld="0" hier="1" name="[Data].[Demographics].[Population].&amp;[Total]" cap="Total"/>
    <pageField fld="4" hier="12" name="[Indicator Detail].[Units].[All]" cap="All"/>
    <pageField fld="10" hier="4" name="[Data].[Original Source Data].[Source].&amp;[WDI2020]" cap="WDI2020"/>
    <pageField fld="12" hier="9" name="[Geography].[WDI Availability].[wdi_availability].&amp;[From 1960]" cap="From 1960"/>
  </pageFields>
  <dataFields count="1">
    <dataField fld="9" baseField="0" baseItem="0"/>
  </dataFields>
  <pivotHierarchies count="76">
    <pivotHierarchy/>
    <pivotHierarchy/>
    <pivotHierarchy/>
    <pivotHierarchy/>
    <pivotHierarchy/>
    <pivotHierarchy/>
    <pivotHierarchy/>
    <pivotHierarchy/>
    <pivotHierarchy/>
    <pivotHierarchy multipleItemSelectionAllowed="1">
      <members count="1" level="1">
        <member name="[Geography].[WDI Availability].[wdi_availability].&amp;[From 1960]"/>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8" type="captionGreaterThanOrEqual" evalOrder="-1" id="5" stringValue1="1960">
      <autoFilter ref="A1">
        <filterColumn colId="0">
          <customFilters>
            <customFilter operator="greaterThanOrEqual" val="196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6CED83-E738-4D11-B0A7-1A42A441F9B8}" name="PivotTable1" cacheId="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fieldListSortAscending="1">
  <location ref="A10:BJ88" firstHeaderRow="1" firstDataRow="2" firstDataCol="2" rowPageCount="5" colPageCount="1"/>
  <pivotFields count="16">
    <pivotField axis="axisRow" compact="0" allDrilled="1" outline="0" showAll="0" dataSourceSort="1" defaultSubtotal="0">
      <items count="3">
        <item s="1" c="1" x="0" d="1"/>
        <item c="1" x="1" d="1"/>
        <item x="2" d="1"/>
      </items>
      <extLst>
        <ext xmlns:x14="http://schemas.microsoft.com/office/spreadsheetml/2009/9/main" uri="{2946ED86-A175-432a-8AC1-64E0C546D7DE}">
          <x14:pivotField fillDownLabels="1"/>
        </ext>
      </extLst>
    </pivotField>
    <pivotField axis="axisRow" compact="0" outline="0" showAll="0" dataSourceSort="1" defaultSubtotal="0">
      <items count="77">
        <item c="1" x="0"/>
        <item c="1" x="1"/>
        <item c="1" x="2"/>
        <item c="1" x="3"/>
        <item c="1" x="4"/>
        <item c="1" x="5"/>
        <item c="1" x="6"/>
        <item c="1" x="7"/>
        <item c="1" x="8"/>
        <item c="1" x="9"/>
        <item c="1" x="10"/>
        <item c="1" x="11"/>
        <item c="1" x="12"/>
        <item c="1" x="13"/>
        <item c="1" x="14"/>
        <item c="1" x="15"/>
        <item c="1" x="16"/>
        <item c="1" x="17"/>
        <item c="1" x="18"/>
        <item s="1" c="1" x="19"/>
        <item s="1" c="1" x="20"/>
        <item s="1" c="1" x="21"/>
        <item s="1" c="1" x="22"/>
        <item s="1" c="1" x="23"/>
        <item s="1" c="1" x="24"/>
        <item s="1" c="1" x="25"/>
        <item s="1" c="1" x="26"/>
        <item s="1" c="1" x="27"/>
        <item s="1" c="1" x="28"/>
        <item s="1" c="1" x="29"/>
        <item s="1" c="1" x="30"/>
        <item s="1" c="1" x="31"/>
        <item s="1" c="1" x="32"/>
        <item s="1" c="1" x="33"/>
        <item s="1" c="1" x="34"/>
        <item s="1" c="1" x="35"/>
        <item s="1" c="1" x="36"/>
        <item s="1" c="1" x="37"/>
        <item s="1" c="1" x="38"/>
        <item s="1" c="1" x="39"/>
        <item s="1" c="1" x="40"/>
        <item s="1" c="1" x="41"/>
        <item s="1" c="1" x="42"/>
        <item s="1" c="1" x="43"/>
        <item s="1" c="1" x="44"/>
        <item s="1" c="1" x="45"/>
        <item s="1" c="1" x="46"/>
        <item s="1" c="1" x="47"/>
        <item s="1" c="1" x="48"/>
        <item s="1" c="1" x="49"/>
        <item s="1" c="1" x="50"/>
        <item s="1" c="1" x="51"/>
        <item s="1" c="1" x="52"/>
        <item s="1" c="1" x="53"/>
        <item s="1" c="1" x="54"/>
        <item s="1" c="1" x="55"/>
        <item s="1" c="1" x="56"/>
        <item s="1" c="1" x="57"/>
        <item s="1" c="1" x="58"/>
        <item s="1" c="1" x="59"/>
        <item s="1" c="1" x="60"/>
        <item s="1" c="1" x="61"/>
        <item s="1" c="1" x="62"/>
        <item s="1" c="1" x="63"/>
        <item s="1" c="1" x="64"/>
        <item s="1" c="1" x="65"/>
        <item s="1" c="1" x="66"/>
        <item s="1" c="1" x="67"/>
        <item s="1" c="1" x="68"/>
        <item s="1" c="1" x="69"/>
        <item s="1" c="1" x="70"/>
        <item s="1" c="1" x="71"/>
        <item s="1" c="1" x="72"/>
        <item s="1" c="1" x="73"/>
        <item s="1" c="1" x="74"/>
        <item s="1" c="1" x="75"/>
        <item s="1" c="1" x="76"/>
      </items>
      <extLst>
        <ext xmlns:x14="http://schemas.microsoft.com/office/spreadsheetml/2009/9/main" uri="{2946ED86-A175-432a-8AC1-64E0C546D7DE}">
          <x14:pivotField fillDownLabels="1"/>
        </ext>
      </extLst>
    </pivotField>
    <pivotField axis="axisRow"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Col" compact="0" allDrilled="1" outline="0" showAll="0" dataSourceSort="1" defaultSubtotal="0"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s>
  <rowFields count="2">
    <field x="0"/>
    <field x="1"/>
  </rowFields>
  <rowItems count="77">
    <i>
      <x/>
      <x/>
    </i>
    <i r="1">
      <x v="1"/>
    </i>
    <i r="1">
      <x v="2"/>
    </i>
    <i r="1">
      <x v="3"/>
    </i>
    <i r="1">
      <x v="4"/>
    </i>
    <i r="1">
      <x v="5"/>
    </i>
    <i r="1">
      <x v="6"/>
    </i>
    <i r="1">
      <x v="7"/>
    </i>
    <i r="1">
      <x v="8"/>
    </i>
    <i r="1">
      <x v="9"/>
    </i>
    <i r="1">
      <x v="10"/>
    </i>
    <i r="1">
      <x v="11"/>
    </i>
    <i r="1">
      <x v="12"/>
    </i>
    <i r="1">
      <x v="13"/>
    </i>
    <i r="1">
      <x v="14"/>
    </i>
    <i r="1">
      <x v="15"/>
    </i>
    <i r="1">
      <x v="16"/>
    </i>
    <i r="1">
      <x v="17"/>
    </i>
    <i r="1">
      <x v="18"/>
    </i>
    <i>
      <x v="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rowItems>
  <colFields count="1">
    <field x="7"/>
  </colFields>
  <col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colItems>
  <pageFields count="5">
    <pageField fld="3" hier="12" name="[Indicator Detail].[Units].[Measure Type (Stock/Flow/etc)].&amp;[Flow].&amp;[Money].&amp;[USD]" cap="USD"/>
    <pageField fld="9" hier="4" name="[Data].[Original Source Data].[Source].&amp;[WDI2020]" cap="WDI2020"/>
    <pageField fld="11" hier="2" name="[Data].[GDP and other output measures].[Output Definition].&amp;[Expenditure Approach]" cap="Expenditure Approach"/>
    <pageField fld="12" hier="11" name="[Indicator Detail].[Industrial Sector (Agriculture/Manufacturing/etc)].&amp;[Whole economy]" cap="Whole economy"/>
    <pageField fld="13" hier="9" name="[Geography].[WDI Availability].[wdi_availability].&amp;[From 1960]" cap="From 1960"/>
  </pageFields>
  <dataFields count="1">
    <dataField fld="8" baseField="0" baseItem="0" numFmtId="164"/>
  </dataFields>
  <formats count="1">
    <format dxfId="0">
      <pivotArea outline="0" collapsedLevelsAreSubtotals="1" fieldPosition="0"/>
    </format>
  </formats>
  <pivotHierarchies count="76">
    <pivotHierarchy/>
    <pivotHierarchy/>
    <pivotHierarchy/>
    <pivotHierarchy/>
    <pivotHierarchy/>
    <pivotHierarchy/>
    <pivotHierarchy>
      <members count="1" level="1">
        <member name=""/>
      </members>
      <members count="146" level="2">
        <member name=""/>
        <member name=""/>
        <member name="[Geography].[Blocs].[Country].&amp;[Guam]"/>
        <member name="[Geography].[Blocs].[Country].&amp;[Iran]"/>
        <member name="[Geography].[Blocs].[Country].&amp;[Iraq]"/>
        <member name="[Geography].[Blocs].[Country].&amp;[Laos]"/>
        <member name="[Geography].[Blocs].[Country].&amp;[Mali]"/>
        <member name="[Geography].[Blocs].[Country].&amp;[Oman]"/>
        <member name=""/>
        <member name=""/>
        <member name="[Geography].[Blocs].[Country].&amp;[Aruba]"/>
        <member name=""/>
        <member name=""/>
        <member name="[Geography].[Blocs].[Country].&amp;[Egypt]"/>
        <member name=""/>
        <member name=""/>
        <member name=""/>
        <member name=""/>
        <member name=""/>
        <member name="[Geography].[Blocs].[Country].&amp;[Libya]"/>
        <member name="[Geography].[Blocs].[Country].&amp;[Nauru]"/>
        <member name=""/>
        <member name=""/>
        <member name="[Geography].[Blocs].[Country].&amp;[Palau]"/>
        <member name="[Geography].[Blocs].[Country].&amp;[Qatar]"/>
        <member name="[Geography].[Blocs].[Country].&amp;[Syria]"/>
        <member name="[Geography].[Blocs].[Country].&amp;[Tonga]"/>
        <member name="[Geography].[Blocs].[Country].&amp;[Yemen]"/>
        <member name="[Geography].[Blocs].[Country].&amp;[Angola]"/>
        <member name=""/>
        <member name="[Geography].[Blocs].[Country].&amp;[Bhutan]"/>
        <member name=""/>
        <member name="[Geography].[Blocs].[Country].&amp;[Brunei]"/>
        <member name="[Geography].[Blocs].[Country].&amp;[Gambia]"/>
        <member name="[Geography].[Blocs].[Country].&amp;[Guinea]"/>
        <member name=""/>
        <member name="[Geography].[Blocs].[Country].&amp;[Jordan]"/>
        <member name="[Geography].[Blocs].[Country].&amp;[Kuwait]"/>
        <member name=""/>
        <member name=""/>
        <member name=""/>
        <member name=""/>
        <member name=""/>
        <member name="[Geography].[Blocs].[Country].&amp;[Tuvalu]"/>
        <member name="[Geography].[Blocs].[Country].&amp;[Uganda]"/>
        <member name=""/>
        <member name="[Geography].[Blocs].[Country].&amp;[Algeria]"/>
        <member name="[Geography].[Blocs].[Country].&amp;[Antigua]"/>
        <member name=""/>
        <member name="[Geography].[Blocs].[Country].&amp;[Bahrain]"/>
        <member name="[Geography].[Blocs].[Country].&amp;[Bermuda]"/>
        <member name=""/>
        <member name=""/>
        <member name="[Geography].[Blocs].[Country].&amp;[Comoros]"/>
        <member name=""/>
        <member name="[Geography].[Blocs].[Country].&amp;[Curacao]"/>
        <member name=""/>
        <member name="[Geography].[Blocs].[Country].&amp;[Grenada]"/>
        <member name="[Geography].[Blocs].[Country].&amp;[Jamaica]"/>
        <member name="[Geography].[Blocs].[Country].&amp;[Lebanon]"/>
        <member name=""/>
        <member name="[Geography].[Blocs].[Country].&amp;[Liberia]"/>
        <member name="[Geography].[Blocs].[Country].&amp;[Morocco]"/>
        <member name="[Geography].[Blocs].[Country].&amp;[Myanmar]"/>
        <member name="[Geography].[Blocs].[Country].&amp;[Namibia]"/>
        <member name=""/>
        <member name=""/>
        <member name="[Geography].[Blocs].[Country].&amp;[Somalia]"/>
        <member name="[Geography].[Blocs].[Country].&amp;[Tunisia]"/>
        <member name=""/>
        <member name="[Geography].[Blocs].[Country].&amp;[Vanuatu]"/>
        <member name="[Geography].[Blocs].[Country].&amp;[Anguilla]"/>
        <member name="[Geography].[Blocs].[Country].&amp;[Barbados]"/>
        <member name=""/>
        <member name="[Geography].[Blocs].[Country].&amp;[Cambodia]"/>
        <member name=""/>
        <member name=""/>
        <member name=""/>
        <member name="[Geography].[Blocs].[Country].&amp;[Djibouti]"/>
        <member name="[Geography].[Blocs].[Country].&amp;[Dominica]"/>
        <member name=""/>
        <member name="[Geography].[Blocs].[Country].&amp;[Kiribati]"/>
        <member name=""/>
        <member name="[Geography].[Blocs].[Country].&amp;[Maldives]"/>
        <member name="[Geography].[Blocs].[Country].&amp;[Mongolia]"/>
        <member name=""/>
        <member name="[Geography].[Blocs].[Country].&amp;[Paraguay]"/>
        <member name="[Geography].[Blocs].[Country].&amp;[Sao Tome]"/>
        <member name=""/>
        <member name="[Geography].[Blocs].[Country].&amp;[Tanzania]"/>
        <member name=""/>
        <member name=""/>
        <member name="[Geography].[Blocs].[Country].&amp;[Argentina]"/>
        <member name=""/>
        <member name="[Geography].[Blocs].[Country].&amp;[Mauritius]"/>
        <member name="[Geography].[Blocs].[Country].&amp;[Melanesia]"/>
        <member name=""/>
        <member name="[Geography].[Blocs].[Country].&amp;[Polynesia]"/>
        <member name="[Geography].[Blocs].[Country].&amp;[Sri Lanka]"/>
        <member name="[Geography].[Blocs].[Country].&amp;[St. Lucia]"/>
        <member name="[Geography].[Blocs].[Country].&amp;[Swaziland]"/>
        <member name="[Geography].[Blocs].[Country].&amp;[Venezuela]"/>
        <member name=""/>
        <member name="[Geography].[Blocs].[Country].&amp;[Cabo Verde]"/>
        <member name=""/>
        <member name=""/>
        <member name="[Geography].[Blocs].[Country].&amp;[Mauritania]"/>
        <member name="[Geography].[Blocs].[Country].&amp;[Montserrat]"/>
        <member name="[Geography].[Blocs].[Country].&amp;[Mozambique]"/>
        <member name=""/>
        <member name="[Geography].[Blocs].[Country].&amp;[Afghanistan]"/>
        <member name="[Geography].[Blocs].[Country].&amp;[El Salvador]"/>
        <member name=""/>
        <member name=""/>
        <member name="[Geography].[Blocs].[Country].&amp;[St. Vincent]"/>
        <member name=""/>
        <member name="[Geography].[Blocs].[Country].&amp;[Saudi Arabia]"/>
        <member name=""/>
        <member name="[Geography].[Blocs].[Country].&amp;[Small States]"/>
        <member name=""/>
        <member name=""/>
        <member name="[Geography].[Blocs].[Country].&amp;[Guinea-Bissau]"/>
        <member name="[Geography].[Blocs].[Country].&amp;[New Caledonia]"/>
        <member name="[Geography].[Blocs].[Country].&amp;[Western Samoa]"/>
        <member name="[Geography].[Blocs].[Country].&amp;[American Samoa]"/>
        <member name="[Geography].[Blocs].[Country].&amp;[Cayman Islands]"/>
        <member name=""/>
        <member name="[Geography].[Blocs].[Country].&amp;[Virgin Islands]"/>
        <member name="[Geography].[Blocs].[Country].&amp;[Solomon Islands]"/>
        <member name="[Geography].[Blocs].[Country].&amp;[French Polynesia]"/>
        <member name="[Geography].[Blocs].[Country].&amp;[Marshall Islands]"/>
        <member name=""/>
        <member name="[Geography].[Blocs].[Country].&amp;[Equatorial Guinea]"/>
        <member name="[Geography].[Blocs].[Country].&amp;[Ethiopia (Former)]"/>
        <member name=""/>
        <member name="[Geography].[Blocs].[Country].&amp;[Indonesia (Former)]"/>
        <member name="[Geography].[Blocs].[Country].&amp;[West Bank and Gaza]"/>
        <member name="[Geography].[Blocs].[Country].&amp;[St. Kitts and Nevis]"/>
        <member name=""/>
        <member name="[Geography].[Blocs].[Country].&amp;[United Arab Emirates]"/>
        <member name=""/>
        <member name="[Geography].[Blocs].[Country].&amp;[Northern Mariana Islands]"/>
        <member name="[Geography].[Blocs].[Country].&amp;[St. Martin (French part)]"/>
        <member name="[Geography].[Blocs].[Country].&amp;[Turks and Caicos Islands]"/>
        <member name="[Geography].[Blocs].[Country].&amp;[Sint Maarten (Dutch part)]"/>
        <member name="[Geography].[Blocs].[Country].&amp;[Micronesia Federated States]"/>
      </members>
    </pivotHierarchy>
    <pivotHierarchy/>
    <pivotHierarchy/>
    <pivotHierarchy multipleItemSelectionAllowed="1">
      <members count="1" level="1">
        <member name="[Geography].[WDI Availability].[wdi_availability].&amp;[From 1960]"/>
      </members>
    </pivotHierarchy>
    <pivotHierarchy/>
    <pivotHierarchy multipleItemSelectionAllowed="1">
      <members count="1" level="1">
        <member name="[Indicator Detail].[Industrial Sector (Agriculture/Manufacturing/etc)].&amp;[Whole economy]"/>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7" type="captionGreaterThanOrEqual" evalOrder="-1" id="5" stringValue1="1960">
      <autoFilter ref="A1">
        <filterColumn colId="0">
          <customFilters>
            <customFilter operator="greaterThanOrEqual" val="196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E4B6C-DD63-4587-81A5-138CE74F3FD5}">
  <sheetPr codeName="Sheet1"/>
  <dimension ref="B1:B30"/>
  <sheetViews>
    <sheetView workbookViewId="0">
      <selection activeCell="B5" sqref="B5"/>
    </sheetView>
  </sheetViews>
  <sheetFormatPr defaultRowHeight="14.25" x14ac:dyDescent="0.45"/>
  <cols>
    <col min="1" max="1" width="17.73046875" customWidth="1"/>
    <col min="2" max="2" width="153.6640625" customWidth="1"/>
    <col min="257" max="257" width="17.73046875" customWidth="1"/>
    <col min="258" max="258" width="153.6640625" customWidth="1"/>
    <col min="513" max="513" width="17.73046875" customWidth="1"/>
    <col min="514" max="514" width="153.6640625" customWidth="1"/>
    <col min="769" max="769" width="17.73046875" customWidth="1"/>
    <col min="770" max="770" width="153.6640625" customWidth="1"/>
    <col min="1025" max="1025" width="17.73046875" customWidth="1"/>
    <col min="1026" max="1026" width="153.6640625" customWidth="1"/>
    <col min="1281" max="1281" width="17.73046875" customWidth="1"/>
    <col min="1282" max="1282" width="153.6640625" customWidth="1"/>
    <col min="1537" max="1537" width="17.73046875" customWidth="1"/>
    <col min="1538" max="1538" width="153.6640625" customWidth="1"/>
    <col min="1793" max="1793" width="17.73046875" customWidth="1"/>
    <col min="1794" max="1794" width="153.6640625" customWidth="1"/>
    <col min="2049" max="2049" width="17.73046875" customWidth="1"/>
    <col min="2050" max="2050" width="153.6640625" customWidth="1"/>
    <col min="2305" max="2305" width="17.73046875" customWidth="1"/>
    <col min="2306" max="2306" width="153.6640625" customWidth="1"/>
    <col min="2561" max="2561" width="17.73046875" customWidth="1"/>
    <col min="2562" max="2562" width="153.6640625" customWidth="1"/>
    <col min="2817" max="2817" width="17.73046875" customWidth="1"/>
    <col min="2818" max="2818" width="153.6640625" customWidth="1"/>
    <col min="3073" max="3073" width="17.73046875" customWidth="1"/>
    <col min="3074" max="3074" width="153.6640625" customWidth="1"/>
    <col min="3329" max="3329" width="17.73046875" customWidth="1"/>
    <col min="3330" max="3330" width="153.6640625" customWidth="1"/>
    <col min="3585" max="3585" width="17.73046875" customWidth="1"/>
    <col min="3586" max="3586" width="153.6640625" customWidth="1"/>
    <col min="3841" max="3841" width="17.73046875" customWidth="1"/>
    <col min="3842" max="3842" width="153.6640625" customWidth="1"/>
    <col min="4097" max="4097" width="17.73046875" customWidth="1"/>
    <col min="4098" max="4098" width="153.6640625" customWidth="1"/>
    <col min="4353" max="4353" width="17.73046875" customWidth="1"/>
    <col min="4354" max="4354" width="153.6640625" customWidth="1"/>
    <col min="4609" max="4609" width="17.73046875" customWidth="1"/>
    <col min="4610" max="4610" width="153.6640625" customWidth="1"/>
    <col min="4865" max="4865" width="17.73046875" customWidth="1"/>
    <col min="4866" max="4866" width="153.6640625" customWidth="1"/>
    <col min="5121" max="5121" width="17.73046875" customWidth="1"/>
    <col min="5122" max="5122" width="153.6640625" customWidth="1"/>
    <col min="5377" max="5377" width="17.73046875" customWidth="1"/>
    <col min="5378" max="5378" width="153.6640625" customWidth="1"/>
    <col min="5633" max="5633" width="17.73046875" customWidth="1"/>
    <col min="5634" max="5634" width="153.6640625" customWidth="1"/>
    <col min="5889" max="5889" width="17.73046875" customWidth="1"/>
    <col min="5890" max="5890" width="153.6640625" customWidth="1"/>
    <col min="6145" max="6145" width="17.73046875" customWidth="1"/>
    <col min="6146" max="6146" width="153.6640625" customWidth="1"/>
    <col min="6401" max="6401" width="17.73046875" customWidth="1"/>
    <col min="6402" max="6402" width="153.6640625" customWidth="1"/>
    <col min="6657" max="6657" width="17.73046875" customWidth="1"/>
    <col min="6658" max="6658" width="153.6640625" customWidth="1"/>
    <col min="6913" max="6913" width="17.73046875" customWidth="1"/>
    <col min="6914" max="6914" width="153.6640625" customWidth="1"/>
    <col min="7169" max="7169" width="17.73046875" customWidth="1"/>
    <col min="7170" max="7170" width="153.6640625" customWidth="1"/>
    <col min="7425" max="7425" width="17.73046875" customWidth="1"/>
    <col min="7426" max="7426" width="153.6640625" customWidth="1"/>
    <col min="7681" max="7681" width="17.73046875" customWidth="1"/>
    <col min="7682" max="7682" width="153.6640625" customWidth="1"/>
    <col min="7937" max="7937" width="17.73046875" customWidth="1"/>
    <col min="7938" max="7938" width="153.6640625" customWidth="1"/>
    <col min="8193" max="8193" width="17.73046875" customWidth="1"/>
    <col min="8194" max="8194" width="153.6640625" customWidth="1"/>
    <col min="8449" max="8449" width="17.73046875" customWidth="1"/>
    <col min="8450" max="8450" width="153.6640625" customWidth="1"/>
    <col min="8705" max="8705" width="17.73046875" customWidth="1"/>
    <col min="8706" max="8706" width="153.6640625" customWidth="1"/>
    <col min="8961" max="8961" width="17.73046875" customWidth="1"/>
    <col min="8962" max="8962" width="153.6640625" customWidth="1"/>
    <col min="9217" max="9217" width="17.73046875" customWidth="1"/>
    <col min="9218" max="9218" width="153.6640625" customWidth="1"/>
    <col min="9473" max="9473" width="17.73046875" customWidth="1"/>
    <col min="9474" max="9474" width="153.6640625" customWidth="1"/>
    <col min="9729" max="9729" width="17.73046875" customWidth="1"/>
    <col min="9730" max="9730" width="153.6640625" customWidth="1"/>
    <col min="9985" max="9985" width="17.73046875" customWidth="1"/>
    <col min="9986" max="9986" width="153.6640625" customWidth="1"/>
    <col min="10241" max="10241" width="17.73046875" customWidth="1"/>
    <col min="10242" max="10242" width="153.6640625" customWidth="1"/>
    <col min="10497" max="10497" width="17.73046875" customWidth="1"/>
    <col min="10498" max="10498" width="153.6640625" customWidth="1"/>
    <col min="10753" max="10753" width="17.73046875" customWidth="1"/>
    <col min="10754" max="10754" width="153.6640625" customWidth="1"/>
    <col min="11009" max="11009" width="17.73046875" customWidth="1"/>
    <col min="11010" max="11010" width="153.6640625" customWidth="1"/>
    <col min="11265" max="11265" width="17.73046875" customWidth="1"/>
    <col min="11266" max="11266" width="153.6640625" customWidth="1"/>
    <col min="11521" max="11521" width="17.73046875" customWidth="1"/>
    <col min="11522" max="11522" width="153.6640625" customWidth="1"/>
    <col min="11777" max="11777" width="17.73046875" customWidth="1"/>
    <col min="11778" max="11778" width="153.6640625" customWidth="1"/>
    <col min="12033" max="12033" width="17.73046875" customWidth="1"/>
    <col min="12034" max="12034" width="153.6640625" customWidth="1"/>
    <col min="12289" max="12289" width="17.73046875" customWidth="1"/>
    <col min="12290" max="12290" width="153.6640625" customWidth="1"/>
    <col min="12545" max="12545" width="17.73046875" customWidth="1"/>
    <col min="12546" max="12546" width="153.6640625" customWidth="1"/>
    <col min="12801" max="12801" width="17.73046875" customWidth="1"/>
    <col min="12802" max="12802" width="153.6640625" customWidth="1"/>
    <col min="13057" max="13057" width="17.73046875" customWidth="1"/>
    <col min="13058" max="13058" width="153.6640625" customWidth="1"/>
    <col min="13313" max="13313" width="17.73046875" customWidth="1"/>
    <col min="13314" max="13314" width="153.6640625" customWidth="1"/>
    <col min="13569" max="13569" width="17.73046875" customWidth="1"/>
    <col min="13570" max="13570" width="153.6640625" customWidth="1"/>
    <col min="13825" max="13825" width="17.73046875" customWidth="1"/>
    <col min="13826" max="13826" width="153.6640625" customWidth="1"/>
    <col min="14081" max="14081" width="17.73046875" customWidth="1"/>
    <col min="14082" max="14082" width="153.6640625" customWidth="1"/>
    <col min="14337" max="14337" width="17.73046875" customWidth="1"/>
    <col min="14338" max="14338" width="153.6640625" customWidth="1"/>
    <col min="14593" max="14593" width="17.73046875" customWidth="1"/>
    <col min="14594" max="14594" width="153.6640625" customWidth="1"/>
    <col min="14849" max="14849" width="17.73046875" customWidth="1"/>
    <col min="14850" max="14850" width="153.6640625" customWidth="1"/>
    <col min="15105" max="15105" width="17.73046875" customWidth="1"/>
    <col min="15106" max="15106" width="153.6640625" customWidth="1"/>
    <col min="15361" max="15361" width="17.73046875" customWidth="1"/>
    <col min="15362" max="15362" width="153.6640625" customWidth="1"/>
    <col min="15617" max="15617" width="17.73046875" customWidth="1"/>
    <col min="15618" max="15618" width="153.6640625" customWidth="1"/>
    <col min="15873" max="15873" width="17.73046875" customWidth="1"/>
    <col min="15874" max="15874" width="153.6640625" customWidth="1"/>
    <col min="16129" max="16129" width="17.73046875" customWidth="1"/>
    <col min="16130" max="16130" width="153.6640625" customWidth="1"/>
  </cols>
  <sheetData>
    <row r="1" spans="2:2" ht="18" x14ac:dyDescent="0.55000000000000004">
      <c r="B1" s="1" t="s">
        <v>0</v>
      </c>
    </row>
    <row r="2" spans="2:2" ht="18" x14ac:dyDescent="0.55000000000000004">
      <c r="B2" s="1" t="s">
        <v>1</v>
      </c>
    </row>
    <row r="3" spans="2:2" ht="18" x14ac:dyDescent="0.55000000000000004">
      <c r="B3" s="1" t="s">
        <v>2</v>
      </c>
    </row>
    <row r="4" spans="2:2" ht="18" x14ac:dyDescent="0.55000000000000004">
      <c r="B4" s="2" t="s">
        <v>203</v>
      </c>
    </row>
    <row r="5" spans="2:2" ht="18" x14ac:dyDescent="0.55000000000000004">
      <c r="B5" s="3"/>
    </row>
    <row r="6" spans="2:2" x14ac:dyDescent="0.45">
      <c r="B6" s="4" t="s">
        <v>3</v>
      </c>
    </row>
    <row r="7" spans="2:2" x14ac:dyDescent="0.45">
      <c r="B7" s="4" t="s">
        <v>4</v>
      </c>
    </row>
    <row r="8" spans="2:2" x14ac:dyDescent="0.45">
      <c r="B8" s="4" t="s">
        <v>5</v>
      </c>
    </row>
    <row r="9" spans="2:2" ht="7.35" customHeight="1" x14ac:dyDescent="0.45">
      <c r="B9" s="4"/>
    </row>
    <row r="10" spans="2:2" x14ac:dyDescent="0.45">
      <c r="B10" s="5" t="s">
        <v>6</v>
      </c>
    </row>
    <row r="11" spans="2:2" x14ac:dyDescent="0.45">
      <c r="B11" s="4" t="s">
        <v>7</v>
      </c>
    </row>
    <row r="12" spans="2:2" x14ac:dyDescent="0.45">
      <c r="B12" s="5" t="s">
        <v>8</v>
      </c>
    </row>
    <row r="13" spans="2:2" ht="5.0999999999999996" customHeight="1" x14ac:dyDescent="0.45">
      <c r="B13" s="4" t="s">
        <v>9</v>
      </c>
    </row>
    <row r="14" spans="2:2" x14ac:dyDescent="0.45">
      <c r="B14" s="5" t="s">
        <v>10</v>
      </c>
    </row>
    <row r="15" spans="2:2" x14ac:dyDescent="0.45">
      <c r="B15" s="4" t="s">
        <v>11</v>
      </c>
    </row>
    <row r="16" spans="2:2" x14ac:dyDescent="0.45">
      <c r="B16" s="4" t="s">
        <v>12</v>
      </c>
    </row>
    <row r="17" spans="2:2" ht="4.3499999999999996" customHeight="1" x14ac:dyDescent="0.45">
      <c r="B17" s="6"/>
    </row>
    <row r="18" spans="2:2" x14ac:dyDescent="0.45">
      <c r="B18" s="4" t="s">
        <v>13</v>
      </c>
    </row>
    <row r="19" spans="2:2" ht="7.35" customHeight="1" x14ac:dyDescent="0.45">
      <c r="B19" s="4" t="s">
        <v>9</v>
      </c>
    </row>
    <row r="20" spans="2:2" x14ac:dyDescent="0.45">
      <c r="B20" s="5" t="s">
        <v>14</v>
      </c>
    </row>
    <row r="21" spans="2:2" ht="28.5" x14ac:dyDescent="0.45">
      <c r="B21" s="7" t="s">
        <v>15</v>
      </c>
    </row>
    <row r="22" spans="2:2" x14ac:dyDescent="0.45">
      <c r="B22" s="4" t="s">
        <v>16</v>
      </c>
    </row>
    <row r="23" spans="2:2" x14ac:dyDescent="0.45">
      <c r="B23" s="4" t="s">
        <v>17</v>
      </c>
    </row>
    <row r="24" spans="2:2" x14ac:dyDescent="0.45">
      <c r="B24" s="4" t="s">
        <v>18</v>
      </c>
    </row>
    <row r="25" spans="2:2" ht="4.3499999999999996" customHeight="1" x14ac:dyDescent="0.45">
      <c r="B25" s="4"/>
    </row>
    <row r="26" spans="2:2" x14ac:dyDescent="0.45">
      <c r="B26" s="5" t="s">
        <v>19</v>
      </c>
    </row>
    <row r="27" spans="2:2" ht="31.8" customHeight="1" x14ac:dyDescent="0.45">
      <c r="B27" s="7" t="s">
        <v>20</v>
      </c>
    </row>
    <row r="28" spans="2:2" ht="6" customHeight="1" x14ac:dyDescent="0.45">
      <c r="B28" s="4" t="s">
        <v>9</v>
      </c>
    </row>
    <row r="29" spans="2:2" ht="28.5" x14ac:dyDescent="0.45">
      <c r="B29" s="8" t="s">
        <v>21</v>
      </c>
    </row>
    <row r="30" spans="2:2" ht="28.5" x14ac:dyDescent="0.45">
      <c r="B30" s="7"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J149"/>
  <sheetViews>
    <sheetView workbookViewId="0">
      <pane xSplit="2" ySplit="11" topLeftCell="C48" activePane="bottomRight" state="frozen"/>
      <selection pane="topRight" activeCell="C1" sqref="C1"/>
      <selection pane="bottomLeft" activeCell="A9" sqref="A9"/>
      <selection pane="bottomRight" activeCell="F90" sqref="F90"/>
    </sheetView>
  </sheetViews>
  <sheetFormatPr defaultRowHeight="14.25" x14ac:dyDescent="0.45"/>
  <cols>
    <col min="1" max="1" width="27.06640625" bestFit="1" customWidth="1"/>
    <col min="2" max="2" width="21.59765625" bestFit="1" customWidth="1"/>
    <col min="3" max="62" width="13.39843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62" x14ac:dyDescent="0.45">
      <c r="B1" t="s">
        <v>26</v>
      </c>
      <c r="C1" s="11">
        <f t="shared" ref="C1:L2" si="0">SUMIF($A$11:$A$87,$B1,C$11:C$87)</f>
        <v>973657253</v>
      </c>
      <c r="D1" s="11">
        <f t="shared" si="0"/>
        <v>996756429</v>
      </c>
      <c r="E1" s="11">
        <f t="shared" si="0"/>
        <v>1020680097</v>
      </c>
      <c r="F1" s="11">
        <f t="shared" si="0"/>
        <v>1045389877</v>
      </c>
      <c r="G1" s="11">
        <f t="shared" si="0"/>
        <v>1070830914</v>
      </c>
      <c r="H1" s="11">
        <f t="shared" si="0"/>
        <v>1096963808</v>
      </c>
      <c r="I1" s="11">
        <f t="shared" si="0"/>
        <v>1123793215</v>
      </c>
      <c r="J1" s="11">
        <f t="shared" si="0"/>
        <v>1151328617</v>
      </c>
      <c r="K1" s="11">
        <f t="shared" si="0"/>
        <v>1179560882</v>
      </c>
      <c r="L1" s="11">
        <f t="shared" si="0"/>
        <v>1208482967</v>
      </c>
      <c r="M1" s="11">
        <f t="shared" ref="M1:V2" si="1">SUMIF($A$11:$A$87,$B1,M$11:M$87)</f>
        <v>1238098589</v>
      </c>
      <c r="N1" s="11">
        <f t="shared" si="1"/>
        <v>1268394045</v>
      </c>
      <c r="O1" s="11">
        <f t="shared" si="1"/>
        <v>1299401039</v>
      </c>
      <c r="P1" s="11">
        <f t="shared" si="1"/>
        <v>1331209772</v>
      </c>
      <c r="Q1" s="11">
        <f t="shared" si="1"/>
        <v>1363939299</v>
      </c>
      <c r="R1" s="11">
        <f t="shared" si="1"/>
        <v>1397675995</v>
      </c>
      <c r="S1" s="11">
        <f t="shared" si="1"/>
        <v>1432436188</v>
      </c>
      <c r="T1" s="11">
        <f t="shared" si="1"/>
        <v>1468197547</v>
      </c>
      <c r="U1" s="11">
        <f t="shared" si="1"/>
        <v>1504962503</v>
      </c>
      <c r="V1" s="11">
        <f t="shared" si="1"/>
        <v>1542725106</v>
      </c>
      <c r="W1" s="11">
        <f t="shared" ref="W1:AF2" si="2">SUMIF($A$11:$A$87,$B1,W$11:W$87)</f>
        <v>1581463595</v>
      </c>
      <c r="X1" s="11">
        <f t="shared" si="2"/>
        <v>1621157796</v>
      </c>
      <c r="Y1" s="11">
        <f t="shared" si="2"/>
        <v>1661759949</v>
      </c>
      <c r="Z1" s="11">
        <f t="shared" si="2"/>
        <v>1703177201</v>
      </c>
      <c r="AA1" s="11">
        <f t="shared" si="2"/>
        <v>1745295235</v>
      </c>
      <c r="AB1" s="11">
        <f t="shared" si="2"/>
        <v>1788008566</v>
      </c>
      <c r="AC1" s="11">
        <f t="shared" si="2"/>
        <v>1831292415</v>
      </c>
      <c r="AD1" s="11">
        <f t="shared" si="2"/>
        <v>1875099107</v>
      </c>
      <c r="AE1" s="11">
        <f t="shared" si="2"/>
        <v>1919263555</v>
      </c>
      <c r="AF1" s="11">
        <f t="shared" si="2"/>
        <v>1963595488</v>
      </c>
      <c r="AG1" s="11">
        <f t="shared" ref="AG1:AP2" si="3">SUMIF($A$11:$A$87,$B1,AG$11:AG$87)</f>
        <v>2007959817</v>
      </c>
      <c r="AH1" s="11">
        <f t="shared" si="3"/>
        <v>2052238231</v>
      </c>
      <c r="AI1" s="11">
        <f t="shared" si="3"/>
        <v>2096460642</v>
      </c>
      <c r="AJ1" s="11">
        <f t="shared" si="3"/>
        <v>2140816578</v>
      </c>
      <c r="AK1" s="11">
        <f t="shared" si="3"/>
        <v>2185569675</v>
      </c>
      <c r="AL1" s="11">
        <f t="shared" si="3"/>
        <v>2230895953</v>
      </c>
      <c r="AM1" s="11">
        <f t="shared" si="3"/>
        <v>2276863414</v>
      </c>
      <c r="AN1" s="11">
        <f t="shared" si="3"/>
        <v>2323351379</v>
      </c>
      <c r="AO1" s="11">
        <f t="shared" si="3"/>
        <v>2370168787</v>
      </c>
      <c r="AP1" s="11">
        <f t="shared" si="3"/>
        <v>2417054177</v>
      </c>
      <c r="AQ1" s="11">
        <f t="shared" ref="AQ1:AZ2" si="4">SUMIF($A$11:$A$87,$B1,AQ$11:AQ$87)</f>
        <v>2463809052</v>
      </c>
      <c r="AR1" s="11">
        <f t="shared" si="4"/>
        <v>2510359310</v>
      </c>
      <c r="AS1" s="11">
        <f t="shared" si="4"/>
        <v>2556746881</v>
      </c>
      <c r="AT1" s="11">
        <f t="shared" si="4"/>
        <v>2603028022</v>
      </c>
      <c r="AU1" s="11">
        <f t="shared" si="4"/>
        <v>2649326103</v>
      </c>
      <c r="AV1" s="11">
        <f t="shared" si="4"/>
        <v>2695717142</v>
      </c>
      <c r="AW1" s="11">
        <f t="shared" si="4"/>
        <v>2742218806</v>
      </c>
      <c r="AX1" s="11">
        <f t="shared" si="4"/>
        <v>2788798211</v>
      </c>
      <c r="AY1" s="11">
        <f t="shared" si="4"/>
        <v>2835423375</v>
      </c>
      <c r="AZ1" s="11">
        <f t="shared" si="4"/>
        <v>2882031411</v>
      </c>
      <c r="BA1" s="11">
        <f t="shared" ref="BA1:BJ2" si="5">SUMIF($A$11:$A$87,$B1,BA$11:BA$87)</f>
        <v>2928590399</v>
      </c>
      <c r="BB1" s="11">
        <f t="shared" si="5"/>
        <v>2975022816</v>
      </c>
      <c r="BC1" s="11">
        <f t="shared" si="5"/>
        <v>3021388110</v>
      </c>
      <c r="BD1" s="11">
        <f t="shared" si="5"/>
        <v>3067831299</v>
      </c>
      <c r="BE1" s="11">
        <f t="shared" si="5"/>
        <v>3114523133</v>
      </c>
      <c r="BF1" s="11">
        <f t="shared" si="5"/>
        <v>3161596181</v>
      </c>
      <c r="BG1" s="11">
        <f t="shared" si="5"/>
        <v>3209109014</v>
      </c>
      <c r="BH1" s="11">
        <f t="shared" si="5"/>
        <v>3256959458</v>
      </c>
      <c r="BI1" s="11">
        <f t="shared" si="5"/>
        <v>3304886707</v>
      </c>
      <c r="BJ1" s="11">
        <f t="shared" si="5"/>
        <v>3352849402</v>
      </c>
    </row>
    <row r="2" spans="1:62" x14ac:dyDescent="0.45">
      <c r="B2" t="s">
        <v>25</v>
      </c>
      <c r="C2" s="11">
        <f t="shared" si="0"/>
        <v>552583822</v>
      </c>
      <c r="D2" s="11">
        <f t="shared" si="0"/>
        <v>561230199</v>
      </c>
      <c r="E2" s="11">
        <f t="shared" si="0"/>
        <v>568336968</v>
      </c>
      <c r="F2" s="11">
        <f t="shared" si="0"/>
        <v>575280813</v>
      </c>
      <c r="G2" s="11">
        <f t="shared" si="0"/>
        <v>582204706</v>
      </c>
      <c r="H2" s="11">
        <f t="shared" si="0"/>
        <v>588891771</v>
      </c>
      <c r="I2" s="11">
        <f t="shared" si="0"/>
        <v>595107268</v>
      </c>
      <c r="J2" s="11">
        <f t="shared" si="0"/>
        <v>601100431</v>
      </c>
      <c r="K2" s="11">
        <f t="shared" si="0"/>
        <v>606197769</v>
      </c>
      <c r="L2" s="11">
        <f t="shared" si="0"/>
        <v>612830956</v>
      </c>
      <c r="M2" s="11">
        <f t="shared" si="1"/>
        <v>618949139</v>
      </c>
      <c r="N2" s="11">
        <f t="shared" si="1"/>
        <v>625723991</v>
      </c>
      <c r="O2" s="11">
        <f t="shared" si="1"/>
        <v>632076346</v>
      </c>
      <c r="P2" s="11">
        <f t="shared" si="1"/>
        <v>637527558</v>
      </c>
      <c r="Q2" s="11">
        <f t="shared" si="1"/>
        <v>644168213</v>
      </c>
      <c r="R2" s="11">
        <f t="shared" si="1"/>
        <v>650616497</v>
      </c>
      <c r="S2" s="11">
        <f t="shared" si="1"/>
        <v>655838478</v>
      </c>
      <c r="T2" s="11">
        <f t="shared" si="1"/>
        <v>661186484</v>
      </c>
      <c r="U2" s="11">
        <f t="shared" si="1"/>
        <v>666542725</v>
      </c>
      <c r="V2" s="11">
        <f t="shared" si="1"/>
        <v>671955233</v>
      </c>
      <c r="W2" s="11">
        <f t="shared" si="2"/>
        <v>677022633</v>
      </c>
      <c r="X2" s="11">
        <f t="shared" si="2"/>
        <v>682118521</v>
      </c>
      <c r="Y2" s="11">
        <f t="shared" si="2"/>
        <v>686933875</v>
      </c>
      <c r="Z2" s="11">
        <f t="shared" si="2"/>
        <v>691476543</v>
      </c>
      <c r="AA2" s="11">
        <f t="shared" si="2"/>
        <v>695808544</v>
      </c>
      <c r="AB2" s="11">
        <f t="shared" si="2"/>
        <v>700122901</v>
      </c>
      <c r="AC2" s="11">
        <f t="shared" si="2"/>
        <v>704555271</v>
      </c>
      <c r="AD2" s="11">
        <f t="shared" si="2"/>
        <v>708828894</v>
      </c>
      <c r="AE2" s="11">
        <f t="shared" si="2"/>
        <v>713184800</v>
      </c>
      <c r="AF2" s="11">
        <f t="shared" si="2"/>
        <v>717725822</v>
      </c>
      <c r="AG2" s="11">
        <f t="shared" si="3"/>
        <v>722816702</v>
      </c>
      <c r="AH2" s="11">
        <f t="shared" si="3"/>
        <v>728664067</v>
      </c>
      <c r="AI2" s="11">
        <f t="shared" si="3"/>
        <v>734536269</v>
      </c>
      <c r="AJ2" s="11">
        <f t="shared" si="3"/>
        <v>740109615</v>
      </c>
      <c r="AK2" s="11">
        <f t="shared" si="3"/>
        <v>745534654</v>
      </c>
      <c r="AL2" s="11">
        <f t="shared" si="3"/>
        <v>750915744</v>
      </c>
      <c r="AM2" s="11">
        <f t="shared" si="3"/>
        <v>756099581</v>
      </c>
      <c r="AN2" s="11">
        <f t="shared" si="3"/>
        <v>761386850</v>
      </c>
      <c r="AO2" s="11">
        <f t="shared" si="3"/>
        <v>766581760</v>
      </c>
      <c r="AP2" s="11">
        <f t="shared" si="3"/>
        <v>771705868</v>
      </c>
      <c r="AQ2" s="11">
        <f t="shared" si="4"/>
        <v>777058003</v>
      </c>
      <c r="AR2" s="11">
        <f t="shared" si="4"/>
        <v>782418893</v>
      </c>
      <c r="AS2" s="11">
        <f t="shared" si="4"/>
        <v>787773800</v>
      </c>
      <c r="AT2" s="11">
        <f t="shared" si="4"/>
        <v>793108979</v>
      </c>
      <c r="AU2" s="11">
        <f t="shared" si="4"/>
        <v>798637512</v>
      </c>
      <c r="AV2" s="11">
        <f t="shared" si="4"/>
        <v>804149105</v>
      </c>
      <c r="AW2" s="11">
        <f t="shared" si="4"/>
        <v>810020098</v>
      </c>
      <c r="AX2" s="11">
        <f t="shared" si="4"/>
        <v>816036221</v>
      </c>
      <c r="AY2" s="11">
        <f t="shared" si="4"/>
        <v>822474850</v>
      </c>
      <c r="AZ2" s="11">
        <f t="shared" si="4"/>
        <v>828042212</v>
      </c>
      <c r="BA2" s="11">
        <f t="shared" si="5"/>
        <v>833032550</v>
      </c>
      <c r="BB2" s="11">
        <f t="shared" si="5"/>
        <v>837434108</v>
      </c>
      <c r="BC2" s="11">
        <f t="shared" si="5"/>
        <v>841623629</v>
      </c>
      <c r="BD2" s="11">
        <f t="shared" si="5"/>
        <v>845963864</v>
      </c>
      <c r="BE2" s="11">
        <f t="shared" si="5"/>
        <v>850434215</v>
      </c>
      <c r="BF2" s="11">
        <f t="shared" si="5"/>
        <v>854434828</v>
      </c>
      <c r="BG2" s="11">
        <f t="shared" si="5"/>
        <v>858379823</v>
      </c>
      <c r="BH2" s="11">
        <f t="shared" si="5"/>
        <v>861912060</v>
      </c>
      <c r="BI2" s="11">
        <f t="shared" si="5"/>
        <v>865099664</v>
      </c>
      <c r="BJ2" s="11">
        <f t="shared" si="5"/>
        <v>868056459</v>
      </c>
    </row>
    <row r="3" spans="1:62" x14ac:dyDescent="0.45">
      <c r="B3" t="s">
        <v>187</v>
      </c>
      <c r="C3" s="15">
        <f t="shared" ref="C3:AH3" si="6">SUM(C1:C2)</f>
        <v>1526241075</v>
      </c>
      <c r="D3" s="15">
        <f t="shared" si="6"/>
        <v>1557986628</v>
      </c>
      <c r="E3" s="15">
        <f t="shared" si="6"/>
        <v>1589017065</v>
      </c>
      <c r="F3" s="15">
        <f t="shared" si="6"/>
        <v>1620670690</v>
      </c>
      <c r="G3" s="15">
        <f t="shared" si="6"/>
        <v>1653035620</v>
      </c>
      <c r="H3" s="15">
        <f t="shared" si="6"/>
        <v>1685855579</v>
      </c>
      <c r="I3" s="15">
        <f t="shared" si="6"/>
        <v>1718900483</v>
      </c>
      <c r="J3" s="15">
        <f t="shared" si="6"/>
        <v>1752429048</v>
      </c>
      <c r="K3" s="15">
        <f t="shared" si="6"/>
        <v>1785758651</v>
      </c>
      <c r="L3" s="15">
        <f t="shared" si="6"/>
        <v>1821313923</v>
      </c>
      <c r="M3" s="15">
        <f t="shared" si="6"/>
        <v>1857047728</v>
      </c>
      <c r="N3" s="15">
        <f t="shared" si="6"/>
        <v>1894118036</v>
      </c>
      <c r="O3" s="15">
        <f t="shared" si="6"/>
        <v>1931477385</v>
      </c>
      <c r="P3" s="15">
        <f t="shared" si="6"/>
        <v>1968737330</v>
      </c>
      <c r="Q3" s="15">
        <f t="shared" si="6"/>
        <v>2008107512</v>
      </c>
      <c r="R3" s="15">
        <f t="shared" si="6"/>
        <v>2048292492</v>
      </c>
      <c r="S3" s="15">
        <f t="shared" si="6"/>
        <v>2088274666</v>
      </c>
      <c r="T3" s="15">
        <f t="shared" si="6"/>
        <v>2129384031</v>
      </c>
      <c r="U3" s="15">
        <f t="shared" si="6"/>
        <v>2171505228</v>
      </c>
      <c r="V3" s="15">
        <f t="shared" si="6"/>
        <v>2214680339</v>
      </c>
      <c r="W3" s="15">
        <f t="shared" si="6"/>
        <v>2258486228</v>
      </c>
      <c r="X3" s="15">
        <f t="shared" si="6"/>
        <v>2303276317</v>
      </c>
      <c r="Y3" s="15">
        <f t="shared" si="6"/>
        <v>2348693824</v>
      </c>
      <c r="Z3" s="15">
        <f t="shared" si="6"/>
        <v>2394653744</v>
      </c>
      <c r="AA3" s="15">
        <f t="shared" si="6"/>
        <v>2441103779</v>
      </c>
      <c r="AB3" s="15">
        <f t="shared" si="6"/>
        <v>2488131467</v>
      </c>
      <c r="AC3" s="15">
        <f t="shared" si="6"/>
        <v>2535847686</v>
      </c>
      <c r="AD3" s="15">
        <f t="shared" si="6"/>
        <v>2583928001</v>
      </c>
      <c r="AE3" s="15">
        <f t="shared" si="6"/>
        <v>2632448355</v>
      </c>
      <c r="AF3" s="15">
        <f t="shared" si="6"/>
        <v>2681321310</v>
      </c>
      <c r="AG3" s="15">
        <f t="shared" si="6"/>
        <v>2730776519</v>
      </c>
      <c r="AH3" s="15">
        <f t="shared" si="6"/>
        <v>2780902298</v>
      </c>
      <c r="AI3" s="15">
        <f t="shared" ref="AI3:BJ3" si="7">SUM(AI1:AI2)</f>
        <v>2830996911</v>
      </c>
      <c r="AJ3" s="15">
        <f t="shared" si="7"/>
        <v>2880926193</v>
      </c>
      <c r="AK3" s="15">
        <f t="shared" si="7"/>
        <v>2931104329</v>
      </c>
      <c r="AL3" s="15">
        <f t="shared" si="7"/>
        <v>2981811697</v>
      </c>
      <c r="AM3" s="15">
        <f t="shared" si="7"/>
        <v>3032962995</v>
      </c>
      <c r="AN3" s="15">
        <f t="shared" si="7"/>
        <v>3084738229</v>
      </c>
      <c r="AO3" s="15">
        <f t="shared" si="7"/>
        <v>3136750547</v>
      </c>
      <c r="AP3" s="15">
        <f t="shared" si="7"/>
        <v>3188760045</v>
      </c>
      <c r="AQ3" s="15">
        <f t="shared" si="7"/>
        <v>3240867055</v>
      </c>
      <c r="AR3" s="15">
        <f t="shared" si="7"/>
        <v>3292778203</v>
      </c>
      <c r="AS3" s="15">
        <f t="shared" si="7"/>
        <v>3344520681</v>
      </c>
      <c r="AT3" s="15">
        <f t="shared" si="7"/>
        <v>3396137001</v>
      </c>
      <c r="AU3" s="15">
        <f t="shared" si="7"/>
        <v>3447963615</v>
      </c>
      <c r="AV3" s="15">
        <f t="shared" si="7"/>
        <v>3499866247</v>
      </c>
      <c r="AW3" s="15">
        <f t="shared" si="7"/>
        <v>3552238904</v>
      </c>
      <c r="AX3" s="15">
        <f t="shared" si="7"/>
        <v>3604834432</v>
      </c>
      <c r="AY3" s="15">
        <f t="shared" si="7"/>
        <v>3657898225</v>
      </c>
      <c r="AZ3" s="15">
        <f t="shared" si="7"/>
        <v>3710073623</v>
      </c>
      <c r="BA3" s="15">
        <f t="shared" si="7"/>
        <v>3761622949</v>
      </c>
      <c r="BB3" s="15">
        <f t="shared" si="7"/>
        <v>3812456924</v>
      </c>
      <c r="BC3" s="15">
        <f t="shared" si="7"/>
        <v>3863011739</v>
      </c>
      <c r="BD3" s="15">
        <f t="shared" si="7"/>
        <v>3913795163</v>
      </c>
      <c r="BE3" s="15">
        <f t="shared" si="7"/>
        <v>3964957348</v>
      </c>
      <c r="BF3" s="15">
        <f t="shared" si="7"/>
        <v>4016031009</v>
      </c>
      <c r="BG3" s="15">
        <f t="shared" si="7"/>
        <v>4067488837</v>
      </c>
      <c r="BH3" s="15">
        <f t="shared" si="7"/>
        <v>4118871518</v>
      </c>
      <c r="BI3" s="15">
        <f t="shared" si="7"/>
        <v>4169986371</v>
      </c>
      <c r="BJ3" s="15">
        <f t="shared" si="7"/>
        <v>4220905861</v>
      </c>
    </row>
    <row r="4" spans="1:62" x14ac:dyDescent="0.45">
      <c r="C4" s="15">
        <f t="shared" ref="C4:AH4" si="8">SUM(C1:C2)</f>
        <v>1526241075</v>
      </c>
      <c r="D4" s="15">
        <f t="shared" si="8"/>
        <v>1557986628</v>
      </c>
      <c r="E4" s="15">
        <f t="shared" si="8"/>
        <v>1589017065</v>
      </c>
      <c r="F4" s="15">
        <f t="shared" si="8"/>
        <v>1620670690</v>
      </c>
      <c r="G4" s="15">
        <f t="shared" si="8"/>
        <v>1653035620</v>
      </c>
      <c r="H4" s="15">
        <f t="shared" si="8"/>
        <v>1685855579</v>
      </c>
      <c r="I4" s="15">
        <f t="shared" si="8"/>
        <v>1718900483</v>
      </c>
      <c r="J4" s="15">
        <f t="shared" si="8"/>
        <v>1752429048</v>
      </c>
      <c r="K4" s="15">
        <f t="shared" si="8"/>
        <v>1785758651</v>
      </c>
      <c r="L4" s="15">
        <f t="shared" si="8"/>
        <v>1821313923</v>
      </c>
      <c r="M4" s="15">
        <f t="shared" si="8"/>
        <v>1857047728</v>
      </c>
      <c r="N4" s="15">
        <f t="shared" si="8"/>
        <v>1894118036</v>
      </c>
      <c r="O4" s="15">
        <f t="shared" si="8"/>
        <v>1931477385</v>
      </c>
      <c r="P4" s="15">
        <f t="shared" si="8"/>
        <v>1968737330</v>
      </c>
      <c r="Q4" s="15">
        <f t="shared" si="8"/>
        <v>2008107512</v>
      </c>
      <c r="R4" s="15">
        <f t="shared" si="8"/>
        <v>2048292492</v>
      </c>
      <c r="S4" s="15">
        <f t="shared" si="8"/>
        <v>2088274666</v>
      </c>
      <c r="T4" s="15">
        <f t="shared" si="8"/>
        <v>2129384031</v>
      </c>
      <c r="U4" s="15">
        <f t="shared" si="8"/>
        <v>2171505228</v>
      </c>
      <c r="V4" s="15">
        <f t="shared" si="8"/>
        <v>2214680339</v>
      </c>
      <c r="W4" s="15">
        <f t="shared" si="8"/>
        <v>2258486228</v>
      </c>
      <c r="X4" s="15">
        <f t="shared" si="8"/>
        <v>2303276317</v>
      </c>
      <c r="Y4" s="15">
        <f t="shared" si="8"/>
        <v>2348693824</v>
      </c>
      <c r="Z4" s="15">
        <f t="shared" si="8"/>
        <v>2394653744</v>
      </c>
      <c r="AA4" s="15">
        <f t="shared" si="8"/>
        <v>2441103779</v>
      </c>
      <c r="AB4" s="15">
        <f t="shared" si="8"/>
        <v>2488131467</v>
      </c>
      <c r="AC4" s="15">
        <f t="shared" si="8"/>
        <v>2535847686</v>
      </c>
      <c r="AD4" s="15">
        <f t="shared" si="8"/>
        <v>2583928001</v>
      </c>
      <c r="AE4" s="15">
        <f t="shared" si="8"/>
        <v>2632448355</v>
      </c>
      <c r="AF4" s="15">
        <f t="shared" si="8"/>
        <v>2681321310</v>
      </c>
      <c r="AG4" s="15">
        <f t="shared" si="8"/>
        <v>2730776519</v>
      </c>
      <c r="AH4" s="15">
        <f t="shared" si="8"/>
        <v>2780902298</v>
      </c>
      <c r="AI4" s="15">
        <f t="shared" ref="AI4:BJ4" si="9">SUM(AI1:AI2)</f>
        <v>2830996911</v>
      </c>
      <c r="AJ4" s="15">
        <f t="shared" si="9"/>
        <v>2880926193</v>
      </c>
      <c r="AK4" s="15">
        <f t="shared" si="9"/>
        <v>2931104329</v>
      </c>
      <c r="AL4" s="15">
        <f t="shared" si="9"/>
        <v>2981811697</v>
      </c>
      <c r="AM4" s="15">
        <f t="shared" si="9"/>
        <v>3032962995</v>
      </c>
      <c r="AN4" s="15">
        <f t="shared" si="9"/>
        <v>3084738229</v>
      </c>
      <c r="AO4" s="15">
        <f t="shared" si="9"/>
        <v>3136750547</v>
      </c>
      <c r="AP4" s="15">
        <f t="shared" si="9"/>
        <v>3188760045</v>
      </c>
      <c r="AQ4" s="15">
        <f t="shared" si="9"/>
        <v>3240867055</v>
      </c>
      <c r="AR4" s="15">
        <f t="shared" si="9"/>
        <v>3292778203</v>
      </c>
      <c r="AS4" s="15">
        <f t="shared" si="9"/>
        <v>3344520681</v>
      </c>
      <c r="AT4" s="15">
        <f t="shared" si="9"/>
        <v>3396137001</v>
      </c>
      <c r="AU4" s="15">
        <f t="shared" si="9"/>
        <v>3447963615</v>
      </c>
      <c r="AV4" s="15">
        <f t="shared" si="9"/>
        <v>3499866247</v>
      </c>
      <c r="AW4" s="15">
        <f t="shared" si="9"/>
        <v>3552238904</v>
      </c>
      <c r="AX4" s="15">
        <f t="shared" si="9"/>
        <v>3604834432</v>
      </c>
      <c r="AY4" s="15">
        <f t="shared" si="9"/>
        <v>3657898225</v>
      </c>
      <c r="AZ4" s="15">
        <f t="shared" si="9"/>
        <v>3710073623</v>
      </c>
      <c r="BA4" s="15">
        <f t="shared" si="9"/>
        <v>3761622949</v>
      </c>
      <c r="BB4" s="15">
        <f t="shared" si="9"/>
        <v>3812456924</v>
      </c>
      <c r="BC4" s="15">
        <f t="shared" si="9"/>
        <v>3863011739</v>
      </c>
      <c r="BD4" s="15">
        <f t="shared" si="9"/>
        <v>3913795163</v>
      </c>
      <c r="BE4" s="15">
        <f t="shared" si="9"/>
        <v>3964957348</v>
      </c>
      <c r="BF4" s="15">
        <f t="shared" si="9"/>
        <v>4016031009</v>
      </c>
      <c r="BG4" s="15">
        <f t="shared" si="9"/>
        <v>4067488837</v>
      </c>
      <c r="BH4" s="15">
        <f t="shared" si="9"/>
        <v>4118871518</v>
      </c>
      <c r="BI4" s="15">
        <f t="shared" si="9"/>
        <v>4169986371</v>
      </c>
      <c r="BJ4" s="15">
        <f t="shared" si="9"/>
        <v>4220905861</v>
      </c>
    </row>
    <row r="5" spans="1:62" x14ac:dyDescent="0.45">
      <c r="A5" s="9" t="s">
        <v>23</v>
      </c>
      <c r="B5" t="s" vm="2">
        <v>81</v>
      </c>
    </row>
    <row r="6" spans="1:62" x14ac:dyDescent="0.45">
      <c r="A6" s="9" t="s">
        <v>27</v>
      </c>
      <c r="B6" t="s" vm="1">
        <v>24</v>
      </c>
    </row>
    <row r="7" spans="1:62" x14ac:dyDescent="0.45">
      <c r="A7" s="9" t="s">
        <v>83</v>
      </c>
      <c r="B7" t="s" vm="3">
        <v>82</v>
      </c>
      <c r="E7" s="11"/>
      <c r="F7" s="11"/>
      <c r="G7" s="11"/>
      <c r="H7" s="11"/>
      <c r="I7" s="11"/>
      <c r="J7" s="11"/>
      <c r="K7" s="11"/>
      <c r="L7" s="11"/>
      <c r="M7" s="11"/>
    </row>
    <row r="8" spans="1:62" x14ac:dyDescent="0.45">
      <c r="A8" s="9" t="s">
        <v>164</v>
      </c>
      <c r="B8" t="s" vm="2268">
        <v>191</v>
      </c>
    </row>
    <row r="10" spans="1:62" x14ac:dyDescent="0.45">
      <c r="A10" s="9" t="s">
        <v>79</v>
      </c>
      <c r="C10" s="9" t="s">
        <v>165</v>
      </c>
    </row>
    <row r="11" spans="1:62" x14ac:dyDescent="0.45">
      <c r="A11" s="9" t="s">
        <v>166</v>
      </c>
      <c r="B11" s="9" t="s">
        <v>167</v>
      </c>
      <c r="C11" t="s">
        <v>192</v>
      </c>
      <c r="D11" t="s">
        <v>193</v>
      </c>
      <c r="E11" t="s">
        <v>194</v>
      </c>
      <c r="F11" t="s">
        <v>195</v>
      </c>
      <c r="G11" t="s">
        <v>196</v>
      </c>
      <c r="H11" t="s">
        <v>197</v>
      </c>
      <c r="I11" t="s">
        <v>198</v>
      </c>
      <c r="J11" t="s">
        <v>199</v>
      </c>
      <c r="K11" t="s">
        <v>200</v>
      </c>
      <c r="L11" t="s">
        <v>201</v>
      </c>
      <c r="M11" t="s">
        <v>29</v>
      </c>
      <c r="N11" t="s">
        <v>30</v>
      </c>
      <c r="O11" t="s">
        <v>31</v>
      </c>
      <c r="P11" t="s">
        <v>32</v>
      </c>
      <c r="Q11" t="s">
        <v>33</v>
      </c>
      <c r="R11" t="s">
        <v>34</v>
      </c>
      <c r="S11" t="s">
        <v>35</v>
      </c>
      <c r="T11" t="s">
        <v>36</v>
      </c>
      <c r="U11" t="s">
        <v>37</v>
      </c>
      <c r="V11" t="s">
        <v>38</v>
      </c>
      <c r="W11" t="s">
        <v>39</v>
      </c>
      <c r="X11" t="s">
        <v>40</v>
      </c>
      <c r="Y11" t="s">
        <v>41</v>
      </c>
      <c r="Z11" t="s">
        <v>42</v>
      </c>
      <c r="AA11" t="s">
        <v>43</v>
      </c>
      <c r="AB11" t="s">
        <v>44</v>
      </c>
      <c r="AC11" t="s">
        <v>45</v>
      </c>
      <c r="AD11" t="s">
        <v>46</v>
      </c>
      <c r="AE11" t="s">
        <v>47</v>
      </c>
      <c r="AF11" t="s">
        <v>48</v>
      </c>
      <c r="AG11" t="s">
        <v>49</v>
      </c>
      <c r="AH11" t="s">
        <v>50</v>
      </c>
      <c r="AI11" t="s">
        <v>51</v>
      </c>
      <c r="AJ11" t="s">
        <v>52</v>
      </c>
      <c r="AK11" t="s">
        <v>53</v>
      </c>
      <c r="AL11" t="s">
        <v>54</v>
      </c>
      <c r="AM11" t="s">
        <v>55</v>
      </c>
      <c r="AN11" t="s">
        <v>56</v>
      </c>
      <c r="AO11" t="s">
        <v>57</v>
      </c>
      <c r="AP11" t="s">
        <v>58</v>
      </c>
      <c r="AQ11" t="s">
        <v>59</v>
      </c>
      <c r="AR11" t="s">
        <v>60</v>
      </c>
      <c r="AS11" t="s">
        <v>61</v>
      </c>
      <c r="AT11" t="s">
        <v>62</v>
      </c>
      <c r="AU11" t="s">
        <v>63</v>
      </c>
      <c r="AV11" t="s">
        <v>64</v>
      </c>
      <c r="AW11" t="s">
        <v>65</v>
      </c>
      <c r="AX11" t="s">
        <v>66</v>
      </c>
      <c r="AY11" t="s">
        <v>67</v>
      </c>
      <c r="AZ11" t="s">
        <v>68</v>
      </c>
      <c r="BA11" t="s">
        <v>69</v>
      </c>
      <c r="BB11" t="s">
        <v>70</v>
      </c>
      <c r="BC11" t="s">
        <v>71</v>
      </c>
      <c r="BD11" t="s">
        <v>72</v>
      </c>
      <c r="BE11" t="s">
        <v>73</v>
      </c>
      <c r="BF11" t="s">
        <v>74</v>
      </c>
      <c r="BG11" t="s">
        <v>75</v>
      </c>
      <c r="BH11" t="s">
        <v>76</v>
      </c>
      <c r="BI11" t="s">
        <v>77</v>
      </c>
      <c r="BJ11" t="s">
        <v>78</v>
      </c>
    </row>
    <row r="12" spans="1:62" x14ac:dyDescent="0.45">
      <c r="A12" t="s">
        <v>25</v>
      </c>
      <c r="B12" t="s">
        <v>84</v>
      </c>
      <c r="C12" s="10">
        <v>10276477</v>
      </c>
      <c r="D12" s="10">
        <v>10483000</v>
      </c>
      <c r="E12" s="10">
        <v>10742000</v>
      </c>
      <c r="F12" s="10">
        <v>10950000</v>
      </c>
      <c r="G12" s="10">
        <v>11167000</v>
      </c>
      <c r="H12" s="10">
        <v>11388000</v>
      </c>
      <c r="I12" s="10">
        <v>11651000</v>
      </c>
      <c r="J12" s="10">
        <v>11799000</v>
      </c>
      <c r="K12" s="10">
        <v>12009000</v>
      </c>
      <c r="L12" s="10">
        <v>12263000</v>
      </c>
      <c r="M12" s="10">
        <v>12507000</v>
      </c>
      <c r="N12" s="10">
        <v>12937000</v>
      </c>
      <c r="O12" s="10">
        <v>13177000</v>
      </c>
      <c r="P12" s="10">
        <v>13380000</v>
      </c>
      <c r="Q12" s="10">
        <v>13723000</v>
      </c>
      <c r="R12" s="10">
        <v>13893000</v>
      </c>
      <c r="S12" s="10">
        <v>14033000</v>
      </c>
      <c r="T12" s="10">
        <v>14192000</v>
      </c>
      <c r="U12" s="10">
        <v>14358000</v>
      </c>
      <c r="V12" s="10">
        <v>14514000</v>
      </c>
      <c r="W12" s="10">
        <v>14692000</v>
      </c>
      <c r="X12" s="10">
        <v>14927000</v>
      </c>
      <c r="Y12" s="10">
        <v>15178000</v>
      </c>
      <c r="Z12" s="10">
        <v>15369000</v>
      </c>
      <c r="AA12" s="10">
        <v>15544000</v>
      </c>
      <c r="AB12" s="10">
        <v>15758000</v>
      </c>
      <c r="AC12" s="10">
        <v>16018400</v>
      </c>
      <c r="AD12" s="10">
        <v>16263900</v>
      </c>
      <c r="AE12" s="10">
        <v>16532200</v>
      </c>
      <c r="AF12" s="10">
        <v>16814400</v>
      </c>
      <c r="AG12" s="10">
        <v>17065100</v>
      </c>
      <c r="AH12" s="10">
        <v>17284000</v>
      </c>
      <c r="AI12" s="10">
        <v>17495000</v>
      </c>
      <c r="AJ12" s="10">
        <v>17667000</v>
      </c>
      <c r="AK12" s="10">
        <v>17855000</v>
      </c>
      <c r="AL12" s="10">
        <v>18072000</v>
      </c>
      <c r="AM12" s="10">
        <v>18311000</v>
      </c>
      <c r="AN12" s="10">
        <v>18517000</v>
      </c>
      <c r="AO12" s="10">
        <v>18711000</v>
      </c>
      <c r="AP12" s="10">
        <v>18926000</v>
      </c>
      <c r="AQ12" s="10">
        <v>19153000</v>
      </c>
      <c r="AR12" s="10">
        <v>19413000</v>
      </c>
      <c r="AS12" s="10">
        <v>19651400</v>
      </c>
      <c r="AT12" s="10">
        <v>19895400</v>
      </c>
      <c r="AU12" s="10">
        <v>20127400</v>
      </c>
      <c r="AV12" s="10">
        <v>20394800</v>
      </c>
      <c r="AW12" s="10">
        <v>20697900</v>
      </c>
      <c r="AX12" s="10">
        <v>20827600</v>
      </c>
      <c r="AY12" s="10">
        <v>21249200</v>
      </c>
      <c r="AZ12" s="10">
        <v>21691700</v>
      </c>
      <c r="BA12" s="10">
        <v>22031750</v>
      </c>
      <c r="BB12" s="10">
        <v>22340024</v>
      </c>
      <c r="BC12" s="10">
        <v>22733464</v>
      </c>
      <c r="BD12" s="10">
        <v>23128128</v>
      </c>
      <c r="BE12" s="10">
        <v>23475686</v>
      </c>
      <c r="BF12" s="10">
        <v>23815996</v>
      </c>
      <c r="BG12" s="10">
        <v>24190908</v>
      </c>
      <c r="BH12" s="10">
        <v>24601860</v>
      </c>
      <c r="BI12" s="10">
        <v>24982688</v>
      </c>
      <c r="BJ12" s="10">
        <v>25364308</v>
      </c>
    </row>
    <row r="13" spans="1:62" x14ac:dyDescent="0.45">
      <c r="A13" t="s">
        <v>25</v>
      </c>
      <c r="B13" t="s">
        <v>85</v>
      </c>
      <c r="C13" s="10">
        <v>7047539</v>
      </c>
      <c r="D13" s="10">
        <v>7086299</v>
      </c>
      <c r="E13" s="10">
        <v>7129864</v>
      </c>
      <c r="F13" s="10">
        <v>7175811</v>
      </c>
      <c r="G13" s="10">
        <v>7223801</v>
      </c>
      <c r="H13" s="10">
        <v>7270889</v>
      </c>
      <c r="I13" s="10">
        <v>7322066</v>
      </c>
      <c r="J13" s="10">
        <v>7376998</v>
      </c>
      <c r="K13" s="10">
        <v>7415403</v>
      </c>
      <c r="L13" s="10">
        <v>7441055</v>
      </c>
      <c r="M13" s="10">
        <v>7467086</v>
      </c>
      <c r="N13" s="10">
        <v>7500482</v>
      </c>
      <c r="O13" s="10">
        <v>7544201</v>
      </c>
      <c r="P13" s="10">
        <v>7586115</v>
      </c>
      <c r="Q13" s="10">
        <v>7599038</v>
      </c>
      <c r="R13" s="10">
        <v>7578903</v>
      </c>
      <c r="S13" s="10">
        <v>7565525</v>
      </c>
      <c r="T13" s="10">
        <v>7568430</v>
      </c>
      <c r="U13" s="10">
        <v>7562305</v>
      </c>
      <c r="V13" s="10">
        <v>7549425</v>
      </c>
      <c r="W13" s="10">
        <v>7549433</v>
      </c>
      <c r="X13" s="10">
        <v>7568710</v>
      </c>
      <c r="Y13" s="10">
        <v>7574140</v>
      </c>
      <c r="Z13" s="10">
        <v>7561910</v>
      </c>
      <c r="AA13" s="10">
        <v>7561434</v>
      </c>
      <c r="AB13" s="10">
        <v>7564985</v>
      </c>
      <c r="AC13" s="10">
        <v>7569794</v>
      </c>
      <c r="AD13" s="10">
        <v>7574586</v>
      </c>
      <c r="AE13" s="10">
        <v>7585317</v>
      </c>
      <c r="AF13" s="10">
        <v>7619567</v>
      </c>
      <c r="AG13" s="10">
        <v>7677850</v>
      </c>
      <c r="AH13" s="10">
        <v>7754891</v>
      </c>
      <c r="AI13" s="10">
        <v>7840709</v>
      </c>
      <c r="AJ13" s="10">
        <v>7905633</v>
      </c>
      <c r="AK13" s="10">
        <v>7936118</v>
      </c>
      <c r="AL13" s="10">
        <v>7948278</v>
      </c>
      <c r="AM13" s="10">
        <v>7959017</v>
      </c>
      <c r="AN13" s="10">
        <v>7968041</v>
      </c>
      <c r="AO13" s="10">
        <v>7976789</v>
      </c>
      <c r="AP13" s="10">
        <v>7992324</v>
      </c>
      <c r="AQ13" s="10">
        <v>8011566</v>
      </c>
      <c r="AR13" s="10">
        <v>8042293</v>
      </c>
      <c r="AS13" s="10">
        <v>8081957</v>
      </c>
      <c r="AT13" s="10">
        <v>8121423</v>
      </c>
      <c r="AU13" s="10">
        <v>8171966</v>
      </c>
      <c r="AV13" s="10">
        <v>8227829</v>
      </c>
      <c r="AW13" s="10">
        <v>8268641</v>
      </c>
      <c r="AX13" s="10">
        <v>8295487</v>
      </c>
      <c r="AY13" s="10">
        <v>8321496</v>
      </c>
      <c r="AZ13" s="10">
        <v>8343323</v>
      </c>
      <c r="BA13" s="10">
        <v>8363404</v>
      </c>
      <c r="BB13" s="10">
        <v>8391643</v>
      </c>
      <c r="BC13" s="10">
        <v>8429991</v>
      </c>
      <c r="BD13" s="10">
        <v>8479823</v>
      </c>
      <c r="BE13" s="10">
        <v>8546356</v>
      </c>
      <c r="BF13" s="10">
        <v>8642699</v>
      </c>
      <c r="BG13" s="10">
        <v>8736668</v>
      </c>
      <c r="BH13" s="10">
        <v>8797566</v>
      </c>
      <c r="BI13" s="10">
        <v>8840521</v>
      </c>
      <c r="BJ13" s="10">
        <v>8877067</v>
      </c>
    </row>
    <row r="14" spans="1:62" x14ac:dyDescent="0.45">
      <c r="A14" t="s">
        <v>25</v>
      </c>
      <c r="B14" t="s">
        <v>86</v>
      </c>
      <c r="C14" s="10">
        <v>9153489</v>
      </c>
      <c r="D14" s="10">
        <v>9183948</v>
      </c>
      <c r="E14" s="10">
        <v>9220578</v>
      </c>
      <c r="F14" s="10">
        <v>9289770</v>
      </c>
      <c r="G14" s="10">
        <v>9378113</v>
      </c>
      <c r="H14" s="10">
        <v>9463667</v>
      </c>
      <c r="I14" s="10">
        <v>9527807</v>
      </c>
      <c r="J14" s="10">
        <v>9580991</v>
      </c>
      <c r="K14" s="10">
        <v>9618756</v>
      </c>
      <c r="L14" s="10">
        <v>9646032</v>
      </c>
      <c r="M14" s="10">
        <v>9655549</v>
      </c>
      <c r="N14" s="10">
        <v>9673162</v>
      </c>
      <c r="O14" s="10">
        <v>9711115</v>
      </c>
      <c r="P14" s="10">
        <v>9741720</v>
      </c>
      <c r="Q14" s="10">
        <v>9772419</v>
      </c>
      <c r="R14" s="10">
        <v>9800700</v>
      </c>
      <c r="S14" s="10">
        <v>9818227</v>
      </c>
      <c r="T14" s="10">
        <v>9830358</v>
      </c>
      <c r="U14" s="10">
        <v>9839534</v>
      </c>
      <c r="V14" s="10">
        <v>9848382</v>
      </c>
      <c r="W14" s="10">
        <v>9859242</v>
      </c>
      <c r="X14" s="10">
        <v>9858982</v>
      </c>
      <c r="Y14" s="10">
        <v>9856303</v>
      </c>
      <c r="Z14" s="10">
        <v>9855520</v>
      </c>
      <c r="AA14" s="10">
        <v>9855372</v>
      </c>
      <c r="AB14" s="10">
        <v>9858308</v>
      </c>
      <c r="AC14" s="10">
        <v>9861823</v>
      </c>
      <c r="AD14" s="10">
        <v>9870234</v>
      </c>
      <c r="AE14" s="10">
        <v>9901664</v>
      </c>
      <c r="AF14" s="10">
        <v>9937697</v>
      </c>
      <c r="AG14" s="10">
        <v>9967379</v>
      </c>
      <c r="AH14" s="10">
        <v>10004486</v>
      </c>
      <c r="AI14" s="10">
        <v>10045158</v>
      </c>
      <c r="AJ14" s="10">
        <v>10084475</v>
      </c>
      <c r="AK14" s="10">
        <v>10115603</v>
      </c>
      <c r="AL14" s="10">
        <v>10136811</v>
      </c>
      <c r="AM14" s="10">
        <v>10156637</v>
      </c>
      <c r="AN14" s="10">
        <v>10181245</v>
      </c>
      <c r="AO14" s="10">
        <v>10203008</v>
      </c>
      <c r="AP14" s="10">
        <v>10226419</v>
      </c>
      <c r="AQ14" s="10">
        <v>10251250</v>
      </c>
      <c r="AR14" s="10">
        <v>10286570</v>
      </c>
      <c r="AS14" s="10">
        <v>10332785</v>
      </c>
      <c r="AT14" s="10">
        <v>10376133</v>
      </c>
      <c r="AU14" s="10">
        <v>10421137</v>
      </c>
      <c r="AV14" s="10">
        <v>10478617</v>
      </c>
      <c r="AW14" s="10">
        <v>10547958</v>
      </c>
      <c r="AX14" s="10">
        <v>10625700</v>
      </c>
      <c r="AY14" s="10">
        <v>10709973</v>
      </c>
      <c r="AZ14" s="10">
        <v>10796493</v>
      </c>
      <c r="BA14" s="10">
        <v>10895586</v>
      </c>
      <c r="BB14" s="10">
        <v>11038264</v>
      </c>
      <c r="BC14" s="10">
        <v>11106932</v>
      </c>
      <c r="BD14" s="10">
        <v>11159407</v>
      </c>
      <c r="BE14" s="10">
        <v>11209057</v>
      </c>
      <c r="BF14" s="10">
        <v>11274196</v>
      </c>
      <c r="BG14" s="10">
        <v>11331422</v>
      </c>
      <c r="BH14" s="10">
        <v>11375158</v>
      </c>
      <c r="BI14" s="10">
        <v>11427054</v>
      </c>
      <c r="BJ14" s="10">
        <v>11484055</v>
      </c>
    </row>
    <row r="15" spans="1:62" x14ac:dyDescent="0.45">
      <c r="A15" t="s">
        <v>25</v>
      </c>
      <c r="B15" t="s">
        <v>87</v>
      </c>
      <c r="C15" s="10">
        <v>4429634</v>
      </c>
      <c r="D15" s="10">
        <v>4461005</v>
      </c>
      <c r="E15" s="10">
        <v>4491443</v>
      </c>
      <c r="F15" s="10">
        <v>4523309</v>
      </c>
      <c r="G15" s="10">
        <v>4548543</v>
      </c>
      <c r="H15" s="10">
        <v>4563732</v>
      </c>
      <c r="I15" s="10">
        <v>4580869</v>
      </c>
      <c r="J15" s="10">
        <v>4605744</v>
      </c>
      <c r="K15" s="10">
        <v>4626469</v>
      </c>
      <c r="L15" s="10">
        <v>4623785</v>
      </c>
      <c r="M15" s="10">
        <v>4606307</v>
      </c>
      <c r="N15" s="10">
        <v>4612124</v>
      </c>
      <c r="O15" s="10">
        <v>4639657</v>
      </c>
      <c r="P15" s="10">
        <v>4666081</v>
      </c>
      <c r="Q15" s="10">
        <v>4690574</v>
      </c>
      <c r="R15" s="10">
        <v>4711440</v>
      </c>
      <c r="S15" s="10">
        <v>4725664</v>
      </c>
      <c r="T15" s="10">
        <v>4738902</v>
      </c>
      <c r="U15" s="10">
        <v>4752528</v>
      </c>
      <c r="V15" s="10">
        <v>4764690</v>
      </c>
      <c r="W15" s="10">
        <v>4779535</v>
      </c>
      <c r="X15" s="10">
        <v>4799964</v>
      </c>
      <c r="Y15" s="10">
        <v>4826933</v>
      </c>
      <c r="Z15" s="10">
        <v>4855787</v>
      </c>
      <c r="AA15" s="10">
        <v>4881803</v>
      </c>
      <c r="AB15" s="10">
        <v>4902206</v>
      </c>
      <c r="AC15" s="10">
        <v>4918154</v>
      </c>
      <c r="AD15" s="10">
        <v>4932123</v>
      </c>
      <c r="AE15" s="10">
        <v>4946481</v>
      </c>
      <c r="AF15" s="10">
        <v>4964371</v>
      </c>
      <c r="AG15" s="10">
        <v>4986431</v>
      </c>
      <c r="AH15" s="10">
        <v>5013740</v>
      </c>
      <c r="AI15" s="10">
        <v>5041992</v>
      </c>
      <c r="AJ15" s="10">
        <v>5066447</v>
      </c>
      <c r="AK15" s="10">
        <v>5088333</v>
      </c>
      <c r="AL15" s="10">
        <v>5107790</v>
      </c>
      <c r="AM15" s="10">
        <v>5124573</v>
      </c>
      <c r="AN15" s="10">
        <v>5139835</v>
      </c>
      <c r="AO15" s="10">
        <v>5153498</v>
      </c>
      <c r="AP15" s="10">
        <v>5165474</v>
      </c>
      <c r="AQ15" s="10">
        <v>5176209</v>
      </c>
      <c r="AR15" s="10">
        <v>5188008</v>
      </c>
      <c r="AS15" s="10">
        <v>5200598</v>
      </c>
      <c r="AT15" s="10">
        <v>5213014</v>
      </c>
      <c r="AU15" s="10">
        <v>5228172</v>
      </c>
      <c r="AV15" s="10">
        <v>5246096</v>
      </c>
      <c r="AW15" s="10">
        <v>5266268</v>
      </c>
      <c r="AX15" s="10">
        <v>5288720</v>
      </c>
      <c r="AY15" s="10">
        <v>5313399</v>
      </c>
      <c r="AZ15" s="10">
        <v>5338871</v>
      </c>
      <c r="BA15" s="10">
        <v>5363352</v>
      </c>
      <c r="BB15" s="10">
        <v>5388272</v>
      </c>
      <c r="BC15" s="10">
        <v>5413971</v>
      </c>
      <c r="BD15" s="10">
        <v>5438972</v>
      </c>
      <c r="BE15" s="10">
        <v>5461512</v>
      </c>
      <c r="BF15" s="10">
        <v>5479531</v>
      </c>
      <c r="BG15" s="10">
        <v>5495303</v>
      </c>
      <c r="BH15" s="10">
        <v>5508214</v>
      </c>
      <c r="BI15" s="10">
        <v>5515525</v>
      </c>
      <c r="BJ15" s="10">
        <v>5520314</v>
      </c>
    </row>
    <row r="16" spans="1:62" x14ac:dyDescent="0.45">
      <c r="A16" t="s">
        <v>25</v>
      </c>
      <c r="B16" t="s">
        <v>88</v>
      </c>
      <c r="C16" s="10">
        <v>46621668</v>
      </c>
      <c r="D16" s="10">
        <v>47240544</v>
      </c>
      <c r="E16" s="10">
        <v>47904876</v>
      </c>
      <c r="F16" s="10">
        <v>48582612</v>
      </c>
      <c r="G16" s="10">
        <v>49230596</v>
      </c>
      <c r="H16" s="10">
        <v>49818028</v>
      </c>
      <c r="I16" s="10">
        <v>50330264</v>
      </c>
      <c r="J16" s="10">
        <v>50775792</v>
      </c>
      <c r="K16" s="10">
        <v>51175508</v>
      </c>
      <c r="L16" s="10">
        <v>51561836</v>
      </c>
      <c r="M16" s="10">
        <v>51957736</v>
      </c>
      <c r="N16" s="10">
        <v>52371344</v>
      </c>
      <c r="O16" s="10">
        <v>52793136</v>
      </c>
      <c r="P16" s="10">
        <v>53207736</v>
      </c>
      <c r="Q16" s="10">
        <v>53592232</v>
      </c>
      <c r="R16" s="10">
        <v>53931392</v>
      </c>
      <c r="S16" s="10">
        <v>54220024</v>
      </c>
      <c r="T16" s="10">
        <v>54467704</v>
      </c>
      <c r="U16" s="10">
        <v>54691852</v>
      </c>
      <c r="V16" s="10">
        <v>54917120</v>
      </c>
      <c r="W16" s="10">
        <v>55161528</v>
      </c>
      <c r="X16" s="10">
        <v>55430296</v>
      </c>
      <c r="Y16" s="10">
        <v>55718932</v>
      </c>
      <c r="Z16" s="10">
        <v>56023768</v>
      </c>
      <c r="AA16" s="10">
        <v>56337664</v>
      </c>
      <c r="AB16" s="10">
        <v>56654696</v>
      </c>
      <c r="AC16" s="10">
        <v>56976124</v>
      </c>
      <c r="AD16" s="10">
        <v>57302664</v>
      </c>
      <c r="AE16" s="10">
        <v>57627104</v>
      </c>
      <c r="AF16" s="10">
        <v>57940212</v>
      </c>
      <c r="AG16" s="10">
        <v>58235696</v>
      </c>
      <c r="AH16" s="10">
        <v>58559312</v>
      </c>
      <c r="AI16" s="10">
        <v>58851216</v>
      </c>
      <c r="AJ16" s="10">
        <v>59106768</v>
      </c>
      <c r="AK16" s="10">
        <v>59327192</v>
      </c>
      <c r="AL16" s="10">
        <v>59541900</v>
      </c>
      <c r="AM16" s="10">
        <v>59753100</v>
      </c>
      <c r="AN16" s="10">
        <v>59964852</v>
      </c>
      <c r="AO16" s="10">
        <v>60186288</v>
      </c>
      <c r="AP16" s="10">
        <v>60496720</v>
      </c>
      <c r="AQ16" s="10">
        <v>60912500</v>
      </c>
      <c r="AR16" s="10">
        <v>61357432</v>
      </c>
      <c r="AS16" s="10">
        <v>61805268</v>
      </c>
      <c r="AT16" s="10">
        <v>62244888</v>
      </c>
      <c r="AU16" s="10">
        <v>62704896</v>
      </c>
      <c r="AV16" s="10">
        <v>63179352</v>
      </c>
      <c r="AW16" s="10">
        <v>63621380</v>
      </c>
      <c r="AX16" s="10">
        <v>64016224</v>
      </c>
      <c r="AY16" s="10">
        <v>64374984</v>
      </c>
      <c r="AZ16" s="10">
        <v>64707040</v>
      </c>
      <c r="BA16" s="10">
        <v>65027508</v>
      </c>
      <c r="BB16" s="10">
        <v>65342780</v>
      </c>
      <c r="BC16" s="10">
        <v>65659808</v>
      </c>
      <c r="BD16" s="10">
        <v>65998688</v>
      </c>
      <c r="BE16" s="10">
        <v>66312068</v>
      </c>
      <c r="BF16" s="10">
        <v>66548272</v>
      </c>
      <c r="BG16" s="10">
        <v>66724104</v>
      </c>
      <c r="BH16" s="10">
        <v>66864380</v>
      </c>
      <c r="BI16" s="10">
        <v>66965912</v>
      </c>
      <c r="BJ16" s="10">
        <v>67059888</v>
      </c>
    </row>
    <row r="17" spans="1:62" x14ac:dyDescent="0.45">
      <c r="A17" t="s">
        <v>25</v>
      </c>
      <c r="B17" t="s">
        <v>89</v>
      </c>
      <c r="C17" s="10">
        <v>8331725</v>
      </c>
      <c r="D17" s="10">
        <v>8398050</v>
      </c>
      <c r="E17" s="10">
        <v>8448233</v>
      </c>
      <c r="F17" s="10">
        <v>8479625</v>
      </c>
      <c r="G17" s="10">
        <v>8510429</v>
      </c>
      <c r="H17" s="10">
        <v>8550333</v>
      </c>
      <c r="I17" s="10">
        <v>8613651</v>
      </c>
      <c r="J17" s="10">
        <v>8684088</v>
      </c>
      <c r="K17" s="10">
        <v>8740765</v>
      </c>
      <c r="L17" s="10">
        <v>8772764</v>
      </c>
      <c r="M17" s="10">
        <v>8792806</v>
      </c>
      <c r="N17" s="10">
        <v>8831036</v>
      </c>
      <c r="O17" s="10">
        <v>8888628</v>
      </c>
      <c r="P17" s="10">
        <v>8929086</v>
      </c>
      <c r="Q17" s="10">
        <v>8962022</v>
      </c>
      <c r="R17" s="10">
        <v>9046541</v>
      </c>
      <c r="S17" s="10">
        <v>9188150</v>
      </c>
      <c r="T17" s="10">
        <v>9308479</v>
      </c>
      <c r="U17" s="10">
        <v>9429959</v>
      </c>
      <c r="V17" s="10">
        <v>9548258</v>
      </c>
      <c r="W17" s="10">
        <v>9642505</v>
      </c>
      <c r="X17" s="10">
        <v>9729350</v>
      </c>
      <c r="Y17" s="10">
        <v>9789513</v>
      </c>
      <c r="Z17" s="10">
        <v>9846627</v>
      </c>
      <c r="AA17" s="10">
        <v>9895801</v>
      </c>
      <c r="AB17" s="10">
        <v>9934300</v>
      </c>
      <c r="AC17" s="10">
        <v>9967213</v>
      </c>
      <c r="AD17" s="10">
        <v>10000595</v>
      </c>
      <c r="AE17" s="10">
        <v>10036983</v>
      </c>
      <c r="AF17" s="10">
        <v>10089498</v>
      </c>
      <c r="AG17" s="10">
        <v>10196792</v>
      </c>
      <c r="AH17" s="10">
        <v>10319927</v>
      </c>
      <c r="AI17" s="10">
        <v>10399061</v>
      </c>
      <c r="AJ17" s="10">
        <v>10460415</v>
      </c>
      <c r="AK17" s="10">
        <v>10512922</v>
      </c>
      <c r="AL17" s="10">
        <v>10562153</v>
      </c>
      <c r="AM17" s="10">
        <v>10608800</v>
      </c>
      <c r="AN17" s="10">
        <v>10661259</v>
      </c>
      <c r="AO17" s="10">
        <v>10720509</v>
      </c>
      <c r="AP17" s="10">
        <v>10761698</v>
      </c>
      <c r="AQ17" s="10">
        <v>10805808</v>
      </c>
      <c r="AR17" s="10">
        <v>10862132</v>
      </c>
      <c r="AS17" s="10">
        <v>10902022</v>
      </c>
      <c r="AT17" s="10">
        <v>10928070</v>
      </c>
      <c r="AU17" s="10">
        <v>10955141</v>
      </c>
      <c r="AV17" s="10">
        <v>10987314</v>
      </c>
      <c r="AW17" s="10">
        <v>11020362</v>
      </c>
      <c r="AX17" s="10">
        <v>11048473</v>
      </c>
      <c r="AY17" s="10">
        <v>11077841</v>
      </c>
      <c r="AZ17" s="10">
        <v>11107017</v>
      </c>
      <c r="BA17" s="10">
        <v>11121341</v>
      </c>
      <c r="BB17" s="10">
        <v>11104899</v>
      </c>
      <c r="BC17" s="10">
        <v>11045011</v>
      </c>
      <c r="BD17" s="10">
        <v>10965211</v>
      </c>
      <c r="BE17" s="10">
        <v>10892413</v>
      </c>
      <c r="BF17" s="10">
        <v>10820883</v>
      </c>
      <c r="BG17" s="10">
        <v>10775971</v>
      </c>
      <c r="BH17" s="10">
        <v>10754679</v>
      </c>
      <c r="BI17" s="10">
        <v>10732882</v>
      </c>
      <c r="BJ17" s="10">
        <v>10716322</v>
      </c>
    </row>
    <row r="18" spans="1:62" x14ac:dyDescent="0.45">
      <c r="A18" t="s">
        <v>25</v>
      </c>
      <c r="B18" t="s">
        <v>90</v>
      </c>
      <c r="C18" s="10">
        <v>2114020</v>
      </c>
      <c r="D18" s="10">
        <v>2185000</v>
      </c>
      <c r="E18" s="10">
        <v>2293000</v>
      </c>
      <c r="F18" s="10">
        <v>2379000</v>
      </c>
      <c r="G18" s="10">
        <v>2475000</v>
      </c>
      <c r="H18" s="10">
        <v>2563000</v>
      </c>
      <c r="I18" s="10">
        <v>2629000</v>
      </c>
      <c r="J18" s="10">
        <v>2745000</v>
      </c>
      <c r="K18" s="10">
        <v>2803000</v>
      </c>
      <c r="L18" s="10">
        <v>2877000</v>
      </c>
      <c r="M18" s="10">
        <v>2974000</v>
      </c>
      <c r="N18" s="10">
        <v>3069000</v>
      </c>
      <c r="O18" s="10">
        <v>3148000</v>
      </c>
      <c r="P18" s="10">
        <v>3278000</v>
      </c>
      <c r="Q18" s="10">
        <v>3377000</v>
      </c>
      <c r="R18" s="10">
        <v>3455000</v>
      </c>
      <c r="S18" s="10">
        <v>3533000</v>
      </c>
      <c r="T18" s="10">
        <v>3613000</v>
      </c>
      <c r="U18" s="10">
        <v>3690000</v>
      </c>
      <c r="V18" s="10">
        <v>3786000</v>
      </c>
      <c r="W18" s="10">
        <v>3878000</v>
      </c>
      <c r="X18" s="10">
        <v>3956000</v>
      </c>
      <c r="Y18" s="10">
        <v>4031000</v>
      </c>
      <c r="Z18" s="10">
        <v>4105000</v>
      </c>
      <c r="AA18" s="10">
        <v>4159000</v>
      </c>
      <c r="AB18" s="10">
        <v>4233000</v>
      </c>
      <c r="AC18" s="10">
        <v>4299000</v>
      </c>
      <c r="AD18" s="10">
        <v>4369000</v>
      </c>
      <c r="AE18" s="10">
        <v>4442000</v>
      </c>
      <c r="AF18" s="10">
        <v>4518000</v>
      </c>
      <c r="AG18" s="10">
        <v>4660000</v>
      </c>
      <c r="AH18" s="10">
        <v>4949000</v>
      </c>
      <c r="AI18" s="10">
        <v>5123000</v>
      </c>
      <c r="AJ18" s="10">
        <v>5261000</v>
      </c>
      <c r="AK18" s="10">
        <v>5399000</v>
      </c>
      <c r="AL18" s="10">
        <v>5545000</v>
      </c>
      <c r="AM18" s="10">
        <v>5692000</v>
      </c>
      <c r="AN18" s="10">
        <v>5836000</v>
      </c>
      <c r="AO18" s="10">
        <v>5971000</v>
      </c>
      <c r="AP18" s="10">
        <v>6125000</v>
      </c>
      <c r="AQ18" s="10">
        <v>6289000</v>
      </c>
      <c r="AR18" s="10">
        <v>6439000</v>
      </c>
      <c r="AS18" s="10">
        <v>6570000</v>
      </c>
      <c r="AT18" s="10">
        <v>6689700</v>
      </c>
      <c r="AU18" s="10">
        <v>6809000</v>
      </c>
      <c r="AV18" s="10">
        <v>6930100</v>
      </c>
      <c r="AW18" s="10">
        <v>7053700</v>
      </c>
      <c r="AX18" s="10">
        <v>7180100</v>
      </c>
      <c r="AY18" s="10">
        <v>7308800</v>
      </c>
      <c r="AZ18" s="10">
        <v>7485600</v>
      </c>
      <c r="BA18" s="10">
        <v>7623600</v>
      </c>
      <c r="BB18" s="10">
        <v>7765800</v>
      </c>
      <c r="BC18" s="10">
        <v>7910500</v>
      </c>
      <c r="BD18" s="10">
        <v>8059500</v>
      </c>
      <c r="BE18" s="10">
        <v>8215700</v>
      </c>
      <c r="BF18" s="10">
        <v>8380100</v>
      </c>
      <c r="BG18" s="10">
        <v>8546000</v>
      </c>
      <c r="BH18" s="10">
        <v>8713300</v>
      </c>
      <c r="BI18" s="10">
        <v>8882800</v>
      </c>
      <c r="BJ18" s="10">
        <v>9053300</v>
      </c>
    </row>
    <row r="19" spans="1:62" x14ac:dyDescent="0.45">
      <c r="A19" t="s">
        <v>25</v>
      </c>
      <c r="B19" t="s">
        <v>91</v>
      </c>
      <c r="C19" s="10">
        <v>50199700</v>
      </c>
      <c r="D19" s="10">
        <v>50536352</v>
      </c>
      <c r="E19" s="10">
        <v>50879448</v>
      </c>
      <c r="F19" s="10">
        <v>51252000</v>
      </c>
      <c r="G19" s="10">
        <v>51675352</v>
      </c>
      <c r="H19" s="10">
        <v>52112352</v>
      </c>
      <c r="I19" s="10">
        <v>52519000</v>
      </c>
      <c r="J19" s="10">
        <v>52900500</v>
      </c>
      <c r="K19" s="10">
        <v>53235752</v>
      </c>
      <c r="L19" s="10">
        <v>53537952</v>
      </c>
      <c r="M19" s="10">
        <v>53821848</v>
      </c>
      <c r="N19" s="10">
        <v>54073488</v>
      </c>
      <c r="O19" s="10">
        <v>54381344</v>
      </c>
      <c r="P19" s="10">
        <v>54751408</v>
      </c>
      <c r="Q19" s="10">
        <v>55110868</v>
      </c>
      <c r="R19" s="10">
        <v>55441000</v>
      </c>
      <c r="S19" s="10">
        <v>55718260</v>
      </c>
      <c r="T19" s="10">
        <v>55955412</v>
      </c>
      <c r="U19" s="10">
        <v>56155144</v>
      </c>
      <c r="V19" s="10">
        <v>56317748</v>
      </c>
      <c r="W19" s="10">
        <v>56433884</v>
      </c>
      <c r="X19" s="10">
        <v>56501676</v>
      </c>
      <c r="Y19" s="10">
        <v>56543548</v>
      </c>
      <c r="Z19" s="10">
        <v>56564072</v>
      </c>
      <c r="AA19" s="10">
        <v>56576720</v>
      </c>
      <c r="AB19" s="10">
        <v>56593072</v>
      </c>
      <c r="AC19" s="10">
        <v>56596156</v>
      </c>
      <c r="AD19" s="10">
        <v>56601932</v>
      </c>
      <c r="AE19" s="10">
        <v>56629288</v>
      </c>
      <c r="AF19" s="10">
        <v>56671780</v>
      </c>
      <c r="AG19" s="10">
        <v>56719240</v>
      </c>
      <c r="AH19" s="10">
        <v>56758520</v>
      </c>
      <c r="AI19" s="10">
        <v>56797088</v>
      </c>
      <c r="AJ19" s="10">
        <v>56831820</v>
      </c>
      <c r="AK19" s="10">
        <v>56843400</v>
      </c>
      <c r="AL19" s="10">
        <v>56844304</v>
      </c>
      <c r="AM19" s="10">
        <v>56860280</v>
      </c>
      <c r="AN19" s="10">
        <v>56890372</v>
      </c>
      <c r="AO19" s="10">
        <v>56906744</v>
      </c>
      <c r="AP19" s="10">
        <v>56916316</v>
      </c>
      <c r="AQ19" s="10">
        <v>56942108</v>
      </c>
      <c r="AR19" s="10">
        <v>56974100</v>
      </c>
      <c r="AS19" s="10">
        <v>57059008</v>
      </c>
      <c r="AT19" s="10">
        <v>57313204</v>
      </c>
      <c r="AU19" s="10">
        <v>57685328</v>
      </c>
      <c r="AV19" s="10">
        <v>57969484</v>
      </c>
      <c r="AW19" s="10">
        <v>58143980</v>
      </c>
      <c r="AX19" s="10">
        <v>58438312</v>
      </c>
      <c r="AY19" s="10">
        <v>58826732</v>
      </c>
      <c r="AZ19" s="10">
        <v>59095364</v>
      </c>
      <c r="BA19" s="10">
        <v>59277416</v>
      </c>
      <c r="BB19" s="10">
        <v>59379448</v>
      </c>
      <c r="BC19" s="10">
        <v>59539716</v>
      </c>
      <c r="BD19" s="10">
        <v>60233948</v>
      </c>
      <c r="BE19" s="10">
        <v>60789140</v>
      </c>
      <c r="BF19" s="10">
        <v>60730584</v>
      </c>
      <c r="BG19" s="10">
        <v>60627496</v>
      </c>
      <c r="BH19" s="10">
        <v>60536708</v>
      </c>
      <c r="BI19" s="10">
        <v>60421760</v>
      </c>
      <c r="BJ19" s="10">
        <v>60297396</v>
      </c>
    </row>
    <row r="20" spans="1:62" x14ac:dyDescent="0.45">
      <c r="A20" t="s">
        <v>25</v>
      </c>
      <c r="B20" t="s">
        <v>92</v>
      </c>
      <c r="C20" s="10">
        <v>92500576</v>
      </c>
      <c r="D20" s="10">
        <v>94943000</v>
      </c>
      <c r="E20" s="10">
        <v>95832000</v>
      </c>
      <c r="F20" s="10">
        <v>96812000</v>
      </c>
      <c r="G20" s="10">
        <v>97826000</v>
      </c>
      <c r="H20" s="10">
        <v>98883000</v>
      </c>
      <c r="I20" s="10">
        <v>99790000</v>
      </c>
      <c r="J20" s="10">
        <v>100725000</v>
      </c>
      <c r="K20" s="10">
        <v>101061000</v>
      </c>
      <c r="L20" s="10">
        <v>103172000</v>
      </c>
      <c r="M20" s="10">
        <v>104345000</v>
      </c>
      <c r="N20" s="10">
        <v>105697000</v>
      </c>
      <c r="O20" s="10">
        <v>107188000</v>
      </c>
      <c r="P20" s="10">
        <v>108079000</v>
      </c>
      <c r="Q20" s="10">
        <v>110162000</v>
      </c>
      <c r="R20" s="10">
        <v>111940000</v>
      </c>
      <c r="S20" s="10">
        <v>112771000</v>
      </c>
      <c r="T20" s="10">
        <v>113863000</v>
      </c>
      <c r="U20" s="10">
        <v>114898000</v>
      </c>
      <c r="V20" s="10">
        <v>115870000</v>
      </c>
      <c r="W20" s="10">
        <v>116782000</v>
      </c>
      <c r="X20" s="10">
        <v>117648000</v>
      </c>
      <c r="Y20" s="10">
        <v>118449000</v>
      </c>
      <c r="Z20" s="10">
        <v>119259000</v>
      </c>
      <c r="AA20" s="10">
        <v>120018000</v>
      </c>
      <c r="AB20" s="10">
        <v>120754000</v>
      </c>
      <c r="AC20" s="10">
        <v>121492000</v>
      </c>
      <c r="AD20" s="10">
        <v>122091000</v>
      </c>
      <c r="AE20" s="10">
        <v>122613000</v>
      </c>
      <c r="AF20" s="10">
        <v>123116000</v>
      </c>
      <c r="AG20" s="10">
        <v>123537000</v>
      </c>
      <c r="AH20" s="10">
        <v>123921000</v>
      </c>
      <c r="AI20" s="10">
        <v>124229000</v>
      </c>
      <c r="AJ20" s="10">
        <v>124536000</v>
      </c>
      <c r="AK20" s="10">
        <v>124961000</v>
      </c>
      <c r="AL20" s="10">
        <v>125439000</v>
      </c>
      <c r="AM20" s="10">
        <v>125757000</v>
      </c>
      <c r="AN20" s="10">
        <v>126057000</v>
      </c>
      <c r="AO20" s="10">
        <v>126400000</v>
      </c>
      <c r="AP20" s="10">
        <v>126631000</v>
      </c>
      <c r="AQ20" s="10">
        <v>126843000</v>
      </c>
      <c r="AR20" s="10">
        <v>127149000</v>
      </c>
      <c r="AS20" s="10">
        <v>127445000</v>
      </c>
      <c r="AT20" s="10">
        <v>127718000</v>
      </c>
      <c r="AU20" s="10">
        <v>127761000</v>
      </c>
      <c r="AV20" s="10">
        <v>127773000</v>
      </c>
      <c r="AW20" s="10">
        <v>127854000</v>
      </c>
      <c r="AX20" s="10">
        <v>128001000</v>
      </c>
      <c r="AY20" s="10">
        <v>128063000</v>
      </c>
      <c r="AZ20" s="10">
        <v>128047000</v>
      </c>
      <c r="BA20" s="10">
        <v>128070000</v>
      </c>
      <c r="BB20" s="10">
        <v>127833000</v>
      </c>
      <c r="BC20" s="10">
        <v>127629000</v>
      </c>
      <c r="BD20" s="10">
        <v>127445000</v>
      </c>
      <c r="BE20" s="10">
        <v>127276000</v>
      </c>
      <c r="BF20" s="10">
        <v>127141000</v>
      </c>
      <c r="BG20" s="10">
        <v>126994512</v>
      </c>
      <c r="BH20" s="10">
        <v>126785800</v>
      </c>
      <c r="BI20" s="10">
        <v>126529104</v>
      </c>
      <c r="BJ20" s="10">
        <v>126264928</v>
      </c>
    </row>
    <row r="21" spans="1:62" x14ac:dyDescent="0.45">
      <c r="A21" t="s">
        <v>25</v>
      </c>
      <c r="B21" t="s">
        <v>93</v>
      </c>
      <c r="C21" s="10">
        <v>313970</v>
      </c>
      <c r="D21" s="10">
        <v>316845</v>
      </c>
      <c r="E21" s="10">
        <v>320750</v>
      </c>
      <c r="F21" s="10">
        <v>324100</v>
      </c>
      <c r="G21" s="10">
        <v>327750</v>
      </c>
      <c r="H21" s="10">
        <v>331500</v>
      </c>
      <c r="I21" s="10">
        <v>333895</v>
      </c>
      <c r="J21" s="10">
        <v>334995</v>
      </c>
      <c r="K21" s="10">
        <v>335850</v>
      </c>
      <c r="L21" s="10">
        <v>337500</v>
      </c>
      <c r="M21" s="10">
        <v>339171</v>
      </c>
      <c r="N21" s="10">
        <v>342421</v>
      </c>
      <c r="O21" s="10">
        <v>346600</v>
      </c>
      <c r="P21" s="10">
        <v>350450</v>
      </c>
      <c r="Q21" s="10">
        <v>355050</v>
      </c>
      <c r="R21" s="10">
        <v>358950</v>
      </c>
      <c r="S21" s="10">
        <v>360731</v>
      </c>
      <c r="T21" s="10">
        <v>361358</v>
      </c>
      <c r="U21" s="10">
        <v>362007</v>
      </c>
      <c r="V21" s="10">
        <v>362856</v>
      </c>
      <c r="W21" s="10">
        <v>364150</v>
      </c>
      <c r="X21" s="10">
        <v>365225</v>
      </c>
      <c r="Y21" s="10">
        <v>365525</v>
      </c>
      <c r="Z21" s="10">
        <v>365622</v>
      </c>
      <c r="AA21" s="10">
        <v>365998</v>
      </c>
      <c r="AB21" s="10">
        <v>366706</v>
      </c>
      <c r="AC21" s="10">
        <v>368355</v>
      </c>
      <c r="AD21" s="10">
        <v>370750</v>
      </c>
      <c r="AE21" s="10">
        <v>373450</v>
      </c>
      <c r="AF21" s="10">
        <v>377100</v>
      </c>
      <c r="AG21" s="10">
        <v>381850</v>
      </c>
      <c r="AH21" s="10">
        <v>387000</v>
      </c>
      <c r="AI21" s="10">
        <v>392175</v>
      </c>
      <c r="AJ21" s="10">
        <v>397475</v>
      </c>
      <c r="AK21" s="10">
        <v>402925</v>
      </c>
      <c r="AL21" s="10">
        <v>408625</v>
      </c>
      <c r="AM21" s="10">
        <v>414225</v>
      </c>
      <c r="AN21" s="10">
        <v>419450</v>
      </c>
      <c r="AO21" s="10">
        <v>424700</v>
      </c>
      <c r="AP21" s="10">
        <v>430475</v>
      </c>
      <c r="AQ21" s="10">
        <v>436300</v>
      </c>
      <c r="AR21" s="10">
        <v>441525</v>
      </c>
      <c r="AS21" s="10">
        <v>446175</v>
      </c>
      <c r="AT21" s="10">
        <v>451630</v>
      </c>
      <c r="AU21" s="10">
        <v>458095</v>
      </c>
      <c r="AV21" s="10">
        <v>465158</v>
      </c>
      <c r="AW21" s="10">
        <v>472637</v>
      </c>
      <c r="AX21" s="10">
        <v>479993</v>
      </c>
      <c r="AY21" s="10">
        <v>488650</v>
      </c>
      <c r="AZ21" s="10">
        <v>497783</v>
      </c>
      <c r="BA21" s="10">
        <v>506953</v>
      </c>
      <c r="BB21" s="10">
        <v>518347</v>
      </c>
      <c r="BC21" s="10">
        <v>530946</v>
      </c>
      <c r="BD21" s="10">
        <v>543360</v>
      </c>
      <c r="BE21" s="10">
        <v>556319</v>
      </c>
      <c r="BF21" s="10">
        <v>569604</v>
      </c>
      <c r="BG21" s="10">
        <v>582014</v>
      </c>
      <c r="BH21" s="10">
        <v>596336</v>
      </c>
      <c r="BI21" s="10">
        <v>607950</v>
      </c>
      <c r="BJ21" s="10">
        <v>619896</v>
      </c>
    </row>
    <row r="22" spans="1:62" x14ac:dyDescent="0.45">
      <c r="A22" t="s">
        <v>25</v>
      </c>
      <c r="B22" t="s">
        <v>94</v>
      </c>
      <c r="C22" s="10">
        <v>11486631</v>
      </c>
      <c r="D22" s="10">
        <v>11638712</v>
      </c>
      <c r="E22" s="10">
        <v>11805689</v>
      </c>
      <c r="F22" s="10">
        <v>11965966</v>
      </c>
      <c r="G22" s="10">
        <v>12127120</v>
      </c>
      <c r="H22" s="10">
        <v>12294732</v>
      </c>
      <c r="I22" s="10">
        <v>12456251</v>
      </c>
      <c r="J22" s="10">
        <v>12598201</v>
      </c>
      <c r="K22" s="10">
        <v>12729721</v>
      </c>
      <c r="L22" s="10">
        <v>12877984</v>
      </c>
      <c r="M22" s="10">
        <v>13038526</v>
      </c>
      <c r="N22" s="10">
        <v>13194497</v>
      </c>
      <c r="O22" s="10">
        <v>13328593</v>
      </c>
      <c r="P22" s="10">
        <v>13439322</v>
      </c>
      <c r="Q22" s="10">
        <v>13545056</v>
      </c>
      <c r="R22" s="10">
        <v>13666335</v>
      </c>
      <c r="S22" s="10">
        <v>13774037</v>
      </c>
      <c r="T22" s="10">
        <v>13856185</v>
      </c>
      <c r="U22" s="10">
        <v>13941700</v>
      </c>
      <c r="V22" s="10">
        <v>14038270</v>
      </c>
      <c r="W22" s="10">
        <v>14149800</v>
      </c>
      <c r="X22" s="10">
        <v>14247208</v>
      </c>
      <c r="Y22" s="10">
        <v>14312690</v>
      </c>
      <c r="Z22" s="10">
        <v>14367070</v>
      </c>
      <c r="AA22" s="10">
        <v>14424211</v>
      </c>
      <c r="AB22" s="10">
        <v>14491632</v>
      </c>
      <c r="AC22" s="10">
        <v>14572278</v>
      </c>
      <c r="AD22" s="10">
        <v>14665037</v>
      </c>
      <c r="AE22" s="10">
        <v>14760094</v>
      </c>
      <c r="AF22" s="10">
        <v>14848907</v>
      </c>
      <c r="AG22" s="10">
        <v>14951510</v>
      </c>
      <c r="AH22" s="10">
        <v>15069798</v>
      </c>
      <c r="AI22" s="10">
        <v>15184166</v>
      </c>
      <c r="AJ22" s="10">
        <v>15290368</v>
      </c>
      <c r="AK22" s="10">
        <v>15382838</v>
      </c>
      <c r="AL22" s="10">
        <v>15459006</v>
      </c>
      <c r="AM22" s="10">
        <v>15530498</v>
      </c>
      <c r="AN22" s="10">
        <v>15610650</v>
      </c>
      <c r="AO22" s="10">
        <v>15707209</v>
      </c>
      <c r="AP22" s="10">
        <v>15812088</v>
      </c>
      <c r="AQ22" s="10">
        <v>15925513</v>
      </c>
      <c r="AR22" s="10">
        <v>16046180</v>
      </c>
      <c r="AS22" s="10">
        <v>16148929</v>
      </c>
      <c r="AT22" s="10">
        <v>16225302</v>
      </c>
      <c r="AU22" s="10">
        <v>16281779</v>
      </c>
      <c r="AV22" s="10">
        <v>16319868</v>
      </c>
      <c r="AW22" s="10">
        <v>16346101</v>
      </c>
      <c r="AX22" s="10">
        <v>16381696</v>
      </c>
      <c r="AY22" s="10">
        <v>16445593</v>
      </c>
      <c r="AZ22" s="10">
        <v>16530388</v>
      </c>
      <c r="BA22" s="10">
        <v>16615394</v>
      </c>
      <c r="BB22" s="10">
        <v>16693074</v>
      </c>
      <c r="BC22" s="10">
        <v>16754962</v>
      </c>
      <c r="BD22" s="10">
        <v>16804432</v>
      </c>
      <c r="BE22" s="10">
        <v>16865008</v>
      </c>
      <c r="BF22" s="10">
        <v>16939924</v>
      </c>
      <c r="BG22" s="10">
        <v>17030314</v>
      </c>
      <c r="BH22" s="10">
        <v>17131296</v>
      </c>
      <c r="BI22" s="10">
        <v>17231624</v>
      </c>
      <c r="BJ22" s="10">
        <v>17332850</v>
      </c>
    </row>
    <row r="23" spans="1:62" x14ac:dyDescent="0.45">
      <c r="A23" t="s">
        <v>25</v>
      </c>
      <c r="B23" t="s">
        <v>95</v>
      </c>
      <c r="C23" s="10">
        <v>3581239</v>
      </c>
      <c r="D23" s="10">
        <v>3609800</v>
      </c>
      <c r="E23" s="10">
        <v>3638918</v>
      </c>
      <c r="F23" s="10">
        <v>3666537</v>
      </c>
      <c r="G23" s="10">
        <v>3694339</v>
      </c>
      <c r="H23" s="10">
        <v>3723168</v>
      </c>
      <c r="I23" s="10">
        <v>3753012</v>
      </c>
      <c r="J23" s="10">
        <v>3784539</v>
      </c>
      <c r="K23" s="10">
        <v>3816486</v>
      </c>
      <c r="L23" s="10">
        <v>3847707</v>
      </c>
      <c r="M23" s="10">
        <v>3875763</v>
      </c>
      <c r="N23" s="10">
        <v>3903039</v>
      </c>
      <c r="O23" s="10">
        <v>3933004</v>
      </c>
      <c r="P23" s="10">
        <v>3960612</v>
      </c>
      <c r="Q23" s="10">
        <v>3985258</v>
      </c>
      <c r="R23" s="10">
        <v>4007313</v>
      </c>
      <c r="S23" s="10">
        <v>4026152</v>
      </c>
      <c r="T23" s="10">
        <v>4043205</v>
      </c>
      <c r="U23" s="10">
        <v>4058671</v>
      </c>
      <c r="V23" s="10">
        <v>4072517</v>
      </c>
      <c r="W23" s="10">
        <v>4085620</v>
      </c>
      <c r="X23" s="10">
        <v>4099702</v>
      </c>
      <c r="Y23" s="10">
        <v>4114787</v>
      </c>
      <c r="Z23" s="10">
        <v>4128432</v>
      </c>
      <c r="AA23" s="10">
        <v>4140099</v>
      </c>
      <c r="AB23" s="10">
        <v>4152516</v>
      </c>
      <c r="AC23" s="10">
        <v>4167354</v>
      </c>
      <c r="AD23" s="10">
        <v>4186905</v>
      </c>
      <c r="AE23" s="10">
        <v>4209488</v>
      </c>
      <c r="AF23" s="10">
        <v>4226901</v>
      </c>
      <c r="AG23" s="10">
        <v>4241473</v>
      </c>
      <c r="AH23" s="10">
        <v>4261732</v>
      </c>
      <c r="AI23" s="10">
        <v>4286401</v>
      </c>
      <c r="AJ23" s="10">
        <v>4311991</v>
      </c>
      <c r="AK23" s="10">
        <v>4336613</v>
      </c>
      <c r="AL23" s="10">
        <v>4359184</v>
      </c>
      <c r="AM23" s="10">
        <v>4381336</v>
      </c>
      <c r="AN23" s="10">
        <v>4405157</v>
      </c>
      <c r="AO23" s="10">
        <v>4431464</v>
      </c>
      <c r="AP23" s="10">
        <v>4461913</v>
      </c>
      <c r="AQ23" s="10">
        <v>4490967</v>
      </c>
      <c r="AR23" s="10">
        <v>4513751</v>
      </c>
      <c r="AS23" s="10">
        <v>4538159</v>
      </c>
      <c r="AT23" s="10">
        <v>4564855</v>
      </c>
      <c r="AU23" s="10">
        <v>4591910</v>
      </c>
      <c r="AV23" s="10">
        <v>4623291</v>
      </c>
      <c r="AW23" s="10">
        <v>4660677</v>
      </c>
      <c r="AX23" s="10">
        <v>4709153</v>
      </c>
      <c r="AY23" s="10">
        <v>4768212</v>
      </c>
      <c r="AZ23" s="10">
        <v>4828726</v>
      </c>
      <c r="BA23" s="10">
        <v>4889252</v>
      </c>
      <c r="BB23" s="10">
        <v>4953088</v>
      </c>
      <c r="BC23" s="10">
        <v>5018573</v>
      </c>
      <c r="BD23" s="10">
        <v>5079623</v>
      </c>
      <c r="BE23" s="10">
        <v>5137232</v>
      </c>
      <c r="BF23" s="10">
        <v>5188607</v>
      </c>
      <c r="BG23" s="10">
        <v>5234519</v>
      </c>
      <c r="BH23" s="10">
        <v>5276968</v>
      </c>
      <c r="BI23" s="10">
        <v>5311916</v>
      </c>
      <c r="BJ23" s="10">
        <v>5347896</v>
      </c>
    </row>
    <row r="24" spans="1:62" x14ac:dyDescent="0.45">
      <c r="A24" t="s">
        <v>25</v>
      </c>
      <c r="B24" t="s">
        <v>96</v>
      </c>
      <c r="C24" s="10">
        <v>8857716</v>
      </c>
      <c r="D24" s="10">
        <v>8929316</v>
      </c>
      <c r="E24" s="10">
        <v>8993985</v>
      </c>
      <c r="F24" s="10">
        <v>9030355</v>
      </c>
      <c r="G24" s="10">
        <v>9035365</v>
      </c>
      <c r="H24" s="10">
        <v>8998595</v>
      </c>
      <c r="I24" s="10">
        <v>8930990</v>
      </c>
      <c r="J24" s="10">
        <v>8874520</v>
      </c>
      <c r="K24" s="10">
        <v>8836650</v>
      </c>
      <c r="L24" s="10">
        <v>8757705</v>
      </c>
      <c r="M24" s="10">
        <v>8680431</v>
      </c>
      <c r="N24" s="10">
        <v>8643756</v>
      </c>
      <c r="O24" s="10">
        <v>8630430</v>
      </c>
      <c r="P24" s="10">
        <v>8633100</v>
      </c>
      <c r="Q24" s="10">
        <v>8754365</v>
      </c>
      <c r="R24" s="10">
        <v>9093470</v>
      </c>
      <c r="S24" s="10">
        <v>9355810</v>
      </c>
      <c r="T24" s="10">
        <v>9455675</v>
      </c>
      <c r="U24" s="10">
        <v>9558250</v>
      </c>
      <c r="V24" s="10">
        <v>9661265</v>
      </c>
      <c r="W24" s="10">
        <v>9766312</v>
      </c>
      <c r="X24" s="10">
        <v>9851362</v>
      </c>
      <c r="Y24" s="10">
        <v>9911771</v>
      </c>
      <c r="Z24" s="10">
        <v>9957865</v>
      </c>
      <c r="AA24" s="10">
        <v>9996232</v>
      </c>
      <c r="AB24" s="10">
        <v>10023613</v>
      </c>
      <c r="AC24" s="10">
        <v>10032734</v>
      </c>
      <c r="AD24" s="10">
        <v>10030031</v>
      </c>
      <c r="AE24" s="10">
        <v>10019610</v>
      </c>
      <c r="AF24" s="10">
        <v>10005000</v>
      </c>
      <c r="AG24" s="10">
        <v>9983218</v>
      </c>
      <c r="AH24" s="10">
        <v>9960235</v>
      </c>
      <c r="AI24" s="10">
        <v>9952494</v>
      </c>
      <c r="AJ24" s="10">
        <v>9964675</v>
      </c>
      <c r="AK24" s="10">
        <v>9991525</v>
      </c>
      <c r="AL24" s="10">
        <v>10026176</v>
      </c>
      <c r="AM24" s="10">
        <v>10063945</v>
      </c>
      <c r="AN24" s="10">
        <v>10108977</v>
      </c>
      <c r="AO24" s="10">
        <v>10160196</v>
      </c>
      <c r="AP24" s="10">
        <v>10217828</v>
      </c>
      <c r="AQ24" s="10">
        <v>10289898</v>
      </c>
      <c r="AR24" s="10">
        <v>10362722</v>
      </c>
      <c r="AS24" s="10">
        <v>10419631</v>
      </c>
      <c r="AT24" s="10">
        <v>10458821</v>
      </c>
      <c r="AU24" s="10">
        <v>10483861</v>
      </c>
      <c r="AV24" s="10">
        <v>10503330</v>
      </c>
      <c r="AW24" s="10">
        <v>10522288</v>
      </c>
      <c r="AX24" s="10">
        <v>10542964</v>
      </c>
      <c r="AY24" s="10">
        <v>10558177</v>
      </c>
      <c r="AZ24" s="10">
        <v>10568247</v>
      </c>
      <c r="BA24" s="10">
        <v>10573100</v>
      </c>
      <c r="BB24" s="10">
        <v>10557560</v>
      </c>
      <c r="BC24" s="10">
        <v>10514844</v>
      </c>
      <c r="BD24" s="10">
        <v>10457295</v>
      </c>
      <c r="BE24" s="10">
        <v>10401062</v>
      </c>
      <c r="BF24" s="10">
        <v>10358076</v>
      </c>
      <c r="BG24" s="10">
        <v>10325452</v>
      </c>
      <c r="BH24" s="10">
        <v>10300300</v>
      </c>
      <c r="BI24" s="10">
        <v>10283822</v>
      </c>
      <c r="BJ24" s="10">
        <v>10269417</v>
      </c>
    </row>
    <row r="25" spans="1:62" x14ac:dyDescent="0.45">
      <c r="A25" t="s">
        <v>25</v>
      </c>
      <c r="B25" t="s">
        <v>97</v>
      </c>
      <c r="C25" s="10">
        <v>1646400</v>
      </c>
      <c r="D25" s="10">
        <v>1702400</v>
      </c>
      <c r="E25" s="10">
        <v>1750200</v>
      </c>
      <c r="F25" s="10">
        <v>1795000</v>
      </c>
      <c r="G25" s="10">
        <v>1841600</v>
      </c>
      <c r="H25" s="10">
        <v>1886900</v>
      </c>
      <c r="I25" s="10">
        <v>1934400</v>
      </c>
      <c r="J25" s="10">
        <v>1977600</v>
      </c>
      <c r="K25" s="10">
        <v>2012000</v>
      </c>
      <c r="L25" s="10">
        <v>2042500</v>
      </c>
      <c r="M25" s="10">
        <v>2074507</v>
      </c>
      <c r="N25" s="10">
        <v>2112900</v>
      </c>
      <c r="O25" s="10">
        <v>2152400</v>
      </c>
      <c r="P25" s="10">
        <v>2193000</v>
      </c>
      <c r="Q25" s="10">
        <v>2229800</v>
      </c>
      <c r="R25" s="10">
        <v>2262600</v>
      </c>
      <c r="S25" s="10">
        <v>2293300</v>
      </c>
      <c r="T25" s="10">
        <v>2325300</v>
      </c>
      <c r="U25" s="10">
        <v>2353600</v>
      </c>
      <c r="V25" s="10">
        <v>2383500</v>
      </c>
      <c r="W25" s="10">
        <v>2413945</v>
      </c>
      <c r="X25" s="10">
        <v>2532835</v>
      </c>
      <c r="Y25" s="10">
        <v>2646466</v>
      </c>
      <c r="Z25" s="10">
        <v>2681061</v>
      </c>
      <c r="AA25" s="10">
        <v>2732221</v>
      </c>
      <c r="AB25" s="10">
        <v>2735957</v>
      </c>
      <c r="AC25" s="10">
        <v>2733373</v>
      </c>
      <c r="AD25" s="10">
        <v>2774789</v>
      </c>
      <c r="AE25" s="10">
        <v>2846108</v>
      </c>
      <c r="AF25" s="10">
        <v>2930901</v>
      </c>
      <c r="AG25" s="10">
        <v>3047132</v>
      </c>
      <c r="AH25" s="10">
        <v>3135083</v>
      </c>
      <c r="AI25" s="10">
        <v>3230698</v>
      </c>
      <c r="AJ25" s="10">
        <v>3313471</v>
      </c>
      <c r="AK25" s="10">
        <v>3419048</v>
      </c>
      <c r="AL25" s="10">
        <v>3524506</v>
      </c>
      <c r="AM25" s="10">
        <v>3670704</v>
      </c>
      <c r="AN25" s="10">
        <v>3796038</v>
      </c>
      <c r="AO25" s="10">
        <v>3927213</v>
      </c>
      <c r="AP25" s="10">
        <v>3958723</v>
      </c>
      <c r="AQ25" s="10">
        <v>4027887</v>
      </c>
      <c r="AR25" s="10">
        <v>4138012</v>
      </c>
      <c r="AS25" s="10">
        <v>4175950</v>
      </c>
      <c r="AT25" s="10">
        <v>4114826</v>
      </c>
      <c r="AU25" s="10">
        <v>4166664</v>
      </c>
      <c r="AV25" s="10">
        <v>4265762</v>
      </c>
      <c r="AW25" s="10">
        <v>4401365</v>
      </c>
      <c r="AX25" s="10">
        <v>4588599</v>
      </c>
      <c r="AY25" s="10">
        <v>4839396</v>
      </c>
      <c r="AZ25" s="10">
        <v>4987573</v>
      </c>
      <c r="BA25" s="10">
        <v>5076732</v>
      </c>
      <c r="BB25" s="10">
        <v>5183688</v>
      </c>
      <c r="BC25" s="10">
        <v>5312437</v>
      </c>
      <c r="BD25" s="10">
        <v>5399162</v>
      </c>
      <c r="BE25" s="10">
        <v>5469724</v>
      </c>
      <c r="BF25" s="10">
        <v>5535002</v>
      </c>
      <c r="BG25" s="10">
        <v>5607283</v>
      </c>
      <c r="BH25" s="10">
        <v>5612253</v>
      </c>
      <c r="BI25" s="10">
        <v>5638676</v>
      </c>
      <c r="BJ25" s="10">
        <v>5703569</v>
      </c>
    </row>
    <row r="26" spans="1:62" x14ac:dyDescent="0.45">
      <c r="A26" t="s">
        <v>25</v>
      </c>
      <c r="B26" t="s">
        <v>98</v>
      </c>
      <c r="C26" s="10">
        <v>25012374</v>
      </c>
      <c r="D26" s="10">
        <v>25765672</v>
      </c>
      <c r="E26" s="10">
        <v>26513030</v>
      </c>
      <c r="F26" s="10">
        <v>27261748</v>
      </c>
      <c r="G26" s="10">
        <v>27984156</v>
      </c>
      <c r="H26" s="10">
        <v>28704674</v>
      </c>
      <c r="I26" s="10">
        <v>29435572</v>
      </c>
      <c r="J26" s="10">
        <v>30130984</v>
      </c>
      <c r="K26" s="10">
        <v>30838302</v>
      </c>
      <c r="L26" s="10">
        <v>31544266</v>
      </c>
      <c r="M26" s="10">
        <v>32240828</v>
      </c>
      <c r="N26" s="10">
        <v>32882704</v>
      </c>
      <c r="O26" s="10">
        <v>33505406</v>
      </c>
      <c r="P26" s="10">
        <v>34103148</v>
      </c>
      <c r="Q26" s="10">
        <v>34692264</v>
      </c>
      <c r="R26" s="10">
        <v>35280724</v>
      </c>
      <c r="S26" s="10">
        <v>35848524</v>
      </c>
      <c r="T26" s="10">
        <v>36411796</v>
      </c>
      <c r="U26" s="10">
        <v>36969184</v>
      </c>
      <c r="V26" s="10">
        <v>37534236</v>
      </c>
      <c r="W26" s="10">
        <v>38123776</v>
      </c>
      <c r="X26" s="10">
        <v>38723248</v>
      </c>
      <c r="Y26" s="10">
        <v>39326352</v>
      </c>
      <c r="Z26" s="10">
        <v>39910404</v>
      </c>
      <c r="AA26" s="10">
        <v>40405956</v>
      </c>
      <c r="AB26" s="10">
        <v>40805744</v>
      </c>
      <c r="AC26" s="10">
        <v>41213672</v>
      </c>
      <c r="AD26" s="10">
        <v>41621688</v>
      </c>
      <c r="AE26" s="10">
        <v>42031248</v>
      </c>
      <c r="AF26" s="10">
        <v>42449040</v>
      </c>
      <c r="AG26" s="10">
        <v>42869284</v>
      </c>
      <c r="AH26" s="10">
        <v>43295704</v>
      </c>
      <c r="AI26" s="10">
        <v>43747960</v>
      </c>
      <c r="AJ26" s="10">
        <v>44194628</v>
      </c>
      <c r="AK26" s="10">
        <v>44641540</v>
      </c>
      <c r="AL26" s="10">
        <v>45092992</v>
      </c>
      <c r="AM26" s="10">
        <v>45524680</v>
      </c>
      <c r="AN26" s="10">
        <v>45953580</v>
      </c>
      <c r="AO26" s="10">
        <v>46286504</v>
      </c>
      <c r="AP26" s="10">
        <v>46616676</v>
      </c>
      <c r="AQ26" s="10">
        <v>47008112</v>
      </c>
      <c r="AR26" s="10">
        <v>47370164</v>
      </c>
      <c r="AS26" s="10">
        <v>47644736</v>
      </c>
      <c r="AT26" s="10">
        <v>47892328</v>
      </c>
      <c r="AU26" s="10">
        <v>48082520</v>
      </c>
      <c r="AV26" s="10">
        <v>48184560</v>
      </c>
      <c r="AW26" s="10">
        <v>48438292</v>
      </c>
      <c r="AX26" s="10">
        <v>48683640</v>
      </c>
      <c r="AY26" s="10">
        <v>49054708</v>
      </c>
      <c r="AZ26" s="10">
        <v>49307836</v>
      </c>
      <c r="BA26" s="10">
        <v>49554112</v>
      </c>
      <c r="BB26" s="10">
        <v>49936640</v>
      </c>
      <c r="BC26" s="10">
        <v>50199852</v>
      </c>
      <c r="BD26" s="10">
        <v>50428892</v>
      </c>
      <c r="BE26" s="10">
        <v>50746660</v>
      </c>
      <c r="BF26" s="10">
        <v>51014948</v>
      </c>
      <c r="BG26" s="10">
        <v>51217804</v>
      </c>
      <c r="BH26" s="10">
        <v>51361912</v>
      </c>
      <c r="BI26" s="10">
        <v>51606632</v>
      </c>
      <c r="BJ26" s="10">
        <v>51709096</v>
      </c>
    </row>
    <row r="27" spans="1:62" x14ac:dyDescent="0.45">
      <c r="A27" t="s">
        <v>25</v>
      </c>
      <c r="B27" t="s">
        <v>99</v>
      </c>
      <c r="C27" s="10">
        <v>30455000</v>
      </c>
      <c r="D27" s="10">
        <v>30739250</v>
      </c>
      <c r="E27" s="10">
        <v>31023366</v>
      </c>
      <c r="F27" s="10">
        <v>31296652</v>
      </c>
      <c r="G27" s="10">
        <v>31609196</v>
      </c>
      <c r="H27" s="10">
        <v>31954292</v>
      </c>
      <c r="I27" s="10">
        <v>32283194</v>
      </c>
      <c r="J27" s="10">
        <v>32682948</v>
      </c>
      <c r="K27" s="10">
        <v>33113134</v>
      </c>
      <c r="L27" s="10">
        <v>33441054</v>
      </c>
      <c r="M27" s="10">
        <v>33814532</v>
      </c>
      <c r="N27" s="10">
        <v>34224488</v>
      </c>
      <c r="O27" s="10">
        <v>34604468</v>
      </c>
      <c r="P27" s="10">
        <v>34988948</v>
      </c>
      <c r="Q27" s="10">
        <v>35373336</v>
      </c>
      <c r="R27" s="10">
        <v>35757900</v>
      </c>
      <c r="S27" s="10">
        <v>36137812</v>
      </c>
      <c r="T27" s="10">
        <v>36511640</v>
      </c>
      <c r="U27" s="10">
        <v>36864896</v>
      </c>
      <c r="V27" s="10">
        <v>37191328</v>
      </c>
      <c r="W27" s="10">
        <v>37491164</v>
      </c>
      <c r="X27" s="10">
        <v>37758632</v>
      </c>
      <c r="Y27" s="10">
        <v>37986012</v>
      </c>
      <c r="Z27" s="10">
        <v>38171524</v>
      </c>
      <c r="AA27" s="10">
        <v>38330364</v>
      </c>
      <c r="AB27" s="10">
        <v>38469512</v>
      </c>
      <c r="AC27" s="10">
        <v>38584624</v>
      </c>
      <c r="AD27" s="10">
        <v>38684816</v>
      </c>
      <c r="AE27" s="10">
        <v>38766940</v>
      </c>
      <c r="AF27" s="10">
        <v>38827764</v>
      </c>
      <c r="AG27" s="10">
        <v>38867320</v>
      </c>
      <c r="AH27" s="10">
        <v>38966376</v>
      </c>
      <c r="AI27" s="10">
        <v>39157684</v>
      </c>
      <c r="AJ27" s="10">
        <v>39361264</v>
      </c>
      <c r="AK27" s="10">
        <v>39549108</v>
      </c>
      <c r="AL27" s="10">
        <v>39724048</v>
      </c>
      <c r="AM27" s="10">
        <v>39889852</v>
      </c>
      <c r="AN27" s="10">
        <v>40057388</v>
      </c>
      <c r="AO27" s="10">
        <v>40223508</v>
      </c>
      <c r="AP27" s="10">
        <v>40386876</v>
      </c>
      <c r="AQ27" s="10">
        <v>40567864</v>
      </c>
      <c r="AR27" s="10">
        <v>40850412</v>
      </c>
      <c r="AS27" s="10">
        <v>41431560</v>
      </c>
      <c r="AT27" s="10">
        <v>42187644</v>
      </c>
      <c r="AU27" s="10">
        <v>42921896</v>
      </c>
      <c r="AV27" s="10">
        <v>43653156</v>
      </c>
      <c r="AW27" s="10">
        <v>44397320</v>
      </c>
      <c r="AX27" s="10">
        <v>45226804</v>
      </c>
      <c r="AY27" s="10">
        <v>45954104</v>
      </c>
      <c r="AZ27" s="10">
        <v>46362944</v>
      </c>
      <c r="BA27" s="10">
        <v>46576896</v>
      </c>
      <c r="BB27" s="10">
        <v>46742696</v>
      </c>
      <c r="BC27" s="10">
        <v>46773056</v>
      </c>
      <c r="BD27" s="10">
        <v>46620044</v>
      </c>
      <c r="BE27" s="10">
        <v>46480880</v>
      </c>
      <c r="BF27" s="10">
        <v>46444832</v>
      </c>
      <c r="BG27" s="10">
        <v>46484064</v>
      </c>
      <c r="BH27" s="10">
        <v>46593236</v>
      </c>
      <c r="BI27" s="10">
        <v>46797752</v>
      </c>
      <c r="BJ27" s="10">
        <v>47076780</v>
      </c>
    </row>
    <row r="28" spans="1:62" x14ac:dyDescent="0.45">
      <c r="A28" t="s">
        <v>25</v>
      </c>
      <c r="B28" t="s">
        <v>100</v>
      </c>
      <c r="C28" s="10">
        <v>7484656</v>
      </c>
      <c r="D28" s="10">
        <v>7519998</v>
      </c>
      <c r="E28" s="10">
        <v>7561588</v>
      </c>
      <c r="F28" s="10">
        <v>7604328</v>
      </c>
      <c r="G28" s="10">
        <v>7661354</v>
      </c>
      <c r="H28" s="10">
        <v>7733853</v>
      </c>
      <c r="I28" s="10">
        <v>7807797</v>
      </c>
      <c r="J28" s="10">
        <v>7867931</v>
      </c>
      <c r="K28" s="10">
        <v>7912273</v>
      </c>
      <c r="L28" s="10">
        <v>7968072</v>
      </c>
      <c r="M28" s="10">
        <v>8042801</v>
      </c>
      <c r="N28" s="10">
        <v>8098334</v>
      </c>
      <c r="O28" s="10">
        <v>8122300</v>
      </c>
      <c r="P28" s="10">
        <v>8136312</v>
      </c>
      <c r="Q28" s="10">
        <v>8159955</v>
      </c>
      <c r="R28" s="10">
        <v>8192437</v>
      </c>
      <c r="S28" s="10">
        <v>8222286</v>
      </c>
      <c r="T28" s="10">
        <v>8251540</v>
      </c>
      <c r="U28" s="10">
        <v>8275599</v>
      </c>
      <c r="V28" s="10">
        <v>8293678</v>
      </c>
      <c r="W28" s="10">
        <v>8310531</v>
      </c>
      <c r="X28" s="10">
        <v>8320503</v>
      </c>
      <c r="Y28" s="10">
        <v>8325263</v>
      </c>
      <c r="Z28" s="10">
        <v>8329033</v>
      </c>
      <c r="AA28" s="10">
        <v>8336605</v>
      </c>
      <c r="AB28" s="10">
        <v>8350386</v>
      </c>
      <c r="AC28" s="10">
        <v>8369829</v>
      </c>
      <c r="AD28" s="10">
        <v>8397804</v>
      </c>
      <c r="AE28" s="10">
        <v>8436489</v>
      </c>
      <c r="AF28" s="10">
        <v>8492964</v>
      </c>
      <c r="AG28" s="10">
        <v>8558835</v>
      </c>
      <c r="AH28" s="10">
        <v>8617375</v>
      </c>
      <c r="AI28" s="10">
        <v>8668067</v>
      </c>
      <c r="AJ28" s="10">
        <v>8718561</v>
      </c>
      <c r="AK28" s="10">
        <v>8780745</v>
      </c>
      <c r="AL28" s="10">
        <v>8826939</v>
      </c>
      <c r="AM28" s="10">
        <v>8840998</v>
      </c>
      <c r="AN28" s="10">
        <v>8846062</v>
      </c>
      <c r="AO28" s="10">
        <v>8850974</v>
      </c>
      <c r="AP28" s="10">
        <v>8857874</v>
      </c>
      <c r="AQ28" s="10">
        <v>8872109</v>
      </c>
      <c r="AR28" s="10">
        <v>8895960</v>
      </c>
      <c r="AS28" s="10">
        <v>8924958</v>
      </c>
      <c r="AT28" s="10">
        <v>8958229</v>
      </c>
      <c r="AU28" s="10">
        <v>8993531</v>
      </c>
      <c r="AV28" s="10">
        <v>9029572</v>
      </c>
      <c r="AW28" s="10">
        <v>9080505</v>
      </c>
      <c r="AX28" s="10">
        <v>9148092</v>
      </c>
      <c r="AY28" s="10">
        <v>9219637</v>
      </c>
      <c r="AZ28" s="10">
        <v>9298515</v>
      </c>
      <c r="BA28" s="10">
        <v>9378126</v>
      </c>
      <c r="BB28" s="10">
        <v>9449213</v>
      </c>
      <c r="BC28" s="10">
        <v>9519374</v>
      </c>
      <c r="BD28" s="10">
        <v>9600379</v>
      </c>
      <c r="BE28" s="10">
        <v>9696110</v>
      </c>
      <c r="BF28" s="10">
        <v>9799186</v>
      </c>
      <c r="BG28" s="10">
        <v>9923085</v>
      </c>
      <c r="BH28" s="10">
        <v>10057698</v>
      </c>
      <c r="BI28" s="10">
        <v>10175214</v>
      </c>
      <c r="BJ28" s="10">
        <v>10285453</v>
      </c>
    </row>
    <row r="29" spans="1:62" x14ac:dyDescent="0.45">
      <c r="A29" t="s">
        <v>25</v>
      </c>
      <c r="B29" t="s">
        <v>101</v>
      </c>
      <c r="C29" s="10">
        <v>52400000</v>
      </c>
      <c r="D29" s="10">
        <v>52800000</v>
      </c>
      <c r="E29" s="10">
        <v>53250000</v>
      </c>
      <c r="F29" s="10">
        <v>53650000</v>
      </c>
      <c r="G29" s="10">
        <v>54000000</v>
      </c>
      <c r="H29" s="10">
        <v>54348048</v>
      </c>
      <c r="I29" s="10">
        <v>54648500</v>
      </c>
      <c r="J29" s="10">
        <v>54943600</v>
      </c>
      <c r="K29" s="10">
        <v>55211700</v>
      </c>
      <c r="L29" s="10">
        <v>55441752</v>
      </c>
      <c r="M29" s="10">
        <v>55663248</v>
      </c>
      <c r="N29" s="10">
        <v>55896224</v>
      </c>
      <c r="O29" s="10">
        <v>56086064</v>
      </c>
      <c r="P29" s="10">
        <v>56194528</v>
      </c>
      <c r="Q29" s="10">
        <v>56229976</v>
      </c>
      <c r="R29" s="10">
        <v>56225800</v>
      </c>
      <c r="S29" s="10">
        <v>56211968</v>
      </c>
      <c r="T29" s="10">
        <v>56193492</v>
      </c>
      <c r="U29" s="10">
        <v>56196504</v>
      </c>
      <c r="V29" s="10">
        <v>56246952</v>
      </c>
      <c r="W29" s="10">
        <v>56314216</v>
      </c>
      <c r="X29" s="10">
        <v>56333828</v>
      </c>
      <c r="Y29" s="10">
        <v>56313640</v>
      </c>
      <c r="Z29" s="10">
        <v>56332848</v>
      </c>
      <c r="AA29" s="10">
        <v>56422072</v>
      </c>
      <c r="AB29" s="10">
        <v>56550268</v>
      </c>
      <c r="AC29" s="10">
        <v>56681396</v>
      </c>
      <c r="AD29" s="10">
        <v>56802048</v>
      </c>
      <c r="AE29" s="10">
        <v>56928328</v>
      </c>
      <c r="AF29" s="10">
        <v>57076712</v>
      </c>
      <c r="AG29" s="10">
        <v>57247584</v>
      </c>
      <c r="AH29" s="10">
        <v>57424896</v>
      </c>
      <c r="AI29" s="10">
        <v>57580400</v>
      </c>
      <c r="AJ29" s="10">
        <v>57718616</v>
      </c>
      <c r="AK29" s="10">
        <v>57865744</v>
      </c>
      <c r="AL29" s="10">
        <v>58019032</v>
      </c>
      <c r="AM29" s="10">
        <v>58166952</v>
      </c>
      <c r="AN29" s="10">
        <v>58316952</v>
      </c>
      <c r="AO29" s="10">
        <v>58487140</v>
      </c>
      <c r="AP29" s="10">
        <v>58682464</v>
      </c>
      <c r="AQ29" s="10">
        <v>58892512</v>
      </c>
      <c r="AR29" s="10">
        <v>59119672</v>
      </c>
      <c r="AS29" s="10">
        <v>59370480</v>
      </c>
      <c r="AT29" s="10">
        <v>59647576</v>
      </c>
      <c r="AU29" s="10">
        <v>59987904</v>
      </c>
      <c r="AV29" s="10">
        <v>60401208</v>
      </c>
      <c r="AW29" s="10">
        <v>60846820</v>
      </c>
      <c r="AX29" s="10">
        <v>61322464</v>
      </c>
      <c r="AY29" s="10">
        <v>61806996</v>
      </c>
      <c r="AZ29" s="10">
        <v>62276272</v>
      </c>
      <c r="BA29" s="10">
        <v>62766364</v>
      </c>
      <c r="BB29" s="10">
        <v>63258808</v>
      </c>
      <c r="BC29" s="10">
        <v>63700216</v>
      </c>
      <c r="BD29" s="10">
        <v>64128272</v>
      </c>
      <c r="BE29" s="10">
        <v>64602296</v>
      </c>
      <c r="BF29" s="10">
        <v>65116220</v>
      </c>
      <c r="BG29" s="10">
        <v>65611592</v>
      </c>
      <c r="BH29" s="10">
        <v>66058860</v>
      </c>
      <c r="BI29" s="10">
        <v>66460344</v>
      </c>
      <c r="BJ29" s="10">
        <v>66834404</v>
      </c>
    </row>
    <row r="30" spans="1:62" x14ac:dyDescent="0.45">
      <c r="A30" t="s">
        <v>25</v>
      </c>
      <c r="B30" t="s">
        <v>102</v>
      </c>
      <c r="C30" s="10">
        <v>180671008</v>
      </c>
      <c r="D30" s="10">
        <v>183691008</v>
      </c>
      <c r="E30" s="10">
        <v>186538000</v>
      </c>
      <c r="F30" s="10">
        <v>189242000</v>
      </c>
      <c r="G30" s="10">
        <v>191888992</v>
      </c>
      <c r="H30" s="10">
        <v>194303008</v>
      </c>
      <c r="I30" s="10">
        <v>196560000</v>
      </c>
      <c r="J30" s="10">
        <v>198712000</v>
      </c>
      <c r="K30" s="10">
        <v>200706000</v>
      </c>
      <c r="L30" s="10">
        <v>202676992</v>
      </c>
      <c r="M30" s="10">
        <v>205052000</v>
      </c>
      <c r="N30" s="10">
        <v>207660992</v>
      </c>
      <c r="O30" s="10">
        <v>209896000</v>
      </c>
      <c r="P30" s="10">
        <v>211908992</v>
      </c>
      <c r="Q30" s="10">
        <v>213854000</v>
      </c>
      <c r="R30" s="10">
        <v>215972992</v>
      </c>
      <c r="S30" s="10">
        <v>218035008</v>
      </c>
      <c r="T30" s="10">
        <v>220239008</v>
      </c>
      <c r="U30" s="10">
        <v>222584992</v>
      </c>
      <c r="V30" s="10">
        <v>225055008</v>
      </c>
      <c r="W30" s="10">
        <v>227224992</v>
      </c>
      <c r="X30" s="10">
        <v>229466000</v>
      </c>
      <c r="Y30" s="10">
        <v>231664000</v>
      </c>
      <c r="Z30" s="10">
        <v>233792000</v>
      </c>
      <c r="AA30" s="10">
        <v>235824992</v>
      </c>
      <c r="AB30" s="10">
        <v>237924000</v>
      </c>
      <c r="AC30" s="10">
        <v>240132992</v>
      </c>
      <c r="AD30" s="10">
        <v>242288992</v>
      </c>
      <c r="AE30" s="10">
        <v>244499008</v>
      </c>
      <c r="AF30" s="10">
        <v>246819008</v>
      </c>
      <c r="AG30" s="10">
        <v>249623008</v>
      </c>
      <c r="AH30" s="10">
        <v>252980992</v>
      </c>
      <c r="AI30" s="10">
        <v>256514000</v>
      </c>
      <c r="AJ30" s="10">
        <v>259919008</v>
      </c>
      <c r="AK30" s="10">
        <v>263126000</v>
      </c>
      <c r="AL30" s="10">
        <v>266278000</v>
      </c>
      <c r="AM30" s="10">
        <v>269393984</v>
      </c>
      <c r="AN30" s="10">
        <v>272656992</v>
      </c>
      <c r="AO30" s="10">
        <v>275854016</v>
      </c>
      <c r="AP30" s="10">
        <v>279040000</v>
      </c>
      <c r="AQ30" s="10">
        <v>282162400</v>
      </c>
      <c r="AR30" s="10">
        <v>284968960</v>
      </c>
      <c r="AS30" s="10">
        <v>287625184</v>
      </c>
      <c r="AT30" s="10">
        <v>290107936</v>
      </c>
      <c r="AU30" s="10">
        <v>292805312</v>
      </c>
      <c r="AV30" s="10">
        <v>295516608</v>
      </c>
      <c r="AW30" s="10">
        <v>298379904</v>
      </c>
      <c r="AX30" s="10">
        <v>301231200</v>
      </c>
      <c r="AY30" s="10">
        <v>304093952</v>
      </c>
      <c r="AZ30" s="10">
        <v>306771520</v>
      </c>
      <c r="BA30" s="10">
        <v>309321664</v>
      </c>
      <c r="BB30" s="10">
        <v>311556864</v>
      </c>
      <c r="BC30" s="10">
        <v>313830976</v>
      </c>
      <c r="BD30" s="10">
        <v>315993728</v>
      </c>
      <c r="BE30" s="10">
        <v>318300992</v>
      </c>
      <c r="BF30" s="10">
        <v>320635168</v>
      </c>
      <c r="BG30" s="10">
        <v>322941312</v>
      </c>
      <c r="BH30" s="10">
        <v>324985536</v>
      </c>
      <c r="BI30" s="10">
        <v>326687488</v>
      </c>
      <c r="BJ30" s="10">
        <v>328239520</v>
      </c>
    </row>
    <row r="31" spans="1:62" x14ac:dyDescent="0.45">
      <c r="A31" t="s">
        <v>26</v>
      </c>
      <c r="B31" t="s">
        <v>103</v>
      </c>
      <c r="C31" s="10">
        <v>109534</v>
      </c>
      <c r="D31" s="10">
        <v>115121</v>
      </c>
      <c r="E31" s="10">
        <v>121091</v>
      </c>
      <c r="F31" s="10">
        <v>127339</v>
      </c>
      <c r="G31" s="10">
        <v>133709</v>
      </c>
      <c r="H31" s="10">
        <v>140059</v>
      </c>
      <c r="I31" s="10">
        <v>146382</v>
      </c>
      <c r="J31" s="10">
        <v>152620</v>
      </c>
      <c r="K31" s="10">
        <v>158648</v>
      </c>
      <c r="L31" s="10">
        <v>164268</v>
      </c>
      <c r="M31" s="10">
        <v>169377</v>
      </c>
      <c r="N31" s="10">
        <v>173889</v>
      </c>
      <c r="O31" s="10">
        <v>177866</v>
      </c>
      <c r="P31" s="10">
        <v>181517</v>
      </c>
      <c r="Q31" s="10">
        <v>185120</v>
      </c>
      <c r="R31" s="10">
        <v>188896</v>
      </c>
      <c r="S31" s="10">
        <v>192909</v>
      </c>
      <c r="T31" s="10">
        <v>197101</v>
      </c>
      <c r="U31" s="10">
        <v>201478</v>
      </c>
      <c r="V31" s="10">
        <v>205984</v>
      </c>
      <c r="W31" s="10">
        <v>210591</v>
      </c>
      <c r="X31" s="10">
        <v>215326</v>
      </c>
      <c r="Y31" s="10">
        <v>220184</v>
      </c>
      <c r="Z31" s="10">
        <v>225084</v>
      </c>
      <c r="AA31" s="10">
        <v>229923</v>
      </c>
      <c r="AB31" s="10">
        <v>234578</v>
      </c>
      <c r="AC31" s="10">
        <v>239017</v>
      </c>
      <c r="AD31" s="10">
        <v>243271</v>
      </c>
      <c r="AE31" s="10">
        <v>247451</v>
      </c>
      <c r="AF31" s="10">
        <v>251733</v>
      </c>
      <c r="AG31" s="10">
        <v>256223</v>
      </c>
      <c r="AH31" s="10">
        <v>261008</v>
      </c>
      <c r="AI31" s="10">
        <v>266029</v>
      </c>
      <c r="AJ31" s="10">
        <v>271069</v>
      </c>
      <c r="AK31" s="10">
        <v>275846</v>
      </c>
      <c r="AL31" s="10">
        <v>280184</v>
      </c>
      <c r="AM31" s="10">
        <v>283978</v>
      </c>
      <c r="AN31" s="10">
        <v>287358</v>
      </c>
      <c r="AO31" s="10">
        <v>290597</v>
      </c>
      <c r="AP31" s="10">
        <v>294062</v>
      </c>
      <c r="AQ31" s="10">
        <v>298051</v>
      </c>
      <c r="AR31" s="10">
        <v>302618</v>
      </c>
      <c r="AS31" s="10">
        <v>307660</v>
      </c>
      <c r="AT31" s="10">
        <v>313129</v>
      </c>
      <c r="AU31" s="10">
        <v>318894</v>
      </c>
      <c r="AV31" s="10">
        <v>324859</v>
      </c>
      <c r="AW31" s="10">
        <v>331033</v>
      </c>
      <c r="AX31" s="10">
        <v>337389</v>
      </c>
      <c r="AY31" s="10">
        <v>343681</v>
      </c>
      <c r="AZ31" s="10">
        <v>349604</v>
      </c>
      <c r="BA31" s="10">
        <v>354942</v>
      </c>
      <c r="BB31" s="10">
        <v>359577</v>
      </c>
      <c r="BC31" s="10">
        <v>363584</v>
      </c>
      <c r="BD31" s="10">
        <v>367168</v>
      </c>
      <c r="BE31" s="10">
        <v>370633</v>
      </c>
      <c r="BF31" s="10">
        <v>374206</v>
      </c>
      <c r="BG31" s="10">
        <v>377931</v>
      </c>
      <c r="BH31" s="10">
        <v>381761</v>
      </c>
      <c r="BI31" s="10">
        <v>385640</v>
      </c>
      <c r="BJ31" s="10">
        <v>389482</v>
      </c>
    </row>
    <row r="32" spans="1:62" x14ac:dyDescent="0.45">
      <c r="A32" t="s">
        <v>26</v>
      </c>
      <c r="B32" t="s">
        <v>104</v>
      </c>
      <c r="C32" s="10">
        <v>48013504</v>
      </c>
      <c r="D32" s="10">
        <v>49362844</v>
      </c>
      <c r="E32" s="10">
        <v>50752156</v>
      </c>
      <c r="F32" s="10">
        <v>52202008</v>
      </c>
      <c r="G32" s="10">
        <v>53741716</v>
      </c>
      <c r="H32" s="10">
        <v>55385112</v>
      </c>
      <c r="I32" s="10">
        <v>57157656</v>
      </c>
      <c r="J32" s="10">
        <v>59034248</v>
      </c>
      <c r="K32" s="10">
        <v>60918456</v>
      </c>
      <c r="L32" s="10">
        <v>62679764</v>
      </c>
      <c r="M32" s="10">
        <v>64232480</v>
      </c>
      <c r="N32" s="10">
        <v>65531632</v>
      </c>
      <c r="O32" s="10">
        <v>66625704</v>
      </c>
      <c r="P32" s="10">
        <v>67637528</v>
      </c>
      <c r="Q32" s="10">
        <v>68742232</v>
      </c>
      <c r="R32" s="10">
        <v>70066304</v>
      </c>
      <c r="S32" s="10">
        <v>71652384</v>
      </c>
      <c r="T32" s="10">
        <v>73463584</v>
      </c>
      <c r="U32" s="10">
        <v>75450032</v>
      </c>
      <c r="V32" s="10">
        <v>77529048</v>
      </c>
      <c r="W32" s="10">
        <v>79639488</v>
      </c>
      <c r="X32" s="10">
        <v>81767512</v>
      </c>
      <c r="Y32" s="10">
        <v>83932128</v>
      </c>
      <c r="Z32" s="10">
        <v>86142496</v>
      </c>
      <c r="AA32" s="10">
        <v>88416520</v>
      </c>
      <c r="AB32" s="10">
        <v>90764184</v>
      </c>
      <c r="AC32" s="10">
        <v>93187600</v>
      </c>
      <c r="AD32" s="10">
        <v>95671160</v>
      </c>
      <c r="AE32" s="10">
        <v>98186352</v>
      </c>
      <c r="AF32" s="10">
        <v>100695496</v>
      </c>
      <c r="AG32" s="10">
        <v>103171952</v>
      </c>
      <c r="AH32" s="10">
        <v>105599128</v>
      </c>
      <c r="AI32" s="10">
        <v>107983704</v>
      </c>
      <c r="AJ32" s="10">
        <v>110350640</v>
      </c>
      <c r="AK32" s="10">
        <v>112737680</v>
      </c>
      <c r="AL32" s="10">
        <v>115169928</v>
      </c>
      <c r="AM32" s="10">
        <v>117649936</v>
      </c>
      <c r="AN32" s="10">
        <v>120160560</v>
      </c>
      <c r="AO32" s="10">
        <v>122682816</v>
      </c>
      <c r="AP32" s="10">
        <v>125189648</v>
      </c>
      <c r="AQ32" s="10">
        <v>127657856</v>
      </c>
      <c r="AR32" s="10">
        <v>130088704</v>
      </c>
      <c r="AS32" s="10">
        <v>132478088</v>
      </c>
      <c r="AT32" s="10">
        <v>134791600</v>
      </c>
      <c r="AU32" s="10">
        <v>136986432</v>
      </c>
      <c r="AV32" s="10">
        <v>139035504</v>
      </c>
      <c r="AW32" s="10">
        <v>140921168</v>
      </c>
      <c r="AX32" s="10">
        <v>142660384</v>
      </c>
      <c r="AY32" s="10">
        <v>144304160</v>
      </c>
      <c r="AZ32" s="10">
        <v>145924800</v>
      </c>
      <c r="BA32" s="10">
        <v>147575424</v>
      </c>
      <c r="BB32" s="10">
        <v>149273776</v>
      </c>
      <c r="BC32" s="10">
        <v>151007808</v>
      </c>
      <c r="BD32" s="10">
        <v>152764672</v>
      </c>
      <c r="BE32" s="10">
        <v>154520160</v>
      </c>
      <c r="BF32" s="10">
        <v>156256272</v>
      </c>
      <c r="BG32" s="10">
        <v>157970848</v>
      </c>
      <c r="BH32" s="10">
        <v>159670592</v>
      </c>
      <c r="BI32" s="10">
        <v>161356032</v>
      </c>
      <c r="BJ32" s="10">
        <v>163046160</v>
      </c>
    </row>
    <row r="33" spans="1:62" x14ac:dyDescent="0.45">
      <c r="A33" t="s">
        <v>26</v>
      </c>
      <c r="B33" t="s">
        <v>105</v>
      </c>
      <c r="C33" s="10">
        <v>92064</v>
      </c>
      <c r="D33" s="10">
        <v>94703</v>
      </c>
      <c r="E33" s="10">
        <v>97384</v>
      </c>
      <c r="F33" s="10">
        <v>100164</v>
      </c>
      <c r="G33" s="10">
        <v>103069</v>
      </c>
      <c r="H33" s="10">
        <v>106119</v>
      </c>
      <c r="I33" s="10">
        <v>109347</v>
      </c>
      <c r="J33" s="10">
        <v>112692</v>
      </c>
      <c r="K33" s="10">
        <v>116061</v>
      </c>
      <c r="L33" s="10">
        <v>119261</v>
      </c>
      <c r="M33" s="10">
        <v>122182</v>
      </c>
      <c r="N33" s="10">
        <v>124793</v>
      </c>
      <c r="O33" s="10">
        <v>127150</v>
      </c>
      <c r="P33" s="10">
        <v>129294</v>
      </c>
      <c r="Q33" s="10">
        <v>131307</v>
      </c>
      <c r="R33" s="10">
        <v>133260</v>
      </c>
      <c r="S33" s="10">
        <v>135147</v>
      </c>
      <c r="T33" s="10">
        <v>136989</v>
      </c>
      <c r="U33" s="10">
        <v>138965</v>
      </c>
      <c r="V33" s="10">
        <v>141305</v>
      </c>
      <c r="W33" s="10">
        <v>144155</v>
      </c>
      <c r="X33" s="10">
        <v>147566</v>
      </c>
      <c r="Y33" s="10">
        <v>151500</v>
      </c>
      <c r="Z33" s="10">
        <v>155822</v>
      </c>
      <c r="AA33" s="10">
        <v>160347</v>
      </c>
      <c r="AB33" s="10">
        <v>164921</v>
      </c>
      <c r="AC33" s="10">
        <v>169568</v>
      </c>
      <c r="AD33" s="10">
        <v>174320</v>
      </c>
      <c r="AE33" s="10">
        <v>179028</v>
      </c>
      <c r="AF33" s="10">
        <v>183469</v>
      </c>
      <c r="AG33" s="10">
        <v>187552</v>
      </c>
      <c r="AH33" s="10">
        <v>191128</v>
      </c>
      <c r="AI33" s="10">
        <v>194324</v>
      </c>
      <c r="AJ33" s="10">
        <v>197622</v>
      </c>
      <c r="AK33" s="10">
        <v>201680</v>
      </c>
      <c r="AL33" s="10">
        <v>206963</v>
      </c>
      <c r="AM33" s="10">
        <v>213664</v>
      </c>
      <c r="AN33" s="10">
        <v>221580</v>
      </c>
      <c r="AO33" s="10">
        <v>230244</v>
      </c>
      <c r="AP33" s="10">
        <v>238988</v>
      </c>
      <c r="AQ33" s="10">
        <v>247315</v>
      </c>
      <c r="AR33" s="10">
        <v>255063</v>
      </c>
      <c r="AS33" s="10">
        <v>262378</v>
      </c>
      <c r="AT33" s="10">
        <v>269425</v>
      </c>
      <c r="AU33" s="10">
        <v>276504</v>
      </c>
      <c r="AV33" s="10">
        <v>283800</v>
      </c>
      <c r="AW33" s="10">
        <v>291329</v>
      </c>
      <c r="AX33" s="10">
        <v>299025</v>
      </c>
      <c r="AY33" s="10">
        <v>306823</v>
      </c>
      <c r="AZ33" s="10">
        <v>314655</v>
      </c>
      <c r="BA33" s="10">
        <v>322464</v>
      </c>
      <c r="BB33" s="10">
        <v>330237</v>
      </c>
      <c r="BC33" s="10">
        <v>338000</v>
      </c>
      <c r="BD33" s="10">
        <v>345715</v>
      </c>
      <c r="BE33" s="10">
        <v>353366</v>
      </c>
      <c r="BF33" s="10">
        <v>360933</v>
      </c>
      <c r="BG33" s="10">
        <v>368400</v>
      </c>
      <c r="BH33" s="10">
        <v>375769</v>
      </c>
      <c r="BI33" s="10">
        <v>383071</v>
      </c>
      <c r="BJ33" s="10">
        <v>390353</v>
      </c>
    </row>
    <row r="34" spans="1:62" x14ac:dyDescent="0.45">
      <c r="A34" t="s">
        <v>26</v>
      </c>
      <c r="B34" t="s">
        <v>106</v>
      </c>
      <c r="C34" s="10">
        <v>2431622</v>
      </c>
      <c r="D34" s="10">
        <v>2465867</v>
      </c>
      <c r="E34" s="10">
        <v>2502896</v>
      </c>
      <c r="F34" s="10">
        <v>2542859</v>
      </c>
      <c r="G34" s="10">
        <v>2585965</v>
      </c>
      <c r="H34" s="10">
        <v>2632356</v>
      </c>
      <c r="I34" s="10">
        <v>2682159</v>
      </c>
      <c r="J34" s="10">
        <v>2735307</v>
      </c>
      <c r="K34" s="10">
        <v>2791590</v>
      </c>
      <c r="L34" s="10">
        <v>2850661</v>
      </c>
      <c r="M34" s="10">
        <v>2912340</v>
      </c>
      <c r="N34" s="10">
        <v>2976572</v>
      </c>
      <c r="O34" s="10">
        <v>3043567</v>
      </c>
      <c r="P34" s="10">
        <v>3113675</v>
      </c>
      <c r="Q34" s="10">
        <v>3187412</v>
      </c>
      <c r="R34" s="10">
        <v>3265165</v>
      </c>
      <c r="S34" s="10">
        <v>3347173</v>
      </c>
      <c r="T34" s="10">
        <v>3433439</v>
      </c>
      <c r="U34" s="10">
        <v>3523938</v>
      </c>
      <c r="V34" s="10">
        <v>3618526</v>
      </c>
      <c r="W34" s="10">
        <v>3717165</v>
      </c>
      <c r="X34" s="10">
        <v>3820128</v>
      </c>
      <c r="Y34" s="10">
        <v>3927714</v>
      </c>
      <c r="Z34" s="10">
        <v>4039949</v>
      </c>
      <c r="AA34" s="10">
        <v>4156819</v>
      </c>
      <c r="AB34" s="10">
        <v>4278501</v>
      </c>
      <c r="AC34" s="10">
        <v>4404506</v>
      </c>
      <c r="AD34" s="10">
        <v>4535263</v>
      </c>
      <c r="AE34" s="10">
        <v>4672852</v>
      </c>
      <c r="AF34" s="10">
        <v>4820016</v>
      </c>
      <c r="AG34" s="10">
        <v>4978496</v>
      </c>
      <c r="AH34" s="10">
        <v>5149499</v>
      </c>
      <c r="AI34" s="10">
        <v>5331803</v>
      </c>
      <c r="AJ34" s="10">
        <v>5521763</v>
      </c>
      <c r="AK34" s="10">
        <v>5714220</v>
      </c>
      <c r="AL34" s="10">
        <v>5905558</v>
      </c>
      <c r="AM34" s="10">
        <v>6094259</v>
      </c>
      <c r="AN34" s="10">
        <v>6281639</v>
      </c>
      <c r="AO34" s="10">
        <v>6470265</v>
      </c>
      <c r="AP34" s="10">
        <v>6664098</v>
      </c>
      <c r="AQ34" s="10">
        <v>6865951</v>
      </c>
      <c r="AR34" s="10">
        <v>7076733</v>
      </c>
      <c r="AS34" s="10">
        <v>7295394</v>
      </c>
      <c r="AT34" s="10">
        <v>7520555</v>
      </c>
      <c r="AU34" s="10">
        <v>7750004</v>
      </c>
      <c r="AV34" s="10">
        <v>7982225</v>
      </c>
      <c r="AW34" s="10">
        <v>8216897</v>
      </c>
      <c r="AX34" s="10">
        <v>8454793</v>
      </c>
      <c r="AY34" s="10">
        <v>8696921</v>
      </c>
      <c r="AZ34" s="10">
        <v>8944708</v>
      </c>
      <c r="BA34" s="10">
        <v>9199259</v>
      </c>
      <c r="BB34" s="10">
        <v>9460830</v>
      </c>
      <c r="BC34" s="10">
        <v>9729248</v>
      </c>
      <c r="BD34" s="10">
        <v>10004588</v>
      </c>
      <c r="BE34" s="10">
        <v>10286842</v>
      </c>
      <c r="BF34" s="10">
        <v>10575952</v>
      </c>
      <c r="BG34" s="10">
        <v>10872067</v>
      </c>
      <c r="BH34" s="10">
        <v>11175204</v>
      </c>
      <c r="BI34" s="10">
        <v>11485048</v>
      </c>
      <c r="BJ34" s="10">
        <v>11801151</v>
      </c>
    </row>
    <row r="35" spans="1:62" x14ac:dyDescent="0.45">
      <c r="A35" t="s">
        <v>26</v>
      </c>
      <c r="B35" t="s">
        <v>107</v>
      </c>
      <c r="C35" s="10">
        <v>3656955</v>
      </c>
      <c r="D35" s="10">
        <v>3728964</v>
      </c>
      <c r="E35" s="10">
        <v>3802990</v>
      </c>
      <c r="F35" s="10">
        <v>3879192</v>
      </c>
      <c r="G35" s="10">
        <v>3957757</v>
      </c>
      <c r="H35" s="10">
        <v>4038872</v>
      </c>
      <c r="I35" s="10">
        <v>4122517</v>
      </c>
      <c r="J35" s="10">
        <v>4208676</v>
      </c>
      <c r="K35" s="10">
        <v>4297517</v>
      </c>
      <c r="L35" s="10">
        <v>4389246</v>
      </c>
      <c r="M35" s="10">
        <v>4484004</v>
      </c>
      <c r="N35" s="10">
        <v>4581740</v>
      </c>
      <c r="O35" s="10">
        <v>4682390</v>
      </c>
      <c r="P35" s="10">
        <v>4785923</v>
      </c>
      <c r="Q35" s="10">
        <v>4892293</v>
      </c>
      <c r="R35" s="10">
        <v>5001419</v>
      </c>
      <c r="S35" s="10">
        <v>5113456</v>
      </c>
      <c r="T35" s="10">
        <v>5228252</v>
      </c>
      <c r="U35" s="10">
        <v>5344939</v>
      </c>
      <c r="V35" s="10">
        <v>5462419</v>
      </c>
      <c r="W35" s="10">
        <v>5579935</v>
      </c>
      <c r="X35" s="10">
        <v>5697096</v>
      </c>
      <c r="Y35" s="10">
        <v>5814345</v>
      </c>
      <c r="Z35" s="10">
        <v>5932810</v>
      </c>
      <c r="AA35" s="10">
        <v>6054123</v>
      </c>
      <c r="AB35" s="10">
        <v>6179460</v>
      </c>
      <c r="AC35" s="10">
        <v>6309130</v>
      </c>
      <c r="AD35" s="10">
        <v>6442831</v>
      </c>
      <c r="AE35" s="10">
        <v>6580312</v>
      </c>
      <c r="AF35" s="10">
        <v>6721115</v>
      </c>
      <c r="AG35" s="10">
        <v>6864842</v>
      </c>
      <c r="AH35" s="10">
        <v>7011453</v>
      </c>
      <c r="AI35" s="10">
        <v>7160920</v>
      </c>
      <c r="AJ35" s="10">
        <v>7312850</v>
      </c>
      <c r="AK35" s="10">
        <v>7466793</v>
      </c>
      <c r="AL35" s="10">
        <v>7622338</v>
      </c>
      <c r="AM35" s="10">
        <v>7779267</v>
      </c>
      <c r="AN35" s="10">
        <v>7937458</v>
      </c>
      <c r="AO35" s="10">
        <v>8096761</v>
      </c>
      <c r="AP35" s="10">
        <v>8257066</v>
      </c>
      <c r="AQ35" s="10">
        <v>8418264</v>
      </c>
      <c r="AR35" s="10">
        <v>8580235</v>
      </c>
      <c r="AS35" s="10">
        <v>8742814</v>
      </c>
      <c r="AT35" s="10">
        <v>8905823</v>
      </c>
      <c r="AU35" s="10">
        <v>9069039</v>
      </c>
      <c r="AV35" s="10">
        <v>9232306</v>
      </c>
      <c r="AW35" s="10">
        <v>9395446</v>
      </c>
      <c r="AX35" s="10">
        <v>9558439</v>
      </c>
      <c r="AY35" s="10">
        <v>9721454</v>
      </c>
      <c r="AZ35" s="10">
        <v>9884781</v>
      </c>
      <c r="BA35" s="10">
        <v>10048590</v>
      </c>
      <c r="BB35" s="10">
        <v>10212954</v>
      </c>
      <c r="BC35" s="10">
        <v>10377676</v>
      </c>
      <c r="BD35" s="10">
        <v>10542376</v>
      </c>
      <c r="BE35" s="10">
        <v>10706517</v>
      </c>
      <c r="BF35" s="10">
        <v>10869730</v>
      </c>
      <c r="BG35" s="10">
        <v>11031813</v>
      </c>
      <c r="BH35" s="10">
        <v>11192854</v>
      </c>
      <c r="BI35" s="10">
        <v>11353142</v>
      </c>
      <c r="BJ35" s="10">
        <v>11513100</v>
      </c>
    </row>
    <row r="36" spans="1:62" x14ac:dyDescent="0.45">
      <c r="A36" t="s">
        <v>26</v>
      </c>
      <c r="B36" t="s">
        <v>108</v>
      </c>
      <c r="C36" s="10">
        <v>502745</v>
      </c>
      <c r="D36" s="10">
        <v>512685</v>
      </c>
      <c r="E36" s="10">
        <v>523778</v>
      </c>
      <c r="F36" s="10">
        <v>535685</v>
      </c>
      <c r="G36" s="10">
        <v>547873</v>
      </c>
      <c r="H36" s="10">
        <v>559994</v>
      </c>
      <c r="I36" s="10">
        <v>571964</v>
      </c>
      <c r="J36" s="10">
        <v>584092</v>
      </c>
      <c r="K36" s="10">
        <v>596947</v>
      </c>
      <c r="L36" s="10">
        <v>611300</v>
      </c>
      <c r="M36" s="10">
        <v>627715</v>
      </c>
      <c r="N36" s="10">
        <v>646347</v>
      </c>
      <c r="O36" s="10">
        <v>667092</v>
      </c>
      <c r="P36" s="10">
        <v>689912</v>
      </c>
      <c r="Q36" s="10">
        <v>714712</v>
      </c>
      <c r="R36" s="10">
        <v>741355</v>
      </c>
      <c r="S36" s="10">
        <v>769979</v>
      </c>
      <c r="T36" s="10">
        <v>800529</v>
      </c>
      <c r="U36" s="10">
        <v>832467</v>
      </c>
      <c r="V36" s="10">
        <v>865075</v>
      </c>
      <c r="W36" s="10">
        <v>897868</v>
      </c>
      <c r="X36" s="10">
        <v>930408</v>
      </c>
      <c r="Y36" s="10">
        <v>962875</v>
      </c>
      <c r="Z36" s="10">
        <v>996130</v>
      </c>
      <c r="AA36" s="10">
        <v>1031439</v>
      </c>
      <c r="AB36" s="10">
        <v>1069582</v>
      </c>
      <c r="AC36" s="10">
        <v>1110943</v>
      </c>
      <c r="AD36" s="10">
        <v>1154906</v>
      </c>
      <c r="AE36" s="10">
        <v>1200067</v>
      </c>
      <c r="AF36" s="10">
        <v>1244484</v>
      </c>
      <c r="AG36" s="10">
        <v>1286756</v>
      </c>
      <c r="AH36" s="10">
        <v>1326322</v>
      </c>
      <c r="AI36" s="10">
        <v>1363554</v>
      </c>
      <c r="AJ36" s="10">
        <v>1399110</v>
      </c>
      <c r="AK36" s="10">
        <v>1434059</v>
      </c>
      <c r="AL36" s="10">
        <v>1469174</v>
      </c>
      <c r="AM36" s="10">
        <v>1504730</v>
      </c>
      <c r="AN36" s="10">
        <v>1540425</v>
      </c>
      <c r="AO36" s="10">
        <v>1575824</v>
      </c>
      <c r="AP36" s="10">
        <v>1610264</v>
      </c>
      <c r="AQ36" s="10">
        <v>1643334</v>
      </c>
      <c r="AR36" s="10">
        <v>1674678</v>
      </c>
      <c r="AS36" s="10">
        <v>1704642</v>
      </c>
      <c r="AT36" s="10">
        <v>1734398</v>
      </c>
      <c r="AU36" s="10">
        <v>1765527</v>
      </c>
      <c r="AV36" s="10">
        <v>1799078</v>
      </c>
      <c r="AW36" s="10">
        <v>1835908</v>
      </c>
      <c r="AX36" s="10">
        <v>1875459</v>
      </c>
      <c r="AY36" s="10">
        <v>1915639</v>
      </c>
      <c r="AZ36" s="10">
        <v>1953498</v>
      </c>
      <c r="BA36" s="10">
        <v>1987105</v>
      </c>
      <c r="BB36" s="10">
        <v>2015402</v>
      </c>
      <c r="BC36" s="10">
        <v>2039551</v>
      </c>
      <c r="BD36" s="10">
        <v>2062536</v>
      </c>
      <c r="BE36" s="10">
        <v>2088614</v>
      </c>
      <c r="BF36" s="10">
        <v>2120716</v>
      </c>
      <c r="BG36" s="10">
        <v>2159944</v>
      </c>
      <c r="BH36" s="10">
        <v>2205128</v>
      </c>
      <c r="BI36" s="10">
        <v>2254126</v>
      </c>
      <c r="BJ36" s="10">
        <v>2303697</v>
      </c>
    </row>
    <row r="37" spans="1:62" x14ac:dyDescent="0.45">
      <c r="A37" t="s">
        <v>26</v>
      </c>
      <c r="B37" t="s">
        <v>109</v>
      </c>
      <c r="C37" s="10">
        <v>72179224</v>
      </c>
      <c r="D37" s="10">
        <v>74311344</v>
      </c>
      <c r="E37" s="10">
        <v>76514328</v>
      </c>
      <c r="F37" s="10">
        <v>78772656</v>
      </c>
      <c r="G37" s="10">
        <v>81064568</v>
      </c>
      <c r="H37" s="10">
        <v>83373528</v>
      </c>
      <c r="I37" s="10">
        <v>85696504</v>
      </c>
      <c r="J37" s="10">
        <v>88035816</v>
      </c>
      <c r="K37" s="10">
        <v>90387080</v>
      </c>
      <c r="L37" s="10">
        <v>92746616</v>
      </c>
      <c r="M37" s="10">
        <v>95113264</v>
      </c>
      <c r="N37" s="10">
        <v>97482920</v>
      </c>
      <c r="O37" s="10">
        <v>99859384</v>
      </c>
      <c r="P37" s="10">
        <v>102259496</v>
      </c>
      <c r="Q37" s="10">
        <v>104706200</v>
      </c>
      <c r="R37" s="10">
        <v>107216208</v>
      </c>
      <c r="S37" s="10">
        <v>109790936</v>
      </c>
      <c r="T37" s="10">
        <v>112425392</v>
      </c>
      <c r="U37" s="10">
        <v>115121152</v>
      </c>
      <c r="V37" s="10">
        <v>117878408</v>
      </c>
      <c r="W37" s="10">
        <v>120694008</v>
      </c>
      <c r="X37" s="10">
        <v>123570328</v>
      </c>
      <c r="Y37" s="10">
        <v>126498312</v>
      </c>
      <c r="Z37" s="10">
        <v>129448816</v>
      </c>
      <c r="AA37" s="10">
        <v>132383568</v>
      </c>
      <c r="AB37" s="10">
        <v>135274080</v>
      </c>
      <c r="AC37" s="10">
        <v>138108912</v>
      </c>
      <c r="AD37" s="10">
        <v>140891600</v>
      </c>
      <c r="AE37" s="10">
        <v>143627504</v>
      </c>
      <c r="AF37" s="10">
        <v>146328304</v>
      </c>
      <c r="AG37" s="10">
        <v>149003216</v>
      </c>
      <c r="AH37" s="10">
        <v>151648016</v>
      </c>
      <c r="AI37" s="10">
        <v>154259376</v>
      </c>
      <c r="AJ37" s="10">
        <v>156849072</v>
      </c>
      <c r="AK37" s="10">
        <v>159432720</v>
      </c>
      <c r="AL37" s="10">
        <v>162019904</v>
      </c>
      <c r="AM37" s="10">
        <v>164614688</v>
      </c>
      <c r="AN37" s="10">
        <v>167209040</v>
      </c>
      <c r="AO37" s="10">
        <v>169785248</v>
      </c>
      <c r="AP37" s="10">
        <v>172318672</v>
      </c>
      <c r="AQ37" s="10">
        <v>174790336</v>
      </c>
      <c r="AR37" s="10">
        <v>177196048</v>
      </c>
      <c r="AS37" s="10">
        <v>179537520</v>
      </c>
      <c r="AT37" s="10">
        <v>181809248</v>
      </c>
      <c r="AU37" s="10">
        <v>184006480</v>
      </c>
      <c r="AV37" s="10">
        <v>186127104</v>
      </c>
      <c r="AW37" s="10">
        <v>188167360</v>
      </c>
      <c r="AX37" s="10">
        <v>190130448</v>
      </c>
      <c r="AY37" s="10">
        <v>192030368</v>
      </c>
      <c r="AZ37" s="10">
        <v>193886512</v>
      </c>
      <c r="BA37" s="10">
        <v>195713632</v>
      </c>
      <c r="BB37" s="10">
        <v>197514528</v>
      </c>
      <c r="BC37" s="10">
        <v>199287296</v>
      </c>
      <c r="BD37" s="10">
        <v>201035904</v>
      </c>
      <c r="BE37" s="10">
        <v>202763728</v>
      </c>
      <c r="BF37" s="10">
        <v>204471776</v>
      </c>
      <c r="BG37" s="10">
        <v>206163056</v>
      </c>
      <c r="BH37" s="10">
        <v>207833824</v>
      </c>
      <c r="BI37" s="10">
        <v>209469328</v>
      </c>
      <c r="BJ37" s="10">
        <v>211049520</v>
      </c>
    </row>
    <row r="38" spans="1:62" x14ac:dyDescent="0.45">
      <c r="A38" t="s">
        <v>26</v>
      </c>
      <c r="B38" t="s">
        <v>110</v>
      </c>
      <c r="C38" s="10">
        <v>4829288</v>
      </c>
      <c r="D38" s="10">
        <v>4894580</v>
      </c>
      <c r="E38" s="10">
        <v>4960326</v>
      </c>
      <c r="F38" s="10">
        <v>5027821</v>
      </c>
      <c r="G38" s="10">
        <v>5098890</v>
      </c>
      <c r="H38" s="10">
        <v>5174870</v>
      </c>
      <c r="I38" s="10">
        <v>5256363</v>
      </c>
      <c r="J38" s="10">
        <v>5343019</v>
      </c>
      <c r="K38" s="10">
        <v>5434041</v>
      </c>
      <c r="L38" s="10">
        <v>5528174</v>
      </c>
      <c r="M38" s="10">
        <v>5624600</v>
      </c>
      <c r="N38" s="10">
        <v>5723381</v>
      </c>
      <c r="O38" s="10">
        <v>5825173</v>
      </c>
      <c r="P38" s="10">
        <v>5930483</v>
      </c>
      <c r="Q38" s="10">
        <v>6040041</v>
      </c>
      <c r="R38" s="10">
        <v>6154545</v>
      </c>
      <c r="S38" s="10">
        <v>6274037</v>
      </c>
      <c r="T38" s="10">
        <v>6398935</v>
      </c>
      <c r="U38" s="10">
        <v>6530819</v>
      </c>
      <c r="V38" s="10">
        <v>6671656</v>
      </c>
      <c r="W38" s="10">
        <v>6822843</v>
      </c>
      <c r="X38" s="10">
        <v>6985160</v>
      </c>
      <c r="Y38" s="10">
        <v>7158255</v>
      </c>
      <c r="Z38" s="10">
        <v>7340905</v>
      </c>
      <c r="AA38" s="10">
        <v>7531242</v>
      </c>
      <c r="AB38" s="10">
        <v>7727907</v>
      </c>
      <c r="AC38" s="10">
        <v>7930694</v>
      </c>
      <c r="AD38" s="10">
        <v>8140073</v>
      </c>
      <c r="AE38" s="10">
        <v>8356305</v>
      </c>
      <c r="AF38" s="10">
        <v>8579823</v>
      </c>
      <c r="AG38" s="10">
        <v>8811034</v>
      </c>
      <c r="AH38" s="10">
        <v>9050084</v>
      </c>
      <c r="AI38" s="10">
        <v>9297113</v>
      </c>
      <c r="AJ38" s="10">
        <v>9552476</v>
      </c>
      <c r="AK38" s="10">
        <v>9816588</v>
      </c>
      <c r="AL38" s="10">
        <v>10089878</v>
      </c>
      <c r="AM38" s="10">
        <v>10372745</v>
      </c>
      <c r="AN38" s="10">
        <v>10665546</v>
      </c>
      <c r="AO38" s="10">
        <v>10968724</v>
      </c>
      <c r="AP38" s="10">
        <v>11282701</v>
      </c>
      <c r="AQ38" s="10">
        <v>11607942</v>
      </c>
      <c r="AR38" s="10">
        <v>11944587</v>
      </c>
      <c r="AS38" s="10">
        <v>12293100</v>
      </c>
      <c r="AT38" s="10">
        <v>12654621</v>
      </c>
      <c r="AU38" s="10">
        <v>13030569</v>
      </c>
      <c r="AV38" s="10">
        <v>13421930</v>
      </c>
      <c r="AW38" s="10">
        <v>13829176</v>
      </c>
      <c r="AX38" s="10">
        <v>14252021</v>
      </c>
      <c r="AY38" s="10">
        <v>14689725</v>
      </c>
      <c r="AZ38" s="10">
        <v>15141098</v>
      </c>
      <c r="BA38" s="10">
        <v>15605217</v>
      </c>
      <c r="BB38" s="10">
        <v>16081911</v>
      </c>
      <c r="BC38" s="10">
        <v>16571246</v>
      </c>
      <c r="BD38" s="10">
        <v>17072776</v>
      </c>
      <c r="BE38" s="10">
        <v>17586016</v>
      </c>
      <c r="BF38" s="10">
        <v>18110624</v>
      </c>
      <c r="BG38" s="10">
        <v>18646378</v>
      </c>
      <c r="BH38" s="10">
        <v>19193284</v>
      </c>
      <c r="BI38" s="10">
        <v>19751536</v>
      </c>
      <c r="BJ38" s="10">
        <v>20321378</v>
      </c>
    </row>
    <row r="39" spans="1:62" x14ac:dyDescent="0.45">
      <c r="A39" t="s">
        <v>26</v>
      </c>
      <c r="B39" t="s">
        <v>111</v>
      </c>
      <c r="C39" s="10">
        <v>2797932</v>
      </c>
      <c r="D39" s="10">
        <v>2852438</v>
      </c>
      <c r="E39" s="10">
        <v>2907321</v>
      </c>
      <c r="F39" s="10">
        <v>2964427</v>
      </c>
      <c r="G39" s="10">
        <v>3026290</v>
      </c>
      <c r="H39" s="10">
        <v>3094379</v>
      </c>
      <c r="I39" s="10">
        <v>3170490</v>
      </c>
      <c r="J39" s="10">
        <v>3253218</v>
      </c>
      <c r="K39" s="10">
        <v>3336927</v>
      </c>
      <c r="L39" s="10">
        <v>3413904</v>
      </c>
      <c r="M39" s="10">
        <v>3479074</v>
      </c>
      <c r="N39" s="10">
        <v>3529997</v>
      </c>
      <c r="O39" s="10">
        <v>3569666</v>
      </c>
      <c r="P39" s="10">
        <v>3605126</v>
      </c>
      <c r="Q39" s="10">
        <v>3646431</v>
      </c>
      <c r="R39" s="10">
        <v>3700880</v>
      </c>
      <c r="S39" s="10">
        <v>3770871</v>
      </c>
      <c r="T39" s="10">
        <v>3854445</v>
      </c>
      <c r="U39" s="10">
        <v>3949266</v>
      </c>
      <c r="V39" s="10">
        <v>4051234</v>
      </c>
      <c r="W39" s="10">
        <v>4157298</v>
      </c>
      <c r="X39" s="10">
        <v>4266520</v>
      </c>
      <c r="Y39" s="10">
        <v>4379724</v>
      </c>
      <c r="Z39" s="10">
        <v>4497533</v>
      </c>
      <c r="AA39" s="10">
        <v>4621103</v>
      </c>
      <c r="AB39" s="10">
        <v>4750837</v>
      </c>
      <c r="AC39" s="10">
        <v>4886743</v>
      </c>
      <c r="AD39" s="10">
        <v>5027138</v>
      </c>
      <c r="AE39" s="10">
        <v>5168698</v>
      </c>
      <c r="AF39" s="10">
        <v>5307069</v>
      </c>
      <c r="AG39" s="10">
        <v>5438957</v>
      </c>
      <c r="AH39" s="10">
        <v>5564926</v>
      </c>
      <c r="AI39" s="10">
        <v>5685565</v>
      </c>
      <c r="AJ39" s="10">
        <v>5798053</v>
      </c>
      <c r="AK39" s="10">
        <v>5898967</v>
      </c>
      <c r="AL39" s="10">
        <v>5987043</v>
      </c>
      <c r="AM39" s="10">
        <v>6060111</v>
      </c>
      <c r="AN39" s="10">
        <v>6122130</v>
      </c>
      <c r="AO39" s="10">
        <v>6185562</v>
      </c>
      <c r="AP39" s="10">
        <v>6267124</v>
      </c>
      <c r="AQ39" s="10">
        <v>6378871</v>
      </c>
      <c r="AR39" s="10">
        <v>6525545</v>
      </c>
      <c r="AS39" s="10">
        <v>6704113</v>
      </c>
      <c r="AT39" s="10">
        <v>6909154</v>
      </c>
      <c r="AU39" s="10">
        <v>7131693</v>
      </c>
      <c r="AV39" s="10">
        <v>7364862</v>
      </c>
      <c r="AW39" s="10">
        <v>7607849</v>
      </c>
      <c r="AX39" s="10">
        <v>7862214</v>
      </c>
      <c r="AY39" s="10">
        <v>8126102</v>
      </c>
      <c r="AZ39" s="10">
        <v>8397668</v>
      </c>
      <c r="BA39" s="10">
        <v>8675602</v>
      </c>
      <c r="BB39" s="10">
        <v>8958406</v>
      </c>
      <c r="BC39" s="10">
        <v>9245988</v>
      </c>
      <c r="BD39" s="10">
        <v>9540289</v>
      </c>
      <c r="BE39" s="10">
        <v>9844297</v>
      </c>
      <c r="BF39" s="10">
        <v>10160030</v>
      </c>
      <c r="BG39" s="10">
        <v>10487998</v>
      </c>
      <c r="BH39" s="10">
        <v>10827024</v>
      </c>
      <c r="BI39" s="10">
        <v>11175378</v>
      </c>
      <c r="BJ39" s="10">
        <v>11530580</v>
      </c>
    </row>
    <row r="40" spans="1:62" x14ac:dyDescent="0.45">
      <c r="A40" t="s">
        <v>26</v>
      </c>
      <c r="B40" t="s">
        <v>112</v>
      </c>
      <c r="C40" s="10">
        <v>5176918</v>
      </c>
      <c r="D40" s="10">
        <v>5285017</v>
      </c>
      <c r="E40" s="10">
        <v>5398729</v>
      </c>
      <c r="F40" s="10">
        <v>5518104</v>
      </c>
      <c r="G40" s="10">
        <v>5643036</v>
      </c>
      <c r="H40" s="10">
        <v>5773543</v>
      </c>
      <c r="I40" s="10">
        <v>5909882</v>
      </c>
      <c r="J40" s="10">
        <v>6052420</v>
      </c>
      <c r="K40" s="10">
        <v>6201413</v>
      </c>
      <c r="L40" s="10">
        <v>6357092</v>
      </c>
      <c r="M40" s="10">
        <v>6519762</v>
      </c>
      <c r="N40" s="10">
        <v>6689662</v>
      </c>
      <c r="O40" s="10">
        <v>6867178</v>
      </c>
      <c r="P40" s="10">
        <v>7052849</v>
      </c>
      <c r="Q40" s="10">
        <v>7247287</v>
      </c>
      <c r="R40" s="10">
        <v>7451054</v>
      </c>
      <c r="S40" s="10">
        <v>7664406</v>
      </c>
      <c r="T40" s="10">
        <v>7887560</v>
      </c>
      <c r="U40" s="10">
        <v>8121084</v>
      </c>
      <c r="V40" s="10">
        <v>8365567</v>
      </c>
      <c r="W40" s="10">
        <v>8621406</v>
      </c>
      <c r="X40" s="10">
        <v>8888535</v>
      </c>
      <c r="Y40" s="10">
        <v>9166816</v>
      </c>
      <c r="Z40" s="10">
        <v>9456494</v>
      </c>
      <c r="AA40" s="10">
        <v>9757841</v>
      </c>
      <c r="AB40" s="10">
        <v>10070806</v>
      </c>
      <c r="AC40" s="10">
        <v>10395480</v>
      </c>
      <c r="AD40" s="10">
        <v>10731064</v>
      </c>
      <c r="AE40" s="10">
        <v>11075422</v>
      </c>
      <c r="AF40" s="10">
        <v>11425800</v>
      </c>
      <c r="AG40" s="10">
        <v>11780088</v>
      </c>
      <c r="AH40" s="10">
        <v>12137912</v>
      </c>
      <c r="AI40" s="10">
        <v>12499499</v>
      </c>
      <c r="AJ40" s="10">
        <v>12864090</v>
      </c>
      <c r="AK40" s="10">
        <v>13230984</v>
      </c>
      <c r="AL40" s="10">
        <v>13599988</v>
      </c>
      <c r="AM40" s="10">
        <v>13970813</v>
      </c>
      <c r="AN40" s="10">
        <v>14344449</v>
      </c>
      <c r="AO40" s="10">
        <v>14723768</v>
      </c>
      <c r="AP40" s="10">
        <v>15112592</v>
      </c>
      <c r="AQ40" s="10">
        <v>15513945</v>
      </c>
      <c r="AR40" s="10">
        <v>15928910</v>
      </c>
      <c r="AS40" s="10">
        <v>16357602</v>
      </c>
      <c r="AT40" s="10">
        <v>16800864</v>
      </c>
      <c r="AU40" s="10">
        <v>17259322</v>
      </c>
      <c r="AV40" s="10">
        <v>17733410</v>
      </c>
      <c r="AW40" s="10">
        <v>18223674</v>
      </c>
      <c r="AX40" s="10">
        <v>18730282</v>
      </c>
      <c r="AY40" s="10">
        <v>19252666</v>
      </c>
      <c r="AZ40" s="10">
        <v>19789920</v>
      </c>
      <c r="BA40" s="10">
        <v>20341240</v>
      </c>
      <c r="BB40" s="10">
        <v>20906388</v>
      </c>
      <c r="BC40" s="10">
        <v>21485266</v>
      </c>
      <c r="BD40" s="10">
        <v>22077298</v>
      </c>
      <c r="BE40" s="10">
        <v>22681858</v>
      </c>
      <c r="BF40" s="10">
        <v>23298368</v>
      </c>
      <c r="BG40" s="10">
        <v>23926540</v>
      </c>
      <c r="BH40" s="10">
        <v>24566044</v>
      </c>
      <c r="BI40" s="10">
        <v>25216236</v>
      </c>
      <c r="BJ40" s="10">
        <v>25876380</v>
      </c>
    </row>
    <row r="41" spans="1:62" x14ac:dyDescent="0.45">
      <c r="A41" t="s">
        <v>26</v>
      </c>
      <c r="B41" t="s">
        <v>113</v>
      </c>
      <c r="C41" s="10">
        <v>1501668</v>
      </c>
      <c r="D41" s="10">
        <v>1526066</v>
      </c>
      <c r="E41" s="10">
        <v>1551910</v>
      </c>
      <c r="F41" s="10">
        <v>1579370</v>
      </c>
      <c r="G41" s="10">
        <v>1608616</v>
      </c>
      <c r="H41" s="10">
        <v>1639706</v>
      </c>
      <c r="I41" s="10">
        <v>1673019</v>
      </c>
      <c r="J41" s="10">
        <v>1708302</v>
      </c>
      <c r="K41" s="10">
        <v>1744194</v>
      </c>
      <c r="L41" s="10">
        <v>1778861</v>
      </c>
      <c r="M41" s="10">
        <v>1811144</v>
      </c>
      <c r="N41" s="10">
        <v>1840518</v>
      </c>
      <c r="O41" s="10">
        <v>1867782</v>
      </c>
      <c r="P41" s="10">
        <v>1894853</v>
      </c>
      <c r="Q41" s="10">
        <v>1924388</v>
      </c>
      <c r="R41" s="10">
        <v>1958367</v>
      </c>
      <c r="S41" s="10">
        <v>1997014</v>
      </c>
      <c r="T41" s="10">
        <v>2039919</v>
      </c>
      <c r="U41" s="10">
        <v>2087663</v>
      </c>
      <c r="V41" s="10">
        <v>2140777</v>
      </c>
      <c r="W41" s="10">
        <v>2199356</v>
      </c>
      <c r="X41" s="10">
        <v>2264442</v>
      </c>
      <c r="Y41" s="10">
        <v>2335333</v>
      </c>
      <c r="Z41" s="10">
        <v>2408317</v>
      </c>
      <c r="AA41" s="10">
        <v>2478382</v>
      </c>
      <c r="AB41" s="10">
        <v>2542169</v>
      </c>
      <c r="AC41" s="10">
        <v>2597761</v>
      </c>
      <c r="AD41" s="10">
        <v>2646840</v>
      </c>
      <c r="AE41" s="10">
        <v>2693973</v>
      </c>
      <c r="AF41" s="10">
        <v>2745734</v>
      </c>
      <c r="AG41" s="10">
        <v>2806734</v>
      </c>
      <c r="AH41" s="10">
        <v>2878509</v>
      </c>
      <c r="AI41" s="10">
        <v>2959236</v>
      </c>
      <c r="AJ41" s="10">
        <v>3046149</v>
      </c>
      <c r="AK41" s="10">
        <v>3135015</v>
      </c>
      <c r="AL41" s="10">
        <v>3222656</v>
      </c>
      <c r="AM41" s="10">
        <v>3308233</v>
      </c>
      <c r="AN41" s="10">
        <v>3392436</v>
      </c>
      <c r="AO41" s="10">
        <v>3475492</v>
      </c>
      <c r="AP41" s="10">
        <v>3558014</v>
      </c>
      <c r="AQ41" s="10">
        <v>3640427</v>
      </c>
      <c r="AR41" s="10">
        <v>3722018</v>
      </c>
      <c r="AS41" s="10">
        <v>3802128</v>
      </c>
      <c r="AT41" s="10">
        <v>3881181</v>
      </c>
      <c r="AU41" s="10">
        <v>3959875</v>
      </c>
      <c r="AV41" s="10">
        <v>4038382</v>
      </c>
      <c r="AW41" s="10">
        <v>4118069</v>
      </c>
      <c r="AX41" s="10">
        <v>4198010</v>
      </c>
      <c r="AY41" s="10">
        <v>4273366</v>
      </c>
      <c r="AZ41" s="10">
        <v>4337625</v>
      </c>
      <c r="BA41" s="10">
        <v>4386768</v>
      </c>
      <c r="BB41" s="10">
        <v>4418636</v>
      </c>
      <c r="BC41" s="10">
        <v>4436415</v>
      </c>
      <c r="BD41" s="10">
        <v>4447942</v>
      </c>
      <c r="BE41" s="10">
        <v>4464175</v>
      </c>
      <c r="BF41" s="10">
        <v>4493170</v>
      </c>
      <c r="BG41" s="10">
        <v>4537687</v>
      </c>
      <c r="BH41" s="10">
        <v>4596028</v>
      </c>
      <c r="BI41" s="10">
        <v>4666377</v>
      </c>
      <c r="BJ41" s="10">
        <v>4745185</v>
      </c>
    </row>
    <row r="42" spans="1:62" x14ac:dyDescent="0.45">
      <c r="A42" t="s">
        <v>26</v>
      </c>
      <c r="B42" t="s">
        <v>114</v>
      </c>
      <c r="C42" s="10">
        <v>3001609</v>
      </c>
      <c r="D42" s="10">
        <v>3060368</v>
      </c>
      <c r="E42" s="10">
        <v>3121236</v>
      </c>
      <c r="F42" s="10">
        <v>3183572</v>
      </c>
      <c r="G42" s="10">
        <v>3246523</v>
      </c>
      <c r="H42" s="10">
        <v>3309586</v>
      </c>
      <c r="I42" s="10">
        <v>3372189</v>
      </c>
      <c r="J42" s="10">
        <v>3434825</v>
      </c>
      <c r="K42" s="10">
        <v>3499362</v>
      </c>
      <c r="L42" s="10">
        <v>3568398</v>
      </c>
      <c r="M42" s="10">
        <v>3643604</v>
      </c>
      <c r="N42" s="10">
        <v>3726189</v>
      </c>
      <c r="O42" s="10">
        <v>3815260</v>
      </c>
      <c r="P42" s="10">
        <v>3907889</v>
      </c>
      <c r="Q42" s="10">
        <v>3999921</v>
      </c>
      <c r="R42" s="10">
        <v>4088564</v>
      </c>
      <c r="S42" s="10">
        <v>4173135</v>
      </c>
      <c r="T42" s="10">
        <v>4255248</v>
      </c>
      <c r="U42" s="10">
        <v>4337291</v>
      </c>
      <c r="V42" s="10">
        <v>4422745</v>
      </c>
      <c r="W42" s="10">
        <v>4514430</v>
      </c>
      <c r="X42" s="10">
        <v>4612849</v>
      </c>
      <c r="Y42" s="10">
        <v>4718162</v>
      </c>
      <c r="Z42" s="10">
        <v>4832321</v>
      </c>
      <c r="AA42" s="10">
        <v>4957558</v>
      </c>
      <c r="AB42" s="10">
        <v>5095401</v>
      </c>
      <c r="AC42" s="10">
        <v>5247283</v>
      </c>
      <c r="AD42" s="10">
        <v>5412847</v>
      </c>
      <c r="AE42" s="10">
        <v>5589626</v>
      </c>
      <c r="AF42" s="10">
        <v>5773920</v>
      </c>
      <c r="AG42" s="10">
        <v>5963252</v>
      </c>
      <c r="AH42" s="10">
        <v>6157079</v>
      </c>
      <c r="AI42" s="10">
        <v>6356748</v>
      </c>
      <c r="AJ42" s="10">
        <v>6563922</v>
      </c>
      <c r="AK42" s="10">
        <v>6781053</v>
      </c>
      <c r="AL42" s="10">
        <v>7010145</v>
      </c>
      <c r="AM42" s="10">
        <v>7250975</v>
      </c>
      <c r="AN42" s="10">
        <v>7503493</v>
      </c>
      <c r="AO42" s="10">
        <v>7770048</v>
      </c>
      <c r="AP42" s="10">
        <v>8053536</v>
      </c>
      <c r="AQ42" s="10">
        <v>8355654</v>
      </c>
      <c r="AR42" s="10">
        <v>8678051</v>
      </c>
      <c r="AS42" s="10">
        <v>9019233</v>
      </c>
      <c r="AT42" s="10">
        <v>9373916</v>
      </c>
      <c r="AU42" s="10">
        <v>9734767</v>
      </c>
      <c r="AV42" s="10">
        <v>10096633</v>
      </c>
      <c r="AW42" s="10">
        <v>10457124</v>
      </c>
      <c r="AX42" s="10">
        <v>10818024</v>
      </c>
      <c r="AY42" s="10">
        <v>11183588</v>
      </c>
      <c r="AZ42" s="10">
        <v>11560147</v>
      </c>
      <c r="BA42" s="10">
        <v>11952136</v>
      </c>
      <c r="BB42" s="10">
        <v>12360989</v>
      </c>
      <c r="BC42" s="10">
        <v>12784750</v>
      </c>
      <c r="BD42" s="10">
        <v>13220424</v>
      </c>
      <c r="BE42" s="10">
        <v>13663559</v>
      </c>
      <c r="BF42" s="10">
        <v>14110975</v>
      </c>
      <c r="BG42" s="10">
        <v>14561666</v>
      </c>
      <c r="BH42" s="10">
        <v>15016773</v>
      </c>
      <c r="BI42" s="10">
        <v>15477751</v>
      </c>
      <c r="BJ42" s="10">
        <v>15946876</v>
      </c>
    </row>
    <row r="43" spans="1:62" x14ac:dyDescent="0.45">
      <c r="A43" t="s">
        <v>26</v>
      </c>
      <c r="B43" t="s">
        <v>115</v>
      </c>
      <c r="C43" s="10">
        <v>8132990</v>
      </c>
      <c r="D43" s="10">
        <v>8303811</v>
      </c>
      <c r="E43" s="10">
        <v>8476897</v>
      </c>
      <c r="F43" s="10">
        <v>8650387</v>
      </c>
      <c r="G43" s="10">
        <v>8821858</v>
      </c>
      <c r="H43" s="10">
        <v>8989621</v>
      </c>
      <c r="I43" s="10">
        <v>9152844</v>
      </c>
      <c r="J43" s="10">
        <v>9312095</v>
      </c>
      <c r="K43" s="10">
        <v>9468845</v>
      </c>
      <c r="L43" s="10">
        <v>9625312</v>
      </c>
      <c r="M43" s="10">
        <v>9783134</v>
      </c>
      <c r="N43" s="10">
        <v>9942727</v>
      </c>
      <c r="O43" s="10">
        <v>10103674</v>
      </c>
      <c r="P43" s="10">
        <v>10265829</v>
      </c>
      <c r="Q43" s="10">
        <v>10428798</v>
      </c>
      <c r="R43" s="10">
        <v>10592307</v>
      </c>
      <c r="S43" s="10">
        <v>10756878</v>
      </c>
      <c r="T43" s="10">
        <v>10922779</v>
      </c>
      <c r="U43" s="10">
        <v>11089165</v>
      </c>
      <c r="V43" s="10">
        <v>11254877</v>
      </c>
      <c r="W43" s="10">
        <v>11419348</v>
      </c>
      <c r="X43" s="10">
        <v>11582014</v>
      </c>
      <c r="Y43" s="10">
        <v>11743911</v>
      </c>
      <c r="Z43" s="10">
        <v>11907960</v>
      </c>
      <c r="AA43" s="10">
        <v>12078135</v>
      </c>
      <c r="AB43" s="10">
        <v>12257236</v>
      </c>
      <c r="AC43" s="10">
        <v>12445823</v>
      </c>
      <c r="AD43" s="10">
        <v>12642924</v>
      </c>
      <c r="AE43" s="10">
        <v>12847708</v>
      </c>
      <c r="AF43" s="10">
        <v>13058758</v>
      </c>
      <c r="AG43" s="10">
        <v>13274623</v>
      </c>
      <c r="AH43" s="10">
        <v>13495258</v>
      </c>
      <c r="AI43" s="10">
        <v>13719819</v>
      </c>
      <c r="AJ43" s="10">
        <v>13944937</v>
      </c>
      <c r="AK43" s="10">
        <v>14166340</v>
      </c>
      <c r="AL43" s="10">
        <v>14380866</v>
      </c>
      <c r="AM43" s="10">
        <v>14587370</v>
      </c>
      <c r="AN43" s="10">
        <v>14786220</v>
      </c>
      <c r="AO43" s="10">
        <v>14977733</v>
      </c>
      <c r="AP43" s="10">
        <v>15162800</v>
      </c>
      <c r="AQ43" s="10">
        <v>15342353</v>
      </c>
      <c r="AR43" s="10">
        <v>15516113</v>
      </c>
      <c r="AS43" s="10">
        <v>15684409</v>
      </c>
      <c r="AT43" s="10">
        <v>15849652</v>
      </c>
      <c r="AU43" s="10">
        <v>16014971</v>
      </c>
      <c r="AV43" s="10">
        <v>16182721</v>
      </c>
      <c r="AW43" s="10">
        <v>16354504</v>
      </c>
      <c r="AX43" s="10">
        <v>16530195</v>
      </c>
      <c r="AY43" s="10">
        <v>16708258</v>
      </c>
      <c r="AZ43" s="10">
        <v>16886186</v>
      </c>
      <c r="BA43" s="10">
        <v>17062536</v>
      </c>
      <c r="BB43" s="10">
        <v>17233576</v>
      </c>
      <c r="BC43" s="10">
        <v>17400348</v>
      </c>
      <c r="BD43" s="10">
        <v>17571508</v>
      </c>
      <c r="BE43" s="10">
        <v>17758960</v>
      </c>
      <c r="BF43" s="10">
        <v>17969352</v>
      </c>
      <c r="BG43" s="10">
        <v>18209068</v>
      </c>
      <c r="BH43" s="10">
        <v>18470440</v>
      </c>
      <c r="BI43" s="10">
        <v>18729160</v>
      </c>
      <c r="BJ43" s="10">
        <v>18952038</v>
      </c>
    </row>
    <row r="44" spans="1:62" x14ac:dyDescent="0.45">
      <c r="A44" t="s">
        <v>26</v>
      </c>
      <c r="B44" t="s">
        <v>116</v>
      </c>
      <c r="C44" s="10">
        <v>16057724</v>
      </c>
      <c r="D44" s="10">
        <v>16567811</v>
      </c>
      <c r="E44" s="10">
        <v>17092918</v>
      </c>
      <c r="F44" s="10">
        <v>17629980</v>
      </c>
      <c r="G44" s="10">
        <v>18175184</v>
      </c>
      <c r="H44" s="10">
        <v>18725244</v>
      </c>
      <c r="I44" s="10">
        <v>19279740</v>
      </c>
      <c r="J44" s="10">
        <v>19837510</v>
      </c>
      <c r="K44" s="10">
        <v>20393700</v>
      </c>
      <c r="L44" s="10">
        <v>20942456</v>
      </c>
      <c r="M44" s="10">
        <v>21480064</v>
      </c>
      <c r="N44" s="10">
        <v>22003980</v>
      </c>
      <c r="O44" s="10">
        <v>22516424</v>
      </c>
      <c r="P44" s="10">
        <v>23024516</v>
      </c>
      <c r="Q44" s="10">
        <v>23538386</v>
      </c>
      <c r="R44" s="10">
        <v>24065508</v>
      </c>
      <c r="S44" s="10">
        <v>24608112</v>
      </c>
      <c r="T44" s="10">
        <v>25164544</v>
      </c>
      <c r="U44" s="10">
        <v>25733672</v>
      </c>
      <c r="V44" s="10">
        <v>26312994</v>
      </c>
      <c r="W44" s="10">
        <v>26900506</v>
      </c>
      <c r="X44" s="10">
        <v>27496616</v>
      </c>
      <c r="Y44" s="10">
        <v>28101820</v>
      </c>
      <c r="Z44" s="10">
        <v>28714190</v>
      </c>
      <c r="AA44" s="10">
        <v>29331238</v>
      </c>
      <c r="AB44" s="10">
        <v>29951200</v>
      </c>
      <c r="AC44" s="10">
        <v>30572478</v>
      </c>
      <c r="AD44" s="10">
        <v>31195412</v>
      </c>
      <c r="AE44" s="10">
        <v>31822524</v>
      </c>
      <c r="AF44" s="10">
        <v>32457500</v>
      </c>
      <c r="AG44" s="10">
        <v>33102576</v>
      </c>
      <c r="AH44" s="10">
        <v>33758336</v>
      </c>
      <c r="AI44" s="10">
        <v>34422568</v>
      </c>
      <c r="AJ44" s="10">
        <v>35091276</v>
      </c>
      <c r="AK44" s="10">
        <v>35758980</v>
      </c>
      <c r="AL44" s="10">
        <v>36421440</v>
      </c>
      <c r="AM44" s="10">
        <v>37076388</v>
      </c>
      <c r="AN44" s="10">
        <v>37723800</v>
      </c>
      <c r="AO44" s="10">
        <v>38364308</v>
      </c>
      <c r="AP44" s="10">
        <v>38999472</v>
      </c>
      <c r="AQ44" s="10">
        <v>39629968</v>
      </c>
      <c r="AR44" s="10">
        <v>40255968</v>
      </c>
      <c r="AS44" s="10">
        <v>40875360</v>
      </c>
      <c r="AT44" s="10">
        <v>41483868</v>
      </c>
      <c r="AU44" s="10">
        <v>42075956</v>
      </c>
      <c r="AV44" s="10">
        <v>42647724</v>
      </c>
      <c r="AW44" s="10">
        <v>43200896</v>
      </c>
      <c r="AX44" s="10">
        <v>43737516</v>
      </c>
      <c r="AY44" s="10">
        <v>44254976</v>
      </c>
      <c r="AZ44" s="10">
        <v>44750056</v>
      </c>
      <c r="BA44" s="10">
        <v>45222700</v>
      </c>
      <c r="BB44" s="10">
        <v>45663100</v>
      </c>
      <c r="BC44" s="10">
        <v>46076848</v>
      </c>
      <c r="BD44" s="10">
        <v>46497268</v>
      </c>
      <c r="BE44" s="10">
        <v>46969208</v>
      </c>
      <c r="BF44" s="10">
        <v>47520668</v>
      </c>
      <c r="BG44" s="10">
        <v>48171392</v>
      </c>
      <c r="BH44" s="10">
        <v>48901064</v>
      </c>
      <c r="BI44" s="10">
        <v>49648684</v>
      </c>
      <c r="BJ44" s="10">
        <v>50339444</v>
      </c>
    </row>
    <row r="45" spans="1:62" x14ac:dyDescent="0.45">
      <c r="A45" t="s">
        <v>26</v>
      </c>
      <c r="B45" t="s">
        <v>117</v>
      </c>
      <c r="C45" s="10">
        <v>15248251</v>
      </c>
      <c r="D45" s="10">
        <v>15637699</v>
      </c>
      <c r="E45" s="10">
        <v>16041190</v>
      </c>
      <c r="F45" s="10">
        <v>16461830</v>
      </c>
      <c r="G45" s="10">
        <v>16903832</v>
      </c>
      <c r="H45" s="10">
        <v>17369884</v>
      </c>
      <c r="I45" s="10">
        <v>17862048</v>
      </c>
      <c r="J45" s="10">
        <v>18378624</v>
      </c>
      <c r="K45" s="10">
        <v>18913878</v>
      </c>
      <c r="L45" s="10">
        <v>19459816</v>
      </c>
      <c r="M45" s="10">
        <v>20011036</v>
      </c>
      <c r="N45" s="10">
        <v>20564068</v>
      </c>
      <c r="O45" s="10">
        <v>21121364</v>
      </c>
      <c r="P45" s="10">
        <v>21690444</v>
      </c>
      <c r="Q45" s="10">
        <v>22282136</v>
      </c>
      <c r="R45" s="10">
        <v>22903580</v>
      </c>
      <c r="S45" s="10">
        <v>23560464</v>
      </c>
      <c r="T45" s="10">
        <v>24249130</v>
      </c>
      <c r="U45" s="10">
        <v>24956384</v>
      </c>
      <c r="V45" s="10">
        <v>25663592</v>
      </c>
      <c r="W45" s="10">
        <v>26358908</v>
      </c>
      <c r="X45" s="10">
        <v>27040322</v>
      </c>
      <c r="Y45" s="10">
        <v>27717292</v>
      </c>
      <c r="Z45" s="10">
        <v>28403852</v>
      </c>
      <c r="AA45" s="10">
        <v>29119672</v>
      </c>
      <c r="AB45" s="10">
        <v>29881228</v>
      </c>
      <c r="AC45" s="10">
        <v>30683868</v>
      </c>
      <c r="AD45" s="10">
        <v>31528708</v>
      </c>
      <c r="AE45" s="10">
        <v>32443780</v>
      </c>
      <c r="AF45" s="10">
        <v>33464764</v>
      </c>
      <c r="AG45" s="10">
        <v>34612024</v>
      </c>
      <c r="AH45" s="10">
        <v>35908244</v>
      </c>
      <c r="AI45" s="10">
        <v>37333912</v>
      </c>
      <c r="AJ45" s="10">
        <v>38815832</v>
      </c>
      <c r="AK45" s="10">
        <v>40252976</v>
      </c>
      <c r="AL45" s="10">
        <v>41576232</v>
      </c>
      <c r="AM45" s="10">
        <v>42757244</v>
      </c>
      <c r="AN45" s="10">
        <v>43827180</v>
      </c>
      <c r="AO45" s="10">
        <v>44849968</v>
      </c>
      <c r="AP45" s="10">
        <v>45919612</v>
      </c>
      <c r="AQ45" s="10">
        <v>47105824</v>
      </c>
      <c r="AR45" s="10">
        <v>48428544</v>
      </c>
      <c r="AS45" s="10">
        <v>49871664</v>
      </c>
      <c r="AT45" s="10">
        <v>51425580</v>
      </c>
      <c r="AU45" s="10">
        <v>53068880</v>
      </c>
      <c r="AV45" s="10">
        <v>54785904</v>
      </c>
      <c r="AW45" s="10">
        <v>56578036</v>
      </c>
      <c r="AX45" s="10">
        <v>58453684</v>
      </c>
      <c r="AY45" s="10">
        <v>60411196</v>
      </c>
      <c r="AZ45" s="10">
        <v>62448576</v>
      </c>
      <c r="BA45" s="10">
        <v>64563856</v>
      </c>
      <c r="BB45" s="10">
        <v>66755152</v>
      </c>
      <c r="BC45" s="10">
        <v>69020744</v>
      </c>
      <c r="BD45" s="10">
        <v>71358808</v>
      </c>
      <c r="BE45" s="10">
        <v>73767448</v>
      </c>
      <c r="BF45" s="10">
        <v>76244544</v>
      </c>
      <c r="BG45" s="10">
        <v>78789128</v>
      </c>
      <c r="BH45" s="10">
        <v>81398768</v>
      </c>
      <c r="BI45" s="10">
        <v>84068088</v>
      </c>
      <c r="BJ45" s="10">
        <v>86790568</v>
      </c>
    </row>
    <row r="46" spans="1:62" x14ac:dyDescent="0.45">
      <c r="A46" t="s">
        <v>26</v>
      </c>
      <c r="B46" t="s">
        <v>118</v>
      </c>
      <c r="C46" s="10">
        <v>1018253</v>
      </c>
      <c r="D46" s="10">
        <v>1043116</v>
      </c>
      <c r="E46" s="10">
        <v>1069238</v>
      </c>
      <c r="F46" s="10">
        <v>1096638</v>
      </c>
      <c r="G46" s="10">
        <v>1125352</v>
      </c>
      <c r="H46" s="10">
        <v>1155392</v>
      </c>
      <c r="I46" s="10">
        <v>1186785</v>
      </c>
      <c r="J46" s="10">
        <v>1219541</v>
      </c>
      <c r="K46" s="10">
        <v>1253760</v>
      </c>
      <c r="L46" s="10">
        <v>1289522</v>
      </c>
      <c r="M46" s="10">
        <v>1326885</v>
      </c>
      <c r="N46" s="10">
        <v>1365899</v>
      </c>
      <c r="O46" s="10">
        <v>1406522</v>
      </c>
      <c r="P46" s="10">
        <v>1448637</v>
      </c>
      <c r="Q46" s="10">
        <v>1492055</v>
      </c>
      <c r="R46" s="10">
        <v>1536654</v>
      </c>
      <c r="S46" s="10">
        <v>1582358</v>
      </c>
      <c r="T46" s="10">
        <v>1629209</v>
      </c>
      <c r="U46" s="10">
        <v>1677332</v>
      </c>
      <c r="V46" s="10">
        <v>1726866</v>
      </c>
      <c r="W46" s="10">
        <v>1777934</v>
      </c>
      <c r="X46" s="10">
        <v>1830632</v>
      </c>
      <c r="Y46" s="10">
        <v>1884875</v>
      </c>
      <c r="Z46" s="10">
        <v>1940443</v>
      </c>
      <c r="AA46" s="10">
        <v>1996995</v>
      </c>
      <c r="AB46" s="10">
        <v>2054312</v>
      </c>
      <c r="AC46" s="10">
        <v>2112361</v>
      </c>
      <c r="AD46" s="10">
        <v>2171321</v>
      </c>
      <c r="AE46" s="10">
        <v>2231465</v>
      </c>
      <c r="AF46" s="10">
        <v>2293166</v>
      </c>
      <c r="AG46" s="10">
        <v>2356737</v>
      </c>
      <c r="AH46" s="10">
        <v>2422305</v>
      </c>
      <c r="AI46" s="10">
        <v>2489952</v>
      </c>
      <c r="AJ46" s="10">
        <v>2559873</v>
      </c>
      <c r="AK46" s="10">
        <v>2632345</v>
      </c>
      <c r="AL46" s="10">
        <v>2707537</v>
      </c>
      <c r="AM46" s="10">
        <v>2785810</v>
      </c>
      <c r="AN46" s="10">
        <v>2867280</v>
      </c>
      <c r="AO46" s="10">
        <v>2951647</v>
      </c>
      <c r="AP46" s="10">
        <v>3038433</v>
      </c>
      <c r="AQ46" s="10">
        <v>3127411</v>
      </c>
      <c r="AR46" s="10">
        <v>3217933</v>
      </c>
      <c r="AS46" s="10">
        <v>3310387</v>
      </c>
      <c r="AT46" s="10">
        <v>3406922</v>
      </c>
      <c r="AU46" s="10">
        <v>3510468</v>
      </c>
      <c r="AV46" s="10">
        <v>3622775</v>
      </c>
      <c r="AW46" s="10">
        <v>3745141</v>
      </c>
      <c r="AX46" s="10">
        <v>3876119</v>
      </c>
      <c r="AY46" s="10">
        <v>4011486</v>
      </c>
      <c r="AZ46" s="10">
        <v>4145391</v>
      </c>
      <c r="BA46" s="10">
        <v>4273731</v>
      </c>
      <c r="BB46" s="10">
        <v>4394844</v>
      </c>
      <c r="BC46" s="10">
        <v>4510198</v>
      </c>
      <c r="BD46" s="10">
        <v>4622761</v>
      </c>
      <c r="BE46" s="10">
        <v>4736974</v>
      </c>
      <c r="BF46" s="10">
        <v>4856095</v>
      </c>
      <c r="BG46" s="10">
        <v>4980999</v>
      </c>
      <c r="BH46" s="10">
        <v>5110702</v>
      </c>
      <c r="BI46" s="10">
        <v>5244363</v>
      </c>
      <c r="BJ46" s="10">
        <v>5380508</v>
      </c>
    </row>
    <row r="47" spans="1:62" x14ac:dyDescent="0.45">
      <c r="A47" t="s">
        <v>26</v>
      </c>
      <c r="B47" t="s">
        <v>119</v>
      </c>
      <c r="C47" s="10">
        <v>1330782</v>
      </c>
      <c r="D47" s="10">
        <v>1381183</v>
      </c>
      <c r="E47" s="10">
        <v>1433335</v>
      </c>
      <c r="F47" s="10">
        <v>1486553</v>
      </c>
      <c r="G47" s="10">
        <v>1539941</v>
      </c>
      <c r="H47" s="10">
        <v>1592841</v>
      </c>
      <c r="I47" s="10">
        <v>1645083</v>
      </c>
      <c r="J47" s="10">
        <v>1696732</v>
      </c>
      <c r="K47" s="10">
        <v>1747694</v>
      </c>
      <c r="L47" s="10">
        <v>1797893</v>
      </c>
      <c r="M47" s="10">
        <v>1847394</v>
      </c>
      <c r="N47" s="10">
        <v>1896077</v>
      </c>
      <c r="O47" s="10">
        <v>1944169</v>
      </c>
      <c r="P47" s="10">
        <v>1992514</v>
      </c>
      <c r="Q47" s="10">
        <v>2042241</v>
      </c>
      <c r="R47" s="10">
        <v>2094188</v>
      </c>
      <c r="S47" s="10">
        <v>2148677</v>
      </c>
      <c r="T47" s="10">
        <v>2205615</v>
      </c>
      <c r="U47" s="10">
        <v>2264946</v>
      </c>
      <c r="V47" s="10">
        <v>2326464</v>
      </c>
      <c r="W47" s="10">
        <v>2389977</v>
      </c>
      <c r="X47" s="10">
        <v>2455588</v>
      </c>
      <c r="Y47" s="10">
        <v>2523354</v>
      </c>
      <c r="Z47" s="10">
        <v>2593020</v>
      </c>
      <c r="AA47" s="10">
        <v>2664223</v>
      </c>
      <c r="AB47" s="10">
        <v>2736712</v>
      </c>
      <c r="AC47" s="10">
        <v>2810242</v>
      </c>
      <c r="AD47" s="10">
        <v>2884851</v>
      </c>
      <c r="AE47" s="10">
        <v>2960929</v>
      </c>
      <c r="AF47" s="10">
        <v>3039013</v>
      </c>
      <c r="AG47" s="10">
        <v>3119433</v>
      </c>
      <c r="AH47" s="10">
        <v>3202085</v>
      </c>
      <c r="AI47" s="10">
        <v>3286520</v>
      </c>
      <c r="AJ47" s="10">
        <v>3372298</v>
      </c>
      <c r="AK47" s="10">
        <v>3458834</v>
      </c>
      <c r="AL47" s="10">
        <v>3545534</v>
      </c>
      <c r="AM47" s="10">
        <v>3632362</v>
      </c>
      <c r="AN47" s="10">
        <v>3718949</v>
      </c>
      <c r="AO47" s="10">
        <v>3803887</v>
      </c>
      <c r="AP47" s="10">
        <v>3885430</v>
      </c>
      <c r="AQ47" s="10">
        <v>3962372</v>
      </c>
      <c r="AR47" s="10">
        <v>4034074</v>
      </c>
      <c r="AS47" s="10">
        <v>4100925</v>
      </c>
      <c r="AT47" s="10">
        <v>4164053</v>
      </c>
      <c r="AU47" s="10">
        <v>4225155</v>
      </c>
      <c r="AV47" s="10">
        <v>4285502</v>
      </c>
      <c r="AW47" s="10">
        <v>4345412</v>
      </c>
      <c r="AX47" s="10">
        <v>4404628</v>
      </c>
      <c r="AY47" s="10">
        <v>4463125</v>
      </c>
      <c r="AZ47" s="10">
        <v>4520740</v>
      </c>
      <c r="BA47" s="10">
        <v>4577378</v>
      </c>
      <c r="BB47" s="10">
        <v>4633086</v>
      </c>
      <c r="BC47" s="10">
        <v>4688000</v>
      </c>
      <c r="BD47" s="10">
        <v>4742107</v>
      </c>
      <c r="BE47" s="10">
        <v>4795396</v>
      </c>
      <c r="BF47" s="10">
        <v>4847804</v>
      </c>
      <c r="BG47" s="10">
        <v>4899345</v>
      </c>
      <c r="BH47" s="10">
        <v>4949954</v>
      </c>
      <c r="BI47" s="10">
        <v>4999441</v>
      </c>
      <c r="BJ47" s="10">
        <v>5047561</v>
      </c>
    </row>
    <row r="48" spans="1:62" x14ac:dyDescent="0.45">
      <c r="A48" t="s">
        <v>26</v>
      </c>
      <c r="B48" t="s">
        <v>120</v>
      </c>
      <c r="C48" s="10">
        <v>3503553</v>
      </c>
      <c r="D48" s="10">
        <v>3631553</v>
      </c>
      <c r="E48" s="10">
        <v>3770766</v>
      </c>
      <c r="F48" s="10">
        <v>3918628</v>
      </c>
      <c r="G48" s="10">
        <v>4071411</v>
      </c>
      <c r="H48" s="10">
        <v>4226844</v>
      </c>
      <c r="I48" s="10">
        <v>4383728</v>
      </c>
      <c r="J48" s="10">
        <v>4544164</v>
      </c>
      <c r="K48" s="10">
        <v>4713135</v>
      </c>
      <c r="L48" s="10">
        <v>4897472</v>
      </c>
      <c r="M48" s="10">
        <v>5102064</v>
      </c>
      <c r="N48" s="10">
        <v>5328744</v>
      </c>
      <c r="O48" s="10">
        <v>5576038</v>
      </c>
      <c r="P48" s="10">
        <v>5841506</v>
      </c>
      <c r="Q48" s="10">
        <v>6121285</v>
      </c>
      <c r="R48" s="10">
        <v>6412403</v>
      </c>
      <c r="S48" s="10">
        <v>6713950</v>
      </c>
      <c r="T48" s="10">
        <v>7026496</v>
      </c>
      <c r="U48" s="10">
        <v>7350270</v>
      </c>
      <c r="V48" s="10">
        <v>7685918</v>
      </c>
      <c r="W48" s="10">
        <v>8033650</v>
      </c>
      <c r="X48" s="10">
        <v>8393691</v>
      </c>
      <c r="Y48" s="10">
        <v>8764989</v>
      </c>
      <c r="Z48" s="10">
        <v>9144931</v>
      </c>
      <c r="AA48" s="10">
        <v>9530107</v>
      </c>
      <c r="AB48" s="10">
        <v>9918196</v>
      </c>
      <c r="AC48" s="10">
        <v>10307281</v>
      </c>
      <c r="AD48" s="10">
        <v>10698194</v>
      </c>
      <c r="AE48" s="10">
        <v>11094748</v>
      </c>
      <c r="AF48" s="10">
        <v>11502449</v>
      </c>
      <c r="AG48" s="10">
        <v>11924877</v>
      </c>
      <c r="AH48" s="10">
        <v>12362407</v>
      </c>
      <c r="AI48" s="10">
        <v>12812421</v>
      </c>
      <c r="AJ48" s="10">
        <v>13271643</v>
      </c>
      <c r="AK48" s="10">
        <v>13735433</v>
      </c>
      <c r="AL48" s="10">
        <v>14199762</v>
      </c>
      <c r="AM48" s="10">
        <v>14665127</v>
      </c>
      <c r="AN48" s="10">
        <v>15130663</v>
      </c>
      <c r="AO48" s="10">
        <v>15589414</v>
      </c>
      <c r="AP48" s="10">
        <v>16032573</v>
      </c>
      <c r="AQ48" s="10">
        <v>16454668</v>
      </c>
      <c r="AR48" s="10">
        <v>16853026</v>
      </c>
      <c r="AS48" s="10">
        <v>17231540</v>
      </c>
      <c r="AT48" s="10">
        <v>17599610</v>
      </c>
      <c r="AU48" s="10">
        <v>17970494</v>
      </c>
      <c r="AV48" s="10">
        <v>18354514</v>
      </c>
      <c r="AW48" s="10">
        <v>18754916</v>
      </c>
      <c r="AX48" s="10">
        <v>19171236</v>
      </c>
      <c r="AY48" s="10">
        <v>19605568</v>
      </c>
      <c r="AZ48" s="10">
        <v>20059148</v>
      </c>
      <c r="BA48" s="10">
        <v>20532950</v>
      </c>
      <c r="BB48" s="10">
        <v>21028656</v>
      </c>
      <c r="BC48" s="10">
        <v>21547188</v>
      </c>
      <c r="BD48" s="10">
        <v>22087504</v>
      </c>
      <c r="BE48" s="10">
        <v>22647684</v>
      </c>
      <c r="BF48" s="10">
        <v>23226144</v>
      </c>
      <c r="BG48" s="10">
        <v>23822714</v>
      </c>
      <c r="BH48" s="10">
        <v>24437468</v>
      </c>
      <c r="BI48" s="10">
        <v>25069228</v>
      </c>
      <c r="BJ48" s="10">
        <v>25716544</v>
      </c>
    </row>
    <row r="49" spans="1:62" x14ac:dyDescent="0.45">
      <c r="A49" t="s">
        <v>26</v>
      </c>
      <c r="B49" t="s">
        <v>121</v>
      </c>
      <c r="C49" s="10">
        <v>3294224</v>
      </c>
      <c r="D49" s="10">
        <v>3406280</v>
      </c>
      <c r="E49" s="10">
        <v>3521018</v>
      </c>
      <c r="F49" s="10">
        <v>3638109</v>
      </c>
      <c r="G49" s="10">
        <v>3757132</v>
      </c>
      <c r="H49" s="10">
        <v>3877765</v>
      </c>
      <c r="I49" s="10">
        <v>3999796</v>
      </c>
      <c r="J49" s="10">
        <v>4123092</v>
      </c>
      <c r="K49" s="10">
        <v>4247558</v>
      </c>
      <c r="L49" s="10">
        <v>4373124</v>
      </c>
      <c r="M49" s="10">
        <v>4499720</v>
      </c>
      <c r="N49" s="10">
        <v>4627210</v>
      </c>
      <c r="O49" s="10">
        <v>4755459</v>
      </c>
      <c r="P49" s="10">
        <v>4884461</v>
      </c>
      <c r="Q49" s="10">
        <v>5014189</v>
      </c>
      <c r="R49" s="10">
        <v>5144637</v>
      </c>
      <c r="S49" s="10">
        <v>5275770</v>
      </c>
      <c r="T49" s="10">
        <v>5407500</v>
      </c>
      <c r="U49" s="10">
        <v>5539590</v>
      </c>
      <c r="V49" s="10">
        <v>5671797</v>
      </c>
      <c r="W49" s="10">
        <v>5803927</v>
      </c>
      <c r="X49" s="10">
        <v>5935909</v>
      </c>
      <c r="Y49" s="10">
        <v>6067770</v>
      </c>
      <c r="Z49" s="10">
        <v>6199661</v>
      </c>
      <c r="AA49" s="10">
        <v>6331764</v>
      </c>
      <c r="AB49" s="10">
        <v>6464229</v>
      </c>
      <c r="AC49" s="10">
        <v>6596962</v>
      </c>
      <c r="AD49" s="10">
        <v>6729933</v>
      </c>
      <c r="AE49" s="10">
        <v>6863441</v>
      </c>
      <c r="AF49" s="10">
        <v>6997888</v>
      </c>
      <c r="AG49" s="10">
        <v>7133494</v>
      </c>
      <c r="AH49" s="10">
        <v>7270409</v>
      </c>
      <c r="AI49" s="10">
        <v>7408342</v>
      </c>
      <c r="AJ49" s="10">
        <v>7546463</v>
      </c>
      <c r="AK49" s="10">
        <v>7683707</v>
      </c>
      <c r="AL49" s="10">
        <v>7819247</v>
      </c>
      <c r="AM49" s="10">
        <v>7952763</v>
      </c>
      <c r="AN49" s="10">
        <v>8084407</v>
      </c>
      <c r="AO49" s="10">
        <v>8214426</v>
      </c>
      <c r="AP49" s="10">
        <v>8343283</v>
      </c>
      <c r="AQ49" s="10">
        <v>8471321</v>
      </c>
      <c r="AR49" s="10">
        <v>8598601</v>
      </c>
      <c r="AS49" s="10">
        <v>8724975</v>
      </c>
      <c r="AT49" s="10">
        <v>8850317</v>
      </c>
      <c r="AU49" s="10">
        <v>8974444</v>
      </c>
      <c r="AV49" s="10">
        <v>9097257</v>
      </c>
      <c r="AW49" s="10">
        <v>9218686</v>
      </c>
      <c r="AX49" s="10">
        <v>9338861</v>
      </c>
      <c r="AY49" s="10">
        <v>9458075</v>
      </c>
      <c r="AZ49" s="10">
        <v>9576737</v>
      </c>
      <c r="BA49" s="10">
        <v>9695121</v>
      </c>
      <c r="BB49" s="10">
        <v>9813210</v>
      </c>
      <c r="BC49" s="10">
        <v>9930911</v>
      </c>
      <c r="BD49" s="10">
        <v>10048224</v>
      </c>
      <c r="BE49" s="10">
        <v>10165178</v>
      </c>
      <c r="BF49" s="10">
        <v>10281680</v>
      </c>
      <c r="BG49" s="10">
        <v>10397743</v>
      </c>
      <c r="BH49" s="10">
        <v>10513131</v>
      </c>
      <c r="BI49" s="10">
        <v>10627165</v>
      </c>
      <c r="BJ49" s="10">
        <v>10738958</v>
      </c>
    </row>
    <row r="50" spans="1:62" x14ac:dyDescent="0.45">
      <c r="A50" t="s">
        <v>26</v>
      </c>
      <c r="B50" t="s">
        <v>122</v>
      </c>
      <c r="C50" s="10">
        <v>4543666</v>
      </c>
      <c r="D50" s="10">
        <v>4674172</v>
      </c>
      <c r="E50" s="10">
        <v>4809201</v>
      </c>
      <c r="F50" s="10">
        <v>4948986</v>
      </c>
      <c r="G50" s="10">
        <v>5093854</v>
      </c>
      <c r="H50" s="10">
        <v>5243977</v>
      </c>
      <c r="I50" s="10">
        <v>5399422</v>
      </c>
      <c r="J50" s="10">
        <v>5560012</v>
      </c>
      <c r="K50" s="10">
        <v>5725459</v>
      </c>
      <c r="L50" s="10">
        <v>5895367</v>
      </c>
      <c r="M50" s="10">
        <v>6069376</v>
      </c>
      <c r="N50" s="10">
        <v>6247418</v>
      </c>
      <c r="O50" s="10">
        <v>6429379</v>
      </c>
      <c r="P50" s="10">
        <v>6614843</v>
      </c>
      <c r="Q50" s="10">
        <v>6803280</v>
      </c>
      <c r="R50" s="10">
        <v>6994334</v>
      </c>
      <c r="S50" s="10">
        <v>7187787</v>
      </c>
      <c r="T50" s="10">
        <v>7383724</v>
      </c>
      <c r="U50" s="10">
        <v>7582353</v>
      </c>
      <c r="V50" s="10">
        <v>7784072</v>
      </c>
      <c r="W50" s="10">
        <v>7989186</v>
      </c>
      <c r="X50" s="10">
        <v>8197652</v>
      </c>
      <c r="Y50" s="10">
        <v>8409397</v>
      </c>
      <c r="Z50" s="10">
        <v>8624594</v>
      </c>
      <c r="AA50" s="10">
        <v>8843462</v>
      </c>
      <c r="AB50" s="10">
        <v>9066109</v>
      </c>
      <c r="AC50" s="10">
        <v>9292474</v>
      </c>
      <c r="AD50" s="10">
        <v>9522360</v>
      </c>
      <c r="AE50" s="10">
        <v>9755579</v>
      </c>
      <c r="AF50" s="10">
        <v>9991870</v>
      </c>
      <c r="AG50" s="10">
        <v>10230934</v>
      </c>
      <c r="AH50" s="10">
        <v>10472475</v>
      </c>
      <c r="AI50" s="10">
        <v>10716129</v>
      </c>
      <c r="AJ50" s="10">
        <v>10961466</v>
      </c>
      <c r="AK50" s="10">
        <v>11208001</v>
      </c>
      <c r="AL50" s="10">
        <v>11455204</v>
      </c>
      <c r="AM50" s="10">
        <v>11703174</v>
      </c>
      <c r="AN50" s="10">
        <v>11951452</v>
      </c>
      <c r="AO50" s="10">
        <v>12198449</v>
      </c>
      <c r="AP50" s="10">
        <v>12442115</v>
      </c>
      <c r="AQ50" s="10">
        <v>12681123</v>
      </c>
      <c r="AR50" s="10">
        <v>12914667</v>
      </c>
      <c r="AS50" s="10">
        <v>13143465</v>
      </c>
      <c r="AT50" s="10">
        <v>13369678</v>
      </c>
      <c r="AU50" s="10">
        <v>13596388</v>
      </c>
      <c r="AV50" s="10">
        <v>13825847</v>
      </c>
      <c r="AW50" s="10">
        <v>14059384</v>
      </c>
      <c r="AX50" s="10">
        <v>14296557</v>
      </c>
      <c r="AY50" s="10">
        <v>14535739</v>
      </c>
      <c r="AZ50" s="10">
        <v>14774424</v>
      </c>
      <c r="BA50" s="10">
        <v>15011117</v>
      </c>
      <c r="BB50" s="10">
        <v>15243883</v>
      </c>
      <c r="BC50" s="10">
        <v>15474102</v>
      </c>
      <c r="BD50" s="10">
        <v>15707474</v>
      </c>
      <c r="BE50" s="10">
        <v>15951838</v>
      </c>
      <c r="BF50" s="10">
        <v>16212020</v>
      </c>
      <c r="BG50" s="10">
        <v>16491115</v>
      </c>
      <c r="BH50" s="10">
        <v>16785360</v>
      </c>
      <c r="BI50" s="10">
        <v>17084356</v>
      </c>
      <c r="BJ50" s="10">
        <v>17373662</v>
      </c>
    </row>
    <row r="51" spans="1:62" x14ac:dyDescent="0.45">
      <c r="A51" t="s">
        <v>26</v>
      </c>
      <c r="B51" t="s">
        <v>123</v>
      </c>
      <c r="C51" s="10">
        <v>393481</v>
      </c>
      <c r="D51" s="10">
        <v>407249</v>
      </c>
      <c r="E51" s="10">
        <v>421665</v>
      </c>
      <c r="F51" s="10">
        <v>436293</v>
      </c>
      <c r="G51" s="10">
        <v>450542</v>
      </c>
      <c r="H51" s="10">
        <v>463968</v>
      </c>
      <c r="I51" s="10">
        <v>476404</v>
      </c>
      <c r="J51" s="10">
        <v>487981</v>
      </c>
      <c r="K51" s="10">
        <v>498940</v>
      </c>
      <c r="L51" s="10">
        <v>509704</v>
      </c>
      <c r="M51" s="10">
        <v>520562</v>
      </c>
      <c r="N51" s="10">
        <v>531635</v>
      </c>
      <c r="O51" s="10">
        <v>542844</v>
      </c>
      <c r="P51" s="10">
        <v>554138</v>
      </c>
      <c r="Q51" s="10">
        <v>565415</v>
      </c>
      <c r="R51" s="10">
        <v>576626</v>
      </c>
      <c r="S51" s="10">
        <v>587557</v>
      </c>
      <c r="T51" s="10">
        <v>598296</v>
      </c>
      <c r="U51" s="10">
        <v>609383</v>
      </c>
      <c r="V51" s="10">
        <v>621585</v>
      </c>
      <c r="W51" s="10">
        <v>635307</v>
      </c>
      <c r="X51" s="10">
        <v>651021</v>
      </c>
      <c r="Y51" s="10">
        <v>668280</v>
      </c>
      <c r="Z51" s="10">
        <v>685497</v>
      </c>
      <c r="AA51" s="10">
        <v>700483</v>
      </c>
      <c r="AB51" s="10">
        <v>711775</v>
      </c>
      <c r="AC51" s="10">
        <v>718639</v>
      </c>
      <c r="AD51" s="10">
        <v>721783</v>
      </c>
      <c r="AE51" s="10">
        <v>722930</v>
      </c>
      <c r="AF51" s="10">
        <v>724594</v>
      </c>
      <c r="AG51" s="10">
        <v>728573</v>
      </c>
      <c r="AH51" s="10">
        <v>735401</v>
      </c>
      <c r="AI51" s="10">
        <v>744469</v>
      </c>
      <c r="AJ51" s="10">
        <v>754963</v>
      </c>
      <c r="AK51" s="10">
        <v>765609</v>
      </c>
      <c r="AL51" s="10">
        <v>775425</v>
      </c>
      <c r="AM51" s="10">
        <v>784386</v>
      </c>
      <c r="AN51" s="10">
        <v>792736</v>
      </c>
      <c r="AO51" s="10">
        <v>800157</v>
      </c>
      <c r="AP51" s="10">
        <v>806303</v>
      </c>
      <c r="AQ51" s="10">
        <v>811006</v>
      </c>
      <c r="AR51" s="10">
        <v>813925</v>
      </c>
      <c r="AS51" s="10">
        <v>815257</v>
      </c>
      <c r="AT51" s="10">
        <v>816076</v>
      </c>
      <c r="AU51" s="10">
        <v>817860</v>
      </c>
      <c r="AV51" s="10">
        <v>821604</v>
      </c>
      <c r="AW51" s="10">
        <v>827870</v>
      </c>
      <c r="AX51" s="10">
        <v>836190</v>
      </c>
      <c r="AY51" s="10">
        <v>845361</v>
      </c>
      <c r="AZ51" s="10">
        <v>853637</v>
      </c>
      <c r="BA51" s="10">
        <v>859818</v>
      </c>
      <c r="BB51" s="10">
        <v>863449</v>
      </c>
      <c r="BC51" s="10">
        <v>865069</v>
      </c>
      <c r="BD51" s="10">
        <v>865608</v>
      </c>
      <c r="BE51" s="10">
        <v>866453</v>
      </c>
      <c r="BF51" s="10">
        <v>868627</v>
      </c>
      <c r="BG51" s="10">
        <v>872399</v>
      </c>
      <c r="BH51" s="10">
        <v>877459</v>
      </c>
      <c r="BI51" s="10">
        <v>883483</v>
      </c>
      <c r="BJ51" s="10">
        <v>889953</v>
      </c>
    </row>
    <row r="52" spans="1:62" x14ac:dyDescent="0.45">
      <c r="A52" t="s">
        <v>26</v>
      </c>
      <c r="B52" t="s">
        <v>124</v>
      </c>
      <c r="C52" s="10">
        <v>500928</v>
      </c>
      <c r="D52" s="10">
        <v>505799</v>
      </c>
      <c r="E52" s="10">
        <v>511287</v>
      </c>
      <c r="F52" s="10">
        <v>517580</v>
      </c>
      <c r="G52" s="10">
        <v>524895</v>
      </c>
      <c r="H52" s="10">
        <v>533361</v>
      </c>
      <c r="I52" s="10">
        <v>543112</v>
      </c>
      <c r="J52" s="10">
        <v>554059</v>
      </c>
      <c r="K52" s="10">
        <v>565766</v>
      </c>
      <c r="L52" s="10">
        <v>577646</v>
      </c>
      <c r="M52" s="10">
        <v>589314</v>
      </c>
      <c r="N52" s="10">
        <v>600613</v>
      </c>
      <c r="O52" s="10">
        <v>611704</v>
      </c>
      <c r="P52" s="10">
        <v>622920</v>
      </c>
      <c r="Q52" s="10">
        <v>634742</v>
      </c>
      <c r="R52" s="10">
        <v>647536</v>
      </c>
      <c r="S52" s="10">
        <v>661402</v>
      </c>
      <c r="T52" s="10">
        <v>676255</v>
      </c>
      <c r="U52" s="10">
        <v>692077</v>
      </c>
      <c r="V52" s="10">
        <v>708788</v>
      </c>
      <c r="W52" s="10">
        <v>726328</v>
      </c>
      <c r="X52" s="10">
        <v>744696</v>
      </c>
      <c r="Y52" s="10">
        <v>763930</v>
      </c>
      <c r="Z52" s="10">
        <v>784061</v>
      </c>
      <c r="AA52" s="10">
        <v>805115</v>
      </c>
      <c r="AB52" s="10">
        <v>827108</v>
      </c>
      <c r="AC52" s="10">
        <v>850048</v>
      </c>
      <c r="AD52" s="10">
        <v>873867</v>
      </c>
      <c r="AE52" s="10">
        <v>898469</v>
      </c>
      <c r="AF52" s="10">
        <v>923711</v>
      </c>
      <c r="AG52" s="10">
        <v>949488</v>
      </c>
      <c r="AH52" s="10">
        <v>975783</v>
      </c>
      <c r="AI52" s="10">
        <v>1002579</v>
      </c>
      <c r="AJ52" s="10">
        <v>1029778</v>
      </c>
      <c r="AK52" s="10">
        <v>1057255</v>
      </c>
      <c r="AL52" s="10">
        <v>1084946</v>
      </c>
      <c r="AM52" s="10">
        <v>1112955</v>
      </c>
      <c r="AN52" s="10">
        <v>1141338</v>
      </c>
      <c r="AO52" s="10">
        <v>1170061</v>
      </c>
      <c r="AP52" s="10">
        <v>1199052</v>
      </c>
      <c r="AQ52" s="10">
        <v>1228360</v>
      </c>
      <c r="AR52" s="10">
        <v>1258003</v>
      </c>
      <c r="AS52" s="10">
        <v>1288315</v>
      </c>
      <c r="AT52" s="10">
        <v>1319953</v>
      </c>
      <c r="AU52" s="10">
        <v>1353795</v>
      </c>
      <c r="AV52" s="10">
        <v>1390549</v>
      </c>
      <c r="AW52" s="10">
        <v>1430152</v>
      </c>
      <c r="AX52" s="10">
        <v>1472575</v>
      </c>
      <c r="AY52" s="10">
        <v>1518540</v>
      </c>
      <c r="AZ52" s="10">
        <v>1568928</v>
      </c>
      <c r="BA52" s="10">
        <v>1624140</v>
      </c>
      <c r="BB52" s="10">
        <v>1684635</v>
      </c>
      <c r="BC52" s="10">
        <v>1749682</v>
      </c>
      <c r="BD52" s="10">
        <v>1817071</v>
      </c>
      <c r="BE52" s="10">
        <v>1883800</v>
      </c>
      <c r="BF52" s="10">
        <v>1947686</v>
      </c>
      <c r="BG52" s="10">
        <v>2007873</v>
      </c>
      <c r="BH52" s="10">
        <v>2064823</v>
      </c>
      <c r="BI52" s="10">
        <v>2119275</v>
      </c>
      <c r="BJ52" s="10">
        <v>2172579</v>
      </c>
    </row>
    <row r="53" spans="1:62" x14ac:dyDescent="0.45">
      <c r="A53" t="s">
        <v>26</v>
      </c>
      <c r="B53" t="s">
        <v>125</v>
      </c>
      <c r="C53" s="10">
        <v>6635230</v>
      </c>
      <c r="D53" s="10">
        <v>6848295</v>
      </c>
      <c r="E53" s="10">
        <v>7071971</v>
      </c>
      <c r="F53" s="10">
        <v>7300116</v>
      </c>
      <c r="G53" s="10">
        <v>7524472</v>
      </c>
      <c r="H53" s="10">
        <v>7739473</v>
      </c>
      <c r="I53" s="10">
        <v>7941412</v>
      </c>
      <c r="J53" s="10">
        <v>8132803</v>
      </c>
      <c r="K53" s="10">
        <v>8321770</v>
      </c>
      <c r="L53" s="10">
        <v>8520015</v>
      </c>
      <c r="M53" s="10">
        <v>8735495</v>
      </c>
      <c r="N53" s="10">
        <v>8973244</v>
      </c>
      <c r="O53" s="10">
        <v>9229631</v>
      </c>
      <c r="P53" s="10">
        <v>9493556</v>
      </c>
      <c r="Q53" s="10">
        <v>9749104</v>
      </c>
      <c r="R53" s="10">
        <v>9985946</v>
      </c>
      <c r="S53" s="10">
        <v>10199165</v>
      </c>
      <c r="T53" s="10">
        <v>10395452</v>
      </c>
      <c r="U53" s="10">
        <v>10590261</v>
      </c>
      <c r="V53" s="10">
        <v>10805314</v>
      </c>
      <c r="W53" s="10">
        <v>11056116</v>
      </c>
      <c r="X53" s="10">
        <v>11348289</v>
      </c>
      <c r="Y53" s="10">
        <v>11676823</v>
      </c>
      <c r="Z53" s="10">
        <v>12033575</v>
      </c>
      <c r="AA53" s="10">
        <v>12405660</v>
      </c>
      <c r="AB53" s="10">
        <v>12783613</v>
      </c>
      <c r="AC53" s="10">
        <v>13164837</v>
      </c>
      <c r="AD53" s="10">
        <v>13552021</v>
      </c>
      <c r="AE53" s="10">
        <v>13947042</v>
      </c>
      <c r="AF53" s="10">
        <v>14353410</v>
      </c>
      <c r="AG53" s="10">
        <v>14773277</v>
      </c>
      <c r="AH53" s="10">
        <v>15207367</v>
      </c>
      <c r="AI53" s="10">
        <v>15653336</v>
      </c>
      <c r="AJ53" s="10">
        <v>16106765</v>
      </c>
      <c r="AK53" s="10">
        <v>16561674</v>
      </c>
      <c r="AL53" s="10">
        <v>17014056</v>
      </c>
      <c r="AM53" s="10">
        <v>17462496</v>
      </c>
      <c r="AN53" s="10">
        <v>17908984</v>
      </c>
      <c r="AO53" s="10">
        <v>18357156</v>
      </c>
      <c r="AP53" s="10">
        <v>18812360</v>
      </c>
      <c r="AQ53" s="10">
        <v>19278856</v>
      </c>
      <c r="AR53" s="10">
        <v>19756928</v>
      </c>
      <c r="AS53" s="10">
        <v>20246380</v>
      </c>
      <c r="AT53" s="10">
        <v>20750300</v>
      </c>
      <c r="AU53" s="10">
        <v>21272324</v>
      </c>
      <c r="AV53" s="10">
        <v>21814642</v>
      </c>
      <c r="AW53" s="10">
        <v>22379056</v>
      </c>
      <c r="AX53" s="10">
        <v>22963946</v>
      </c>
      <c r="AY53" s="10">
        <v>23563824</v>
      </c>
      <c r="AZ53" s="10">
        <v>24170940</v>
      </c>
      <c r="BA53" s="10">
        <v>24779620</v>
      </c>
      <c r="BB53" s="10">
        <v>25387710</v>
      </c>
      <c r="BC53" s="10">
        <v>25996448</v>
      </c>
      <c r="BD53" s="10">
        <v>26607642</v>
      </c>
      <c r="BE53" s="10">
        <v>27224472</v>
      </c>
      <c r="BF53" s="10">
        <v>27849204</v>
      </c>
      <c r="BG53" s="10">
        <v>28481946</v>
      </c>
      <c r="BH53" s="10">
        <v>29121472</v>
      </c>
      <c r="BI53" s="10">
        <v>29767108</v>
      </c>
      <c r="BJ53" s="10">
        <v>30417856</v>
      </c>
    </row>
    <row r="54" spans="1:62" x14ac:dyDescent="0.45">
      <c r="A54" t="s">
        <v>26</v>
      </c>
      <c r="B54" t="s">
        <v>126</v>
      </c>
      <c r="C54" s="10">
        <v>4128880</v>
      </c>
      <c r="D54" s="10">
        <v>4251911</v>
      </c>
      <c r="E54" s="10">
        <v>4378604</v>
      </c>
      <c r="F54" s="10">
        <v>4508444</v>
      </c>
      <c r="G54" s="10">
        <v>4640795</v>
      </c>
      <c r="H54" s="10">
        <v>4774984</v>
      </c>
      <c r="I54" s="10">
        <v>4910790</v>
      </c>
      <c r="J54" s="10">
        <v>5047435</v>
      </c>
      <c r="K54" s="10">
        <v>5184095</v>
      </c>
      <c r="L54" s="10">
        <v>5320100</v>
      </c>
      <c r="M54" s="10">
        <v>5455197</v>
      </c>
      <c r="N54" s="10">
        <v>5589563</v>
      </c>
      <c r="O54" s="10">
        <v>5723759</v>
      </c>
      <c r="P54" s="10">
        <v>5858466</v>
      </c>
      <c r="Q54" s="10">
        <v>5994300</v>
      </c>
      <c r="R54" s="10">
        <v>6131151</v>
      </c>
      <c r="S54" s="10">
        <v>6269983</v>
      </c>
      <c r="T54" s="10">
        <v>6412667</v>
      </c>
      <c r="U54" s="10">
        <v>6561919</v>
      </c>
      <c r="V54" s="10">
        <v>6720582</v>
      </c>
      <c r="W54" s="10">
        <v>6890346</v>
      </c>
      <c r="X54" s="10">
        <v>7071186</v>
      </c>
      <c r="Y54" s="10">
        <v>7262658</v>
      </c>
      <c r="Z54" s="10">
        <v>7462585</v>
      </c>
      <c r="AA54" s="10">
        <v>7669863</v>
      </c>
      <c r="AB54" s="10">
        <v>7884034</v>
      </c>
      <c r="AC54" s="10">
        <v>8104921</v>
      </c>
      <c r="AD54" s="10">
        <v>8332446</v>
      </c>
      <c r="AE54" s="10">
        <v>8566331</v>
      </c>
      <c r="AF54" s="10">
        <v>8805995</v>
      </c>
      <c r="AG54" s="10">
        <v>9050115</v>
      </c>
      <c r="AH54" s="10">
        <v>9296814</v>
      </c>
      <c r="AI54" s="10">
        <v>9544055</v>
      </c>
      <c r="AJ54" s="10">
        <v>9790619</v>
      </c>
      <c r="AK54" s="10">
        <v>10037522</v>
      </c>
      <c r="AL54" s="10">
        <v>10286786</v>
      </c>
      <c r="AM54" s="10">
        <v>10536942</v>
      </c>
      <c r="AN54" s="10">
        <v>10788362</v>
      </c>
      <c r="AO54" s="10">
        <v>11046215</v>
      </c>
      <c r="AP54" s="10">
        <v>11311078</v>
      </c>
      <c r="AQ54" s="10">
        <v>11589761</v>
      </c>
      <c r="AR54" s="10">
        <v>11871565</v>
      </c>
      <c r="AS54" s="10">
        <v>12147518</v>
      </c>
      <c r="AT54" s="10">
        <v>12415334</v>
      </c>
      <c r="AU54" s="10">
        <v>12682108</v>
      </c>
      <c r="AV54" s="10">
        <v>12948292</v>
      </c>
      <c r="AW54" s="10">
        <v>13213330</v>
      </c>
      <c r="AX54" s="10">
        <v>13477017</v>
      </c>
      <c r="AY54" s="10">
        <v>13739299</v>
      </c>
      <c r="AZ54" s="10">
        <v>14000190</v>
      </c>
      <c r="BA54" s="10">
        <v>14259687</v>
      </c>
      <c r="BB54" s="10">
        <v>14521515</v>
      </c>
      <c r="BC54" s="10">
        <v>14781942</v>
      </c>
      <c r="BD54" s="10">
        <v>15043981</v>
      </c>
      <c r="BE54" s="10">
        <v>15306316</v>
      </c>
      <c r="BF54" s="10">
        <v>15567419</v>
      </c>
      <c r="BG54" s="10">
        <v>15827690</v>
      </c>
      <c r="BH54" s="10">
        <v>16087418</v>
      </c>
      <c r="BI54" s="10">
        <v>16346950</v>
      </c>
      <c r="BJ54" s="10">
        <v>16604026</v>
      </c>
    </row>
    <row r="55" spans="1:62" x14ac:dyDescent="0.45">
      <c r="A55" t="s">
        <v>26</v>
      </c>
      <c r="B55" t="s">
        <v>127</v>
      </c>
      <c r="C55" s="10">
        <v>571819</v>
      </c>
      <c r="D55" s="10">
        <v>589274</v>
      </c>
      <c r="E55" s="10">
        <v>606285</v>
      </c>
      <c r="F55" s="10">
        <v>622575</v>
      </c>
      <c r="G55" s="10">
        <v>637845</v>
      </c>
      <c r="H55" s="10">
        <v>651868</v>
      </c>
      <c r="I55" s="10">
        <v>664521</v>
      </c>
      <c r="J55" s="10">
        <v>675871</v>
      </c>
      <c r="K55" s="10">
        <v>686146</v>
      </c>
      <c r="L55" s="10">
        <v>695745</v>
      </c>
      <c r="M55" s="10">
        <v>704934</v>
      </c>
      <c r="N55" s="10">
        <v>713684</v>
      </c>
      <c r="O55" s="10">
        <v>721948</v>
      </c>
      <c r="P55" s="10">
        <v>729916</v>
      </c>
      <c r="Q55" s="10">
        <v>737847</v>
      </c>
      <c r="R55" s="10">
        <v>745841</v>
      </c>
      <c r="S55" s="10">
        <v>754101</v>
      </c>
      <c r="T55" s="10">
        <v>762424</v>
      </c>
      <c r="U55" s="10">
        <v>770125</v>
      </c>
      <c r="V55" s="10">
        <v>776254</v>
      </c>
      <c r="W55" s="10">
        <v>780153</v>
      </c>
      <c r="X55" s="10">
        <v>781732</v>
      </c>
      <c r="Y55" s="10">
        <v>781246</v>
      </c>
      <c r="Z55" s="10">
        <v>778948</v>
      </c>
      <c r="AA55" s="10">
        <v>775219</v>
      </c>
      <c r="AB55" s="10">
        <v>770435</v>
      </c>
      <c r="AC55" s="10">
        <v>764446</v>
      </c>
      <c r="AD55" s="10">
        <v>757448</v>
      </c>
      <c r="AE55" s="10">
        <v>750639</v>
      </c>
      <c r="AF55" s="10">
        <v>745585</v>
      </c>
      <c r="AG55" s="10">
        <v>743309</v>
      </c>
      <c r="AH55" s="10">
        <v>744474</v>
      </c>
      <c r="AI55" s="10">
        <v>748602</v>
      </c>
      <c r="AJ55" s="10">
        <v>754144</v>
      </c>
      <c r="AK55" s="10">
        <v>758896</v>
      </c>
      <c r="AL55" s="10">
        <v>761291</v>
      </c>
      <c r="AM55" s="10">
        <v>760795</v>
      </c>
      <c r="AN55" s="10">
        <v>757970</v>
      </c>
      <c r="AO55" s="10">
        <v>753778</v>
      </c>
      <c r="AP55" s="10">
        <v>749674</v>
      </c>
      <c r="AQ55" s="10">
        <v>746715</v>
      </c>
      <c r="AR55" s="10">
        <v>745206</v>
      </c>
      <c r="AS55" s="10">
        <v>744789</v>
      </c>
      <c r="AT55" s="10">
        <v>745143</v>
      </c>
      <c r="AU55" s="10">
        <v>745737</v>
      </c>
      <c r="AV55" s="10">
        <v>746163</v>
      </c>
      <c r="AW55" s="10">
        <v>746343</v>
      </c>
      <c r="AX55" s="10">
        <v>746474</v>
      </c>
      <c r="AY55" s="10">
        <v>746817</v>
      </c>
      <c r="AZ55" s="10">
        <v>747718</v>
      </c>
      <c r="BA55" s="10">
        <v>749436</v>
      </c>
      <c r="BB55" s="10">
        <v>752028</v>
      </c>
      <c r="BC55" s="10">
        <v>755399</v>
      </c>
      <c r="BD55" s="10">
        <v>759285</v>
      </c>
      <c r="BE55" s="10">
        <v>763380</v>
      </c>
      <c r="BF55" s="10">
        <v>767432</v>
      </c>
      <c r="BG55" s="10">
        <v>771366</v>
      </c>
      <c r="BH55" s="10">
        <v>775221</v>
      </c>
      <c r="BI55" s="10">
        <v>779004</v>
      </c>
      <c r="BJ55" s="10">
        <v>782766</v>
      </c>
    </row>
    <row r="56" spans="1:62" x14ac:dyDescent="0.45">
      <c r="A56" t="s">
        <v>26</v>
      </c>
      <c r="B56" t="s">
        <v>128</v>
      </c>
      <c r="C56" s="10">
        <v>3866159</v>
      </c>
      <c r="D56" s="10">
        <v>3941944</v>
      </c>
      <c r="E56" s="10">
        <v>4019173</v>
      </c>
      <c r="F56" s="10">
        <v>4097755</v>
      </c>
      <c r="G56" s="10">
        <v>4177637</v>
      </c>
      <c r="H56" s="10">
        <v>4258732</v>
      </c>
      <c r="I56" s="10">
        <v>4341318</v>
      </c>
      <c r="J56" s="10">
        <v>4425303</v>
      </c>
      <c r="K56" s="10">
        <v>4509813</v>
      </c>
      <c r="L56" s="10">
        <v>4593669</v>
      </c>
      <c r="M56" s="10">
        <v>4676230</v>
      </c>
      <c r="N56" s="10">
        <v>4757182</v>
      </c>
      <c r="O56" s="10">
        <v>4837332</v>
      </c>
      <c r="P56" s="10">
        <v>4918625</v>
      </c>
      <c r="Q56" s="10">
        <v>5003710</v>
      </c>
      <c r="R56" s="10">
        <v>5094577</v>
      </c>
      <c r="S56" s="10">
        <v>5191632</v>
      </c>
      <c r="T56" s="10">
        <v>5294619</v>
      </c>
      <c r="U56" s="10">
        <v>5404019</v>
      </c>
      <c r="V56" s="10">
        <v>5520187</v>
      </c>
      <c r="W56" s="10">
        <v>5643173</v>
      </c>
      <c r="X56" s="10">
        <v>5773366</v>
      </c>
      <c r="Y56" s="10">
        <v>5910227</v>
      </c>
      <c r="Z56" s="10">
        <v>6051622</v>
      </c>
      <c r="AA56" s="10">
        <v>6194687</v>
      </c>
      <c r="AB56" s="10">
        <v>6337273</v>
      </c>
      <c r="AC56" s="10">
        <v>6478541</v>
      </c>
      <c r="AD56" s="10">
        <v>6618744</v>
      </c>
      <c r="AE56" s="10">
        <v>6758223</v>
      </c>
      <c r="AF56" s="10">
        <v>6897755</v>
      </c>
      <c r="AG56" s="10">
        <v>7037917</v>
      </c>
      <c r="AH56" s="10">
        <v>7178607</v>
      </c>
      <c r="AI56" s="10">
        <v>7319493</v>
      </c>
      <c r="AJ56" s="10">
        <v>7460689</v>
      </c>
      <c r="AK56" s="10">
        <v>7602320</v>
      </c>
      <c r="AL56" s="10">
        <v>7744503</v>
      </c>
      <c r="AM56" s="10">
        <v>7887304</v>
      </c>
      <c r="AN56" s="10">
        <v>8030726</v>
      </c>
      <c r="AO56" s="10">
        <v>8174680</v>
      </c>
      <c r="AP56" s="10">
        <v>8319057</v>
      </c>
      <c r="AQ56" s="10">
        <v>8463806</v>
      </c>
      <c r="AR56" s="10">
        <v>8608819</v>
      </c>
      <c r="AS56" s="10">
        <v>8754150</v>
      </c>
      <c r="AT56" s="10">
        <v>8900104</v>
      </c>
      <c r="AU56" s="10">
        <v>9047077</v>
      </c>
      <c r="AV56" s="10">
        <v>9195288</v>
      </c>
      <c r="AW56" s="10">
        <v>9344785</v>
      </c>
      <c r="AX56" s="10">
        <v>9495328</v>
      </c>
      <c r="AY56" s="10">
        <v>9646580</v>
      </c>
      <c r="AZ56" s="10">
        <v>9798046</v>
      </c>
      <c r="BA56" s="10">
        <v>9949322</v>
      </c>
      <c r="BB56" s="10">
        <v>10100320</v>
      </c>
      <c r="BC56" s="10">
        <v>10250930</v>
      </c>
      <c r="BD56" s="10">
        <v>10400673</v>
      </c>
      <c r="BE56" s="10">
        <v>10549008</v>
      </c>
      <c r="BF56" s="10">
        <v>10695542</v>
      </c>
      <c r="BG56" s="10">
        <v>10839970</v>
      </c>
      <c r="BH56" s="10">
        <v>10982366</v>
      </c>
      <c r="BI56" s="10">
        <v>11123176</v>
      </c>
      <c r="BJ56" s="10">
        <v>11263077</v>
      </c>
    </row>
    <row r="57" spans="1:62" x14ac:dyDescent="0.45">
      <c r="A57" t="s">
        <v>26</v>
      </c>
      <c r="B57" t="s">
        <v>129</v>
      </c>
      <c r="C57" s="10">
        <v>2038632</v>
      </c>
      <c r="D57" s="10">
        <v>2096409</v>
      </c>
      <c r="E57" s="10">
        <v>2155647</v>
      </c>
      <c r="F57" s="10">
        <v>2216704</v>
      </c>
      <c r="G57" s="10">
        <v>2280048</v>
      </c>
      <c r="H57" s="10">
        <v>2346015</v>
      </c>
      <c r="I57" s="10">
        <v>2414803</v>
      </c>
      <c r="J57" s="10">
        <v>2486415</v>
      </c>
      <c r="K57" s="10">
        <v>2560727</v>
      </c>
      <c r="L57" s="10">
        <v>2637513</v>
      </c>
      <c r="M57" s="10">
        <v>2716654</v>
      </c>
      <c r="N57" s="10">
        <v>2798123</v>
      </c>
      <c r="O57" s="10">
        <v>2882113</v>
      </c>
      <c r="P57" s="10">
        <v>2968989</v>
      </c>
      <c r="Q57" s="10">
        <v>3059239</v>
      </c>
      <c r="R57" s="10">
        <v>3153253</v>
      </c>
      <c r="S57" s="10">
        <v>3251145</v>
      </c>
      <c r="T57" s="10">
        <v>3352825</v>
      </c>
      <c r="U57" s="10">
        <v>3458095</v>
      </c>
      <c r="V57" s="10">
        <v>3566654</v>
      </c>
      <c r="W57" s="10">
        <v>3678279</v>
      </c>
      <c r="X57" s="10">
        <v>3792919</v>
      </c>
      <c r="Y57" s="10">
        <v>3910640</v>
      </c>
      <c r="Z57" s="10">
        <v>4031325</v>
      </c>
      <c r="AA57" s="10">
        <v>4154860</v>
      </c>
      <c r="AB57" s="10">
        <v>4281161</v>
      </c>
      <c r="AC57" s="10">
        <v>4410269</v>
      </c>
      <c r="AD57" s="10">
        <v>4542214</v>
      </c>
      <c r="AE57" s="10">
        <v>4677024</v>
      </c>
      <c r="AF57" s="10">
        <v>4814702</v>
      </c>
      <c r="AG57" s="10">
        <v>4955303</v>
      </c>
      <c r="AH57" s="10">
        <v>5098591</v>
      </c>
      <c r="AI57" s="10">
        <v>5244678</v>
      </c>
      <c r="AJ57" s="10">
        <v>5394412</v>
      </c>
      <c r="AK57" s="10">
        <v>5548960</v>
      </c>
      <c r="AL57" s="10">
        <v>5709014</v>
      </c>
      <c r="AM57" s="10">
        <v>5874809</v>
      </c>
      <c r="AN57" s="10">
        <v>6045699</v>
      </c>
      <c r="AO57" s="10">
        <v>6220406</v>
      </c>
      <c r="AP57" s="10">
        <v>6397151</v>
      </c>
      <c r="AQ57" s="10">
        <v>6574509</v>
      </c>
      <c r="AR57" s="10">
        <v>6751912</v>
      </c>
      <c r="AS57" s="10">
        <v>6929265</v>
      </c>
      <c r="AT57" s="10">
        <v>7106319</v>
      </c>
      <c r="AU57" s="10">
        <v>7282953</v>
      </c>
      <c r="AV57" s="10">
        <v>7458985</v>
      </c>
      <c r="AW57" s="10">
        <v>7634298</v>
      </c>
      <c r="AX57" s="10">
        <v>7808518</v>
      </c>
      <c r="AY57" s="10">
        <v>7980955</v>
      </c>
      <c r="AZ57" s="10">
        <v>8150775</v>
      </c>
      <c r="BA57" s="10">
        <v>8317470</v>
      </c>
      <c r="BB57" s="10">
        <v>8480671</v>
      </c>
      <c r="BC57" s="10">
        <v>8640691</v>
      </c>
      <c r="BD57" s="10">
        <v>8798521</v>
      </c>
      <c r="BE57" s="10">
        <v>8955589</v>
      </c>
      <c r="BF57" s="10">
        <v>9112916</v>
      </c>
      <c r="BG57" s="10">
        <v>9270795</v>
      </c>
      <c r="BH57" s="10">
        <v>9429013</v>
      </c>
      <c r="BI57" s="10">
        <v>9587522</v>
      </c>
      <c r="BJ57" s="10">
        <v>9746117</v>
      </c>
    </row>
    <row r="58" spans="1:62" x14ac:dyDescent="0.45">
      <c r="A58" t="s">
        <v>26</v>
      </c>
      <c r="B58" t="s">
        <v>130</v>
      </c>
      <c r="C58" s="10">
        <v>450547680</v>
      </c>
      <c r="D58" s="10">
        <v>459642176</v>
      </c>
      <c r="E58" s="10">
        <v>469077184</v>
      </c>
      <c r="F58" s="10">
        <v>478825600</v>
      </c>
      <c r="G58" s="10">
        <v>488848128</v>
      </c>
      <c r="H58" s="10">
        <v>499123328</v>
      </c>
      <c r="I58" s="10">
        <v>509631488</v>
      </c>
      <c r="J58" s="10">
        <v>520400576</v>
      </c>
      <c r="K58" s="10">
        <v>531513824</v>
      </c>
      <c r="L58" s="10">
        <v>543084352</v>
      </c>
      <c r="M58" s="10">
        <v>555189760</v>
      </c>
      <c r="N58" s="10">
        <v>567868032</v>
      </c>
      <c r="O58" s="10">
        <v>581087232</v>
      </c>
      <c r="P58" s="10">
        <v>594770112</v>
      </c>
      <c r="Q58" s="10">
        <v>608802624</v>
      </c>
      <c r="R58" s="10">
        <v>623102912</v>
      </c>
      <c r="S58" s="10">
        <v>637630080</v>
      </c>
      <c r="T58" s="10">
        <v>652408768</v>
      </c>
      <c r="U58" s="10">
        <v>667499776</v>
      </c>
      <c r="V58" s="10">
        <v>682995328</v>
      </c>
      <c r="W58" s="10">
        <v>698952832</v>
      </c>
      <c r="X58" s="10">
        <v>715385024</v>
      </c>
      <c r="Y58" s="10">
        <v>732239488</v>
      </c>
      <c r="Z58" s="10">
        <v>749428928</v>
      </c>
      <c r="AA58" s="10">
        <v>766833408</v>
      </c>
      <c r="AB58" s="10">
        <v>784360000</v>
      </c>
      <c r="AC58" s="10">
        <v>801975232</v>
      </c>
      <c r="AD58" s="10">
        <v>819682112</v>
      </c>
      <c r="AE58" s="10">
        <v>837468928</v>
      </c>
      <c r="AF58" s="10">
        <v>855334656</v>
      </c>
      <c r="AG58" s="10">
        <v>873277824</v>
      </c>
      <c r="AH58" s="10">
        <v>891273216</v>
      </c>
      <c r="AI58" s="10">
        <v>909307008</v>
      </c>
      <c r="AJ58" s="10">
        <v>927403840</v>
      </c>
      <c r="AK58" s="10">
        <v>945601856</v>
      </c>
      <c r="AL58" s="10">
        <v>963922560</v>
      </c>
      <c r="AM58" s="10">
        <v>982365248</v>
      </c>
      <c r="AN58" s="10">
        <v>1000900032</v>
      </c>
      <c r="AO58" s="10">
        <v>1019483584</v>
      </c>
      <c r="AP58" s="10">
        <v>1038058176</v>
      </c>
      <c r="AQ58" s="10">
        <v>1056575552</v>
      </c>
      <c r="AR58" s="10">
        <v>1075000064</v>
      </c>
      <c r="AS58" s="10">
        <v>1093317248</v>
      </c>
      <c r="AT58" s="10">
        <v>1111523200</v>
      </c>
      <c r="AU58" s="10">
        <v>1129623424</v>
      </c>
      <c r="AV58" s="10">
        <v>1147609984</v>
      </c>
      <c r="AW58" s="10">
        <v>1165486336</v>
      </c>
      <c r="AX58" s="10">
        <v>1183209472</v>
      </c>
      <c r="AY58" s="10">
        <v>1200669824</v>
      </c>
      <c r="AZ58" s="10">
        <v>1217726208</v>
      </c>
      <c r="BA58" s="10">
        <v>1234281216</v>
      </c>
      <c r="BB58" s="10">
        <v>1250288768</v>
      </c>
      <c r="BC58" s="10">
        <v>1265782784</v>
      </c>
      <c r="BD58" s="10">
        <v>1280846080</v>
      </c>
      <c r="BE58" s="10">
        <v>1295604224</v>
      </c>
      <c r="BF58" s="10">
        <v>1310152448</v>
      </c>
      <c r="BG58" s="10">
        <v>1324509568</v>
      </c>
      <c r="BH58" s="10">
        <v>1338658816</v>
      </c>
      <c r="BI58" s="10">
        <v>1352617344</v>
      </c>
      <c r="BJ58" s="10">
        <v>1366417792</v>
      </c>
    </row>
    <row r="59" spans="1:62" x14ac:dyDescent="0.45">
      <c r="A59" t="s">
        <v>26</v>
      </c>
      <c r="B59" t="s">
        <v>131</v>
      </c>
      <c r="C59" s="10">
        <v>8120080</v>
      </c>
      <c r="D59" s="10">
        <v>8377696</v>
      </c>
      <c r="E59" s="10">
        <v>8647011</v>
      </c>
      <c r="F59" s="10">
        <v>8928511</v>
      </c>
      <c r="G59" s="10">
        <v>9222692</v>
      </c>
      <c r="H59" s="10">
        <v>9530173</v>
      </c>
      <c r="I59" s="10">
        <v>9851444</v>
      </c>
      <c r="J59" s="10">
        <v>10187478</v>
      </c>
      <c r="K59" s="10">
        <v>10539894</v>
      </c>
      <c r="L59" s="10">
        <v>10910675</v>
      </c>
      <c r="M59" s="10">
        <v>11301394</v>
      </c>
      <c r="N59" s="10">
        <v>11713048</v>
      </c>
      <c r="O59" s="10">
        <v>12146068</v>
      </c>
      <c r="P59" s="10">
        <v>12600797</v>
      </c>
      <c r="Q59" s="10">
        <v>13077341</v>
      </c>
      <c r="R59" s="10">
        <v>13575907</v>
      </c>
      <c r="S59" s="10">
        <v>14096263</v>
      </c>
      <c r="T59" s="10">
        <v>14638890</v>
      </c>
      <c r="U59" s="10">
        <v>15205374</v>
      </c>
      <c r="V59" s="10">
        <v>15797776</v>
      </c>
      <c r="W59" s="10">
        <v>16417197</v>
      </c>
      <c r="X59" s="10">
        <v>17063876</v>
      </c>
      <c r="Y59" s="10">
        <v>17736326</v>
      </c>
      <c r="Z59" s="10">
        <v>18431760</v>
      </c>
      <c r="AA59" s="10">
        <v>19146400</v>
      </c>
      <c r="AB59" s="10">
        <v>19877084</v>
      </c>
      <c r="AC59" s="10">
        <v>20622560</v>
      </c>
      <c r="AD59" s="10">
        <v>21382112</v>
      </c>
      <c r="AE59" s="10">
        <v>22153676</v>
      </c>
      <c r="AF59" s="10">
        <v>22935092</v>
      </c>
      <c r="AG59" s="10">
        <v>23724580</v>
      </c>
      <c r="AH59" s="10">
        <v>24521704</v>
      </c>
      <c r="AI59" s="10">
        <v>25326078</v>
      </c>
      <c r="AJ59" s="10">
        <v>26136216</v>
      </c>
      <c r="AK59" s="10">
        <v>26950512</v>
      </c>
      <c r="AL59" s="10">
        <v>27768296</v>
      </c>
      <c r="AM59" s="10">
        <v>28589452</v>
      </c>
      <c r="AN59" s="10">
        <v>29415660</v>
      </c>
      <c r="AO59" s="10">
        <v>30250488</v>
      </c>
      <c r="AP59" s="10">
        <v>31098756</v>
      </c>
      <c r="AQ59" s="10">
        <v>31964556</v>
      </c>
      <c r="AR59" s="10">
        <v>32848564</v>
      </c>
      <c r="AS59" s="10">
        <v>33751740</v>
      </c>
      <c r="AT59" s="10">
        <v>34678780</v>
      </c>
      <c r="AU59" s="10">
        <v>35635272</v>
      </c>
      <c r="AV59" s="10">
        <v>36624896</v>
      </c>
      <c r="AW59" s="10">
        <v>37649032</v>
      </c>
      <c r="AX59" s="10">
        <v>38705932</v>
      </c>
      <c r="AY59" s="10">
        <v>39791980</v>
      </c>
      <c r="AZ59" s="10">
        <v>40901792</v>
      </c>
      <c r="BA59" s="10">
        <v>42030676</v>
      </c>
      <c r="BB59" s="10">
        <v>43178256</v>
      </c>
      <c r="BC59" s="10">
        <v>44343408</v>
      </c>
      <c r="BD59" s="10">
        <v>45519888</v>
      </c>
      <c r="BE59" s="10">
        <v>46699980</v>
      </c>
      <c r="BF59" s="10">
        <v>47878336</v>
      </c>
      <c r="BG59" s="10">
        <v>49051688</v>
      </c>
      <c r="BH59" s="10">
        <v>50221472</v>
      </c>
      <c r="BI59" s="10">
        <v>51393008</v>
      </c>
      <c r="BJ59" s="10">
        <v>52573972</v>
      </c>
    </row>
    <row r="60" spans="1:62" x14ac:dyDescent="0.45">
      <c r="A60" t="s">
        <v>26</v>
      </c>
      <c r="B60" t="s">
        <v>132</v>
      </c>
      <c r="C60" s="10">
        <v>837270</v>
      </c>
      <c r="D60" s="10">
        <v>852890</v>
      </c>
      <c r="E60" s="10">
        <v>869136</v>
      </c>
      <c r="F60" s="10">
        <v>886057</v>
      </c>
      <c r="G60" s="10">
        <v>903763</v>
      </c>
      <c r="H60" s="10">
        <v>922306</v>
      </c>
      <c r="I60" s="10">
        <v>941794</v>
      </c>
      <c r="J60" s="10">
        <v>962273</v>
      </c>
      <c r="K60" s="10">
        <v>983685</v>
      </c>
      <c r="L60" s="10">
        <v>1005909</v>
      </c>
      <c r="M60" s="10">
        <v>1028926</v>
      </c>
      <c r="N60" s="10">
        <v>1052614</v>
      </c>
      <c r="O60" s="10">
        <v>1077095</v>
      </c>
      <c r="P60" s="10">
        <v>1102878</v>
      </c>
      <c r="Q60" s="10">
        <v>1130635</v>
      </c>
      <c r="R60" s="10">
        <v>1160792</v>
      </c>
      <c r="S60" s="10">
        <v>1193521</v>
      </c>
      <c r="T60" s="10">
        <v>1228536</v>
      </c>
      <c r="U60" s="10">
        <v>1265202</v>
      </c>
      <c r="V60" s="10">
        <v>1302667</v>
      </c>
      <c r="W60" s="10">
        <v>1340255</v>
      </c>
      <c r="X60" s="10">
        <v>1377799</v>
      </c>
      <c r="Y60" s="10">
        <v>1415367</v>
      </c>
      <c r="Z60" s="10">
        <v>1452728</v>
      </c>
      <c r="AA60" s="10">
        <v>1489691</v>
      </c>
      <c r="AB60" s="10">
        <v>1526131</v>
      </c>
      <c r="AC60" s="10">
        <v>1561692</v>
      </c>
      <c r="AD60" s="10">
        <v>1596394</v>
      </c>
      <c r="AE60" s="10">
        <v>1630996</v>
      </c>
      <c r="AF60" s="10">
        <v>1666563</v>
      </c>
      <c r="AG60" s="10">
        <v>1703747</v>
      </c>
      <c r="AH60" s="10">
        <v>1742539</v>
      </c>
      <c r="AI60" s="10">
        <v>1782285</v>
      </c>
      <c r="AJ60" s="10">
        <v>1822236</v>
      </c>
      <c r="AK60" s="10">
        <v>1861324</v>
      </c>
      <c r="AL60" s="10">
        <v>1898598</v>
      </c>
      <c r="AM60" s="10">
        <v>1934291</v>
      </c>
      <c r="AN60" s="10">
        <v>1968044</v>
      </c>
      <c r="AO60" s="10">
        <v>1997516</v>
      </c>
      <c r="AP60" s="10">
        <v>2019731</v>
      </c>
      <c r="AQ60" s="10">
        <v>2032804</v>
      </c>
      <c r="AR60" s="10">
        <v>2035740</v>
      </c>
      <c r="AS60" s="10">
        <v>2029829</v>
      </c>
      <c r="AT60" s="10">
        <v>2018348</v>
      </c>
      <c r="AU60" s="10">
        <v>2005940</v>
      </c>
      <c r="AV60" s="10">
        <v>1996114</v>
      </c>
      <c r="AW60" s="10">
        <v>1989939</v>
      </c>
      <c r="AX60" s="10">
        <v>1986922</v>
      </c>
      <c r="AY60" s="10">
        <v>1987129</v>
      </c>
      <c r="AZ60" s="10">
        <v>1990131</v>
      </c>
      <c r="BA60" s="10">
        <v>1995581</v>
      </c>
      <c r="BB60" s="10">
        <v>2003787</v>
      </c>
      <c r="BC60" s="10">
        <v>2014990</v>
      </c>
      <c r="BD60" s="10">
        <v>2028519</v>
      </c>
      <c r="BE60" s="10">
        <v>2043437</v>
      </c>
      <c r="BF60" s="10">
        <v>2059021</v>
      </c>
      <c r="BG60" s="10">
        <v>2075001</v>
      </c>
      <c r="BH60" s="10">
        <v>2091412</v>
      </c>
      <c r="BI60" s="10">
        <v>2108132</v>
      </c>
      <c r="BJ60" s="10">
        <v>2125268</v>
      </c>
    </row>
    <row r="61" spans="1:62" x14ac:dyDescent="0.45">
      <c r="A61" t="s">
        <v>26</v>
      </c>
      <c r="B61" t="s">
        <v>133</v>
      </c>
      <c r="C61" s="10">
        <v>5099373</v>
      </c>
      <c r="D61" s="10">
        <v>5223568</v>
      </c>
      <c r="E61" s="10">
        <v>5352503</v>
      </c>
      <c r="F61" s="10">
        <v>5486319</v>
      </c>
      <c r="G61" s="10">
        <v>5625164</v>
      </c>
      <c r="H61" s="10">
        <v>5769218</v>
      </c>
      <c r="I61" s="10">
        <v>5918595</v>
      </c>
      <c r="J61" s="10">
        <v>6073526</v>
      </c>
      <c r="K61" s="10">
        <v>6234465</v>
      </c>
      <c r="L61" s="10">
        <v>6401921</v>
      </c>
      <c r="M61" s="10">
        <v>6576305</v>
      </c>
      <c r="N61" s="10">
        <v>6757850</v>
      </c>
      <c r="O61" s="10">
        <v>6946620</v>
      </c>
      <c r="P61" s="10">
        <v>7142627</v>
      </c>
      <c r="Q61" s="10">
        <v>7345780</v>
      </c>
      <c r="R61" s="10">
        <v>7556026</v>
      </c>
      <c r="S61" s="10">
        <v>7773449</v>
      </c>
      <c r="T61" s="10">
        <v>7998164</v>
      </c>
      <c r="U61" s="10">
        <v>8230218</v>
      </c>
      <c r="V61" s="10">
        <v>8469672</v>
      </c>
      <c r="W61" s="10">
        <v>8716553</v>
      </c>
      <c r="X61" s="10">
        <v>8971345</v>
      </c>
      <c r="Y61" s="10">
        <v>9234129</v>
      </c>
      <c r="Z61" s="10">
        <v>9504281</v>
      </c>
      <c r="AA61" s="10">
        <v>9780872</v>
      </c>
      <c r="AB61" s="10">
        <v>10063495</v>
      </c>
      <c r="AC61" s="10">
        <v>10352120</v>
      </c>
      <c r="AD61" s="10">
        <v>10647754</v>
      </c>
      <c r="AE61" s="10">
        <v>10952395</v>
      </c>
      <c r="AF61" s="10">
        <v>11268658</v>
      </c>
      <c r="AG61" s="10">
        <v>11598633</v>
      </c>
      <c r="AH61" s="10">
        <v>11942819</v>
      </c>
      <c r="AI61" s="10">
        <v>12301336</v>
      </c>
      <c r="AJ61" s="10">
        <v>12675460</v>
      </c>
      <c r="AK61" s="10">
        <v>13066543</v>
      </c>
      <c r="AL61" s="10">
        <v>13475400</v>
      </c>
      <c r="AM61" s="10">
        <v>13902688</v>
      </c>
      <c r="AN61" s="10">
        <v>14347854</v>
      </c>
      <c r="AO61" s="10">
        <v>14808791</v>
      </c>
      <c r="AP61" s="10">
        <v>15282521</v>
      </c>
      <c r="AQ61" s="10">
        <v>15766806</v>
      </c>
      <c r="AR61" s="10">
        <v>16260932</v>
      </c>
      <c r="AS61" s="10">
        <v>16765117</v>
      </c>
      <c r="AT61" s="10">
        <v>17279140</v>
      </c>
      <c r="AU61" s="10">
        <v>17802996</v>
      </c>
      <c r="AV61" s="10">
        <v>18336724</v>
      </c>
      <c r="AW61" s="10">
        <v>18880268</v>
      </c>
      <c r="AX61" s="10">
        <v>19433530</v>
      </c>
      <c r="AY61" s="10">
        <v>19996472</v>
      </c>
      <c r="AZ61" s="10">
        <v>20569116</v>
      </c>
      <c r="BA61" s="10">
        <v>21151640</v>
      </c>
      <c r="BB61" s="10">
        <v>21743968</v>
      </c>
      <c r="BC61" s="10">
        <v>22346640</v>
      </c>
      <c r="BD61" s="10">
        <v>22961252</v>
      </c>
      <c r="BE61" s="10">
        <v>23589888</v>
      </c>
      <c r="BF61" s="10">
        <v>24234088</v>
      </c>
      <c r="BG61" s="10">
        <v>24894380</v>
      </c>
      <c r="BH61" s="10">
        <v>25570540</v>
      </c>
      <c r="BI61" s="10">
        <v>26262368</v>
      </c>
      <c r="BJ61" s="10">
        <v>26969308</v>
      </c>
    </row>
    <row r="62" spans="1:62" x14ac:dyDescent="0.45">
      <c r="A62" t="s">
        <v>26</v>
      </c>
      <c r="B62" t="s">
        <v>134</v>
      </c>
      <c r="C62" s="10">
        <v>3659984</v>
      </c>
      <c r="D62" s="10">
        <v>3747753</v>
      </c>
      <c r="E62" s="10">
        <v>3839043</v>
      </c>
      <c r="F62" s="10">
        <v>3933908</v>
      </c>
      <c r="G62" s="10">
        <v>4032371</v>
      </c>
      <c r="H62" s="10">
        <v>4134460</v>
      </c>
      <c r="I62" s="10">
        <v>4240429</v>
      </c>
      <c r="J62" s="10">
        <v>4350452</v>
      </c>
      <c r="K62" s="10">
        <v>4464423</v>
      </c>
      <c r="L62" s="10">
        <v>4582198</v>
      </c>
      <c r="M62" s="10">
        <v>4703782</v>
      </c>
      <c r="N62" s="10">
        <v>4829090</v>
      </c>
      <c r="O62" s="10">
        <v>4958549</v>
      </c>
      <c r="P62" s="10">
        <v>5093363</v>
      </c>
      <c r="Q62" s="10">
        <v>5235073</v>
      </c>
      <c r="R62" s="10">
        <v>5384795</v>
      </c>
      <c r="S62" s="10">
        <v>5545651</v>
      </c>
      <c r="T62" s="10">
        <v>5717953</v>
      </c>
      <c r="U62" s="10">
        <v>5896865</v>
      </c>
      <c r="V62" s="10">
        <v>6075495</v>
      </c>
      <c r="W62" s="10">
        <v>6250440</v>
      </c>
      <c r="X62" s="10">
        <v>6412384</v>
      </c>
      <c r="Y62" s="10">
        <v>6565985</v>
      </c>
      <c r="Z62" s="10">
        <v>6737924</v>
      </c>
      <c r="AA62" s="10">
        <v>6964607</v>
      </c>
      <c r="AB62" s="10">
        <v>7268267</v>
      </c>
      <c r="AC62" s="10">
        <v>7666391</v>
      </c>
      <c r="AD62" s="10">
        <v>8141146</v>
      </c>
      <c r="AE62" s="10">
        <v>8636690</v>
      </c>
      <c r="AF62" s="10">
        <v>9075572</v>
      </c>
      <c r="AG62" s="10">
        <v>9404500</v>
      </c>
      <c r="AH62" s="10">
        <v>9600355</v>
      </c>
      <c r="AI62" s="10">
        <v>9685973</v>
      </c>
      <c r="AJ62" s="10">
        <v>9710331</v>
      </c>
      <c r="AK62" s="10">
        <v>9745690</v>
      </c>
      <c r="AL62" s="10">
        <v>9844415</v>
      </c>
      <c r="AM62" s="10">
        <v>10022789</v>
      </c>
      <c r="AN62" s="10">
        <v>10264906</v>
      </c>
      <c r="AO62" s="10">
        <v>10552338</v>
      </c>
      <c r="AP62" s="10">
        <v>10854322</v>
      </c>
      <c r="AQ62" s="10">
        <v>11148758</v>
      </c>
      <c r="AR62" s="10">
        <v>11432000</v>
      </c>
      <c r="AS62" s="10">
        <v>11713664</v>
      </c>
      <c r="AT62" s="10">
        <v>12000181</v>
      </c>
      <c r="AU62" s="10">
        <v>12301838</v>
      </c>
      <c r="AV62" s="10">
        <v>12625952</v>
      </c>
      <c r="AW62" s="10">
        <v>12973699</v>
      </c>
      <c r="AX62" s="10">
        <v>13341806</v>
      </c>
      <c r="AY62" s="10">
        <v>13727890</v>
      </c>
      <c r="AZ62" s="10">
        <v>14128155</v>
      </c>
      <c r="BA62" s="10">
        <v>14539612</v>
      </c>
      <c r="BB62" s="10">
        <v>14962112</v>
      </c>
      <c r="BC62" s="10">
        <v>15396005</v>
      </c>
      <c r="BD62" s="10">
        <v>15839269</v>
      </c>
      <c r="BE62" s="10">
        <v>16289540</v>
      </c>
      <c r="BF62" s="10">
        <v>16745303</v>
      </c>
      <c r="BG62" s="10">
        <v>17205288</v>
      </c>
      <c r="BH62" s="10">
        <v>17670260</v>
      </c>
      <c r="BI62" s="10">
        <v>18143316</v>
      </c>
      <c r="BJ62" s="10">
        <v>18628748</v>
      </c>
    </row>
    <row r="63" spans="1:62" x14ac:dyDescent="0.45">
      <c r="A63" t="s">
        <v>26</v>
      </c>
      <c r="B63" t="s">
        <v>135</v>
      </c>
      <c r="C63" s="10">
        <v>8156347</v>
      </c>
      <c r="D63" s="10">
        <v>8417824</v>
      </c>
      <c r="E63" s="10">
        <v>8692342</v>
      </c>
      <c r="F63" s="10">
        <v>8973788</v>
      </c>
      <c r="G63" s="10">
        <v>9253842</v>
      </c>
      <c r="H63" s="10">
        <v>9526558</v>
      </c>
      <c r="I63" s="10">
        <v>9790084</v>
      </c>
      <c r="J63" s="10">
        <v>10046325</v>
      </c>
      <c r="K63" s="10">
        <v>10297983</v>
      </c>
      <c r="L63" s="10">
        <v>10549399</v>
      </c>
      <c r="M63" s="10">
        <v>10804131</v>
      </c>
      <c r="N63" s="10">
        <v>11062433</v>
      </c>
      <c r="O63" s="10">
        <v>11324277</v>
      </c>
      <c r="P63" s="10">
        <v>11592638</v>
      </c>
      <c r="Q63" s="10">
        <v>11871104</v>
      </c>
      <c r="R63" s="10">
        <v>12162187</v>
      </c>
      <c r="S63" s="10">
        <v>12468689</v>
      </c>
      <c r="T63" s="10">
        <v>12790312</v>
      </c>
      <c r="U63" s="10">
        <v>13122839</v>
      </c>
      <c r="V63" s="10">
        <v>13460031</v>
      </c>
      <c r="W63" s="10">
        <v>13798085</v>
      </c>
      <c r="X63" s="10">
        <v>14134058</v>
      </c>
      <c r="Y63" s="10">
        <v>14471211</v>
      </c>
      <c r="Z63" s="10">
        <v>14819424</v>
      </c>
      <c r="AA63" s="10">
        <v>15192298</v>
      </c>
      <c r="AB63" s="10">
        <v>15598927</v>
      </c>
      <c r="AC63" s="10">
        <v>16043731</v>
      </c>
      <c r="AD63" s="10">
        <v>16522000</v>
      </c>
      <c r="AE63" s="10">
        <v>17022464</v>
      </c>
      <c r="AF63" s="10">
        <v>17528960</v>
      </c>
      <c r="AG63" s="10">
        <v>18029824</v>
      </c>
      <c r="AH63" s="10">
        <v>18519936</v>
      </c>
      <c r="AI63" s="10">
        <v>19002656</v>
      </c>
      <c r="AJ63" s="10">
        <v>19484898</v>
      </c>
      <c r="AK63" s="10">
        <v>19977500</v>
      </c>
      <c r="AL63" s="10">
        <v>20487608</v>
      </c>
      <c r="AM63" s="10">
        <v>21017612</v>
      </c>
      <c r="AN63" s="10">
        <v>21562792</v>
      </c>
      <c r="AO63" s="10">
        <v>22114654</v>
      </c>
      <c r="AP63" s="10">
        <v>22661298</v>
      </c>
      <c r="AQ63" s="10">
        <v>23194256</v>
      </c>
      <c r="AR63" s="10">
        <v>23709120</v>
      </c>
      <c r="AS63" s="10">
        <v>24208392</v>
      </c>
      <c r="AT63" s="10">
        <v>24698820</v>
      </c>
      <c r="AU63" s="10">
        <v>25190652</v>
      </c>
      <c r="AV63" s="10">
        <v>25690612</v>
      </c>
      <c r="AW63" s="10">
        <v>26201960</v>
      </c>
      <c r="AX63" s="10">
        <v>26720370</v>
      </c>
      <c r="AY63" s="10">
        <v>27236006</v>
      </c>
      <c r="AZ63" s="10">
        <v>27735040</v>
      </c>
      <c r="BA63" s="10">
        <v>28208036</v>
      </c>
      <c r="BB63" s="10">
        <v>28650956</v>
      </c>
      <c r="BC63" s="10">
        <v>29068160</v>
      </c>
      <c r="BD63" s="10">
        <v>29468872</v>
      </c>
      <c r="BE63" s="10">
        <v>29866560</v>
      </c>
      <c r="BF63" s="10">
        <v>30270962</v>
      </c>
      <c r="BG63" s="10">
        <v>30684804</v>
      </c>
      <c r="BH63" s="10">
        <v>31105028</v>
      </c>
      <c r="BI63" s="10">
        <v>31528584</v>
      </c>
      <c r="BJ63" s="10">
        <v>31949776</v>
      </c>
    </row>
    <row r="64" spans="1:62" x14ac:dyDescent="0.45">
      <c r="A64" t="s">
        <v>26</v>
      </c>
      <c r="B64" t="s">
        <v>136</v>
      </c>
      <c r="C64" s="10">
        <v>37771860</v>
      </c>
      <c r="D64" s="10">
        <v>38966056</v>
      </c>
      <c r="E64" s="10">
        <v>40195320</v>
      </c>
      <c r="F64" s="10">
        <v>41462368</v>
      </c>
      <c r="G64" s="10">
        <v>42771080</v>
      </c>
      <c r="H64" s="10">
        <v>44123852</v>
      </c>
      <c r="I64" s="10">
        <v>45519736</v>
      </c>
      <c r="J64" s="10">
        <v>46956208</v>
      </c>
      <c r="K64" s="10">
        <v>48431972</v>
      </c>
      <c r="L64" s="10">
        <v>49945280</v>
      </c>
      <c r="M64" s="10">
        <v>51493564</v>
      </c>
      <c r="N64" s="10">
        <v>53076372</v>
      </c>
      <c r="O64" s="10">
        <v>54689944</v>
      </c>
      <c r="P64" s="10">
        <v>56324304</v>
      </c>
      <c r="Q64" s="10">
        <v>57966804</v>
      </c>
      <c r="R64" s="10">
        <v>59607952</v>
      </c>
      <c r="S64" s="10">
        <v>61242192</v>
      </c>
      <c r="T64" s="10">
        <v>62869904</v>
      </c>
      <c r="U64" s="10">
        <v>64494868</v>
      </c>
      <c r="V64" s="10">
        <v>66123896</v>
      </c>
      <c r="W64" s="10">
        <v>67761376</v>
      </c>
      <c r="X64" s="10">
        <v>69407624</v>
      </c>
      <c r="Y64" s="10">
        <v>71058656</v>
      </c>
      <c r="Z64" s="10">
        <v>72709296</v>
      </c>
      <c r="AA64" s="10">
        <v>74352632</v>
      </c>
      <c r="AB64" s="10">
        <v>75983488</v>
      </c>
      <c r="AC64" s="10">
        <v>77599096</v>
      </c>
      <c r="AD64" s="10">
        <v>79200080</v>
      </c>
      <c r="AE64" s="10">
        <v>80788720</v>
      </c>
      <c r="AF64" s="10">
        <v>82368928</v>
      </c>
      <c r="AG64" s="10">
        <v>83943136</v>
      </c>
      <c r="AH64" s="10">
        <v>85512624</v>
      </c>
      <c r="AI64" s="10">
        <v>87075136</v>
      </c>
      <c r="AJ64" s="10">
        <v>88625440</v>
      </c>
      <c r="AK64" s="10">
        <v>90156400</v>
      </c>
      <c r="AL64" s="10">
        <v>91663288</v>
      </c>
      <c r="AM64" s="10">
        <v>93147040</v>
      </c>
      <c r="AN64" s="10">
        <v>94611000</v>
      </c>
      <c r="AO64" s="10">
        <v>96056320</v>
      </c>
      <c r="AP64" s="10">
        <v>97484832</v>
      </c>
      <c r="AQ64" s="10">
        <v>98899848</v>
      </c>
      <c r="AR64" s="10">
        <v>100298152</v>
      </c>
      <c r="AS64" s="10">
        <v>101684760</v>
      </c>
      <c r="AT64" s="10">
        <v>103081024</v>
      </c>
      <c r="AU64" s="10">
        <v>104514928</v>
      </c>
      <c r="AV64" s="10">
        <v>106005200</v>
      </c>
      <c r="AW64" s="10">
        <v>107560152</v>
      </c>
      <c r="AX64" s="10">
        <v>109170504</v>
      </c>
      <c r="AY64" s="10">
        <v>110815272</v>
      </c>
      <c r="AZ64" s="10">
        <v>112463888</v>
      </c>
      <c r="BA64" s="10">
        <v>114092960</v>
      </c>
      <c r="BB64" s="10">
        <v>115695472</v>
      </c>
      <c r="BC64" s="10">
        <v>117274152</v>
      </c>
      <c r="BD64" s="10">
        <v>118827160</v>
      </c>
      <c r="BE64" s="10">
        <v>120355128</v>
      </c>
      <c r="BF64" s="10">
        <v>121858256</v>
      </c>
      <c r="BG64" s="10">
        <v>123333376</v>
      </c>
      <c r="BH64" s="10">
        <v>124777328</v>
      </c>
      <c r="BI64" s="10">
        <v>126190784</v>
      </c>
      <c r="BJ64" s="10">
        <v>127575528</v>
      </c>
    </row>
    <row r="65" spans="1:62" x14ac:dyDescent="0.45">
      <c r="A65" t="s">
        <v>26</v>
      </c>
      <c r="B65" t="s">
        <v>137</v>
      </c>
      <c r="C65" s="10">
        <v>10105050</v>
      </c>
      <c r="D65" s="10">
        <v>10267264</v>
      </c>
      <c r="E65" s="10">
        <v>10433145</v>
      </c>
      <c r="F65" s="10">
        <v>10604621</v>
      </c>
      <c r="G65" s="10">
        <v>10783967</v>
      </c>
      <c r="H65" s="10">
        <v>10972912</v>
      </c>
      <c r="I65" s="10">
        <v>11172529</v>
      </c>
      <c r="J65" s="10">
        <v>11382967</v>
      </c>
      <c r="K65" s="10">
        <v>11603928</v>
      </c>
      <c r="L65" s="10">
        <v>11834654</v>
      </c>
      <c r="M65" s="10">
        <v>12074626</v>
      </c>
      <c r="N65" s="10">
        <v>12323982</v>
      </c>
      <c r="O65" s="10">
        <v>12583140</v>
      </c>
      <c r="P65" s="10">
        <v>12852206</v>
      </c>
      <c r="Q65" s="10">
        <v>13131260</v>
      </c>
      <c r="R65" s="10">
        <v>13420369</v>
      </c>
      <c r="S65" s="10">
        <v>13719471</v>
      </c>
      <c r="T65" s="10">
        <v>14028536</v>
      </c>
      <c r="U65" s="10">
        <v>14347641</v>
      </c>
      <c r="V65" s="10">
        <v>14676929</v>
      </c>
      <c r="W65" s="10">
        <v>15016402</v>
      </c>
      <c r="X65" s="10">
        <v>15367230</v>
      </c>
      <c r="Y65" s="10">
        <v>15729431</v>
      </c>
      <c r="Z65" s="10">
        <v>16100617</v>
      </c>
      <c r="AA65" s="10">
        <v>16477473</v>
      </c>
      <c r="AB65" s="10">
        <v>16858310</v>
      </c>
      <c r="AC65" s="10">
        <v>17239672</v>
      </c>
      <c r="AD65" s="10">
        <v>17623692</v>
      </c>
      <c r="AE65" s="10">
        <v>18020752</v>
      </c>
      <c r="AF65" s="10">
        <v>18445028</v>
      </c>
      <c r="AG65" s="10">
        <v>18905478</v>
      </c>
      <c r="AH65" s="10">
        <v>19405504</v>
      </c>
      <c r="AI65" s="10">
        <v>19938320</v>
      </c>
      <c r="AJ65" s="10">
        <v>20489976</v>
      </c>
      <c r="AK65" s="10">
        <v>21040904</v>
      </c>
      <c r="AL65" s="10">
        <v>21576072</v>
      </c>
      <c r="AM65" s="10">
        <v>22090352</v>
      </c>
      <c r="AN65" s="10">
        <v>22584776</v>
      </c>
      <c r="AO65" s="10">
        <v>23057884</v>
      </c>
      <c r="AP65" s="10">
        <v>23509964</v>
      </c>
      <c r="AQ65" s="10">
        <v>23941110</v>
      </c>
      <c r="AR65" s="10">
        <v>24347106</v>
      </c>
      <c r="AS65" s="10">
        <v>24725628</v>
      </c>
      <c r="AT65" s="10">
        <v>25080872</v>
      </c>
      <c r="AU65" s="10">
        <v>25419344</v>
      </c>
      <c r="AV65" s="10">
        <v>25744500</v>
      </c>
      <c r="AW65" s="10">
        <v>26066692</v>
      </c>
      <c r="AX65" s="10">
        <v>26382580</v>
      </c>
      <c r="AY65" s="10">
        <v>26666576</v>
      </c>
      <c r="AZ65" s="10">
        <v>26883536</v>
      </c>
      <c r="BA65" s="10">
        <v>27013212</v>
      </c>
      <c r="BB65" s="10">
        <v>27041436</v>
      </c>
      <c r="BC65" s="10">
        <v>26989862</v>
      </c>
      <c r="BD65" s="10">
        <v>26917906</v>
      </c>
      <c r="BE65" s="10">
        <v>26906926</v>
      </c>
      <c r="BF65" s="10">
        <v>27015032</v>
      </c>
      <c r="BG65" s="10">
        <v>27261132</v>
      </c>
      <c r="BH65" s="10">
        <v>27627124</v>
      </c>
      <c r="BI65" s="10">
        <v>28087872</v>
      </c>
      <c r="BJ65" s="10">
        <v>28608710</v>
      </c>
    </row>
    <row r="66" spans="1:62" x14ac:dyDescent="0.45">
      <c r="A66" t="s">
        <v>26</v>
      </c>
      <c r="B66" t="s">
        <v>138</v>
      </c>
      <c r="C66" s="10">
        <v>1773129</v>
      </c>
      <c r="D66" s="10">
        <v>1829778</v>
      </c>
      <c r="E66" s="10">
        <v>1887425</v>
      </c>
      <c r="F66" s="10">
        <v>1946234</v>
      </c>
      <c r="G66" s="10">
        <v>2006481</v>
      </c>
      <c r="H66" s="10">
        <v>2068381</v>
      </c>
      <c r="I66" s="10">
        <v>2131976</v>
      </c>
      <c r="J66" s="10">
        <v>2197298</v>
      </c>
      <c r="K66" s="10">
        <v>2264623</v>
      </c>
      <c r="L66" s="10">
        <v>2334279</v>
      </c>
      <c r="M66" s="10">
        <v>2406513</v>
      </c>
      <c r="N66" s="10">
        <v>2481341</v>
      </c>
      <c r="O66" s="10">
        <v>2558699</v>
      </c>
      <c r="P66" s="10">
        <v>2638699</v>
      </c>
      <c r="Q66" s="10">
        <v>2721415</v>
      </c>
      <c r="R66" s="10">
        <v>2806857</v>
      </c>
      <c r="S66" s="10">
        <v>2894972</v>
      </c>
      <c r="T66" s="10">
        <v>2985489</v>
      </c>
      <c r="U66" s="10">
        <v>3077866</v>
      </c>
      <c r="V66" s="10">
        <v>3171408</v>
      </c>
      <c r="W66" s="10">
        <v>3265519</v>
      </c>
      <c r="X66" s="10">
        <v>3360140</v>
      </c>
      <c r="Y66" s="10">
        <v>3455123</v>
      </c>
      <c r="Z66" s="10">
        <v>3549711</v>
      </c>
      <c r="AA66" s="10">
        <v>3642976</v>
      </c>
      <c r="AB66" s="10">
        <v>3734341</v>
      </c>
      <c r="AC66" s="10">
        <v>3823130</v>
      </c>
      <c r="AD66" s="10">
        <v>3909671</v>
      </c>
      <c r="AE66" s="10">
        <v>3995533</v>
      </c>
      <c r="AF66" s="10">
        <v>4082958</v>
      </c>
      <c r="AG66" s="10">
        <v>4173434</v>
      </c>
      <c r="AH66" s="10">
        <v>4267568</v>
      </c>
      <c r="AI66" s="10">
        <v>4364512</v>
      </c>
      <c r="AJ66" s="10">
        <v>4462497</v>
      </c>
      <c r="AK66" s="10">
        <v>4559006</v>
      </c>
      <c r="AL66" s="10">
        <v>4652185</v>
      </c>
      <c r="AM66" s="10">
        <v>4741578</v>
      </c>
      <c r="AN66" s="10">
        <v>4827661</v>
      </c>
      <c r="AO66" s="10">
        <v>4910647</v>
      </c>
      <c r="AP66" s="10">
        <v>4991040</v>
      </c>
      <c r="AQ66" s="10">
        <v>5069302</v>
      </c>
      <c r="AR66" s="10">
        <v>5145366</v>
      </c>
      <c r="AS66" s="10">
        <v>5219328</v>
      </c>
      <c r="AT66" s="10">
        <v>5292118</v>
      </c>
      <c r="AU66" s="10">
        <v>5364935</v>
      </c>
      <c r="AV66" s="10">
        <v>5438690</v>
      </c>
      <c r="AW66" s="10">
        <v>5513763</v>
      </c>
      <c r="AX66" s="10">
        <v>5590055</v>
      </c>
      <c r="AY66" s="10">
        <v>5667432</v>
      </c>
      <c r="AZ66" s="10">
        <v>5745526</v>
      </c>
      <c r="BA66" s="10">
        <v>5824065</v>
      </c>
      <c r="BB66" s="10">
        <v>5903039</v>
      </c>
      <c r="BC66" s="10">
        <v>5982526</v>
      </c>
      <c r="BD66" s="10">
        <v>6062454</v>
      </c>
      <c r="BE66" s="10">
        <v>6142733</v>
      </c>
      <c r="BF66" s="10">
        <v>6223240</v>
      </c>
      <c r="BG66" s="10">
        <v>6303974</v>
      </c>
      <c r="BH66" s="10">
        <v>6384855</v>
      </c>
      <c r="BI66" s="10">
        <v>6465513</v>
      </c>
      <c r="BJ66" s="10">
        <v>6545502</v>
      </c>
    </row>
    <row r="67" spans="1:62" x14ac:dyDescent="0.45">
      <c r="A67" t="s">
        <v>26</v>
      </c>
      <c r="B67" t="s">
        <v>139</v>
      </c>
      <c r="C67" s="10">
        <v>3388764</v>
      </c>
      <c r="D67" s="10">
        <v>3486326</v>
      </c>
      <c r="E67" s="10">
        <v>3588228</v>
      </c>
      <c r="F67" s="10">
        <v>3693980</v>
      </c>
      <c r="G67" s="10">
        <v>3802803</v>
      </c>
      <c r="H67" s="10">
        <v>3914117</v>
      </c>
      <c r="I67" s="10">
        <v>4027963</v>
      </c>
      <c r="J67" s="10">
        <v>4144592</v>
      </c>
      <c r="K67" s="10">
        <v>4263927</v>
      </c>
      <c r="L67" s="10">
        <v>4385927</v>
      </c>
      <c r="M67" s="10">
        <v>4510644</v>
      </c>
      <c r="N67" s="10">
        <v>4637988</v>
      </c>
      <c r="O67" s="10">
        <v>4768227</v>
      </c>
      <c r="P67" s="10">
        <v>4902151</v>
      </c>
      <c r="Q67" s="10">
        <v>5040798</v>
      </c>
      <c r="R67" s="10">
        <v>5184941</v>
      </c>
      <c r="S67" s="10">
        <v>5335085</v>
      </c>
      <c r="T67" s="10">
        <v>5491153</v>
      </c>
      <c r="U67" s="10">
        <v>5652652</v>
      </c>
      <c r="V67" s="10">
        <v>5818763</v>
      </c>
      <c r="W67" s="10">
        <v>5989004</v>
      </c>
      <c r="X67" s="10">
        <v>6163705</v>
      </c>
      <c r="Y67" s="10">
        <v>6343523</v>
      </c>
      <c r="Z67" s="10">
        <v>6528641</v>
      </c>
      <c r="AA67" s="10">
        <v>6719309</v>
      </c>
      <c r="AB67" s="10">
        <v>6915997</v>
      </c>
      <c r="AC67" s="10">
        <v>7118883</v>
      </c>
      <c r="AD67" s="10">
        <v>7328943</v>
      </c>
      <c r="AE67" s="10">
        <v>7548433</v>
      </c>
      <c r="AF67" s="10">
        <v>7780245</v>
      </c>
      <c r="AG67" s="10">
        <v>8026591</v>
      </c>
      <c r="AH67" s="10">
        <v>8288735</v>
      </c>
      <c r="AI67" s="10">
        <v>8566770</v>
      </c>
      <c r="AJ67" s="10">
        <v>8860287</v>
      </c>
      <c r="AK67" s="10">
        <v>9168312</v>
      </c>
      <c r="AL67" s="10">
        <v>9490288</v>
      </c>
      <c r="AM67" s="10">
        <v>9826598</v>
      </c>
      <c r="AN67" s="10">
        <v>10178201</v>
      </c>
      <c r="AO67" s="10">
        <v>10545716</v>
      </c>
      <c r="AP67" s="10">
        <v>10929918</v>
      </c>
      <c r="AQ67" s="10">
        <v>11331557</v>
      </c>
      <c r="AR67" s="10">
        <v>11751365</v>
      </c>
      <c r="AS67" s="10">
        <v>12189983</v>
      </c>
      <c r="AT67" s="10">
        <v>12647984</v>
      </c>
      <c r="AU67" s="10">
        <v>13125916</v>
      </c>
      <c r="AV67" s="10">
        <v>13624467</v>
      </c>
      <c r="AW67" s="10">
        <v>14143971</v>
      </c>
      <c r="AX67" s="10">
        <v>14685399</v>
      </c>
      <c r="AY67" s="10">
        <v>15250908</v>
      </c>
      <c r="AZ67" s="10">
        <v>15843133</v>
      </c>
      <c r="BA67" s="10">
        <v>16464025</v>
      </c>
      <c r="BB67" s="10">
        <v>17114760</v>
      </c>
      <c r="BC67" s="10">
        <v>17795192</v>
      </c>
      <c r="BD67" s="10">
        <v>18504256</v>
      </c>
      <c r="BE67" s="10">
        <v>19240156</v>
      </c>
      <c r="BF67" s="10">
        <v>20001664</v>
      </c>
      <c r="BG67" s="10">
        <v>20788838</v>
      </c>
      <c r="BH67" s="10">
        <v>21602472</v>
      </c>
      <c r="BI67" s="10">
        <v>22442948</v>
      </c>
      <c r="BJ67" s="10">
        <v>23310716</v>
      </c>
    </row>
    <row r="68" spans="1:62" x14ac:dyDescent="0.45">
      <c r="A68" t="s">
        <v>26</v>
      </c>
      <c r="B68" t="s">
        <v>140</v>
      </c>
      <c r="C68" s="10">
        <v>45138456</v>
      </c>
      <c r="D68" s="10">
        <v>46063564</v>
      </c>
      <c r="E68" s="10">
        <v>47029824</v>
      </c>
      <c r="F68" s="10">
        <v>48032936</v>
      </c>
      <c r="G68" s="10">
        <v>49066760</v>
      </c>
      <c r="H68" s="10">
        <v>50127920</v>
      </c>
      <c r="I68" s="10">
        <v>51217972</v>
      </c>
      <c r="J68" s="10">
        <v>52342232</v>
      </c>
      <c r="K68" s="10">
        <v>53506196</v>
      </c>
      <c r="L68" s="10">
        <v>54717040</v>
      </c>
      <c r="M68" s="10">
        <v>55982144</v>
      </c>
      <c r="N68" s="10">
        <v>57296984</v>
      </c>
      <c r="O68" s="10">
        <v>58665808</v>
      </c>
      <c r="P68" s="10">
        <v>60114624</v>
      </c>
      <c r="Q68" s="10">
        <v>61677176</v>
      </c>
      <c r="R68" s="10">
        <v>63374296</v>
      </c>
      <c r="S68" s="10">
        <v>65221376</v>
      </c>
      <c r="T68" s="10">
        <v>67203128</v>
      </c>
      <c r="U68" s="10">
        <v>69271920</v>
      </c>
      <c r="V68" s="10">
        <v>71361128</v>
      </c>
      <c r="W68" s="10">
        <v>73423632</v>
      </c>
      <c r="X68" s="10">
        <v>75440504</v>
      </c>
      <c r="Y68" s="10">
        <v>77427544</v>
      </c>
      <c r="Z68" s="10">
        <v>79414840</v>
      </c>
      <c r="AA68" s="10">
        <v>81448752</v>
      </c>
      <c r="AB68" s="10">
        <v>83562784</v>
      </c>
      <c r="AC68" s="10">
        <v>85766400</v>
      </c>
      <c r="AD68" s="10">
        <v>88048032</v>
      </c>
      <c r="AE68" s="10">
        <v>90395272</v>
      </c>
      <c r="AF68" s="10">
        <v>92788024</v>
      </c>
      <c r="AG68" s="10">
        <v>95212448</v>
      </c>
      <c r="AH68" s="10">
        <v>97667632</v>
      </c>
      <c r="AI68" s="10">
        <v>100161712</v>
      </c>
      <c r="AJ68" s="10">
        <v>102700752</v>
      </c>
      <c r="AK68" s="10">
        <v>105293696</v>
      </c>
      <c r="AL68" s="10">
        <v>107948336</v>
      </c>
      <c r="AM68" s="10">
        <v>110668792</v>
      </c>
      <c r="AN68" s="10">
        <v>113457664</v>
      </c>
      <c r="AO68" s="10">
        <v>116319760</v>
      </c>
      <c r="AP68" s="10">
        <v>119260064</v>
      </c>
      <c r="AQ68" s="10">
        <v>122283848</v>
      </c>
      <c r="AR68" s="10">
        <v>125394048</v>
      </c>
      <c r="AS68" s="10">
        <v>128596080</v>
      </c>
      <c r="AT68" s="10">
        <v>131900632</v>
      </c>
      <c r="AU68" s="10">
        <v>135320416</v>
      </c>
      <c r="AV68" s="10">
        <v>138865024</v>
      </c>
      <c r="AW68" s="10">
        <v>142538304</v>
      </c>
      <c r="AX68" s="10">
        <v>146339984</v>
      </c>
      <c r="AY68" s="10">
        <v>150269616</v>
      </c>
      <c r="AZ68" s="10">
        <v>154324928</v>
      </c>
      <c r="BA68" s="10">
        <v>158503200</v>
      </c>
      <c r="BB68" s="10">
        <v>162805072</v>
      </c>
      <c r="BC68" s="10">
        <v>167228768</v>
      </c>
      <c r="BD68" s="10">
        <v>171765776</v>
      </c>
      <c r="BE68" s="10">
        <v>176404896</v>
      </c>
      <c r="BF68" s="10">
        <v>181137440</v>
      </c>
      <c r="BG68" s="10">
        <v>185960288</v>
      </c>
      <c r="BH68" s="10">
        <v>190873312</v>
      </c>
      <c r="BI68" s="10">
        <v>195874736</v>
      </c>
      <c r="BJ68" s="10">
        <v>200963600</v>
      </c>
    </row>
    <row r="69" spans="1:62" x14ac:dyDescent="0.45">
      <c r="A69" t="s">
        <v>26</v>
      </c>
      <c r="B69" t="s">
        <v>141</v>
      </c>
      <c r="C69" s="10">
        <v>44988688</v>
      </c>
      <c r="D69" s="10">
        <v>46065232</v>
      </c>
      <c r="E69" s="10">
        <v>47198880</v>
      </c>
      <c r="F69" s="10">
        <v>48387300</v>
      </c>
      <c r="G69" s="10">
        <v>49627624</v>
      </c>
      <c r="H69" s="10">
        <v>50917976</v>
      </c>
      <c r="I69" s="10">
        <v>52260188</v>
      </c>
      <c r="J69" s="10">
        <v>53655788</v>
      </c>
      <c r="K69" s="10">
        <v>55102684</v>
      </c>
      <c r="L69" s="10">
        <v>56598144</v>
      </c>
      <c r="M69" s="10">
        <v>58142060</v>
      </c>
      <c r="N69" s="10">
        <v>59734480</v>
      </c>
      <c r="O69" s="10">
        <v>61381988</v>
      </c>
      <c r="P69" s="10">
        <v>63099408</v>
      </c>
      <c r="Q69" s="10">
        <v>64906000</v>
      </c>
      <c r="R69" s="10">
        <v>66816876</v>
      </c>
      <c r="S69" s="10">
        <v>68834328</v>
      </c>
      <c r="T69" s="10">
        <v>70958168</v>
      </c>
      <c r="U69" s="10">
        <v>73197256</v>
      </c>
      <c r="V69" s="10">
        <v>75561128</v>
      </c>
      <c r="W69" s="10">
        <v>78054344</v>
      </c>
      <c r="X69" s="10">
        <v>80680456</v>
      </c>
      <c r="Y69" s="10">
        <v>83431608</v>
      </c>
      <c r="Z69" s="10">
        <v>86285936</v>
      </c>
      <c r="AA69" s="10">
        <v>89213704</v>
      </c>
      <c r="AB69" s="10">
        <v>92191512</v>
      </c>
      <c r="AC69" s="10">
        <v>95215376</v>
      </c>
      <c r="AD69" s="10">
        <v>98285752</v>
      </c>
      <c r="AE69" s="10">
        <v>101389600</v>
      </c>
      <c r="AF69" s="10">
        <v>104512880</v>
      </c>
      <c r="AG69" s="10">
        <v>107647920</v>
      </c>
      <c r="AH69" s="10">
        <v>110778648</v>
      </c>
      <c r="AI69" s="10">
        <v>113911128</v>
      </c>
      <c r="AJ69" s="10">
        <v>117086688</v>
      </c>
      <c r="AK69" s="10">
        <v>120362760</v>
      </c>
      <c r="AL69" s="10">
        <v>123776840</v>
      </c>
      <c r="AM69" s="10">
        <v>127349288</v>
      </c>
      <c r="AN69" s="10">
        <v>131057432</v>
      </c>
      <c r="AO69" s="10">
        <v>134843232</v>
      </c>
      <c r="AP69" s="10">
        <v>138624624</v>
      </c>
      <c r="AQ69" s="10">
        <v>142343584</v>
      </c>
      <c r="AR69" s="10">
        <v>145978400</v>
      </c>
      <c r="AS69" s="10">
        <v>149549696</v>
      </c>
      <c r="AT69" s="10">
        <v>153093376</v>
      </c>
      <c r="AU69" s="10">
        <v>156664704</v>
      </c>
      <c r="AV69" s="10">
        <v>160304000</v>
      </c>
      <c r="AW69" s="10">
        <v>164022624</v>
      </c>
      <c r="AX69" s="10">
        <v>167808112</v>
      </c>
      <c r="AY69" s="10">
        <v>171648992</v>
      </c>
      <c r="AZ69" s="10">
        <v>175525616</v>
      </c>
      <c r="BA69" s="10">
        <v>179424640</v>
      </c>
      <c r="BB69" s="10">
        <v>183340592</v>
      </c>
      <c r="BC69" s="10">
        <v>187281472</v>
      </c>
      <c r="BD69" s="10">
        <v>191262912</v>
      </c>
      <c r="BE69" s="10">
        <v>195306832</v>
      </c>
      <c r="BF69" s="10">
        <v>199426960</v>
      </c>
      <c r="BG69" s="10">
        <v>203627280</v>
      </c>
      <c r="BH69" s="10">
        <v>207896688</v>
      </c>
      <c r="BI69" s="10">
        <v>212215024</v>
      </c>
      <c r="BJ69" s="10">
        <v>216565312</v>
      </c>
    </row>
    <row r="70" spans="1:62" x14ac:dyDescent="0.45">
      <c r="A70" t="s">
        <v>26</v>
      </c>
      <c r="B70" t="s">
        <v>142</v>
      </c>
      <c r="C70" s="10">
        <v>1132997</v>
      </c>
      <c r="D70" s="10">
        <v>1167113</v>
      </c>
      <c r="E70" s="10">
        <v>1202449</v>
      </c>
      <c r="F70" s="10">
        <v>1238889</v>
      </c>
      <c r="G70" s="10">
        <v>1276331</v>
      </c>
      <c r="H70" s="10">
        <v>1314677</v>
      </c>
      <c r="I70" s="10">
        <v>1353842</v>
      </c>
      <c r="J70" s="10">
        <v>1393825</v>
      </c>
      <c r="K70" s="10">
        <v>1434669</v>
      </c>
      <c r="L70" s="10">
        <v>1476481</v>
      </c>
      <c r="M70" s="10">
        <v>1519285</v>
      </c>
      <c r="N70" s="10">
        <v>1563093</v>
      </c>
      <c r="O70" s="10">
        <v>1607796</v>
      </c>
      <c r="P70" s="10">
        <v>1653212</v>
      </c>
      <c r="Q70" s="10">
        <v>1699054</v>
      </c>
      <c r="R70" s="10">
        <v>1745138</v>
      </c>
      <c r="S70" s="10">
        <v>1791380</v>
      </c>
      <c r="T70" s="10">
        <v>1837800</v>
      </c>
      <c r="U70" s="10">
        <v>1884424</v>
      </c>
      <c r="V70" s="10">
        <v>1931304</v>
      </c>
      <c r="W70" s="10">
        <v>1978487</v>
      </c>
      <c r="X70" s="10">
        <v>2025971</v>
      </c>
      <c r="Y70" s="10">
        <v>2073757</v>
      </c>
      <c r="Z70" s="10">
        <v>2121860</v>
      </c>
      <c r="AA70" s="10">
        <v>2170325</v>
      </c>
      <c r="AB70" s="10">
        <v>2219201</v>
      </c>
      <c r="AC70" s="10">
        <v>2268500</v>
      </c>
      <c r="AD70" s="10">
        <v>2318264</v>
      </c>
      <c r="AE70" s="10">
        <v>2368551</v>
      </c>
      <c r="AF70" s="10">
        <v>2419426</v>
      </c>
      <c r="AG70" s="10">
        <v>2470947</v>
      </c>
      <c r="AH70" s="10">
        <v>2523118</v>
      </c>
      <c r="AI70" s="10">
        <v>2575954</v>
      </c>
      <c r="AJ70" s="10">
        <v>2629580</v>
      </c>
      <c r="AK70" s="10">
        <v>2684116</v>
      </c>
      <c r="AL70" s="10">
        <v>2739668</v>
      </c>
      <c r="AM70" s="10">
        <v>2796291</v>
      </c>
      <c r="AN70" s="10">
        <v>2853913</v>
      </c>
      <c r="AO70" s="10">
        <v>2912316</v>
      </c>
      <c r="AP70" s="10">
        <v>2971196</v>
      </c>
      <c r="AQ70" s="10">
        <v>3030328</v>
      </c>
      <c r="AR70" s="10">
        <v>3089648</v>
      </c>
      <c r="AS70" s="10">
        <v>3149188</v>
      </c>
      <c r="AT70" s="10">
        <v>3209048</v>
      </c>
      <c r="AU70" s="10">
        <v>3269356</v>
      </c>
      <c r="AV70" s="10">
        <v>3330217</v>
      </c>
      <c r="AW70" s="10">
        <v>3391666</v>
      </c>
      <c r="AX70" s="10">
        <v>3453675</v>
      </c>
      <c r="AY70" s="10">
        <v>3516204</v>
      </c>
      <c r="AZ70" s="10">
        <v>3579215</v>
      </c>
      <c r="BA70" s="10">
        <v>3642687</v>
      </c>
      <c r="BB70" s="10">
        <v>3706483</v>
      </c>
      <c r="BC70" s="10">
        <v>3770624</v>
      </c>
      <c r="BD70" s="10">
        <v>3835437</v>
      </c>
      <c r="BE70" s="10">
        <v>3901315</v>
      </c>
      <c r="BF70" s="10">
        <v>3968487</v>
      </c>
      <c r="BG70" s="10">
        <v>4037078</v>
      </c>
      <c r="BH70" s="10">
        <v>4106771</v>
      </c>
      <c r="BI70" s="10">
        <v>4176873</v>
      </c>
      <c r="BJ70" s="10">
        <v>4246439</v>
      </c>
    </row>
    <row r="71" spans="1:62" x14ac:dyDescent="0.45">
      <c r="A71" t="s">
        <v>26</v>
      </c>
      <c r="B71" t="s">
        <v>143</v>
      </c>
      <c r="C71" s="10">
        <v>2255859</v>
      </c>
      <c r="D71" s="10">
        <v>2297059</v>
      </c>
      <c r="E71" s="10">
        <v>2340352</v>
      </c>
      <c r="F71" s="10">
        <v>2385946</v>
      </c>
      <c r="G71" s="10">
        <v>2434223</v>
      </c>
      <c r="H71" s="10">
        <v>2485437</v>
      </c>
      <c r="I71" s="10">
        <v>2539674</v>
      </c>
      <c r="J71" s="10">
        <v>2596820</v>
      </c>
      <c r="K71" s="10">
        <v>2656633</v>
      </c>
      <c r="L71" s="10">
        <v>2718811</v>
      </c>
      <c r="M71" s="10">
        <v>2783121</v>
      </c>
      <c r="N71" s="10">
        <v>2849532</v>
      </c>
      <c r="O71" s="10">
        <v>2918139</v>
      </c>
      <c r="P71" s="10">
        <v>2989202</v>
      </c>
      <c r="Q71" s="10">
        <v>3063049</v>
      </c>
      <c r="R71" s="10">
        <v>3139945</v>
      </c>
      <c r="S71" s="10">
        <v>3219829</v>
      </c>
      <c r="T71" s="10">
        <v>3302633</v>
      </c>
      <c r="U71" s="10">
        <v>3388618</v>
      </c>
      <c r="V71" s="10">
        <v>3478100</v>
      </c>
      <c r="W71" s="10">
        <v>3571205</v>
      </c>
      <c r="X71" s="10">
        <v>3668104</v>
      </c>
      <c r="Y71" s="10">
        <v>3768483</v>
      </c>
      <c r="Z71" s="10">
        <v>3871492</v>
      </c>
      <c r="AA71" s="10">
        <v>3975956</v>
      </c>
      <c r="AB71" s="10">
        <v>4081030</v>
      </c>
      <c r="AC71" s="10">
        <v>4186499</v>
      </c>
      <c r="AD71" s="10">
        <v>4292563</v>
      </c>
      <c r="AE71" s="10">
        <v>4399324</v>
      </c>
      <c r="AF71" s="10">
        <v>4506991</v>
      </c>
      <c r="AG71" s="10">
        <v>4615839</v>
      </c>
      <c r="AH71" s="10">
        <v>4725547</v>
      </c>
      <c r="AI71" s="10">
        <v>4836217</v>
      </c>
      <c r="AJ71" s="10">
        <v>4949051</v>
      </c>
      <c r="AK71" s="10">
        <v>5065661</v>
      </c>
      <c r="AL71" s="10">
        <v>5187060</v>
      </c>
      <c r="AM71" s="10">
        <v>5314248</v>
      </c>
      <c r="AN71" s="10">
        <v>5446641</v>
      </c>
      <c r="AO71" s="10">
        <v>5581762</v>
      </c>
      <c r="AP71" s="10">
        <v>5716161</v>
      </c>
      <c r="AQ71" s="10">
        <v>5847586</v>
      </c>
      <c r="AR71" s="10">
        <v>5974629</v>
      </c>
      <c r="AS71" s="10">
        <v>6098621</v>
      </c>
      <c r="AT71" s="10">
        <v>6223377</v>
      </c>
      <c r="AU71" s="10">
        <v>6354245</v>
      </c>
      <c r="AV71" s="10">
        <v>6494903</v>
      </c>
      <c r="AW71" s="10">
        <v>6646895</v>
      </c>
      <c r="AX71" s="10">
        <v>6808514</v>
      </c>
      <c r="AY71" s="10">
        <v>6976201</v>
      </c>
      <c r="AZ71" s="10">
        <v>7144776</v>
      </c>
      <c r="BA71" s="10">
        <v>7310507</v>
      </c>
      <c r="BB71" s="10">
        <v>7472200</v>
      </c>
      <c r="BC71" s="10">
        <v>7631002</v>
      </c>
      <c r="BD71" s="10">
        <v>7788379</v>
      </c>
      <c r="BE71" s="10">
        <v>7946731</v>
      </c>
      <c r="BF71" s="10">
        <v>8107775</v>
      </c>
      <c r="BG71" s="10">
        <v>8271760</v>
      </c>
      <c r="BH71" s="10">
        <v>8438029</v>
      </c>
      <c r="BI71" s="10">
        <v>8606316</v>
      </c>
      <c r="BJ71" s="10">
        <v>8776109</v>
      </c>
    </row>
    <row r="72" spans="1:62" x14ac:dyDescent="0.45">
      <c r="A72" t="s">
        <v>26</v>
      </c>
      <c r="B72" t="s">
        <v>144</v>
      </c>
      <c r="C72" s="10">
        <v>10155015</v>
      </c>
      <c r="D72" s="10">
        <v>10446620</v>
      </c>
      <c r="E72" s="10">
        <v>10749466</v>
      </c>
      <c r="F72" s="10">
        <v>11062300</v>
      </c>
      <c r="G72" s="10">
        <v>11383373</v>
      </c>
      <c r="H72" s="10">
        <v>11711392</v>
      </c>
      <c r="I72" s="10">
        <v>12045787</v>
      </c>
      <c r="J72" s="10">
        <v>12386879</v>
      </c>
      <c r="K72" s="10">
        <v>12735486</v>
      </c>
      <c r="L72" s="10">
        <v>13092852</v>
      </c>
      <c r="M72" s="10">
        <v>13459794</v>
      </c>
      <c r="N72" s="10">
        <v>13836367</v>
      </c>
      <c r="O72" s="10">
        <v>14221961</v>
      </c>
      <c r="P72" s="10">
        <v>14615845</v>
      </c>
      <c r="Q72" s="10">
        <v>15017055</v>
      </c>
      <c r="R72" s="10">
        <v>15424744</v>
      </c>
      <c r="S72" s="10">
        <v>15838572</v>
      </c>
      <c r="T72" s="10">
        <v>16258321</v>
      </c>
      <c r="U72" s="10">
        <v>16683456</v>
      </c>
      <c r="V72" s="10">
        <v>17113388</v>
      </c>
      <c r="W72" s="10">
        <v>17547610</v>
      </c>
      <c r="X72" s="10">
        <v>17985392</v>
      </c>
      <c r="Y72" s="10">
        <v>18426416</v>
      </c>
      <c r="Z72" s="10">
        <v>18870992</v>
      </c>
      <c r="AA72" s="10">
        <v>19319746</v>
      </c>
      <c r="AB72" s="10">
        <v>19772872</v>
      </c>
      <c r="AC72" s="10">
        <v>20230384</v>
      </c>
      <c r="AD72" s="10">
        <v>20691284</v>
      </c>
      <c r="AE72" s="10">
        <v>21153460</v>
      </c>
      <c r="AF72" s="10">
        <v>21614192</v>
      </c>
      <c r="AG72" s="10">
        <v>22071432</v>
      </c>
      <c r="AH72" s="10">
        <v>22522378</v>
      </c>
      <c r="AI72" s="10">
        <v>22966818</v>
      </c>
      <c r="AJ72" s="10">
        <v>23408132</v>
      </c>
      <c r="AK72" s="10">
        <v>23851408</v>
      </c>
      <c r="AL72" s="10">
        <v>24299160</v>
      </c>
      <c r="AM72" s="10">
        <v>24753824</v>
      </c>
      <c r="AN72" s="10">
        <v>25210954</v>
      </c>
      <c r="AO72" s="10">
        <v>25658062</v>
      </c>
      <c r="AP72" s="10">
        <v>26078292</v>
      </c>
      <c r="AQ72" s="10">
        <v>26459944</v>
      </c>
      <c r="AR72" s="10">
        <v>26799284</v>
      </c>
      <c r="AS72" s="10">
        <v>27100968</v>
      </c>
      <c r="AT72" s="10">
        <v>27372226</v>
      </c>
      <c r="AU72" s="10">
        <v>27624212</v>
      </c>
      <c r="AV72" s="10">
        <v>27866144</v>
      </c>
      <c r="AW72" s="10">
        <v>28102056</v>
      </c>
      <c r="AX72" s="10">
        <v>28333052</v>
      </c>
      <c r="AY72" s="10">
        <v>28562316</v>
      </c>
      <c r="AZ72" s="10">
        <v>28792656</v>
      </c>
      <c r="BA72" s="10">
        <v>29027674</v>
      </c>
      <c r="BB72" s="10">
        <v>29264318</v>
      </c>
      <c r="BC72" s="10">
        <v>29506788</v>
      </c>
      <c r="BD72" s="10">
        <v>29773988</v>
      </c>
      <c r="BE72" s="10">
        <v>30090360</v>
      </c>
      <c r="BF72" s="10">
        <v>30470734</v>
      </c>
      <c r="BG72" s="10">
        <v>30926032</v>
      </c>
      <c r="BH72" s="10">
        <v>31444296</v>
      </c>
      <c r="BI72" s="10">
        <v>31989256</v>
      </c>
      <c r="BJ72" s="10">
        <v>32510452</v>
      </c>
    </row>
    <row r="73" spans="1:62" x14ac:dyDescent="0.45">
      <c r="A73" t="s">
        <v>26</v>
      </c>
      <c r="B73" t="s">
        <v>145</v>
      </c>
      <c r="C73" s="10">
        <v>26269734</v>
      </c>
      <c r="D73" s="10">
        <v>27161048</v>
      </c>
      <c r="E73" s="10">
        <v>28077340</v>
      </c>
      <c r="F73" s="10">
        <v>29012624</v>
      </c>
      <c r="G73" s="10">
        <v>29958688</v>
      </c>
      <c r="H73" s="10">
        <v>30909988</v>
      </c>
      <c r="I73" s="10">
        <v>31864182</v>
      </c>
      <c r="J73" s="10">
        <v>32823968</v>
      </c>
      <c r="K73" s="10">
        <v>33795192</v>
      </c>
      <c r="L73" s="10">
        <v>34786304</v>
      </c>
      <c r="M73" s="10">
        <v>35803592</v>
      </c>
      <c r="N73" s="10">
        <v>36849676</v>
      </c>
      <c r="O73" s="10">
        <v>37923396</v>
      </c>
      <c r="P73" s="10">
        <v>39022768</v>
      </c>
      <c r="Q73" s="10">
        <v>40144248</v>
      </c>
      <c r="R73" s="10">
        <v>41285744</v>
      </c>
      <c r="S73" s="10">
        <v>42446652</v>
      </c>
      <c r="T73" s="10">
        <v>43629412</v>
      </c>
      <c r="U73" s="10">
        <v>44838484</v>
      </c>
      <c r="V73" s="10">
        <v>46079848</v>
      </c>
      <c r="W73" s="10">
        <v>47357744</v>
      </c>
      <c r="X73" s="10">
        <v>48672840</v>
      </c>
      <c r="Y73" s="10">
        <v>50023564</v>
      </c>
      <c r="Z73" s="10">
        <v>51408912</v>
      </c>
      <c r="AA73" s="10">
        <v>52827040</v>
      </c>
      <c r="AB73" s="10">
        <v>54275824</v>
      </c>
      <c r="AC73" s="10">
        <v>55755356</v>
      </c>
      <c r="AD73" s="10">
        <v>57263836</v>
      </c>
      <c r="AE73" s="10">
        <v>58795000</v>
      </c>
      <c r="AF73" s="10">
        <v>60340768</v>
      </c>
      <c r="AG73" s="10">
        <v>61895160</v>
      </c>
      <c r="AH73" s="10">
        <v>63454784</v>
      </c>
      <c r="AI73" s="10">
        <v>65020116</v>
      </c>
      <c r="AJ73" s="10">
        <v>66593904</v>
      </c>
      <c r="AK73" s="10">
        <v>68180856</v>
      </c>
      <c r="AL73" s="10">
        <v>69784088</v>
      </c>
      <c r="AM73" s="10">
        <v>71401752</v>
      </c>
      <c r="AN73" s="10">
        <v>73030880</v>
      </c>
      <c r="AO73" s="10">
        <v>74672016</v>
      </c>
      <c r="AP73" s="10">
        <v>76325928</v>
      </c>
      <c r="AQ73" s="10">
        <v>77991752</v>
      </c>
      <c r="AR73" s="10">
        <v>79672872</v>
      </c>
      <c r="AS73" s="10">
        <v>81365256</v>
      </c>
      <c r="AT73" s="10">
        <v>83051968</v>
      </c>
      <c r="AU73" s="10">
        <v>84710544</v>
      </c>
      <c r="AV73" s="10">
        <v>86326248</v>
      </c>
      <c r="AW73" s="10">
        <v>87888672</v>
      </c>
      <c r="AX73" s="10">
        <v>89405480</v>
      </c>
      <c r="AY73" s="10">
        <v>90901968</v>
      </c>
      <c r="AZ73" s="10">
        <v>92414160</v>
      </c>
      <c r="BA73" s="10">
        <v>93966784</v>
      </c>
      <c r="BB73" s="10">
        <v>95570048</v>
      </c>
      <c r="BC73" s="10">
        <v>97212640</v>
      </c>
      <c r="BD73" s="10">
        <v>98871552</v>
      </c>
      <c r="BE73" s="10">
        <v>100513136</v>
      </c>
      <c r="BF73" s="10">
        <v>102113216</v>
      </c>
      <c r="BG73" s="10">
        <v>103663928</v>
      </c>
      <c r="BH73" s="10">
        <v>105173264</v>
      </c>
      <c r="BI73" s="10">
        <v>106651920</v>
      </c>
      <c r="BJ73" s="10">
        <v>108116616</v>
      </c>
    </row>
    <row r="74" spans="1:62" x14ac:dyDescent="0.45">
      <c r="A74" t="s">
        <v>26</v>
      </c>
      <c r="B74" t="s">
        <v>146</v>
      </c>
      <c r="C74" s="10">
        <v>2358000</v>
      </c>
      <c r="D74" s="10">
        <v>2399722</v>
      </c>
      <c r="E74" s="10">
        <v>2450322</v>
      </c>
      <c r="F74" s="10">
        <v>2504530</v>
      </c>
      <c r="G74" s="10">
        <v>2554066</v>
      </c>
      <c r="H74" s="10">
        <v>2594000</v>
      </c>
      <c r="I74" s="10">
        <v>2624995</v>
      </c>
      <c r="J74" s="10">
        <v>2645674</v>
      </c>
      <c r="K74" s="10">
        <v>2662064</v>
      </c>
      <c r="L74" s="10">
        <v>2684150</v>
      </c>
      <c r="M74" s="10">
        <v>2718000</v>
      </c>
      <c r="N74" s="10">
        <v>2762190</v>
      </c>
      <c r="O74" s="10">
        <v>2817256</v>
      </c>
      <c r="P74" s="10">
        <v>2878786</v>
      </c>
      <c r="Q74" s="10">
        <v>2939299</v>
      </c>
      <c r="R74" s="10">
        <v>2994000</v>
      </c>
      <c r="S74" s="10">
        <v>3043854</v>
      </c>
      <c r="T74" s="10">
        <v>3088690</v>
      </c>
      <c r="U74" s="10">
        <v>3129421</v>
      </c>
      <c r="V74" s="10">
        <v>3168088</v>
      </c>
      <c r="W74" s="10">
        <v>3206000</v>
      </c>
      <c r="X74" s="10">
        <v>3242552</v>
      </c>
      <c r="Y74" s="10">
        <v>3277453</v>
      </c>
      <c r="Z74" s="10">
        <v>3311138</v>
      </c>
      <c r="AA74" s="10">
        <v>3344190</v>
      </c>
      <c r="AB74" s="10">
        <v>3377000</v>
      </c>
      <c r="AC74" s="10">
        <v>3409554</v>
      </c>
      <c r="AD74" s="10">
        <v>3441850</v>
      </c>
      <c r="AE74" s="10">
        <v>3473898</v>
      </c>
      <c r="AF74" s="10">
        <v>3505650</v>
      </c>
      <c r="AG74" s="10">
        <v>3537000</v>
      </c>
      <c r="AH74" s="10">
        <v>3562110</v>
      </c>
      <c r="AI74" s="10">
        <v>3585176</v>
      </c>
      <c r="AJ74" s="10">
        <v>3615497</v>
      </c>
      <c r="AK74" s="10">
        <v>3649237</v>
      </c>
      <c r="AL74" s="10">
        <v>3683103</v>
      </c>
      <c r="AM74" s="10">
        <v>3724655</v>
      </c>
      <c r="AN74" s="10">
        <v>3759430</v>
      </c>
      <c r="AO74" s="10">
        <v>3781101</v>
      </c>
      <c r="AP74" s="10">
        <v>3800081</v>
      </c>
      <c r="AQ74" s="10">
        <v>3810605</v>
      </c>
      <c r="AR74" s="10">
        <v>3818774</v>
      </c>
      <c r="AS74" s="10">
        <v>3823701</v>
      </c>
      <c r="AT74" s="10">
        <v>3826095</v>
      </c>
      <c r="AU74" s="10">
        <v>3826878</v>
      </c>
      <c r="AV74" s="10">
        <v>3821362</v>
      </c>
      <c r="AW74" s="10">
        <v>3805214</v>
      </c>
      <c r="AX74" s="10">
        <v>3782995</v>
      </c>
      <c r="AY74" s="10">
        <v>3760866</v>
      </c>
      <c r="AZ74" s="10">
        <v>3740410</v>
      </c>
      <c r="BA74" s="10">
        <v>3721525</v>
      </c>
      <c r="BB74" s="10">
        <v>3678732</v>
      </c>
      <c r="BC74" s="10">
        <v>3634488</v>
      </c>
      <c r="BD74" s="10">
        <v>3593077</v>
      </c>
      <c r="BE74" s="10">
        <v>3534874</v>
      </c>
      <c r="BF74" s="10">
        <v>3473232</v>
      </c>
      <c r="BG74" s="10">
        <v>3406672</v>
      </c>
      <c r="BH74" s="10">
        <v>3325286</v>
      </c>
      <c r="BI74" s="10">
        <v>3193354</v>
      </c>
      <c r="BJ74" s="10">
        <v>3193694</v>
      </c>
    </row>
    <row r="75" spans="1:62" x14ac:dyDescent="0.45">
      <c r="A75" t="s">
        <v>26</v>
      </c>
      <c r="B75" t="s">
        <v>147</v>
      </c>
      <c r="C75" s="10">
        <v>2935582</v>
      </c>
      <c r="D75" s="10">
        <v>2998325</v>
      </c>
      <c r="E75" s="10">
        <v>3052936</v>
      </c>
      <c r="F75" s="10">
        <v>3105419</v>
      </c>
      <c r="G75" s="10">
        <v>3164263</v>
      </c>
      <c r="H75" s="10">
        <v>3235531</v>
      </c>
      <c r="I75" s="10">
        <v>3321679</v>
      </c>
      <c r="J75" s="10">
        <v>3420895</v>
      </c>
      <c r="K75" s="10">
        <v>3529843</v>
      </c>
      <c r="L75" s="10">
        <v>3643237</v>
      </c>
      <c r="M75" s="10">
        <v>3757358</v>
      </c>
      <c r="N75" s="10">
        <v>3871439</v>
      </c>
      <c r="O75" s="10">
        <v>3987224</v>
      </c>
      <c r="P75" s="10">
        <v>4106407</v>
      </c>
      <c r="Q75" s="10">
        <v>4231578</v>
      </c>
      <c r="R75" s="10">
        <v>4364706</v>
      </c>
      <c r="S75" s="10">
        <v>4506109</v>
      </c>
      <c r="T75" s="10">
        <v>4655383</v>
      </c>
      <c r="U75" s="10">
        <v>4812872</v>
      </c>
      <c r="V75" s="10">
        <v>4978817</v>
      </c>
      <c r="W75" s="10">
        <v>5153312</v>
      </c>
      <c r="X75" s="10">
        <v>5329252</v>
      </c>
      <c r="Y75" s="10">
        <v>5504842</v>
      </c>
      <c r="Z75" s="10">
        <v>5690980</v>
      </c>
      <c r="AA75" s="10">
        <v>5902843</v>
      </c>
      <c r="AB75" s="10">
        <v>6146891</v>
      </c>
      <c r="AC75" s="10">
        <v>6443751</v>
      </c>
      <c r="AD75" s="10">
        <v>6779983</v>
      </c>
      <c r="AE75" s="10">
        <v>7088191</v>
      </c>
      <c r="AF75" s="10">
        <v>7276985</v>
      </c>
      <c r="AG75" s="10">
        <v>7288882</v>
      </c>
      <c r="AH75" s="10">
        <v>7083935</v>
      </c>
      <c r="AI75" s="10">
        <v>6702244</v>
      </c>
      <c r="AJ75" s="10">
        <v>6263757</v>
      </c>
      <c r="AK75" s="10">
        <v>5936261</v>
      </c>
      <c r="AL75" s="10">
        <v>5836495</v>
      </c>
      <c r="AM75" s="10">
        <v>6013107</v>
      </c>
      <c r="AN75" s="10">
        <v>6419901</v>
      </c>
      <c r="AO75" s="10">
        <v>6962802</v>
      </c>
      <c r="AP75" s="10">
        <v>7501234</v>
      </c>
      <c r="AQ75" s="10">
        <v>7933681</v>
      </c>
      <c r="AR75" s="10">
        <v>8231156</v>
      </c>
      <c r="AS75" s="10">
        <v>8427060</v>
      </c>
      <c r="AT75" s="10">
        <v>8557161</v>
      </c>
      <c r="AU75" s="10">
        <v>8680524</v>
      </c>
      <c r="AV75" s="10">
        <v>8840215</v>
      </c>
      <c r="AW75" s="10">
        <v>9043337</v>
      </c>
      <c r="AX75" s="10">
        <v>9273757</v>
      </c>
      <c r="AY75" s="10">
        <v>9524534</v>
      </c>
      <c r="AZ75" s="10">
        <v>9782770</v>
      </c>
      <c r="BA75" s="10">
        <v>10039338</v>
      </c>
      <c r="BB75" s="10">
        <v>10293331</v>
      </c>
      <c r="BC75" s="10">
        <v>10549678</v>
      </c>
      <c r="BD75" s="10">
        <v>10811543</v>
      </c>
      <c r="BE75" s="10">
        <v>11083635</v>
      </c>
      <c r="BF75" s="10">
        <v>11369071</v>
      </c>
      <c r="BG75" s="10">
        <v>11668818</v>
      </c>
      <c r="BH75" s="10">
        <v>11980937</v>
      </c>
      <c r="BI75" s="10">
        <v>12301939</v>
      </c>
      <c r="BJ75" s="10">
        <v>12626950</v>
      </c>
    </row>
    <row r="76" spans="1:62" x14ac:dyDescent="0.45">
      <c r="A76" t="s">
        <v>26</v>
      </c>
      <c r="B76" t="s">
        <v>148</v>
      </c>
      <c r="C76" s="10">
        <v>3206749</v>
      </c>
      <c r="D76" s="10">
        <v>3295278</v>
      </c>
      <c r="E76" s="10">
        <v>3386806</v>
      </c>
      <c r="F76" s="10">
        <v>3481654</v>
      </c>
      <c r="G76" s="10">
        <v>3580239</v>
      </c>
      <c r="H76" s="10">
        <v>3682876</v>
      </c>
      <c r="I76" s="10">
        <v>3789383</v>
      </c>
      <c r="J76" s="10">
        <v>3899644</v>
      </c>
      <c r="K76" s="10">
        <v>4014103</v>
      </c>
      <c r="L76" s="10">
        <v>4133322</v>
      </c>
      <c r="M76" s="10">
        <v>4257505</v>
      </c>
      <c r="N76" s="10">
        <v>4387540</v>
      </c>
      <c r="O76" s="10">
        <v>4522893</v>
      </c>
      <c r="P76" s="10">
        <v>4660725</v>
      </c>
      <c r="Q76" s="10">
        <v>4797187</v>
      </c>
      <c r="R76" s="10">
        <v>4929846</v>
      </c>
      <c r="S76" s="10">
        <v>5057378</v>
      </c>
      <c r="T76" s="10">
        <v>5181514</v>
      </c>
      <c r="U76" s="10">
        <v>5306681</v>
      </c>
      <c r="V76" s="10">
        <v>5439066</v>
      </c>
      <c r="W76" s="10">
        <v>5583165</v>
      </c>
      <c r="X76" s="10">
        <v>5740444</v>
      </c>
      <c r="Y76" s="10">
        <v>5909739</v>
      </c>
      <c r="Z76" s="10">
        <v>6089572</v>
      </c>
      <c r="AA76" s="10">
        <v>6277424</v>
      </c>
      <c r="AB76" s="10">
        <v>6471327</v>
      </c>
      <c r="AC76" s="10">
        <v>6670663</v>
      </c>
      <c r="AD76" s="10">
        <v>6875754</v>
      </c>
      <c r="AE76" s="10">
        <v>7086627</v>
      </c>
      <c r="AF76" s="10">
        <v>7303517</v>
      </c>
      <c r="AG76" s="10">
        <v>7526307</v>
      </c>
      <c r="AH76" s="10">
        <v>7755496</v>
      </c>
      <c r="AI76" s="10">
        <v>7990096</v>
      </c>
      <c r="AJ76" s="10">
        <v>8226760</v>
      </c>
      <c r="AK76" s="10">
        <v>8461068</v>
      </c>
      <c r="AL76" s="10">
        <v>8690164</v>
      </c>
      <c r="AM76" s="10">
        <v>8912861</v>
      </c>
      <c r="AN76" s="10">
        <v>9130877</v>
      </c>
      <c r="AO76" s="10">
        <v>9347774</v>
      </c>
      <c r="AP76" s="10">
        <v>9568722</v>
      </c>
      <c r="AQ76" s="10">
        <v>9797734</v>
      </c>
      <c r="AR76" s="10">
        <v>10036104</v>
      </c>
      <c r="AS76" s="10">
        <v>10283699</v>
      </c>
      <c r="AT76" s="10">
        <v>10541467</v>
      </c>
      <c r="AU76" s="10">
        <v>10810083</v>
      </c>
      <c r="AV76" s="10">
        <v>11090116</v>
      </c>
      <c r="AW76" s="10">
        <v>11382268</v>
      </c>
      <c r="AX76" s="10">
        <v>11687080</v>
      </c>
      <c r="AY76" s="10">
        <v>12004701</v>
      </c>
      <c r="AZ76" s="10">
        <v>12335084</v>
      </c>
      <c r="BA76" s="10">
        <v>12678148</v>
      </c>
      <c r="BB76" s="10">
        <v>13033809</v>
      </c>
      <c r="BC76" s="10">
        <v>13401991</v>
      </c>
      <c r="BD76" s="10">
        <v>13782420</v>
      </c>
      <c r="BE76" s="10">
        <v>14174731</v>
      </c>
      <c r="BF76" s="10">
        <v>14578459</v>
      </c>
      <c r="BG76" s="10">
        <v>14993528</v>
      </c>
      <c r="BH76" s="10">
        <v>15419381</v>
      </c>
      <c r="BI76" s="10">
        <v>15854360</v>
      </c>
      <c r="BJ76" s="10">
        <v>16296364</v>
      </c>
    </row>
    <row r="77" spans="1:62" x14ac:dyDescent="0.45">
      <c r="A77" t="s">
        <v>26</v>
      </c>
      <c r="B77" t="s">
        <v>149</v>
      </c>
      <c r="C77" s="10">
        <v>41700</v>
      </c>
      <c r="D77" s="10">
        <v>42889</v>
      </c>
      <c r="E77" s="10">
        <v>44042</v>
      </c>
      <c r="F77" s="10">
        <v>45176</v>
      </c>
      <c r="G77" s="10">
        <v>46322</v>
      </c>
      <c r="H77" s="10">
        <v>47500</v>
      </c>
      <c r="I77" s="10">
        <v>48699</v>
      </c>
      <c r="J77" s="10">
        <v>49911</v>
      </c>
      <c r="K77" s="10">
        <v>51134</v>
      </c>
      <c r="L77" s="10">
        <v>52365</v>
      </c>
      <c r="M77" s="10">
        <v>53600</v>
      </c>
      <c r="N77" s="10">
        <v>54695</v>
      </c>
      <c r="O77" s="10">
        <v>56029</v>
      </c>
      <c r="P77" s="10">
        <v>56892</v>
      </c>
      <c r="Q77" s="10">
        <v>57937</v>
      </c>
      <c r="R77" s="10">
        <v>59292</v>
      </c>
      <c r="S77" s="10">
        <v>60504</v>
      </c>
      <c r="T77" s="10">
        <v>61786</v>
      </c>
      <c r="U77" s="10">
        <v>62150</v>
      </c>
      <c r="V77" s="10">
        <v>62686</v>
      </c>
      <c r="W77" s="10">
        <v>63261</v>
      </c>
      <c r="X77" s="10">
        <v>64035</v>
      </c>
      <c r="Y77" s="10">
        <v>64413</v>
      </c>
      <c r="Z77" s="10">
        <v>64335</v>
      </c>
      <c r="AA77" s="10">
        <v>64717</v>
      </c>
      <c r="AB77" s="10">
        <v>65244</v>
      </c>
      <c r="AC77" s="10">
        <v>65652</v>
      </c>
      <c r="AD77" s="10">
        <v>68499</v>
      </c>
      <c r="AE77" s="10">
        <v>68755</v>
      </c>
      <c r="AF77" s="10">
        <v>69167</v>
      </c>
      <c r="AG77" s="10">
        <v>69507</v>
      </c>
      <c r="AH77" s="10">
        <v>70439</v>
      </c>
      <c r="AI77" s="10">
        <v>70763</v>
      </c>
      <c r="AJ77" s="10">
        <v>72253</v>
      </c>
      <c r="AK77" s="10">
        <v>74205</v>
      </c>
      <c r="AL77" s="10">
        <v>75304</v>
      </c>
      <c r="AM77" s="10">
        <v>76417</v>
      </c>
      <c r="AN77" s="10">
        <v>77319</v>
      </c>
      <c r="AO77" s="10">
        <v>78846</v>
      </c>
      <c r="AP77" s="10">
        <v>80410</v>
      </c>
      <c r="AQ77" s="10">
        <v>81131</v>
      </c>
      <c r="AR77" s="10">
        <v>81202</v>
      </c>
      <c r="AS77" s="10">
        <v>83723</v>
      </c>
      <c r="AT77" s="10">
        <v>82781</v>
      </c>
      <c r="AU77" s="10">
        <v>82475</v>
      </c>
      <c r="AV77" s="10">
        <v>82858</v>
      </c>
      <c r="AW77" s="10">
        <v>84600</v>
      </c>
      <c r="AX77" s="10">
        <v>85033</v>
      </c>
      <c r="AY77" s="10">
        <v>86956</v>
      </c>
      <c r="AZ77" s="10">
        <v>87298</v>
      </c>
      <c r="BA77" s="10">
        <v>89770</v>
      </c>
      <c r="BB77" s="10">
        <v>87441</v>
      </c>
      <c r="BC77" s="10">
        <v>88303</v>
      </c>
      <c r="BD77" s="10">
        <v>89949</v>
      </c>
      <c r="BE77" s="10">
        <v>91359</v>
      </c>
      <c r="BF77" s="10">
        <v>93419</v>
      </c>
      <c r="BG77" s="10">
        <v>94677</v>
      </c>
      <c r="BH77" s="10">
        <v>95843</v>
      </c>
      <c r="BI77" s="10">
        <v>96762</v>
      </c>
      <c r="BJ77" s="10">
        <v>97625</v>
      </c>
    </row>
    <row r="78" spans="1:62" x14ac:dyDescent="0.45">
      <c r="A78" t="s">
        <v>26</v>
      </c>
      <c r="B78" t="s">
        <v>150</v>
      </c>
      <c r="C78" s="10">
        <v>2317636</v>
      </c>
      <c r="D78" s="10">
        <v>2352363</v>
      </c>
      <c r="E78" s="10">
        <v>2388769</v>
      </c>
      <c r="F78" s="10">
        <v>2426857</v>
      </c>
      <c r="G78" s="10">
        <v>2466667</v>
      </c>
      <c r="H78" s="10">
        <v>2508219</v>
      </c>
      <c r="I78" s="10">
        <v>2551578</v>
      </c>
      <c r="J78" s="10">
        <v>2596805</v>
      </c>
      <c r="K78" s="10">
        <v>2644020</v>
      </c>
      <c r="L78" s="10">
        <v>2693348</v>
      </c>
      <c r="M78" s="10">
        <v>2744891</v>
      </c>
      <c r="N78" s="10">
        <v>2798724</v>
      </c>
      <c r="O78" s="10">
        <v>2854872</v>
      </c>
      <c r="P78" s="10">
        <v>2913344</v>
      </c>
      <c r="Q78" s="10">
        <v>2974104</v>
      </c>
      <c r="R78" s="10">
        <v>3037154</v>
      </c>
      <c r="S78" s="10">
        <v>3102592</v>
      </c>
      <c r="T78" s="10">
        <v>3170508</v>
      </c>
      <c r="U78" s="10">
        <v>3240839</v>
      </c>
      <c r="V78" s="10">
        <v>3313504</v>
      </c>
      <c r="W78" s="10">
        <v>3388495</v>
      </c>
      <c r="X78" s="10">
        <v>3464106</v>
      </c>
      <c r="Y78" s="10">
        <v>3540170</v>
      </c>
      <c r="Z78" s="10">
        <v>3619847</v>
      </c>
      <c r="AA78" s="10">
        <v>3707510</v>
      </c>
      <c r="AB78" s="10">
        <v>3805311</v>
      </c>
      <c r="AC78" s="10">
        <v>3916685</v>
      </c>
      <c r="AD78" s="10">
        <v>4038144</v>
      </c>
      <c r="AE78" s="10">
        <v>4156634</v>
      </c>
      <c r="AF78" s="10">
        <v>4254444</v>
      </c>
      <c r="AG78" s="10">
        <v>4319762</v>
      </c>
      <c r="AH78" s="10">
        <v>4348660</v>
      </c>
      <c r="AI78" s="10">
        <v>4347724</v>
      </c>
      <c r="AJ78" s="10">
        <v>4328957</v>
      </c>
      <c r="AK78" s="10">
        <v>4309775</v>
      </c>
      <c r="AL78" s="10">
        <v>4303957</v>
      </c>
      <c r="AM78" s="10">
        <v>4312666</v>
      </c>
      <c r="AN78" s="10">
        <v>4335301</v>
      </c>
      <c r="AO78" s="10">
        <v>4381483</v>
      </c>
      <c r="AP78" s="10">
        <v>4462378</v>
      </c>
      <c r="AQ78" s="10">
        <v>4584571</v>
      </c>
      <c r="AR78" s="10">
        <v>4754072</v>
      </c>
      <c r="AS78" s="10">
        <v>4965766</v>
      </c>
      <c r="AT78" s="10">
        <v>5201070</v>
      </c>
      <c r="AU78" s="10">
        <v>5433991</v>
      </c>
      <c r="AV78" s="10">
        <v>5645624</v>
      </c>
      <c r="AW78" s="10">
        <v>5829237</v>
      </c>
      <c r="AX78" s="10">
        <v>5989633</v>
      </c>
      <c r="AY78" s="10">
        <v>6133603</v>
      </c>
      <c r="AZ78" s="10">
        <v>6272734</v>
      </c>
      <c r="BA78" s="10">
        <v>6415634</v>
      </c>
      <c r="BB78" s="10">
        <v>6563240</v>
      </c>
      <c r="BC78" s="10">
        <v>6712581</v>
      </c>
      <c r="BD78" s="10">
        <v>6863980</v>
      </c>
      <c r="BE78" s="10">
        <v>7017144</v>
      </c>
      <c r="BF78" s="10">
        <v>7171914</v>
      </c>
      <c r="BG78" s="10">
        <v>7328838</v>
      </c>
      <c r="BH78" s="10">
        <v>7488431</v>
      </c>
      <c r="BI78" s="10">
        <v>7650154</v>
      </c>
      <c r="BJ78" s="10">
        <v>7813215</v>
      </c>
    </row>
    <row r="79" spans="1:62" x14ac:dyDescent="0.45">
      <c r="A79" t="s">
        <v>26</v>
      </c>
      <c r="B79" t="s">
        <v>151</v>
      </c>
      <c r="C79" s="10">
        <v>17099840</v>
      </c>
      <c r="D79" s="10">
        <v>17524532</v>
      </c>
      <c r="E79" s="10">
        <v>17965724</v>
      </c>
      <c r="F79" s="10">
        <v>18423160</v>
      </c>
      <c r="G79" s="10">
        <v>18896308</v>
      </c>
      <c r="H79" s="10">
        <v>19384840</v>
      </c>
      <c r="I79" s="10">
        <v>19888250</v>
      </c>
      <c r="J79" s="10">
        <v>20406864</v>
      </c>
      <c r="K79" s="10">
        <v>20942144</v>
      </c>
      <c r="L79" s="10">
        <v>21496076</v>
      </c>
      <c r="M79" s="10">
        <v>22069776</v>
      </c>
      <c r="N79" s="10">
        <v>22665272</v>
      </c>
      <c r="O79" s="10">
        <v>23281508</v>
      </c>
      <c r="P79" s="10">
        <v>23913100</v>
      </c>
      <c r="Q79" s="10">
        <v>24552540</v>
      </c>
      <c r="R79" s="10">
        <v>25195188</v>
      </c>
      <c r="S79" s="10">
        <v>25836888</v>
      </c>
      <c r="T79" s="10">
        <v>26480912</v>
      </c>
      <c r="U79" s="10">
        <v>27138964</v>
      </c>
      <c r="V79" s="10">
        <v>27827320</v>
      </c>
      <c r="W79" s="10">
        <v>28556768</v>
      </c>
      <c r="X79" s="10">
        <v>29333104</v>
      </c>
      <c r="Y79" s="10">
        <v>30150448</v>
      </c>
      <c r="Z79" s="10">
        <v>30993758</v>
      </c>
      <c r="AA79" s="10">
        <v>31841592</v>
      </c>
      <c r="AB79" s="10">
        <v>32678874</v>
      </c>
      <c r="AC79" s="10">
        <v>33495952</v>
      </c>
      <c r="AD79" s="10">
        <v>34297728</v>
      </c>
      <c r="AE79" s="10">
        <v>35100908</v>
      </c>
      <c r="AF79" s="10">
        <v>35930048</v>
      </c>
      <c r="AG79" s="10">
        <v>36800508</v>
      </c>
      <c r="AH79" s="10">
        <v>37718952</v>
      </c>
      <c r="AI79" s="10">
        <v>38672608</v>
      </c>
      <c r="AJ79" s="10">
        <v>39633752</v>
      </c>
      <c r="AK79" s="10">
        <v>40564060</v>
      </c>
      <c r="AL79" s="10">
        <v>41435760</v>
      </c>
      <c r="AM79" s="10">
        <v>42241012</v>
      </c>
      <c r="AN79" s="10">
        <v>42987460</v>
      </c>
      <c r="AO79" s="10">
        <v>43682260</v>
      </c>
      <c r="AP79" s="10">
        <v>44338544</v>
      </c>
      <c r="AQ79" s="10">
        <v>44967708</v>
      </c>
      <c r="AR79" s="10">
        <v>45571272</v>
      </c>
      <c r="AS79" s="10">
        <v>46150912</v>
      </c>
      <c r="AT79" s="10">
        <v>46719196</v>
      </c>
      <c r="AU79" s="10">
        <v>47291608</v>
      </c>
      <c r="AV79" s="10">
        <v>47880600</v>
      </c>
      <c r="AW79" s="10">
        <v>48489460</v>
      </c>
      <c r="AX79" s="10">
        <v>49119760</v>
      </c>
      <c r="AY79" s="10">
        <v>49779472</v>
      </c>
      <c r="AZ79" s="10">
        <v>50477012</v>
      </c>
      <c r="BA79" s="10">
        <v>51216964</v>
      </c>
      <c r="BB79" s="10">
        <v>52004172</v>
      </c>
      <c r="BC79" s="10">
        <v>52834004</v>
      </c>
      <c r="BD79" s="10">
        <v>53689236</v>
      </c>
      <c r="BE79" s="10">
        <v>54545992</v>
      </c>
      <c r="BF79" s="10">
        <v>55386368</v>
      </c>
      <c r="BG79" s="10">
        <v>56203656</v>
      </c>
      <c r="BH79" s="10">
        <v>57000452</v>
      </c>
      <c r="BI79" s="10">
        <v>57779624</v>
      </c>
      <c r="BJ79" s="10">
        <v>58558272</v>
      </c>
    </row>
    <row r="80" spans="1:62" x14ac:dyDescent="0.45">
      <c r="A80" t="s">
        <v>26</v>
      </c>
      <c r="B80" t="s">
        <v>152</v>
      </c>
      <c r="C80" s="10">
        <v>7544491</v>
      </c>
      <c r="D80" s="10">
        <v>7769482</v>
      </c>
      <c r="E80" s="10">
        <v>8004121</v>
      </c>
      <c r="F80" s="10">
        <v>8248812</v>
      </c>
      <c r="G80" s="10">
        <v>8503994</v>
      </c>
      <c r="H80" s="10">
        <v>8770097</v>
      </c>
      <c r="I80" s="10">
        <v>9047798</v>
      </c>
      <c r="J80" s="10">
        <v>9337657</v>
      </c>
      <c r="K80" s="10">
        <v>9639840</v>
      </c>
      <c r="L80" s="10">
        <v>9954410</v>
      </c>
      <c r="M80" s="10">
        <v>10281700</v>
      </c>
      <c r="N80" s="10">
        <v>10621472</v>
      </c>
      <c r="O80" s="10">
        <v>10974622</v>
      </c>
      <c r="P80" s="10">
        <v>11343926</v>
      </c>
      <c r="Q80" s="10">
        <v>11732958</v>
      </c>
      <c r="R80" s="10">
        <v>12144135</v>
      </c>
      <c r="S80" s="10">
        <v>12578407</v>
      </c>
      <c r="T80" s="10">
        <v>13034625</v>
      </c>
      <c r="U80" s="10">
        <v>13510421</v>
      </c>
      <c r="V80" s="10">
        <v>14002303</v>
      </c>
      <c r="W80" s="10">
        <v>14507468</v>
      </c>
      <c r="X80" s="10">
        <v>15027248</v>
      </c>
      <c r="Y80" s="10">
        <v>15562125</v>
      </c>
      <c r="Z80" s="10">
        <v>16107620</v>
      </c>
      <c r="AA80" s="10">
        <v>16657959</v>
      </c>
      <c r="AB80" s="10">
        <v>17210188</v>
      </c>
      <c r="AC80" s="10">
        <v>17757492</v>
      </c>
      <c r="AD80" s="10">
        <v>18303436</v>
      </c>
      <c r="AE80" s="10">
        <v>18867560</v>
      </c>
      <c r="AF80" s="10">
        <v>19476648</v>
      </c>
      <c r="AG80" s="10">
        <v>20147590</v>
      </c>
      <c r="AH80" s="10">
        <v>20891440</v>
      </c>
      <c r="AI80" s="10">
        <v>21696244</v>
      </c>
      <c r="AJ80" s="10">
        <v>22527834</v>
      </c>
      <c r="AK80" s="10">
        <v>23338464</v>
      </c>
      <c r="AL80" s="10">
        <v>24094748</v>
      </c>
      <c r="AM80" s="10">
        <v>24782384</v>
      </c>
      <c r="AN80" s="10">
        <v>25413916</v>
      </c>
      <c r="AO80" s="10">
        <v>26015520</v>
      </c>
      <c r="AP80" s="10">
        <v>26626520</v>
      </c>
      <c r="AQ80" s="10">
        <v>27275016</v>
      </c>
      <c r="AR80" s="10">
        <v>27971082</v>
      </c>
      <c r="AS80" s="10">
        <v>28704778</v>
      </c>
      <c r="AT80" s="10">
        <v>29460520</v>
      </c>
      <c r="AU80" s="10">
        <v>30214192</v>
      </c>
      <c r="AV80" s="10">
        <v>30949516</v>
      </c>
      <c r="AW80" s="10">
        <v>31661824</v>
      </c>
      <c r="AX80" s="10">
        <v>32360620</v>
      </c>
      <c r="AY80" s="10">
        <v>33060836</v>
      </c>
      <c r="AZ80" s="10">
        <v>33783788</v>
      </c>
      <c r="BA80" s="10">
        <v>34545012</v>
      </c>
      <c r="BB80" s="10">
        <v>35349680</v>
      </c>
      <c r="BC80" s="10">
        <v>36193784</v>
      </c>
      <c r="BD80" s="10">
        <v>37072552</v>
      </c>
      <c r="BE80" s="10">
        <v>37977656</v>
      </c>
      <c r="BF80" s="10">
        <v>38902952</v>
      </c>
      <c r="BG80" s="10">
        <v>39847440</v>
      </c>
      <c r="BH80" s="10">
        <v>40813396</v>
      </c>
      <c r="BI80" s="10">
        <v>41801532</v>
      </c>
      <c r="BJ80" s="10">
        <v>42813240</v>
      </c>
    </row>
    <row r="81" spans="1:62" x14ac:dyDescent="0.45">
      <c r="A81" t="s">
        <v>26</v>
      </c>
      <c r="B81" t="s">
        <v>153</v>
      </c>
      <c r="C81" s="10">
        <v>287871</v>
      </c>
      <c r="D81" s="10">
        <v>295916</v>
      </c>
      <c r="E81" s="10">
        <v>303895</v>
      </c>
      <c r="F81" s="10">
        <v>311947</v>
      </c>
      <c r="G81" s="10">
        <v>320270</v>
      </c>
      <c r="H81" s="10">
        <v>328936</v>
      </c>
      <c r="I81" s="10">
        <v>338158</v>
      </c>
      <c r="J81" s="10">
        <v>347660</v>
      </c>
      <c r="K81" s="10">
        <v>356550</v>
      </c>
      <c r="L81" s="10">
        <v>363575</v>
      </c>
      <c r="M81" s="10">
        <v>367931</v>
      </c>
      <c r="N81" s="10">
        <v>369236</v>
      </c>
      <c r="O81" s="10">
        <v>367907</v>
      </c>
      <c r="P81" s="10">
        <v>364915</v>
      </c>
      <c r="Q81" s="10">
        <v>361667</v>
      </c>
      <c r="R81" s="10">
        <v>359226</v>
      </c>
      <c r="S81" s="10">
        <v>357953</v>
      </c>
      <c r="T81" s="10">
        <v>357659</v>
      </c>
      <c r="U81" s="10">
        <v>358099</v>
      </c>
      <c r="V81" s="10">
        <v>358818</v>
      </c>
      <c r="W81" s="10">
        <v>359519</v>
      </c>
      <c r="X81" s="10">
        <v>360143</v>
      </c>
      <c r="Y81" s="10">
        <v>360920</v>
      </c>
      <c r="Z81" s="10">
        <v>362276</v>
      </c>
      <c r="AA81" s="10">
        <v>364733</v>
      </c>
      <c r="AB81" s="10">
        <v>368638</v>
      </c>
      <c r="AC81" s="10">
        <v>374140</v>
      </c>
      <c r="AD81" s="10">
        <v>381037</v>
      </c>
      <c r="AE81" s="10">
        <v>388881</v>
      </c>
      <c r="AF81" s="10">
        <v>397085</v>
      </c>
      <c r="AG81" s="10">
        <v>405168</v>
      </c>
      <c r="AH81" s="10">
        <v>413005</v>
      </c>
      <c r="AI81" s="10">
        <v>420655</v>
      </c>
      <c r="AJ81" s="10">
        <v>428030</v>
      </c>
      <c r="AK81" s="10">
        <v>435105</v>
      </c>
      <c r="AL81" s="10">
        <v>441851</v>
      </c>
      <c r="AM81" s="10">
        <v>448213</v>
      </c>
      <c r="AN81" s="10">
        <v>454161</v>
      </c>
      <c r="AO81" s="10">
        <v>459831</v>
      </c>
      <c r="AP81" s="10">
        <v>465385</v>
      </c>
      <c r="AQ81" s="10">
        <v>470949</v>
      </c>
      <c r="AR81" s="10">
        <v>476579</v>
      </c>
      <c r="AS81" s="10">
        <v>482235</v>
      </c>
      <c r="AT81" s="10">
        <v>487942</v>
      </c>
      <c r="AU81" s="10">
        <v>493679</v>
      </c>
      <c r="AV81" s="10">
        <v>499464</v>
      </c>
      <c r="AW81" s="10">
        <v>505295</v>
      </c>
      <c r="AX81" s="10">
        <v>511181</v>
      </c>
      <c r="AY81" s="10">
        <v>517123</v>
      </c>
      <c r="AZ81" s="10">
        <v>523111</v>
      </c>
      <c r="BA81" s="10">
        <v>529131</v>
      </c>
      <c r="BB81" s="10">
        <v>535179</v>
      </c>
      <c r="BC81" s="10">
        <v>541245</v>
      </c>
      <c r="BD81" s="10">
        <v>547291</v>
      </c>
      <c r="BE81" s="10">
        <v>553273</v>
      </c>
      <c r="BF81" s="10">
        <v>559143</v>
      </c>
      <c r="BG81" s="10">
        <v>564888</v>
      </c>
      <c r="BH81" s="10">
        <v>570496</v>
      </c>
      <c r="BI81" s="10">
        <v>575991</v>
      </c>
      <c r="BJ81" s="10">
        <v>581372</v>
      </c>
    </row>
    <row r="82" spans="1:62" x14ac:dyDescent="0.45">
      <c r="A82" t="s">
        <v>26</v>
      </c>
      <c r="B82" t="s">
        <v>154</v>
      </c>
      <c r="C82" s="10">
        <v>27397208</v>
      </c>
      <c r="D82" s="10">
        <v>28224188</v>
      </c>
      <c r="E82" s="10">
        <v>29080938</v>
      </c>
      <c r="F82" s="10">
        <v>29966864</v>
      </c>
      <c r="G82" s="10">
        <v>30881138</v>
      </c>
      <c r="H82" s="10">
        <v>31822660</v>
      </c>
      <c r="I82" s="10">
        <v>32789130</v>
      </c>
      <c r="J82" s="10">
        <v>33778800</v>
      </c>
      <c r="K82" s="10">
        <v>34791408</v>
      </c>
      <c r="L82" s="10">
        <v>35827092</v>
      </c>
      <c r="M82" s="10">
        <v>36884536</v>
      </c>
      <c r="N82" s="10">
        <v>37963280</v>
      </c>
      <c r="O82" s="10">
        <v>39058604</v>
      </c>
      <c r="P82" s="10">
        <v>40159584</v>
      </c>
      <c r="Q82" s="10">
        <v>41252324</v>
      </c>
      <c r="R82" s="10">
        <v>42326312</v>
      </c>
      <c r="S82" s="10">
        <v>43377272</v>
      </c>
      <c r="T82" s="10">
        <v>44405904</v>
      </c>
      <c r="U82" s="10">
        <v>45413080</v>
      </c>
      <c r="V82" s="10">
        <v>46401752</v>
      </c>
      <c r="W82" s="10">
        <v>47374472</v>
      </c>
      <c r="X82" s="10">
        <v>48326272</v>
      </c>
      <c r="Y82" s="10">
        <v>49255900</v>
      </c>
      <c r="Z82" s="10">
        <v>50173924</v>
      </c>
      <c r="AA82" s="10">
        <v>51094868</v>
      </c>
      <c r="AB82" s="10">
        <v>52026900</v>
      </c>
      <c r="AC82" s="10">
        <v>52980096</v>
      </c>
      <c r="AD82" s="10">
        <v>53945880</v>
      </c>
      <c r="AE82" s="10">
        <v>54891520</v>
      </c>
      <c r="AF82" s="10">
        <v>55772168</v>
      </c>
      <c r="AG82" s="10">
        <v>56558184</v>
      </c>
      <c r="AH82" s="10">
        <v>57232464</v>
      </c>
      <c r="AI82" s="10">
        <v>57811020</v>
      </c>
      <c r="AJ82" s="10">
        <v>58337772</v>
      </c>
      <c r="AK82" s="10">
        <v>58875268</v>
      </c>
      <c r="AL82" s="10">
        <v>59467272</v>
      </c>
      <c r="AM82" s="10">
        <v>60130184</v>
      </c>
      <c r="AN82" s="10">
        <v>60846584</v>
      </c>
      <c r="AO82" s="10">
        <v>61585104</v>
      </c>
      <c r="AP82" s="10">
        <v>62298572</v>
      </c>
      <c r="AQ82" s="10">
        <v>62952640</v>
      </c>
      <c r="AR82" s="10">
        <v>63539196</v>
      </c>
      <c r="AS82" s="10">
        <v>64069088</v>
      </c>
      <c r="AT82" s="10">
        <v>64549864</v>
      </c>
      <c r="AU82" s="10">
        <v>64995300</v>
      </c>
      <c r="AV82" s="10">
        <v>65416188</v>
      </c>
      <c r="AW82" s="10">
        <v>65812536</v>
      </c>
      <c r="AX82" s="10">
        <v>66182068</v>
      </c>
      <c r="AY82" s="10">
        <v>66530984</v>
      </c>
      <c r="AZ82" s="10">
        <v>66866840</v>
      </c>
      <c r="BA82" s="10">
        <v>67195024</v>
      </c>
      <c r="BB82" s="10">
        <v>67518384</v>
      </c>
      <c r="BC82" s="10">
        <v>67835960</v>
      </c>
      <c r="BD82" s="10">
        <v>68144504</v>
      </c>
      <c r="BE82" s="10">
        <v>68438728</v>
      </c>
      <c r="BF82" s="10">
        <v>68714512</v>
      </c>
      <c r="BG82" s="10">
        <v>68971328</v>
      </c>
      <c r="BH82" s="10">
        <v>69209856</v>
      </c>
      <c r="BI82" s="10">
        <v>69428528</v>
      </c>
      <c r="BJ82" s="10">
        <v>69625584</v>
      </c>
    </row>
    <row r="83" spans="1:62" x14ac:dyDescent="0.45">
      <c r="A83" t="s">
        <v>26</v>
      </c>
      <c r="B83" t="s">
        <v>155</v>
      </c>
      <c r="C83" s="10">
        <v>1580513</v>
      </c>
      <c r="D83" s="10">
        <v>1597526</v>
      </c>
      <c r="E83" s="10">
        <v>1612755</v>
      </c>
      <c r="F83" s="10">
        <v>1631764</v>
      </c>
      <c r="G83" s="10">
        <v>1662073</v>
      </c>
      <c r="H83" s="10">
        <v>1708630</v>
      </c>
      <c r="I83" s="10">
        <v>1774029</v>
      </c>
      <c r="J83" s="10">
        <v>1855442</v>
      </c>
      <c r="K83" s="10">
        <v>1945780</v>
      </c>
      <c r="L83" s="10">
        <v>2034907</v>
      </c>
      <c r="M83" s="10">
        <v>2115522</v>
      </c>
      <c r="N83" s="10">
        <v>2185662</v>
      </c>
      <c r="O83" s="10">
        <v>2247582</v>
      </c>
      <c r="P83" s="10">
        <v>2303345</v>
      </c>
      <c r="Q83" s="10">
        <v>2356622</v>
      </c>
      <c r="R83" s="10">
        <v>2410446</v>
      </c>
      <c r="S83" s="10">
        <v>2464423</v>
      </c>
      <c r="T83" s="10">
        <v>2518457</v>
      </c>
      <c r="U83" s="10">
        <v>2576292</v>
      </c>
      <c r="V83" s="10">
        <v>2642696</v>
      </c>
      <c r="W83" s="10">
        <v>2720839</v>
      </c>
      <c r="X83" s="10">
        <v>2812307</v>
      </c>
      <c r="Y83" s="10">
        <v>2915620</v>
      </c>
      <c r="Z83" s="10">
        <v>3026973</v>
      </c>
      <c r="AA83" s="10">
        <v>3140846</v>
      </c>
      <c r="AB83" s="10">
        <v>3252994</v>
      </c>
      <c r="AC83" s="10">
        <v>3363042</v>
      </c>
      <c r="AD83" s="10">
        <v>3471739</v>
      </c>
      <c r="AE83" s="10">
        <v>3577468</v>
      </c>
      <c r="AF83" s="10">
        <v>3678567</v>
      </c>
      <c r="AG83" s="10">
        <v>3774312</v>
      </c>
      <c r="AH83" s="10">
        <v>3862992</v>
      </c>
      <c r="AI83" s="10">
        <v>3945905</v>
      </c>
      <c r="AJ83" s="10">
        <v>4029053</v>
      </c>
      <c r="AK83" s="10">
        <v>4120616</v>
      </c>
      <c r="AL83" s="10">
        <v>4226291</v>
      </c>
      <c r="AM83" s="10">
        <v>4348805</v>
      </c>
      <c r="AN83" s="10">
        <v>4485951</v>
      </c>
      <c r="AO83" s="10">
        <v>4632446</v>
      </c>
      <c r="AP83" s="10">
        <v>4780448</v>
      </c>
      <c r="AQ83" s="10">
        <v>4924402</v>
      </c>
      <c r="AR83" s="10">
        <v>5062567</v>
      </c>
      <c r="AS83" s="10">
        <v>5197031</v>
      </c>
      <c r="AT83" s="10">
        <v>5330639</v>
      </c>
      <c r="AU83" s="10">
        <v>5467766</v>
      </c>
      <c r="AV83" s="10">
        <v>5611640</v>
      </c>
      <c r="AW83" s="10">
        <v>5762880</v>
      </c>
      <c r="AX83" s="10">
        <v>5920359</v>
      </c>
      <c r="AY83" s="10">
        <v>6083420</v>
      </c>
      <c r="AZ83" s="10">
        <v>6250835</v>
      </c>
      <c r="BA83" s="10">
        <v>6421679</v>
      </c>
      <c r="BB83" s="10">
        <v>6595943</v>
      </c>
      <c r="BC83" s="10">
        <v>6773807</v>
      </c>
      <c r="BD83" s="10">
        <v>6954721</v>
      </c>
      <c r="BE83" s="10">
        <v>7137997</v>
      </c>
      <c r="BF83" s="10">
        <v>7323158</v>
      </c>
      <c r="BG83" s="10">
        <v>7509952</v>
      </c>
      <c r="BH83" s="10">
        <v>7698475</v>
      </c>
      <c r="BI83" s="10">
        <v>7889094</v>
      </c>
      <c r="BJ83" s="10">
        <v>8082366</v>
      </c>
    </row>
    <row r="84" spans="1:62" x14ac:dyDescent="0.45">
      <c r="A84" t="s">
        <v>26</v>
      </c>
      <c r="B84" t="s">
        <v>156</v>
      </c>
      <c r="C84" s="10">
        <v>847979</v>
      </c>
      <c r="D84" s="10">
        <v>864818</v>
      </c>
      <c r="E84" s="10">
        <v>879441</v>
      </c>
      <c r="F84" s="10">
        <v>891944</v>
      </c>
      <c r="G84" s="10">
        <v>902613</v>
      </c>
      <c r="H84" s="10">
        <v>911737</v>
      </c>
      <c r="I84" s="10">
        <v>919217</v>
      </c>
      <c r="J84" s="10">
        <v>925235</v>
      </c>
      <c r="K84" s="10">
        <v>930795</v>
      </c>
      <c r="L84" s="10">
        <v>937186</v>
      </c>
      <c r="M84" s="10">
        <v>945360</v>
      </c>
      <c r="N84" s="10">
        <v>955741</v>
      </c>
      <c r="O84" s="10">
        <v>968136</v>
      </c>
      <c r="P84" s="10">
        <v>982010</v>
      </c>
      <c r="Q84" s="10">
        <v>996493</v>
      </c>
      <c r="R84" s="10">
        <v>1010936</v>
      </c>
      <c r="S84" s="10">
        <v>1025107</v>
      </c>
      <c r="T84" s="10">
        <v>1039212</v>
      </c>
      <c r="U84" s="10">
        <v>1053558</v>
      </c>
      <c r="V84" s="10">
        <v>1068640</v>
      </c>
      <c r="W84" s="10">
        <v>1084744</v>
      </c>
      <c r="X84" s="10">
        <v>1101983</v>
      </c>
      <c r="Y84" s="10">
        <v>1120020</v>
      </c>
      <c r="Z84" s="10">
        <v>1138071</v>
      </c>
      <c r="AA84" s="10">
        <v>1155074</v>
      </c>
      <c r="AB84" s="10">
        <v>1170285</v>
      </c>
      <c r="AC84" s="10">
        <v>1183381</v>
      </c>
      <c r="AD84" s="10">
        <v>1194541</v>
      </c>
      <c r="AE84" s="10">
        <v>1204153</v>
      </c>
      <c r="AF84" s="10">
        <v>1212857</v>
      </c>
      <c r="AG84" s="10">
        <v>1221116</v>
      </c>
      <c r="AH84" s="10">
        <v>1229103</v>
      </c>
      <c r="AI84" s="10">
        <v>1236683</v>
      </c>
      <c r="AJ84" s="10">
        <v>1243616</v>
      </c>
      <c r="AK84" s="10">
        <v>1249520</v>
      </c>
      <c r="AL84" s="10">
        <v>1254200</v>
      </c>
      <c r="AM84" s="10">
        <v>1257549</v>
      </c>
      <c r="AN84" s="10">
        <v>1259848</v>
      </c>
      <c r="AO84" s="10">
        <v>1261695</v>
      </c>
      <c r="AP84" s="10">
        <v>1263933</v>
      </c>
      <c r="AQ84" s="10">
        <v>1267153</v>
      </c>
      <c r="AR84" s="10">
        <v>1271632</v>
      </c>
      <c r="AS84" s="10">
        <v>1277213</v>
      </c>
      <c r="AT84" s="10">
        <v>1283559</v>
      </c>
      <c r="AU84" s="10">
        <v>1290123</v>
      </c>
      <c r="AV84" s="10">
        <v>1296502</v>
      </c>
      <c r="AW84" s="10">
        <v>1302561</v>
      </c>
      <c r="AX84" s="10">
        <v>1308451</v>
      </c>
      <c r="AY84" s="10">
        <v>1314443</v>
      </c>
      <c r="AZ84" s="10">
        <v>1320930</v>
      </c>
      <c r="BA84" s="10">
        <v>1328147</v>
      </c>
      <c r="BB84" s="10">
        <v>1336178</v>
      </c>
      <c r="BC84" s="10">
        <v>1344817</v>
      </c>
      <c r="BD84" s="10">
        <v>1353700</v>
      </c>
      <c r="BE84" s="10">
        <v>1362342</v>
      </c>
      <c r="BF84" s="10">
        <v>1370328</v>
      </c>
      <c r="BG84" s="10">
        <v>1377564</v>
      </c>
      <c r="BH84" s="10">
        <v>1384072</v>
      </c>
      <c r="BI84" s="10">
        <v>1389858</v>
      </c>
      <c r="BJ84" s="10">
        <v>1394973</v>
      </c>
    </row>
    <row r="85" spans="1:62" x14ac:dyDescent="0.45">
      <c r="A85" t="s">
        <v>26</v>
      </c>
      <c r="B85" t="s">
        <v>157</v>
      </c>
      <c r="C85" s="10">
        <v>27472344</v>
      </c>
      <c r="D85" s="10">
        <v>28146910</v>
      </c>
      <c r="E85" s="10">
        <v>28832828</v>
      </c>
      <c r="F85" s="10">
        <v>29531364</v>
      </c>
      <c r="G85" s="10">
        <v>30244260</v>
      </c>
      <c r="H85" s="10">
        <v>30972994</v>
      </c>
      <c r="I85" s="10">
        <v>31717508</v>
      </c>
      <c r="J85" s="10">
        <v>32477992</v>
      </c>
      <c r="K85" s="10">
        <v>33256464</v>
      </c>
      <c r="L85" s="10">
        <v>34055392</v>
      </c>
      <c r="M85" s="10">
        <v>34876304</v>
      </c>
      <c r="N85" s="10">
        <v>35720600</v>
      </c>
      <c r="O85" s="10">
        <v>36587260</v>
      </c>
      <c r="P85" s="10">
        <v>37472336</v>
      </c>
      <c r="Q85" s="10">
        <v>38370284</v>
      </c>
      <c r="R85" s="10">
        <v>39277256</v>
      </c>
      <c r="S85" s="10">
        <v>40189568</v>
      </c>
      <c r="T85" s="10">
        <v>41108296</v>
      </c>
      <c r="U85" s="10">
        <v>42039992</v>
      </c>
      <c r="V85" s="10">
        <v>42994040</v>
      </c>
      <c r="W85" s="10">
        <v>43975972</v>
      </c>
      <c r="X85" s="10">
        <v>44988416</v>
      </c>
      <c r="Y85" s="10">
        <v>46025412</v>
      </c>
      <c r="Z85" s="10">
        <v>47073472</v>
      </c>
      <c r="AA85" s="10">
        <v>48114156</v>
      </c>
      <c r="AB85" s="10">
        <v>49133936</v>
      </c>
      <c r="AC85" s="10">
        <v>50128540</v>
      </c>
      <c r="AD85" s="10">
        <v>51100924</v>
      </c>
      <c r="AE85" s="10">
        <v>52053764</v>
      </c>
      <c r="AF85" s="10">
        <v>52992488</v>
      </c>
      <c r="AG85" s="10">
        <v>53921760</v>
      </c>
      <c r="AH85" s="10">
        <v>54840592</v>
      </c>
      <c r="AI85" s="10">
        <v>55748948</v>
      </c>
      <c r="AJ85" s="10">
        <v>56653804</v>
      </c>
      <c r="AK85" s="10">
        <v>57564204</v>
      </c>
      <c r="AL85" s="10">
        <v>58486456</v>
      </c>
      <c r="AM85" s="10">
        <v>59423280</v>
      </c>
      <c r="AN85" s="10">
        <v>60372568</v>
      </c>
      <c r="AO85" s="10">
        <v>61329676</v>
      </c>
      <c r="AP85" s="10">
        <v>62287396</v>
      </c>
      <c r="AQ85" s="10">
        <v>63240192</v>
      </c>
      <c r="AR85" s="10">
        <v>64192244</v>
      </c>
      <c r="AS85" s="10">
        <v>65145368</v>
      </c>
      <c r="AT85" s="10">
        <v>66089400</v>
      </c>
      <c r="AU85" s="10">
        <v>67010928</v>
      </c>
      <c r="AV85" s="10">
        <v>67903472</v>
      </c>
      <c r="AW85" s="10">
        <v>68756808</v>
      </c>
      <c r="AX85" s="10">
        <v>69581848</v>
      </c>
      <c r="AY85" s="10">
        <v>70418608</v>
      </c>
      <c r="AZ85" s="10">
        <v>71321400</v>
      </c>
      <c r="BA85" s="10">
        <v>72326992</v>
      </c>
      <c r="BB85" s="10">
        <v>73443864</v>
      </c>
      <c r="BC85" s="10">
        <v>74653016</v>
      </c>
      <c r="BD85" s="10">
        <v>75928560</v>
      </c>
      <c r="BE85" s="10">
        <v>77231904</v>
      </c>
      <c r="BF85" s="10">
        <v>78529408</v>
      </c>
      <c r="BG85" s="10">
        <v>79821728</v>
      </c>
      <c r="BH85" s="10">
        <v>81101888</v>
      </c>
      <c r="BI85" s="10">
        <v>82319728</v>
      </c>
      <c r="BJ85" s="10">
        <v>83429616</v>
      </c>
    </row>
    <row r="86" spans="1:62" x14ac:dyDescent="0.45">
      <c r="A86" t="s">
        <v>26</v>
      </c>
      <c r="B86" t="s">
        <v>158</v>
      </c>
      <c r="C86" s="10">
        <v>2538643</v>
      </c>
      <c r="D86" s="10">
        <v>2571681</v>
      </c>
      <c r="E86" s="10">
        <v>2603882</v>
      </c>
      <c r="F86" s="10">
        <v>2635126</v>
      </c>
      <c r="G86" s="10">
        <v>2665388</v>
      </c>
      <c r="H86" s="10">
        <v>2694536</v>
      </c>
      <c r="I86" s="10">
        <v>2722875</v>
      </c>
      <c r="J86" s="10">
        <v>2750086</v>
      </c>
      <c r="K86" s="10">
        <v>2774759</v>
      </c>
      <c r="L86" s="10">
        <v>2795042</v>
      </c>
      <c r="M86" s="10">
        <v>2809793</v>
      </c>
      <c r="N86" s="10">
        <v>2818281</v>
      </c>
      <c r="O86" s="10">
        <v>2821461</v>
      </c>
      <c r="P86" s="10">
        <v>2822117</v>
      </c>
      <c r="Q86" s="10">
        <v>2824095</v>
      </c>
      <c r="R86" s="10">
        <v>2830176</v>
      </c>
      <c r="S86" s="10">
        <v>2841372</v>
      </c>
      <c r="T86" s="10">
        <v>2856958</v>
      </c>
      <c r="U86" s="10">
        <v>2875728</v>
      </c>
      <c r="V86" s="10">
        <v>2895688</v>
      </c>
      <c r="W86" s="10">
        <v>2915389</v>
      </c>
      <c r="X86" s="10">
        <v>2934613</v>
      </c>
      <c r="Y86" s="10">
        <v>2953852</v>
      </c>
      <c r="Z86" s="10">
        <v>2973036</v>
      </c>
      <c r="AA86" s="10">
        <v>2992246</v>
      </c>
      <c r="AB86" s="10">
        <v>3011519</v>
      </c>
      <c r="AC86" s="10">
        <v>3030649</v>
      </c>
      <c r="AD86" s="10">
        <v>3049581</v>
      </c>
      <c r="AE86" s="10">
        <v>3068705</v>
      </c>
      <c r="AF86" s="10">
        <v>3088595</v>
      </c>
      <c r="AG86" s="10">
        <v>3109601</v>
      </c>
      <c r="AH86" s="10">
        <v>3131660</v>
      </c>
      <c r="AI86" s="10">
        <v>3154464</v>
      </c>
      <c r="AJ86" s="10">
        <v>3177745</v>
      </c>
      <c r="AK86" s="10">
        <v>3201151</v>
      </c>
      <c r="AL86" s="10">
        <v>3224281</v>
      </c>
      <c r="AM86" s="10">
        <v>3247381</v>
      </c>
      <c r="AN86" s="10">
        <v>3270164</v>
      </c>
      <c r="AO86" s="10">
        <v>3291053</v>
      </c>
      <c r="AP86" s="10">
        <v>3308012</v>
      </c>
      <c r="AQ86" s="10">
        <v>3319736</v>
      </c>
      <c r="AR86" s="10">
        <v>3325473</v>
      </c>
      <c r="AS86" s="10">
        <v>3326040</v>
      </c>
      <c r="AT86" s="10">
        <v>3323668</v>
      </c>
      <c r="AU86" s="10">
        <v>3321476</v>
      </c>
      <c r="AV86" s="10">
        <v>3321803</v>
      </c>
      <c r="AW86" s="10">
        <v>3325401</v>
      </c>
      <c r="AX86" s="10">
        <v>3331749</v>
      </c>
      <c r="AY86" s="10">
        <v>3340221</v>
      </c>
      <c r="AZ86" s="10">
        <v>3349676</v>
      </c>
      <c r="BA86" s="10">
        <v>3359275</v>
      </c>
      <c r="BB86" s="10">
        <v>3368934</v>
      </c>
      <c r="BC86" s="10">
        <v>3378974</v>
      </c>
      <c r="BD86" s="10">
        <v>3389439</v>
      </c>
      <c r="BE86" s="10">
        <v>3400434</v>
      </c>
      <c r="BF86" s="10">
        <v>3412009</v>
      </c>
      <c r="BG86" s="10">
        <v>3424132</v>
      </c>
      <c r="BH86" s="10">
        <v>3436646</v>
      </c>
      <c r="BI86" s="10">
        <v>3449299</v>
      </c>
      <c r="BJ86" s="10">
        <v>3461734</v>
      </c>
    </row>
    <row r="87" spans="1:62" x14ac:dyDescent="0.45">
      <c r="A87" t="s">
        <v>26</v>
      </c>
      <c r="B87" t="s">
        <v>159</v>
      </c>
      <c r="C87" s="10">
        <v>3070776</v>
      </c>
      <c r="D87" s="10">
        <v>3164329</v>
      </c>
      <c r="E87" s="10">
        <v>3260650</v>
      </c>
      <c r="F87" s="10">
        <v>3360104</v>
      </c>
      <c r="G87" s="10">
        <v>3463213</v>
      </c>
      <c r="H87" s="10">
        <v>3570464</v>
      </c>
      <c r="I87" s="10">
        <v>3681955</v>
      </c>
      <c r="J87" s="10">
        <v>3797873</v>
      </c>
      <c r="K87" s="10">
        <v>3918872</v>
      </c>
      <c r="L87" s="10">
        <v>4045740</v>
      </c>
      <c r="M87" s="10">
        <v>4179067</v>
      </c>
      <c r="N87" s="10">
        <v>4319224</v>
      </c>
      <c r="O87" s="10">
        <v>4466174</v>
      </c>
      <c r="P87" s="10">
        <v>4619546</v>
      </c>
      <c r="Q87" s="10">
        <v>4778724</v>
      </c>
      <c r="R87" s="10">
        <v>4943283</v>
      </c>
      <c r="S87" s="10">
        <v>5112823</v>
      </c>
      <c r="T87" s="10">
        <v>5287548</v>
      </c>
      <c r="U87" s="10">
        <v>5468262</v>
      </c>
      <c r="V87" s="10">
        <v>5656139</v>
      </c>
      <c r="W87" s="10">
        <v>5851825</v>
      </c>
      <c r="X87" s="10">
        <v>6055366</v>
      </c>
      <c r="Y87" s="10">
        <v>6265864</v>
      </c>
      <c r="Z87" s="10">
        <v>6481916</v>
      </c>
      <c r="AA87" s="10">
        <v>6701540</v>
      </c>
      <c r="AB87" s="10">
        <v>6923149</v>
      </c>
      <c r="AC87" s="10">
        <v>7146969</v>
      </c>
      <c r="AD87" s="10">
        <v>7372837</v>
      </c>
      <c r="AE87" s="10">
        <v>7598275</v>
      </c>
      <c r="AF87" s="10">
        <v>7820205</v>
      </c>
      <c r="AG87" s="10">
        <v>8036845</v>
      </c>
      <c r="AH87" s="10">
        <v>8246656</v>
      </c>
      <c r="AI87" s="10">
        <v>8451347</v>
      </c>
      <c r="AJ87" s="10">
        <v>8656486</v>
      </c>
      <c r="AK87" s="10">
        <v>8869740</v>
      </c>
      <c r="AL87" s="10">
        <v>9096607</v>
      </c>
      <c r="AM87" s="10">
        <v>9339733</v>
      </c>
      <c r="AN87" s="10">
        <v>9597609</v>
      </c>
      <c r="AO87" s="10">
        <v>9866476</v>
      </c>
      <c r="AP87" s="10">
        <v>10140561</v>
      </c>
      <c r="AQ87" s="10">
        <v>10415944</v>
      </c>
      <c r="AR87" s="10">
        <v>10692193</v>
      </c>
      <c r="AS87" s="10">
        <v>10971698</v>
      </c>
      <c r="AT87" s="10">
        <v>11256743</v>
      </c>
      <c r="AU87" s="10">
        <v>11550642</v>
      </c>
      <c r="AV87" s="10">
        <v>11856247</v>
      </c>
      <c r="AW87" s="10">
        <v>12173514</v>
      </c>
      <c r="AX87" s="10">
        <v>12502958</v>
      </c>
      <c r="AY87" s="10">
        <v>12848530</v>
      </c>
      <c r="AZ87" s="10">
        <v>13215139</v>
      </c>
      <c r="BA87" s="10">
        <v>13605984</v>
      </c>
      <c r="BB87" s="10">
        <v>14023193</v>
      </c>
      <c r="BC87" s="10">
        <v>14465121</v>
      </c>
      <c r="BD87" s="10">
        <v>14926504</v>
      </c>
      <c r="BE87" s="10">
        <v>15399753</v>
      </c>
      <c r="BF87" s="10">
        <v>15879361</v>
      </c>
      <c r="BG87" s="10">
        <v>16363507</v>
      </c>
      <c r="BH87" s="10">
        <v>16853688</v>
      </c>
      <c r="BI87" s="10">
        <v>17351822</v>
      </c>
      <c r="BJ87" s="10">
        <v>17861030</v>
      </c>
    </row>
    <row r="88" spans="1:62" x14ac:dyDescent="0.45">
      <c r="A88" t="s">
        <v>26</v>
      </c>
      <c r="B88" t="s">
        <v>160</v>
      </c>
      <c r="C88" s="10">
        <v>3776681</v>
      </c>
      <c r="D88" s="10">
        <v>3905034</v>
      </c>
      <c r="E88" s="10">
        <v>4039201</v>
      </c>
      <c r="F88" s="10">
        <v>4178726</v>
      </c>
      <c r="G88" s="10">
        <v>4322861</v>
      </c>
      <c r="H88" s="10">
        <v>4471177</v>
      </c>
      <c r="I88" s="10">
        <v>4623351</v>
      </c>
      <c r="J88" s="10">
        <v>4779827</v>
      </c>
      <c r="K88" s="10">
        <v>4941906</v>
      </c>
      <c r="L88" s="10">
        <v>5111337</v>
      </c>
      <c r="M88" s="10">
        <v>5289303</v>
      </c>
      <c r="N88" s="10">
        <v>5476982</v>
      </c>
      <c r="O88" s="10">
        <v>5673911</v>
      </c>
      <c r="P88" s="10">
        <v>5877726</v>
      </c>
      <c r="Q88" s="10">
        <v>6085074</v>
      </c>
      <c r="R88" s="10">
        <v>6293875</v>
      </c>
      <c r="S88" s="10">
        <v>6502569</v>
      </c>
      <c r="T88" s="10">
        <v>6712827</v>
      </c>
      <c r="U88" s="10">
        <v>6929664</v>
      </c>
      <c r="V88" s="10">
        <v>7160023</v>
      </c>
      <c r="W88" s="10">
        <v>7408624</v>
      </c>
      <c r="X88" s="10">
        <v>7675591</v>
      </c>
      <c r="Y88" s="10">
        <v>7958241</v>
      </c>
      <c r="Z88" s="10">
        <v>8254747</v>
      </c>
      <c r="AA88" s="10">
        <v>8562249</v>
      </c>
      <c r="AB88" s="10">
        <v>8877489</v>
      </c>
      <c r="AC88" s="10">
        <v>9200149</v>
      </c>
      <c r="AD88" s="10">
        <v>9527203</v>
      </c>
      <c r="AE88" s="10">
        <v>9849125</v>
      </c>
      <c r="AF88" s="10">
        <v>10153852</v>
      </c>
      <c r="AG88" s="10">
        <v>10432421</v>
      </c>
      <c r="AH88" s="10">
        <v>10680995</v>
      </c>
      <c r="AI88" s="10">
        <v>10900502</v>
      </c>
      <c r="AJ88" s="10">
        <v>11092766</v>
      </c>
      <c r="AK88" s="10">
        <v>11261744</v>
      </c>
      <c r="AL88" s="10">
        <v>11410714</v>
      </c>
      <c r="AM88" s="10">
        <v>11541217</v>
      </c>
      <c r="AN88" s="10">
        <v>11653242</v>
      </c>
      <c r="AO88" s="10">
        <v>11747072</v>
      </c>
      <c r="AP88" s="10">
        <v>11822719</v>
      </c>
      <c r="AQ88" s="10">
        <v>11881477</v>
      </c>
      <c r="AR88" s="10">
        <v>11923914</v>
      </c>
      <c r="AS88" s="10">
        <v>11954290</v>
      </c>
      <c r="AT88" s="10">
        <v>11982224</v>
      </c>
      <c r="AU88" s="10">
        <v>12019912</v>
      </c>
      <c r="AV88" s="10">
        <v>12076699</v>
      </c>
      <c r="AW88" s="10">
        <v>12155491</v>
      </c>
      <c r="AX88" s="10">
        <v>12255922</v>
      </c>
      <c r="AY88" s="10">
        <v>12379549</v>
      </c>
      <c r="AZ88" s="10">
        <v>12526968</v>
      </c>
      <c r="BA88" s="10">
        <v>12697723</v>
      </c>
      <c r="BB88" s="10">
        <v>12894316</v>
      </c>
      <c r="BC88" s="10">
        <v>13115131</v>
      </c>
      <c r="BD88" s="10">
        <v>13350356</v>
      </c>
      <c r="BE88" s="10">
        <v>13586681</v>
      </c>
      <c r="BF88" s="10">
        <v>13814629</v>
      </c>
      <c r="BG88" s="10">
        <v>14030390</v>
      </c>
      <c r="BH88" s="10">
        <v>14236745</v>
      </c>
      <c r="BI88" s="10">
        <v>14439018</v>
      </c>
      <c r="BJ88" s="10">
        <v>14645468</v>
      </c>
    </row>
    <row r="90" spans="1:62" x14ac:dyDescent="0.45">
      <c r="A90" t="s">
        <v>308</v>
      </c>
      <c r="B90" t="str">
        <f>B31</f>
        <v>Bahamas</v>
      </c>
      <c r="C90">
        <f>GDP!C31/C31</f>
        <v>1550.2393777274635</v>
      </c>
      <c r="D90" cm="1">
        <f t="array" ref="D90">SUM(ABS(C90:C147-TRANSPOSE(C90:C147)))</f>
        <v>698246.38806321018</v>
      </c>
      <c r="E90">
        <f>D90/(58*58)</f>
        <v>207.56432463234549</v>
      </c>
    </row>
    <row r="91" spans="1:62" x14ac:dyDescent="0.45">
      <c r="B91" t="str">
        <f>B32</f>
        <v>Bangladesh</v>
      </c>
      <c r="C91">
        <f>GDP!C32/C32</f>
        <v>89.035239419310031</v>
      </c>
      <c r="D91">
        <f>E149*2</f>
        <v>483.23104463053568</v>
      </c>
      <c r="E91">
        <f>E90/D91</f>
        <v>0.42953433339748093</v>
      </c>
    </row>
    <row r="92" spans="1:62" x14ac:dyDescent="0.45">
      <c r="B92" t="str">
        <f t="shared" ref="B92:B147" si="10">B33</f>
        <v>Belize</v>
      </c>
      <c r="C92">
        <f>GDP!C33/C33</f>
        <v>304.91710114702818</v>
      </c>
    </row>
    <row r="93" spans="1:62" x14ac:dyDescent="0.45">
      <c r="B93" t="str">
        <f t="shared" si="10"/>
        <v>Benin</v>
      </c>
      <c r="C93">
        <f>GDP!C34/C34</f>
        <v>93.022510900131678</v>
      </c>
    </row>
    <row r="94" spans="1:62" x14ac:dyDescent="0.45">
      <c r="B94" t="str">
        <f t="shared" si="10"/>
        <v>Bolivia</v>
      </c>
      <c r="C94">
        <f>GDP!C35/C35</f>
        <v>102.23788917282275</v>
      </c>
    </row>
    <row r="95" spans="1:62" x14ac:dyDescent="0.45">
      <c r="B95" t="str">
        <f t="shared" si="10"/>
        <v>Botswana</v>
      </c>
      <c r="C95">
        <f>GDP!C36/C36</f>
        <v>60.492512108524203</v>
      </c>
    </row>
    <row r="96" spans="1:62" x14ac:dyDescent="0.45">
      <c r="B96" t="str">
        <f t="shared" si="10"/>
        <v>Brazil</v>
      </c>
      <c r="C96">
        <f>GDP!C37/C37</f>
        <v>210.10990708351201</v>
      </c>
    </row>
    <row r="97" spans="2:3" x14ac:dyDescent="0.45">
      <c r="B97" t="str">
        <f t="shared" si="10"/>
        <v>Burkina Faso</v>
      </c>
      <c r="C97">
        <f>GDP!C38/C38</f>
        <v>68.424748327289649</v>
      </c>
    </row>
    <row r="98" spans="2:3" x14ac:dyDescent="0.45">
      <c r="B98" t="str">
        <f t="shared" si="10"/>
        <v>Burundi</v>
      </c>
      <c r="C98">
        <f>GDP!C39/C39</f>
        <v>70.051732493856179</v>
      </c>
    </row>
    <row r="99" spans="2:3" x14ac:dyDescent="0.45">
      <c r="B99" t="str">
        <f t="shared" si="10"/>
        <v>Cameroon</v>
      </c>
      <c r="C99">
        <f>GDP!C40/C40</f>
        <v>119.519179558185</v>
      </c>
    </row>
    <row r="100" spans="2:3" x14ac:dyDescent="0.45">
      <c r="B100" t="str">
        <f t="shared" si="10"/>
        <v>Central African Republic</v>
      </c>
      <c r="C100">
        <f>GDP!C41/C41</f>
        <v>74.687347669391642</v>
      </c>
    </row>
    <row r="101" spans="2:3" x14ac:dyDescent="0.45">
      <c r="B101" t="str">
        <f t="shared" si="10"/>
        <v>Chad</v>
      </c>
      <c r="C101">
        <f>GDP!C42/C42</f>
        <v>104.47154176310106</v>
      </c>
    </row>
    <row r="102" spans="2:3" x14ac:dyDescent="0.45">
      <c r="B102" t="str">
        <f t="shared" si="10"/>
        <v>Chile</v>
      </c>
      <c r="C102">
        <f>GDP!C43/C43</f>
        <v>505.34921695465016</v>
      </c>
    </row>
    <row r="103" spans="2:3" x14ac:dyDescent="0.45">
      <c r="B103" t="str">
        <f t="shared" si="10"/>
        <v>Colombia</v>
      </c>
      <c r="C103">
        <f>GDP!C44/C44</f>
        <v>251.04136152794754</v>
      </c>
    </row>
    <row r="104" spans="2:3" x14ac:dyDescent="0.45">
      <c r="B104" t="str">
        <f t="shared" si="10"/>
        <v>Congo DR</v>
      </c>
      <c r="C104">
        <f>GDP!C45/C45</f>
        <v>220.31405647769046</v>
      </c>
    </row>
    <row r="105" spans="2:3" x14ac:dyDescent="0.45">
      <c r="B105" t="str">
        <f t="shared" si="10"/>
        <v>Congo R</v>
      </c>
      <c r="C105">
        <f>GDP!C46/C46</f>
        <v>129.37046490410538</v>
      </c>
    </row>
    <row r="106" spans="2:3" x14ac:dyDescent="0.45">
      <c r="B106" t="str">
        <f t="shared" si="10"/>
        <v>Costa Rica</v>
      </c>
      <c r="C106">
        <f>GDP!C47/C47</f>
        <v>381.36511013824952</v>
      </c>
    </row>
    <row r="107" spans="2:3" x14ac:dyDescent="0.45">
      <c r="B107" t="str">
        <f t="shared" si="10"/>
        <v>Cote d'Ivoire</v>
      </c>
      <c r="C107">
        <f>GDP!C48/C48</f>
        <v>155.89990618095402</v>
      </c>
    </row>
    <row r="108" spans="2:3" x14ac:dyDescent="0.45">
      <c r="B108" t="str">
        <f t="shared" si="10"/>
        <v>Dominican Republic</v>
      </c>
      <c r="C108">
        <f>GDP!C49/C49</f>
        <v>204.11474143834783</v>
      </c>
    </row>
    <row r="109" spans="2:3" x14ac:dyDescent="0.45">
      <c r="B109" t="str">
        <f t="shared" si="10"/>
        <v>Ecuador</v>
      </c>
      <c r="C109">
        <f>GDP!C50/C50</f>
        <v>455.46159070671126</v>
      </c>
    </row>
    <row r="110" spans="2:3" x14ac:dyDescent="0.45">
      <c r="B110" t="str">
        <f t="shared" si="10"/>
        <v>Fiji</v>
      </c>
      <c r="C110">
        <f>GDP!C51/C51</f>
        <v>285.47356543263845</v>
      </c>
    </row>
    <row r="111" spans="2:3" x14ac:dyDescent="0.45">
      <c r="B111" t="str">
        <f t="shared" si="10"/>
        <v>Gabon</v>
      </c>
      <c r="C111">
        <f>GDP!C52/C52</f>
        <v>282.4137920020442</v>
      </c>
    </row>
    <row r="112" spans="2:3" x14ac:dyDescent="0.45">
      <c r="B112" t="str">
        <f t="shared" si="10"/>
        <v>Ghana</v>
      </c>
      <c r="C112">
        <f>GDP!C53/C53</f>
        <v>183.44956843997872</v>
      </c>
    </row>
    <row r="113" spans="2:3" x14ac:dyDescent="0.45">
      <c r="B113" t="str">
        <f t="shared" si="10"/>
        <v>Guatemala</v>
      </c>
      <c r="C113">
        <f>GDP!C54/C54</f>
        <v>252.75616438356164</v>
      </c>
    </row>
    <row r="114" spans="2:3" x14ac:dyDescent="0.45">
      <c r="B114" t="str">
        <f t="shared" si="10"/>
        <v>Guyana</v>
      </c>
      <c r="C114">
        <f>GDP!C55/C55</f>
        <v>297.67329871865047</v>
      </c>
    </row>
    <row r="115" spans="2:3" x14ac:dyDescent="0.45">
      <c r="B115" t="str">
        <f t="shared" si="10"/>
        <v>Haiti</v>
      </c>
      <c r="C115">
        <f>GDP!C56/C56</f>
        <v>70.661139389249129</v>
      </c>
    </row>
    <row r="116" spans="2:3" x14ac:dyDescent="0.45">
      <c r="B116" t="str">
        <f t="shared" si="10"/>
        <v>Honduras</v>
      </c>
      <c r="C116">
        <f>GDP!C57/C57</f>
        <v>164.6447146910281</v>
      </c>
    </row>
    <row r="117" spans="2:3" x14ac:dyDescent="0.45">
      <c r="B117" t="str">
        <f t="shared" si="10"/>
        <v>India</v>
      </c>
      <c r="C117">
        <f>GDP!C58/C58</f>
        <v>82.188601890037475</v>
      </c>
    </row>
    <row r="118" spans="2:3" x14ac:dyDescent="0.45">
      <c r="B118" t="str">
        <f t="shared" si="10"/>
        <v>Kenya</v>
      </c>
      <c r="C118">
        <f>GDP!C59/C59</f>
        <v>97.445526645057683</v>
      </c>
    </row>
    <row r="119" spans="2:3" x14ac:dyDescent="0.45">
      <c r="B119" t="str">
        <f t="shared" si="10"/>
        <v>Lesotho</v>
      </c>
      <c r="C119">
        <f>GDP!C60/C60</f>
        <v>41.300068078397651</v>
      </c>
    </row>
    <row r="120" spans="2:3" x14ac:dyDescent="0.45">
      <c r="B120" t="str">
        <f t="shared" si="10"/>
        <v>Madagascar</v>
      </c>
      <c r="C120">
        <f>GDP!C61/C61</f>
        <v>131.99303679099373</v>
      </c>
    </row>
    <row r="121" spans="2:3" x14ac:dyDescent="0.45">
      <c r="B121" t="str">
        <f t="shared" si="10"/>
        <v>Malawi</v>
      </c>
      <c r="C121">
        <f>GDP!C62/C62</f>
        <v>44.523893000625137</v>
      </c>
    </row>
    <row r="122" spans="2:3" x14ac:dyDescent="0.45">
      <c r="B122" t="str">
        <f t="shared" si="10"/>
        <v>Malaysia</v>
      </c>
      <c r="C122">
        <f>GDP!C63/C63</f>
        <v>234.93875971681931</v>
      </c>
    </row>
    <row r="123" spans="2:3" x14ac:dyDescent="0.45">
      <c r="B123" t="str">
        <f t="shared" si="10"/>
        <v>Mexico</v>
      </c>
      <c r="C123">
        <f>GDP!C64/C64</f>
        <v>345.23054993849917</v>
      </c>
    </row>
    <row r="124" spans="2:3" x14ac:dyDescent="0.45">
      <c r="B124" t="str">
        <f t="shared" si="10"/>
        <v>Nepal</v>
      </c>
      <c r="C124">
        <f>GDP!C65/C65</f>
        <v>50.304986120800983</v>
      </c>
    </row>
    <row r="125" spans="2:3" x14ac:dyDescent="0.45">
      <c r="B125" t="str">
        <f t="shared" si="10"/>
        <v>Nicaragua</v>
      </c>
      <c r="C125">
        <f>GDP!C66/C66</f>
        <v>126.24838463529726</v>
      </c>
    </row>
    <row r="126" spans="2:3" x14ac:dyDescent="0.45">
      <c r="B126" t="str">
        <f t="shared" si="10"/>
        <v>Niger</v>
      </c>
      <c r="C126">
        <f>GDP!C67/C67</f>
        <v>132.65216462403401</v>
      </c>
    </row>
    <row r="127" spans="2:3" x14ac:dyDescent="0.45">
      <c r="B127" t="str">
        <f t="shared" si="10"/>
        <v>Nigeria</v>
      </c>
      <c r="C127">
        <f>GDP!C68/C68</f>
        <v>92.960471665224887</v>
      </c>
    </row>
    <row r="128" spans="2:3" x14ac:dyDescent="0.45">
      <c r="B128" t="str">
        <f t="shared" si="10"/>
        <v>Pakistan</v>
      </c>
      <c r="C128">
        <f>GDP!C69/C69</f>
        <v>83.337946996809507</v>
      </c>
    </row>
    <row r="129" spans="2:3" x14ac:dyDescent="0.45">
      <c r="B129" t="str">
        <f t="shared" si="10"/>
        <v>Panama</v>
      </c>
      <c r="C129">
        <f>GDP!C70/C70</f>
        <v>474.09399318797841</v>
      </c>
    </row>
    <row r="130" spans="2:3" x14ac:dyDescent="0.45">
      <c r="B130" t="str">
        <f t="shared" si="10"/>
        <v>Papua New Guinea</v>
      </c>
      <c r="C130">
        <f>GDP!C71/C71</f>
        <v>102.17661298866641</v>
      </c>
    </row>
    <row r="131" spans="2:3" x14ac:dyDescent="0.45">
      <c r="B131" t="str">
        <f t="shared" si="10"/>
        <v>Peru</v>
      </c>
      <c r="C131">
        <f>GDP!C72/C72</f>
        <v>253.26482491655599</v>
      </c>
    </row>
    <row r="132" spans="2:3" x14ac:dyDescent="0.45">
      <c r="B132" t="str">
        <f t="shared" si="10"/>
        <v>Philippines</v>
      </c>
      <c r="C132">
        <f>GDP!C73/C73</f>
        <v>254.45893650845494</v>
      </c>
    </row>
    <row r="133" spans="2:3" x14ac:dyDescent="0.45">
      <c r="B133" t="str">
        <f t="shared" si="10"/>
        <v>Puerto Rico</v>
      </c>
      <c r="C133">
        <f>GDP!C74/C74</f>
        <v>717.51485665818495</v>
      </c>
    </row>
    <row r="134" spans="2:3" x14ac:dyDescent="0.45">
      <c r="B134" t="str">
        <f t="shared" si="10"/>
        <v>Rwanda</v>
      </c>
      <c r="C134">
        <f>GDP!C75/C75</f>
        <v>40.537114616454247</v>
      </c>
    </row>
    <row r="135" spans="2:3" x14ac:dyDescent="0.45">
      <c r="B135" t="str">
        <f t="shared" si="10"/>
        <v>Senegal</v>
      </c>
      <c r="C135">
        <f>GDP!C76/C76</f>
        <v>312.99373664730228</v>
      </c>
    </row>
    <row r="136" spans="2:3" x14ac:dyDescent="0.45">
      <c r="B136" t="str">
        <f t="shared" si="10"/>
        <v>Seychelles</v>
      </c>
      <c r="C136">
        <f>GDP!C77/C77</f>
        <v>288.05815347721824</v>
      </c>
    </row>
    <row r="137" spans="2:3" x14ac:dyDescent="0.45">
      <c r="B137" t="str">
        <f t="shared" si="10"/>
        <v>Sierra Leone</v>
      </c>
      <c r="C137">
        <f>GDP!C78/C78</f>
        <v>138.93876001235742</v>
      </c>
    </row>
    <row r="138" spans="2:3" x14ac:dyDescent="0.45">
      <c r="B138" t="str">
        <f t="shared" si="10"/>
        <v>South Africa</v>
      </c>
      <c r="C138">
        <f>GDP!C79/C79</f>
        <v>443.00980968242976</v>
      </c>
    </row>
    <row r="139" spans="2:3" x14ac:dyDescent="0.45">
      <c r="B139" t="str">
        <f t="shared" si="10"/>
        <v>Sudan (Former)</v>
      </c>
      <c r="C139">
        <f>GDP!C80/C80</f>
        <v>173.28317788436621</v>
      </c>
    </row>
    <row r="140" spans="2:3" x14ac:dyDescent="0.45">
      <c r="B140" t="str">
        <f t="shared" si="10"/>
        <v>Suriname</v>
      </c>
      <c r="C140">
        <f>GDP!C81/C81</f>
        <v>346.16199617189642</v>
      </c>
    </row>
    <row r="141" spans="2:3" x14ac:dyDescent="0.45">
      <c r="B141" t="str">
        <f t="shared" si="10"/>
        <v>Thailand</v>
      </c>
      <c r="C141">
        <f>GDP!C82/C82</f>
        <v>100.76747674434563</v>
      </c>
    </row>
    <row r="142" spans="2:3" x14ac:dyDescent="0.45">
      <c r="B142" t="str">
        <f t="shared" si="10"/>
        <v>Togo</v>
      </c>
      <c r="C142">
        <f>GDP!C83/C83</f>
        <v>76.638453464160051</v>
      </c>
    </row>
    <row r="143" spans="2:3" x14ac:dyDescent="0.45">
      <c r="B143" t="str">
        <f t="shared" si="10"/>
        <v>Trinidad and Tobago</v>
      </c>
      <c r="C143">
        <f>GDP!C84/C84</f>
        <v>631.70209639625511</v>
      </c>
    </row>
    <row r="144" spans="2:3" x14ac:dyDescent="0.45">
      <c r="B144" t="str">
        <f t="shared" si="10"/>
        <v>Turkey</v>
      </c>
      <c r="C144">
        <f>GDP!C85/C85</f>
        <v>509.42385520507457</v>
      </c>
    </row>
    <row r="145" spans="2:5" x14ac:dyDescent="0.45">
      <c r="B145" t="str">
        <f t="shared" si="10"/>
        <v>Uruguay</v>
      </c>
      <c r="C145">
        <f>GDP!C86/C86</f>
        <v>489.35170482813061</v>
      </c>
    </row>
    <row r="146" spans="2:5" x14ac:dyDescent="0.45">
      <c r="B146" t="str">
        <f t="shared" si="10"/>
        <v>Zambia</v>
      </c>
      <c r="C146">
        <f>GDP!C87/C87</f>
        <v>232.18886691832944</v>
      </c>
    </row>
    <row r="147" spans="2:5" x14ac:dyDescent="0.45">
      <c r="B147" t="str">
        <f t="shared" si="10"/>
        <v>Zimbabwe</v>
      </c>
      <c r="C147">
        <f>GDP!C88/C88</f>
        <v>278.81369911835287</v>
      </c>
    </row>
    <row r="149" spans="2:5" x14ac:dyDescent="0.45">
      <c r="C149">
        <f>SUM(C90:C147)</f>
        <v>14013.700294285534</v>
      </c>
      <c r="D149">
        <f>COUNT(C90:C147)</f>
        <v>58</v>
      </c>
      <c r="E149">
        <f>C149/D149</f>
        <v>241.61552231526784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A0DA-3446-4B50-AC05-297F08F1834C}">
  <sheetPr codeName="Sheet3"/>
  <dimension ref="A1:CG88"/>
  <sheetViews>
    <sheetView workbookViewId="0">
      <pane xSplit="2" ySplit="11" topLeftCell="C32" activePane="bottomRight" state="frozen"/>
      <selection pane="topRight" activeCell="C1" sqref="C1"/>
      <selection pane="bottomLeft" activeCell="A13" sqref="A13"/>
      <selection pane="bottomRight" activeCell="I58" sqref="I58"/>
    </sheetView>
  </sheetViews>
  <sheetFormatPr defaultRowHeight="14.25" x14ac:dyDescent="0.45"/>
  <cols>
    <col min="1" max="1" width="24.265625" customWidth="1"/>
    <col min="2" max="2" width="21.59765625" bestFit="1" customWidth="1"/>
    <col min="3" max="11" width="17.9296875" bestFit="1" customWidth="1"/>
    <col min="12" max="42" width="19.3984375" bestFit="1" customWidth="1"/>
    <col min="43" max="62" width="20.39843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85" x14ac:dyDescent="0.45">
      <c r="B1" t="s">
        <v>26</v>
      </c>
      <c r="C1" s="11">
        <f>SUMIF($A$12:$A$88,$B1,C$12:C$88)</f>
        <v>145912389081</v>
      </c>
      <c r="D1" s="11">
        <f t="shared" ref="D1:BJ1" si="0">SUMIF($A$12:$A$88,$B1,D$12:D$88)</f>
        <v>147801382010</v>
      </c>
      <c r="E1" s="11">
        <f t="shared" si="0"/>
        <v>159929834849</v>
      </c>
      <c r="F1" s="11">
        <f t="shared" si="0"/>
        <v>179793640645</v>
      </c>
      <c r="G1" s="11">
        <f t="shared" si="0"/>
        <v>194403622468</v>
      </c>
      <c r="H1" s="11">
        <f t="shared" si="0"/>
        <v>208333333521</v>
      </c>
      <c r="I1" s="11">
        <f t="shared" si="0"/>
        <v>212889788243</v>
      </c>
      <c r="J1" s="11">
        <f t="shared" si="0"/>
        <v>227794355293</v>
      </c>
      <c r="K1" s="11">
        <f t="shared" si="0"/>
        <v>244289214435</v>
      </c>
      <c r="L1" s="11">
        <f t="shared" si="0"/>
        <v>272444783232</v>
      </c>
      <c r="M1" s="11">
        <f t="shared" si="0"/>
        <v>295223471860</v>
      </c>
      <c r="N1" s="11">
        <f t="shared" si="0"/>
        <v>317764298740</v>
      </c>
      <c r="O1" s="11">
        <f t="shared" si="0"/>
        <v>351949334284</v>
      </c>
      <c r="P1" s="11">
        <f t="shared" si="0"/>
        <v>440314169304</v>
      </c>
      <c r="Q1" s="11">
        <f t="shared" si="0"/>
        <v>559962613852</v>
      </c>
      <c r="R1" s="11">
        <f t="shared" si="0"/>
        <v>623649340032</v>
      </c>
      <c r="S1" s="11">
        <f t="shared" si="0"/>
        <v>682456611452</v>
      </c>
      <c r="T1" s="11">
        <f t="shared" si="0"/>
        <v>761029115088</v>
      </c>
      <c r="U1" s="11">
        <f t="shared" si="0"/>
        <v>872425263616</v>
      </c>
      <c r="V1" s="11">
        <f t="shared" si="0"/>
        <v>1043591392424</v>
      </c>
      <c r="W1" s="11">
        <f t="shared" si="0"/>
        <v>1239186689072</v>
      </c>
      <c r="X1" s="11">
        <f t="shared" si="0"/>
        <v>1471517764368</v>
      </c>
      <c r="Y1" s="11">
        <f t="shared" si="0"/>
        <v>1380037286256</v>
      </c>
      <c r="Z1" s="11">
        <f t="shared" si="0"/>
        <v>1229984960672</v>
      </c>
      <c r="AA1" s="11">
        <f t="shared" si="0"/>
        <v>1232251851040</v>
      </c>
      <c r="AB1" s="11">
        <f t="shared" si="0"/>
        <v>1253749786800</v>
      </c>
      <c r="AC1" s="11">
        <f t="shared" si="0"/>
        <v>1266139345008</v>
      </c>
      <c r="AD1" s="11">
        <f t="shared" si="0"/>
        <v>1409411657216</v>
      </c>
      <c r="AE1" s="11">
        <f t="shared" si="0"/>
        <v>1537029355936</v>
      </c>
      <c r="AF1" s="11">
        <f t="shared" si="0"/>
        <v>1722601083072</v>
      </c>
      <c r="AG1" s="11">
        <f t="shared" si="0"/>
        <v>1945157529696</v>
      </c>
      <c r="AH1" s="11">
        <f t="shared" si="0"/>
        <v>2141065382240</v>
      </c>
      <c r="AI1" s="11">
        <f t="shared" si="0"/>
        <v>2080614294368</v>
      </c>
      <c r="AJ1" s="11">
        <f t="shared" si="0"/>
        <v>2300464285440</v>
      </c>
      <c r="AK1" s="11">
        <f t="shared" si="0"/>
        <v>2530590690816</v>
      </c>
      <c r="AL1" s="11">
        <f t="shared" si="0"/>
        <v>2793225049472</v>
      </c>
      <c r="AM1" s="11">
        <f t="shared" si="0"/>
        <v>3042474791296</v>
      </c>
      <c r="AN1" s="11">
        <f t="shared" si="0"/>
        <v>3213334508032</v>
      </c>
      <c r="AO1" s="11">
        <f t="shared" si="0"/>
        <v>3221335171840</v>
      </c>
      <c r="AP1" s="11">
        <f t="shared" si="0"/>
        <v>3057572145600</v>
      </c>
      <c r="AQ1" s="11">
        <f t="shared" si="0"/>
        <v>3330665685248</v>
      </c>
      <c r="AR1" s="11">
        <f t="shared" si="0"/>
        <v>3202739511232</v>
      </c>
      <c r="AS1" s="11">
        <f t="shared" si="0"/>
        <v>3295317594368</v>
      </c>
      <c r="AT1" s="11">
        <f t="shared" si="0"/>
        <v>3622123760704</v>
      </c>
      <c r="AU1" s="11">
        <f t="shared" si="0"/>
        <v>4229233275264</v>
      </c>
      <c r="AV1" s="11">
        <f t="shared" si="0"/>
        <v>5015567037504</v>
      </c>
      <c r="AW1" s="11">
        <f t="shared" si="0"/>
        <v>5801783146560</v>
      </c>
      <c r="AX1" s="11">
        <f t="shared" si="0"/>
        <v>6919243241792</v>
      </c>
      <c r="AY1" s="11">
        <f t="shared" si="0"/>
        <v>7684460041984</v>
      </c>
      <c r="AZ1" s="11">
        <f t="shared" si="0"/>
        <v>7367048989632</v>
      </c>
      <c r="BA1" s="11">
        <f t="shared" si="0"/>
        <v>9066043917824</v>
      </c>
      <c r="BB1" s="11">
        <f t="shared" si="0"/>
        <v>10245588401792</v>
      </c>
      <c r="BC1" s="11">
        <f t="shared" si="0"/>
        <v>10400885893440</v>
      </c>
      <c r="BD1" s="11">
        <f t="shared" si="0"/>
        <v>10810007105280</v>
      </c>
      <c r="BE1" s="11">
        <f t="shared" si="0"/>
        <v>11121052034944</v>
      </c>
      <c r="BF1" s="11">
        <f t="shared" si="0"/>
        <v>10103201765120</v>
      </c>
      <c r="BG1" s="11">
        <f t="shared" si="0"/>
        <v>10152431583872</v>
      </c>
      <c r="BH1" s="11">
        <f t="shared" si="0"/>
        <v>11140912240000</v>
      </c>
      <c r="BI1" s="11">
        <f t="shared" si="0"/>
        <v>11302836297600</v>
      </c>
      <c r="BJ1" s="11">
        <f t="shared" si="0"/>
        <v>11529196083200</v>
      </c>
      <c r="BK1" s="11"/>
      <c r="BL1" s="11"/>
      <c r="BM1" s="11"/>
      <c r="BN1" s="11"/>
      <c r="BO1" s="11"/>
      <c r="BP1" s="11"/>
      <c r="BQ1" s="11"/>
      <c r="BR1" s="11"/>
      <c r="BS1" s="11"/>
      <c r="BT1" s="11"/>
      <c r="BU1" s="11"/>
      <c r="BV1" s="11"/>
      <c r="BW1" s="11"/>
      <c r="BX1" s="11"/>
      <c r="BY1" s="11"/>
      <c r="BZ1" s="11"/>
      <c r="CA1" s="11"/>
      <c r="CB1" s="11"/>
      <c r="CC1" s="11"/>
      <c r="CD1" s="11"/>
      <c r="CE1" s="11"/>
      <c r="CF1" s="11"/>
      <c r="CG1" s="11"/>
    </row>
    <row r="2" spans="1:85" x14ac:dyDescent="0.45">
      <c r="B2" t="s">
        <v>25</v>
      </c>
      <c r="C2" s="11">
        <f>SUMIF($A$12:$A$88,$B2,C$12:C$88)</f>
        <v>866333730560</v>
      </c>
      <c r="D2" s="11">
        <f t="shared" ref="D2:BJ2" si="1">SUMIF($A$12:$A$88,$B2,D$12:D$88)</f>
        <v>917718404224</v>
      </c>
      <c r="E2" s="11">
        <f t="shared" si="1"/>
        <v>991608361344</v>
      </c>
      <c r="F2" s="11">
        <f t="shared" si="1"/>
        <v>1068329762752</v>
      </c>
      <c r="G2" s="11">
        <f t="shared" si="1"/>
        <v>1165102469696</v>
      </c>
      <c r="H2" s="11">
        <f t="shared" si="1"/>
        <v>1267550881344</v>
      </c>
      <c r="I2" s="11">
        <f t="shared" si="1"/>
        <v>1389874987712</v>
      </c>
      <c r="J2" s="11">
        <f t="shared" si="1"/>
        <v>1491682598400</v>
      </c>
      <c r="K2" s="11">
        <f t="shared" si="1"/>
        <v>1620089447936</v>
      </c>
      <c r="L2" s="11">
        <f t="shared" si="1"/>
        <v>1780913526912</v>
      </c>
      <c r="M2" s="11">
        <f t="shared" si="1"/>
        <v>1943939481344</v>
      </c>
      <c r="N2" s="11">
        <f t="shared" si="1"/>
        <v>2140704497920</v>
      </c>
      <c r="O2" s="11">
        <f t="shared" si="1"/>
        <v>2474444143744</v>
      </c>
      <c r="P2" s="11">
        <f t="shared" si="1"/>
        <v>2951846527744</v>
      </c>
      <c r="Q2" s="11">
        <f t="shared" si="1"/>
        <v>3285962257664</v>
      </c>
      <c r="R2" s="11">
        <f t="shared" si="1"/>
        <v>3693785925120</v>
      </c>
      <c r="S2" s="11">
        <f t="shared" si="1"/>
        <v>3999492140288</v>
      </c>
      <c r="T2" s="11">
        <f t="shared" si="1"/>
        <v>4531686935552</v>
      </c>
      <c r="U2" s="11">
        <f t="shared" si="1"/>
        <v>5457153799680</v>
      </c>
      <c r="V2" s="11">
        <f t="shared" si="1"/>
        <v>6253764610560</v>
      </c>
      <c r="W2" s="11">
        <f t="shared" si="1"/>
        <v>6950362182656</v>
      </c>
      <c r="X2" s="11">
        <f t="shared" si="1"/>
        <v>7180375587840</v>
      </c>
      <c r="Y2" s="11">
        <f t="shared" si="1"/>
        <v>7159140354560</v>
      </c>
      <c r="Z2" s="11">
        <f t="shared" si="1"/>
        <v>7466227553792</v>
      </c>
      <c r="AA2" s="11">
        <f t="shared" si="1"/>
        <v>7895046888448</v>
      </c>
      <c r="AB2" s="11">
        <f t="shared" si="1"/>
        <v>8356090895872</v>
      </c>
      <c r="AC2" s="11">
        <f t="shared" si="1"/>
        <v>10099459888128</v>
      </c>
      <c r="AD2" s="11">
        <f t="shared" si="1"/>
        <v>11600605321216</v>
      </c>
      <c r="AE2" s="11">
        <f t="shared" si="1"/>
        <v>13133434789888</v>
      </c>
      <c r="AF2" s="11">
        <f t="shared" si="1"/>
        <v>13763984291840</v>
      </c>
      <c r="AG2" s="11">
        <f t="shared" si="1"/>
        <v>15268428614656</v>
      </c>
      <c r="AH2" s="11">
        <f t="shared" si="1"/>
        <v>16191372101632</v>
      </c>
      <c r="AI2" s="11">
        <f t="shared" si="1"/>
        <v>17329877905408</v>
      </c>
      <c r="AJ2" s="11">
        <f t="shared" si="1"/>
        <v>17539444568064</v>
      </c>
      <c r="AK2" s="11">
        <f t="shared" si="1"/>
        <v>18826020831232</v>
      </c>
      <c r="AL2" s="11">
        <f t="shared" si="1"/>
        <v>20754290759680</v>
      </c>
      <c r="AM2" s="11">
        <f t="shared" si="1"/>
        <v>20944252014592</v>
      </c>
      <c r="AN2" s="11">
        <f t="shared" si="1"/>
        <v>20773978986496</v>
      </c>
      <c r="AO2" s="11">
        <f t="shared" si="1"/>
        <v>20884158953472</v>
      </c>
      <c r="AP2" s="11">
        <f t="shared" si="1"/>
        <v>22130045769728</v>
      </c>
      <c r="AQ2" s="11">
        <f t="shared" si="1"/>
        <v>22799401328640</v>
      </c>
      <c r="AR2" s="11">
        <f t="shared" si="1"/>
        <v>22532806506496</v>
      </c>
      <c r="AS2" s="11">
        <f t="shared" si="1"/>
        <v>23397823830016</v>
      </c>
      <c r="AT2" s="11">
        <f t="shared" si="1"/>
        <v>25959540056064</v>
      </c>
      <c r="AU2" s="11">
        <f t="shared" si="1"/>
        <v>28725651619840</v>
      </c>
      <c r="AV2" s="11">
        <f t="shared" si="1"/>
        <v>30211172564992</v>
      </c>
      <c r="AW2" s="11">
        <f t="shared" si="1"/>
        <v>31673685147648</v>
      </c>
      <c r="AX2" s="11">
        <f t="shared" si="1"/>
        <v>34257573187584</v>
      </c>
      <c r="AY2" s="11">
        <f t="shared" si="1"/>
        <v>35957617364992</v>
      </c>
      <c r="AZ2" s="11">
        <f t="shared" si="1"/>
        <v>34181532553216</v>
      </c>
      <c r="BA2" s="11">
        <f t="shared" si="1"/>
        <v>35612360290304</v>
      </c>
      <c r="BB2" s="11">
        <f t="shared" si="1"/>
        <v>37980287795200</v>
      </c>
      <c r="BC2" s="11">
        <f t="shared" si="1"/>
        <v>38161135423488</v>
      </c>
      <c r="BD2" s="11">
        <f t="shared" si="1"/>
        <v>38318426832896</v>
      </c>
      <c r="BE2" s="11">
        <f t="shared" si="1"/>
        <v>39148130385920</v>
      </c>
      <c r="BF2" s="11">
        <f t="shared" si="1"/>
        <v>37620102266880</v>
      </c>
      <c r="BG2" s="11">
        <f t="shared" si="1"/>
        <v>38491668172800</v>
      </c>
      <c r="BH2" s="11">
        <f t="shared" si="1"/>
        <v>39976778661888</v>
      </c>
      <c r="BI2" s="11">
        <f t="shared" si="1"/>
        <v>42244322041856</v>
      </c>
      <c r="BJ2" s="11">
        <f t="shared" si="1"/>
        <v>42802971230208</v>
      </c>
      <c r="BK2" s="11"/>
      <c r="BL2" s="11"/>
      <c r="BM2" s="11"/>
      <c r="BN2" s="11"/>
      <c r="BO2" s="11"/>
      <c r="BP2" s="11"/>
      <c r="BQ2" s="11"/>
      <c r="BR2" s="11"/>
      <c r="BS2" s="11"/>
      <c r="BT2" s="11"/>
      <c r="BU2" s="11"/>
      <c r="BV2" s="11"/>
      <c r="BW2" s="11"/>
      <c r="BX2" s="11"/>
      <c r="BY2" s="11"/>
      <c r="BZ2" s="11"/>
      <c r="CA2" s="11"/>
      <c r="CB2" s="11"/>
      <c r="CC2" s="11"/>
      <c r="CD2" s="11"/>
      <c r="CE2" s="11"/>
      <c r="CF2" s="11"/>
      <c r="CG2" s="11"/>
    </row>
    <row r="3" spans="1:85" x14ac:dyDescent="0.45">
      <c r="B3" t="s">
        <v>187</v>
      </c>
      <c r="C3" s="11">
        <f>SUM(C12:C89)</f>
        <v>1012246119641</v>
      </c>
      <c r="D3" s="11">
        <f t="shared" ref="D3:AX3" si="2">SUM(D12:D89)</f>
        <v>1065519786234</v>
      </c>
      <c r="E3" s="11">
        <f t="shared" si="2"/>
        <v>1151538196193</v>
      </c>
      <c r="F3" s="11">
        <f t="shared" si="2"/>
        <v>1248123403397</v>
      </c>
      <c r="G3" s="11">
        <f t="shared" si="2"/>
        <v>1359506092164</v>
      </c>
      <c r="H3" s="11">
        <f t="shared" si="2"/>
        <v>1475884214865</v>
      </c>
      <c r="I3" s="11">
        <f t="shared" si="2"/>
        <v>1602764775955</v>
      </c>
      <c r="J3" s="11">
        <f t="shared" si="2"/>
        <v>1719476953693</v>
      </c>
      <c r="K3" s="11">
        <f t="shared" si="2"/>
        <v>1864378662371</v>
      </c>
      <c r="L3" s="11">
        <f t="shared" si="2"/>
        <v>2053358310144</v>
      </c>
      <c r="M3" s="11">
        <f t="shared" si="2"/>
        <v>2239162953204</v>
      </c>
      <c r="N3" s="11">
        <f t="shared" si="2"/>
        <v>2458468796660</v>
      </c>
      <c r="O3" s="11">
        <f t="shared" si="2"/>
        <v>2826393478028</v>
      </c>
      <c r="P3" s="11">
        <f t="shared" si="2"/>
        <v>3392160697048</v>
      </c>
      <c r="Q3" s="11">
        <f t="shared" si="2"/>
        <v>3845924871516</v>
      </c>
      <c r="R3" s="11">
        <f t="shared" si="2"/>
        <v>4317435265152</v>
      </c>
      <c r="S3" s="11">
        <f t="shared" si="2"/>
        <v>4681948751740</v>
      </c>
      <c r="T3" s="11">
        <f t="shared" si="2"/>
        <v>5292716050640</v>
      </c>
      <c r="U3" s="11">
        <f t="shared" si="2"/>
        <v>6329579063296</v>
      </c>
      <c r="V3" s="11">
        <f t="shared" si="2"/>
        <v>7297356002984</v>
      </c>
      <c r="W3" s="11">
        <f t="shared" si="2"/>
        <v>8189548871728</v>
      </c>
      <c r="X3" s="11">
        <f t="shared" si="2"/>
        <v>8651893352208</v>
      </c>
      <c r="Y3" s="11">
        <f t="shared" si="2"/>
        <v>8539177640816</v>
      </c>
      <c r="Z3" s="11">
        <f t="shared" si="2"/>
        <v>8696212514464</v>
      </c>
      <c r="AA3" s="11">
        <f t="shared" si="2"/>
        <v>9127298739488</v>
      </c>
      <c r="AB3" s="11">
        <f t="shared" si="2"/>
        <v>9609840682672</v>
      </c>
      <c r="AC3" s="11">
        <f t="shared" si="2"/>
        <v>11365599233136</v>
      </c>
      <c r="AD3" s="11">
        <f t="shared" si="2"/>
        <v>13010016978432</v>
      </c>
      <c r="AE3" s="11">
        <f t="shared" si="2"/>
        <v>14670464145824</v>
      </c>
      <c r="AF3" s="11">
        <f t="shared" si="2"/>
        <v>15486585374912</v>
      </c>
      <c r="AG3" s="11">
        <f t="shared" si="2"/>
        <v>17213586144352</v>
      </c>
      <c r="AH3" s="11">
        <f t="shared" si="2"/>
        <v>18332437483872</v>
      </c>
      <c r="AI3" s="11">
        <f t="shared" si="2"/>
        <v>19410492199776</v>
      </c>
      <c r="AJ3" s="11">
        <f t="shared" si="2"/>
        <v>19839908853504</v>
      </c>
      <c r="AK3" s="11">
        <f t="shared" si="2"/>
        <v>21356611522048</v>
      </c>
      <c r="AL3" s="11">
        <f t="shared" si="2"/>
        <v>23547515809152</v>
      </c>
      <c r="AM3" s="11">
        <f t="shared" si="2"/>
        <v>23986726805888</v>
      </c>
      <c r="AN3" s="11">
        <f t="shared" si="2"/>
        <v>23987313494528</v>
      </c>
      <c r="AO3" s="11">
        <f t="shared" si="2"/>
        <v>24105494125312</v>
      </c>
      <c r="AP3" s="11">
        <f t="shared" si="2"/>
        <v>25187617915328</v>
      </c>
      <c r="AQ3" s="11">
        <f t="shared" si="2"/>
        <v>26130067013888</v>
      </c>
      <c r="AR3" s="11">
        <f t="shared" si="2"/>
        <v>25735546017728</v>
      </c>
      <c r="AS3" s="11">
        <f t="shared" si="2"/>
        <v>26693141424384</v>
      </c>
      <c r="AT3" s="11">
        <f t="shared" si="2"/>
        <v>29581663816768</v>
      </c>
      <c r="AU3" s="11">
        <f t="shared" si="2"/>
        <v>32954884895104</v>
      </c>
      <c r="AV3" s="11">
        <f t="shared" si="2"/>
        <v>35226739602496</v>
      </c>
      <c r="AW3" s="11">
        <f t="shared" si="2"/>
        <v>37475468294208</v>
      </c>
      <c r="AX3" s="11">
        <f t="shared" si="2"/>
        <v>41176816429376</v>
      </c>
      <c r="AY3" s="11">
        <f t="shared" ref="AY3:BJ3" si="3">SUM(AY12:AY89)</f>
        <v>43642077406976</v>
      </c>
      <c r="AZ3" s="11">
        <f t="shared" si="3"/>
        <v>41548581542848</v>
      </c>
      <c r="BA3" s="11">
        <f t="shared" si="3"/>
        <v>44678404208128</v>
      </c>
      <c r="BB3" s="11">
        <f t="shared" si="3"/>
        <v>48225876196992</v>
      </c>
      <c r="BC3" s="11">
        <f t="shared" si="3"/>
        <v>48562021316928</v>
      </c>
      <c r="BD3" s="11">
        <f t="shared" si="3"/>
        <v>49128433938176</v>
      </c>
      <c r="BE3" s="11">
        <f t="shared" si="3"/>
        <v>50269182420864</v>
      </c>
      <c r="BF3" s="11">
        <f t="shared" si="3"/>
        <v>47723304032000</v>
      </c>
      <c r="BG3" s="11">
        <f t="shared" si="3"/>
        <v>48644099756672</v>
      </c>
      <c r="BH3" s="11">
        <f t="shared" si="3"/>
        <v>51117690901888</v>
      </c>
      <c r="BI3" s="11">
        <f t="shared" si="3"/>
        <v>53547158339456</v>
      </c>
      <c r="BJ3" s="11">
        <f t="shared" si="3"/>
        <v>54332167313408</v>
      </c>
      <c r="BK3" s="11"/>
      <c r="BL3" s="11"/>
      <c r="BM3" s="11"/>
      <c r="BN3" s="11"/>
      <c r="BO3" s="11"/>
      <c r="BP3" s="11"/>
      <c r="BQ3" s="11"/>
      <c r="BR3" s="11"/>
      <c r="BS3" s="11"/>
      <c r="BT3" s="11"/>
      <c r="BU3" s="11"/>
      <c r="BV3" s="11"/>
      <c r="BW3" s="11"/>
      <c r="BX3" s="11"/>
      <c r="BY3" s="11"/>
      <c r="BZ3" s="11"/>
      <c r="CA3" s="11"/>
      <c r="CB3" s="11"/>
      <c r="CC3" s="11"/>
      <c r="CD3" s="11"/>
      <c r="CE3" s="11"/>
      <c r="CF3" s="11"/>
      <c r="CG3" s="11"/>
    </row>
    <row r="4" spans="1:85" x14ac:dyDescent="0.45">
      <c r="A4" s="9" t="s">
        <v>27</v>
      </c>
      <c r="B4" t="s" vm="5">
        <v>162</v>
      </c>
      <c r="C4" s="15">
        <f t="shared" ref="C4:AH4" si="4">SUM(C1:C2)</f>
        <v>1012246119641</v>
      </c>
      <c r="D4" s="15">
        <f t="shared" si="4"/>
        <v>1065519786234</v>
      </c>
      <c r="E4" s="15">
        <f t="shared" si="4"/>
        <v>1151538196193</v>
      </c>
      <c r="F4" s="15">
        <f t="shared" si="4"/>
        <v>1248123403397</v>
      </c>
      <c r="G4" s="15">
        <f t="shared" si="4"/>
        <v>1359506092164</v>
      </c>
      <c r="H4" s="15">
        <f t="shared" si="4"/>
        <v>1475884214865</v>
      </c>
      <c r="I4" s="15">
        <f t="shared" si="4"/>
        <v>1602764775955</v>
      </c>
      <c r="J4" s="15">
        <f t="shared" si="4"/>
        <v>1719476953693</v>
      </c>
      <c r="K4" s="15">
        <f t="shared" si="4"/>
        <v>1864378662371</v>
      </c>
      <c r="L4" s="15">
        <f t="shared" si="4"/>
        <v>2053358310144</v>
      </c>
      <c r="M4" s="15">
        <f t="shared" si="4"/>
        <v>2239162953204</v>
      </c>
      <c r="N4" s="15">
        <f t="shared" si="4"/>
        <v>2458468796660</v>
      </c>
      <c r="O4" s="15">
        <f t="shared" si="4"/>
        <v>2826393478028</v>
      </c>
      <c r="P4" s="15">
        <f t="shared" si="4"/>
        <v>3392160697048</v>
      </c>
      <c r="Q4" s="15">
        <f t="shared" si="4"/>
        <v>3845924871516</v>
      </c>
      <c r="R4" s="15">
        <f t="shared" si="4"/>
        <v>4317435265152</v>
      </c>
      <c r="S4" s="15">
        <f t="shared" si="4"/>
        <v>4681948751740</v>
      </c>
      <c r="T4" s="15">
        <f t="shared" si="4"/>
        <v>5292716050640</v>
      </c>
      <c r="U4" s="15">
        <f t="shared" si="4"/>
        <v>6329579063296</v>
      </c>
      <c r="V4" s="15">
        <f t="shared" si="4"/>
        <v>7297356002984</v>
      </c>
      <c r="W4" s="15">
        <f t="shared" si="4"/>
        <v>8189548871728</v>
      </c>
      <c r="X4" s="15">
        <f t="shared" si="4"/>
        <v>8651893352208</v>
      </c>
      <c r="Y4" s="15">
        <f t="shared" si="4"/>
        <v>8539177640816</v>
      </c>
      <c r="Z4" s="15">
        <f t="shared" si="4"/>
        <v>8696212514464</v>
      </c>
      <c r="AA4" s="15">
        <f t="shared" si="4"/>
        <v>9127298739488</v>
      </c>
      <c r="AB4" s="15">
        <f t="shared" si="4"/>
        <v>9609840682672</v>
      </c>
      <c r="AC4" s="15">
        <f t="shared" si="4"/>
        <v>11365599233136</v>
      </c>
      <c r="AD4" s="15">
        <f t="shared" si="4"/>
        <v>13010016978432</v>
      </c>
      <c r="AE4" s="15">
        <f t="shared" si="4"/>
        <v>14670464145824</v>
      </c>
      <c r="AF4" s="15">
        <f t="shared" si="4"/>
        <v>15486585374912</v>
      </c>
      <c r="AG4" s="15">
        <f t="shared" si="4"/>
        <v>17213586144352</v>
      </c>
      <c r="AH4" s="15">
        <f t="shared" si="4"/>
        <v>18332437483872</v>
      </c>
      <c r="AI4" s="15">
        <f t="shared" ref="AI4:BJ4" si="5">SUM(AI1:AI2)</f>
        <v>19410492199776</v>
      </c>
      <c r="AJ4" s="15">
        <f t="shared" si="5"/>
        <v>19839908853504</v>
      </c>
      <c r="AK4" s="15">
        <f t="shared" si="5"/>
        <v>21356611522048</v>
      </c>
      <c r="AL4" s="15">
        <f t="shared" si="5"/>
        <v>23547515809152</v>
      </c>
      <c r="AM4" s="15">
        <f t="shared" si="5"/>
        <v>23986726805888</v>
      </c>
      <c r="AN4" s="15">
        <f t="shared" si="5"/>
        <v>23987313494528</v>
      </c>
      <c r="AO4" s="15">
        <f t="shared" si="5"/>
        <v>24105494125312</v>
      </c>
      <c r="AP4" s="15">
        <f t="shared" si="5"/>
        <v>25187617915328</v>
      </c>
      <c r="AQ4" s="15">
        <f t="shared" si="5"/>
        <v>26130067013888</v>
      </c>
      <c r="AR4" s="15">
        <f t="shared" si="5"/>
        <v>25735546017728</v>
      </c>
      <c r="AS4" s="15">
        <f t="shared" si="5"/>
        <v>26693141424384</v>
      </c>
      <c r="AT4" s="15">
        <f t="shared" si="5"/>
        <v>29581663816768</v>
      </c>
      <c r="AU4" s="15">
        <f t="shared" si="5"/>
        <v>32954884895104</v>
      </c>
      <c r="AV4" s="15">
        <f t="shared" si="5"/>
        <v>35226739602496</v>
      </c>
      <c r="AW4" s="15">
        <f t="shared" si="5"/>
        <v>37475468294208</v>
      </c>
      <c r="AX4" s="15">
        <f t="shared" si="5"/>
        <v>41176816429376</v>
      </c>
      <c r="AY4" s="15">
        <f t="shared" si="5"/>
        <v>43642077406976</v>
      </c>
      <c r="AZ4" s="15">
        <f t="shared" si="5"/>
        <v>41548581542848</v>
      </c>
      <c r="BA4" s="15">
        <f t="shared" si="5"/>
        <v>44678404208128</v>
      </c>
      <c r="BB4" s="15">
        <f t="shared" si="5"/>
        <v>48225876196992</v>
      </c>
      <c r="BC4" s="15">
        <f t="shared" si="5"/>
        <v>48562021316928</v>
      </c>
      <c r="BD4" s="15">
        <f t="shared" si="5"/>
        <v>49128433938176</v>
      </c>
      <c r="BE4" s="15">
        <f t="shared" si="5"/>
        <v>50269182420864</v>
      </c>
      <c r="BF4" s="15">
        <f t="shared" si="5"/>
        <v>47723304032000</v>
      </c>
      <c r="BG4" s="15">
        <f t="shared" si="5"/>
        <v>48644099756672</v>
      </c>
      <c r="BH4" s="15">
        <f t="shared" si="5"/>
        <v>51117690901888</v>
      </c>
      <c r="BI4" s="15">
        <f t="shared" si="5"/>
        <v>53547158339456</v>
      </c>
      <c r="BJ4" s="15">
        <f t="shared" si="5"/>
        <v>54332167313408</v>
      </c>
      <c r="BK4" s="15"/>
      <c r="BL4" s="15"/>
      <c r="BM4" s="15"/>
      <c r="BN4" s="15"/>
      <c r="BO4" s="15"/>
      <c r="BP4" s="15"/>
      <c r="BQ4" s="15"/>
      <c r="BR4" s="15"/>
      <c r="BS4" s="15"/>
      <c r="BT4" s="15"/>
      <c r="BU4" s="15"/>
      <c r="BV4" s="15"/>
      <c r="BW4" s="15"/>
      <c r="BX4" s="15"/>
      <c r="BY4" s="15"/>
      <c r="BZ4" s="15"/>
      <c r="CA4" s="15"/>
      <c r="CB4" s="15"/>
      <c r="CC4" s="15"/>
      <c r="CD4" s="15"/>
      <c r="CE4" s="15"/>
      <c r="CF4" s="15"/>
      <c r="CG4" s="15"/>
    </row>
    <row r="5" spans="1:85" x14ac:dyDescent="0.45">
      <c r="A5" s="9" t="s">
        <v>83</v>
      </c>
      <c r="B5" t="s" vm="3">
        <v>82</v>
      </c>
    </row>
    <row r="6" spans="1:85" x14ac:dyDescent="0.45">
      <c r="A6" s="9" t="s">
        <v>161</v>
      </c>
      <c r="B6" t="s" vm="4">
        <v>80</v>
      </c>
    </row>
    <row r="7" spans="1:85" x14ac:dyDescent="0.45">
      <c r="A7" s="9" t="s">
        <v>28</v>
      </c>
      <c r="B7" t="s" vm="6">
        <v>163</v>
      </c>
    </row>
    <row r="8" spans="1:85" x14ac:dyDescent="0.45">
      <c r="A8" s="9" t="s">
        <v>164</v>
      </c>
      <c r="B8" t="s" vm="2268">
        <v>191</v>
      </c>
    </row>
    <row r="10" spans="1:85" x14ac:dyDescent="0.45">
      <c r="A10" s="9" t="s">
        <v>79</v>
      </c>
      <c r="C10" s="9" t="s">
        <v>165</v>
      </c>
    </row>
    <row r="11" spans="1:85" x14ac:dyDescent="0.45">
      <c r="A11" s="9" t="s">
        <v>166</v>
      </c>
      <c r="B11" s="9" t="s">
        <v>167</v>
      </c>
      <c r="C11" t="s">
        <v>192</v>
      </c>
      <c r="D11" t="s">
        <v>193</v>
      </c>
      <c r="E11" t="s">
        <v>194</v>
      </c>
      <c r="F11" t="s">
        <v>195</v>
      </c>
      <c r="G11" t="s">
        <v>196</v>
      </c>
      <c r="H11" t="s">
        <v>197</v>
      </c>
      <c r="I11" t="s">
        <v>198</v>
      </c>
      <c r="J11" t="s">
        <v>199</v>
      </c>
      <c r="K11" t="s">
        <v>200</v>
      </c>
      <c r="L11" t="s">
        <v>201</v>
      </c>
      <c r="M11" t="s">
        <v>29</v>
      </c>
      <c r="N11" t="s">
        <v>30</v>
      </c>
      <c r="O11" t="s">
        <v>31</v>
      </c>
      <c r="P11" t="s">
        <v>32</v>
      </c>
      <c r="Q11" t="s">
        <v>33</v>
      </c>
      <c r="R11" t="s">
        <v>34</v>
      </c>
      <c r="S11" t="s">
        <v>35</v>
      </c>
      <c r="T11" t="s">
        <v>36</v>
      </c>
      <c r="U11" t="s">
        <v>37</v>
      </c>
      <c r="V11" t="s">
        <v>38</v>
      </c>
      <c r="W11" t="s">
        <v>39</v>
      </c>
      <c r="X11" t="s">
        <v>40</v>
      </c>
      <c r="Y11" t="s">
        <v>41</v>
      </c>
      <c r="Z11" t="s">
        <v>42</v>
      </c>
      <c r="AA11" t="s">
        <v>43</v>
      </c>
      <c r="AB11" t="s">
        <v>44</v>
      </c>
      <c r="AC11" t="s">
        <v>45</v>
      </c>
      <c r="AD11" t="s">
        <v>46</v>
      </c>
      <c r="AE11" t="s">
        <v>47</v>
      </c>
      <c r="AF11" t="s">
        <v>48</v>
      </c>
      <c r="AG11" t="s">
        <v>49</v>
      </c>
      <c r="AH11" t="s">
        <v>50</v>
      </c>
      <c r="AI11" t="s">
        <v>51</v>
      </c>
      <c r="AJ11" t="s">
        <v>52</v>
      </c>
      <c r="AK11" t="s">
        <v>53</v>
      </c>
      <c r="AL11" t="s">
        <v>54</v>
      </c>
      <c r="AM11" t="s">
        <v>55</v>
      </c>
      <c r="AN11" t="s">
        <v>56</v>
      </c>
      <c r="AO11" t="s">
        <v>57</v>
      </c>
      <c r="AP11" t="s">
        <v>58</v>
      </c>
      <c r="AQ11" t="s">
        <v>59</v>
      </c>
      <c r="AR11" t="s">
        <v>60</v>
      </c>
      <c r="AS11" t="s">
        <v>61</v>
      </c>
      <c r="AT11" t="s">
        <v>62</v>
      </c>
      <c r="AU11" t="s">
        <v>63</v>
      </c>
      <c r="AV11" t="s">
        <v>64</v>
      </c>
      <c r="AW11" t="s">
        <v>65</v>
      </c>
      <c r="AX11" t="s">
        <v>66</v>
      </c>
      <c r="AY11" t="s">
        <v>67</v>
      </c>
      <c r="AZ11" t="s">
        <v>68</v>
      </c>
      <c r="BA11" t="s">
        <v>69</v>
      </c>
      <c r="BB11" t="s">
        <v>70</v>
      </c>
      <c r="BC11" t="s">
        <v>71</v>
      </c>
      <c r="BD11" t="s">
        <v>72</v>
      </c>
      <c r="BE11" t="s">
        <v>73</v>
      </c>
      <c r="BF11" t="s">
        <v>74</v>
      </c>
      <c r="BG11" t="s">
        <v>75</v>
      </c>
      <c r="BH11" t="s">
        <v>76</v>
      </c>
      <c r="BI11" t="s">
        <v>77</v>
      </c>
      <c r="BJ11" t="s">
        <v>78</v>
      </c>
    </row>
    <row r="12" spans="1:85" x14ac:dyDescent="0.45">
      <c r="A12" t="s">
        <v>25</v>
      </c>
      <c r="B12" t="s">
        <v>84</v>
      </c>
      <c r="C12" s="15">
        <v>18577668096</v>
      </c>
      <c r="D12" s="15">
        <v>19652816896</v>
      </c>
      <c r="E12" s="15">
        <v>19892486144</v>
      </c>
      <c r="F12" s="15">
        <v>21507446784</v>
      </c>
      <c r="G12" s="15">
        <v>23764140032</v>
      </c>
      <c r="H12" s="15">
        <v>25936834560</v>
      </c>
      <c r="I12" s="15">
        <v>27268450304</v>
      </c>
      <c r="J12" s="15">
        <v>30397581312</v>
      </c>
      <c r="K12" s="15">
        <v>32665473024</v>
      </c>
      <c r="L12" s="15">
        <v>36628963328</v>
      </c>
      <c r="M12" s="15">
        <v>41271140352</v>
      </c>
      <c r="N12" s="15">
        <v>45149511680</v>
      </c>
      <c r="O12" s="15">
        <v>51967291392</v>
      </c>
      <c r="P12" s="15">
        <v>63737348096</v>
      </c>
      <c r="Q12" s="15">
        <v>88831246336</v>
      </c>
      <c r="R12" s="15">
        <v>97170554880</v>
      </c>
      <c r="S12" s="15">
        <v>104921219072</v>
      </c>
      <c r="T12" s="15">
        <v>110201880576</v>
      </c>
      <c r="U12" s="15">
        <v>118338600960</v>
      </c>
      <c r="V12" s="15">
        <v>134712033280</v>
      </c>
      <c r="W12" s="15">
        <v>149774925824</v>
      </c>
      <c r="X12" s="15">
        <v>176642277376</v>
      </c>
      <c r="Y12" s="15">
        <v>193770274816</v>
      </c>
      <c r="Z12" s="15">
        <v>177030414336</v>
      </c>
      <c r="AA12" s="15">
        <v>193242169344</v>
      </c>
      <c r="AB12" s="15">
        <v>180234715136</v>
      </c>
      <c r="AC12" s="15">
        <v>182036938752</v>
      </c>
      <c r="AD12" s="15">
        <v>189060349952</v>
      </c>
      <c r="AE12" s="15">
        <v>235659198464</v>
      </c>
      <c r="AF12" s="15">
        <v>299267981312</v>
      </c>
      <c r="AG12" s="15">
        <v>310777217024</v>
      </c>
      <c r="AH12" s="15">
        <v>325310414848</v>
      </c>
      <c r="AI12" s="15">
        <v>324878860288</v>
      </c>
      <c r="AJ12" s="15">
        <v>311544414208</v>
      </c>
      <c r="AK12" s="15">
        <v>322211676160</v>
      </c>
      <c r="AL12" s="15">
        <v>367216361472</v>
      </c>
      <c r="AM12" s="15">
        <v>400302735360</v>
      </c>
      <c r="AN12" s="15">
        <v>434568003584</v>
      </c>
      <c r="AO12" s="15">
        <v>398899150848</v>
      </c>
      <c r="AP12" s="15">
        <v>388608229376</v>
      </c>
      <c r="AQ12" s="15">
        <v>415222628352</v>
      </c>
      <c r="AR12" s="15">
        <v>378376093696</v>
      </c>
      <c r="AS12" s="15">
        <v>394648911872</v>
      </c>
      <c r="AT12" s="15">
        <v>466488066048</v>
      </c>
      <c r="AU12" s="15">
        <v>612490412032</v>
      </c>
      <c r="AV12" s="15">
        <v>693407776768</v>
      </c>
      <c r="AW12" s="15">
        <v>746054221824</v>
      </c>
      <c r="AX12" s="15">
        <v>853099610112</v>
      </c>
      <c r="AY12" s="15">
        <v>1053995499520</v>
      </c>
      <c r="AZ12" s="15">
        <v>927805210624</v>
      </c>
      <c r="BA12" s="15">
        <v>1146138525696</v>
      </c>
      <c r="BB12" s="15">
        <v>1396649885696</v>
      </c>
      <c r="BC12" s="15">
        <v>1546151788544</v>
      </c>
      <c r="BD12" s="15">
        <v>1576184446976</v>
      </c>
      <c r="BE12" s="15">
        <v>1467483684864</v>
      </c>
      <c r="BF12" s="15">
        <v>1351694024704</v>
      </c>
      <c r="BG12" s="15">
        <v>1208847040512</v>
      </c>
      <c r="BH12" s="15">
        <v>1330135695360</v>
      </c>
      <c r="BI12" s="15">
        <v>1433904349184</v>
      </c>
      <c r="BJ12" s="15">
        <v>1392680632320</v>
      </c>
    </row>
    <row r="13" spans="1:85" x14ac:dyDescent="0.45">
      <c r="A13" t="s">
        <v>25</v>
      </c>
      <c r="B13" t="s">
        <v>85</v>
      </c>
      <c r="C13" s="15">
        <v>6592693760</v>
      </c>
      <c r="D13" s="15">
        <v>7311749632</v>
      </c>
      <c r="E13" s="15">
        <v>7756110336</v>
      </c>
      <c r="F13" s="15">
        <v>8374175232</v>
      </c>
      <c r="G13" s="15">
        <v>9169983488</v>
      </c>
      <c r="H13" s="15">
        <v>9994071040</v>
      </c>
      <c r="I13" s="15">
        <v>10887682048</v>
      </c>
      <c r="J13" s="15">
        <v>11579431936</v>
      </c>
      <c r="K13" s="15">
        <v>12440625152</v>
      </c>
      <c r="L13" s="15">
        <v>13582798848</v>
      </c>
      <c r="M13" s="15">
        <v>15373005824</v>
      </c>
      <c r="N13" s="15">
        <v>17858486272</v>
      </c>
      <c r="O13" s="15">
        <v>22059612160</v>
      </c>
      <c r="P13" s="15">
        <v>29515468800</v>
      </c>
      <c r="Q13" s="15">
        <v>35189301248</v>
      </c>
      <c r="R13" s="15">
        <v>40059207680</v>
      </c>
      <c r="S13" s="15">
        <v>42959974400</v>
      </c>
      <c r="T13" s="15">
        <v>51545759744</v>
      </c>
      <c r="U13" s="15">
        <v>62052257792</v>
      </c>
      <c r="V13" s="15">
        <v>73937297408</v>
      </c>
      <c r="W13" s="15">
        <v>82058911744</v>
      </c>
      <c r="X13" s="15">
        <v>71034224640</v>
      </c>
      <c r="Y13" s="15">
        <v>71275290624</v>
      </c>
      <c r="Z13" s="15">
        <v>72121016320</v>
      </c>
      <c r="AA13" s="15">
        <v>67985346560</v>
      </c>
      <c r="AB13" s="15">
        <v>69386772480</v>
      </c>
      <c r="AC13" s="15">
        <v>99036168192</v>
      </c>
      <c r="AD13" s="15">
        <v>124168445952</v>
      </c>
      <c r="AE13" s="15">
        <v>133339398144</v>
      </c>
      <c r="AF13" s="15">
        <v>133105803264</v>
      </c>
      <c r="AG13" s="15">
        <v>166463389696</v>
      </c>
      <c r="AH13" s="15">
        <v>173794181120</v>
      </c>
      <c r="AI13" s="15">
        <v>195078127616</v>
      </c>
      <c r="AJ13" s="15">
        <v>190379720704</v>
      </c>
      <c r="AK13" s="15">
        <v>203535237120</v>
      </c>
      <c r="AL13" s="15">
        <v>241038278656</v>
      </c>
      <c r="AM13" s="15">
        <v>237250953216</v>
      </c>
      <c r="AN13" s="15">
        <v>212790345728</v>
      </c>
      <c r="AO13" s="15">
        <v>218259898368</v>
      </c>
      <c r="AP13" s="15">
        <v>217185779712</v>
      </c>
      <c r="AQ13" s="15">
        <v>196799774720</v>
      </c>
      <c r="AR13" s="15">
        <v>197337874432</v>
      </c>
      <c r="AS13" s="15">
        <v>213377777664</v>
      </c>
      <c r="AT13" s="15">
        <v>261695782912</v>
      </c>
      <c r="AU13" s="15">
        <v>300904218624</v>
      </c>
      <c r="AV13" s="15">
        <v>315974418432</v>
      </c>
      <c r="AW13" s="15">
        <v>335998550016</v>
      </c>
      <c r="AX13" s="15">
        <v>388691460096</v>
      </c>
      <c r="AY13" s="15">
        <v>430294302720</v>
      </c>
      <c r="AZ13" s="15">
        <v>400172285952</v>
      </c>
      <c r="BA13" s="15">
        <v>391892762624</v>
      </c>
      <c r="BB13" s="15">
        <v>431120318464</v>
      </c>
      <c r="BC13" s="15">
        <v>409425248256</v>
      </c>
      <c r="BD13" s="15">
        <v>430068727808</v>
      </c>
      <c r="BE13" s="15">
        <v>441996115968</v>
      </c>
      <c r="BF13" s="15">
        <v>381817552896</v>
      </c>
      <c r="BG13" s="15">
        <v>395227693056</v>
      </c>
      <c r="BH13" s="15">
        <v>418316156928</v>
      </c>
      <c r="BI13" s="15">
        <v>455508262912</v>
      </c>
      <c r="BJ13" s="15">
        <v>446314741760</v>
      </c>
    </row>
    <row r="14" spans="1:85" x14ac:dyDescent="0.45">
      <c r="A14" t="s">
        <v>25</v>
      </c>
      <c r="B14" t="s">
        <v>86</v>
      </c>
      <c r="C14" s="15">
        <v>11658722304</v>
      </c>
      <c r="D14" s="15">
        <v>12400145408</v>
      </c>
      <c r="E14" s="15">
        <v>13264015360</v>
      </c>
      <c r="F14" s="15">
        <v>14260017152</v>
      </c>
      <c r="G14" s="15">
        <v>15960107008</v>
      </c>
      <c r="H14" s="15">
        <v>17371457536</v>
      </c>
      <c r="I14" s="15">
        <v>18651883520</v>
      </c>
      <c r="J14" s="15">
        <v>19992041472</v>
      </c>
      <c r="K14" s="15">
        <v>21376352256</v>
      </c>
      <c r="L14" s="15">
        <v>23710736384</v>
      </c>
      <c r="M14" s="15">
        <v>26706196480</v>
      </c>
      <c r="N14" s="15">
        <v>29821661184</v>
      </c>
      <c r="O14" s="15">
        <v>37209419776</v>
      </c>
      <c r="P14" s="15">
        <v>47743803392</v>
      </c>
      <c r="Q14" s="15">
        <v>56033079296</v>
      </c>
      <c r="R14" s="15">
        <v>65678188544</v>
      </c>
      <c r="S14" s="15">
        <v>71113883648</v>
      </c>
      <c r="T14" s="15">
        <v>82839904256</v>
      </c>
      <c r="U14" s="15">
        <v>101246525440</v>
      </c>
      <c r="V14" s="15">
        <v>116315455488</v>
      </c>
      <c r="W14" s="15">
        <v>126829314048</v>
      </c>
      <c r="X14" s="15">
        <v>104730017792</v>
      </c>
      <c r="Y14" s="15">
        <v>92095930368</v>
      </c>
      <c r="Z14" s="15">
        <v>87184236544</v>
      </c>
      <c r="AA14" s="15">
        <v>83349528576</v>
      </c>
      <c r="AB14" s="15">
        <v>86268264448</v>
      </c>
      <c r="AC14" s="15">
        <v>120018788352</v>
      </c>
      <c r="AD14" s="15">
        <v>149394407424</v>
      </c>
      <c r="AE14" s="15">
        <v>162299101184</v>
      </c>
      <c r="AF14" s="15">
        <v>164221059072</v>
      </c>
      <c r="AG14" s="15">
        <v>205331742720</v>
      </c>
      <c r="AH14" s="15">
        <v>210511003648</v>
      </c>
      <c r="AI14" s="15">
        <v>234781655040</v>
      </c>
      <c r="AJ14" s="15">
        <v>224721797120</v>
      </c>
      <c r="AK14" s="15">
        <v>244884127744</v>
      </c>
      <c r="AL14" s="15">
        <v>288025575424</v>
      </c>
      <c r="AM14" s="15">
        <v>279201447936</v>
      </c>
      <c r="AN14" s="15">
        <v>252708044800</v>
      </c>
      <c r="AO14" s="15">
        <v>258528346112</v>
      </c>
      <c r="AP14" s="15">
        <v>258158526464</v>
      </c>
      <c r="AQ14" s="15">
        <v>236204539904</v>
      </c>
      <c r="AR14" s="15">
        <v>236541296640</v>
      </c>
      <c r="AS14" s="15">
        <v>257157824512</v>
      </c>
      <c r="AT14" s="15">
        <v>317381705728</v>
      </c>
      <c r="AU14" s="15">
        <v>368537010176</v>
      </c>
      <c r="AV14" s="15">
        <v>385570963456</v>
      </c>
      <c r="AW14" s="15">
        <v>407918084096</v>
      </c>
      <c r="AX14" s="15">
        <v>470324248576</v>
      </c>
      <c r="AY14" s="15">
        <v>515223519232</v>
      </c>
      <c r="AZ14" s="15">
        <v>481345929216</v>
      </c>
      <c r="BA14" s="15">
        <v>480951631872</v>
      </c>
      <c r="BB14" s="15">
        <v>522645504000</v>
      </c>
      <c r="BC14" s="15">
        <v>496181248000</v>
      </c>
      <c r="BD14" s="15">
        <v>521642704896</v>
      </c>
      <c r="BE14" s="15">
        <v>534678077440</v>
      </c>
      <c r="BF14" s="15">
        <v>462149681152</v>
      </c>
      <c r="BG14" s="15">
        <v>475900870656</v>
      </c>
      <c r="BH14" s="15">
        <v>503788765184</v>
      </c>
      <c r="BI14" s="15">
        <v>542685921280</v>
      </c>
      <c r="BJ14" s="15">
        <v>529606705152</v>
      </c>
    </row>
    <row r="15" spans="1:85" x14ac:dyDescent="0.45">
      <c r="A15" t="s">
        <v>25</v>
      </c>
      <c r="B15" t="s">
        <v>87</v>
      </c>
      <c r="C15" s="15">
        <v>5224102400</v>
      </c>
      <c r="D15" s="15">
        <v>5921659392</v>
      </c>
      <c r="E15" s="15">
        <v>6340580864</v>
      </c>
      <c r="F15" s="15">
        <v>6885920256</v>
      </c>
      <c r="G15" s="15">
        <v>7766654976</v>
      </c>
      <c r="H15" s="15">
        <v>8589340160</v>
      </c>
      <c r="I15" s="15">
        <v>9208524800</v>
      </c>
      <c r="J15" s="15">
        <v>9368953856</v>
      </c>
      <c r="K15" s="15">
        <v>8823033856</v>
      </c>
      <c r="L15" s="15">
        <v>10070766592</v>
      </c>
      <c r="M15" s="15">
        <v>11357516800</v>
      </c>
      <c r="N15" s="15">
        <v>12527405056</v>
      </c>
      <c r="O15" s="15">
        <v>14743185408</v>
      </c>
      <c r="P15" s="15">
        <v>19472363520</v>
      </c>
      <c r="Q15" s="15">
        <v>24848822272</v>
      </c>
      <c r="R15" s="15">
        <v>29472624640</v>
      </c>
      <c r="S15" s="15">
        <v>31849515008</v>
      </c>
      <c r="T15" s="15">
        <v>33499799552</v>
      </c>
      <c r="U15" s="15">
        <v>36256161792</v>
      </c>
      <c r="V15" s="15">
        <v>44465254400</v>
      </c>
      <c r="W15" s="15">
        <v>53645201408</v>
      </c>
      <c r="X15" s="15">
        <v>52448333824</v>
      </c>
      <c r="Y15" s="15">
        <v>52797583360</v>
      </c>
      <c r="Z15" s="15">
        <v>50973528064</v>
      </c>
      <c r="AA15" s="15">
        <v>52888801280</v>
      </c>
      <c r="AB15" s="15">
        <v>55875862528</v>
      </c>
      <c r="AC15" s="15">
        <v>73531547648</v>
      </c>
      <c r="AD15" s="15">
        <v>91594752000</v>
      </c>
      <c r="AE15" s="15">
        <v>109058990080</v>
      </c>
      <c r="AF15" s="15">
        <v>119012057088</v>
      </c>
      <c r="AG15" s="15">
        <v>141438353408</v>
      </c>
      <c r="AH15" s="15">
        <v>127773859840</v>
      </c>
      <c r="AI15" s="15">
        <v>112532520960</v>
      </c>
      <c r="AJ15" s="15">
        <v>89214115840</v>
      </c>
      <c r="AK15" s="15">
        <v>103299940352</v>
      </c>
      <c r="AL15" s="15">
        <v>134189817856</v>
      </c>
      <c r="AM15" s="15">
        <v>132129177600</v>
      </c>
      <c r="AN15" s="15">
        <v>126912151552</v>
      </c>
      <c r="AO15" s="15">
        <v>134038716416</v>
      </c>
      <c r="AP15" s="15">
        <v>135218413568</v>
      </c>
      <c r="AQ15" s="15">
        <v>125706649600</v>
      </c>
      <c r="AR15" s="15">
        <v>129421025280</v>
      </c>
      <c r="AS15" s="15">
        <v>139738382336</v>
      </c>
      <c r="AT15" s="15">
        <v>171274272768</v>
      </c>
      <c r="AU15" s="15">
        <v>197116952576</v>
      </c>
      <c r="AV15" s="15">
        <v>204809109504</v>
      </c>
      <c r="AW15" s="15">
        <v>216907546624</v>
      </c>
      <c r="AX15" s="15">
        <v>256052559872</v>
      </c>
      <c r="AY15" s="15">
        <v>284553969664</v>
      </c>
      <c r="AZ15" s="15">
        <v>252496527360</v>
      </c>
      <c r="BA15" s="15">
        <v>249181192192</v>
      </c>
      <c r="BB15" s="15">
        <v>275243696128</v>
      </c>
      <c r="BC15" s="15">
        <v>258304835584</v>
      </c>
      <c r="BD15" s="15">
        <v>271285272576</v>
      </c>
      <c r="BE15" s="15">
        <v>274497224704</v>
      </c>
      <c r="BF15" s="15">
        <v>234440081408</v>
      </c>
      <c r="BG15" s="15">
        <v>240607903744</v>
      </c>
      <c r="BH15" s="15">
        <v>255122538496</v>
      </c>
      <c r="BI15" s="15">
        <v>275893682176</v>
      </c>
      <c r="BJ15" s="15">
        <v>268761202688</v>
      </c>
    </row>
    <row r="16" spans="1:85" x14ac:dyDescent="0.45">
      <c r="A16" t="s">
        <v>25</v>
      </c>
      <c r="B16" t="s">
        <v>88</v>
      </c>
      <c r="C16" s="15">
        <v>62225477632</v>
      </c>
      <c r="D16" s="15">
        <v>67461644288</v>
      </c>
      <c r="E16" s="15">
        <v>75607531520</v>
      </c>
      <c r="F16" s="15">
        <v>84759191552</v>
      </c>
      <c r="G16" s="15">
        <v>94007853056</v>
      </c>
      <c r="H16" s="15">
        <v>101537251328</v>
      </c>
      <c r="I16" s="15">
        <v>110045855744</v>
      </c>
      <c r="J16" s="15">
        <v>118972981248</v>
      </c>
      <c r="K16" s="15">
        <v>129785438208</v>
      </c>
      <c r="L16" s="15">
        <v>141903069184</v>
      </c>
      <c r="M16" s="15">
        <v>148456357888</v>
      </c>
      <c r="N16" s="15">
        <v>165966610432</v>
      </c>
      <c r="O16" s="15">
        <v>203494146048</v>
      </c>
      <c r="P16" s="15">
        <v>264429879296</v>
      </c>
      <c r="Q16" s="15">
        <v>285552377856</v>
      </c>
      <c r="R16" s="15">
        <v>360832172032</v>
      </c>
      <c r="S16" s="15">
        <v>372319027200</v>
      </c>
      <c r="T16" s="15">
        <v>410279477248</v>
      </c>
      <c r="U16" s="15">
        <v>506707836928</v>
      </c>
      <c r="V16" s="15">
        <v>613953110016</v>
      </c>
      <c r="W16" s="15">
        <v>701288415232</v>
      </c>
      <c r="X16" s="15">
        <v>615552188416</v>
      </c>
      <c r="Y16" s="15">
        <v>584877735936</v>
      </c>
      <c r="Z16" s="15">
        <v>559869198336</v>
      </c>
      <c r="AA16" s="15">
        <v>530683789312</v>
      </c>
      <c r="AB16" s="15">
        <v>553138388992</v>
      </c>
      <c r="AC16" s="15">
        <v>771470786560</v>
      </c>
      <c r="AD16" s="15">
        <v>934173278208</v>
      </c>
      <c r="AE16" s="15">
        <v>1018847035392</v>
      </c>
      <c r="AF16" s="15">
        <v>1025211826176</v>
      </c>
      <c r="AG16" s="15">
        <v>1269179613184</v>
      </c>
      <c r="AH16" s="15">
        <v>1269276868608</v>
      </c>
      <c r="AI16" s="15">
        <v>1401465864192</v>
      </c>
      <c r="AJ16" s="15">
        <v>1322815586304</v>
      </c>
      <c r="AK16" s="15">
        <v>1393982701568</v>
      </c>
      <c r="AL16" s="15">
        <v>1601094811648</v>
      </c>
      <c r="AM16" s="15">
        <v>1605675122688</v>
      </c>
      <c r="AN16" s="15">
        <v>1452884885504</v>
      </c>
      <c r="AO16" s="15">
        <v>1503108792320</v>
      </c>
      <c r="AP16" s="15">
        <v>1492647542784</v>
      </c>
      <c r="AQ16" s="15">
        <v>1362248990720</v>
      </c>
      <c r="AR16" s="15">
        <v>1376465321984</v>
      </c>
      <c r="AS16" s="15">
        <v>1494286598144</v>
      </c>
      <c r="AT16" s="15">
        <v>1840480780288</v>
      </c>
      <c r="AU16" s="15">
        <v>2115742466048</v>
      </c>
      <c r="AV16" s="15">
        <v>2196126040064</v>
      </c>
      <c r="AW16" s="15">
        <v>2318593687552</v>
      </c>
      <c r="AX16" s="15">
        <v>2657213218816</v>
      </c>
      <c r="AY16" s="15">
        <v>2918382829568</v>
      </c>
      <c r="AZ16" s="15">
        <v>2690222391296</v>
      </c>
      <c r="BA16" s="15">
        <v>2642609438720</v>
      </c>
      <c r="BB16" s="15">
        <v>2861408190464</v>
      </c>
      <c r="BC16" s="15">
        <v>2683825291264</v>
      </c>
      <c r="BD16" s="15">
        <v>2811077853184</v>
      </c>
      <c r="BE16" s="15">
        <v>2852165779456</v>
      </c>
      <c r="BF16" s="15">
        <v>2438207897600</v>
      </c>
      <c r="BG16" s="15">
        <v>2471285489664</v>
      </c>
      <c r="BH16" s="15">
        <v>2595151151104</v>
      </c>
      <c r="BI16" s="15">
        <v>2787863953408</v>
      </c>
      <c r="BJ16" s="15">
        <v>2715518238720</v>
      </c>
    </row>
    <row r="17" spans="1:62" x14ac:dyDescent="0.45">
      <c r="A17" t="s">
        <v>25</v>
      </c>
      <c r="B17" t="s">
        <v>89</v>
      </c>
      <c r="C17" s="15">
        <v>4335185920</v>
      </c>
      <c r="D17" s="15">
        <v>4961400320</v>
      </c>
      <c r="E17" s="15">
        <v>5213047808</v>
      </c>
      <c r="F17" s="15">
        <v>5895278080</v>
      </c>
      <c r="G17" s="15">
        <v>6669673472</v>
      </c>
      <c r="H17" s="15">
        <v>7689154048</v>
      </c>
      <c r="I17" s="15">
        <v>8591517696</v>
      </c>
      <c r="J17" s="15">
        <v>9275600896</v>
      </c>
      <c r="K17" s="15">
        <v>10090676224</v>
      </c>
      <c r="L17" s="15">
        <v>11615656960</v>
      </c>
      <c r="M17" s="15">
        <v>13139862528</v>
      </c>
      <c r="N17" s="15">
        <v>14591755264</v>
      </c>
      <c r="O17" s="15">
        <v>16885507072</v>
      </c>
      <c r="P17" s="15">
        <v>22347845632</v>
      </c>
      <c r="Q17" s="15">
        <v>25351305216</v>
      </c>
      <c r="R17" s="15">
        <v>28525873152</v>
      </c>
      <c r="S17" s="15">
        <v>31152840704</v>
      </c>
      <c r="T17" s="15">
        <v>36176232448</v>
      </c>
      <c r="U17" s="15">
        <v>44270202880</v>
      </c>
      <c r="V17" s="15">
        <v>54481874944</v>
      </c>
      <c r="W17" s="15">
        <v>56829665280</v>
      </c>
      <c r="X17" s="15">
        <v>52346507264</v>
      </c>
      <c r="Y17" s="15">
        <v>54617993216</v>
      </c>
      <c r="Z17" s="15">
        <v>49428873216</v>
      </c>
      <c r="AA17" s="15">
        <v>48020025344</v>
      </c>
      <c r="AB17" s="15">
        <v>47820849152</v>
      </c>
      <c r="AC17" s="15">
        <v>56379592704</v>
      </c>
      <c r="AD17" s="15">
        <v>65652752384</v>
      </c>
      <c r="AE17" s="15">
        <v>76261277696</v>
      </c>
      <c r="AF17" s="15">
        <v>79169044480</v>
      </c>
      <c r="AG17" s="15">
        <v>97891090432</v>
      </c>
      <c r="AH17" s="15">
        <v>105143230464</v>
      </c>
      <c r="AI17" s="15">
        <v>116224671744</v>
      </c>
      <c r="AJ17" s="15">
        <v>108809060352</v>
      </c>
      <c r="AK17" s="15">
        <v>116601798656</v>
      </c>
      <c r="AL17" s="15">
        <v>136878366720</v>
      </c>
      <c r="AM17" s="15">
        <v>145861607424</v>
      </c>
      <c r="AN17" s="15">
        <v>143157592064</v>
      </c>
      <c r="AO17" s="15">
        <v>144428171264</v>
      </c>
      <c r="AP17" s="15">
        <v>142540734464</v>
      </c>
      <c r="AQ17" s="15">
        <v>130133843968</v>
      </c>
      <c r="AR17" s="15">
        <v>136191352832</v>
      </c>
      <c r="AS17" s="15">
        <v>153830948864</v>
      </c>
      <c r="AT17" s="15">
        <v>201924263936</v>
      </c>
      <c r="AU17" s="15">
        <v>240521265152</v>
      </c>
      <c r="AV17" s="15">
        <v>247782998016</v>
      </c>
      <c r="AW17" s="15">
        <v>273317740544</v>
      </c>
      <c r="AX17" s="15">
        <v>318497947648</v>
      </c>
      <c r="AY17" s="15">
        <v>354460794880</v>
      </c>
      <c r="AZ17" s="15">
        <v>330000236544</v>
      </c>
      <c r="BA17" s="15">
        <v>299361566720</v>
      </c>
      <c r="BB17" s="15">
        <v>287797837824</v>
      </c>
      <c r="BC17" s="15">
        <v>245670674432</v>
      </c>
      <c r="BD17" s="15">
        <v>239862005760</v>
      </c>
      <c r="BE17" s="15">
        <v>237029572608</v>
      </c>
      <c r="BF17" s="15">
        <v>196591353856</v>
      </c>
      <c r="BG17" s="15">
        <v>195222437888</v>
      </c>
      <c r="BH17" s="15">
        <v>203588419584</v>
      </c>
      <c r="BI17" s="15">
        <v>218138361856</v>
      </c>
      <c r="BJ17" s="15">
        <v>209852760064</v>
      </c>
    </row>
    <row r="18" spans="1:62" x14ac:dyDescent="0.45">
      <c r="A18" t="s">
        <v>25</v>
      </c>
      <c r="B18" t="s">
        <v>90</v>
      </c>
      <c r="C18" s="15">
        <v>2598500096</v>
      </c>
      <c r="D18" s="15">
        <v>3138500096</v>
      </c>
      <c r="E18" s="15">
        <v>2510000128</v>
      </c>
      <c r="F18" s="15">
        <v>2992333312</v>
      </c>
      <c r="G18" s="15">
        <v>3405333248</v>
      </c>
      <c r="H18" s="15">
        <v>3663333376</v>
      </c>
      <c r="I18" s="15">
        <v>3980000000</v>
      </c>
      <c r="J18" s="15">
        <v>4030000128</v>
      </c>
      <c r="K18" s="15">
        <v>4618999808</v>
      </c>
      <c r="L18" s="15">
        <v>5329333248</v>
      </c>
      <c r="M18" s="15">
        <v>7048666624</v>
      </c>
      <c r="N18" s="15">
        <v>6711750144</v>
      </c>
      <c r="O18" s="15">
        <v>8775249920</v>
      </c>
      <c r="P18" s="15">
        <v>11326249984</v>
      </c>
      <c r="Q18" s="15">
        <v>16341000192</v>
      </c>
      <c r="R18" s="15">
        <v>15360166912</v>
      </c>
      <c r="S18" s="15">
        <v>15183125504</v>
      </c>
      <c r="T18" s="15">
        <v>17372798976</v>
      </c>
      <c r="U18" s="15">
        <v>16843176960</v>
      </c>
      <c r="V18" s="15">
        <v>21514080256</v>
      </c>
      <c r="W18" s="15">
        <v>24164509696</v>
      </c>
      <c r="X18" s="15">
        <v>25579227136</v>
      </c>
      <c r="Y18" s="15">
        <v>27837509632</v>
      </c>
      <c r="Z18" s="15">
        <v>31092230144</v>
      </c>
      <c r="AA18" s="15">
        <v>29160458240</v>
      </c>
      <c r="AB18" s="15">
        <v>27504906240</v>
      </c>
      <c r="AC18" s="15">
        <v>34097559552</v>
      </c>
      <c r="AD18" s="15">
        <v>40963276800</v>
      </c>
      <c r="AE18" s="15">
        <v>50099380224</v>
      </c>
      <c r="AF18" s="15">
        <v>49901961216</v>
      </c>
      <c r="AG18" s="15">
        <v>59011272704</v>
      </c>
      <c r="AH18" s="15">
        <v>67558014976</v>
      </c>
      <c r="AI18" s="15">
        <v>75607007232</v>
      </c>
      <c r="AJ18" s="15">
        <v>75985903616</v>
      </c>
      <c r="AK18" s="15">
        <v>86342656000</v>
      </c>
      <c r="AL18" s="15">
        <v>100384808960</v>
      </c>
      <c r="AM18" s="15">
        <v>109995843584</v>
      </c>
      <c r="AN18" s="15">
        <v>114692620288</v>
      </c>
      <c r="AO18" s="15">
        <v>115932848128</v>
      </c>
      <c r="AP18" s="15">
        <v>117111537664</v>
      </c>
      <c r="AQ18" s="15">
        <v>132343046144</v>
      </c>
      <c r="AR18" s="15">
        <v>130756337664</v>
      </c>
      <c r="AS18" s="15">
        <v>121123831808</v>
      </c>
      <c r="AT18" s="15">
        <v>126965981184</v>
      </c>
      <c r="AU18" s="15">
        <v>135477428224</v>
      </c>
      <c r="AV18" s="15">
        <v>142528905216</v>
      </c>
      <c r="AW18" s="15">
        <v>154034323456</v>
      </c>
      <c r="AX18" s="15">
        <v>178959187968</v>
      </c>
      <c r="AY18" s="15">
        <v>216105172992</v>
      </c>
      <c r="AZ18" s="15">
        <v>207468167168</v>
      </c>
      <c r="BA18" s="15">
        <v>233995681792</v>
      </c>
      <c r="BB18" s="15">
        <v>261468635136</v>
      </c>
      <c r="BC18" s="15">
        <v>257180139520</v>
      </c>
      <c r="BD18" s="15">
        <v>292636164096</v>
      </c>
      <c r="BE18" s="15">
        <v>309558444032</v>
      </c>
      <c r="BF18" s="15">
        <v>299813109760</v>
      </c>
      <c r="BG18" s="15">
        <v>318950604800</v>
      </c>
      <c r="BH18" s="15">
        <v>353253392384</v>
      </c>
      <c r="BI18" s="15">
        <v>370587992064</v>
      </c>
      <c r="BJ18" s="15">
        <v>395098652672</v>
      </c>
    </row>
    <row r="19" spans="1:62" x14ac:dyDescent="0.45">
      <c r="A19" t="s">
        <v>25</v>
      </c>
      <c r="B19" t="s">
        <v>91</v>
      </c>
      <c r="C19" s="15">
        <v>40385290240</v>
      </c>
      <c r="D19" s="15">
        <v>44842762240</v>
      </c>
      <c r="E19" s="15">
        <v>50383892480</v>
      </c>
      <c r="F19" s="15">
        <v>57710743552</v>
      </c>
      <c r="G19" s="15">
        <v>63175417856</v>
      </c>
      <c r="H19" s="15">
        <v>67978153984</v>
      </c>
      <c r="I19" s="15">
        <v>73654870016</v>
      </c>
      <c r="J19" s="15">
        <v>81133117440</v>
      </c>
      <c r="K19" s="15">
        <v>87942234112</v>
      </c>
      <c r="L19" s="15">
        <v>97085079552</v>
      </c>
      <c r="M19" s="15">
        <v>113395318784</v>
      </c>
      <c r="N19" s="15">
        <v>124672368640</v>
      </c>
      <c r="O19" s="15">
        <v>145260036096</v>
      </c>
      <c r="P19" s="15">
        <v>175492055040</v>
      </c>
      <c r="Q19" s="15">
        <v>199564492800</v>
      </c>
      <c r="R19" s="15">
        <v>227695853568</v>
      </c>
      <c r="S19" s="15">
        <v>224717275136</v>
      </c>
      <c r="T19" s="15">
        <v>257596309504</v>
      </c>
      <c r="U19" s="15">
        <v>315058323456</v>
      </c>
      <c r="V19" s="15">
        <v>393677176832</v>
      </c>
      <c r="W19" s="15">
        <v>477256777728</v>
      </c>
      <c r="X19" s="15">
        <v>430702854144</v>
      </c>
      <c r="Y19" s="15">
        <v>427272634368</v>
      </c>
      <c r="Z19" s="15">
        <v>443042365440</v>
      </c>
      <c r="AA19" s="15">
        <v>437887696896</v>
      </c>
      <c r="AB19" s="15">
        <v>452217503744</v>
      </c>
      <c r="AC19" s="15">
        <v>640386334720</v>
      </c>
      <c r="AD19" s="15">
        <v>805713149952</v>
      </c>
      <c r="AE19" s="15">
        <v>891608956928</v>
      </c>
      <c r="AF19" s="15">
        <v>928661307392</v>
      </c>
      <c r="AG19" s="15">
        <v>1181222699008</v>
      </c>
      <c r="AH19" s="15">
        <v>1246220124160</v>
      </c>
      <c r="AI19" s="15">
        <v>1320161640448</v>
      </c>
      <c r="AJ19" s="15">
        <v>1064958099456</v>
      </c>
      <c r="AK19" s="15">
        <v>1099216715776</v>
      </c>
      <c r="AL19" s="15">
        <v>1174662021120</v>
      </c>
      <c r="AM19" s="15">
        <v>1312426557440</v>
      </c>
      <c r="AN19" s="15">
        <v>1241879543808</v>
      </c>
      <c r="AO19" s="15">
        <v>1270052552704</v>
      </c>
      <c r="AP19" s="15">
        <v>1252023730176</v>
      </c>
      <c r="AQ19" s="15">
        <v>1143829823488</v>
      </c>
      <c r="AR19" s="15">
        <v>1167012790272</v>
      </c>
      <c r="AS19" s="15">
        <v>1270712369152</v>
      </c>
      <c r="AT19" s="15">
        <v>1574145884160</v>
      </c>
      <c r="AU19" s="15">
        <v>1803226972160</v>
      </c>
      <c r="AV19" s="15">
        <v>1857524334592</v>
      </c>
      <c r="AW19" s="15">
        <v>1947919712256</v>
      </c>
      <c r="AX19" s="15">
        <v>2210292563968</v>
      </c>
      <c r="AY19" s="15">
        <v>2398856675328</v>
      </c>
      <c r="AZ19" s="15">
        <v>2191241904128</v>
      </c>
      <c r="BA19" s="15">
        <v>2134017835008</v>
      </c>
      <c r="BB19" s="15">
        <v>2291991052288</v>
      </c>
      <c r="BC19" s="15">
        <v>2087077019648</v>
      </c>
      <c r="BD19" s="15">
        <v>2141315268608</v>
      </c>
      <c r="BE19" s="15">
        <v>2159133982720</v>
      </c>
      <c r="BF19" s="15">
        <v>1835899289600</v>
      </c>
      <c r="BG19" s="15">
        <v>1875797475328</v>
      </c>
      <c r="BH19" s="15">
        <v>1961796173824</v>
      </c>
      <c r="BI19" s="15">
        <v>2085764333568</v>
      </c>
      <c r="BJ19" s="15">
        <v>2001244389376</v>
      </c>
    </row>
    <row r="20" spans="1:62" x14ac:dyDescent="0.45">
      <c r="A20" t="s">
        <v>25</v>
      </c>
      <c r="B20" t="s">
        <v>92</v>
      </c>
      <c r="C20" s="15">
        <v>44307341312</v>
      </c>
      <c r="D20" s="15">
        <v>53508616192</v>
      </c>
      <c r="E20" s="15">
        <v>60723019776</v>
      </c>
      <c r="F20" s="15">
        <v>69498134528</v>
      </c>
      <c r="G20" s="15">
        <v>81749008384</v>
      </c>
      <c r="H20" s="15">
        <v>90950279168</v>
      </c>
      <c r="I20" s="15">
        <v>105628073984</v>
      </c>
      <c r="J20" s="15">
        <v>123781881856</v>
      </c>
      <c r="K20" s="15">
        <v>146601066496</v>
      </c>
      <c r="L20" s="15">
        <v>172204195840</v>
      </c>
      <c r="M20" s="15">
        <v>212609187840</v>
      </c>
      <c r="N20" s="15">
        <v>240151805952</v>
      </c>
      <c r="O20" s="15">
        <v>318031298560</v>
      </c>
      <c r="P20" s="15">
        <v>432082681856</v>
      </c>
      <c r="Q20" s="15">
        <v>479626002432</v>
      </c>
      <c r="R20" s="15">
        <v>521541910528</v>
      </c>
      <c r="S20" s="15">
        <v>586161848320</v>
      </c>
      <c r="T20" s="15">
        <v>721411768320</v>
      </c>
      <c r="U20" s="15">
        <v>1013612150784</v>
      </c>
      <c r="V20" s="15">
        <v>1055012093952</v>
      </c>
      <c r="W20" s="15">
        <v>1105386012672</v>
      </c>
      <c r="X20" s="15">
        <v>1218988998656</v>
      </c>
      <c r="Y20" s="15">
        <v>1134517944320</v>
      </c>
      <c r="Z20" s="15">
        <v>1243323564032</v>
      </c>
      <c r="AA20" s="15">
        <v>1318381682688</v>
      </c>
      <c r="AB20" s="15">
        <v>1398892789760</v>
      </c>
      <c r="AC20" s="15">
        <v>2078953308160</v>
      </c>
      <c r="AD20" s="15">
        <v>2532808589312</v>
      </c>
      <c r="AE20" s="15">
        <v>3071683067904</v>
      </c>
      <c r="AF20" s="15">
        <v>3054914240512</v>
      </c>
      <c r="AG20" s="15">
        <v>3132817670144</v>
      </c>
      <c r="AH20" s="15">
        <v>3584419954688</v>
      </c>
      <c r="AI20" s="15">
        <v>3908809523200</v>
      </c>
      <c r="AJ20" s="15">
        <v>4454143754240</v>
      </c>
      <c r="AK20" s="15">
        <v>4907039457280</v>
      </c>
      <c r="AL20" s="15">
        <v>5449116549120</v>
      </c>
      <c r="AM20" s="15">
        <v>4833712537600</v>
      </c>
      <c r="AN20" s="15">
        <v>4414733025280</v>
      </c>
      <c r="AO20" s="15">
        <v>4032509771776</v>
      </c>
      <c r="AP20" s="15">
        <v>4562078924800</v>
      </c>
      <c r="AQ20" s="15">
        <v>4887519690752</v>
      </c>
      <c r="AR20" s="15">
        <v>4303544385536</v>
      </c>
      <c r="AS20" s="15">
        <v>4115116326912</v>
      </c>
      <c r="AT20" s="15">
        <v>4445658152960</v>
      </c>
      <c r="AU20" s="15">
        <v>4815149072384</v>
      </c>
      <c r="AV20" s="15">
        <v>4755410649088</v>
      </c>
      <c r="AW20" s="15">
        <v>4530377326592</v>
      </c>
      <c r="AX20" s="15">
        <v>4515264724992</v>
      </c>
      <c r="AY20" s="15">
        <v>5037908557824</v>
      </c>
      <c r="AZ20" s="15">
        <v>5231382888448</v>
      </c>
      <c r="BA20" s="15">
        <v>5700097933312</v>
      </c>
      <c r="BB20" s="15">
        <v>6157459521536</v>
      </c>
      <c r="BC20" s="15">
        <v>6203213086720</v>
      </c>
      <c r="BD20" s="15">
        <v>5155717120000</v>
      </c>
      <c r="BE20" s="15">
        <v>4850413731840</v>
      </c>
      <c r="BF20" s="15">
        <v>4389475713024</v>
      </c>
      <c r="BG20" s="15">
        <v>4922537934848</v>
      </c>
      <c r="BH20" s="15">
        <v>4866864316416</v>
      </c>
      <c r="BI20" s="15">
        <v>4954806812672</v>
      </c>
      <c r="BJ20" s="15">
        <v>5081769443328</v>
      </c>
    </row>
    <row r="21" spans="1:62" x14ac:dyDescent="0.45">
      <c r="A21" t="s">
        <v>25</v>
      </c>
      <c r="B21" t="s">
        <v>93</v>
      </c>
      <c r="C21" s="15">
        <v>703925696</v>
      </c>
      <c r="D21" s="15">
        <v>704145664</v>
      </c>
      <c r="E21" s="15">
        <v>741509504</v>
      </c>
      <c r="F21" s="15">
        <v>791140608</v>
      </c>
      <c r="G21" s="15">
        <v>903158784</v>
      </c>
      <c r="H21" s="15">
        <v>921600768</v>
      </c>
      <c r="I21" s="15">
        <v>968440128</v>
      </c>
      <c r="J21" s="15">
        <v>974721792</v>
      </c>
      <c r="K21" s="15">
        <v>1066447104</v>
      </c>
      <c r="L21" s="15">
        <v>1234878976</v>
      </c>
      <c r="M21" s="15">
        <v>1509155072</v>
      </c>
      <c r="N21" s="15">
        <v>1572310784</v>
      </c>
      <c r="O21" s="15">
        <v>1968733056</v>
      </c>
      <c r="P21" s="15">
        <v>2701874688</v>
      </c>
      <c r="Q21" s="15">
        <v>3295860992</v>
      </c>
      <c r="R21" s="15">
        <v>3233431552</v>
      </c>
      <c r="S21" s="15">
        <v>3544268032</v>
      </c>
      <c r="T21" s="15">
        <v>3922895872</v>
      </c>
      <c r="U21" s="15">
        <v>4884869120</v>
      </c>
      <c r="V21" s="15">
        <v>5711457792</v>
      </c>
      <c r="W21" s="15">
        <v>6232005632</v>
      </c>
      <c r="X21" s="15">
        <v>5231808512</v>
      </c>
      <c r="Y21" s="15">
        <v>4764549632</v>
      </c>
      <c r="Z21" s="15">
        <v>4683697664</v>
      </c>
      <c r="AA21" s="15">
        <v>4594891776</v>
      </c>
      <c r="AB21" s="15">
        <v>4738559488</v>
      </c>
      <c r="AC21" s="15">
        <v>6921264128</v>
      </c>
      <c r="AD21" s="15">
        <v>8614215680</v>
      </c>
      <c r="AE21" s="15">
        <v>9750161408</v>
      </c>
      <c r="AF21" s="15">
        <v>10391504896</v>
      </c>
      <c r="AG21" s="15">
        <v>13229247488</v>
      </c>
      <c r="AH21" s="15">
        <v>14321879040</v>
      </c>
      <c r="AI21" s="15">
        <v>16065740800</v>
      </c>
      <c r="AJ21" s="15">
        <v>16486899712</v>
      </c>
      <c r="AK21" s="15">
        <v>18325790720</v>
      </c>
      <c r="AL21" s="15">
        <v>21588170752</v>
      </c>
      <c r="AM21" s="15">
        <v>21776609280</v>
      </c>
      <c r="AN21" s="15">
        <v>19731912704</v>
      </c>
      <c r="AO21" s="15">
        <v>20209121280</v>
      </c>
      <c r="AP21" s="15">
        <v>22235928576</v>
      </c>
      <c r="AQ21" s="15">
        <v>21263515648</v>
      </c>
      <c r="AR21" s="15">
        <v>21272418304</v>
      </c>
      <c r="AS21" s="15">
        <v>23616329728</v>
      </c>
      <c r="AT21" s="15">
        <v>29557325824</v>
      </c>
      <c r="AU21" s="15">
        <v>34685280256</v>
      </c>
      <c r="AV21" s="15">
        <v>37347393536</v>
      </c>
      <c r="AW21" s="15">
        <v>42414309376</v>
      </c>
      <c r="AX21" s="15">
        <v>50888134656</v>
      </c>
      <c r="AY21" s="15">
        <v>55849684992</v>
      </c>
      <c r="AZ21" s="15">
        <v>51370545152</v>
      </c>
      <c r="BA21" s="15">
        <v>53212475392</v>
      </c>
      <c r="BB21" s="15">
        <v>60004630528</v>
      </c>
      <c r="BC21" s="15">
        <v>56677961728</v>
      </c>
      <c r="BD21" s="15">
        <v>61739352064</v>
      </c>
      <c r="BE21" s="15">
        <v>66103853056</v>
      </c>
      <c r="BF21" s="15">
        <v>57744457728</v>
      </c>
      <c r="BG21" s="15">
        <v>60691484672</v>
      </c>
      <c r="BH21" s="15">
        <v>64181944320</v>
      </c>
      <c r="BI21" s="15">
        <v>70919954432</v>
      </c>
      <c r="BJ21" s="15">
        <v>71104921600</v>
      </c>
    </row>
    <row r="22" spans="1:62" x14ac:dyDescent="0.45">
      <c r="A22" t="s">
        <v>25</v>
      </c>
      <c r="B22" t="s">
        <v>94</v>
      </c>
      <c r="C22" s="15">
        <v>12276733952</v>
      </c>
      <c r="D22" s="15">
        <v>13493833728</v>
      </c>
      <c r="E22" s="15">
        <v>14647057408</v>
      </c>
      <c r="F22" s="15">
        <v>15891240960</v>
      </c>
      <c r="G22" s="15">
        <v>18699380736</v>
      </c>
      <c r="H22" s="15">
        <v>21000587264</v>
      </c>
      <c r="I22" s="15">
        <v>22867204096</v>
      </c>
      <c r="J22" s="15">
        <v>25087561728</v>
      </c>
      <c r="K22" s="15">
        <v>27817605120</v>
      </c>
      <c r="L22" s="15">
        <v>34035947520</v>
      </c>
      <c r="M22" s="15">
        <v>38164717568</v>
      </c>
      <c r="N22" s="15">
        <v>44579123200</v>
      </c>
      <c r="O22" s="15">
        <v>54706556928</v>
      </c>
      <c r="P22" s="15">
        <v>71840907264</v>
      </c>
      <c r="Q22" s="15">
        <v>87243415552</v>
      </c>
      <c r="R22" s="15">
        <v>100249526272</v>
      </c>
      <c r="S22" s="15">
        <v>109168721920</v>
      </c>
      <c r="T22" s="15">
        <v>127016992768</v>
      </c>
      <c r="U22" s="15">
        <v>155859697664</v>
      </c>
      <c r="V22" s="15">
        <v>179669401600</v>
      </c>
      <c r="W22" s="15">
        <v>195152084992</v>
      </c>
      <c r="X22" s="15">
        <v>164134223872</v>
      </c>
      <c r="Y22" s="15">
        <v>158479532032</v>
      </c>
      <c r="Z22" s="15">
        <v>153445466112</v>
      </c>
      <c r="AA22" s="15">
        <v>143912665088</v>
      </c>
      <c r="AB22" s="15">
        <v>143845818368</v>
      </c>
      <c r="AC22" s="15">
        <v>200862089216</v>
      </c>
      <c r="AD22" s="15">
        <v>245046312960</v>
      </c>
      <c r="AE22" s="15">
        <v>261910511616</v>
      </c>
      <c r="AF22" s="15">
        <v>258336702464</v>
      </c>
      <c r="AG22" s="15">
        <v>318330503168</v>
      </c>
      <c r="AH22" s="15">
        <v>327500333056</v>
      </c>
      <c r="AI22" s="15">
        <v>362962878464</v>
      </c>
      <c r="AJ22" s="15">
        <v>353550172160</v>
      </c>
      <c r="AK22" s="15">
        <v>379130249216</v>
      </c>
      <c r="AL22" s="15">
        <v>452301684736</v>
      </c>
      <c r="AM22" s="15">
        <v>450490204160</v>
      </c>
      <c r="AN22" s="15">
        <v>416812728320</v>
      </c>
      <c r="AO22" s="15">
        <v>438008217600</v>
      </c>
      <c r="AP22" s="15">
        <v>446898569216</v>
      </c>
      <c r="AQ22" s="15">
        <v>416442777600</v>
      </c>
      <c r="AR22" s="15">
        <v>431213412352</v>
      </c>
      <c r="AS22" s="15">
        <v>471613964288</v>
      </c>
      <c r="AT22" s="15">
        <v>578792325120</v>
      </c>
      <c r="AU22" s="15">
        <v>657171611648</v>
      </c>
      <c r="AV22" s="15">
        <v>685092634624</v>
      </c>
      <c r="AW22" s="15">
        <v>733340893184</v>
      </c>
      <c r="AX22" s="15">
        <v>847481536512</v>
      </c>
      <c r="AY22" s="15">
        <v>947997638656</v>
      </c>
      <c r="AZ22" s="15">
        <v>868077273088</v>
      </c>
      <c r="BA22" s="15">
        <v>846554923008</v>
      </c>
      <c r="BB22" s="15">
        <v>904085962752</v>
      </c>
      <c r="BC22" s="15">
        <v>838971293696</v>
      </c>
      <c r="BD22" s="15">
        <v>876923518976</v>
      </c>
      <c r="BE22" s="15">
        <v>890981318656</v>
      </c>
      <c r="BF22" s="15">
        <v>765264920576</v>
      </c>
      <c r="BG22" s="15">
        <v>783528165376</v>
      </c>
      <c r="BH22" s="15">
        <v>833869643776</v>
      </c>
      <c r="BI22" s="15">
        <v>914104844288</v>
      </c>
      <c r="BJ22" s="15">
        <v>909070368768</v>
      </c>
    </row>
    <row r="23" spans="1:62" x14ac:dyDescent="0.45">
      <c r="A23" t="s">
        <v>25</v>
      </c>
      <c r="B23" t="s">
        <v>95</v>
      </c>
      <c r="C23" s="15">
        <v>5163271680</v>
      </c>
      <c r="D23" s="15">
        <v>5632460800</v>
      </c>
      <c r="E23" s="15">
        <v>6066976768</v>
      </c>
      <c r="F23" s="15">
        <v>6510239744</v>
      </c>
      <c r="G23" s="15">
        <v>7159202816</v>
      </c>
      <c r="H23" s="15">
        <v>8058680832</v>
      </c>
      <c r="I23" s="15">
        <v>8696460288</v>
      </c>
      <c r="J23" s="15">
        <v>9514497024</v>
      </c>
      <c r="K23" s="15">
        <v>10159934464</v>
      </c>
      <c r="L23" s="15">
        <v>11063064576</v>
      </c>
      <c r="M23" s="15">
        <v>12814123008</v>
      </c>
      <c r="N23" s="15">
        <v>14583114752</v>
      </c>
      <c r="O23" s="15">
        <v>17358610432</v>
      </c>
      <c r="P23" s="15">
        <v>22534254592</v>
      </c>
      <c r="Q23" s="15">
        <v>27145693184</v>
      </c>
      <c r="R23" s="15">
        <v>32877805568</v>
      </c>
      <c r="S23" s="15">
        <v>35942268928</v>
      </c>
      <c r="T23" s="15">
        <v>41508028416</v>
      </c>
      <c r="U23" s="15">
        <v>46523092992</v>
      </c>
      <c r="V23" s="15">
        <v>53132242944</v>
      </c>
      <c r="W23" s="15">
        <v>64439382016</v>
      </c>
      <c r="X23" s="15">
        <v>63596654592</v>
      </c>
      <c r="Y23" s="15">
        <v>62647193600</v>
      </c>
      <c r="Z23" s="15">
        <v>61627240448</v>
      </c>
      <c r="AA23" s="15">
        <v>62057955328</v>
      </c>
      <c r="AB23" s="15">
        <v>65416880128</v>
      </c>
      <c r="AC23" s="15">
        <v>78693253120</v>
      </c>
      <c r="AD23" s="15">
        <v>94230052864</v>
      </c>
      <c r="AE23" s="15">
        <v>101900263424</v>
      </c>
      <c r="AF23" s="15">
        <v>102633791488</v>
      </c>
      <c r="AG23" s="15">
        <v>119791681536</v>
      </c>
      <c r="AH23" s="15">
        <v>121872465920</v>
      </c>
      <c r="AI23" s="15">
        <v>130838036480</v>
      </c>
      <c r="AJ23" s="15">
        <v>120579072000</v>
      </c>
      <c r="AK23" s="15">
        <v>127131459584</v>
      </c>
      <c r="AL23" s="15">
        <v>152029609984</v>
      </c>
      <c r="AM23" s="15">
        <v>163520102400</v>
      </c>
      <c r="AN23" s="15">
        <v>161356627968</v>
      </c>
      <c r="AO23" s="15">
        <v>154163363840</v>
      </c>
      <c r="AP23" s="15">
        <v>162284470272</v>
      </c>
      <c r="AQ23" s="15">
        <v>171247124480</v>
      </c>
      <c r="AR23" s="15">
        <v>173972226048</v>
      </c>
      <c r="AS23" s="15">
        <v>195524182016</v>
      </c>
      <c r="AT23" s="15">
        <v>228858511360</v>
      </c>
      <c r="AU23" s="15">
        <v>264511635456</v>
      </c>
      <c r="AV23" s="15">
        <v>308884275200</v>
      </c>
      <c r="AW23" s="15">
        <v>345581355008</v>
      </c>
      <c r="AX23" s="15">
        <v>400937091072</v>
      </c>
      <c r="AY23" s="15">
        <v>462249984000</v>
      </c>
      <c r="AZ23" s="15">
        <v>386190376960</v>
      </c>
      <c r="BA23" s="15">
        <v>428757024768</v>
      </c>
      <c r="BB23" s="15">
        <v>498283446272</v>
      </c>
      <c r="BC23" s="15">
        <v>509506322432</v>
      </c>
      <c r="BD23" s="15">
        <v>522761535488</v>
      </c>
      <c r="BE23" s="15">
        <v>498410061824</v>
      </c>
      <c r="BF23" s="15">
        <v>385801551872</v>
      </c>
      <c r="BG23" s="15">
        <v>368819929088</v>
      </c>
      <c r="BH23" s="15">
        <v>398393966592</v>
      </c>
      <c r="BI23" s="15">
        <v>434166628352</v>
      </c>
      <c r="BJ23" s="15">
        <v>403336364032</v>
      </c>
    </row>
    <row r="24" spans="1:62" x14ac:dyDescent="0.45">
      <c r="A24" t="s">
        <v>25</v>
      </c>
      <c r="B24" t="s">
        <v>96</v>
      </c>
      <c r="C24" s="15">
        <v>3193200384</v>
      </c>
      <c r="D24" s="15">
        <v>3417516544</v>
      </c>
      <c r="E24" s="15">
        <v>3668222464</v>
      </c>
      <c r="F24" s="15">
        <v>3905734400</v>
      </c>
      <c r="G24" s="15">
        <v>4235608064</v>
      </c>
      <c r="H24" s="15">
        <v>4687463936</v>
      </c>
      <c r="I24" s="15">
        <v>5135387648</v>
      </c>
      <c r="J24" s="15">
        <v>5740241408</v>
      </c>
      <c r="K24" s="15">
        <v>6354262528</v>
      </c>
      <c r="L24" s="15">
        <v>6969026048</v>
      </c>
      <c r="M24" s="15">
        <v>8108234752</v>
      </c>
      <c r="N24" s="15">
        <v>9201606656</v>
      </c>
      <c r="O24" s="15">
        <v>11239116800</v>
      </c>
      <c r="P24" s="15">
        <v>15090566144</v>
      </c>
      <c r="Q24" s="15">
        <v>17512388608</v>
      </c>
      <c r="R24" s="15">
        <v>19347609600</v>
      </c>
      <c r="S24" s="15">
        <v>20332834816</v>
      </c>
      <c r="T24" s="15">
        <v>21439524864</v>
      </c>
      <c r="U24" s="15">
        <v>23487612928</v>
      </c>
      <c r="V24" s="15">
        <v>26622818304</v>
      </c>
      <c r="W24" s="15">
        <v>32896522240</v>
      </c>
      <c r="X24" s="15">
        <v>31977275392</v>
      </c>
      <c r="Y24" s="15">
        <v>30527754240</v>
      </c>
      <c r="Z24" s="15">
        <v>27239651328</v>
      </c>
      <c r="AA24" s="15">
        <v>25217970176</v>
      </c>
      <c r="AB24" s="15">
        <v>27115806720</v>
      </c>
      <c r="AC24" s="15">
        <v>38745903104</v>
      </c>
      <c r="AD24" s="15">
        <v>48182923264</v>
      </c>
      <c r="AE24" s="15">
        <v>56347250688</v>
      </c>
      <c r="AF24" s="15">
        <v>60594094080</v>
      </c>
      <c r="AG24" s="15">
        <v>78713856000</v>
      </c>
      <c r="AH24" s="15">
        <v>89233596416</v>
      </c>
      <c r="AI24" s="15">
        <v>107592097792</v>
      </c>
      <c r="AJ24" s="15">
        <v>95009751040</v>
      </c>
      <c r="AK24" s="15">
        <v>99688644608</v>
      </c>
      <c r="AL24" s="15">
        <v>118122004480</v>
      </c>
      <c r="AM24" s="15">
        <v>122630086656</v>
      </c>
      <c r="AN24" s="15">
        <v>117016535040</v>
      </c>
      <c r="AO24" s="15">
        <v>123946328064</v>
      </c>
      <c r="AP24" s="15">
        <v>127427346432</v>
      </c>
      <c r="AQ24" s="15">
        <v>118310707200</v>
      </c>
      <c r="AR24" s="15">
        <v>121498886144</v>
      </c>
      <c r="AS24" s="15">
        <v>134156091392</v>
      </c>
      <c r="AT24" s="15">
        <v>164862148608</v>
      </c>
      <c r="AU24" s="15">
        <v>189034496000</v>
      </c>
      <c r="AV24" s="15">
        <v>197180325888</v>
      </c>
      <c r="AW24" s="15">
        <v>208581689344</v>
      </c>
      <c r="AX24" s="15">
        <v>240190799872</v>
      </c>
      <c r="AY24" s="15">
        <v>262344785920</v>
      </c>
      <c r="AZ24" s="15">
        <v>243701628928</v>
      </c>
      <c r="BA24" s="15">
        <v>237880901632</v>
      </c>
      <c r="BB24" s="15">
        <v>244797227008</v>
      </c>
      <c r="BC24" s="15">
        <v>216236605440</v>
      </c>
      <c r="BD24" s="15">
        <v>226369503232</v>
      </c>
      <c r="BE24" s="15">
        <v>229596168192</v>
      </c>
      <c r="BF24" s="15">
        <v>199313899520</v>
      </c>
      <c r="BG24" s="15">
        <v>206286028800</v>
      </c>
      <c r="BH24" s="15">
        <v>221357867008</v>
      </c>
      <c r="BI24" s="15">
        <v>241274634240</v>
      </c>
      <c r="BJ24" s="15">
        <v>237686079488</v>
      </c>
    </row>
    <row r="25" spans="1:62" x14ac:dyDescent="0.45">
      <c r="A25" t="s">
        <v>25</v>
      </c>
      <c r="B25" t="s">
        <v>97</v>
      </c>
      <c r="C25" s="15">
        <v>704756288</v>
      </c>
      <c r="D25" s="15">
        <v>764634752</v>
      </c>
      <c r="E25" s="15">
        <v>826244608</v>
      </c>
      <c r="F25" s="15">
        <v>917614016</v>
      </c>
      <c r="G25" s="15">
        <v>894159168</v>
      </c>
      <c r="H25" s="15">
        <v>974650432</v>
      </c>
      <c r="I25" s="15">
        <v>1096432768</v>
      </c>
      <c r="J25" s="15">
        <v>1238043904</v>
      </c>
      <c r="K25" s="15">
        <v>1425715456</v>
      </c>
      <c r="L25" s="15">
        <v>1659904640</v>
      </c>
      <c r="M25" s="15">
        <v>1920586752</v>
      </c>
      <c r="N25" s="15">
        <v>2263785472</v>
      </c>
      <c r="O25" s="15">
        <v>2721441024</v>
      </c>
      <c r="P25" s="15">
        <v>3696213248</v>
      </c>
      <c r="Q25" s="15">
        <v>5221534720</v>
      </c>
      <c r="R25" s="15">
        <v>5633673728</v>
      </c>
      <c r="S25" s="15">
        <v>6327077888</v>
      </c>
      <c r="T25" s="15">
        <v>6618585088</v>
      </c>
      <c r="U25" s="15">
        <v>7517176320</v>
      </c>
      <c r="V25" s="15">
        <v>9296921600</v>
      </c>
      <c r="W25" s="15">
        <v>11896256512</v>
      </c>
      <c r="X25" s="15">
        <v>14175228928</v>
      </c>
      <c r="Y25" s="15">
        <v>16084252672</v>
      </c>
      <c r="Z25" s="15">
        <v>17784113152</v>
      </c>
      <c r="AA25" s="15">
        <v>19749361664</v>
      </c>
      <c r="AB25" s="15">
        <v>19156533248</v>
      </c>
      <c r="AC25" s="15">
        <v>18586746880</v>
      </c>
      <c r="AD25" s="15">
        <v>20919216128</v>
      </c>
      <c r="AE25" s="15">
        <v>25371461632</v>
      </c>
      <c r="AF25" s="15">
        <v>30465363968</v>
      </c>
      <c r="AG25" s="15">
        <v>36144336896</v>
      </c>
      <c r="AH25" s="15">
        <v>45466165248</v>
      </c>
      <c r="AI25" s="15">
        <v>52130263040</v>
      </c>
      <c r="AJ25" s="15">
        <v>60603478016</v>
      </c>
      <c r="AK25" s="15">
        <v>73690849280</v>
      </c>
      <c r="AL25" s="15">
        <v>87810990080</v>
      </c>
      <c r="AM25" s="15">
        <v>96295886848</v>
      </c>
      <c r="AN25" s="15">
        <v>100124188672</v>
      </c>
      <c r="AO25" s="15">
        <v>85728313344</v>
      </c>
      <c r="AP25" s="15">
        <v>86284664832</v>
      </c>
      <c r="AQ25" s="15">
        <v>96074481664</v>
      </c>
      <c r="AR25" s="15">
        <v>89794945024</v>
      </c>
      <c r="AS25" s="15">
        <v>92537749504</v>
      </c>
      <c r="AT25" s="15">
        <v>97645445120</v>
      </c>
      <c r="AU25" s="15">
        <v>115035496448</v>
      </c>
      <c r="AV25" s="15">
        <v>127807619072</v>
      </c>
      <c r="AW25" s="15">
        <v>148630372352</v>
      </c>
      <c r="AX25" s="15">
        <v>180941946880</v>
      </c>
      <c r="AY25" s="15">
        <v>193611988992</v>
      </c>
      <c r="AZ25" s="15">
        <v>194152284160</v>
      </c>
      <c r="BA25" s="15">
        <v>239809380352</v>
      </c>
      <c r="BB25" s="15">
        <v>279351164928</v>
      </c>
      <c r="BC25" s="15">
        <v>295087210496</v>
      </c>
      <c r="BD25" s="15">
        <v>307576373248</v>
      </c>
      <c r="BE25" s="15">
        <v>314851164160</v>
      </c>
      <c r="BF25" s="15">
        <v>308004159488</v>
      </c>
      <c r="BG25" s="15">
        <v>318652350464</v>
      </c>
      <c r="BH25" s="15">
        <v>341863333888</v>
      </c>
      <c r="BI25" s="15">
        <v>373217067008</v>
      </c>
      <c r="BJ25" s="15">
        <v>372062519296</v>
      </c>
    </row>
    <row r="26" spans="1:62" x14ac:dyDescent="0.45">
      <c r="A26" t="s">
        <v>25</v>
      </c>
      <c r="B26" t="s">
        <v>98</v>
      </c>
      <c r="C26" s="15">
        <v>3958190848</v>
      </c>
      <c r="D26" s="15">
        <v>2417558272</v>
      </c>
      <c r="E26" s="15">
        <v>2814318592</v>
      </c>
      <c r="F26" s="15">
        <v>3988784640</v>
      </c>
      <c r="G26" s="15">
        <v>3458939392</v>
      </c>
      <c r="H26" s="15">
        <v>3120833280</v>
      </c>
      <c r="I26" s="15">
        <v>3928908288</v>
      </c>
      <c r="J26" s="15">
        <v>4855907328</v>
      </c>
      <c r="K26" s="15">
        <v>6119284224</v>
      </c>
      <c r="L26" s="15">
        <v>7678581248</v>
      </c>
      <c r="M26" s="15">
        <v>9005023232</v>
      </c>
      <c r="N26" s="15">
        <v>9903500288</v>
      </c>
      <c r="O26" s="15">
        <v>10862327808</v>
      </c>
      <c r="P26" s="15">
        <v>13876531200</v>
      </c>
      <c r="Q26" s="15">
        <v>19544094720</v>
      </c>
      <c r="R26" s="15">
        <v>21784297472</v>
      </c>
      <c r="S26" s="15">
        <v>29902479360</v>
      </c>
      <c r="T26" s="15">
        <v>38446489600</v>
      </c>
      <c r="U26" s="15">
        <v>51972108288</v>
      </c>
      <c r="V26" s="15">
        <v>66946899968</v>
      </c>
      <c r="W26" s="15">
        <v>65398644736</v>
      </c>
      <c r="X26" s="15">
        <v>72933351424</v>
      </c>
      <c r="Y26" s="15">
        <v>78358863872</v>
      </c>
      <c r="Z26" s="15">
        <v>87760363520</v>
      </c>
      <c r="AA26" s="15">
        <v>97510236160</v>
      </c>
      <c r="AB26" s="15">
        <v>101296177152</v>
      </c>
      <c r="AC26" s="15">
        <v>116836802560</v>
      </c>
      <c r="AD26" s="15">
        <v>147948257280</v>
      </c>
      <c r="AE26" s="15">
        <v>199590821888</v>
      </c>
      <c r="AF26" s="15">
        <v>246927294464</v>
      </c>
      <c r="AG26" s="15">
        <v>283367538688</v>
      </c>
      <c r="AH26" s="15">
        <v>330648518656</v>
      </c>
      <c r="AI26" s="15">
        <v>355525263360</v>
      </c>
      <c r="AJ26" s="15">
        <v>392666087424</v>
      </c>
      <c r="AK26" s="15">
        <v>463617392640</v>
      </c>
      <c r="AL26" s="15">
        <v>566583427072</v>
      </c>
      <c r="AM26" s="15">
        <v>610169585664</v>
      </c>
      <c r="AN26" s="15">
        <v>569754517504</v>
      </c>
      <c r="AO26" s="15">
        <v>383330942976</v>
      </c>
      <c r="AP26" s="15">
        <v>497512644608</v>
      </c>
      <c r="AQ26" s="15">
        <v>576178094080</v>
      </c>
      <c r="AR26" s="15">
        <v>547658235904</v>
      </c>
      <c r="AS26" s="15">
        <v>627246104576</v>
      </c>
      <c r="AT26" s="15">
        <v>702717362176</v>
      </c>
      <c r="AU26" s="15">
        <v>793174999040</v>
      </c>
      <c r="AV26" s="15">
        <v>934901055488</v>
      </c>
      <c r="AW26" s="15">
        <v>1053216931840</v>
      </c>
      <c r="AX26" s="15">
        <v>1172614021120</v>
      </c>
      <c r="AY26" s="15">
        <v>1047339008000</v>
      </c>
      <c r="AZ26" s="15">
        <v>943941877760</v>
      </c>
      <c r="BA26" s="15">
        <v>1144066932736</v>
      </c>
      <c r="BB26" s="15">
        <v>1253223038976</v>
      </c>
      <c r="BC26" s="15">
        <v>1278427660288</v>
      </c>
      <c r="BD26" s="15">
        <v>1370795147264</v>
      </c>
      <c r="BE26" s="15">
        <v>1484318179328</v>
      </c>
      <c r="BF26" s="15">
        <v>1465773195264</v>
      </c>
      <c r="BG26" s="15">
        <v>1500111568896</v>
      </c>
      <c r="BH26" s="15">
        <v>1623901470720</v>
      </c>
      <c r="BI26" s="15">
        <v>1720578867200</v>
      </c>
      <c r="BJ26" s="15">
        <v>1642383278080</v>
      </c>
    </row>
    <row r="27" spans="1:62" x14ac:dyDescent="0.45">
      <c r="A27" t="s">
        <v>25</v>
      </c>
      <c r="B27" t="s">
        <v>99</v>
      </c>
      <c r="C27" s="15">
        <v>12072126464</v>
      </c>
      <c r="D27" s="15">
        <v>13834300416</v>
      </c>
      <c r="E27" s="15">
        <v>16138545152</v>
      </c>
      <c r="F27" s="15">
        <v>19074914304</v>
      </c>
      <c r="G27" s="15">
        <v>21343844352</v>
      </c>
      <c r="H27" s="15">
        <v>24756959232</v>
      </c>
      <c r="I27" s="15">
        <v>28721061888</v>
      </c>
      <c r="J27" s="15">
        <v>31647119360</v>
      </c>
      <c r="K27" s="15">
        <v>31475548160</v>
      </c>
      <c r="L27" s="15">
        <v>36038713344</v>
      </c>
      <c r="M27" s="15">
        <v>40992997376</v>
      </c>
      <c r="N27" s="15">
        <v>46619418624</v>
      </c>
      <c r="O27" s="15">
        <v>59132416000</v>
      </c>
      <c r="P27" s="15">
        <v>78639529984</v>
      </c>
      <c r="Q27" s="15">
        <v>97274003456</v>
      </c>
      <c r="R27" s="15">
        <v>114777047040</v>
      </c>
      <c r="S27" s="15">
        <v>118507184128</v>
      </c>
      <c r="T27" s="15">
        <v>132449280000</v>
      </c>
      <c r="U27" s="15">
        <v>160599687168</v>
      </c>
      <c r="V27" s="15">
        <v>214601957376</v>
      </c>
      <c r="W27" s="15">
        <v>232766816256</v>
      </c>
      <c r="X27" s="15">
        <v>202807885824</v>
      </c>
      <c r="Y27" s="15">
        <v>195996762112</v>
      </c>
      <c r="Z27" s="15">
        <v>170951180288</v>
      </c>
      <c r="AA27" s="15">
        <v>172102909952</v>
      </c>
      <c r="AB27" s="15">
        <v>180793458688</v>
      </c>
      <c r="AC27" s="15">
        <v>251321073664</v>
      </c>
      <c r="AD27" s="15">
        <v>318747934720</v>
      </c>
      <c r="AE27" s="15">
        <v>376160419840</v>
      </c>
      <c r="AF27" s="15">
        <v>414757060608</v>
      </c>
      <c r="AG27" s="15">
        <v>536558600192</v>
      </c>
      <c r="AH27" s="15">
        <v>577166180352</v>
      </c>
      <c r="AI27" s="15">
        <v>630915989504</v>
      </c>
      <c r="AJ27" s="15">
        <v>525075644416</v>
      </c>
      <c r="AK27" s="15">
        <v>530562646016</v>
      </c>
      <c r="AL27" s="15">
        <v>614608994304</v>
      </c>
      <c r="AM27" s="15">
        <v>642588999680</v>
      </c>
      <c r="AN27" s="15">
        <v>590077296640</v>
      </c>
      <c r="AO27" s="15">
        <v>619214864384</v>
      </c>
      <c r="AP27" s="15">
        <v>634693156864</v>
      </c>
      <c r="AQ27" s="15">
        <v>596877639680</v>
      </c>
      <c r="AR27" s="15">
        <v>627286802432</v>
      </c>
      <c r="AS27" s="15">
        <v>705394311168</v>
      </c>
      <c r="AT27" s="15">
        <v>905492103168</v>
      </c>
      <c r="AU27" s="15">
        <v>1067093393408</v>
      </c>
      <c r="AV27" s="15">
        <v>1153285619712</v>
      </c>
      <c r="AW27" s="15">
        <v>1259343839232</v>
      </c>
      <c r="AX27" s="15">
        <v>1472131104768</v>
      </c>
      <c r="AY27" s="15">
        <v>1625224904704</v>
      </c>
      <c r="AZ27" s="15">
        <v>1485583548416</v>
      </c>
      <c r="BA27" s="15">
        <v>1420722044928</v>
      </c>
      <c r="BB27" s="15">
        <v>1478772785152</v>
      </c>
      <c r="BC27" s="15">
        <v>1324820070400</v>
      </c>
      <c r="BD27" s="15">
        <v>1354757439488</v>
      </c>
      <c r="BE27" s="15">
        <v>1369398837248</v>
      </c>
      <c r="BF27" s="15">
        <v>1195119214592</v>
      </c>
      <c r="BG27" s="15">
        <v>1232076013568</v>
      </c>
      <c r="BH27" s="15">
        <v>1312551731200</v>
      </c>
      <c r="BI27" s="15">
        <v>1419735203840</v>
      </c>
      <c r="BJ27" s="15">
        <v>1394116263936</v>
      </c>
    </row>
    <row r="28" spans="1:62" x14ac:dyDescent="0.45">
      <c r="A28" t="s">
        <v>25</v>
      </c>
      <c r="B28" t="s">
        <v>100</v>
      </c>
      <c r="C28" s="15">
        <v>15822584832</v>
      </c>
      <c r="D28" s="15">
        <v>17212686336</v>
      </c>
      <c r="E28" s="15">
        <v>18667251712</v>
      </c>
      <c r="F28" s="15">
        <v>20204869632</v>
      </c>
      <c r="G28" s="15">
        <v>22532417536</v>
      </c>
      <c r="H28" s="15">
        <v>24795500544</v>
      </c>
      <c r="I28" s="15">
        <v>26971486208</v>
      </c>
      <c r="J28" s="15">
        <v>29275996160</v>
      </c>
      <c r="K28" s="15">
        <v>31066820608</v>
      </c>
      <c r="L28" s="15">
        <v>33738102784</v>
      </c>
      <c r="M28" s="15">
        <v>38092451840</v>
      </c>
      <c r="N28" s="15">
        <v>41566412800</v>
      </c>
      <c r="O28" s="15">
        <v>48954146816</v>
      </c>
      <c r="P28" s="15">
        <v>59404967936</v>
      </c>
      <c r="Q28" s="15">
        <v>66013339648</v>
      </c>
      <c r="R28" s="15">
        <v>82885394432</v>
      </c>
      <c r="S28" s="15">
        <v>89362071552</v>
      </c>
      <c r="T28" s="15">
        <v>94468743168</v>
      </c>
      <c r="U28" s="15">
        <v>104442347520</v>
      </c>
      <c r="V28" s="15">
        <v>123386413056</v>
      </c>
      <c r="W28" s="15">
        <v>142092075008</v>
      </c>
      <c r="X28" s="15">
        <v>129686937600</v>
      </c>
      <c r="Y28" s="15">
        <v>114380554240</v>
      </c>
      <c r="Z28" s="15">
        <v>105014353920</v>
      </c>
      <c r="AA28" s="15">
        <v>109201358848</v>
      </c>
      <c r="AB28" s="15">
        <v>114123538432</v>
      </c>
      <c r="AC28" s="15">
        <v>150498050048</v>
      </c>
      <c r="AD28" s="15">
        <v>183009640448</v>
      </c>
      <c r="AE28" s="15">
        <v>206986674176</v>
      </c>
      <c r="AF28" s="15">
        <v>217948323840</v>
      </c>
      <c r="AG28" s="15">
        <v>261846188032</v>
      </c>
      <c r="AH28" s="15">
        <v>274229035008</v>
      </c>
      <c r="AI28" s="15">
        <v>284321120256</v>
      </c>
      <c r="AJ28" s="15">
        <v>212953333760</v>
      </c>
      <c r="AK28" s="15">
        <v>229033574400</v>
      </c>
      <c r="AL28" s="15">
        <v>267305877504</v>
      </c>
      <c r="AM28" s="15">
        <v>291743825920</v>
      </c>
      <c r="AN28" s="15">
        <v>268146147328</v>
      </c>
      <c r="AO28" s="15">
        <v>270809071616</v>
      </c>
      <c r="AP28" s="15">
        <v>274072174592</v>
      </c>
      <c r="AQ28" s="15">
        <v>262835453952</v>
      </c>
      <c r="AR28" s="15">
        <v>242395856896</v>
      </c>
      <c r="AS28" s="15">
        <v>266849058816</v>
      </c>
      <c r="AT28" s="15">
        <v>334337212416</v>
      </c>
      <c r="AU28" s="15">
        <v>385118044160</v>
      </c>
      <c r="AV28" s="15">
        <v>392218083328</v>
      </c>
      <c r="AW28" s="15">
        <v>423093436416</v>
      </c>
      <c r="AX28" s="15">
        <v>491252580352</v>
      </c>
      <c r="AY28" s="15">
        <v>517706153984</v>
      </c>
      <c r="AZ28" s="15">
        <v>436536999936</v>
      </c>
      <c r="BA28" s="15">
        <v>495812542464</v>
      </c>
      <c r="BB28" s="15">
        <v>574094114816</v>
      </c>
      <c r="BC28" s="15">
        <v>552483749888</v>
      </c>
      <c r="BD28" s="15">
        <v>586841849856</v>
      </c>
      <c r="BE28" s="15">
        <v>581964005376</v>
      </c>
      <c r="BF28" s="15">
        <v>505103777792</v>
      </c>
      <c r="BG28" s="15">
        <v>515654680576</v>
      </c>
      <c r="BH28" s="15">
        <v>541018750976</v>
      </c>
      <c r="BI28" s="15">
        <v>555455348736</v>
      </c>
      <c r="BJ28" s="15">
        <v>530832916480</v>
      </c>
    </row>
    <row r="29" spans="1:62" x14ac:dyDescent="0.45">
      <c r="A29" t="s">
        <v>25</v>
      </c>
      <c r="B29" t="s">
        <v>101</v>
      </c>
      <c r="C29" s="15">
        <v>73233965056</v>
      </c>
      <c r="D29" s="15">
        <v>77741965312</v>
      </c>
      <c r="E29" s="15">
        <v>81247567872</v>
      </c>
      <c r="F29" s="15">
        <v>86561964032</v>
      </c>
      <c r="G29" s="15">
        <v>94407557120</v>
      </c>
      <c r="H29" s="15">
        <v>101824757760</v>
      </c>
      <c r="I29" s="15">
        <v>108572753920</v>
      </c>
      <c r="J29" s="15">
        <v>113116889088</v>
      </c>
      <c r="K29" s="15">
        <v>107759910912</v>
      </c>
      <c r="L29" s="15">
        <v>116464705536</v>
      </c>
      <c r="M29" s="15">
        <v>130671943680</v>
      </c>
      <c r="N29" s="15">
        <v>148113899520</v>
      </c>
      <c r="O29" s="15">
        <v>169965027328</v>
      </c>
      <c r="P29" s="15">
        <v>192537968640</v>
      </c>
      <c r="Q29" s="15">
        <v>206131363840</v>
      </c>
      <c r="R29" s="15">
        <v>241756635136</v>
      </c>
      <c r="S29" s="15">
        <v>232614559744</v>
      </c>
      <c r="T29" s="15">
        <v>263066451968</v>
      </c>
      <c r="U29" s="15">
        <v>335883042816</v>
      </c>
      <c r="V29" s="15">
        <v>438994075648</v>
      </c>
      <c r="W29" s="15">
        <v>564947714048</v>
      </c>
      <c r="X29" s="15">
        <v>540765683712</v>
      </c>
      <c r="Y29" s="15">
        <v>515048931328</v>
      </c>
      <c r="Z29" s="15">
        <v>489618014208</v>
      </c>
      <c r="AA29" s="15">
        <v>461487112192</v>
      </c>
      <c r="AB29" s="15">
        <v>489285156864</v>
      </c>
      <c r="AC29" s="15">
        <v>601452642304</v>
      </c>
      <c r="AD29" s="15">
        <v>745162604544</v>
      </c>
      <c r="AE29" s="15">
        <v>910122745856</v>
      </c>
      <c r="AF29" s="15">
        <v>926884823040</v>
      </c>
      <c r="AG29" s="15">
        <v>1093169381376</v>
      </c>
      <c r="AH29" s="15">
        <v>1142797238272</v>
      </c>
      <c r="AI29" s="15">
        <v>1179659534336</v>
      </c>
      <c r="AJ29" s="15">
        <v>1061388746752</v>
      </c>
      <c r="AK29" s="15">
        <v>1140489715712</v>
      </c>
      <c r="AL29" s="15">
        <v>1341584310272</v>
      </c>
      <c r="AM29" s="15">
        <v>1415358840832</v>
      </c>
      <c r="AN29" s="15">
        <v>1559078240256</v>
      </c>
      <c r="AO29" s="15">
        <v>1650172231680</v>
      </c>
      <c r="AP29" s="15">
        <v>1682399297536</v>
      </c>
      <c r="AQ29" s="15">
        <v>1657816612864</v>
      </c>
      <c r="AR29" s="15">
        <v>1640246149120</v>
      </c>
      <c r="AS29" s="15">
        <v>1784473976832</v>
      </c>
      <c r="AT29" s="15">
        <v>2053018746880</v>
      </c>
      <c r="AU29" s="15">
        <v>2416931504128</v>
      </c>
      <c r="AV29" s="15">
        <v>2538680090624</v>
      </c>
      <c r="AW29" s="15">
        <v>2713749815296</v>
      </c>
      <c r="AX29" s="15">
        <v>3100882239488</v>
      </c>
      <c r="AY29" s="15">
        <v>2922667311104</v>
      </c>
      <c r="AZ29" s="15">
        <v>2410909794304</v>
      </c>
      <c r="BA29" s="15">
        <v>2475244388352</v>
      </c>
      <c r="BB29" s="15">
        <v>2659310108672</v>
      </c>
      <c r="BC29" s="15">
        <v>2704887775232</v>
      </c>
      <c r="BD29" s="15">
        <v>2786022916096</v>
      </c>
      <c r="BE29" s="15">
        <v>3063803281408</v>
      </c>
      <c r="BF29" s="15">
        <v>2928590979072</v>
      </c>
      <c r="BG29" s="15">
        <v>2694283264000</v>
      </c>
      <c r="BH29" s="15">
        <v>2666229137408</v>
      </c>
      <c r="BI29" s="15">
        <v>2860667633664</v>
      </c>
      <c r="BJ29" s="15">
        <v>2827113201664</v>
      </c>
    </row>
    <row r="30" spans="1:62" x14ac:dyDescent="0.45">
      <c r="A30" t="s">
        <v>25</v>
      </c>
      <c r="B30" t="s">
        <v>102</v>
      </c>
      <c r="C30" s="15">
        <v>543299993600</v>
      </c>
      <c r="D30" s="15">
        <v>563300007936</v>
      </c>
      <c r="E30" s="15">
        <v>605099982848</v>
      </c>
      <c r="F30" s="15">
        <v>638600019968</v>
      </c>
      <c r="G30" s="15">
        <v>685800030208</v>
      </c>
      <c r="H30" s="15">
        <v>743699972096</v>
      </c>
      <c r="I30" s="15">
        <v>814999994368</v>
      </c>
      <c r="J30" s="15">
        <v>861700030464</v>
      </c>
      <c r="K30" s="15">
        <v>942500020224</v>
      </c>
      <c r="L30" s="15">
        <v>1019900002304</v>
      </c>
      <c r="M30" s="15">
        <v>1073302994944</v>
      </c>
      <c r="N30" s="15">
        <v>1164849971200</v>
      </c>
      <c r="O30" s="15">
        <v>1279110021120</v>
      </c>
      <c r="P30" s="15">
        <v>1425376018432</v>
      </c>
      <c r="Q30" s="15">
        <v>1545242935296</v>
      </c>
      <c r="R30" s="15">
        <v>1684903952384</v>
      </c>
      <c r="S30" s="15">
        <v>1873411964928</v>
      </c>
      <c r="T30" s="15">
        <v>2081826013184</v>
      </c>
      <c r="U30" s="15">
        <v>2351598927872</v>
      </c>
      <c r="V30" s="15">
        <v>2627334045696</v>
      </c>
      <c r="W30" s="15">
        <v>2857306947584</v>
      </c>
      <c r="X30" s="15">
        <v>3207041908736</v>
      </c>
      <c r="Y30" s="15">
        <v>3343789064192</v>
      </c>
      <c r="Z30" s="15">
        <v>3634038046720</v>
      </c>
      <c r="AA30" s="15">
        <v>4037612929024</v>
      </c>
      <c r="AB30" s="15">
        <v>4338978914304</v>
      </c>
      <c r="AC30" s="15">
        <v>4579631038464</v>
      </c>
      <c r="AD30" s="15">
        <v>4855215161344</v>
      </c>
      <c r="AE30" s="15">
        <v>5236438073344</v>
      </c>
      <c r="AF30" s="15">
        <v>5641580052480</v>
      </c>
      <c r="AG30" s="15">
        <v>5963144232960</v>
      </c>
      <c r="AH30" s="15">
        <v>6158129037312</v>
      </c>
      <c r="AI30" s="15">
        <v>6520327110656</v>
      </c>
      <c r="AJ30" s="15">
        <v>6858558930944</v>
      </c>
      <c r="AK30" s="15">
        <v>7287236198400</v>
      </c>
      <c r="AL30" s="15">
        <v>7639749099520</v>
      </c>
      <c r="AM30" s="15">
        <v>8073121890304</v>
      </c>
      <c r="AN30" s="15">
        <v>8577554579456</v>
      </c>
      <c r="AO30" s="15">
        <v>9062818250752</v>
      </c>
      <c r="AP30" s="15">
        <v>9630664097792</v>
      </c>
      <c r="AQ30" s="15">
        <v>10252345933824</v>
      </c>
      <c r="AR30" s="15">
        <v>10581821095936</v>
      </c>
      <c r="AS30" s="15">
        <v>10936419090432</v>
      </c>
      <c r="AT30" s="15">
        <v>11458243985408</v>
      </c>
      <c r="AU30" s="15">
        <v>12213729361920</v>
      </c>
      <c r="AV30" s="15">
        <v>13036640272384</v>
      </c>
      <c r="AW30" s="15">
        <v>13814611312640</v>
      </c>
      <c r="AX30" s="15">
        <v>14451858210816</v>
      </c>
      <c r="AY30" s="15">
        <v>14712844582912</v>
      </c>
      <c r="AZ30" s="15">
        <v>14448932683776</v>
      </c>
      <c r="BA30" s="15">
        <v>14992053108736</v>
      </c>
      <c r="BB30" s="15">
        <v>15542580674560</v>
      </c>
      <c r="BC30" s="15">
        <v>16197007441920</v>
      </c>
      <c r="BD30" s="15">
        <v>16784849633280</v>
      </c>
      <c r="BE30" s="15">
        <v>17521746903040</v>
      </c>
      <c r="BF30" s="15">
        <v>18219297406976</v>
      </c>
      <c r="BG30" s="15">
        <v>18707187236864</v>
      </c>
      <c r="BH30" s="15">
        <v>19485394206720</v>
      </c>
      <c r="BI30" s="15">
        <v>20529048190976</v>
      </c>
      <c r="BJ30" s="15">
        <v>21374418550784</v>
      </c>
    </row>
    <row r="31" spans="1:62" x14ac:dyDescent="0.45">
      <c r="A31" t="s">
        <v>26</v>
      </c>
      <c r="B31" t="s">
        <v>103</v>
      </c>
      <c r="C31" s="15">
        <v>169803920</v>
      </c>
      <c r="D31" s="15">
        <v>190098032</v>
      </c>
      <c r="E31" s="15">
        <v>212254896</v>
      </c>
      <c r="F31" s="15">
        <v>237745104</v>
      </c>
      <c r="G31" s="15">
        <v>266666672</v>
      </c>
      <c r="H31" s="15">
        <v>300392160</v>
      </c>
      <c r="I31" s="15">
        <v>340000000</v>
      </c>
      <c r="J31" s="15">
        <v>390196064</v>
      </c>
      <c r="K31" s="15">
        <v>444901952</v>
      </c>
      <c r="L31" s="15">
        <v>528137248</v>
      </c>
      <c r="M31" s="15">
        <v>538423168</v>
      </c>
      <c r="N31" s="15">
        <v>573400000</v>
      </c>
      <c r="O31" s="15">
        <v>590899968</v>
      </c>
      <c r="P31" s="15">
        <v>670899968</v>
      </c>
      <c r="Q31" s="15">
        <v>632400000</v>
      </c>
      <c r="R31" s="15">
        <v>596200000</v>
      </c>
      <c r="S31" s="15">
        <v>642099968</v>
      </c>
      <c r="T31" s="15">
        <v>713000000</v>
      </c>
      <c r="U31" s="15">
        <v>832400000</v>
      </c>
      <c r="V31" s="15">
        <v>1139800064</v>
      </c>
      <c r="W31" s="15">
        <v>1335299968</v>
      </c>
      <c r="X31" s="15">
        <v>1426499968</v>
      </c>
      <c r="Y31" s="15">
        <v>1578300032</v>
      </c>
      <c r="Z31" s="15">
        <v>1732800000</v>
      </c>
      <c r="AA31" s="15">
        <v>2041100032</v>
      </c>
      <c r="AB31" s="15">
        <v>2320699904</v>
      </c>
      <c r="AC31" s="15">
        <v>2472499968</v>
      </c>
      <c r="AD31" s="15">
        <v>2713999872</v>
      </c>
      <c r="AE31" s="15">
        <v>2817900032</v>
      </c>
      <c r="AF31" s="15">
        <v>3062000128</v>
      </c>
      <c r="AG31" s="15">
        <v>3166000128</v>
      </c>
      <c r="AH31" s="15">
        <v>3111160064</v>
      </c>
      <c r="AI31" s="15">
        <v>3108999936</v>
      </c>
      <c r="AJ31" s="15">
        <v>3092000000</v>
      </c>
      <c r="AK31" s="15">
        <v>3259000064</v>
      </c>
      <c r="AL31" s="15">
        <v>3428999936</v>
      </c>
      <c r="AM31" s="15">
        <v>3608999936</v>
      </c>
      <c r="AN31" s="15">
        <v>6332360192</v>
      </c>
      <c r="AO31" s="15">
        <v>6833220096</v>
      </c>
      <c r="AP31" s="15">
        <v>7683870208</v>
      </c>
      <c r="AQ31" s="15">
        <v>8076469760</v>
      </c>
      <c r="AR31" s="15">
        <v>8317830144</v>
      </c>
      <c r="AS31" s="15">
        <v>8881160192</v>
      </c>
      <c r="AT31" s="15">
        <v>8870089728</v>
      </c>
      <c r="AU31" s="15">
        <v>9055290368</v>
      </c>
      <c r="AV31" s="15">
        <v>9836199936</v>
      </c>
      <c r="AW31" s="15">
        <v>10167249920</v>
      </c>
      <c r="AX31" s="15">
        <v>10618340352</v>
      </c>
      <c r="AY31" s="15">
        <v>10526000128</v>
      </c>
      <c r="AZ31" s="15">
        <v>9981960192</v>
      </c>
      <c r="BA31" s="15">
        <v>10095760384</v>
      </c>
      <c r="BB31" s="15">
        <v>10070450176</v>
      </c>
      <c r="BC31" s="15">
        <v>10720499712</v>
      </c>
      <c r="BD31" s="15">
        <v>10562700288</v>
      </c>
      <c r="BE31" s="15">
        <v>10913300480</v>
      </c>
      <c r="BF31" s="15">
        <v>11752299520</v>
      </c>
      <c r="BG31" s="15">
        <v>11938400256</v>
      </c>
      <c r="BH31" s="15">
        <v>12150400000</v>
      </c>
      <c r="BI31" s="15">
        <v>12424500224</v>
      </c>
      <c r="BJ31" s="15">
        <v>12826999808</v>
      </c>
    </row>
    <row r="32" spans="1:62" x14ac:dyDescent="0.45">
      <c r="A32" t="s">
        <v>26</v>
      </c>
      <c r="B32" t="s">
        <v>104</v>
      </c>
      <c r="C32" s="15">
        <v>4274893824</v>
      </c>
      <c r="D32" s="15">
        <v>4817580032</v>
      </c>
      <c r="E32" s="15">
        <v>5081413120</v>
      </c>
      <c r="F32" s="15">
        <v>5319458304</v>
      </c>
      <c r="G32" s="15">
        <v>5386054656</v>
      </c>
      <c r="H32" s="15">
        <v>5906636800</v>
      </c>
      <c r="I32" s="15">
        <v>6439687680</v>
      </c>
      <c r="J32" s="15">
        <v>7253575168</v>
      </c>
      <c r="K32" s="15">
        <v>7483685376</v>
      </c>
      <c r="L32" s="15">
        <v>8471006208</v>
      </c>
      <c r="M32" s="15">
        <v>8992721920</v>
      </c>
      <c r="N32" s="15">
        <v>8751843328</v>
      </c>
      <c r="O32" s="15">
        <v>6288245760</v>
      </c>
      <c r="P32" s="15">
        <v>8086725632</v>
      </c>
      <c r="Q32" s="15">
        <v>12512460800</v>
      </c>
      <c r="R32" s="15">
        <v>19448348672</v>
      </c>
      <c r="S32" s="15">
        <v>10117112832</v>
      </c>
      <c r="T32" s="15">
        <v>9651148800</v>
      </c>
      <c r="U32" s="15">
        <v>13281767424</v>
      </c>
      <c r="V32" s="15">
        <v>15565479936</v>
      </c>
      <c r="W32" s="15">
        <v>18138048512</v>
      </c>
      <c r="X32" s="15">
        <v>20249694208</v>
      </c>
      <c r="Y32" s="15">
        <v>18525399040</v>
      </c>
      <c r="Z32" s="15">
        <v>17609048064</v>
      </c>
      <c r="AA32" s="15">
        <v>18920839168</v>
      </c>
      <c r="AB32" s="15">
        <v>22278422528</v>
      </c>
      <c r="AC32" s="15">
        <v>21774032896</v>
      </c>
      <c r="AD32" s="15">
        <v>24298033152</v>
      </c>
      <c r="AE32" s="15">
        <v>26579005440</v>
      </c>
      <c r="AF32" s="15">
        <v>28781715456</v>
      </c>
      <c r="AG32" s="15">
        <v>31598342144</v>
      </c>
      <c r="AH32" s="15">
        <v>30957484032</v>
      </c>
      <c r="AI32" s="15">
        <v>31708874752</v>
      </c>
      <c r="AJ32" s="15">
        <v>33166520320</v>
      </c>
      <c r="AK32" s="15">
        <v>33768660992</v>
      </c>
      <c r="AL32" s="15">
        <v>37939748864</v>
      </c>
      <c r="AM32" s="15">
        <v>46438486016</v>
      </c>
      <c r="AN32" s="15">
        <v>48244310016</v>
      </c>
      <c r="AO32" s="15">
        <v>49984561152</v>
      </c>
      <c r="AP32" s="15">
        <v>51270569984</v>
      </c>
      <c r="AQ32" s="15">
        <v>53369786368</v>
      </c>
      <c r="AR32" s="15">
        <v>53991288832</v>
      </c>
      <c r="AS32" s="15">
        <v>54724079616</v>
      </c>
      <c r="AT32" s="15">
        <v>60158930944</v>
      </c>
      <c r="AU32" s="15">
        <v>65108545536</v>
      </c>
      <c r="AV32" s="15">
        <v>69442945024</v>
      </c>
      <c r="AW32" s="15">
        <v>71819083776</v>
      </c>
      <c r="AX32" s="15">
        <v>79611887616</v>
      </c>
      <c r="AY32" s="15">
        <v>91631280128</v>
      </c>
      <c r="AZ32" s="15">
        <v>102477791232</v>
      </c>
      <c r="BA32" s="15">
        <v>115279077376</v>
      </c>
      <c r="BB32" s="15">
        <v>128637935616</v>
      </c>
      <c r="BC32" s="15">
        <v>133355749376</v>
      </c>
      <c r="BD32" s="15">
        <v>149990457344</v>
      </c>
      <c r="BE32" s="15">
        <v>172885458944</v>
      </c>
      <c r="BF32" s="15">
        <v>195078684672</v>
      </c>
      <c r="BG32" s="15">
        <v>221415161856</v>
      </c>
      <c r="BH32" s="15">
        <v>249711050752</v>
      </c>
      <c r="BI32" s="15">
        <v>274039095296</v>
      </c>
      <c r="BJ32" s="15">
        <v>302571257856</v>
      </c>
    </row>
    <row r="33" spans="1:62" x14ac:dyDescent="0.45">
      <c r="A33" t="s">
        <v>26</v>
      </c>
      <c r="B33" t="s">
        <v>105</v>
      </c>
      <c r="C33" s="15">
        <v>28071888</v>
      </c>
      <c r="D33" s="15">
        <v>29964370</v>
      </c>
      <c r="E33" s="15">
        <v>31856922</v>
      </c>
      <c r="F33" s="15">
        <v>33749404</v>
      </c>
      <c r="G33" s="15">
        <v>36193828</v>
      </c>
      <c r="H33" s="15">
        <v>40069932</v>
      </c>
      <c r="I33" s="15">
        <v>44405596</v>
      </c>
      <c r="J33" s="15">
        <v>47379312</v>
      </c>
      <c r="K33" s="15">
        <v>44910180</v>
      </c>
      <c r="L33" s="15">
        <v>47305388</v>
      </c>
      <c r="M33" s="15">
        <v>53233532</v>
      </c>
      <c r="N33" s="15">
        <v>59207316</v>
      </c>
      <c r="O33" s="15">
        <v>66062500</v>
      </c>
      <c r="P33" s="15">
        <v>78343560</v>
      </c>
      <c r="Q33" s="15">
        <v>103216376</v>
      </c>
      <c r="R33" s="15">
        <v>118066296</v>
      </c>
      <c r="S33" s="15">
        <v>96905832</v>
      </c>
      <c r="T33" s="15">
        <v>117650000</v>
      </c>
      <c r="U33" s="15">
        <v>136300000</v>
      </c>
      <c r="V33" s="15">
        <v>151800000</v>
      </c>
      <c r="W33" s="15">
        <v>197938224</v>
      </c>
      <c r="X33" s="15">
        <v>196089856</v>
      </c>
      <c r="Y33" s="15">
        <v>182206320</v>
      </c>
      <c r="Z33" s="15">
        <v>192103184</v>
      </c>
      <c r="AA33" s="15">
        <v>214381952</v>
      </c>
      <c r="AB33" s="15">
        <v>212643744</v>
      </c>
      <c r="AC33" s="15">
        <v>231638320</v>
      </c>
      <c r="AD33" s="15">
        <v>281082560</v>
      </c>
      <c r="AE33" s="15">
        <v>320093376</v>
      </c>
      <c r="AF33" s="15">
        <v>369133888</v>
      </c>
      <c r="AG33" s="15">
        <v>412086432</v>
      </c>
      <c r="AH33" s="15">
        <v>444720736</v>
      </c>
      <c r="AI33" s="15">
        <v>518239104</v>
      </c>
      <c r="AJ33" s="15">
        <v>559858240</v>
      </c>
      <c r="AK33" s="15">
        <v>580863680</v>
      </c>
      <c r="AL33" s="15">
        <v>620140416</v>
      </c>
      <c r="AM33" s="15">
        <v>641383808</v>
      </c>
      <c r="AN33" s="15">
        <v>654314368</v>
      </c>
      <c r="AO33" s="15">
        <v>688992448</v>
      </c>
      <c r="AP33" s="15">
        <v>732732352</v>
      </c>
      <c r="AQ33" s="15">
        <v>832049984</v>
      </c>
      <c r="AR33" s="15">
        <v>868350016</v>
      </c>
      <c r="AS33" s="15">
        <v>925049984</v>
      </c>
      <c r="AT33" s="15">
        <v>983500032</v>
      </c>
      <c r="AU33" s="15">
        <v>1051350016</v>
      </c>
      <c r="AV33" s="15">
        <v>1102050048</v>
      </c>
      <c r="AW33" s="15">
        <v>1210150016</v>
      </c>
      <c r="AX33" s="15">
        <v>1271600000</v>
      </c>
      <c r="AY33" s="15">
        <v>1351350016</v>
      </c>
      <c r="AZ33" s="15">
        <v>1317299968</v>
      </c>
      <c r="BA33" s="15">
        <v>1377200000</v>
      </c>
      <c r="BB33" s="15">
        <v>1460800000</v>
      </c>
      <c r="BC33" s="15">
        <v>1522899968</v>
      </c>
      <c r="BD33" s="15">
        <v>1579399936</v>
      </c>
      <c r="BE33" s="15">
        <v>1662800000</v>
      </c>
      <c r="BF33" s="15">
        <v>1723800064</v>
      </c>
      <c r="BG33" s="15">
        <v>1775100032</v>
      </c>
      <c r="BH33" s="15">
        <v>1836600064</v>
      </c>
      <c r="BI33" s="15">
        <v>1871200000</v>
      </c>
      <c r="BJ33" s="15">
        <v>1879613568</v>
      </c>
    </row>
    <row r="34" spans="1:62" x14ac:dyDescent="0.45">
      <c r="A34" t="s">
        <v>26</v>
      </c>
      <c r="B34" t="s">
        <v>106</v>
      </c>
      <c r="C34" s="15">
        <v>226195584</v>
      </c>
      <c r="D34" s="15">
        <v>235668224</v>
      </c>
      <c r="E34" s="15">
        <v>236434912</v>
      </c>
      <c r="F34" s="15">
        <v>253927648</v>
      </c>
      <c r="G34" s="15">
        <v>269818976</v>
      </c>
      <c r="H34" s="15">
        <v>289908736</v>
      </c>
      <c r="I34" s="15">
        <v>302925280</v>
      </c>
      <c r="J34" s="15">
        <v>306222016</v>
      </c>
      <c r="K34" s="15">
        <v>326323104</v>
      </c>
      <c r="L34" s="15">
        <v>330748224</v>
      </c>
      <c r="M34" s="15">
        <v>333627744</v>
      </c>
      <c r="N34" s="15">
        <v>335072960</v>
      </c>
      <c r="O34" s="15">
        <v>410331904</v>
      </c>
      <c r="P34" s="15">
        <v>504376032</v>
      </c>
      <c r="Q34" s="15">
        <v>554654784</v>
      </c>
      <c r="R34" s="15">
        <v>676870144</v>
      </c>
      <c r="S34" s="15">
        <v>698408256</v>
      </c>
      <c r="T34" s="15">
        <v>750049728</v>
      </c>
      <c r="U34" s="15">
        <v>928843328</v>
      </c>
      <c r="V34" s="15">
        <v>1186231296</v>
      </c>
      <c r="W34" s="15">
        <v>1405251584</v>
      </c>
      <c r="X34" s="15">
        <v>1291120000</v>
      </c>
      <c r="Y34" s="15">
        <v>1267778432</v>
      </c>
      <c r="Z34" s="15">
        <v>1095348352</v>
      </c>
      <c r="AA34" s="15">
        <v>1051133952</v>
      </c>
      <c r="AB34" s="15">
        <v>1045712704</v>
      </c>
      <c r="AC34" s="15">
        <v>1336102016</v>
      </c>
      <c r="AD34" s="15">
        <v>1562412032</v>
      </c>
      <c r="AE34" s="15">
        <v>1620246144</v>
      </c>
      <c r="AF34" s="15">
        <v>1502294400</v>
      </c>
      <c r="AG34" s="15">
        <v>1959965184</v>
      </c>
      <c r="AH34" s="15">
        <v>1986437888</v>
      </c>
      <c r="AI34" s="15">
        <v>1695315328</v>
      </c>
      <c r="AJ34" s="15">
        <v>2274557952</v>
      </c>
      <c r="AK34" s="15">
        <v>1598075904</v>
      </c>
      <c r="AL34" s="15">
        <v>2169627136</v>
      </c>
      <c r="AM34" s="15">
        <v>2361116672</v>
      </c>
      <c r="AN34" s="15">
        <v>2268301568</v>
      </c>
      <c r="AO34" s="15">
        <v>2455092480</v>
      </c>
      <c r="AP34" s="15">
        <v>3676045568</v>
      </c>
      <c r="AQ34" s="15">
        <v>3511248896</v>
      </c>
      <c r="AR34" s="15">
        <v>3663017728</v>
      </c>
      <c r="AS34" s="15">
        <v>4174634496</v>
      </c>
      <c r="AT34" s="15">
        <v>5337266688</v>
      </c>
      <c r="AU34" s="15">
        <v>6179176448</v>
      </c>
      <c r="AV34" s="15">
        <v>6565043712</v>
      </c>
      <c r="AW34" s="15">
        <v>7027863040</v>
      </c>
      <c r="AX34" s="15">
        <v>8158257664</v>
      </c>
      <c r="AY34" s="15">
        <v>9748277248</v>
      </c>
      <c r="AZ34" s="15">
        <v>9699587072</v>
      </c>
      <c r="BA34" s="15">
        <v>9535344640</v>
      </c>
      <c r="BB34" s="15">
        <v>10693321728</v>
      </c>
      <c r="BC34" s="15">
        <v>11141358592</v>
      </c>
      <c r="BD34" s="15">
        <v>12517846016</v>
      </c>
      <c r="BE34" s="15">
        <v>13284529152</v>
      </c>
      <c r="BF34" s="15">
        <v>11388161024</v>
      </c>
      <c r="BG34" s="15">
        <v>11821066240</v>
      </c>
      <c r="BH34" s="15">
        <v>12701657088</v>
      </c>
      <c r="BI34" s="15">
        <v>14250985472</v>
      </c>
      <c r="BJ34" s="15">
        <v>14390709248</v>
      </c>
    </row>
    <row r="35" spans="1:62" x14ac:dyDescent="0.45">
      <c r="A35" t="s">
        <v>26</v>
      </c>
      <c r="B35" t="s">
        <v>107</v>
      </c>
      <c r="C35" s="15">
        <v>373879360</v>
      </c>
      <c r="D35" s="15">
        <v>406684576</v>
      </c>
      <c r="E35" s="15">
        <v>444665184</v>
      </c>
      <c r="F35" s="15">
        <v>478805984</v>
      </c>
      <c r="G35" s="15">
        <v>539491456</v>
      </c>
      <c r="H35" s="15">
        <v>604377088</v>
      </c>
      <c r="I35" s="15">
        <v>669191936</v>
      </c>
      <c r="J35" s="15">
        <v>755808064</v>
      </c>
      <c r="K35" s="15">
        <v>857912448</v>
      </c>
      <c r="L35" s="15">
        <v>929629632</v>
      </c>
      <c r="M35" s="15">
        <v>1017003392</v>
      </c>
      <c r="N35" s="15">
        <v>1095622912</v>
      </c>
      <c r="O35" s="15">
        <v>1257615616</v>
      </c>
      <c r="P35" s="15">
        <v>1262968576</v>
      </c>
      <c r="Q35" s="15">
        <v>2100249856</v>
      </c>
      <c r="R35" s="15">
        <v>2404697600</v>
      </c>
      <c r="S35" s="15">
        <v>2731984128</v>
      </c>
      <c r="T35" s="15">
        <v>3227436288</v>
      </c>
      <c r="U35" s="15">
        <v>3758220800</v>
      </c>
      <c r="V35" s="15">
        <v>4421343744</v>
      </c>
      <c r="W35" s="15">
        <v>4526916608</v>
      </c>
      <c r="X35" s="15">
        <v>5872756736</v>
      </c>
      <c r="Y35" s="15">
        <v>5587490304</v>
      </c>
      <c r="Z35" s="15">
        <v>5422440960</v>
      </c>
      <c r="AA35" s="15">
        <v>6169501184</v>
      </c>
      <c r="AB35" s="15">
        <v>5377277440</v>
      </c>
      <c r="AC35" s="15">
        <v>3958338816</v>
      </c>
      <c r="AD35" s="15">
        <v>4323623424</v>
      </c>
      <c r="AE35" s="15">
        <v>4597615616</v>
      </c>
      <c r="AF35" s="15">
        <v>4715978752</v>
      </c>
      <c r="AG35" s="15">
        <v>4867582464</v>
      </c>
      <c r="AH35" s="15">
        <v>5343274496</v>
      </c>
      <c r="AI35" s="15">
        <v>5643893248</v>
      </c>
      <c r="AJ35" s="15">
        <v>5734676480</v>
      </c>
      <c r="AK35" s="15">
        <v>5981244928</v>
      </c>
      <c r="AL35" s="15">
        <v>6715220480</v>
      </c>
      <c r="AM35" s="15">
        <v>7396966912</v>
      </c>
      <c r="AN35" s="15">
        <v>7925673472</v>
      </c>
      <c r="AO35" s="15">
        <v>8497545728</v>
      </c>
      <c r="AP35" s="15">
        <v>8285075968</v>
      </c>
      <c r="AQ35" s="15">
        <v>8397912576</v>
      </c>
      <c r="AR35" s="15">
        <v>8141537792</v>
      </c>
      <c r="AS35" s="15">
        <v>7905485312</v>
      </c>
      <c r="AT35" s="15">
        <v>8082364928</v>
      </c>
      <c r="AU35" s="15">
        <v>8773451776</v>
      </c>
      <c r="AV35" s="15">
        <v>9549077504</v>
      </c>
      <c r="AW35" s="15">
        <v>11451869184</v>
      </c>
      <c r="AX35" s="15">
        <v>13120183296</v>
      </c>
      <c r="AY35" s="15">
        <v>16674324480</v>
      </c>
      <c r="AZ35" s="15">
        <v>17339992064</v>
      </c>
      <c r="BA35" s="15">
        <v>19649632256</v>
      </c>
      <c r="BB35" s="15">
        <v>23963033600</v>
      </c>
      <c r="BC35" s="15">
        <v>27084496896</v>
      </c>
      <c r="BD35" s="15">
        <v>30659338240</v>
      </c>
      <c r="BE35" s="15">
        <v>32996188160</v>
      </c>
      <c r="BF35" s="15">
        <v>33000198144</v>
      </c>
      <c r="BG35" s="15">
        <v>33941127168</v>
      </c>
      <c r="BH35" s="15">
        <v>37508640768</v>
      </c>
      <c r="BI35" s="15">
        <v>40287649792</v>
      </c>
      <c r="BJ35" s="15">
        <v>40895324160</v>
      </c>
    </row>
    <row r="36" spans="1:62" x14ac:dyDescent="0.45">
      <c r="A36" t="s">
        <v>26</v>
      </c>
      <c r="B36" t="s">
        <v>108</v>
      </c>
      <c r="C36" s="15">
        <v>30412308</v>
      </c>
      <c r="D36" s="15">
        <v>32902336</v>
      </c>
      <c r="E36" s="15">
        <v>35643208</v>
      </c>
      <c r="F36" s="15">
        <v>38091152</v>
      </c>
      <c r="G36" s="15">
        <v>41613968</v>
      </c>
      <c r="H36" s="15">
        <v>45790868</v>
      </c>
      <c r="I36" s="15">
        <v>51464436</v>
      </c>
      <c r="J36" s="15">
        <v>58646444</v>
      </c>
      <c r="K36" s="15">
        <v>66248256</v>
      </c>
      <c r="L36" s="15">
        <v>77356912</v>
      </c>
      <c r="M36" s="15">
        <v>96245112</v>
      </c>
      <c r="N36" s="15">
        <v>126957496</v>
      </c>
      <c r="O36" s="15">
        <v>165258096</v>
      </c>
      <c r="P36" s="15">
        <v>244129088</v>
      </c>
      <c r="Q36" s="15">
        <v>306033856</v>
      </c>
      <c r="R36" s="15">
        <v>355172416</v>
      </c>
      <c r="S36" s="15">
        <v>372010112</v>
      </c>
      <c r="T36" s="15">
        <v>451603328</v>
      </c>
      <c r="U36" s="15">
        <v>590376704</v>
      </c>
      <c r="V36" s="15">
        <v>819877312</v>
      </c>
      <c r="W36" s="15">
        <v>1060923840</v>
      </c>
      <c r="X36" s="15">
        <v>1073861632</v>
      </c>
      <c r="Y36" s="15">
        <v>1014907264</v>
      </c>
      <c r="Z36" s="15">
        <v>1172258176</v>
      </c>
      <c r="AA36" s="15">
        <v>1240796416</v>
      </c>
      <c r="AB36" s="15">
        <v>1114764032</v>
      </c>
      <c r="AC36" s="15">
        <v>1392634752</v>
      </c>
      <c r="AD36" s="15">
        <v>1965274880</v>
      </c>
      <c r="AE36" s="15">
        <v>2644536832</v>
      </c>
      <c r="AF36" s="15">
        <v>3083800576</v>
      </c>
      <c r="AG36" s="15">
        <v>3790567168</v>
      </c>
      <c r="AH36" s="15">
        <v>3942792960</v>
      </c>
      <c r="AI36" s="15">
        <v>4146513664</v>
      </c>
      <c r="AJ36" s="15">
        <v>4160086272</v>
      </c>
      <c r="AK36" s="15">
        <v>4259331072</v>
      </c>
      <c r="AL36" s="15">
        <v>4730611200</v>
      </c>
      <c r="AM36" s="15">
        <v>4847752704</v>
      </c>
      <c r="AN36" s="15">
        <v>5020214784</v>
      </c>
      <c r="AO36" s="15">
        <v>4790458880</v>
      </c>
      <c r="AP36" s="15">
        <v>5484257280</v>
      </c>
      <c r="AQ36" s="15">
        <v>5788329472</v>
      </c>
      <c r="AR36" s="15">
        <v>5489608192</v>
      </c>
      <c r="AS36" s="15">
        <v>5438857216</v>
      </c>
      <c r="AT36" s="15">
        <v>7511582208</v>
      </c>
      <c r="AU36" s="15">
        <v>8957467648</v>
      </c>
      <c r="AV36" s="15">
        <v>9931134976</v>
      </c>
      <c r="AW36" s="15">
        <v>10126940160</v>
      </c>
      <c r="AX36" s="15">
        <v>10939053056</v>
      </c>
      <c r="AY36" s="15">
        <v>10945070080</v>
      </c>
      <c r="AZ36" s="15">
        <v>10267132928</v>
      </c>
      <c r="BA36" s="15">
        <v>12786654208</v>
      </c>
      <c r="BB36" s="15">
        <v>15351971840</v>
      </c>
      <c r="BC36" s="15">
        <v>14420393984</v>
      </c>
      <c r="BD36" s="15">
        <v>14901750784</v>
      </c>
      <c r="BE36" s="15">
        <v>16250749952</v>
      </c>
      <c r="BF36" s="15">
        <v>14420603904</v>
      </c>
      <c r="BG36" s="15">
        <v>15646316544</v>
      </c>
      <c r="BH36" s="15">
        <v>17405538304</v>
      </c>
      <c r="BI36" s="15">
        <v>18663264256</v>
      </c>
      <c r="BJ36" s="15">
        <v>18340511744</v>
      </c>
    </row>
    <row r="37" spans="1:62" x14ac:dyDescent="0.45">
      <c r="A37" t="s">
        <v>26</v>
      </c>
      <c r="B37" t="s">
        <v>109</v>
      </c>
      <c r="C37" s="15">
        <v>15165570048</v>
      </c>
      <c r="D37" s="15">
        <v>15236854784</v>
      </c>
      <c r="E37" s="15">
        <v>19926294528</v>
      </c>
      <c r="F37" s="15">
        <v>23021477888</v>
      </c>
      <c r="G37" s="15">
        <v>21211891712</v>
      </c>
      <c r="H37" s="15">
        <v>21790035968</v>
      </c>
      <c r="I37" s="15">
        <v>27062716416</v>
      </c>
      <c r="J37" s="15">
        <v>30591834112</v>
      </c>
      <c r="K37" s="15">
        <v>33875881984</v>
      </c>
      <c r="L37" s="15">
        <v>37458898944</v>
      </c>
      <c r="M37" s="15">
        <v>42327601152</v>
      </c>
      <c r="N37" s="15">
        <v>49204457472</v>
      </c>
      <c r="O37" s="15">
        <v>58539008000</v>
      </c>
      <c r="P37" s="15">
        <v>79279054848</v>
      </c>
      <c r="Q37" s="15">
        <v>105136005120</v>
      </c>
      <c r="R37" s="15">
        <v>123709374464</v>
      </c>
      <c r="S37" s="15">
        <v>152678023168</v>
      </c>
      <c r="T37" s="15">
        <v>176171286528</v>
      </c>
      <c r="U37" s="15">
        <v>200800894976</v>
      </c>
      <c r="V37" s="15">
        <v>224969490432</v>
      </c>
      <c r="W37" s="15">
        <v>235024596992</v>
      </c>
      <c r="X37" s="15">
        <v>263561084928</v>
      </c>
      <c r="Y37" s="15">
        <v>281682313216</v>
      </c>
      <c r="Z37" s="15">
        <v>203304517632</v>
      </c>
      <c r="AA37" s="15">
        <v>209023909888</v>
      </c>
      <c r="AB37" s="15">
        <v>222942789632</v>
      </c>
      <c r="AC37" s="15">
        <v>268137218048</v>
      </c>
      <c r="AD37" s="15">
        <v>294084116480</v>
      </c>
      <c r="AE37" s="15">
        <v>330397384704</v>
      </c>
      <c r="AF37" s="15">
        <v>425595305984</v>
      </c>
      <c r="AG37" s="15">
        <v>461951795200</v>
      </c>
      <c r="AH37" s="15">
        <v>602860027904</v>
      </c>
      <c r="AI37" s="15">
        <v>400599252992</v>
      </c>
      <c r="AJ37" s="15">
        <v>437798567936</v>
      </c>
      <c r="AK37" s="15">
        <v>558111981568</v>
      </c>
      <c r="AL37" s="15">
        <v>769305411584</v>
      </c>
      <c r="AM37" s="15">
        <v>850426462208</v>
      </c>
      <c r="AN37" s="15">
        <v>883199639552</v>
      </c>
      <c r="AO37" s="15">
        <v>863723388928</v>
      </c>
      <c r="AP37" s="15">
        <v>599388585984</v>
      </c>
      <c r="AQ37" s="15">
        <v>655420620800</v>
      </c>
      <c r="AR37" s="15">
        <v>559372304384</v>
      </c>
      <c r="AS37" s="15">
        <v>507962490880</v>
      </c>
      <c r="AT37" s="15">
        <v>558319927296</v>
      </c>
      <c r="AU37" s="15">
        <v>669316677632</v>
      </c>
      <c r="AV37" s="15">
        <v>891630190592</v>
      </c>
      <c r="AW37" s="15">
        <v>1107640320000</v>
      </c>
      <c r="AX37" s="15">
        <v>1397084389376</v>
      </c>
      <c r="AY37" s="15">
        <v>1695824609280</v>
      </c>
      <c r="AZ37" s="15">
        <v>1667019833344</v>
      </c>
      <c r="BA37" s="15">
        <v>2208871743488</v>
      </c>
      <c r="BB37" s="15">
        <v>2616201052160</v>
      </c>
      <c r="BC37" s="15">
        <v>2465188544512</v>
      </c>
      <c r="BD37" s="15">
        <v>2472806973440</v>
      </c>
      <c r="BE37" s="15">
        <v>2455993581568</v>
      </c>
      <c r="BF37" s="15">
        <v>1802214309888</v>
      </c>
      <c r="BG37" s="15">
        <v>1795700162560</v>
      </c>
      <c r="BH37" s="15">
        <v>2062831058944</v>
      </c>
      <c r="BI37" s="15">
        <v>1885482516480</v>
      </c>
      <c r="BJ37" s="15">
        <v>1839758049280</v>
      </c>
    </row>
    <row r="38" spans="1:62" x14ac:dyDescent="0.45">
      <c r="A38" t="s">
        <v>26</v>
      </c>
      <c r="B38" t="s">
        <v>110</v>
      </c>
      <c r="C38" s="15">
        <v>330442816</v>
      </c>
      <c r="D38" s="15">
        <v>350247232</v>
      </c>
      <c r="E38" s="15">
        <v>379567168</v>
      </c>
      <c r="F38" s="15">
        <v>394040736</v>
      </c>
      <c r="G38" s="15">
        <v>410321792</v>
      </c>
      <c r="H38" s="15">
        <v>422916864</v>
      </c>
      <c r="I38" s="15">
        <v>433889824</v>
      </c>
      <c r="J38" s="15">
        <v>450753984</v>
      </c>
      <c r="K38" s="15">
        <v>460442880</v>
      </c>
      <c r="L38" s="15">
        <v>478298784</v>
      </c>
      <c r="M38" s="15">
        <v>458404320</v>
      </c>
      <c r="N38" s="15">
        <v>482411264</v>
      </c>
      <c r="O38" s="15">
        <v>578595584</v>
      </c>
      <c r="P38" s="15">
        <v>674773824</v>
      </c>
      <c r="Q38" s="15">
        <v>751133632</v>
      </c>
      <c r="R38" s="15">
        <v>939972672</v>
      </c>
      <c r="S38" s="15">
        <v>976547584</v>
      </c>
      <c r="T38" s="15">
        <v>1131225216</v>
      </c>
      <c r="U38" s="15">
        <v>1475584000</v>
      </c>
      <c r="V38" s="15">
        <v>1748481024</v>
      </c>
      <c r="W38" s="15">
        <v>1928720384</v>
      </c>
      <c r="X38" s="15">
        <v>1775842688</v>
      </c>
      <c r="Y38" s="15">
        <v>1754450432</v>
      </c>
      <c r="Z38" s="15">
        <v>1600278784</v>
      </c>
      <c r="AA38" s="15">
        <v>1459880320</v>
      </c>
      <c r="AB38" s="15">
        <v>1552493440</v>
      </c>
      <c r="AC38" s="15">
        <v>2036303360</v>
      </c>
      <c r="AD38" s="15">
        <v>2369835520</v>
      </c>
      <c r="AE38" s="15">
        <v>2616040704</v>
      </c>
      <c r="AF38" s="15">
        <v>2615588608</v>
      </c>
      <c r="AG38" s="15">
        <v>3101301760</v>
      </c>
      <c r="AH38" s="15">
        <v>3135045632</v>
      </c>
      <c r="AI38" s="15">
        <v>2240264704</v>
      </c>
      <c r="AJ38" s="15">
        <v>2332017920</v>
      </c>
      <c r="AK38" s="15">
        <v>1895291008</v>
      </c>
      <c r="AL38" s="15">
        <v>2379518208</v>
      </c>
      <c r="AM38" s="15">
        <v>2586550784</v>
      </c>
      <c r="AN38" s="15">
        <v>2447669504</v>
      </c>
      <c r="AO38" s="15">
        <v>2804902656</v>
      </c>
      <c r="AP38" s="15">
        <v>3364819200</v>
      </c>
      <c r="AQ38" s="15">
        <v>2956746240</v>
      </c>
      <c r="AR38" s="15">
        <v>3187582208</v>
      </c>
      <c r="AS38" s="15">
        <v>3605329664</v>
      </c>
      <c r="AT38" s="15">
        <v>4730140672</v>
      </c>
      <c r="AU38" s="15">
        <v>5441918464</v>
      </c>
      <c r="AV38" s="15">
        <v>6143909376</v>
      </c>
      <c r="AW38" s="15">
        <v>6541603840</v>
      </c>
      <c r="AX38" s="15">
        <v>7615651328</v>
      </c>
      <c r="AY38" s="15">
        <v>9413336064</v>
      </c>
      <c r="AZ38" s="15">
        <v>9412813824</v>
      </c>
      <c r="BA38" s="15">
        <v>10109619200</v>
      </c>
      <c r="BB38" s="15">
        <v>12080296960</v>
      </c>
      <c r="BC38" s="15">
        <v>12561015808</v>
      </c>
      <c r="BD38" s="15">
        <v>13444300800</v>
      </c>
      <c r="BE38" s="15">
        <v>13943016448</v>
      </c>
      <c r="BF38" s="15">
        <v>11832159232</v>
      </c>
      <c r="BG38" s="15">
        <v>12822557696</v>
      </c>
      <c r="BH38" s="15">
        <v>14169905152</v>
      </c>
      <c r="BI38" s="15">
        <v>16199434240</v>
      </c>
      <c r="BJ38" s="15">
        <v>15745810432</v>
      </c>
    </row>
    <row r="39" spans="1:62" x14ac:dyDescent="0.45">
      <c r="A39" t="s">
        <v>26</v>
      </c>
      <c r="B39" t="s">
        <v>111</v>
      </c>
      <c r="C39" s="15">
        <v>195999984</v>
      </c>
      <c r="D39" s="15">
        <v>203000000</v>
      </c>
      <c r="E39" s="15">
        <v>213500000</v>
      </c>
      <c r="F39" s="15">
        <v>232750000</v>
      </c>
      <c r="G39" s="15">
        <v>260750016</v>
      </c>
      <c r="H39" s="15">
        <v>158994960</v>
      </c>
      <c r="I39" s="15">
        <v>165444576</v>
      </c>
      <c r="J39" s="15">
        <v>178297136</v>
      </c>
      <c r="K39" s="15">
        <v>183200000</v>
      </c>
      <c r="L39" s="15">
        <v>190205712</v>
      </c>
      <c r="M39" s="15">
        <v>242732576</v>
      </c>
      <c r="N39" s="15">
        <v>252842288</v>
      </c>
      <c r="O39" s="15">
        <v>246804576</v>
      </c>
      <c r="P39" s="15">
        <v>304339840</v>
      </c>
      <c r="Q39" s="15">
        <v>345263488</v>
      </c>
      <c r="R39" s="15">
        <v>420986656</v>
      </c>
      <c r="S39" s="15">
        <v>448412768</v>
      </c>
      <c r="T39" s="15">
        <v>547535552</v>
      </c>
      <c r="U39" s="15">
        <v>610225536</v>
      </c>
      <c r="V39" s="15">
        <v>782496640</v>
      </c>
      <c r="W39" s="15">
        <v>919726656</v>
      </c>
      <c r="X39" s="15">
        <v>969046656</v>
      </c>
      <c r="Y39" s="15">
        <v>1013222208</v>
      </c>
      <c r="Z39" s="15">
        <v>1082926336</v>
      </c>
      <c r="AA39" s="15">
        <v>987143936</v>
      </c>
      <c r="AB39" s="15">
        <v>1149979264</v>
      </c>
      <c r="AC39" s="15">
        <v>1201725440</v>
      </c>
      <c r="AD39" s="15">
        <v>1131466496</v>
      </c>
      <c r="AE39" s="15">
        <v>1082403200</v>
      </c>
      <c r="AF39" s="15">
        <v>1113924096</v>
      </c>
      <c r="AG39" s="15">
        <v>1132101248</v>
      </c>
      <c r="AH39" s="15">
        <v>1167398528</v>
      </c>
      <c r="AI39" s="15">
        <v>1083037696</v>
      </c>
      <c r="AJ39" s="15">
        <v>938632640</v>
      </c>
      <c r="AK39" s="15">
        <v>925030592</v>
      </c>
      <c r="AL39" s="15">
        <v>1000428416</v>
      </c>
      <c r="AM39" s="15">
        <v>869033856</v>
      </c>
      <c r="AN39" s="15">
        <v>972896256</v>
      </c>
      <c r="AO39" s="15">
        <v>893770816</v>
      </c>
      <c r="AP39" s="15">
        <v>808077248</v>
      </c>
      <c r="AQ39" s="15">
        <v>870486080</v>
      </c>
      <c r="AR39" s="15">
        <v>876794752</v>
      </c>
      <c r="AS39" s="15">
        <v>825394496</v>
      </c>
      <c r="AT39" s="15">
        <v>784654400</v>
      </c>
      <c r="AU39" s="15">
        <v>915257344</v>
      </c>
      <c r="AV39" s="15">
        <v>1117113088</v>
      </c>
      <c r="AW39" s="15">
        <v>1273374976</v>
      </c>
      <c r="AX39" s="15">
        <v>1356199424</v>
      </c>
      <c r="AY39" s="15">
        <v>1611835904</v>
      </c>
      <c r="AZ39" s="15">
        <v>1781455104</v>
      </c>
      <c r="BA39" s="15">
        <v>2032135296</v>
      </c>
      <c r="BB39" s="15">
        <v>2235820800</v>
      </c>
      <c r="BC39" s="15">
        <v>2333308160</v>
      </c>
      <c r="BD39" s="15">
        <v>2451625216</v>
      </c>
      <c r="BE39" s="15">
        <v>2705783296</v>
      </c>
      <c r="BF39" s="15">
        <v>3104394752</v>
      </c>
      <c r="BG39" s="15">
        <v>2959641088</v>
      </c>
      <c r="BH39" s="15">
        <v>3172292352</v>
      </c>
      <c r="BI39" s="15">
        <v>3036931840</v>
      </c>
      <c r="BJ39" s="15">
        <v>3012334848</v>
      </c>
    </row>
    <row r="40" spans="1:62" x14ac:dyDescent="0.45">
      <c r="A40" t="s">
        <v>26</v>
      </c>
      <c r="B40" t="s">
        <v>112</v>
      </c>
      <c r="C40" s="15">
        <v>618740992</v>
      </c>
      <c r="D40" s="15">
        <v>657597376</v>
      </c>
      <c r="E40" s="15">
        <v>699373696</v>
      </c>
      <c r="F40" s="15">
        <v>723624384</v>
      </c>
      <c r="G40" s="15">
        <v>782384512</v>
      </c>
      <c r="H40" s="15">
        <v>814139840</v>
      </c>
      <c r="I40" s="15">
        <v>853268800</v>
      </c>
      <c r="J40" s="15">
        <v>934079040</v>
      </c>
      <c r="K40" s="15">
        <v>1053077184</v>
      </c>
      <c r="L40" s="15">
        <v>1152418560</v>
      </c>
      <c r="M40" s="15">
        <v>1160002304</v>
      </c>
      <c r="N40" s="15">
        <v>1233991040</v>
      </c>
      <c r="O40" s="15">
        <v>1430951296</v>
      </c>
      <c r="P40" s="15">
        <v>1758727424</v>
      </c>
      <c r="Q40" s="15">
        <v>2255496960</v>
      </c>
      <c r="R40" s="15">
        <v>2752771072</v>
      </c>
      <c r="S40" s="15">
        <v>3076592384</v>
      </c>
      <c r="T40" s="15">
        <v>3366368768</v>
      </c>
      <c r="U40" s="15">
        <v>4409920512</v>
      </c>
      <c r="V40" s="15">
        <v>5811444736</v>
      </c>
      <c r="W40" s="15">
        <v>6740756480</v>
      </c>
      <c r="X40" s="15">
        <v>7636345856</v>
      </c>
      <c r="Y40" s="15">
        <v>7322914816</v>
      </c>
      <c r="Z40" s="15">
        <v>7381854720</v>
      </c>
      <c r="AA40" s="15">
        <v>7801859072</v>
      </c>
      <c r="AB40" s="15">
        <v>8148223488</v>
      </c>
      <c r="AC40" s="15">
        <v>10621158400</v>
      </c>
      <c r="AD40" s="15">
        <v>12302471168</v>
      </c>
      <c r="AE40" s="15">
        <v>12493286400</v>
      </c>
      <c r="AF40" s="15">
        <v>11140055040</v>
      </c>
      <c r="AG40" s="15">
        <v>11151578112</v>
      </c>
      <c r="AH40" s="15">
        <v>12434369536</v>
      </c>
      <c r="AI40" s="15">
        <v>11396311040</v>
      </c>
      <c r="AJ40" s="15">
        <v>15498179584</v>
      </c>
      <c r="AK40" s="15">
        <v>10600157184</v>
      </c>
      <c r="AL40" s="15">
        <v>9643953152</v>
      </c>
      <c r="AM40" s="15">
        <v>10513387520</v>
      </c>
      <c r="AN40" s="15">
        <v>10833497088</v>
      </c>
      <c r="AO40" s="15">
        <v>10612847616</v>
      </c>
      <c r="AP40" s="15">
        <v>11198379008</v>
      </c>
      <c r="AQ40" s="15">
        <v>10083937280</v>
      </c>
      <c r="AR40" s="15">
        <v>10371328000</v>
      </c>
      <c r="AS40" s="15">
        <v>11579342848</v>
      </c>
      <c r="AT40" s="15">
        <v>14548845568</v>
      </c>
      <c r="AU40" s="15">
        <v>17430933504</v>
      </c>
      <c r="AV40" s="15">
        <v>17944084480</v>
      </c>
      <c r="AW40" s="15">
        <v>19356045312</v>
      </c>
      <c r="AX40" s="15">
        <v>22365265920</v>
      </c>
      <c r="AY40" s="15">
        <v>26409781248</v>
      </c>
      <c r="AZ40" s="15">
        <v>26017925120</v>
      </c>
      <c r="BA40" s="15">
        <v>26169323520</v>
      </c>
      <c r="BB40" s="15">
        <v>29375449088</v>
      </c>
      <c r="BC40" s="15">
        <v>29102772224</v>
      </c>
      <c r="BD40" s="15">
        <v>32357345280</v>
      </c>
      <c r="BE40" s="15">
        <v>34989494272</v>
      </c>
      <c r="BF40" s="15">
        <v>30928654336</v>
      </c>
      <c r="BG40" s="15">
        <v>32643696640</v>
      </c>
      <c r="BH40" s="15">
        <v>35009261568</v>
      </c>
      <c r="BI40" s="15">
        <v>38694096896</v>
      </c>
      <c r="BJ40" s="15">
        <v>38760468480</v>
      </c>
    </row>
    <row r="41" spans="1:62" x14ac:dyDescent="0.45">
      <c r="A41" t="s">
        <v>26</v>
      </c>
      <c r="B41" t="s">
        <v>113</v>
      </c>
      <c r="C41" s="15">
        <v>112155600</v>
      </c>
      <c r="D41" s="15">
        <v>123134584</v>
      </c>
      <c r="E41" s="15">
        <v>124482752</v>
      </c>
      <c r="F41" s="15">
        <v>129379096</v>
      </c>
      <c r="G41" s="15">
        <v>142025072</v>
      </c>
      <c r="H41" s="15">
        <v>150574816</v>
      </c>
      <c r="I41" s="15">
        <v>157930048</v>
      </c>
      <c r="J41" s="15">
        <v>163820544</v>
      </c>
      <c r="K41" s="15">
        <v>191767440</v>
      </c>
      <c r="L41" s="15">
        <v>188039184</v>
      </c>
      <c r="M41" s="15">
        <v>189106560</v>
      </c>
      <c r="N41" s="15">
        <v>201450768</v>
      </c>
      <c r="O41" s="15">
        <v>230317904</v>
      </c>
      <c r="P41" s="15">
        <v>271183072</v>
      </c>
      <c r="Q41" s="15">
        <v>281398656</v>
      </c>
      <c r="R41" s="15">
        <v>378660032</v>
      </c>
      <c r="S41" s="15">
        <v>451152448</v>
      </c>
      <c r="T41" s="15">
        <v>507298112</v>
      </c>
      <c r="U41" s="15">
        <v>610578496</v>
      </c>
      <c r="V41" s="15">
        <v>700764864</v>
      </c>
      <c r="W41" s="15">
        <v>797048000</v>
      </c>
      <c r="X41" s="15">
        <v>694803520</v>
      </c>
      <c r="Y41" s="15">
        <v>748312256</v>
      </c>
      <c r="Z41" s="15">
        <v>658679424</v>
      </c>
      <c r="AA41" s="15">
        <v>637820608</v>
      </c>
      <c r="AB41" s="15">
        <v>864849792</v>
      </c>
      <c r="AC41" s="15">
        <v>1122265088</v>
      </c>
      <c r="AD41" s="15">
        <v>1200991872</v>
      </c>
      <c r="AE41" s="15">
        <v>1264899328</v>
      </c>
      <c r="AF41" s="15">
        <v>1233930240</v>
      </c>
      <c r="AG41" s="15">
        <v>1440711424</v>
      </c>
      <c r="AH41" s="15">
        <v>1377374976</v>
      </c>
      <c r="AI41" s="15">
        <v>1411917568</v>
      </c>
      <c r="AJ41" s="15">
        <v>1278781184</v>
      </c>
      <c r="AK41" s="15">
        <v>851174336</v>
      </c>
      <c r="AL41" s="15">
        <v>1115389696</v>
      </c>
      <c r="AM41" s="15">
        <v>1007791168</v>
      </c>
      <c r="AN41" s="15">
        <v>937741440</v>
      </c>
      <c r="AO41" s="15">
        <v>967338368</v>
      </c>
      <c r="AP41" s="15">
        <v>999477504</v>
      </c>
      <c r="AQ41" s="15">
        <v>914500288</v>
      </c>
      <c r="AR41" s="15">
        <v>931833280</v>
      </c>
      <c r="AS41" s="15">
        <v>991387840</v>
      </c>
      <c r="AT41" s="15">
        <v>1139754752</v>
      </c>
      <c r="AU41" s="15">
        <v>1270080256</v>
      </c>
      <c r="AV41" s="15">
        <v>1337362432</v>
      </c>
      <c r="AW41" s="15">
        <v>1460561152</v>
      </c>
      <c r="AX41" s="15">
        <v>1697565952</v>
      </c>
      <c r="AY41" s="15">
        <v>1985240960</v>
      </c>
      <c r="AZ41" s="15">
        <v>2059094016</v>
      </c>
      <c r="BA41" s="15">
        <v>2142591360</v>
      </c>
      <c r="BB41" s="15">
        <v>2437982720</v>
      </c>
      <c r="BC41" s="15">
        <v>2510126592</v>
      </c>
      <c r="BD41" s="15">
        <v>1691544192</v>
      </c>
      <c r="BE41" s="15">
        <v>1894813568</v>
      </c>
      <c r="BF41" s="15">
        <v>1695825664</v>
      </c>
      <c r="BG41" s="15">
        <v>1825018240</v>
      </c>
      <c r="BH41" s="15">
        <v>2072350208</v>
      </c>
      <c r="BI41" s="15">
        <v>2220978944</v>
      </c>
      <c r="BJ41" s="15">
        <v>2220307456</v>
      </c>
    </row>
    <row r="42" spans="1:62" x14ac:dyDescent="0.45">
      <c r="A42" t="s">
        <v>26</v>
      </c>
      <c r="B42" t="s">
        <v>114</v>
      </c>
      <c r="C42" s="15">
        <v>313582720</v>
      </c>
      <c r="D42" s="15">
        <v>333975328</v>
      </c>
      <c r="E42" s="15">
        <v>357635712</v>
      </c>
      <c r="F42" s="15">
        <v>371767008</v>
      </c>
      <c r="G42" s="15">
        <v>392247520</v>
      </c>
      <c r="H42" s="15">
        <v>416926304</v>
      </c>
      <c r="I42" s="15">
        <v>432794912</v>
      </c>
      <c r="J42" s="15">
        <v>449826336</v>
      </c>
      <c r="K42" s="15">
        <v>453980096</v>
      </c>
      <c r="L42" s="15">
        <v>471635616</v>
      </c>
      <c r="M42" s="15">
        <v>469266752</v>
      </c>
      <c r="N42" s="15">
        <v>501866720</v>
      </c>
      <c r="O42" s="15">
        <v>585427520</v>
      </c>
      <c r="P42" s="15">
        <v>647199488</v>
      </c>
      <c r="Q42" s="15">
        <v>652532800</v>
      </c>
      <c r="R42" s="15">
        <v>864602112</v>
      </c>
      <c r="S42" s="15">
        <v>866044992</v>
      </c>
      <c r="T42" s="15">
        <v>935360448</v>
      </c>
      <c r="U42" s="15">
        <v>1113920128</v>
      </c>
      <c r="V42" s="15">
        <v>1004316480</v>
      </c>
      <c r="W42" s="15">
        <v>1033002432</v>
      </c>
      <c r="X42" s="15">
        <v>876937536</v>
      </c>
      <c r="Y42" s="15">
        <v>834369856</v>
      </c>
      <c r="Z42" s="15">
        <v>832415808</v>
      </c>
      <c r="AA42" s="15">
        <v>919103744</v>
      </c>
      <c r="AB42" s="15">
        <v>1033069696</v>
      </c>
      <c r="AC42" s="15">
        <v>1067828224</v>
      </c>
      <c r="AD42" s="15">
        <v>1163426816</v>
      </c>
      <c r="AE42" s="15">
        <v>1482597248</v>
      </c>
      <c r="AF42" s="15">
        <v>1433686272</v>
      </c>
      <c r="AG42" s="15">
        <v>1738605568</v>
      </c>
      <c r="AH42" s="15">
        <v>1877138048</v>
      </c>
      <c r="AI42" s="15">
        <v>1881847680</v>
      </c>
      <c r="AJ42" s="15">
        <v>1463251072</v>
      </c>
      <c r="AK42" s="15">
        <v>1179837952</v>
      </c>
      <c r="AL42" s="15">
        <v>1445920000</v>
      </c>
      <c r="AM42" s="15">
        <v>1607345408</v>
      </c>
      <c r="AN42" s="15">
        <v>1544689536</v>
      </c>
      <c r="AO42" s="15">
        <v>1744794496</v>
      </c>
      <c r="AP42" s="15">
        <v>1534673536</v>
      </c>
      <c r="AQ42" s="15">
        <v>1385058176</v>
      </c>
      <c r="AR42" s="15">
        <v>1709347840</v>
      </c>
      <c r="AS42" s="15">
        <v>1987622272</v>
      </c>
      <c r="AT42" s="15">
        <v>2736666624</v>
      </c>
      <c r="AU42" s="15">
        <v>4414929408</v>
      </c>
      <c r="AV42" s="15">
        <v>6646663680</v>
      </c>
      <c r="AW42" s="15">
        <v>7422102528</v>
      </c>
      <c r="AX42" s="15">
        <v>8638711808</v>
      </c>
      <c r="AY42" s="15">
        <v>10351932416</v>
      </c>
      <c r="AZ42" s="15">
        <v>9253484544</v>
      </c>
      <c r="BA42" s="15">
        <v>10668102656</v>
      </c>
      <c r="BB42" s="15">
        <v>12172309504</v>
      </c>
      <c r="BC42" s="15">
        <v>12367364096</v>
      </c>
      <c r="BD42" s="15">
        <v>12953535488</v>
      </c>
      <c r="BE42" s="15">
        <v>13940767744</v>
      </c>
      <c r="BF42" s="15">
        <v>10950391808</v>
      </c>
      <c r="BG42" s="15">
        <v>10097778688</v>
      </c>
      <c r="BH42" s="15">
        <v>10000395264</v>
      </c>
      <c r="BI42" s="15">
        <v>11239166976</v>
      </c>
      <c r="BJ42" s="15">
        <v>11314951168</v>
      </c>
    </row>
    <row r="43" spans="1:62" x14ac:dyDescent="0.45">
      <c r="A43" t="s">
        <v>26</v>
      </c>
      <c r="B43" t="s">
        <v>115</v>
      </c>
      <c r="C43" s="15">
        <v>4110000128</v>
      </c>
      <c r="D43" s="15">
        <v>4609727488</v>
      </c>
      <c r="E43" s="15">
        <v>5416272896</v>
      </c>
      <c r="F43" s="15">
        <v>5668187648</v>
      </c>
      <c r="G43" s="15">
        <v>5982347776</v>
      </c>
      <c r="H43" s="15">
        <v>6026593792</v>
      </c>
      <c r="I43" s="15">
        <v>7072641024</v>
      </c>
      <c r="J43" s="15">
        <v>7013196288</v>
      </c>
      <c r="K43" s="15">
        <v>7167087104</v>
      </c>
      <c r="L43" s="15">
        <v>8377093120</v>
      </c>
      <c r="M43" s="15">
        <v>9126309888</v>
      </c>
      <c r="N43" s="15">
        <v>10884114432</v>
      </c>
      <c r="O43" s="15">
        <v>11853816832</v>
      </c>
      <c r="P43" s="15">
        <v>16836260864</v>
      </c>
      <c r="Q43" s="15">
        <v>16210404352</v>
      </c>
      <c r="R43" s="15">
        <v>7622217216</v>
      </c>
      <c r="S43" s="15">
        <v>10341924864</v>
      </c>
      <c r="T43" s="15">
        <v>13962893312</v>
      </c>
      <c r="U43" s="15">
        <v>15989934080</v>
      </c>
      <c r="V43" s="15">
        <v>21803696128</v>
      </c>
      <c r="W43" s="15">
        <v>29036709888</v>
      </c>
      <c r="X43" s="15">
        <v>34509877248</v>
      </c>
      <c r="Y43" s="15">
        <v>25325893632</v>
      </c>
      <c r="Z43" s="15">
        <v>20355958784</v>
      </c>
      <c r="AA43" s="15">
        <v>19622526976</v>
      </c>
      <c r="AB43" s="15">
        <v>17702885376</v>
      </c>
      <c r="AC43" s="15">
        <v>18891048960</v>
      </c>
      <c r="AD43" s="15">
        <v>22255407104</v>
      </c>
      <c r="AE43" s="15">
        <v>26040229888</v>
      </c>
      <c r="AF43" s="15">
        <v>29885685760</v>
      </c>
      <c r="AG43" s="15">
        <v>33113888768</v>
      </c>
      <c r="AH43" s="15">
        <v>37834792960</v>
      </c>
      <c r="AI43" s="15">
        <v>45964328960</v>
      </c>
      <c r="AJ43" s="15">
        <v>49297772544</v>
      </c>
      <c r="AK43" s="15">
        <v>57008427008</v>
      </c>
      <c r="AL43" s="15">
        <v>73447063552</v>
      </c>
      <c r="AM43" s="15">
        <v>78039572480</v>
      </c>
      <c r="AN43" s="15">
        <v>84952358912</v>
      </c>
      <c r="AO43" s="15">
        <v>81577426944</v>
      </c>
      <c r="AP43" s="15">
        <v>75173797888</v>
      </c>
      <c r="AQ43" s="15">
        <v>77860929536</v>
      </c>
      <c r="AR43" s="15">
        <v>70979919872</v>
      </c>
      <c r="AS43" s="15">
        <v>69736808448</v>
      </c>
      <c r="AT43" s="15">
        <v>75643461632</v>
      </c>
      <c r="AU43" s="15">
        <v>99210395648</v>
      </c>
      <c r="AV43" s="15">
        <v>122964811776</v>
      </c>
      <c r="AW43" s="15">
        <v>154788020224</v>
      </c>
      <c r="AX43" s="15">
        <v>173605961728</v>
      </c>
      <c r="AY43" s="15">
        <v>179638501376</v>
      </c>
      <c r="AZ43" s="15">
        <v>172389498880</v>
      </c>
      <c r="BA43" s="15">
        <v>218537558016</v>
      </c>
      <c r="BB43" s="15">
        <v>252251996160</v>
      </c>
      <c r="BC43" s="15">
        <v>267122327552</v>
      </c>
      <c r="BD43" s="15">
        <v>278384345088</v>
      </c>
      <c r="BE43" s="15">
        <v>260541628416</v>
      </c>
      <c r="BF43" s="15">
        <v>243919077376</v>
      </c>
      <c r="BG43" s="15">
        <v>250440138752</v>
      </c>
      <c r="BH43" s="15">
        <v>277044953088</v>
      </c>
      <c r="BI43" s="15">
        <v>298258006016</v>
      </c>
      <c r="BJ43" s="15">
        <v>282318143488</v>
      </c>
    </row>
    <row r="44" spans="1:62" x14ac:dyDescent="0.45">
      <c r="A44" t="s">
        <v>26</v>
      </c>
      <c r="B44" t="s">
        <v>116</v>
      </c>
      <c r="C44" s="15">
        <v>4031152896</v>
      </c>
      <c r="D44" s="15">
        <v>4540447744</v>
      </c>
      <c r="E44" s="15">
        <v>4955544064</v>
      </c>
      <c r="F44" s="15">
        <v>4836166656</v>
      </c>
      <c r="G44" s="15">
        <v>5973366784</v>
      </c>
      <c r="H44" s="15">
        <v>5760761856</v>
      </c>
      <c r="I44" s="15">
        <v>5428518400</v>
      </c>
      <c r="J44" s="15">
        <v>5825170432</v>
      </c>
      <c r="K44" s="15">
        <v>5960212992</v>
      </c>
      <c r="L44" s="15">
        <v>6450174976</v>
      </c>
      <c r="M44" s="15">
        <v>7198360576</v>
      </c>
      <c r="N44" s="15">
        <v>7820381184</v>
      </c>
      <c r="O44" s="15">
        <v>8671358976</v>
      </c>
      <c r="P44" s="15">
        <v>10315759616</v>
      </c>
      <c r="Q44" s="15">
        <v>12370029568</v>
      </c>
      <c r="R44" s="15">
        <v>13098634240</v>
      </c>
      <c r="S44" s="15">
        <v>15341404160</v>
      </c>
      <c r="T44" s="15">
        <v>19470960640</v>
      </c>
      <c r="U44" s="15">
        <v>23263512576</v>
      </c>
      <c r="V44" s="15">
        <v>27940411392</v>
      </c>
      <c r="W44" s="15">
        <v>33400735744</v>
      </c>
      <c r="X44" s="15">
        <v>36388368384</v>
      </c>
      <c r="Y44" s="15">
        <v>38968041472</v>
      </c>
      <c r="Z44" s="15">
        <v>38729822208</v>
      </c>
      <c r="AA44" s="15">
        <v>38253121536</v>
      </c>
      <c r="AB44" s="15">
        <v>34894409728</v>
      </c>
      <c r="AC44" s="15">
        <v>34942488576</v>
      </c>
      <c r="AD44" s="15">
        <v>36373307392</v>
      </c>
      <c r="AE44" s="15">
        <v>39212548096</v>
      </c>
      <c r="AF44" s="15">
        <v>39540080640</v>
      </c>
      <c r="AG44" s="15">
        <v>47844089856</v>
      </c>
      <c r="AH44" s="15">
        <v>49175564288</v>
      </c>
      <c r="AI44" s="15">
        <v>58418987008</v>
      </c>
      <c r="AJ44" s="15">
        <v>66446802944</v>
      </c>
      <c r="AK44" s="15">
        <v>81703501824</v>
      </c>
      <c r="AL44" s="15">
        <v>92507283456</v>
      </c>
      <c r="AM44" s="15">
        <v>97160110080</v>
      </c>
      <c r="AN44" s="15">
        <v>106659512320</v>
      </c>
      <c r="AO44" s="15">
        <v>98443739136</v>
      </c>
      <c r="AP44" s="15">
        <v>86186156032</v>
      </c>
      <c r="AQ44" s="15">
        <v>99886579712</v>
      </c>
      <c r="AR44" s="15">
        <v>98211749888</v>
      </c>
      <c r="AS44" s="15">
        <v>97962999808</v>
      </c>
      <c r="AT44" s="15">
        <v>94641381376</v>
      </c>
      <c r="AU44" s="15">
        <v>117081522176</v>
      </c>
      <c r="AV44" s="15">
        <v>145619189760</v>
      </c>
      <c r="AW44" s="15">
        <v>161618575360</v>
      </c>
      <c r="AX44" s="15">
        <v>206181826560</v>
      </c>
      <c r="AY44" s="15">
        <v>242186944512</v>
      </c>
      <c r="AZ44" s="15">
        <v>232397832192</v>
      </c>
      <c r="BA44" s="15">
        <v>286563106816</v>
      </c>
      <c r="BB44" s="15">
        <v>334943879168</v>
      </c>
      <c r="BC44" s="15">
        <v>370921308160</v>
      </c>
      <c r="BD44" s="15">
        <v>382116134912</v>
      </c>
      <c r="BE44" s="15">
        <v>381112123392</v>
      </c>
      <c r="BF44" s="15">
        <v>293481742336</v>
      </c>
      <c r="BG44" s="15">
        <v>282824998912</v>
      </c>
      <c r="BH44" s="15">
        <v>311883726848</v>
      </c>
      <c r="BI44" s="15">
        <v>333568933888</v>
      </c>
      <c r="BJ44" s="15">
        <v>323802791936</v>
      </c>
    </row>
    <row r="45" spans="1:62" x14ac:dyDescent="0.45">
      <c r="A45" t="s">
        <v>26</v>
      </c>
      <c r="B45" t="s">
        <v>117</v>
      </c>
      <c r="C45" s="15">
        <v>3359404032</v>
      </c>
      <c r="D45" s="15">
        <v>3086746880</v>
      </c>
      <c r="E45" s="15">
        <v>3779841536</v>
      </c>
      <c r="F45" s="15">
        <v>6213185536</v>
      </c>
      <c r="G45" s="15">
        <v>2881545216</v>
      </c>
      <c r="H45" s="15">
        <v>4043901696</v>
      </c>
      <c r="I45" s="15">
        <v>4532660224</v>
      </c>
      <c r="J45" s="15">
        <v>3384063488</v>
      </c>
      <c r="K45" s="15">
        <v>3909780480</v>
      </c>
      <c r="L45" s="15">
        <v>5032435200</v>
      </c>
      <c r="M45" s="15">
        <v>4877684736</v>
      </c>
      <c r="N45" s="15">
        <v>5594770432</v>
      </c>
      <c r="O45" s="15">
        <v>6173712896</v>
      </c>
      <c r="P45" s="15">
        <v>7870239232</v>
      </c>
      <c r="Q45" s="15">
        <v>9596959744</v>
      </c>
      <c r="R45" s="15">
        <v>10237342720</v>
      </c>
      <c r="S45" s="15">
        <v>9648583680</v>
      </c>
      <c r="T45" s="15">
        <v>12344424448</v>
      </c>
      <c r="U45" s="15">
        <v>15372608512</v>
      </c>
      <c r="V45" s="15">
        <v>15068422144</v>
      </c>
      <c r="W45" s="15">
        <v>14394927104</v>
      </c>
      <c r="X45" s="15">
        <v>12537821184</v>
      </c>
      <c r="Y45" s="15">
        <v>13651666944</v>
      </c>
      <c r="Z45" s="15">
        <v>11006712832</v>
      </c>
      <c r="AA45" s="15">
        <v>7857729024</v>
      </c>
      <c r="AB45" s="15">
        <v>7195042816</v>
      </c>
      <c r="AC45" s="15">
        <v>8095367168</v>
      </c>
      <c r="AD45" s="15">
        <v>7661625344</v>
      </c>
      <c r="AE45" s="15">
        <v>8861299712</v>
      </c>
      <c r="AF45" s="15">
        <v>9021862912</v>
      </c>
      <c r="AG45" s="15">
        <v>9349764096</v>
      </c>
      <c r="AH45" s="15">
        <v>9625437184</v>
      </c>
      <c r="AI45" s="15">
        <v>8227343872</v>
      </c>
      <c r="AJ45" s="15">
        <v>10706259968</v>
      </c>
      <c r="AK45" s="15">
        <v>5820382208</v>
      </c>
      <c r="AL45" s="15">
        <v>5643439616</v>
      </c>
      <c r="AM45" s="15">
        <v>5771454976</v>
      </c>
      <c r="AN45" s="15">
        <v>6090840576</v>
      </c>
      <c r="AO45" s="15">
        <v>6215591424</v>
      </c>
      <c r="AP45" s="15">
        <v>4711259648</v>
      </c>
      <c r="AQ45" s="15">
        <v>19088046080</v>
      </c>
      <c r="AR45" s="15">
        <v>7438189056</v>
      </c>
      <c r="AS45" s="15">
        <v>8728038400</v>
      </c>
      <c r="AT45" s="15">
        <v>8937567232</v>
      </c>
      <c r="AU45" s="15">
        <v>10297483264</v>
      </c>
      <c r="AV45" s="15">
        <v>11964484608</v>
      </c>
      <c r="AW45" s="15">
        <v>14451902464</v>
      </c>
      <c r="AX45" s="15">
        <v>16737072128</v>
      </c>
      <c r="AY45" s="15">
        <v>19788515328</v>
      </c>
      <c r="AZ45" s="15">
        <v>18648373248</v>
      </c>
      <c r="BA45" s="15">
        <v>21565720576</v>
      </c>
      <c r="BB45" s="15">
        <v>25839749120</v>
      </c>
      <c r="BC45" s="15">
        <v>29306234880</v>
      </c>
      <c r="BD45" s="15">
        <v>32679745536</v>
      </c>
      <c r="BE45" s="15">
        <v>35909042176</v>
      </c>
      <c r="BF45" s="15">
        <v>37917704192</v>
      </c>
      <c r="BG45" s="15">
        <v>37134798848</v>
      </c>
      <c r="BH45" s="15">
        <v>38019264512</v>
      </c>
      <c r="BI45" s="15">
        <v>46831341568</v>
      </c>
      <c r="BJ45" s="15">
        <v>47319625728</v>
      </c>
    </row>
    <row r="46" spans="1:62" x14ac:dyDescent="0.45">
      <c r="A46" t="s">
        <v>26</v>
      </c>
      <c r="B46" t="s">
        <v>118</v>
      </c>
      <c r="C46" s="15">
        <v>131731864</v>
      </c>
      <c r="D46" s="15">
        <v>151675744</v>
      </c>
      <c r="E46" s="15">
        <v>166521232</v>
      </c>
      <c r="F46" s="15">
        <v>172233424</v>
      </c>
      <c r="G46" s="15">
        <v>185693728</v>
      </c>
      <c r="H46" s="15">
        <v>198318064</v>
      </c>
      <c r="I46" s="15">
        <v>220613584</v>
      </c>
      <c r="J46" s="15">
        <v>237397424</v>
      </c>
      <c r="K46" s="15">
        <v>251247456</v>
      </c>
      <c r="L46" s="15">
        <v>265040032</v>
      </c>
      <c r="M46" s="15">
        <v>274960704</v>
      </c>
      <c r="N46" s="15">
        <v>322128032</v>
      </c>
      <c r="O46" s="15">
        <v>410669248</v>
      </c>
      <c r="P46" s="15">
        <v>541973376</v>
      </c>
      <c r="Q46" s="15">
        <v>585364608</v>
      </c>
      <c r="R46" s="15">
        <v>767102656</v>
      </c>
      <c r="S46" s="15">
        <v>754549632</v>
      </c>
      <c r="T46" s="15">
        <v>765224000</v>
      </c>
      <c r="U46" s="15">
        <v>878771776</v>
      </c>
      <c r="V46" s="15">
        <v>1198749696</v>
      </c>
      <c r="W46" s="15">
        <v>1705796864</v>
      </c>
      <c r="X46" s="15">
        <v>1993512320</v>
      </c>
      <c r="Y46" s="15">
        <v>2160640512</v>
      </c>
      <c r="Z46" s="15">
        <v>2097274240</v>
      </c>
      <c r="AA46" s="15">
        <v>2193581312</v>
      </c>
      <c r="AB46" s="15">
        <v>2160872448</v>
      </c>
      <c r="AC46" s="15">
        <v>1849268224</v>
      </c>
      <c r="AD46" s="15">
        <v>2297753600</v>
      </c>
      <c r="AE46" s="15">
        <v>2212536320</v>
      </c>
      <c r="AF46" s="15">
        <v>2389593088</v>
      </c>
      <c r="AG46" s="15">
        <v>2798746112</v>
      </c>
      <c r="AH46" s="15">
        <v>2724853504</v>
      </c>
      <c r="AI46" s="15">
        <v>2933222656</v>
      </c>
      <c r="AJ46" s="15">
        <v>1918969984</v>
      </c>
      <c r="AK46" s="15">
        <v>1769365376</v>
      </c>
      <c r="AL46" s="15">
        <v>2116003968</v>
      </c>
      <c r="AM46" s="15">
        <v>2540697600</v>
      </c>
      <c r="AN46" s="15">
        <v>2322718976</v>
      </c>
      <c r="AO46" s="15">
        <v>1949481344</v>
      </c>
      <c r="AP46" s="15">
        <v>2353909504</v>
      </c>
      <c r="AQ46" s="15">
        <v>3219910656</v>
      </c>
      <c r="AR46" s="15">
        <v>2794259712</v>
      </c>
      <c r="AS46" s="15">
        <v>3019993856</v>
      </c>
      <c r="AT46" s="15">
        <v>3495868928</v>
      </c>
      <c r="AU46" s="15">
        <v>4648628736</v>
      </c>
      <c r="AV46" s="15">
        <v>6087003136</v>
      </c>
      <c r="AW46" s="15">
        <v>7731261440</v>
      </c>
      <c r="AX46" s="15">
        <v>8394688512</v>
      </c>
      <c r="AY46" s="15">
        <v>11859013632</v>
      </c>
      <c r="AZ46" s="15">
        <v>9593537536</v>
      </c>
      <c r="BA46" s="15">
        <v>12019595264</v>
      </c>
      <c r="BB46" s="15">
        <v>14444510208</v>
      </c>
      <c r="BC46" s="15">
        <v>13677148160</v>
      </c>
      <c r="BD46" s="15">
        <v>14089856000</v>
      </c>
      <c r="BE46" s="15">
        <v>14196322304</v>
      </c>
      <c r="BF46" s="15">
        <v>8556594688</v>
      </c>
      <c r="BG46" s="15">
        <v>9041986560</v>
      </c>
      <c r="BH46" s="15">
        <v>9035182080</v>
      </c>
      <c r="BI46" s="15">
        <v>11662700544</v>
      </c>
      <c r="BJ46" s="15">
        <v>10820591616</v>
      </c>
    </row>
    <row r="47" spans="1:62" x14ac:dyDescent="0.45">
      <c r="A47" t="s">
        <v>26</v>
      </c>
      <c r="B47" t="s">
        <v>119</v>
      </c>
      <c r="C47" s="15">
        <v>507513824</v>
      </c>
      <c r="D47" s="15">
        <v>490325184</v>
      </c>
      <c r="E47" s="15">
        <v>479180832</v>
      </c>
      <c r="F47" s="15">
        <v>511902144</v>
      </c>
      <c r="G47" s="15">
        <v>542578368</v>
      </c>
      <c r="H47" s="15">
        <v>592981184</v>
      </c>
      <c r="I47" s="15">
        <v>647305600</v>
      </c>
      <c r="J47" s="15">
        <v>699456640</v>
      </c>
      <c r="K47" s="15">
        <v>773841472</v>
      </c>
      <c r="L47" s="15">
        <v>853630208</v>
      </c>
      <c r="M47" s="15">
        <v>984830144</v>
      </c>
      <c r="N47" s="15">
        <v>1077152896</v>
      </c>
      <c r="O47" s="15">
        <v>1238251648</v>
      </c>
      <c r="P47" s="15">
        <v>1528916224</v>
      </c>
      <c r="Q47" s="15">
        <v>1666544768</v>
      </c>
      <c r="R47" s="15">
        <v>1960863488</v>
      </c>
      <c r="S47" s="15">
        <v>2412555520</v>
      </c>
      <c r="T47" s="15">
        <v>3072427008</v>
      </c>
      <c r="U47" s="15">
        <v>3523208704</v>
      </c>
      <c r="V47" s="15">
        <v>4035519232</v>
      </c>
      <c r="W47" s="15">
        <v>4831447040</v>
      </c>
      <c r="X47" s="15">
        <v>2623806976</v>
      </c>
      <c r="Y47" s="15">
        <v>2606621184</v>
      </c>
      <c r="Z47" s="15">
        <v>3146770176</v>
      </c>
      <c r="AA47" s="15">
        <v>3660476416</v>
      </c>
      <c r="AB47" s="15">
        <v>3919203840</v>
      </c>
      <c r="AC47" s="15">
        <v>4418983936</v>
      </c>
      <c r="AD47" s="15">
        <v>4532952064</v>
      </c>
      <c r="AE47" s="15">
        <v>4614629888</v>
      </c>
      <c r="AF47" s="15">
        <v>5251025920</v>
      </c>
      <c r="AG47" s="15">
        <v>5711687680</v>
      </c>
      <c r="AH47" s="15">
        <v>7168999424</v>
      </c>
      <c r="AI47" s="15">
        <v>8528593408</v>
      </c>
      <c r="AJ47" s="15">
        <v>9537297408</v>
      </c>
      <c r="AK47" s="15">
        <v>10432619520</v>
      </c>
      <c r="AL47" s="15">
        <v>11513473024</v>
      </c>
      <c r="AM47" s="15">
        <v>11618286592</v>
      </c>
      <c r="AN47" s="15">
        <v>12552071168</v>
      </c>
      <c r="AO47" s="15">
        <v>13617404928</v>
      </c>
      <c r="AP47" s="15">
        <v>14195622912</v>
      </c>
      <c r="AQ47" s="15">
        <v>14949514240</v>
      </c>
      <c r="AR47" s="15">
        <v>15913363456</v>
      </c>
      <c r="AS47" s="15">
        <v>16504795136</v>
      </c>
      <c r="AT47" s="15">
        <v>17196009472</v>
      </c>
      <c r="AU47" s="15">
        <v>18528956416</v>
      </c>
      <c r="AV47" s="15">
        <v>19948261376</v>
      </c>
      <c r="AW47" s="15">
        <v>22602721280</v>
      </c>
      <c r="AX47" s="15">
        <v>26743971840</v>
      </c>
      <c r="AY47" s="15">
        <v>30612926464</v>
      </c>
      <c r="AZ47" s="15">
        <v>30562361344</v>
      </c>
      <c r="BA47" s="15">
        <v>37268615168</v>
      </c>
      <c r="BB47" s="15">
        <v>42262695936</v>
      </c>
      <c r="BC47" s="15">
        <v>46473129984</v>
      </c>
      <c r="BD47" s="15">
        <v>49745088512</v>
      </c>
      <c r="BE47" s="15">
        <v>50577768448</v>
      </c>
      <c r="BF47" s="15">
        <v>54775996416</v>
      </c>
      <c r="BG47" s="15">
        <v>57157992448</v>
      </c>
      <c r="BH47" s="15">
        <v>58481856512</v>
      </c>
      <c r="BI47" s="15">
        <v>60553900032</v>
      </c>
      <c r="BJ47" s="15">
        <v>61773942784</v>
      </c>
    </row>
    <row r="48" spans="1:62" x14ac:dyDescent="0.45">
      <c r="A48" t="s">
        <v>26</v>
      </c>
      <c r="B48" t="s">
        <v>120</v>
      </c>
      <c r="C48" s="15">
        <v>546203584</v>
      </c>
      <c r="D48" s="15">
        <v>618245632</v>
      </c>
      <c r="E48" s="15">
        <v>645284352</v>
      </c>
      <c r="F48" s="15">
        <v>761047040</v>
      </c>
      <c r="G48" s="15">
        <v>921063296</v>
      </c>
      <c r="H48" s="15">
        <v>919771328</v>
      </c>
      <c r="I48" s="15">
        <v>1024103040</v>
      </c>
      <c r="J48" s="15">
        <v>1082922880</v>
      </c>
      <c r="K48" s="15">
        <v>1281281280</v>
      </c>
      <c r="L48" s="15">
        <v>1361360128</v>
      </c>
      <c r="M48" s="15">
        <v>1455483008</v>
      </c>
      <c r="N48" s="15">
        <v>1584128256</v>
      </c>
      <c r="O48" s="15">
        <v>1849400576</v>
      </c>
      <c r="P48" s="15">
        <v>2508421120</v>
      </c>
      <c r="Q48" s="15">
        <v>3070151936</v>
      </c>
      <c r="R48" s="15">
        <v>3893839104</v>
      </c>
      <c r="S48" s="15">
        <v>4662053888</v>
      </c>
      <c r="T48" s="15">
        <v>6265068032</v>
      </c>
      <c r="U48" s="15">
        <v>7900525056</v>
      </c>
      <c r="V48" s="15">
        <v>9142935552</v>
      </c>
      <c r="W48" s="15">
        <v>10175614976</v>
      </c>
      <c r="X48" s="15">
        <v>8432588288</v>
      </c>
      <c r="Y48" s="15">
        <v>7567109632</v>
      </c>
      <c r="Z48" s="15">
        <v>6838185472</v>
      </c>
      <c r="AA48" s="15">
        <v>6841638912</v>
      </c>
      <c r="AB48" s="15">
        <v>6977650176</v>
      </c>
      <c r="AC48" s="15">
        <v>9158301696</v>
      </c>
      <c r="AD48" s="15">
        <v>10087653376</v>
      </c>
      <c r="AE48" s="15">
        <v>10255170560</v>
      </c>
      <c r="AF48" s="15">
        <v>9757410304</v>
      </c>
      <c r="AG48" s="15">
        <v>10795849728</v>
      </c>
      <c r="AH48" s="15">
        <v>10492628992</v>
      </c>
      <c r="AI48" s="15">
        <v>11152971776</v>
      </c>
      <c r="AJ48" s="15">
        <v>11045758976</v>
      </c>
      <c r="AK48" s="15">
        <v>8313557504</v>
      </c>
      <c r="AL48" s="15">
        <v>11000146944</v>
      </c>
      <c r="AM48" s="15">
        <v>12139235328</v>
      </c>
      <c r="AN48" s="15">
        <v>11722142720</v>
      </c>
      <c r="AO48" s="15">
        <v>12612033536</v>
      </c>
      <c r="AP48" s="15">
        <v>12376639488</v>
      </c>
      <c r="AQ48" s="15">
        <v>10717022208</v>
      </c>
      <c r="AR48" s="15">
        <v>11192560640</v>
      </c>
      <c r="AS48" s="15">
        <v>12346918912</v>
      </c>
      <c r="AT48" s="15">
        <v>15306602496</v>
      </c>
      <c r="AU48" s="15">
        <v>16554441728</v>
      </c>
      <c r="AV48" s="15">
        <v>17084929024</v>
      </c>
      <c r="AW48" s="15">
        <v>17800888320</v>
      </c>
      <c r="AX48" s="15">
        <v>20343635968</v>
      </c>
      <c r="AY48" s="15">
        <v>24224903168</v>
      </c>
      <c r="AZ48" s="15">
        <v>24277493760</v>
      </c>
      <c r="BA48" s="15">
        <v>24908781568</v>
      </c>
      <c r="BB48" s="15">
        <v>25414875136</v>
      </c>
      <c r="BC48" s="15">
        <v>26789048320</v>
      </c>
      <c r="BD48" s="15">
        <v>31273074688</v>
      </c>
      <c r="BE48" s="15">
        <v>35363532800</v>
      </c>
      <c r="BF48" s="15">
        <v>45814636544</v>
      </c>
      <c r="BG48" s="15">
        <v>47964233728</v>
      </c>
      <c r="BH48" s="15">
        <v>51588157440</v>
      </c>
      <c r="BI48" s="15">
        <v>57724731392</v>
      </c>
      <c r="BJ48" s="15">
        <v>58792206336</v>
      </c>
    </row>
    <row r="49" spans="1:62" x14ac:dyDescent="0.45">
      <c r="A49" t="s">
        <v>26</v>
      </c>
      <c r="B49" t="s">
        <v>121</v>
      </c>
      <c r="C49" s="15">
        <v>672399680</v>
      </c>
      <c r="D49" s="15">
        <v>654100224</v>
      </c>
      <c r="E49" s="15">
        <v>824099968</v>
      </c>
      <c r="F49" s="15">
        <v>940799872</v>
      </c>
      <c r="G49" s="15">
        <v>1025599872</v>
      </c>
      <c r="H49" s="15">
        <v>888099968</v>
      </c>
      <c r="I49" s="15">
        <v>983900032</v>
      </c>
      <c r="J49" s="15">
        <v>1034800000</v>
      </c>
      <c r="K49" s="15">
        <v>1079100032</v>
      </c>
      <c r="L49" s="15">
        <v>1230499968</v>
      </c>
      <c r="M49" s="15">
        <v>1485500032</v>
      </c>
      <c r="N49" s="15">
        <v>1666499968</v>
      </c>
      <c r="O49" s="15">
        <v>1987399936</v>
      </c>
      <c r="P49" s="15">
        <v>2344800000</v>
      </c>
      <c r="Q49" s="15">
        <v>2925700096</v>
      </c>
      <c r="R49" s="15">
        <v>3599200000</v>
      </c>
      <c r="S49" s="15">
        <v>3951500032</v>
      </c>
      <c r="T49" s="15">
        <v>4587100160</v>
      </c>
      <c r="U49" s="15">
        <v>4734400000</v>
      </c>
      <c r="V49" s="15">
        <v>5498800128</v>
      </c>
      <c r="W49" s="15">
        <v>6761299968</v>
      </c>
      <c r="X49" s="15">
        <v>7561299968</v>
      </c>
      <c r="Y49" s="15">
        <v>8267400192</v>
      </c>
      <c r="Z49" s="15">
        <v>9220599808</v>
      </c>
      <c r="AA49" s="15">
        <v>11594000384</v>
      </c>
      <c r="AB49" s="15">
        <v>5044593152</v>
      </c>
      <c r="AC49" s="15">
        <v>6122198016</v>
      </c>
      <c r="AD49" s="15">
        <v>5826987008</v>
      </c>
      <c r="AE49" s="15">
        <v>5374315008</v>
      </c>
      <c r="AF49" s="15">
        <v>6686593024</v>
      </c>
      <c r="AG49" s="15">
        <v>7073675776</v>
      </c>
      <c r="AH49" s="15">
        <v>9734322176</v>
      </c>
      <c r="AI49" s="15">
        <v>11356271616</v>
      </c>
      <c r="AJ49" s="15">
        <v>13081041920</v>
      </c>
      <c r="AK49" s="15">
        <v>14664238080</v>
      </c>
      <c r="AL49" s="15">
        <v>16598679552</v>
      </c>
      <c r="AM49" s="15">
        <v>18241691648</v>
      </c>
      <c r="AN49" s="15">
        <v>20017909760</v>
      </c>
      <c r="AO49" s="15">
        <v>21672525824</v>
      </c>
      <c r="AP49" s="15">
        <v>22137600000</v>
      </c>
      <c r="AQ49" s="15">
        <v>24305117184</v>
      </c>
      <c r="AR49" s="15">
        <v>25599311872</v>
      </c>
      <c r="AS49" s="15">
        <v>27362875392</v>
      </c>
      <c r="AT49" s="15">
        <v>21642883072</v>
      </c>
      <c r="AU49" s="15">
        <v>22692575232</v>
      </c>
      <c r="AV49" s="15">
        <v>36119048192</v>
      </c>
      <c r="AW49" s="15">
        <v>38116352000</v>
      </c>
      <c r="AX49" s="15">
        <v>43965419520</v>
      </c>
      <c r="AY49" s="15">
        <v>48122548224</v>
      </c>
      <c r="AZ49" s="15">
        <v>48261033984</v>
      </c>
      <c r="BA49" s="15">
        <v>53860175872</v>
      </c>
      <c r="BB49" s="15">
        <v>58029752320</v>
      </c>
      <c r="BC49" s="15">
        <v>60681535488</v>
      </c>
      <c r="BD49" s="15">
        <v>62682165248</v>
      </c>
      <c r="BE49" s="15">
        <v>67179913216</v>
      </c>
      <c r="BF49" s="15">
        <v>71164821504</v>
      </c>
      <c r="BG49" s="15">
        <v>75704721408</v>
      </c>
      <c r="BH49" s="15">
        <v>79997976576</v>
      </c>
      <c r="BI49" s="15">
        <v>85555380224</v>
      </c>
      <c r="BJ49" s="15">
        <v>88941297664</v>
      </c>
    </row>
    <row r="50" spans="1:62" x14ac:dyDescent="0.45">
      <c r="A50" t="s">
        <v>26</v>
      </c>
      <c r="B50" t="s">
        <v>122</v>
      </c>
      <c r="C50" s="15">
        <v>2069465344</v>
      </c>
      <c r="D50" s="15">
        <v>1753850368</v>
      </c>
      <c r="E50" s="15">
        <v>1518208256</v>
      </c>
      <c r="F50" s="15">
        <v>1824344448</v>
      </c>
      <c r="G50" s="15">
        <v>2244146944</v>
      </c>
      <c r="H50" s="15">
        <v>2387048192</v>
      </c>
      <c r="I50" s="15">
        <v>2429309440</v>
      </c>
      <c r="J50" s="15">
        <v>2553596160</v>
      </c>
      <c r="K50" s="15">
        <v>2582180864</v>
      </c>
      <c r="L50" s="15">
        <v>3112166912</v>
      </c>
      <c r="M50" s="15">
        <v>2862504192</v>
      </c>
      <c r="N50" s="15">
        <v>2754220288</v>
      </c>
      <c r="O50" s="15">
        <v>3185987328</v>
      </c>
      <c r="P50" s="15">
        <v>3891755520</v>
      </c>
      <c r="Q50" s="15">
        <v>6599259648</v>
      </c>
      <c r="R50" s="15">
        <v>7731677184</v>
      </c>
      <c r="S50" s="15">
        <v>9091923968</v>
      </c>
      <c r="T50" s="15">
        <v>11026347008</v>
      </c>
      <c r="U50" s="15">
        <v>11922502656</v>
      </c>
      <c r="V50" s="15">
        <v>14175166464</v>
      </c>
      <c r="W50" s="15">
        <v>17881513984</v>
      </c>
      <c r="X50" s="15">
        <v>21810767872</v>
      </c>
      <c r="Y50" s="15">
        <v>19929853952</v>
      </c>
      <c r="Z50" s="15">
        <v>17152483328</v>
      </c>
      <c r="AA50" s="15">
        <v>16912515072</v>
      </c>
      <c r="AB50" s="15">
        <v>17149094912</v>
      </c>
      <c r="AC50" s="15">
        <v>15314144256</v>
      </c>
      <c r="AD50" s="15">
        <v>13945432064</v>
      </c>
      <c r="AE50" s="15">
        <v>13051886592</v>
      </c>
      <c r="AF50" s="15">
        <v>13890828288</v>
      </c>
      <c r="AG50" s="15">
        <v>15239278592</v>
      </c>
      <c r="AH50" s="15">
        <v>16988534784</v>
      </c>
      <c r="AI50" s="15">
        <v>18094237696</v>
      </c>
      <c r="AJ50" s="15">
        <v>18938718208</v>
      </c>
      <c r="AK50" s="15">
        <v>22708672512</v>
      </c>
      <c r="AL50" s="15">
        <v>24432883712</v>
      </c>
      <c r="AM50" s="15">
        <v>25226393600</v>
      </c>
      <c r="AN50" s="15">
        <v>28162052096</v>
      </c>
      <c r="AO50" s="15">
        <v>27981897728</v>
      </c>
      <c r="AP50" s="15">
        <v>19645272064</v>
      </c>
      <c r="AQ50" s="15">
        <v>18327764992</v>
      </c>
      <c r="AR50" s="15">
        <v>24468324352</v>
      </c>
      <c r="AS50" s="15">
        <v>28548945920</v>
      </c>
      <c r="AT50" s="15">
        <v>32432857088</v>
      </c>
      <c r="AU50" s="15">
        <v>36591661056</v>
      </c>
      <c r="AV50" s="15">
        <v>41507086336</v>
      </c>
      <c r="AW50" s="15">
        <v>46802042880</v>
      </c>
      <c r="AX50" s="15">
        <v>51007778816</v>
      </c>
      <c r="AY50" s="15">
        <v>61762633728</v>
      </c>
      <c r="AZ50" s="15">
        <v>62519685120</v>
      </c>
      <c r="BA50" s="15">
        <v>69555363840</v>
      </c>
      <c r="BB50" s="15">
        <v>79276662784</v>
      </c>
      <c r="BC50" s="15">
        <v>87924547584</v>
      </c>
      <c r="BD50" s="15">
        <v>95129657344</v>
      </c>
      <c r="BE50" s="15">
        <v>101726330880</v>
      </c>
      <c r="BF50" s="15">
        <v>99290382336</v>
      </c>
      <c r="BG50" s="15">
        <v>99937697792</v>
      </c>
      <c r="BH50" s="15">
        <v>104295858176</v>
      </c>
      <c r="BI50" s="15">
        <v>107562008576</v>
      </c>
      <c r="BJ50" s="15">
        <v>107435663360</v>
      </c>
    </row>
    <row r="51" spans="1:62" x14ac:dyDescent="0.45">
      <c r="A51" t="s">
        <v>26</v>
      </c>
      <c r="B51" t="s">
        <v>123</v>
      </c>
      <c r="C51" s="15">
        <v>112328424</v>
      </c>
      <c r="D51" s="15">
        <v>116987784</v>
      </c>
      <c r="E51" s="15">
        <v>122906432</v>
      </c>
      <c r="F51" s="15">
        <v>129454728</v>
      </c>
      <c r="G51" s="15">
        <v>140032736</v>
      </c>
      <c r="H51" s="15">
        <v>147084752</v>
      </c>
      <c r="I51" s="15">
        <v>150603920</v>
      </c>
      <c r="J51" s="15">
        <v>162625888</v>
      </c>
      <c r="K51" s="15">
        <v>166952944</v>
      </c>
      <c r="L51" s="15">
        <v>182182064</v>
      </c>
      <c r="M51" s="15">
        <v>219878480</v>
      </c>
      <c r="N51" s="15">
        <v>247749328</v>
      </c>
      <c r="O51" s="15">
        <v>316650496</v>
      </c>
      <c r="P51" s="15">
        <v>425963360</v>
      </c>
      <c r="Q51" s="15">
        <v>558589888</v>
      </c>
      <c r="R51" s="15">
        <v>684268288</v>
      </c>
      <c r="S51" s="15">
        <v>694552384</v>
      </c>
      <c r="T51" s="15">
        <v>719533120</v>
      </c>
      <c r="U51" s="15">
        <v>829239488</v>
      </c>
      <c r="V51" s="15">
        <v>1019743936</v>
      </c>
      <c r="W51" s="15">
        <v>1202567296</v>
      </c>
      <c r="X51" s="15">
        <v>1235899776</v>
      </c>
      <c r="Y51" s="15">
        <v>1194015488</v>
      </c>
      <c r="Z51" s="15">
        <v>1123107328</v>
      </c>
      <c r="AA51" s="15">
        <v>1177997440</v>
      </c>
      <c r="AB51" s="15">
        <v>1141210112</v>
      </c>
      <c r="AC51" s="15">
        <v>1290228608</v>
      </c>
      <c r="AD51" s="15">
        <v>1177908224</v>
      </c>
      <c r="AE51" s="15">
        <v>1109976960</v>
      </c>
      <c r="AF51" s="15">
        <v>1182686592</v>
      </c>
      <c r="AG51" s="15">
        <v>1337024768</v>
      </c>
      <c r="AH51" s="15">
        <v>1383843840</v>
      </c>
      <c r="AI51" s="15">
        <v>1531803008</v>
      </c>
      <c r="AJ51" s="15">
        <v>1635426176</v>
      </c>
      <c r="AK51" s="15">
        <v>1825285120</v>
      </c>
      <c r="AL51" s="15">
        <v>1970347776</v>
      </c>
      <c r="AM51" s="15">
        <v>2129266688</v>
      </c>
      <c r="AN51" s="15">
        <v>2093994624</v>
      </c>
      <c r="AO51" s="15">
        <v>1656784768</v>
      </c>
      <c r="AP51" s="15">
        <v>1942171008</v>
      </c>
      <c r="AQ51" s="15">
        <v>1684109696</v>
      </c>
      <c r="AR51" s="15">
        <v>1660102400</v>
      </c>
      <c r="AS51" s="15">
        <v>1842691456</v>
      </c>
      <c r="AT51" s="15">
        <v>2315935744</v>
      </c>
      <c r="AU51" s="15">
        <v>2727507200</v>
      </c>
      <c r="AV51" s="15">
        <v>3006725120</v>
      </c>
      <c r="AW51" s="15">
        <v>3102741504</v>
      </c>
      <c r="AX51" s="15">
        <v>3405050624</v>
      </c>
      <c r="AY51" s="15">
        <v>3523185920</v>
      </c>
      <c r="AZ51" s="15">
        <v>2870624512</v>
      </c>
      <c r="BA51" s="15">
        <v>3140508928</v>
      </c>
      <c r="BB51" s="15">
        <v>3774530560</v>
      </c>
      <c r="BC51" s="15">
        <v>3972012544</v>
      </c>
      <c r="BD51" s="15">
        <v>4190143232</v>
      </c>
      <c r="BE51" s="15">
        <v>4856963072</v>
      </c>
      <c r="BF51" s="15">
        <v>4682546688</v>
      </c>
      <c r="BG51" s="15">
        <v>4930204160</v>
      </c>
      <c r="BH51" s="15">
        <v>5353404416</v>
      </c>
      <c r="BI51" s="15">
        <v>5536759808</v>
      </c>
      <c r="BJ51" s="15">
        <v>5535548928</v>
      </c>
    </row>
    <row r="52" spans="1:62" x14ac:dyDescent="0.45">
      <c r="A52" t="s">
        <v>26</v>
      </c>
      <c r="B52" t="s">
        <v>124</v>
      </c>
      <c r="C52" s="15">
        <v>141468976</v>
      </c>
      <c r="D52" s="15">
        <v>167637904</v>
      </c>
      <c r="E52" s="15">
        <v>182796544</v>
      </c>
      <c r="F52" s="15">
        <v>154480240</v>
      </c>
      <c r="G52" s="15">
        <v>215679856</v>
      </c>
      <c r="H52" s="15">
        <v>226474288</v>
      </c>
      <c r="I52" s="15">
        <v>245849776</v>
      </c>
      <c r="J52" s="15">
        <v>271543680</v>
      </c>
      <c r="K52" s="15">
        <v>294468576</v>
      </c>
      <c r="L52" s="15">
        <v>318124704</v>
      </c>
      <c r="M52" s="15">
        <v>323802464</v>
      </c>
      <c r="N52" s="15">
        <v>381687072</v>
      </c>
      <c r="O52" s="15">
        <v>430508352</v>
      </c>
      <c r="P52" s="15">
        <v>722780672</v>
      </c>
      <c r="Q52" s="15">
        <v>1544216064</v>
      </c>
      <c r="R52" s="15">
        <v>2157592832</v>
      </c>
      <c r="S52" s="15">
        <v>3009410048</v>
      </c>
      <c r="T52" s="15">
        <v>2809349120</v>
      </c>
      <c r="U52" s="15">
        <v>2389479168</v>
      </c>
      <c r="V52" s="15">
        <v>3030251008</v>
      </c>
      <c r="W52" s="15">
        <v>4279638016</v>
      </c>
      <c r="X52" s="15">
        <v>3862269184</v>
      </c>
      <c r="Y52" s="15">
        <v>3618007808</v>
      </c>
      <c r="Z52" s="15">
        <v>3391275776</v>
      </c>
      <c r="AA52" s="15">
        <v>3561451520</v>
      </c>
      <c r="AB52" s="15">
        <v>3339914752</v>
      </c>
      <c r="AC52" s="15">
        <v>3403638272</v>
      </c>
      <c r="AD52" s="15">
        <v>3281797120</v>
      </c>
      <c r="AE52" s="15">
        <v>3834503424</v>
      </c>
      <c r="AF52" s="15">
        <v>4186411520</v>
      </c>
      <c r="AG52" s="15">
        <v>5952293888</v>
      </c>
      <c r="AH52" s="15">
        <v>5402919936</v>
      </c>
      <c r="AI52" s="15">
        <v>5592390656</v>
      </c>
      <c r="AJ52" s="15">
        <v>4378644992</v>
      </c>
      <c r="AK52" s="15">
        <v>4190819328</v>
      </c>
      <c r="AL52" s="15">
        <v>4958845952</v>
      </c>
      <c r="AM52" s="15">
        <v>5694040576</v>
      </c>
      <c r="AN52" s="15">
        <v>5326816768</v>
      </c>
      <c r="AO52" s="15">
        <v>4483417088</v>
      </c>
      <c r="AP52" s="15">
        <v>4662991872</v>
      </c>
      <c r="AQ52" s="15">
        <v>5067865088</v>
      </c>
      <c r="AR52" s="15">
        <v>5018874368</v>
      </c>
      <c r="AS52" s="15">
        <v>5310381056</v>
      </c>
      <c r="AT52" s="15">
        <v>6497305600</v>
      </c>
      <c r="AU52" s="15">
        <v>7756293632</v>
      </c>
      <c r="AV52" s="15">
        <v>9578973184</v>
      </c>
      <c r="AW52" s="15">
        <v>10318424064</v>
      </c>
      <c r="AX52" s="15">
        <v>12438957056</v>
      </c>
      <c r="AY52" s="15">
        <v>15508575232</v>
      </c>
      <c r="AZ52" s="15">
        <v>12065138688</v>
      </c>
      <c r="BA52" s="15">
        <v>14372591616</v>
      </c>
      <c r="BB52" s="15">
        <v>18210308096</v>
      </c>
      <c r="BC52" s="15">
        <v>17170465792</v>
      </c>
      <c r="BD52" s="15">
        <v>17595746304</v>
      </c>
      <c r="BE52" s="15">
        <v>18203967488</v>
      </c>
      <c r="BF52" s="15">
        <v>14383108096</v>
      </c>
      <c r="BG52" s="15">
        <v>14023890944</v>
      </c>
      <c r="BH52" s="15">
        <v>14929488896</v>
      </c>
      <c r="BI52" s="15">
        <v>16862282752</v>
      </c>
      <c r="BJ52" s="15">
        <v>16657959936</v>
      </c>
    </row>
    <row r="53" spans="1:62" x14ac:dyDescent="0.45">
      <c r="A53" t="s">
        <v>26</v>
      </c>
      <c r="B53" t="s">
        <v>125</v>
      </c>
      <c r="C53" s="15">
        <v>1217230080</v>
      </c>
      <c r="D53" s="15">
        <v>1302674304</v>
      </c>
      <c r="E53" s="15">
        <v>1382515584</v>
      </c>
      <c r="F53" s="15">
        <v>1540797568</v>
      </c>
      <c r="G53" s="15">
        <v>1731296128</v>
      </c>
      <c r="H53" s="15">
        <v>2053462912</v>
      </c>
      <c r="I53" s="15">
        <v>2126300544</v>
      </c>
      <c r="J53" s="15">
        <v>1747187584</v>
      </c>
      <c r="K53" s="15">
        <v>1666910208</v>
      </c>
      <c r="L53" s="15">
        <v>1962051328</v>
      </c>
      <c r="M53" s="15">
        <v>2215029504</v>
      </c>
      <c r="N53" s="15">
        <v>2417107712</v>
      </c>
      <c r="O53" s="15">
        <v>2112292992</v>
      </c>
      <c r="P53" s="15">
        <v>2465492992</v>
      </c>
      <c r="Q53" s="15">
        <v>2894409984</v>
      </c>
      <c r="R53" s="15">
        <v>2810106368</v>
      </c>
      <c r="S53" s="15">
        <v>2765254144</v>
      </c>
      <c r="T53" s="15">
        <v>3189428480</v>
      </c>
      <c r="U53" s="15">
        <v>3662478080</v>
      </c>
      <c r="V53" s="15">
        <v>4020227840</v>
      </c>
      <c r="W53" s="15">
        <v>4445228032</v>
      </c>
      <c r="X53" s="15">
        <v>4222441728</v>
      </c>
      <c r="Y53" s="15">
        <v>4035994368</v>
      </c>
      <c r="Z53" s="15">
        <v>4057275136</v>
      </c>
      <c r="AA53" s="15">
        <v>4412279808</v>
      </c>
      <c r="AB53" s="15">
        <v>4504342016</v>
      </c>
      <c r="AC53" s="15">
        <v>5727602688</v>
      </c>
      <c r="AD53" s="15">
        <v>5074829824</v>
      </c>
      <c r="AE53" s="15">
        <v>5197840896</v>
      </c>
      <c r="AF53" s="15">
        <v>5251764224</v>
      </c>
      <c r="AG53" s="15">
        <v>5889175040</v>
      </c>
      <c r="AH53" s="15">
        <v>6596546048</v>
      </c>
      <c r="AI53" s="15">
        <v>6413901824</v>
      </c>
      <c r="AJ53" s="15">
        <v>5966255616</v>
      </c>
      <c r="AK53" s="15">
        <v>5444560896</v>
      </c>
      <c r="AL53" s="15">
        <v>6465137664</v>
      </c>
      <c r="AM53" s="15">
        <v>6934984704</v>
      </c>
      <c r="AN53" s="15">
        <v>6891308544</v>
      </c>
      <c r="AO53" s="15">
        <v>7480968704</v>
      </c>
      <c r="AP53" s="15">
        <v>7719354880</v>
      </c>
      <c r="AQ53" s="15">
        <v>4983024640</v>
      </c>
      <c r="AR53" s="15">
        <v>5314910208</v>
      </c>
      <c r="AS53" s="15">
        <v>6166330368</v>
      </c>
      <c r="AT53" s="15">
        <v>7632406528</v>
      </c>
      <c r="AU53" s="15">
        <v>8881368064</v>
      </c>
      <c r="AV53" s="15">
        <v>10731633664</v>
      </c>
      <c r="AW53" s="15">
        <v>20409667584</v>
      </c>
      <c r="AX53" s="15">
        <v>24758818816</v>
      </c>
      <c r="AY53" s="15">
        <v>28526891008</v>
      </c>
      <c r="AZ53" s="15">
        <v>25977847808</v>
      </c>
      <c r="BA53" s="15">
        <v>32197273600</v>
      </c>
      <c r="BB53" s="15">
        <v>39337316352</v>
      </c>
      <c r="BC53" s="15">
        <v>41270956032</v>
      </c>
      <c r="BD53" s="15">
        <v>62405373952</v>
      </c>
      <c r="BE53" s="15">
        <v>53660340224</v>
      </c>
      <c r="BF53" s="15">
        <v>48564862976</v>
      </c>
      <c r="BG53" s="15">
        <v>55009730560</v>
      </c>
      <c r="BH53" s="15">
        <v>58998132736</v>
      </c>
      <c r="BI53" s="15">
        <v>65556463616</v>
      </c>
      <c r="BJ53" s="15">
        <v>66983632896</v>
      </c>
    </row>
    <row r="54" spans="1:62" x14ac:dyDescent="0.45">
      <c r="A54" t="s">
        <v>26</v>
      </c>
      <c r="B54" t="s">
        <v>126</v>
      </c>
      <c r="C54" s="15">
        <v>1043599872</v>
      </c>
      <c r="D54" s="15">
        <v>1076699904</v>
      </c>
      <c r="E54" s="15">
        <v>1143600000</v>
      </c>
      <c r="F54" s="15">
        <v>1262800000</v>
      </c>
      <c r="G54" s="15">
        <v>1299099904</v>
      </c>
      <c r="H54" s="15">
        <v>1331399936</v>
      </c>
      <c r="I54" s="15">
        <v>1390700032</v>
      </c>
      <c r="J54" s="15">
        <v>1453500032</v>
      </c>
      <c r="K54" s="15">
        <v>1610499968</v>
      </c>
      <c r="L54" s="15">
        <v>1715399936</v>
      </c>
      <c r="M54" s="15">
        <v>1904000000</v>
      </c>
      <c r="N54" s="15">
        <v>1984800000</v>
      </c>
      <c r="O54" s="15">
        <v>2101299968</v>
      </c>
      <c r="P54" s="15">
        <v>2569200128</v>
      </c>
      <c r="Q54" s="15">
        <v>3161499904</v>
      </c>
      <c r="R54" s="15">
        <v>3645900032</v>
      </c>
      <c r="S54" s="15">
        <v>4365300224</v>
      </c>
      <c r="T54" s="15">
        <v>5480500224</v>
      </c>
      <c r="U54" s="15">
        <v>6070600192</v>
      </c>
      <c r="V54" s="15">
        <v>6902600192</v>
      </c>
      <c r="W54" s="15">
        <v>7878700032</v>
      </c>
      <c r="X54" s="15">
        <v>8607500288</v>
      </c>
      <c r="Y54" s="15">
        <v>8716999680</v>
      </c>
      <c r="Z54" s="15">
        <v>9050000384</v>
      </c>
      <c r="AA54" s="15">
        <v>9470000128</v>
      </c>
      <c r="AB54" s="15">
        <v>9721652224</v>
      </c>
      <c r="AC54" s="15">
        <v>7231963648</v>
      </c>
      <c r="AD54" s="15">
        <v>7084399616</v>
      </c>
      <c r="AE54" s="15">
        <v>7841603072</v>
      </c>
      <c r="AF54" s="15">
        <v>8410724352</v>
      </c>
      <c r="AG54" s="15">
        <v>7650125312</v>
      </c>
      <c r="AH54" s="15">
        <v>9406097408</v>
      </c>
      <c r="AI54" s="15">
        <v>10440842240</v>
      </c>
      <c r="AJ54" s="15">
        <v>11399942144</v>
      </c>
      <c r="AK54" s="15">
        <v>12983235584</v>
      </c>
      <c r="AL54" s="15">
        <v>14655404032</v>
      </c>
      <c r="AM54" s="15">
        <v>15674835968</v>
      </c>
      <c r="AN54" s="15">
        <v>17790025728</v>
      </c>
      <c r="AO54" s="15">
        <v>19395491840</v>
      </c>
      <c r="AP54" s="15">
        <v>18318411776</v>
      </c>
      <c r="AQ54" s="15">
        <v>19288827904</v>
      </c>
      <c r="AR54" s="15">
        <v>18702802944</v>
      </c>
      <c r="AS54" s="15">
        <v>20776402944</v>
      </c>
      <c r="AT54" s="15">
        <v>21917429760</v>
      </c>
      <c r="AU54" s="15">
        <v>23965276160</v>
      </c>
      <c r="AV54" s="15">
        <v>27211376640</v>
      </c>
      <c r="AW54" s="15">
        <v>30231248896</v>
      </c>
      <c r="AX54" s="15">
        <v>34113107968</v>
      </c>
      <c r="AY54" s="15">
        <v>39136436224</v>
      </c>
      <c r="AZ54" s="15">
        <v>37733609472</v>
      </c>
      <c r="BA54" s="15">
        <v>41338007552</v>
      </c>
      <c r="BB54" s="15">
        <v>47654785024</v>
      </c>
      <c r="BC54" s="15">
        <v>50388459520</v>
      </c>
      <c r="BD54" s="15">
        <v>52996542464</v>
      </c>
      <c r="BE54" s="15">
        <v>57852399616</v>
      </c>
      <c r="BF54" s="15">
        <v>62186184704</v>
      </c>
      <c r="BG54" s="15">
        <v>66053726208</v>
      </c>
      <c r="BH54" s="15">
        <v>71612350464</v>
      </c>
      <c r="BI54" s="15">
        <v>73118146560</v>
      </c>
      <c r="BJ54" s="15">
        <v>76710387712</v>
      </c>
    </row>
    <row r="55" spans="1:62" x14ac:dyDescent="0.45">
      <c r="A55" t="s">
        <v>26</v>
      </c>
      <c r="B55" t="s">
        <v>127</v>
      </c>
      <c r="C55" s="15">
        <v>170215248</v>
      </c>
      <c r="D55" s="15">
        <v>185848448</v>
      </c>
      <c r="E55" s="15">
        <v>194948368</v>
      </c>
      <c r="F55" s="15">
        <v>175756864</v>
      </c>
      <c r="G55" s="15">
        <v>194773376</v>
      </c>
      <c r="H55" s="15">
        <v>213235296</v>
      </c>
      <c r="I55" s="15">
        <v>228705888</v>
      </c>
      <c r="J55" s="15">
        <v>250176464</v>
      </c>
      <c r="K55" s="15">
        <v>229750000</v>
      </c>
      <c r="L55" s="15">
        <v>249300000</v>
      </c>
      <c r="M55" s="15">
        <v>267800000</v>
      </c>
      <c r="N55" s="15">
        <v>282049984</v>
      </c>
      <c r="O55" s="15">
        <v>285380960</v>
      </c>
      <c r="P55" s="15">
        <v>307047616</v>
      </c>
      <c r="Q55" s="15">
        <v>433954560</v>
      </c>
      <c r="R55" s="15">
        <v>494791680</v>
      </c>
      <c r="S55" s="15">
        <v>454440000</v>
      </c>
      <c r="T55" s="15">
        <v>449880000</v>
      </c>
      <c r="U55" s="15">
        <v>507080000</v>
      </c>
      <c r="V55" s="15">
        <v>530440000</v>
      </c>
      <c r="W55" s="15">
        <v>603200000</v>
      </c>
      <c r="X55" s="15">
        <v>570357120</v>
      </c>
      <c r="Y55" s="15">
        <v>482000000</v>
      </c>
      <c r="Z55" s="15">
        <v>489333344</v>
      </c>
      <c r="AA55" s="15">
        <v>437631616</v>
      </c>
      <c r="AB55" s="15">
        <v>453488384</v>
      </c>
      <c r="AC55" s="15">
        <v>504651136</v>
      </c>
      <c r="AD55" s="15">
        <v>354591840</v>
      </c>
      <c r="AE55" s="15">
        <v>413800000</v>
      </c>
      <c r="AF55" s="15">
        <v>379779392</v>
      </c>
      <c r="AG55" s="15">
        <v>396582272</v>
      </c>
      <c r="AH55" s="15">
        <v>348533088</v>
      </c>
      <c r="AI55" s="15">
        <v>373573152</v>
      </c>
      <c r="AJ55" s="15">
        <v>454101376</v>
      </c>
      <c r="AK55" s="15">
        <v>540874944</v>
      </c>
      <c r="AL55" s="15">
        <v>621626816</v>
      </c>
      <c r="AM55" s="15">
        <v>705406016</v>
      </c>
      <c r="AN55" s="15">
        <v>749137984</v>
      </c>
      <c r="AO55" s="15">
        <v>717530688</v>
      </c>
      <c r="AP55" s="15">
        <v>694755008</v>
      </c>
      <c r="AQ55" s="15">
        <v>712667904</v>
      </c>
      <c r="AR55" s="15">
        <v>712167552</v>
      </c>
      <c r="AS55" s="15">
        <v>726131456</v>
      </c>
      <c r="AT55" s="15">
        <v>743064064</v>
      </c>
      <c r="AU55" s="15">
        <v>787814400</v>
      </c>
      <c r="AV55" s="15">
        <v>824880576</v>
      </c>
      <c r="AW55" s="15">
        <v>1458453760</v>
      </c>
      <c r="AX55" s="15">
        <v>1740180480</v>
      </c>
      <c r="AY55" s="15">
        <v>1916994944</v>
      </c>
      <c r="AZ55" s="15">
        <v>2061323904</v>
      </c>
      <c r="BA55" s="15">
        <v>2273224960</v>
      </c>
      <c r="BB55" s="15">
        <v>2576024064</v>
      </c>
      <c r="BC55" s="15">
        <v>2861562368</v>
      </c>
      <c r="BD55" s="15">
        <v>2987684096</v>
      </c>
      <c r="BE55" s="15">
        <v>3077643264</v>
      </c>
      <c r="BF55" s="15">
        <v>3197220352</v>
      </c>
      <c r="BG55" s="15">
        <v>3504024320</v>
      </c>
      <c r="BH55" s="15">
        <v>3555205888</v>
      </c>
      <c r="BI55" s="15">
        <v>3878662656</v>
      </c>
      <c r="BJ55" s="15">
        <v>4280443648</v>
      </c>
    </row>
    <row r="56" spans="1:62" x14ac:dyDescent="0.45">
      <c r="A56" t="s">
        <v>26</v>
      </c>
      <c r="B56" t="s">
        <v>128</v>
      </c>
      <c r="C56" s="15">
        <v>273187200</v>
      </c>
      <c r="D56" s="15">
        <v>271065984</v>
      </c>
      <c r="E56" s="15">
        <v>281896800</v>
      </c>
      <c r="F56" s="15">
        <v>294883392</v>
      </c>
      <c r="G56" s="15">
        <v>325281216</v>
      </c>
      <c r="H56" s="15">
        <v>353251808</v>
      </c>
      <c r="I56" s="15">
        <v>368948608</v>
      </c>
      <c r="J56" s="15">
        <v>369124192</v>
      </c>
      <c r="K56" s="15">
        <v>367968800</v>
      </c>
      <c r="L56" s="15">
        <v>391820416</v>
      </c>
      <c r="M56" s="15">
        <v>331200000</v>
      </c>
      <c r="N56" s="15">
        <v>362800000</v>
      </c>
      <c r="O56" s="15">
        <v>372000000</v>
      </c>
      <c r="P56" s="15">
        <v>466800000</v>
      </c>
      <c r="Q56" s="15">
        <v>565400000</v>
      </c>
      <c r="R56" s="15">
        <v>681400000</v>
      </c>
      <c r="S56" s="15">
        <v>879000000</v>
      </c>
      <c r="T56" s="15">
        <v>947000000</v>
      </c>
      <c r="U56" s="15">
        <v>974200000</v>
      </c>
      <c r="V56" s="15">
        <v>1080600064</v>
      </c>
      <c r="W56" s="15">
        <v>1383800064</v>
      </c>
      <c r="X56" s="15">
        <v>1479399936</v>
      </c>
      <c r="Y56" s="15">
        <v>1474200064</v>
      </c>
      <c r="Z56" s="15">
        <v>1623600000</v>
      </c>
      <c r="AA56" s="15">
        <v>1816199936</v>
      </c>
      <c r="AB56" s="15">
        <v>2009400064</v>
      </c>
      <c r="AC56" s="15">
        <v>2318000128</v>
      </c>
      <c r="AD56" s="15">
        <v>2047200000</v>
      </c>
      <c r="AE56" s="15">
        <v>2613926912</v>
      </c>
      <c r="AF56" s="15">
        <v>2736243712</v>
      </c>
      <c r="AG56" s="15">
        <v>3096289792</v>
      </c>
      <c r="AH56" s="15">
        <v>3473540608</v>
      </c>
      <c r="AI56" s="15">
        <v>2257121792</v>
      </c>
      <c r="AJ56" s="15">
        <v>1878248704</v>
      </c>
      <c r="AK56" s="15">
        <v>2167564288</v>
      </c>
      <c r="AL56" s="15">
        <v>2813313280</v>
      </c>
      <c r="AM56" s="15">
        <v>2907514624</v>
      </c>
      <c r="AN56" s="15">
        <v>3338938880</v>
      </c>
      <c r="AO56" s="15">
        <v>3723909120</v>
      </c>
      <c r="AP56" s="15">
        <v>4153736448</v>
      </c>
      <c r="AQ56" s="15">
        <v>3953846272</v>
      </c>
      <c r="AR56" s="15">
        <v>3596442880</v>
      </c>
      <c r="AS56" s="15">
        <v>3472192000</v>
      </c>
      <c r="AT56" s="15">
        <v>2960306176</v>
      </c>
      <c r="AU56" s="15">
        <v>3537720320</v>
      </c>
      <c r="AV56" s="15">
        <v>4310358016</v>
      </c>
      <c r="AW56" s="15">
        <v>4756204032</v>
      </c>
      <c r="AX56" s="15">
        <v>5885325824</v>
      </c>
      <c r="AY56" s="15">
        <v>6548530688</v>
      </c>
      <c r="AZ56" s="15">
        <v>6584649216</v>
      </c>
      <c r="BA56" s="15">
        <v>6622541312</v>
      </c>
      <c r="BB56" s="15">
        <v>7516834304</v>
      </c>
      <c r="BC56" s="15">
        <v>7890647040</v>
      </c>
      <c r="BD56" s="15">
        <v>8485076992</v>
      </c>
      <c r="BE56" s="15">
        <v>8775444480</v>
      </c>
      <c r="BF56" s="15">
        <v>8724656128</v>
      </c>
      <c r="BG56" s="15">
        <v>7970649088</v>
      </c>
      <c r="BH56" s="15">
        <v>8409497600</v>
      </c>
      <c r="BI56" s="15">
        <v>9658721280</v>
      </c>
      <c r="BJ56" s="15">
        <v>8498981888</v>
      </c>
    </row>
    <row r="57" spans="1:62" x14ac:dyDescent="0.45">
      <c r="A57" t="s">
        <v>26</v>
      </c>
      <c r="B57" t="s">
        <v>129</v>
      </c>
      <c r="C57" s="15">
        <v>335649984</v>
      </c>
      <c r="D57" s="15">
        <v>356200000</v>
      </c>
      <c r="E57" s="15">
        <v>387750016</v>
      </c>
      <c r="F57" s="15">
        <v>410200000</v>
      </c>
      <c r="G57" s="15">
        <v>457000000</v>
      </c>
      <c r="H57" s="15">
        <v>508649984</v>
      </c>
      <c r="I57" s="15">
        <v>549950016</v>
      </c>
      <c r="J57" s="15">
        <v>598099968</v>
      </c>
      <c r="K57" s="15">
        <v>646800000</v>
      </c>
      <c r="L57" s="15">
        <v>668000064</v>
      </c>
      <c r="M57" s="15">
        <v>723000000</v>
      </c>
      <c r="N57" s="15">
        <v>731000000</v>
      </c>
      <c r="O57" s="15">
        <v>802999936</v>
      </c>
      <c r="P57" s="15">
        <v>912499968</v>
      </c>
      <c r="Q57" s="15">
        <v>1034499968</v>
      </c>
      <c r="R57" s="15">
        <v>1124000000</v>
      </c>
      <c r="S57" s="15">
        <v>1348000000</v>
      </c>
      <c r="T57" s="15">
        <v>1669499904</v>
      </c>
      <c r="U57" s="15">
        <v>3097242112</v>
      </c>
      <c r="V57" s="15">
        <v>3544281856</v>
      </c>
      <c r="W57" s="15">
        <v>3968160000</v>
      </c>
      <c r="X57" s="15">
        <v>4043894784</v>
      </c>
      <c r="Y57" s="15">
        <v>4266503424</v>
      </c>
      <c r="Z57" s="15">
        <v>4476697088</v>
      </c>
      <c r="AA57" s="15">
        <v>4915311616</v>
      </c>
      <c r="AB57" s="15">
        <v>5278120960</v>
      </c>
      <c r="AC57" s="15">
        <v>5677829120</v>
      </c>
      <c r="AD57" s="15">
        <v>6190521344</v>
      </c>
      <c r="AE57" s="15">
        <v>5902716928</v>
      </c>
      <c r="AF57" s="15">
        <v>5432345088</v>
      </c>
      <c r="AG57" s="15">
        <v>4923009536</v>
      </c>
      <c r="AH57" s="15">
        <v>4648668672</v>
      </c>
      <c r="AI57" s="15">
        <v>4943700480</v>
      </c>
      <c r="AJ57" s="15">
        <v>4926728704</v>
      </c>
      <c r="AK57" s="15">
        <v>4642280448</v>
      </c>
      <c r="AL57" s="15">
        <v>5347445248</v>
      </c>
      <c r="AM57" s="15">
        <v>5215028736</v>
      </c>
      <c r="AN57" s="15">
        <v>5737099776</v>
      </c>
      <c r="AO57" s="15">
        <v>6366340096</v>
      </c>
      <c r="AP57" s="15">
        <v>6414520320</v>
      </c>
      <c r="AQ57" s="15">
        <v>7103507968</v>
      </c>
      <c r="AR57" s="15">
        <v>7565870080</v>
      </c>
      <c r="AS57" s="15">
        <v>7775078400</v>
      </c>
      <c r="AT57" s="15">
        <v>8140271104</v>
      </c>
      <c r="AU57" s="15">
        <v>8772146176</v>
      </c>
      <c r="AV57" s="15">
        <v>9672035328</v>
      </c>
      <c r="AW57" s="15">
        <v>10841742336</v>
      </c>
      <c r="AX57" s="15">
        <v>12275502080</v>
      </c>
      <c r="AY57" s="15">
        <v>13789715456</v>
      </c>
      <c r="AZ57" s="15">
        <v>14587496448</v>
      </c>
      <c r="BA57" s="15">
        <v>15839344640</v>
      </c>
      <c r="BB57" s="15">
        <v>17710315520</v>
      </c>
      <c r="BC57" s="15">
        <v>18528602112</v>
      </c>
      <c r="BD57" s="15">
        <v>18499710976</v>
      </c>
      <c r="BE57" s="15">
        <v>19756494848</v>
      </c>
      <c r="BF57" s="15">
        <v>20979767296</v>
      </c>
      <c r="BG57" s="15">
        <v>21717622784</v>
      </c>
      <c r="BH57" s="15">
        <v>23136231424</v>
      </c>
      <c r="BI57" s="15">
        <v>24024188928</v>
      </c>
      <c r="BJ57" s="15">
        <v>25095395328</v>
      </c>
    </row>
    <row r="58" spans="1:62" x14ac:dyDescent="0.45">
      <c r="A58" t="s">
        <v>26</v>
      </c>
      <c r="B58" t="s">
        <v>130</v>
      </c>
      <c r="C58" s="15">
        <v>37029883904</v>
      </c>
      <c r="D58" s="15">
        <v>39232434176</v>
      </c>
      <c r="E58" s="15">
        <v>42161483776</v>
      </c>
      <c r="F58" s="15">
        <v>48421924864</v>
      </c>
      <c r="G58" s="15">
        <v>56480288768</v>
      </c>
      <c r="H58" s="15">
        <v>59554852864</v>
      </c>
      <c r="I58" s="15">
        <v>45865463808</v>
      </c>
      <c r="J58" s="15">
        <v>50134941696</v>
      </c>
      <c r="K58" s="15">
        <v>53085454336</v>
      </c>
      <c r="L58" s="15">
        <v>58447994880</v>
      </c>
      <c r="M58" s="15">
        <v>62422482944</v>
      </c>
      <c r="N58" s="15">
        <v>67350986752</v>
      </c>
      <c r="O58" s="15">
        <v>71463190528</v>
      </c>
      <c r="P58" s="15">
        <v>85515272192</v>
      </c>
      <c r="Q58" s="15">
        <v>99525902336</v>
      </c>
      <c r="R58" s="15">
        <v>98472796160</v>
      </c>
      <c r="S58" s="15">
        <v>102717161472</v>
      </c>
      <c r="T58" s="15">
        <v>121487319040</v>
      </c>
      <c r="U58" s="15">
        <v>137300295680</v>
      </c>
      <c r="V58" s="15">
        <v>152991645696</v>
      </c>
      <c r="W58" s="15">
        <v>186325352448</v>
      </c>
      <c r="X58" s="15">
        <v>193490616320</v>
      </c>
      <c r="Y58" s="15">
        <v>200715141120</v>
      </c>
      <c r="Z58" s="15">
        <v>218262274048</v>
      </c>
      <c r="AA58" s="15">
        <v>212158234624</v>
      </c>
      <c r="AB58" s="15">
        <v>232511881216</v>
      </c>
      <c r="AC58" s="15">
        <v>248985993216</v>
      </c>
      <c r="AD58" s="15">
        <v>279033577472</v>
      </c>
      <c r="AE58" s="15">
        <v>296589000704</v>
      </c>
      <c r="AF58" s="15">
        <v>296042364928</v>
      </c>
      <c r="AG58" s="15">
        <v>320979042304</v>
      </c>
      <c r="AH58" s="15">
        <v>270105346048</v>
      </c>
      <c r="AI58" s="15">
        <v>288208420864</v>
      </c>
      <c r="AJ58" s="15">
        <v>279296016384</v>
      </c>
      <c r="AK58" s="15">
        <v>327275577344</v>
      </c>
      <c r="AL58" s="15">
        <v>360281964544</v>
      </c>
      <c r="AM58" s="15">
        <v>392897069056</v>
      </c>
      <c r="AN58" s="15">
        <v>415867764736</v>
      </c>
      <c r="AO58" s="15">
        <v>421351489536</v>
      </c>
      <c r="AP58" s="15">
        <v>458820419584</v>
      </c>
      <c r="AQ58" s="15">
        <v>468394934272</v>
      </c>
      <c r="AR58" s="15">
        <v>485441011712</v>
      </c>
      <c r="AS58" s="15">
        <v>514937946112</v>
      </c>
      <c r="AT58" s="15">
        <v>607699271680</v>
      </c>
      <c r="AU58" s="15">
        <v>709148540928</v>
      </c>
      <c r="AV58" s="15">
        <v>820381614080</v>
      </c>
      <c r="AW58" s="15">
        <v>940259868672</v>
      </c>
      <c r="AX58" s="15">
        <v>1216735477760</v>
      </c>
      <c r="AY58" s="15">
        <v>1198895529984</v>
      </c>
      <c r="AZ58" s="15">
        <v>1341886562304</v>
      </c>
      <c r="BA58" s="15">
        <v>1675615272960</v>
      </c>
      <c r="BB58" s="15">
        <v>1823050432512</v>
      </c>
      <c r="BC58" s="15">
        <v>1827637821440</v>
      </c>
      <c r="BD58" s="15">
        <v>1856722173952</v>
      </c>
      <c r="BE58" s="15">
        <v>2039127474176</v>
      </c>
      <c r="BF58" s="15">
        <v>2103587766272</v>
      </c>
      <c r="BG58" s="15">
        <v>2294798090240</v>
      </c>
      <c r="BH58" s="15">
        <v>2652754673664</v>
      </c>
      <c r="BI58" s="15">
        <v>2713164972032</v>
      </c>
      <c r="BJ58" s="15">
        <v>2875142438912</v>
      </c>
    </row>
    <row r="59" spans="1:62" x14ac:dyDescent="0.45">
      <c r="A59" t="s">
        <v>26</v>
      </c>
      <c r="B59" t="s">
        <v>131</v>
      </c>
      <c r="C59" s="15">
        <v>791265472</v>
      </c>
      <c r="D59" s="15">
        <v>792959488</v>
      </c>
      <c r="E59" s="15">
        <v>868111424</v>
      </c>
      <c r="F59" s="15">
        <v>926589376</v>
      </c>
      <c r="G59" s="15">
        <v>998759360</v>
      </c>
      <c r="H59" s="15">
        <v>997919296</v>
      </c>
      <c r="I59" s="15">
        <v>1164519680</v>
      </c>
      <c r="J59" s="15">
        <v>1232559488</v>
      </c>
      <c r="K59" s="15">
        <v>1353295488</v>
      </c>
      <c r="L59" s="15">
        <v>1458379392</v>
      </c>
      <c r="M59" s="15">
        <v>1603447296</v>
      </c>
      <c r="N59" s="15">
        <v>1778391296</v>
      </c>
      <c r="O59" s="15">
        <v>2107279104</v>
      </c>
      <c r="P59" s="15">
        <v>2502142464</v>
      </c>
      <c r="Q59" s="15">
        <v>2973309184</v>
      </c>
      <c r="R59" s="15">
        <v>3259344896</v>
      </c>
      <c r="S59" s="15">
        <v>3474542336</v>
      </c>
      <c r="T59" s="15">
        <v>4494379008</v>
      </c>
      <c r="U59" s="15">
        <v>5303734784</v>
      </c>
      <c r="V59" s="15">
        <v>6234391040</v>
      </c>
      <c r="W59" s="15">
        <v>7265315328</v>
      </c>
      <c r="X59" s="15">
        <v>6854491648</v>
      </c>
      <c r="Y59" s="15">
        <v>6431579136</v>
      </c>
      <c r="Z59" s="15">
        <v>5979198464</v>
      </c>
      <c r="AA59" s="15">
        <v>6191437312</v>
      </c>
      <c r="AB59" s="15">
        <v>6135034368</v>
      </c>
      <c r="AC59" s="15">
        <v>7239126528</v>
      </c>
      <c r="AD59" s="15">
        <v>7970820608</v>
      </c>
      <c r="AE59" s="15">
        <v>8355380736</v>
      </c>
      <c r="AF59" s="15">
        <v>8283114496</v>
      </c>
      <c r="AG59" s="15">
        <v>8572359168</v>
      </c>
      <c r="AH59" s="15">
        <v>8151478784</v>
      </c>
      <c r="AI59" s="15">
        <v>8209128960</v>
      </c>
      <c r="AJ59" s="15">
        <v>5751790080</v>
      </c>
      <c r="AK59" s="15">
        <v>7148145152</v>
      </c>
      <c r="AL59" s="15">
        <v>9046326272</v>
      </c>
      <c r="AM59" s="15">
        <v>12045858816</v>
      </c>
      <c r="AN59" s="15">
        <v>13115773952</v>
      </c>
      <c r="AO59" s="15">
        <v>14093999104</v>
      </c>
      <c r="AP59" s="15">
        <v>12896013312</v>
      </c>
      <c r="AQ59" s="15">
        <v>12705356800</v>
      </c>
      <c r="AR59" s="15">
        <v>12986007552</v>
      </c>
      <c r="AS59" s="15">
        <v>13147744256</v>
      </c>
      <c r="AT59" s="15">
        <v>14904517632</v>
      </c>
      <c r="AU59" s="15">
        <v>16095337472</v>
      </c>
      <c r="AV59" s="15">
        <v>18737897472</v>
      </c>
      <c r="AW59" s="15">
        <v>25825525760</v>
      </c>
      <c r="AX59" s="15">
        <v>31958194176</v>
      </c>
      <c r="AY59" s="15">
        <v>35895152640</v>
      </c>
      <c r="AZ59" s="15">
        <v>37021511680</v>
      </c>
      <c r="BA59" s="15">
        <v>40000090112</v>
      </c>
      <c r="BB59" s="15">
        <v>41953431552</v>
      </c>
      <c r="BC59" s="15">
        <v>50412752896</v>
      </c>
      <c r="BD59" s="15">
        <v>55096729600</v>
      </c>
      <c r="BE59" s="15">
        <v>61448048640</v>
      </c>
      <c r="BF59" s="15">
        <v>64007749632</v>
      </c>
      <c r="BG59" s="15">
        <v>69188755456</v>
      </c>
      <c r="BH59" s="15">
        <v>78965006336</v>
      </c>
      <c r="BI59" s="15">
        <v>87778582528</v>
      </c>
      <c r="BJ59" s="15">
        <v>95503089664</v>
      </c>
    </row>
    <row r="60" spans="1:62" x14ac:dyDescent="0.45">
      <c r="A60" t="s">
        <v>26</v>
      </c>
      <c r="B60" t="s">
        <v>132</v>
      </c>
      <c r="C60" s="15">
        <v>34579308</v>
      </c>
      <c r="D60" s="15">
        <v>35699288</v>
      </c>
      <c r="E60" s="15">
        <v>41859164</v>
      </c>
      <c r="F60" s="15">
        <v>47039060</v>
      </c>
      <c r="G60" s="15">
        <v>51938960</v>
      </c>
      <c r="H60" s="15">
        <v>54878904</v>
      </c>
      <c r="I60" s="15">
        <v>56698864</v>
      </c>
      <c r="J60" s="15">
        <v>59260816</v>
      </c>
      <c r="K60" s="15">
        <v>61444772</v>
      </c>
      <c r="L60" s="15">
        <v>65966680</v>
      </c>
      <c r="M60" s="15">
        <v>68738624</v>
      </c>
      <c r="N60" s="15">
        <v>76482104</v>
      </c>
      <c r="O60" s="15">
        <v>80915832</v>
      </c>
      <c r="P60" s="15">
        <v>121181560</v>
      </c>
      <c r="Q60" s="15">
        <v>150846208</v>
      </c>
      <c r="R60" s="15">
        <v>149560512</v>
      </c>
      <c r="S60" s="15">
        <v>147654096</v>
      </c>
      <c r="T60" s="15">
        <v>193307264</v>
      </c>
      <c r="U60" s="15">
        <v>266559344</v>
      </c>
      <c r="V60" s="15">
        <v>290142528</v>
      </c>
      <c r="W60" s="15">
        <v>431561376</v>
      </c>
      <c r="X60" s="15">
        <v>434188032</v>
      </c>
      <c r="Y60" s="15">
        <v>348746816</v>
      </c>
      <c r="Z60" s="15">
        <v>386699296</v>
      </c>
      <c r="AA60" s="15">
        <v>333158464</v>
      </c>
      <c r="AB60" s="15">
        <v>268626912</v>
      </c>
      <c r="AC60" s="15">
        <v>318862880</v>
      </c>
      <c r="AD60" s="15">
        <v>402774848</v>
      </c>
      <c r="AE60" s="15">
        <v>470389184</v>
      </c>
      <c r="AF60" s="15">
        <v>495404896</v>
      </c>
      <c r="AG60" s="15">
        <v>596415104</v>
      </c>
      <c r="AH60" s="15">
        <v>704329216</v>
      </c>
      <c r="AI60" s="15">
        <v>831033920</v>
      </c>
      <c r="AJ60" s="15">
        <v>835592832</v>
      </c>
      <c r="AK60" s="15">
        <v>878250432</v>
      </c>
      <c r="AL60" s="15">
        <v>1001889856</v>
      </c>
      <c r="AM60" s="15">
        <v>946123264</v>
      </c>
      <c r="AN60" s="15">
        <v>997996032</v>
      </c>
      <c r="AO60" s="15">
        <v>928458176</v>
      </c>
      <c r="AP60" s="15">
        <v>912771264</v>
      </c>
      <c r="AQ60" s="15">
        <v>887295296</v>
      </c>
      <c r="AR60" s="15">
        <v>825706944</v>
      </c>
      <c r="AS60" s="15">
        <v>775780672</v>
      </c>
      <c r="AT60" s="15">
        <v>1157832960</v>
      </c>
      <c r="AU60" s="15">
        <v>1511236608</v>
      </c>
      <c r="AV60" s="15">
        <v>1682350976</v>
      </c>
      <c r="AW60" s="15">
        <v>1800105600</v>
      </c>
      <c r="AX60" s="15">
        <v>1716262784</v>
      </c>
      <c r="AY60" s="15">
        <v>1758535040</v>
      </c>
      <c r="AZ60" s="15">
        <v>1773199488</v>
      </c>
      <c r="BA60" s="15">
        <v>2269525760</v>
      </c>
      <c r="BB60" s="15">
        <v>2622336256</v>
      </c>
      <c r="BC60" s="15">
        <v>2526185216</v>
      </c>
      <c r="BD60" s="15">
        <v>2421469952</v>
      </c>
      <c r="BE60" s="15">
        <v>2499803904</v>
      </c>
      <c r="BF60" s="15">
        <v>2372280064</v>
      </c>
      <c r="BG60" s="15">
        <v>2165408256</v>
      </c>
      <c r="BH60" s="15">
        <v>2405289472</v>
      </c>
      <c r="BI60" s="15">
        <v>2575892224</v>
      </c>
      <c r="BJ60" s="15">
        <v>2460072448</v>
      </c>
    </row>
    <row r="61" spans="1:62" x14ac:dyDescent="0.45">
      <c r="A61" t="s">
        <v>26</v>
      </c>
      <c r="B61" t="s">
        <v>133</v>
      </c>
      <c r="C61" s="15">
        <v>673081728</v>
      </c>
      <c r="D61" s="15">
        <v>699161920</v>
      </c>
      <c r="E61" s="15">
        <v>739286912</v>
      </c>
      <c r="F61" s="15">
        <v>759345856</v>
      </c>
      <c r="G61" s="15">
        <v>802482176</v>
      </c>
      <c r="H61" s="15">
        <v>833563456</v>
      </c>
      <c r="I61" s="15">
        <v>900264576</v>
      </c>
      <c r="J61" s="15">
        <v>956436928</v>
      </c>
      <c r="K61" s="15">
        <v>1031669632</v>
      </c>
      <c r="L61" s="15">
        <v>1056391040</v>
      </c>
      <c r="M61" s="15">
        <v>1111859584</v>
      </c>
      <c r="N61" s="15">
        <v>1199507584</v>
      </c>
      <c r="O61" s="15">
        <v>1341590656</v>
      </c>
      <c r="P61" s="15">
        <v>1653062400</v>
      </c>
      <c r="Q61" s="15">
        <v>1917508224</v>
      </c>
      <c r="R61" s="15">
        <v>2283049216</v>
      </c>
      <c r="S61" s="15">
        <v>2181844224</v>
      </c>
      <c r="T61" s="15">
        <v>2358930432</v>
      </c>
      <c r="U61" s="15">
        <v>2669755136</v>
      </c>
      <c r="V61" s="15">
        <v>3463565824</v>
      </c>
      <c r="W61" s="15">
        <v>5201818112</v>
      </c>
      <c r="X61" s="15">
        <v>4759333888</v>
      </c>
      <c r="Y61" s="15">
        <v>4784977408</v>
      </c>
      <c r="Z61" s="15">
        <v>4686456832</v>
      </c>
      <c r="AA61" s="15">
        <v>3905938432</v>
      </c>
      <c r="AB61" s="15">
        <v>3802557952</v>
      </c>
      <c r="AC61" s="15">
        <v>4347990016</v>
      </c>
      <c r="AD61" s="15">
        <v>3212900608</v>
      </c>
      <c r="AE61" s="15">
        <v>3189456896</v>
      </c>
      <c r="AF61" s="15">
        <v>3175638272</v>
      </c>
      <c r="AG61" s="15">
        <v>3931334912</v>
      </c>
      <c r="AH61" s="15">
        <v>3254713088</v>
      </c>
      <c r="AI61" s="15">
        <v>3714967040</v>
      </c>
      <c r="AJ61" s="15">
        <v>4063298816</v>
      </c>
      <c r="AK61" s="15">
        <v>3522226944</v>
      </c>
      <c r="AL61" s="15">
        <v>3838100992</v>
      </c>
      <c r="AM61" s="15">
        <v>4931860992</v>
      </c>
      <c r="AN61" s="15">
        <v>4262965248</v>
      </c>
      <c r="AO61" s="15">
        <v>4401967616</v>
      </c>
      <c r="AP61" s="15">
        <v>4277903872</v>
      </c>
      <c r="AQ61" s="15">
        <v>4629246976</v>
      </c>
      <c r="AR61" s="15">
        <v>5438332928</v>
      </c>
      <c r="AS61" s="15">
        <v>5351701504</v>
      </c>
      <c r="AT61" s="15">
        <v>6372498944</v>
      </c>
      <c r="AU61" s="15">
        <v>5064732672</v>
      </c>
      <c r="AV61" s="15">
        <v>5859269632</v>
      </c>
      <c r="AW61" s="15">
        <v>6395712512</v>
      </c>
      <c r="AX61" s="15">
        <v>8524620800</v>
      </c>
      <c r="AY61" s="15">
        <v>10725137408</v>
      </c>
      <c r="AZ61" s="15">
        <v>9616879616</v>
      </c>
      <c r="BA61" s="15">
        <v>9982710784</v>
      </c>
      <c r="BB61" s="15">
        <v>11551820800</v>
      </c>
      <c r="BC61" s="15">
        <v>11578978304</v>
      </c>
      <c r="BD61" s="15">
        <v>12423558144</v>
      </c>
      <c r="BE61" s="15">
        <v>12522958848</v>
      </c>
      <c r="BF61" s="15">
        <v>11323023360</v>
      </c>
      <c r="BG61" s="15">
        <v>11848614912</v>
      </c>
      <c r="BH61" s="15">
        <v>13176312832</v>
      </c>
      <c r="BI61" s="15">
        <v>13853433856</v>
      </c>
      <c r="BJ61" s="15">
        <v>14083906560</v>
      </c>
    </row>
    <row r="62" spans="1:62" x14ac:dyDescent="0.45">
      <c r="A62" t="s">
        <v>26</v>
      </c>
      <c r="B62" t="s">
        <v>134</v>
      </c>
      <c r="C62" s="15">
        <v>162956736</v>
      </c>
      <c r="D62" s="15">
        <v>174576512</v>
      </c>
      <c r="E62" s="15">
        <v>183116336</v>
      </c>
      <c r="F62" s="15">
        <v>190816176</v>
      </c>
      <c r="G62" s="15">
        <v>194736112</v>
      </c>
      <c r="H62" s="15">
        <v>229455408</v>
      </c>
      <c r="I62" s="15">
        <v>260394800</v>
      </c>
      <c r="J62" s="15">
        <v>269814976</v>
      </c>
      <c r="K62" s="15">
        <v>245169808</v>
      </c>
      <c r="L62" s="15">
        <v>265810640</v>
      </c>
      <c r="M62" s="15">
        <v>290531616</v>
      </c>
      <c r="N62" s="15">
        <v>365386944</v>
      </c>
      <c r="O62" s="15">
        <v>406062880</v>
      </c>
      <c r="P62" s="15">
        <v>444281696</v>
      </c>
      <c r="Q62" s="15">
        <v>548620992</v>
      </c>
      <c r="R62" s="15">
        <v>613220672</v>
      </c>
      <c r="S62" s="15">
        <v>670317632</v>
      </c>
      <c r="T62" s="15">
        <v>806290816</v>
      </c>
      <c r="U62" s="15">
        <v>949034048</v>
      </c>
      <c r="V62" s="15">
        <v>1058269056</v>
      </c>
      <c r="W62" s="15">
        <v>1237655424</v>
      </c>
      <c r="X62" s="15">
        <v>1237685632</v>
      </c>
      <c r="Y62" s="15">
        <v>1180104192</v>
      </c>
      <c r="Z62" s="15">
        <v>1223186816</v>
      </c>
      <c r="AA62" s="15">
        <v>1208008960</v>
      </c>
      <c r="AB62" s="15">
        <v>1131347840</v>
      </c>
      <c r="AC62" s="15">
        <v>1183654784</v>
      </c>
      <c r="AD62" s="15">
        <v>1183094144</v>
      </c>
      <c r="AE62" s="15">
        <v>1379924224</v>
      </c>
      <c r="AF62" s="15">
        <v>1590215552</v>
      </c>
      <c r="AG62" s="15">
        <v>1880771584</v>
      </c>
      <c r="AH62" s="15">
        <v>2203545856</v>
      </c>
      <c r="AI62" s="15">
        <v>1799517056</v>
      </c>
      <c r="AJ62" s="15">
        <v>2070636928</v>
      </c>
      <c r="AK62" s="15">
        <v>1181802624</v>
      </c>
      <c r="AL62" s="15">
        <v>1397457920</v>
      </c>
      <c r="AM62" s="15">
        <v>2281034240</v>
      </c>
      <c r="AN62" s="15">
        <v>2663234816</v>
      </c>
      <c r="AO62" s="15">
        <v>1750584320</v>
      </c>
      <c r="AP62" s="15">
        <v>1775921664</v>
      </c>
      <c r="AQ62" s="15">
        <v>1743506560</v>
      </c>
      <c r="AR62" s="15">
        <v>1716502912</v>
      </c>
      <c r="AS62" s="15">
        <v>3495748352</v>
      </c>
      <c r="AT62" s="15">
        <v>3208837120</v>
      </c>
      <c r="AU62" s="15">
        <v>3476094464</v>
      </c>
      <c r="AV62" s="15">
        <v>3655909632</v>
      </c>
      <c r="AW62" s="15">
        <v>3998020096</v>
      </c>
      <c r="AX62" s="15">
        <v>4432936960</v>
      </c>
      <c r="AY62" s="15">
        <v>5321012224</v>
      </c>
      <c r="AZ62" s="15">
        <v>6191127552</v>
      </c>
      <c r="BA62" s="15">
        <v>6959655424</v>
      </c>
      <c r="BB62" s="15">
        <v>8004000768</v>
      </c>
      <c r="BC62" s="15">
        <v>6028487680</v>
      </c>
      <c r="BD62" s="15">
        <v>5518880768</v>
      </c>
      <c r="BE62" s="15">
        <v>6047813632</v>
      </c>
      <c r="BF62" s="15">
        <v>6373212672</v>
      </c>
      <c r="BG62" s="15">
        <v>5433040384</v>
      </c>
      <c r="BH62" s="15">
        <v>6303292416</v>
      </c>
      <c r="BI62" s="15">
        <v>6917301760</v>
      </c>
      <c r="BJ62" s="15">
        <v>7666704384</v>
      </c>
    </row>
    <row r="63" spans="1:62" x14ac:dyDescent="0.45">
      <c r="A63" t="s">
        <v>26</v>
      </c>
      <c r="B63" t="s">
        <v>135</v>
      </c>
      <c r="C63" s="15">
        <v>1916242048</v>
      </c>
      <c r="D63" s="15">
        <v>1901868544</v>
      </c>
      <c r="E63" s="15">
        <v>2001502720</v>
      </c>
      <c r="F63" s="15">
        <v>2510126848</v>
      </c>
      <c r="G63" s="15">
        <v>2674441472</v>
      </c>
      <c r="H63" s="15">
        <v>2956356864</v>
      </c>
      <c r="I63" s="15">
        <v>3143538432</v>
      </c>
      <c r="J63" s="15">
        <v>3188945408</v>
      </c>
      <c r="K63" s="15">
        <v>3330393344</v>
      </c>
      <c r="L63" s="15">
        <v>3664576000</v>
      </c>
      <c r="M63" s="15">
        <v>3864171008</v>
      </c>
      <c r="N63" s="15">
        <v>4244340224</v>
      </c>
      <c r="O63" s="15">
        <v>5043268608</v>
      </c>
      <c r="P63" s="15">
        <v>7662996992</v>
      </c>
      <c r="Q63" s="15">
        <v>9496074240</v>
      </c>
      <c r="R63" s="15">
        <v>9298800640</v>
      </c>
      <c r="S63" s="15">
        <v>11050126336</v>
      </c>
      <c r="T63" s="15">
        <v>13139397632</v>
      </c>
      <c r="U63" s="15">
        <v>16358376448</v>
      </c>
      <c r="V63" s="15">
        <v>21213671424</v>
      </c>
      <c r="W63" s="15">
        <v>24488034304</v>
      </c>
      <c r="X63" s="15">
        <v>25004556288</v>
      </c>
      <c r="Y63" s="15">
        <v>26804402176</v>
      </c>
      <c r="Z63" s="15">
        <v>30346788864</v>
      </c>
      <c r="AA63" s="15">
        <v>33943504896</v>
      </c>
      <c r="AB63" s="15">
        <v>31200161792</v>
      </c>
      <c r="AC63" s="15">
        <v>27734562816</v>
      </c>
      <c r="AD63" s="15">
        <v>32181696512</v>
      </c>
      <c r="AE63" s="15">
        <v>35271880704</v>
      </c>
      <c r="AF63" s="15">
        <v>38848569344</v>
      </c>
      <c r="AG63" s="15">
        <v>44024176640</v>
      </c>
      <c r="AH63" s="15">
        <v>49143148544</v>
      </c>
      <c r="AI63" s="15">
        <v>59167551488</v>
      </c>
      <c r="AJ63" s="15">
        <v>66894835712</v>
      </c>
      <c r="AK63" s="15">
        <v>74478354432</v>
      </c>
      <c r="AL63" s="15">
        <v>88705343488</v>
      </c>
      <c r="AM63" s="15">
        <v>100855390208</v>
      </c>
      <c r="AN63" s="15">
        <v>100005322752</v>
      </c>
      <c r="AO63" s="15">
        <v>72167497728</v>
      </c>
      <c r="AP63" s="15">
        <v>79148417024</v>
      </c>
      <c r="AQ63" s="15">
        <v>93789732864</v>
      </c>
      <c r="AR63" s="15">
        <v>92783943680</v>
      </c>
      <c r="AS63" s="15">
        <v>100845527040</v>
      </c>
      <c r="AT63" s="15">
        <v>110202372096</v>
      </c>
      <c r="AU63" s="15">
        <v>124749471744</v>
      </c>
      <c r="AV63" s="15">
        <v>143534096384</v>
      </c>
      <c r="AW63" s="15">
        <v>162691235840</v>
      </c>
      <c r="AX63" s="15">
        <v>193547829248</v>
      </c>
      <c r="AY63" s="15">
        <v>230813892608</v>
      </c>
      <c r="AZ63" s="15">
        <v>202257629184</v>
      </c>
      <c r="BA63" s="15">
        <v>255016615936</v>
      </c>
      <c r="BB63" s="15">
        <v>297951952896</v>
      </c>
      <c r="BC63" s="15">
        <v>314443137024</v>
      </c>
      <c r="BD63" s="15">
        <v>323277160448</v>
      </c>
      <c r="BE63" s="15">
        <v>338061950976</v>
      </c>
      <c r="BF63" s="15">
        <v>301354745856</v>
      </c>
      <c r="BG63" s="15">
        <v>301255458816</v>
      </c>
      <c r="BH63" s="15">
        <v>318958239744</v>
      </c>
      <c r="BI63" s="15">
        <v>358581927936</v>
      </c>
      <c r="BJ63" s="15">
        <v>364701515776</v>
      </c>
    </row>
    <row r="64" spans="1:62" x14ac:dyDescent="0.45">
      <c r="A64" t="s">
        <v>26</v>
      </c>
      <c r="B64" t="s">
        <v>136</v>
      </c>
      <c r="C64" s="15">
        <v>13040000000</v>
      </c>
      <c r="D64" s="15">
        <v>14160000000</v>
      </c>
      <c r="E64" s="15">
        <v>15200000000</v>
      </c>
      <c r="F64" s="15">
        <v>16960000000</v>
      </c>
      <c r="G64" s="15">
        <v>20080001024</v>
      </c>
      <c r="H64" s="15">
        <v>21839998976</v>
      </c>
      <c r="I64" s="15">
        <v>24320000000</v>
      </c>
      <c r="J64" s="15">
        <v>26560000000</v>
      </c>
      <c r="K64" s="15">
        <v>29360001024</v>
      </c>
      <c r="L64" s="15">
        <v>32480000000</v>
      </c>
      <c r="M64" s="15">
        <v>35520000000</v>
      </c>
      <c r="N64" s="15">
        <v>39199997952</v>
      </c>
      <c r="O64" s="15">
        <v>45199998976</v>
      </c>
      <c r="P64" s="15">
        <v>55280001024</v>
      </c>
      <c r="Q64" s="15">
        <v>71999995904</v>
      </c>
      <c r="R64" s="15">
        <v>88000004096</v>
      </c>
      <c r="S64" s="15">
        <v>89025970176</v>
      </c>
      <c r="T64" s="15">
        <v>81814159360</v>
      </c>
      <c r="U64" s="15">
        <v>102499999744</v>
      </c>
      <c r="V64" s="15">
        <v>134561406976</v>
      </c>
      <c r="W64" s="15">
        <v>205139083264</v>
      </c>
      <c r="X64" s="15">
        <v>263959330816</v>
      </c>
      <c r="Y64" s="15">
        <v>184609161216</v>
      </c>
      <c r="Z64" s="15">
        <v>156159197184</v>
      </c>
      <c r="AA64" s="15">
        <v>184261492736</v>
      </c>
      <c r="AB64" s="15">
        <v>195219783680</v>
      </c>
      <c r="AC64" s="15">
        <v>134550093824</v>
      </c>
      <c r="AD64" s="15">
        <v>147540738048</v>
      </c>
      <c r="AE64" s="15">
        <v>181611544576</v>
      </c>
      <c r="AF64" s="15">
        <v>221400662016</v>
      </c>
      <c r="AG64" s="15">
        <v>261253578752</v>
      </c>
      <c r="AH64" s="15">
        <v>313142771712</v>
      </c>
      <c r="AI64" s="15">
        <v>363157585920</v>
      </c>
      <c r="AJ64" s="15">
        <v>500736065536</v>
      </c>
      <c r="AK64" s="15">
        <v>527813246976</v>
      </c>
      <c r="AL64" s="15">
        <v>360073920512</v>
      </c>
      <c r="AM64" s="15">
        <v>410975600640</v>
      </c>
      <c r="AN64" s="15">
        <v>500413497344</v>
      </c>
      <c r="AO64" s="15">
        <v>526502133760</v>
      </c>
      <c r="AP64" s="15">
        <v>600232886272</v>
      </c>
      <c r="AQ64" s="15">
        <v>707906764800</v>
      </c>
      <c r="AR64" s="15">
        <v>756706312192</v>
      </c>
      <c r="AS64" s="15">
        <v>772106354688</v>
      </c>
      <c r="AT64" s="15">
        <v>729336315904</v>
      </c>
      <c r="AU64" s="15">
        <v>782240579584</v>
      </c>
      <c r="AV64" s="15">
        <v>877476249600</v>
      </c>
      <c r="AW64" s="15">
        <v>975387099136</v>
      </c>
      <c r="AX64" s="15">
        <v>1052696313856</v>
      </c>
      <c r="AY64" s="15">
        <v>1109988999168</v>
      </c>
      <c r="AZ64" s="15">
        <v>900045340672</v>
      </c>
      <c r="BA64" s="15">
        <v>1057801306112</v>
      </c>
      <c r="BB64" s="15">
        <v>1180489613312</v>
      </c>
      <c r="BC64" s="15">
        <v>1201089937408</v>
      </c>
      <c r="BD64" s="15">
        <v>1274443071488</v>
      </c>
      <c r="BE64" s="15">
        <v>1314563948544</v>
      </c>
      <c r="BF64" s="15">
        <v>1170564579328</v>
      </c>
      <c r="BG64" s="15">
        <v>1077903622144</v>
      </c>
      <c r="BH64" s="15">
        <v>1157736169472</v>
      </c>
      <c r="BI64" s="15">
        <v>1220699488256</v>
      </c>
      <c r="BJ64" s="15">
        <v>1258286743552</v>
      </c>
    </row>
    <row r="65" spans="1:62" x14ac:dyDescent="0.45">
      <c r="A65" t="s">
        <v>26</v>
      </c>
      <c r="B65" t="s">
        <v>137</v>
      </c>
      <c r="C65" s="15">
        <v>508334400</v>
      </c>
      <c r="D65" s="15">
        <v>531959552</v>
      </c>
      <c r="E65" s="15">
        <v>574091072</v>
      </c>
      <c r="F65" s="15">
        <v>496947904</v>
      </c>
      <c r="G65" s="15">
        <v>496098784</v>
      </c>
      <c r="H65" s="15">
        <v>735267072</v>
      </c>
      <c r="I65" s="15">
        <v>906811968</v>
      </c>
      <c r="J65" s="15">
        <v>841974016</v>
      </c>
      <c r="K65" s="15">
        <v>772228672</v>
      </c>
      <c r="L65" s="15">
        <v>788641984</v>
      </c>
      <c r="M65" s="15">
        <v>865975296</v>
      </c>
      <c r="N65" s="15">
        <v>882765440</v>
      </c>
      <c r="O65" s="15">
        <v>1024098816</v>
      </c>
      <c r="P65" s="15">
        <v>972101696</v>
      </c>
      <c r="Q65" s="15">
        <v>1217953536</v>
      </c>
      <c r="R65" s="15">
        <v>1575789312</v>
      </c>
      <c r="S65" s="15">
        <v>1452792960</v>
      </c>
      <c r="T65" s="15">
        <v>1382400000</v>
      </c>
      <c r="U65" s="15">
        <v>1604162560</v>
      </c>
      <c r="V65" s="15">
        <v>1851250048</v>
      </c>
      <c r="W65" s="15">
        <v>1945916544</v>
      </c>
      <c r="X65" s="15">
        <v>2275583232</v>
      </c>
      <c r="Y65" s="15">
        <v>2395429888</v>
      </c>
      <c r="Z65" s="15">
        <v>2447174912</v>
      </c>
      <c r="AA65" s="15">
        <v>2581207296</v>
      </c>
      <c r="AB65" s="15">
        <v>2619913984</v>
      </c>
      <c r="AC65" s="15">
        <v>2850784512</v>
      </c>
      <c r="AD65" s="15">
        <v>2957255424</v>
      </c>
      <c r="AE65" s="15">
        <v>3487009792</v>
      </c>
      <c r="AF65" s="15">
        <v>3525228032</v>
      </c>
      <c r="AG65" s="15">
        <v>3627562496</v>
      </c>
      <c r="AH65" s="15">
        <v>3921476096</v>
      </c>
      <c r="AI65" s="15">
        <v>3401211648</v>
      </c>
      <c r="AJ65" s="15">
        <v>3660041728</v>
      </c>
      <c r="AK65" s="15">
        <v>4066775552</v>
      </c>
      <c r="AL65" s="15">
        <v>4401104384</v>
      </c>
      <c r="AM65" s="15">
        <v>4521580544</v>
      </c>
      <c r="AN65" s="15">
        <v>4918691840</v>
      </c>
      <c r="AO65" s="15">
        <v>4856254976</v>
      </c>
      <c r="AP65" s="15">
        <v>5033642496</v>
      </c>
      <c r="AQ65" s="15">
        <v>5494252032</v>
      </c>
      <c r="AR65" s="15">
        <v>6007054848</v>
      </c>
      <c r="AS65" s="15">
        <v>6050875904</v>
      </c>
      <c r="AT65" s="15">
        <v>6330472960</v>
      </c>
      <c r="AU65" s="15">
        <v>7273938432</v>
      </c>
      <c r="AV65" s="15">
        <v>8130257920</v>
      </c>
      <c r="AW65" s="15">
        <v>9043715072</v>
      </c>
      <c r="AX65" s="15">
        <v>10325617664</v>
      </c>
      <c r="AY65" s="15">
        <v>12545438720</v>
      </c>
      <c r="AZ65" s="15">
        <v>12854985728</v>
      </c>
      <c r="BA65" s="15">
        <v>16002656256</v>
      </c>
      <c r="BB65" s="15">
        <v>18913574912</v>
      </c>
      <c r="BC65" s="15">
        <v>18851514368</v>
      </c>
      <c r="BD65" s="15">
        <v>19271168000</v>
      </c>
      <c r="BE65" s="15">
        <v>20002969600</v>
      </c>
      <c r="BF65" s="15">
        <v>21410840576</v>
      </c>
      <c r="BG65" s="15">
        <v>21185923072</v>
      </c>
      <c r="BH65" s="15">
        <v>25180583936</v>
      </c>
      <c r="BI65" s="15">
        <v>29173514240</v>
      </c>
      <c r="BJ65" s="15">
        <v>30641381376</v>
      </c>
    </row>
    <row r="66" spans="1:62" x14ac:dyDescent="0.45">
      <c r="A66" t="s">
        <v>26</v>
      </c>
      <c r="B66" t="s">
        <v>138</v>
      </c>
      <c r="C66" s="15">
        <v>223854672</v>
      </c>
      <c r="D66" s="15">
        <v>240524720</v>
      </c>
      <c r="E66" s="15">
        <v>265291584</v>
      </c>
      <c r="F66" s="15">
        <v>292916256</v>
      </c>
      <c r="G66" s="15">
        <v>341973760</v>
      </c>
      <c r="H66" s="15">
        <v>566542848</v>
      </c>
      <c r="I66" s="15">
        <v>606671424</v>
      </c>
      <c r="J66" s="15">
        <v>657171456</v>
      </c>
      <c r="K66" s="15">
        <v>695899968</v>
      </c>
      <c r="L66" s="15">
        <v>747971456</v>
      </c>
      <c r="M66" s="15">
        <v>776585664</v>
      </c>
      <c r="N66" s="15">
        <v>826571392</v>
      </c>
      <c r="O66" s="15">
        <v>880842880</v>
      </c>
      <c r="P66" s="15">
        <v>1093571456</v>
      </c>
      <c r="Q66" s="15">
        <v>1520900096</v>
      </c>
      <c r="R66" s="15">
        <v>1590428544</v>
      </c>
      <c r="S66" s="15">
        <v>1847871360</v>
      </c>
      <c r="T66" s="15">
        <v>2239857152</v>
      </c>
      <c r="U66" s="15">
        <v>2142128640</v>
      </c>
      <c r="V66" s="15">
        <v>1527852672</v>
      </c>
      <c r="W66" s="15">
        <v>2189347328</v>
      </c>
      <c r="X66" s="15">
        <v>2448290048</v>
      </c>
      <c r="Y66" s="15">
        <v>2465165056</v>
      </c>
      <c r="Z66" s="15">
        <v>2743341824</v>
      </c>
      <c r="AA66" s="15">
        <v>3105517056</v>
      </c>
      <c r="AB66" s="15">
        <v>2683816192</v>
      </c>
      <c r="AC66" s="15">
        <v>2885710592</v>
      </c>
      <c r="AD66" s="15">
        <v>3851213824</v>
      </c>
      <c r="AE66" s="15">
        <v>2630904320</v>
      </c>
      <c r="AF66" s="15">
        <v>1013184768</v>
      </c>
      <c r="AG66" s="15">
        <v>1009455488</v>
      </c>
      <c r="AH66" s="15">
        <v>1488804096</v>
      </c>
      <c r="AI66" s="15">
        <v>1792800000</v>
      </c>
      <c r="AJ66" s="15">
        <v>1756454272</v>
      </c>
      <c r="AK66" s="15">
        <v>3863185152</v>
      </c>
      <c r="AL66" s="15">
        <v>4140470016</v>
      </c>
      <c r="AM66" s="15">
        <v>4308352000</v>
      </c>
      <c r="AN66" s="15">
        <v>4389965824</v>
      </c>
      <c r="AO66" s="15">
        <v>4635267072</v>
      </c>
      <c r="AP66" s="15">
        <v>4855717888</v>
      </c>
      <c r="AQ66" s="15">
        <v>5107329024</v>
      </c>
      <c r="AR66" s="15">
        <v>5323146752</v>
      </c>
      <c r="AS66" s="15">
        <v>5224212992</v>
      </c>
      <c r="AT66" s="15">
        <v>5322455040</v>
      </c>
      <c r="AU66" s="15">
        <v>5795568128</v>
      </c>
      <c r="AV66" s="15">
        <v>6321335808</v>
      </c>
      <c r="AW66" s="15">
        <v>6763418624</v>
      </c>
      <c r="AX66" s="15">
        <v>7423367680</v>
      </c>
      <c r="AY66" s="15">
        <v>8496946688</v>
      </c>
      <c r="AZ66" s="15">
        <v>8298679808</v>
      </c>
      <c r="BA66" s="15">
        <v>8758638592</v>
      </c>
      <c r="BB66" s="15">
        <v>9774262272</v>
      </c>
      <c r="BC66" s="15">
        <v>10531963904</v>
      </c>
      <c r="BD66" s="15">
        <v>10982979584</v>
      </c>
      <c r="BE66" s="15">
        <v>11880472576</v>
      </c>
      <c r="BF66" s="15">
        <v>12756706304</v>
      </c>
      <c r="BG66" s="15">
        <v>13286048768</v>
      </c>
      <c r="BH66" s="15">
        <v>13785943040</v>
      </c>
      <c r="BI66" s="15">
        <v>13063873536</v>
      </c>
      <c r="BJ66" s="15">
        <v>12520914944</v>
      </c>
    </row>
    <row r="67" spans="1:62" x14ac:dyDescent="0.45">
      <c r="A67" t="s">
        <v>26</v>
      </c>
      <c r="B67" t="s">
        <v>139</v>
      </c>
      <c r="C67" s="15">
        <v>449526880</v>
      </c>
      <c r="D67" s="15">
        <v>485785248</v>
      </c>
      <c r="E67" s="15">
        <v>531736480</v>
      </c>
      <c r="F67" s="15">
        <v>586294784</v>
      </c>
      <c r="G67" s="15">
        <v>582816384</v>
      </c>
      <c r="H67" s="15">
        <v>673383616</v>
      </c>
      <c r="I67" s="15">
        <v>702296192</v>
      </c>
      <c r="J67" s="15">
        <v>665586944</v>
      </c>
      <c r="K67" s="15">
        <v>641214208</v>
      </c>
      <c r="L67" s="15">
        <v>625867904</v>
      </c>
      <c r="M67" s="15">
        <v>649916736</v>
      </c>
      <c r="N67" s="15">
        <v>693573568</v>
      </c>
      <c r="O67" s="15">
        <v>742779712</v>
      </c>
      <c r="P67" s="15">
        <v>946385024</v>
      </c>
      <c r="Q67" s="15">
        <v>1026136960</v>
      </c>
      <c r="R67" s="15">
        <v>1048690944</v>
      </c>
      <c r="S67" s="15">
        <v>1064517568</v>
      </c>
      <c r="T67" s="15">
        <v>1291457920</v>
      </c>
      <c r="U67" s="15">
        <v>1774365312</v>
      </c>
      <c r="V67" s="15">
        <v>2109278080</v>
      </c>
      <c r="W67" s="15">
        <v>2508524288</v>
      </c>
      <c r="X67" s="15">
        <v>2170893056</v>
      </c>
      <c r="Y67" s="15">
        <v>2017611904</v>
      </c>
      <c r="Z67" s="15">
        <v>1803099776</v>
      </c>
      <c r="AA67" s="15">
        <v>1461243264</v>
      </c>
      <c r="AB67" s="15">
        <v>1440581504</v>
      </c>
      <c r="AC67" s="15">
        <v>1904097024</v>
      </c>
      <c r="AD67" s="15">
        <v>2233005824</v>
      </c>
      <c r="AE67" s="15">
        <v>2280356352</v>
      </c>
      <c r="AF67" s="15">
        <v>2179567104</v>
      </c>
      <c r="AG67" s="15">
        <v>3536335104</v>
      </c>
      <c r="AH67" s="15">
        <v>3309124352</v>
      </c>
      <c r="AI67" s="15">
        <v>3411197184</v>
      </c>
      <c r="AJ67" s="15">
        <v>2225270528</v>
      </c>
      <c r="AK67" s="15">
        <v>1947256704</v>
      </c>
      <c r="AL67" s="15">
        <v>2313555968</v>
      </c>
      <c r="AM67" s="15">
        <v>2417146624</v>
      </c>
      <c r="AN67" s="15">
        <v>2297228032</v>
      </c>
      <c r="AO67" s="15">
        <v>2625049600</v>
      </c>
      <c r="AP67" s="15">
        <v>2520868608</v>
      </c>
      <c r="AQ67" s="15">
        <v>2238259712</v>
      </c>
      <c r="AR67" s="15">
        <v>2445079040</v>
      </c>
      <c r="AS67" s="15">
        <v>2768787456</v>
      </c>
      <c r="AT67" s="15">
        <v>3387804160</v>
      </c>
      <c r="AU67" s="15">
        <v>3742134272</v>
      </c>
      <c r="AV67" s="15">
        <v>4374678016</v>
      </c>
      <c r="AW67" s="15">
        <v>4743059456</v>
      </c>
      <c r="AX67" s="15">
        <v>5694716928</v>
      </c>
      <c r="AY67" s="15">
        <v>7220003840</v>
      </c>
      <c r="AZ67" s="15">
        <v>7278718464</v>
      </c>
      <c r="BA67" s="15">
        <v>7792420864</v>
      </c>
      <c r="BB67" s="15">
        <v>8701085696</v>
      </c>
      <c r="BC67" s="15">
        <v>9366515712</v>
      </c>
      <c r="BD67" s="15">
        <v>10156855296</v>
      </c>
      <c r="BE67" s="15">
        <v>10815312896</v>
      </c>
      <c r="BF67" s="15">
        <v>9667589120</v>
      </c>
      <c r="BG67" s="15">
        <v>10284626944</v>
      </c>
      <c r="BH67" s="15">
        <v>11166063616</v>
      </c>
      <c r="BI67" s="15">
        <v>12826750976</v>
      </c>
      <c r="BJ67" s="15">
        <v>12928145408</v>
      </c>
    </row>
    <row r="68" spans="1:62" x14ac:dyDescent="0.45">
      <c r="A68" t="s">
        <v>26</v>
      </c>
      <c r="B68" t="s">
        <v>140</v>
      </c>
      <c r="C68" s="15">
        <v>4196092160</v>
      </c>
      <c r="D68" s="15">
        <v>4467200512</v>
      </c>
      <c r="E68" s="15">
        <v>4909302784</v>
      </c>
      <c r="F68" s="15">
        <v>5165489152</v>
      </c>
      <c r="G68" s="15">
        <v>5552822272</v>
      </c>
      <c r="H68" s="15">
        <v>5874422272</v>
      </c>
      <c r="I68" s="15">
        <v>6366792704</v>
      </c>
      <c r="J68" s="15">
        <v>5203136000</v>
      </c>
      <c r="K68" s="15">
        <v>5200896000</v>
      </c>
      <c r="L68" s="15">
        <v>6634187264</v>
      </c>
      <c r="M68" s="15">
        <v>12545849344</v>
      </c>
      <c r="N68" s="15">
        <v>9181769728</v>
      </c>
      <c r="O68" s="15">
        <v>12274415616</v>
      </c>
      <c r="P68" s="15">
        <v>15162870784</v>
      </c>
      <c r="Q68" s="15">
        <v>24846641152</v>
      </c>
      <c r="R68" s="15">
        <v>27778934784</v>
      </c>
      <c r="S68" s="15">
        <v>36308881408</v>
      </c>
      <c r="T68" s="15">
        <v>36035407872</v>
      </c>
      <c r="U68" s="15">
        <v>36527861760</v>
      </c>
      <c r="V68" s="15">
        <v>47259910144</v>
      </c>
      <c r="W68" s="15">
        <v>64201789440</v>
      </c>
      <c r="X68" s="15">
        <v>164475207680</v>
      </c>
      <c r="Y68" s="15">
        <v>142769356800</v>
      </c>
      <c r="Z68" s="15">
        <v>97094909952</v>
      </c>
      <c r="AA68" s="15">
        <v>73484361728</v>
      </c>
      <c r="AB68" s="15">
        <v>73745817600</v>
      </c>
      <c r="AC68" s="15">
        <v>54805852160</v>
      </c>
      <c r="AD68" s="15">
        <v>52676042752</v>
      </c>
      <c r="AE68" s="15">
        <v>49648472064</v>
      </c>
      <c r="AF68" s="15">
        <v>44003061760</v>
      </c>
      <c r="AG68" s="15">
        <v>54035795968</v>
      </c>
      <c r="AH68" s="15">
        <v>49118433280</v>
      </c>
      <c r="AI68" s="15">
        <v>47794925568</v>
      </c>
      <c r="AJ68" s="15">
        <v>27752204288</v>
      </c>
      <c r="AK68" s="15">
        <v>33833043968</v>
      </c>
      <c r="AL68" s="15">
        <v>44062466048</v>
      </c>
      <c r="AM68" s="15">
        <v>51075813376</v>
      </c>
      <c r="AN68" s="15">
        <v>54457835520</v>
      </c>
      <c r="AO68" s="15">
        <v>54604050432</v>
      </c>
      <c r="AP68" s="15">
        <v>59372613632</v>
      </c>
      <c r="AQ68" s="15">
        <v>69448753152</v>
      </c>
      <c r="AR68" s="15">
        <v>74030366720</v>
      </c>
      <c r="AS68" s="15">
        <v>95385821184</v>
      </c>
      <c r="AT68" s="15">
        <v>104911945728</v>
      </c>
      <c r="AU68" s="15">
        <v>136385978368</v>
      </c>
      <c r="AV68" s="15">
        <v>176134094848</v>
      </c>
      <c r="AW68" s="15">
        <v>236103974912</v>
      </c>
      <c r="AX68" s="15">
        <v>275625672704</v>
      </c>
      <c r="AY68" s="15">
        <v>337035526144</v>
      </c>
      <c r="AZ68" s="15">
        <v>291880206336</v>
      </c>
      <c r="BA68" s="15">
        <v>363359895552</v>
      </c>
      <c r="BB68" s="15">
        <v>410334593024</v>
      </c>
      <c r="BC68" s="15">
        <v>459376033792</v>
      </c>
      <c r="BD68" s="15">
        <v>514966290432</v>
      </c>
      <c r="BE68" s="15">
        <v>568498913280</v>
      </c>
      <c r="BF68" s="15">
        <v>494583185408</v>
      </c>
      <c r="BG68" s="15">
        <v>404649541632</v>
      </c>
      <c r="BH68" s="15">
        <v>375745478656</v>
      </c>
      <c r="BI68" s="15">
        <v>398160396288</v>
      </c>
      <c r="BJ68" s="15">
        <v>448120422400</v>
      </c>
    </row>
    <row r="69" spans="1:62" x14ac:dyDescent="0.45">
      <c r="A69" t="s">
        <v>26</v>
      </c>
      <c r="B69" t="s">
        <v>141</v>
      </c>
      <c r="C69" s="15">
        <v>3749264896</v>
      </c>
      <c r="D69" s="15">
        <v>4118647552</v>
      </c>
      <c r="E69" s="15">
        <v>4310163968</v>
      </c>
      <c r="F69" s="15">
        <v>4630827520</v>
      </c>
      <c r="G69" s="15">
        <v>5204955648</v>
      </c>
      <c r="H69" s="15">
        <v>5929231360</v>
      </c>
      <c r="I69" s="15">
        <v>6561108992</v>
      </c>
      <c r="J69" s="15">
        <v>7464510464</v>
      </c>
      <c r="K69" s="15">
        <v>8041999360</v>
      </c>
      <c r="L69" s="15">
        <v>8683116544</v>
      </c>
      <c r="M69" s="15">
        <v>10027509760</v>
      </c>
      <c r="N69" s="15">
        <v>10665896960</v>
      </c>
      <c r="O69" s="15">
        <v>9415016448</v>
      </c>
      <c r="P69" s="15">
        <v>6383429632</v>
      </c>
      <c r="Q69" s="15">
        <v>8899191808</v>
      </c>
      <c r="R69" s="15">
        <v>11230606336</v>
      </c>
      <c r="S69" s="15">
        <v>13168080896</v>
      </c>
      <c r="T69" s="15">
        <v>15126061056</v>
      </c>
      <c r="U69" s="15">
        <v>17811515392</v>
      </c>
      <c r="V69" s="15">
        <v>19688384512</v>
      </c>
      <c r="W69" s="15">
        <v>23654445056</v>
      </c>
      <c r="X69" s="15">
        <v>28100605952</v>
      </c>
      <c r="Y69" s="15">
        <v>30725971968</v>
      </c>
      <c r="Z69" s="15">
        <v>28691890176</v>
      </c>
      <c r="AA69" s="15">
        <v>31151824896</v>
      </c>
      <c r="AB69" s="15">
        <v>31144921088</v>
      </c>
      <c r="AC69" s="15">
        <v>31899070464</v>
      </c>
      <c r="AD69" s="15">
        <v>33351528448</v>
      </c>
      <c r="AE69" s="15">
        <v>38472740864</v>
      </c>
      <c r="AF69" s="15">
        <v>40171016192</v>
      </c>
      <c r="AG69" s="15">
        <v>40010424320</v>
      </c>
      <c r="AH69" s="15">
        <v>45625233408</v>
      </c>
      <c r="AI69" s="15">
        <v>48884604928</v>
      </c>
      <c r="AJ69" s="15">
        <v>51809947648</v>
      </c>
      <c r="AK69" s="15">
        <v>52293455872</v>
      </c>
      <c r="AL69" s="15">
        <v>60636020736</v>
      </c>
      <c r="AM69" s="15">
        <v>63320121344</v>
      </c>
      <c r="AN69" s="15">
        <v>62433300480</v>
      </c>
      <c r="AO69" s="15">
        <v>62191955968</v>
      </c>
      <c r="AP69" s="15">
        <v>62973853696</v>
      </c>
      <c r="AQ69" s="15">
        <v>82017746944</v>
      </c>
      <c r="AR69" s="15">
        <v>79484403712</v>
      </c>
      <c r="AS69" s="15">
        <v>79904989184</v>
      </c>
      <c r="AT69" s="15">
        <v>91760541696</v>
      </c>
      <c r="AU69" s="15">
        <v>107759681536</v>
      </c>
      <c r="AV69" s="15">
        <v>120055291904</v>
      </c>
      <c r="AW69" s="15">
        <v>137264062464</v>
      </c>
      <c r="AX69" s="15">
        <v>152385716224</v>
      </c>
      <c r="AY69" s="15">
        <v>170077814784</v>
      </c>
      <c r="AZ69" s="15">
        <v>168152776704</v>
      </c>
      <c r="BA69" s="15">
        <v>177165631488</v>
      </c>
      <c r="BB69" s="15">
        <v>213587410944</v>
      </c>
      <c r="BC69" s="15">
        <v>224383614976</v>
      </c>
      <c r="BD69" s="15">
        <v>231218561024</v>
      </c>
      <c r="BE69" s="15">
        <v>244360888320</v>
      </c>
      <c r="BF69" s="15">
        <v>270556135424</v>
      </c>
      <c r="BG69" s="15">
        <v>278654648320</v>
      </c>
      <c r="BH69" s="15">
        <v>304567255040</v>
      </c>
      <c r="BI69" s="15">
        <v>314567557120</v>
      </c>
      <c r="BJ69" s="15">
        <v>278221914112</v>
      </c>
    </row>
    <row r="70" spans="1:62" x14ac:dyDescent="0.45">
      <c r="A70" t="s">
        <v>26</v>
      </c>
      <c r="B70" t="s">
        <v>142</v>
      </c>
      <c r="C70" s="15">
        <v>537147072</v>
      </c>
      <c r="D70" s="15">
        <v>599026304</v>
      </c>
      <c r="E70" s="15">
        <v>652120896</v>
      </c>
      <c r="F70" s="15">
        <v>722784512</v>
      </c>
      <c r="G70" s="15">
        <v>776137472</v>
      </c>
      <c r="H70" s="15">
        <v>852485312</v>
      </c>
      <c r="I70" s="15">
        <v>928833024</v>
      </c>
      <c r="J70" s="15">
        <v>1034376384</v>
      </c>
      <c r="K70" s="15">
        <v>1112791040</v>
      </c>
      <c r="L70" s="15">
        <v>1221305728</v>
      </c>
      <c r="M70" s="15">
        <v>1351006464</v>
      </c>
      <c r="N70" s="15">
        <v>1523917184</v>
      </c>
      <c r="O70" s="15">
        <v>1673411712</v>
      </c>
      <c r="P70" s="15">
        <v>1913793408</v>
      </c>
      <c r="Q70" s="15">
        <v>2188307712</v>
      </c>
      <c r="R70" s="15">
        <v>2435304192</v>
      </c>
      <c r="S70" s="15">
        <v>2588105984</v>
      </c>
      <c r="T70" s="15">
        <v>2738262016</v>
      </c>
      <c r="U70" s="15">
        <v>3244558592</v>
      </c>
      <c r="V70" s="15">
        <v>3704551680</v>
      </c>
      <c r="W70" s="15">
        <v>4614086656</v>
      </c>
      <c r="X70" s="15">
        <v>5222421504</v>
      </c>
      <c r="Y70" s="15">
        <v>5769767936</v>
      </c>
      <c r="Z70" s="15">
        <v>5923756032</v>
      </c>
      <c r="AA70" s="15">
        <v>6183387136</v>
      </c>
      <c r="AB70" s="15">
        <v>6541517312</v>
      </c>
      <c r="AC70" s="15">
        <v>6797834240</v>
      </c>
      <c r="AD70" s="15">
        <v>6827665408</v>
      </c>
      <c r="AE70" s="15">
        <v>5902783488</v>
      </c>
      <c r="AF70" s="15">
        <v>5918469632</v>
      </c>
      <c r="AG70" s="15">
        <v>6433967104</v>
      </c>
      <c r="AH70" s="15">
        <v>7074675712</v>
      </c>
      <c r="AI70" s="15">
        <v>8042337792</v>
      </c>
      <c r="AJ70" s="15">
        <v>8782585856</v>
      </c>
      <c r="AK70" s="15">
        <v>9365289984</v>
      </c>
      <c r="AL70" s="15">
        <v>9573813248</v>
      </c>
      <c r="AM70" s="15">
        <v>9870493696</v>
      </c>
      <c r="AN70" s="15">
        <v>10677285888</v>
      </c>
      <c r="AO70" s="15">
        <v>11575486464</v>
      </c>
      <c r="AP70" s="15">
        <v>12130251776</v>
      </c>
      <c r="AQ70" s="15">
        <v>12304114688</v>
      </c>
      <c r="AR70" s="15">
        <v>12502012928</v>
      </c>
      <c r="AS70" s="15">
        <v>12994310144</v>
      </c>
      <c r="AT70" s="15">
        <v>13693981696</v>
      </c>
      <c r="AU70" s="15">
        <v>15013382144</v>
      </c>
      <c r="AV70" s="15">
        <v>16374393856</v>
      </c>
      <c r="AW70" s="15">
        <v>18141665280</v>
      </c>
      <c r="AX70" s="15">
        <v>21295984640</v>
      </c>
      <c r="AY70" s="15">
        <v>25155889152</v>
      </c>
      <c r="AZ70" s="15">
        <v>27116636160</v>
      </c>
      <c r="BA70" s="15">
        <v>29440299008</v>
      </c>
      <c r="BB70" s="15">
        <v>34686201856</v>
      </c>
      <c r="BC70" s="15">
        <v>40429699072</v>
      </c>
      <c r="BD70" s="15">
        <v>45599997952</v>
      </c>
      <c r="BE70" s="15">
        <v>49921499136</v>
      </c>
      <c r="BF70" s="15">
        <v>54091698176</v>
      </c>
      <c r="BG70" s="15">
        <v>57907699712</v>
      </c>
      <c r="BH70" s="15">
        <v>62219001856</v>
      </c>
      <c r="BI70" s="15">
        <v>65128198144</v>
      </c>
      <c r="BJ70" s="15">
        <v>66800799744</v>
      </c>
    </row>
    <row r="71" spans="1:62" x14ac:dyDescent="0.45">
      <c r="A71" t="s">
        <v>26</v>
      </c>
      <c r="B71" t="s">
        <v>143</v>
      </c>
      <c r="C71" s="15">
        <v>230496032</v>
      </c>
      <c r="D71" s="15">
        <v>244832032</v>
      </c>
      <c r="E71" s="15">
        <v>261184032</v>
      </c>
      <c r="F71" s="15">
        <v>275968032</v>
      </c>
      <c r="G71" s="15">
        <v>305312032</v>
      </c>
      <c r="H71" s="15">
        <v>344159488</v>
      </c>
      <c r="I71" s="15">
        <v>390973248</v>
      </c>
      <c r="J71" s="15">
        <v>441706912</v>
      </c>
      <c r="K71" s="15">
        <v>485160832</v>
      </c>
      <c r="L71" s="15">
        <v>551237312</v>
      </c>
      <c r="M71" s="15">
        <v>645537152</v>
      </c>
      <c r="N71" s="15">
        <v>717716160</v>
      </c>
      <c r="O71" s="15">
        <v>858802048</v>
      </c>
      <c r="P71" s="15">
        <v>1299105280</v>
      </c>
      <c r="Q71" s="15">
        <v>1467346048</v>
      </c>
      <c r="R71" s="15">
        <v>1356591232</v>
      </c>
      <c r="S71" s="15">
        <v>1511856640</v>
      </c>
      <c r="T71" s="15">
        <v>1640763264</v>
      </c>
      <c r="U71" s="15">
        <v>1947947520</v>
      </c>
      <c r="V71" s="15">
        <v>2293622016</v>
      </c>
      <c r="W71" s="15">
        <v>2545982976</v>
      </c>
      <c r="X71" s="15">
        <v>2498068224</v>
      </c>
      <c r="Y71" s="15">
        <v>2368584960</v>
      </c>
      <c r="Z71" s="15">
        <v>2562492416</v>
      </c>
      <c r="AA71" s="15">
        <v>2552526336</v>
      </c>
      <c r="AB71" s="15">
        <v>2423373056</v>
      </c>
      <c r="AC71" s="15">
        <v>2648033792</v>
      </c>
      <c r="AD71" s="15">
        <v>3143848448</v>
      </c>
      <c r="AE71" s="15">
        <v>3655979776</v>
      </c>
      <c r="AF71" s="15">
        <v>3546460160</v>
      </c>
      <c r="AG71" s="15">
        <v>3219730432</v>
      </c>
      <c r="AH71" s="15">
        <v>3787395072</v>
      </c>
      <c r="AI71" s="15">
        <v>4377980416</v>
      </c>
      <c r="AJ71" s="15">
        <v>4974550528</v>
      </c>
      <c r="AK71" s="15">
        <v>5502786048</v>
      </c>
      <c r="AL71" s="15">
        <v>4636057600</v>
      </c>
      <c r="AM71" s="15">
        <v>5155311104</v>
      </c>
      <c r="AN71" s="15">
        <v>4936615424</v>
      </c>
      <c r="AO71" s="15">
        <v>3789443072</v>
      </c>
      <c r="AP71" s="15">
        <v>3477038080</v>
      </c>
      <c r="AQ71" s="15">
        <v>3521339648</v>
      </c>
      <c r="AR71" s="15">
        <v>3081024256</v>
      </c>
      <c r="AS71" s="15">
        <v>2999511040</v>
      </c>
      <c r="AT71" s="15">
        <v>3536411904</v>
      </c>
      <c r="AU71" s="15">
        <v>3927157760</v>
      </c>
      <c r="AV71" s="15">
        <v>4865892864</v>
      </c>
      <c r="AW71" s="15">
        <v>8355006464</v>
      </c>
      <c r="AX71" s="15">
        <v>9545177088</v>
      </c>
      <c r="AY71" s="15">
        <v>11670841344</v>
      </c>
      <c r="AZ71" s="15">
        <v>11619638272</v>
      </c>
      <c r="BA71" s="15">
        <v>14250755072</v>
      </c>
      <c r="BB71" s="15">
        <v>17984911360</v>
      </c>
      <c r="BC71" s="15">
        <v>21295659008</v>
      </c>
      <c r="BD71" s="15">
        <v>21261432832</v>
      </c>
      <c r="BE71" s="15">
        <v>23210682368</v>
      </c>
      <c r="BF71" s="15">
        <v>21723531264</v>
      </c>
      <c r="BG71" s="15">
        <v>20759068672</v>
      </c>
      <c r="BH71" s="15">
        <v>22742614016</v>
      </c>
      <c r="BI71" s="15">
        <v>23412494336</v>
      </c>
      <c r="BJ71" s="15">
        <v>24969611264</v>
      </c>
    </row>
    <row r="72" spans="1:62" x14ac:dyDescent="0.45">
      <c r="A72" t="s">
        <v>26</v>
      </c>
      <c r="B72" t="s">
        <v>144</v>
      </c>
      <c r="C72" s="15">
        <v>2571908096</v>
      </c>
      <c r="D72" s="15">
        <v>2899654912</v>
      </c>
      <c r="E72" s="15">
        <v>3286773248</v>
      </c>
      <c r="F72" s="15">
        <v>3600957696</v>
      </c>
      <c r="G72" s="15">
        <v>4356913664</v>
      </c>
      <c r="H72" s="15">
        <v>5166861312</v>
      </c>
      <c r="I72" s="15">
        <v>6113607680</v>
      </c>
      <c r="J72" s="15">
        <v>6204253696</v>
      </c>
      <c r="K72" s="15">
        <v>5736083968</v>
      </c>
      <c r="L72" s="15">
        <v>6420909568</v>
      </c>
      <c r="M72" s="15">
        <v>7432223232</v>
      </c>
      <c r="N72" s="15">
        <v>8289583104</v>
      </c>
      <c r="O72" s="15">
        <v>9189413888</v>
      </c>
      <c r="P72" s="15">
        <v>10994381824</v>
      </c>
      <c r="Q72" s="15">
        <v>13858441216</v>
      </c>
      <c r="R72" s="15">
        <v>16877163520</v>
      </c>
      <c r="S72" s="15">
        <v>15947709440</v>
      </c>
      <c r="T72" s="15">
        <v>14620386304</v>
      </c>
      <c r="U72" s="15">
        <v>12495779840</v>
      </c>
      <c r="V72" s="15">
        <v>15962459136</v>
      </c>
      <c r="W72" s="15">
        <v>18134028288</v>
      </c>
      <c r="X72" s="15">
        <v>21649137664</v>
      </c>
      <c r="Y72" s="15">
        <v>21793497088</v>
      </c>
      <c r="Z72" s="15">
        <v>17345624064</v>
      </c>
      <c r="AA72" s="15">
        <v>17599660032</v>
      </c>
      <c r="AB72" s="15">
        <v>16548827136</v>
      </c>
      <c r="AC72" s="15">
        <v>15244232704</v>
      </c>
      <c r="AD72" s="15">
        <v>20702298112</v>
      </c>
      <c r="AE72" s="15">
        <v>15439408128</v>
      </c>
      <c r="AF72" s="15">
        <v>22499559424</v>
      </c>
      <c r="AG72" s="15">
        <v>26410387456</v>
      </c>
      <c r="AH72" s="15">
        <v>34341466112</v>
      </c>
      <c r="AI72" s="15">
        <v>35966304256</v>
      </c>
      <c r="AJ72" s="15">
        <v>34832076800</v>
      </c>
      <c r="AK72" s="15">
        <v>44882079744</v>
      </c>
      <c r="AL72" s="15">
        <v>53312794624</v>
      </c>
      <c r="AM72" s="15">
        <v>55252414464</v>
      </c>
      <c r="AN72" s="15">
        <v>58147520512</v>
      </c>
      <c r="AO72" s="15">
        <v>55501467648</v>
      </c>
      <c r="AP72" s="15">
        <v>50187325440</v>
      </c>
      <c r="AQ72" s="15">
        <v>51744747520</v>
      </c>
      <c r="AR72" s="15">
        <v>52030156800</v>
      </c>
      <c r="AS72" s="15">
        <v>54777552896</v>
      </c>
      <c r="AT72" s="15">
        <v>58731028480</v>
      </c>
      <c r="AU72" s="15">
        <v>66768703488</v>
      </c>
      <c r="AV72" s="15">
        <v>76060606464</v>
      </c>
      <c r="AW72" s="15">
        <v>88643190784</v>
      </c>
      <c r="AX72" s="15">
        <v>102170984448</v>
      </c>
      <c r="AY72" s="15">
        <v>120550596608</v>
      </c>
      <c r="AZ72" s="15">
        <v>120822988800</v>
      </c>
      <c r="BA72" s="15">
        <v>147528941568</v>
      </c>
      <c r="BB72" s="15">
        <v>171761729536</v>
      </c>
      <c r="BC72" s="15">
        <v>192649003008</v>
      </c>
      <c r="BD72" s="15">
        <v>201175465984</v>
      </c>
      <c r="BE72" s="15">
        <v>200789360640</v>
      </c>
      <c r="BF72" s="15">
        <v>189805297664</v>
      </c>
      <c r="BG72" s="15">
        <v>191895945216</v>
      </c>
      <c r="BH72" s="15">
        <v>211007209472</v>
      </c>
      <c r="BI72" s="15">
        <v>222044962816</v>
      </c>
      <c r="BJ72" s="15">
        <v>226848047104</v>
      </c>
    </row>
    <row r="73" spans="1:62" x14ac:dyDescent="0.45">
      <c r="A73" t="s">
        <v>26</v>
      </c>
      <c r="B73" t="s">
        <v>145</v>
      </c>
      <c r="C73" s="15">
        <v>6684568576</v>
      </c>
      <c r="D73" s="15">
        <v>7256967168</v>
      </c>
      <c r="E73" s="15">
        <v>4399827968</v>
      </c>
      <c r="F73" s="15">
        <v>4875310080</v>
      </c>
      <c r="G73" s="15">
        <v>5271404544</v>
      </c>
      <c r="H73" s="15">
        <v>5784398848</v>
      </c>
      <c r="I73" s="15">
        <v>6371459072</v>
      </c>
      <c r="J73" s="15">
        <v>6809134080</v>
      </c>
      <c r="K73" s="15">
        <v>7591603200</v>
      </c>
      <c r="L73" s="15">
        <v>8408229888</v>
      </c>
      <c r="M73" s="15">
        <v>6687204864</v>
      </c>
      <c r="N73" s="15">
        <v>7408305664</v>
      </c>
      <c r="O73" s="15">
        <v>8017468928</v>
      </c>
      <c r="P73" s="15">
        <v>10082885632</v>
      </c>
      <c r="Q73" s="15">
        <v>13781140480</v>
      </c>
      <c r="R73" s="15">
        <v>14893969408</v>
      </c>
      <c r="S73" s="15">
        <v>17097563136</v>
      </c>
      <c r="T73" s="15">
        <v>19648106496</v>
      </c>
      <c r="U73" s="15">
        <v>22706155520</v>
      </c>
      <c r="V73" s="15">
        <v>27502168064</v>
      </c>
      <c r="W73" s="15">
        <v>32450541568</v>
      </c>
      <c r="X73" s="15">
        <v>35646418944</v>
      </c>
      <c r="Y73" s="15">
        <v>37140164608</v>
      </c>
      <c r="Z73" s="15">
        <v>33212180480</v>
      </c>
      <c r="AA73" s="15">
        <v>31408492544</v>
      </c>
      <c r="AB73" s="15">
        <v>30734336000</v>
      </c>
      <c r="AC73" s="15">
        <v>29868339200</v>
      </c>
      <c r="AD73" s="15">
        <v>33195933696</v>
      </c>
      <c r="AE73" s="15">
        <v>37885440000</v>
      </c>
      <c r="AF73" s="15">
        <v>42575183872</v>
      </c>
      <c r="AG73" s="15">
        <v>44311592960</v>
      </c>
      <c r="AH73" s="15">
        <v>45417562112</v>
      </c>
      <c r="AI73" s="15">
        <v>52976345088</v>
      </c>
      <c r="AJ73" s="15">
        <v>54368083968</v>
      </c>
      <c r="AK73" s="15">
        <v>64084459520</v>
      </c>
      <c r="AL73" s="15">
        <v>74119987200</v>
      </c>
      <c r="AM73" s="15">
        <v>82848137216</v>
      </c>
      <c r="AN73" s="15">
        <v>82344263680</v>
      </c>
      <c r="AO73" s="15">
        <v>72207032320</v>
      </c>
      <c r="AP73" s="15">
        <v>82995142656</v>
      </c>
      <c r="AQ73" s="15">
        <v>83670261760</v>
      </c>
      <c r="AR73" s="15">
        <v>78921072640</v>
      </c>
      <c r="AS73" s="15">
        <v>84307369984</v>
      </c>
      <c r="AT73" s="15">
        <v>87039148032</v>
      </c>
      <c r="AU73" s="15">
        <v>95001993216</v>
      </c>
      <c r="AV73" s="15">
        <v>107419983872</v>
      </c>
      <c r="AW73" s="15">
        <v>127652904960</v>
      </c>
      <c r="AX73" s="15">
        <v>155980414976</v>
      </c>
      <c r="AY73" s="15">
        <v>181006860288</v>
      </c>
      <c r="AZ73" s="15">
        <v>176131653632</v>
      </c>
      <c r="BA73" s="15">
        <v>208368893952</v>
      </c>
      <c r="BB73" s="15">
        <v>234216734720</v>
      </c>
      <c r="BC73" s="15">
        <v>261920538624</v>
      </c>
      <c r="BD73" s="15">
        <v>283902836736</v>
      </c>
      <c r="BE73" s="15">
        <v>297483567104</v>
      </c>
      <c r="BF73" s="15">
        <v>306445877248</v>
      </c>
      <c r="BG73" s="15">
        <v>318626988032</v>
      </c>
      <c r="BH73" s="15">
        <v>328480751616</v>
      </c>
      <c r="BI73" s="15">
        <v>346841907200</v>
      </c>
      <c r="BJ73" s="15">
        <v>376795496448</v>
      </c>
    </row>
    <row r="74" spans="1:62" x14ac:dyDescent="0.45">
      <c r="A74" t="s">
        <v>26</v>
      </c>
      <c r="B74" t="s">
        <v>146</v>
      </c>
      <c r="C74" s="15">
        <v>1691900032</v>
      </c>
      <c r="D74" s="15">
        <v>1865100032</v>
      </c>
      <c r="E74" s="15">
        <v>2094400000</v>
      </c>
      <c r="F74" s="15">
        <v>2333600000</v>
      </c>
      <c r="G74" s="15">
        <v>2570500096</v>
      </c>
      <c r="H74" s="15">
        <v>2881499904</v>
      </c>
      <c r="I74" s="15">
        <v>3170500096</v>
      </c>
      <c r="J74" s="15">
        <v>3532699904</v>
      </c>
      <c r="K74" s="15">
        <v>3941700096</v>
      </c>
      <c r="L74" s="15">
        <v>4460700160</v>
      </c>
      <c r="M74" s="15">
        <v>5034699776</v>
      </c>
      <c r="N74" s="15">
        <v>5646799872</v>
      </c>
      <c r="O74" s="15">
        <v>6328900096</v>
      </c>
      <c r="P74" s="15">
        <v>7002399744</v>
      </c>
      <c r="Q74" s="15">
        <v>7684800000</v>
      </c>
      <c r="R74" s="15">
        <v>8198300160</v>
      </c>
      <c r="S74" s="15">
        <v>8968599552</v>
      </c>
      <c r="T74" s="15">
        <v>9910899712</v>
      </c>
      <c r="U74" s="15">
        <v>11164999680</v>
      </c>
      <c r="V74" s="15">
        <v>12750000128</v>
      </c>
      <c r="W74" s="15">
        <v>14436100096</v>
      </c>
      <c r="X74" s="15">
        <v>15955699712</v>
      </c>
      <c r="Y74" s="15">
        <v>16764199936</v>
      </c>
      <c r="Z74" s="15">
        <v>17276600320</v>
      </c>
      <c r="AA74" s="15">
        <v>19162599424</v>
      </c>
      <c r="AB74" s="15">
        <v>20289200128</v>
      </c>
      <c r="AC74" s="15">
        <v>22009300992</v>
      </c>
      <c r="AD74" s="15">
        <v>24025800704</v>
      </c>
      <c r="AE74" s="15">
        <v>26385799168</v>
      </c>
      <c r="AF74" s="15">
        <v>28161200128</v>
      </c>
      <c r="AG74" s="15">
        <v>30603919360</v>
      </c>
      <c r="AH74" s="15">
        <v>32287031296</v>
      </c>
      <c r="AI74" s="15">
        <v>34630430720</v>
      </c>
      <c r="AJ74" s="15">
        <v>36922454016</v>
      </c>
      <c r="AK74" s="15">
        <v>39690629120</v>
      </c>
      <c r="AL74" s="15">
        <v>42647330816</v>
      </c>
      <c r="AM74" s="15">
        <v>45340835840</v>
      </c>
      <c r="AN74" s="15">
        <v>48187039744</v>
      </c>
      <c r="AO74" s="15">
        <v>54086402048</v>
      </c>
      <c r="AP74" s="15">
        <v>57841000448</v>
      </c>
      <c r="AQ74" s="15">
        <v>61701799936</v>
      </c>
      <c r="AR74" s="15">
        <v>69208399872</v>
      </c>
      <c r="AS74" s="15">
        <v>71623499776</v>
      </c>
      <c r="AT74" s="15">
        <v>74827399168</v>
      </c>
      <c r="AU74" s="15">
        <v>80322314240</v>
      </c>
      <c r="AV74" s="15">
        <v>83914522624</v>
      </c>
      <c r="AW74" s="15">
        <v>87276167168</v>
      </c>
      <c r="AX74" s="15">
        <v>89524133888</v>
      </c>
      <c r="AY74" s="15">
        <v>93639303168</v>
      </c>
      <c r="AZ74" s="15">
        <v>96385597440</v>
      </c>
      <c r="BA74" s="15">
        <v>98381299712</v>
      </c>
      <c r="BB74" s="15">
        <v>100351696896</v>
      </c>
      <c r="BC74" s="15">
        <v>101564801024</v>
      </c>
      <c r="BD74" s="15">
        <v>102450003968</v>
      </c>
      <c r="BE74" s="15">
        <v>102445801472</v>
      </c>
      <c r="BF74" s="15">
        <v>103375503360</v>
      </c>
      <c r="BG74" s="15">
        <v>104336703488</v>
      </c>
      <c r="BH74" s="15">
        <v>103445504000</v>
      </c>
      <c r="BI74" s="15">
        <v>100979900416</v>
      </c>
      <c r="BJ74" s="15">
        <v>104988598272</v>
      </c>
    </row>
    <row r="75" spans="1:62" x14ac:dyDescent="0.45">
      <c r="A75" t="s">
        <v>26</v>
      </c>
      <c r="B75" t="s">
        <v>147</v>
      </c>
      <c r="C75" s="15">
        <v>119000024</v>
      </c>
      <c r="D75" s="15">
        <v>122000016</v>
      </c>
      <c r="E75" s="15">
        <v>125000008</v>
      </c>
      <c r="F75" s="15">
        <v>128000000</v>
      </c>
      <c r="G75" s="15">
        <v>129999992</v>
      </c>
      <c r="H75" s="15">
        <v>148799984</v>
      </c>
      <c r="I75" s="15">
        <v>124525704</v>
      </c>
      <c r="J75" s="15">
        <v>159560016</v>
      </c>
      <c r="K75" s="15">
        <v>172200016</v>
      </c>
      <c r="L75" s="15">
        <v>188700032</v>
      </c>
      <c r="M75" s="15">
        <v>219900000</v>
      </c>
      <c r="N75" s="15">
        <v>222952576</v>
      </c>
      <c r="O75" s="15">
        <v>246457840</v>
      </c>
      <c r="P75" s="15">
        <v>290746144</v>
      </c>
      <c r="Q75" s="15">
        <v>308458432</v>
      </c>
      <c r="R75" s="15">
        <v>571863296</v>
      </c>
      <c r="S75" s="15">
        <v>637754176</v>
      </c>
      <c r="T75" s="15">
        <v>746650560</v>
      </c>
      <c r="U75" s="15">
        <v>905709120</v>
      </c>
      <c r="V75" s="15">
        <v>1109346176</v>
      </c>
      <c r="W75" s="15">
        <v>1254765312</v>
      </c>
      <c r="X75" s="15">
        <v>1407062656</v>
      </c>
      <c r="Y75" s="15">
        <v>1407242624</v>
      </c>
      <c r="Z75" s="15">
        <v>1479688064</v>
      </c>
      <c r="AA75" s="15">
        <v>1587412992</v>
      </c>
      <c r="AB75" s="15">
        <v>1715625856</v>
      </c>
      <c r="AC75" s="15">
        <v>1944711040</v>
      </c>
      <c r="AD75" s="15">
        <v>2157434112</v>
      </c>
      <c r="AE75" s="15">
        <v>2395493888</v>
      </c>
      <c r="AF75" s="15">
        <v>2405021952</v>
      </c>
      <c r="AG75" s="15">
        <v>2550185728</v>
      </c>
      <c r="AH75" s="15">
        <v>1911601024</v>
      </c>
      <c r="AI75" s="15">
        <v>2029026688</v>
      </c>
      <c r="AJ75" s="15">
        <v>1971526016</v>
      </c>
      <c r="AK75" s="15">
        <v>753636352</v>
      </c>
      <c r="AL75" s="15">
        <v>1293534976</v>
      </c>
      <c r="AM75" s="15">
        <v>1382334848</v>
      </c>
      <c r="AN75" s="15">
        <v>1851558272</v>
      </c>
      <c r="AO75" s="15">
        <v>1989343488</v>
      </c>
      <c r="AP75" s="15">
        <v>1817654528</v>
      </c>
      <c r="AQ75" s="15">
        <v>1734938624</v>
      </c>
      <c r="AR75" s="15">
        <v>1674685312</v>
      </c>
      <c r="AS75" s="15">
        <v>1677552384</v>
      </c>
      <c r="AT75" s="15">
        <v>1846198784</v>
      </c>
      <c r="AU75" s="15">
        <v>2088961920</v>
      </c>
      <c r="AV75" s="15">
        <v>2581313536</v>
      </c>
      <c r="AW75" s="15">
        <v>3330198784</v>
      </c>
      <c r="AX75" s="15">
        <v>4083515136</v>
      </c>
      <c r="AY75" s="15">
        <v>5198063104</v>
      </c>
      <c r="AZ75" s="15">
        <v>5694132224</v>
      </c>
      <c r="BA75" s="15">
        <v>6147525120</v>
      </c>
      <c r="BB75" s="15">
        <v>6912074240</v>
      </c>
      <c r="BC75" s="15">
        <v>7687521792</v>
      </c>
      <c r="BD75" s="15">
        <v>7851127808</v>
      </c>
      <c r="BE75" s="15">
        <v>8279480832</v>
      </c>
      <c r="BF75" s="15">
        <v>8582588928</v>
      </c>
      <c r="BG75" s="15">
        <v>8734161920</v>
      </c>
      <c r="BH75" s="15">
        <v>9253098496</v>
      </c>
      <c r="BI75" s="15">
        <v>9627720704</v>
      </c>
      <c r="BJ75" s="15">
        <v>10122472448</v>
      </c>
    </row>
    <row r="76" spans="1:62" x14ac:dyDescent="0.45">
      <c r="A76" t="s">
        <v>26</v>
      </c>
      <c r="B76" t="s">
        <v>148</v>
      </c>
      <c r="C76" s="15">
        <v>1003692352</v>
      </c>
      <c r="D76" s="15">
        <v>1058975296</v>
      </c>
      <c r="E76" s="15">
        <v>1085475584</v>
      </c>
      <c r="F76" s="15">
        <v>1122139648</v>
      </c>
      <c r="G76" s="15">
        <v>1188930560</v>
      </c>
      <c r="H76" s="15">
        <v>1210058368</v>
      </c>
      <c r="I76" s="15">
        <v>1246908416</v>
      </c>
      <c r="J76" s="15">
        <v>1246480896</v>
      </c>
      <c r="K76" s="15">
        <v>1309384832</v>
      </c>
      <c r="L76" s="15">
        <v>1245234816</v>
      </c>
      <c r="M76" s="15">
        <v>1297407872</v>
      </c>
      <c r="N76" s="15">
        <v>1339548800</v>
      </c>
      <c r="O76" s="15">
        <v>1620857216</v>
      </c>
      <c r="P76" s="15">
        <v>1863398400</v>
      </c>
      <c r="Q76" s="15">
        <v>2099324928</v>
      </c>
      <c r="R76" s="15">
        <v>2830388480</v>
      </c>
      <c r="S76" s="15">
        <v>2869777920</v>
      </c>
      <c r="T76" s="15">
        <v>2938046208</v>
      </c>
      <c r="U76" s="15">
        <v>3280354304</v>
      </c>
      <c r="V76" s="15">
        <v>4084878592</v>
      </c>
      <c r="W76" s="15">
        <v>4435050496</v>
      </c>
      <c r="X76" s="15">
        <v>4021697280</v>
      </c>
      <c r="Y76" s="15">
        <v>3936758784</v>
      </c>
      <c r="Z76" s="15">
        <v>3512053248</v>
      </c>
      <c r="AA76" s="15">
        <v>3425127424</v>
      </c>
      <c r="AB76" s="15">
        <v>3750056448</v>
      </c>
      <c r="AC76" s="15">
        <v>5304238080</v>
      </c>
      <c r="AD76" s="15">
        <v>6381385728</v>
      </c>
      <c r="AE76" s="15">
        <v>6311054848</v>
      </c>
      <c r="AF76" s="15">
        <v>6219793408</v>
      </c>
      <c r="AG76" s="15">
        <v>7237100544</v>
      </c>
      <c r="AH76" s="15">
        <v>7111252992</v>
      </c>
      <c r="AI76" s="15">
        <v>7602005504</v>
      </c>
      <c r="AJ76" s="15">
        <v>7189226496</v>
      </c>
      <c r="AK76" s="15">
        <v>4908415488</v>
      </c>
      <c r="AL76" s="15">
        <v>6176312320</v>
      </c>
      <c r="AM76" s="15">
        <v>6413189632</v>
      </c>
      <c r="AN76" s="15">
        <v>5915250176</v>
      </c>
      <c r="AO76" s="15">
        <v>6368265216</v>
      </c>
      <c r="AP76" s="15">
        <v>6512207872</v>
      </c>
      <c r="AQ76" s="15">
        <v>5924239872</v>
      </c>
      <c r="AR76" s="15">
        <v>6174898176</v>
      </c>
      <c r="AS76" s="15">
        <v>6752510464</v>
      </c>
      <c r="AT76" s="15">
        <v>8683229184</v>
      </c>
      <c r="AU76" s="15">
        <v>10167441408</v>
      </c>
      <c r="AV76" s="15">
        <v>11022821376</v>
      </c>
      <c r="AW76" s="15">
        <v>11847847936</v>
      </c>
      <c r="AX76" s="15">
        <v>14285970432</v>
      </c>
      <c r="AY76" s="15">
        <v>16949789696</v>
      </c>
      <c r="AZ76" s="15">
        <v>16248212480</v>
      </c>
      <c r="BA76" s="15">
        <v>16230888448</v>
      </c>
      <c r="BB76" s="15">
        <v>17902206976</v>
      </c>
      <c r="BC76" s="15">
        <v>17824399360</v>
      </c>
      <c r="BD76" s="15">
        <v>18965571584</v>
      </c>
      <c r="BE76" s="15">
        <v>19797254144</v>
      </c>
      <c r="BF76" s="15">
        <v>17774766080</v>
      </c>
      <c r="BG76" s="15">
        <v>19040313344</v>
      </c>
      <c r="BH76" s="15">
        <v>20996564992</v>
      </c>
      <c r="BI76" s="15">
        <v>23236007936</v>
      </c>
      <c r="BJ76" s="15">
        <v>23578083328</v>
      </c>
    </row>
    <row r="77" spans="1:62" x14ac:dyDescent="0.45">
      <c r="A77" t="s">
        <v>26</v>
      </c>
      <c r="B77" t="s">
        <v>149</v>
      </c>
      <c r="C77" s="15">
        <v>12012025</v>
      </c>
      <c r="D77" s="15">
        <v>11592024</v>
      </c>
      <c r="E77" s="15">
        <v>12642027</v>
      </c>
      <c r="F77" s="15">
        <v>13923029</v>
      </c>
      <c r="G77" s="15">
        <v>15393032</v>
      </c>
      <c r="H77" s="15">
        <v>15603033</v>
      </c>
      <c r="I77" s="15">
        <v>16443035</v>
      </c>
      <c r="J77" s="15">
        <v>16632033</v>
      </c>
      <c r="K77" s="15">
        <v>16074027</v>
      </c>
      <c r="L77" s="15">
        <v>16452028</v>
      </c>
      <c r="M77" s="15">
        <v>18432032</v>
      </c>
      <c r="N77" s="15">
        <v>21965952</v>
      </c>
      <c r="O77" s="15">
        <v>30645120</v>
      </c>
      <c r="P77" s="15">
        <v>36896280</v>
      </c>
      <c r="Q77" s="15">
        <v>43134500</v>
      </c>
      <c r="R77" s="15">
        <v>47803144</v>
      </c>
      <c r="S77" s="15">
        <v>49278980</v>
      </c>
      <c r="T77" s="15">
        <v>64526400</v>
      </c>
      <c r="U77" s="15">
        <v>85552368</v>
      </c>
      <c r="V77" s="15">
        <v>127261096</v>
      </c>
      <c r="W77" s="15">
        <v>147357216</v>
      </c>
      <c r="X77" s="15">
        <v>154902864</v>
      </c>
      <c r="Y77" s="15">
        <v>147912064</v>
      </c>
      <c r="Z77" s="15">
        <v>146712848</v>
      </c>
      <c r="AA77" s="15">
        <v>151313248</v>
      </c>
      <c r="AB77" s="15">
        <v>168887536</v>
      </c>
      <c r="AC77" s="15">
        <v>207850624</v>
      </c>
      <c r="AD77" s="15">
        <v>249267040</v>
      </c>
      <c r="AE77" s="15">
        <v>283828768</v>
      </c>
      <c r="AF77" s="15">
        <v>304832864</v>
      </c>
      <c r="AG77" s="15">
        <v>368584768</v>
      </c>
      <c r="AH77" s="15">
        <v>374359552</v>
      </c>
      <c r="AI77" s="15">
        <v>433667200</v>
      </c>
      <c r="AJ77" s="15">
        <v>473916832</v>
      </c>
      <c r="AK77" s="15">
        <v>486451200</v>
      </c>
      <c r="AL77" s="15">
        <v>508221504</v>
      </c>
      <c r="AM77" s="15">
        <v>503068480</v>
      </c>
      <c r="AN77" s="15">
        <v>562958848</v>
      </c>
      <c r="AO77" s="15">
        <v>608369280</v>
      </c>
      <c r="AP77" s="15">
        <v>622985472</v>
      </c>
      <c r="AQ77" s="15">
        <v>614879744</v>
      </c>
      <c r="AR77" s="15">
        <v>622262080</v>
      </c>
      <c r="AS77" s="15">
        <v>697518272</v>
      </c>
      <c r="AT77" s="15">
        <v>705704832</v>
      </c>
      <c r="AU77" s="15">
        <v>839319936</v>
      </c>
      <c r="AV77" s="15">
        <v>919103232</v>
      </c>
      <c r="AW77" s="15">
        <v>1016418240</v>
      </c>
      <c r="AX77" s="15">
        <v>1033561664</v>
      </c>
      <c r="AY77" s="15">
        <v>967199616</v>
      </c>
      <c r="AZ77" s="15">
        <v>847397824</v>
      </c>
      <c r="BA77" s="15">
        <v>969936512</v>
      </c>
      <c r="BB77" s="15">
        <v>1065826688</v>
      </c>
      <c r="BC77" s="15">
        <v>1060226112</v>
      </c>
      <c r="BD77" s="15">
        <v>1328157568</v>
      </c>
      <c r="BE77" s="15">
        <v>1343007872</v>
      </c>
      <c r="BF77" s="15">
        <v>1377495040</v>
      </c>
      <c r="BG77" s="15">
        <v>1426651776</v>
      </c>
      <c r="BH77" s="15">
        <v>1524486784</v>
      </c>
      <c r="BI77" s="15">
        <v>1586008960</v>
      </c>
      <c r="BJ77" s="15">
        <v>1698843008</v>
      </c>
    </row>
    <row r="78" spans="1:62" x14ac:dyDescent="0.45">
      <c r="A78" t="s">
        <v>26</v>
      </c>
      <c r="B78" t="s">
        <v>150</v>
      </c>
      <c r="C78" s="15">
        <v>322009472</v>
      </c>
      <c r="D78" s="15">
        <v>327834688</v>
      </c>
      <c r="E78" s="15">
        <v>342721568</v>
      </c>
      <c r="F78" s="15">
        <v>348546944</v>
      </c>
      <c r="G78" s="15">
        <v>371848128</v>
      </c>
      <c r="H78" s="15">
        <v>359379872</v>
      </c>
      <c r="I78" s="15">
        <v>375479840</v>
      </c>
      <c r="J78" s="15">
        <v>348795296</v>
      </c>
      <c r="K78" s="15">
        <v>329860096</v>
      </c>
      <c r="L78" s="15">
        <v>408690176</v>
      </c>
      <c r="M78" s="15">
        <v>434410368</v>
      </c>
      <c r="N78" s="15">
        <v>419549440</v>
      </c>
      <c r="O78" s="15">
        <v>465381088</v>
      </c>
      <c r="P78" s="15">
        <v>575230208</v>
      </c>
      <c r="Q78" s="15">
        <v>648590656</v>
      </c>
      <c r="R78" s="15">
        <v>679335872</v>
      </c>
      <c r="S78" s="15">
        <v>594895680</v>
      </c>
      <c r="T78" s="15">
        <v>691777728</v>
      </c>
      <c r="U78" s="15">
        <v>960728320</v>
      </c>
      <c r="V78" s="15">
        <v>1109374720</v>
      </c>
      <c r="W78" s="15">
        <v>1100685824</v>
      </c>
      <c r="X78" s="15">
        <v>1114830464</v>
      </c>
      <c r="Y78" s="15">
        <v>1295361920</v>
      </c>
      <c r="Z78" s="15">
        <v>995104320</v>
      </c>
      <c r="AA78" s="15">
        <v>1087471872</v>
      </c>
      <c r="AB78" s="15">
        <v>856890496</v>
      </c>
      <c r="AC78" s="15">
        <v>490181472</v>
      </c>
      <c r="AD78" s="15">
        <v>701307584</v>
      </c>
      <c r="AE78" s="15">
        <v>1055083968</v>
      </c>
      <c r="AF78" s="15">
        <v>932974400</v>
      </c>
      <c r="AG78" s="15">
        <v>649644800</v>
      </c>
      <c r="AH78" s="15">
        <v>779981440</v>
      </c>
      <c r="AI78" s="15">
        <v>679998016</v>
      </c>
      <c r="AJ78" s="15">
        <v>768812352</v>
      </c>
      <c r="AK78" s="15">
        <v>911915968</v>
      </c>
      <c r="AL78" s="15">
        <v>870758720</v>
      </c>
      <c r="AM78" s="15">
        <v>941742144</v>
      </c>
      <c r="AN78" s="15">
        <v>850218048</v>
      </c>
      <c r="AO78" s="15">
        <v>672375936</v>
      </c>
      <c r="AP78" s="15">
        <v>669384768</v>
      </c>
      <c r="AQ78" s="15">
        <v>635873984</v>
      </c>
      <c r="AR78" s="15">
        <v>1090467712</v>
      </c>
      <c r="AS78" s="15">
        <v>1253340544</v>
      </c>
      <c r="AT78" s="15">
        <v>1385810048</v>
      </c>
      <c r="AU78" s="15">
        <v>1448536576</v>
      </c>
      <c r="AV78" s="15">
        <v>1650494336</v>
      </c>
      <c r="AW78" s="15">
        <v>1885112192</v>
      </c>
      <c r="AX78" s="15">
        <v>2158496768</v>
      </c>
      <c r="AY78" s="15">
        <v>2505458688</v>
      </c>
      <c r="AZ78" s="15">
        <v>2453899776</v>
      </c>
      <c r="BA78" s="15">
        <v>2578026240</v>
      </c>
      <c r="BB78" s="15">
        <v>2942546688</v>
      </c>
      <c r="BC78" s="15">
        <v>3801862656</v>
      </c>
      <c r="BD78" s="15">
        <v>4920343040</v>
      </c>
      <c r="BE78" s="15">
        <v>5015157760</v>
      </c>
      <c r="BF78" s="15">
        <v>4218723840</v>
      </c>
      <c r="BG78" s="15">
        <v>3674794496</v>
      </c>
      <c r="BH78" s="15">
        <v>3739577856</v>
      </c>
      <c r="BI78" s="15">
        <v>4085114880</v>
      </c>
      <c r="BJ78" s="15">
        <v>3941474304</v>
      </c>
    </row>
    <row r="79" spans="1:62" x14ac:dyDescent="0.45">
      <c r="A79" t="s">
        <v>26</v>
      </c>
      <c r="B79" t="s">
        <v>151</v>
      </c>
      <c r="C79" s="15">
        <v>7575396864</v>
      </c>
      <c r="D79" s="15">
        <v>7972996608</v>
      </c>
      <c r="E79" s="15">
        <v>8497996800</v>
      </c>
      <c r="F79" s="15">
        <v>9423395840</v>
      </c>
      <c r="G79" s="15">
        <v>10373995520</v>
      </c>
      <c r="H79" s="15">
        <v>11334395904</v>
      </c>
      <c r="I79" s="15">
        <v>12354995200</v>
      </c>
      <c r="J79" s="15">
        <v>13777394688</v>
      </c>
      <c r="K79" s="15">
        <v>14894594048</v>
      </c>
      <c r="L79" s="15">
        <v>16780393472</v>
      </c>
      <c r="M79" s="15">
        <v>18418393088</v>
      </c>
      <c r="N79" s="15">
        <v>20333690880</v>
      </c>
      <c r="O79" s="15">
        <v>21357436928</v>
      </c>
      <c r="P79" s="15">
        <v>29295675392</v>
      </c>
      <c r="Q79" s="15">
        <v>36807720960</v>
      </c>
      <c r="R79" s="15">
        <v>38114541568</v>
      </c>
      <c r="S79" s="15">
        <v>36603351040</v>
      </c>
      <c r="T79" s="15">
        <v>40651350016</v>
      </c>
      <c r="U79" s="15">
        <v>46739451904</v>
      </c>
      <c r="V79" s="15">
        <v>57645719552</v>
      </c>
      <c r="W79" s="15">
        <v>82980487168</v>
      </c>
      <c r="X79" s="15">
        <v>85454422016</v>
      </c>
      <c r="Y79" s="15">
        <v>78423056384</v>
      </c>
      <c r="Z79" s="15">
        <v>87415848960</v>
      </c>
      <c r="AA79" s="15">
        <v>77344096256</v>
      </c>
      <c r="AB79" s="15">
        <v>59082637312</v>
      </c>
      <c r="AC79" s="15">
        <v>67521601536</v>
      </c>
      <c r="AD79" s="15">
        <v>88573698048</v>
      </c>
      <c r="AE79" s="15">
        <v>95176638464</v>
      </c>
      <c r="AF79" s="15">
        <v>99030859776</v>
      </c>
      <c r="AG79" s="15">
        <v>115552346112</v>
      </c>
      <c r="AH79" s="15">
        <v>123942756352</v>
      </c>
      <c r="AI79" s="15">
        <v>134544564224</v>
      </c>
      <c r="AJ79" s="15">
        <v>134308052992</v>
      </c>
      <c r="AK79" s="15">
        <v>139752521728</v>
      </c>
      <c r="AL79" s="15">
        <v>155460927488</v>
      </c>
      <c r="AM79" s="15">
        <v>147606290432</v>
      </c>
      <c r="AN79" s="15">
        <v>152587419648</v>
      </c>
      <c r="AO79" s="15">
        <v>137774759936</v>
      </c>
      <c r="AP79" s="15">
        <v>136632320000</v>
      </c>
      <c r="AQ79" s="15">
        <v>136361295872</v>
      </c>
      <c r="AR79" s="15">
        <v>121514655744</v>
      </c>
      <c r="AS79" s="15">
        <v>115482370048</v>
      </c>
      <c r="AT79" s="15">
        <v>175256911872</v>
      </c>
      <c r="AU79" s="15">
        <v>228590026752</v>
      </c>
      <c r="AV79" s="15">
        <v>257772716032</v>
      </c>
      <c r="AW79" s="15">
        <v>271638478848</v>
      </c>
      <c r="AX79" s="15">
        <v>299415502848</v>
      </c>
      <c r="AY79" s="15">
        <v>286769840128</v>
      </c>
      <c r="AZ79" s="15">
        <v>295936491520</v>
      </c>
      <c r="BA79" s="15">
        <v>375349444608</v>
      </c>
      <c r="BB79" s="15">
        <v>416418889728</v>
      </c>
      <c r="BC79" s="15">
        <v>396332695552</v>
      </c>
      <c r="BD79" s="15">
        <v>366829404160</v>
      </c>
      <c r="BE79" s="15">
        <v>350904582144</v>
      </c>
      <c r="BF79" s="15">
        <v>317620518912</v>
      </c>
      <c r="BG79" s="15">
        <v>296357298176</v>
      </c>
      <c r="BH79" s="15">
        <v>349554114560</v>
      </c>
      <c r="BI79" s="15">
        <v>368288923648</v>
      </c>
      <c r="BJ79" s="15">
        <v>351431655424</v>
      </c>
    </row>
    <row r="80" spans="1:62" x14ac:dyDescent="0.45">
      <c r="A80" t="s">
        <v>26</v>
      </c>
      <c r="B80" t="s">
        <v>152</v>
      </c>
      <c r="C80" s="15">
        <v>1307333376</v>
      </c>
      <c r="D80" s="15">
        <v>1419333376</v>
      </c>
      <c r="E80" s="15">
        <v>1541666688</v>
      </c>
      <c r="F80" s="15">
        <v>1568333312</v>
      </c>
      <c r="G80" s="15">
        <v>1611333376</v>
      </c>
      <c r="H80" s="15">
        <v>1679333376</v>
      </c>
      <c r="I80" s="15">
        <v>1723000064</v>
      </c>
      <c r="J80" s="15">
        <v>1865666688</v>
      </c>
      <c r="K80" s="15">
        <v>1947333376</v>
      </c>
      <c r="L80" s="15">
        <v>2144333312</v>
      </c>
      <c r="M80" s="15">
        <v>2437666560</v>
      </c>
      <c r="N80" s="15">
        <v>2656000000</v>
      </c>
      <c r="O80" s="15">
        <v>2881999872</v>
      </c>
      <c r="P80" s="15">
        <v>3571666688</v>
      </c>
      <c r="Q80" s="15">
        <v>4594999808</v>
      </c>
      <c r="R80" s="15">
        <v>5598000128</v>
      </c>
      <c r="S80" s="15">
        <v>6979333120</v>
      </c>
      <c r="T80" s="15">
        <v>8704000000</v>
      </c>
      <c r="U80" s="15">
        <v>7670499840</v>
      </c>
      <c r="V80" s="15">
        <v>9032250368</v>
      </c>
      <c r="W80" s="15">
        <v>7459833344</v>
      </c>
      <c r="X80" s="15">
        <v>10016499712</v>
      </c>
      <c r="Y80" s="15">
        <v>9240000512</v>
      </c>
      <c r="Z80" s="15">
        <v>8230153728</v>
      </c>
      <c r="AA80" s="15">
        <v>9701357568</v>
      </c>
      <c r="AB80" s="15">
        <v>12403733504</v>
      </c>
      <c r="AC80" s="15">
        <v>15769062400</v>
      </c>
      <c r="AD80" s="15">
        <v>20155555840</v>
      </c>
      <c r="AE80" s="15">
        <v>15399166976</v>
      </c>
      <c r="AF80" s="15">
        <v>15291507712</v>
      </c>
      <c r="AG80" s="15">
        <v>12408647680</v>
      </c>
      <c r="AH80" s="15">
        <v>11379222528</v>
      </c>
      <c r="AI80" s="15">
        <v>7034219520</v>
      </c>
      <c r="AJ80" s="15">
        <v>8881785856</v>
      </c>
      <c r="AK80" s="15">
        <v>12794191872</v>
      </c>
      <c r="AL80" s="15">
        <v>13829744640</v>
      </c>
      <c r="AM80" s="15">
        <v>9018243072</v>
      </c>
      <c r="AN80" s="15">
        <v>11681495040</v>
      </c>
      <c r="AO80" s="15">
        <v>11250327552</v>
      </c>
      <c r="AP80" s="15">
        <v>10682045440</v>
      </c>
      <c r="AQ80" s="15">
        <v>12257418240</v>
      </c>
      <c r="AR80" s="15">
        <v>13182980096</v>
      </c>
      <c r="AS80" s="15">
        <v>14803188736</v>
      </c>
      <c r="AT80" s="15">
        <v>17646503936</v>
      </c>
      <c r="AU80" s="15">
        <v>21457469440</v>
      </c>
      <c r="AV80" s="15">
        <v>26524538880</v>
      </c>
      <c r="AW80" s="15">
        <v>35822407680</v>
      </c>
      <c r="AX80" s="15">
        <v>45898948608</v>
      </c>
      <c r="AY80" s="15">
        <v>54526578688</v>
      </c>
      <c r="AZ80" s="15">
        <v>49957203968</v>
      </c>
      <c r="BA80" s="15">
        <v>61739814912</v>
      </c>
      <c r="BB80" s="15">
        <v>57891983360</v>
      </c>
      <c r="BC80" s="15">
        <v>52766720000</v>
      </c>
      <c r="BD80" s="15">
        <v>57730424832</v>
      </c>
      <c r="BE80" s="15">
        <v>64941776896</v>
      </c>
      <c r="BF80" s="15">
        <v>74294468608</v>
      </c>
      <c r="BG80" s="15">
        <v>51772231680</v>
      </c>
      <c r="BH80" s="15">
        <v>45379129344</v>
      </c>
      <c r="BI80" s="15">
        <v>26078607360</v>
      </c>
      <c r="BJ80" s="15">
        <v>18902284288</v>
      </c>
    </row>
    <row r="81" spans="1:62" x14ac:dyDescent="0.45">
      <c r="A81" t="s">
        <v>26</v>
      </c>
      <c r="B81" t="s">
        <v>153</v>
      </c>
      <c r="C81" s="15">
        <v>99650000</v>
      </c>
      <c r="D81" s="15">
        <v>107700000</v>
      </c>
      <c r="E81" s="15">
        <v>116150000</v>
      </c>
      <c r="F81" s="15">
        <v>125950000</v>
      </c>
      <c r="G81" s="15">
        <v>134400000</v>
      </c>
      <c r="H81" s="15">
        <v>154150000</v>
      </c>
      <c r="I81" s="15">
        <v>190350000</v>
      </c>
      <c r="J81" s="15">
        <v>220700000</v>
      </c>
      <c r="K81" s="15">
        <v>241350000</v>
      </c>
      <c r="L81" s="15">
        <v>259650000</v>
      </c>
      <c r="M81" s="15">
        <v>274900000</v>
      </c>
      <c r="N81" s="15">
        <v>301000000</v>
      </c>
      <c r="O81" s="15">
        <v>311950016</v>
      </c>
      <c r="P81" s="15">
        <v>339449984</v>
      </c>
      <c r="Q81" s="15">
        <v>409849984</v>
      </c>
      <c r="R81" s="15">
        <v>465500000</v>
      </c>
      <c r="S81" s="15">
        <v>505500000</v>
      </c>
      <c r="T81" s="15">
        <v>641500032</v>
      </c>
      <c r="U81" s="15">
        <v>735500032</v>
      </c>
      <c r="V81" s="15">
        <v>782499968</v>
      </c>
      <c r="W81" s="15">
        <v>795000000</v>
      </c>
      <c r="X81" s="15">
        <v>889000000</v>
      </c>
      <c r="Y81" s="15">
        <v>915000000</v>
      </c>
      <c r="Z81" s="15">
        <v>883500032</v>
      </c>
      <c r="AA81" s="15">
        <v>864000000</v>
      </c>
      <c r="AB81" s="15">
        <v>873000000</v>
      </c>
      <c r="AC81" s="15">
        <v>891000000</v>
      </c>
      <c r="AD81" s="15">
        <v>980000000</v>
      </c>
      <c r="AE81" s="15">
        <v>1160999936</v>
      </c>
      <c r="AF81" s="15">
        <v>542600000</v>
      </c>
      <c r="AG81" s="15">
        <v>388400000</v>
      </c>
      <c r="AH81" s="15">
        <v>448100000</v>
      </c>
      <c r="AI81" s="15">
        <v>404600000</v>
      </c>
      <c r="AJ81" s="15">
        <v>428764704</v>
      </c>
      <c r="AK81" s="15">
        <v>605492544</v>
      </c>
      <c r="AL81" s="15">
        <v>691590528</v>
      </c>
      <c r="AM81" s="15">
        <v>861411456</v>
      </c>
      <c r="AN81" s="15">
        <v>926422528</v>
      </c>
      <c r="AO81" s="15">
        <v>1110850048</v>
      </c>
      <c r="AP81" s="15">
        <v>886290688</v>
      </c>
      <c r="AQ81" s="15">
        <v>947672000</v>
      </c>
      <c r="AR81" s="15">
        <v>834279360</v>
      </c>
      <c r="AS81" s="15">
        <v>1093574528</v>
      </c>
      <c r="AT81" s="15">
        <v>1274190336</v>
      </c>
      <c r="AU81" s="15">
        <v>1484092544</v>
      </c>
      <c r="AV81" s="15">
        <v>1793388672</v>
      </c>
      <c r="AW81" s="15">
        <v>2626380544</v>
      </c>
      <c r="AX81" s="15">
        <v>2936612096</v>
      </c>
      <c r="AY81" s="15">
        <v>3532968960</v>
      </c>
      <c r="AZ81" s="15">
        <v>3875409920</v>
      </c>
      <c r="BA81" s="15">
        <v>4368397824</v>
      </c>
      <c r="BB81" s="15">
        <v>4422276608</v>
      </c>
      <c r="BC81" s="15">
        <v>4979999744</v>
      </c>
      <c r="BD81" s="15">
        <v>5145757696</v>
      </c>
      <c r="BE81" s="15">
        <v>5240606208</v>
      </c>
      <c r="BF81" s="15">
        <v>4787367936</v>
      </c>
      <c r="BG81" s="15">
        <v>3128953600</v>
      </c>
      <c r="BH81" s="15">
        <v>3210064384</v>
      </c>
      <c r="BI81" s="15">
        <v>3458090496</v>
      </c>
      <c r="BJ81" s="15">
        <v>3985250816</v>
      </c>
    </row>
    <row r="82" spans="1:62" x14ac:dyDescent="0.45">
      <c r="A82" t="s">
        <v>26</v>
      </c>
      <c r="B82" t="s">
        <v>154</v>
      </c>
      <c r="C82" s="15">
        <v>2760747520</v>
      </c>
      <c r="D82" s="15">
        <v>3034043648</v>
      </c>
      <c r="E82" s="15">
        <v>3308912896</v>
      </c>
      <c r="F82" s="15">
        <v>3540403456</v>
      </c>
      <c r="G82" s="15">
        <v>3889129984</v>
      </c>
      <c r="H82" s="15">
        <v>4388937728</v>
      </c>
      <c r="I82" s="15">
        <v>5279230976</v>
      </c>
      <c r="J82" s="15">
        <v>5638461440</v>
      </c>
      <c r="K82" s="15">
        <v>6081009664</v>
      </c>
      <c r="L82" s="15">
        <v>6695336448</v>
      </c>
      <c r="M82" s="15">
        <v>7086538240</v>
      </c>
      <c r="N82" s="15">
        <v>7375000064</v>
      </c>
      <c r="O82" s="15">
        <v>8177884672</v>
      </c>
      <c r="P82" s="15">
        <v>10838587392</v>
      </c>
      <c r="Q82" s="15">
        <v>13703000064</v>
      </c>
      <c r="R82" s="15">
        <v>14882748416</v>
      </c>
      <c r="S82" s="15">
        <v>16985210880</v>
      </c>
      <c r="T82" s="15">
        <v>19779315712</v>
      </c>
      <c r="U82" s="15">
        <v>24006569984</v>
      </c>
      <c r="V82" s="15">
        <v>27371698176</v>
      </c>
      <c r="W82" s="15">
        <v>32353439744</v>
      </c>
      <c r="X82" s="15">
        <v>34846109696</v>
      </c>
      <c r="Y82" s="15">
        <v>36589797376</v>
      </c>
      <c r="Z82" s="15">
        <v>40042827776</v>
      </c>
      <c r="AA82" s="15">
        <v>41797591040</v>
      </c>
      <c r="AB82" s="15">
        <v>38900690944</v>
      </c>
      <c r="AC82" s="15">
        <v>43096748032</v>
      </c>
      <c r="AD82" s="15">
        <v>50535440384</v>
      </c>
      <c r="AE82" s="15">
        <v>61667201024</v>
      </c>
      <c r="AF82" s="15">
        <v>72250875904</v>
      </c>
      <c r="AG82" s="15">
        <v>85343059968</v>
      </c>
      <c r="AH82" s="15">
        <v>98234695680</v>
      </c>
      <c r="AI82" s="15">
        <v>111452872704</v>
      </c>
      <c r="AJ82" s="15">
        <v>128889315328</v>
      </c>
      <c r="AK82" s="15">
        <v>146683494400</v>
      </c>
      <c r="AL82" s="15">
        <v>169278750720</v>
      </c>
      <c r="AM82" s="15">
        <v>183035117568</v>
      </c>
      <c r="AN82" s="15">
        <v>150180626432</v>
      </c>
      <c r="AO82" s="15">
        <v>113675558912</v>
      </c>
      <c r="AP82" s="15">
        <v>126669062144</v>
      </c>
      <c r="AQ82" s="15">
        <v>126392229888</v>
      </c>
      <c r="AR82" s="15">
        <v>120296472576</v>
      </c>
      <c r="AS82" s="15">
        <v>134300852224</v>
      </c>
      <c r="AT82" s="15">
        <v>152280678400</v>
      </c>
      <c r="AU82" s="15">
        <v>172895748096</v>
      </c>
      <c r="AV82" s="15">
        <v>189318545408</v>
      </c>
      <c r="AW82" s="15">
        <v>221758193664</v>
      </c>
      <c r="AX82" s="15">
        <v>262942474240</v>
      </c>
      <c r="AY82" s="15">
        <v>291382984704</v>
      </c>
      <c r="AZ82" s="15">
        <v>281710428160</v>
      </c>
      <c r="BA82" s="15">
        <v>341104820224</v>
      </c>
      <c r="BB82" s="15">
        <v>370819137536</v>
      </c>
      <c r="BC82" s="15">
        <v>397558218752</v>
      </c>
      <c r="BD82" s="15">
        <v>420333191168</v>
      </c>
      <c r="BE82" s="15">
        <v>407339368448</v>
      </c>
      <c r="BF82" s="15">
        <v>401295933440</v>
      </c>
      <c r="BG82" s="15">
        <v>413430120448</v>
      </c>
      <c r="BH82" s="15">
        <v>456294694912</v>
      </c>
      <c r="BI82" s="15">
        <v>506514112512</v>
      </c>
      <c r="BJ82" s="15">
        <v>543649988608</v>
      </c>
    </row>
    <row r="83" spans="1:62" x14ac:dyDescent="0.45">
      <c r="A83" t="s">
        <v>26</v>
      </c>
      <c r="B83" t="s">
        <v>155</v>
      </c>
      <c r="C83" s="15">
        <v>121128072</v>
      </c>
      <c r="D83" s="15">
        <v>126396472</v>
      </c>
      <c r="E83" s="15">
        <v>132237440</v>
      </c>
      <c r="F83" s="15">
        <v>143255792</v>
      </c>
      <c r="G83" s="15">
        <v>166104064</v>
      </c>
      <c r="H83" s="15">
        <v>187300336</v>
      </c>
      <c r="I83" s="15">
        <v>216136256</v>
      </c>
      <c r="J83" s="15">
        <v>231706480</v>
      </c>
      <c r="K83" s="15">
        <v>241956912</v>
      </c>
      <c r="L83" s="15">
        <v>267732448</v>
      </c>
      <c r="M83" s="15">
        <v>253976624</v>
      </c>
      <c r="N83" s="15">
        <v>286537536</v>
      </c>
      <c r="O83" s="15">
        <v>335677632</v>
      </c>
      <c r="P83" s="15">
        <v>406479904</v>
      </c>
      <c r="Q83" s="15">
        <v>560437760</v>
      </c>
      <c r="R83" s="15">
        <v>617321664</v>
      </c>
      <c r="S83" s="15">
        <v>619375104</v>
      </c>
      <c r="T83" s="15">
        <v>777435008</v>
      </c>
      <c r="U83" s="15">
        <v>824263872</v>
      </c>
      <c r="V83" s="15">
        <v>891775936</v>
      </c>
      <c r="W83" s="15">
        <v>1136408832</v>
      </c>
      <c r="X83" s="15">
        <v>962347008</v>
      </c>
      <c r="Y83" s="15">
        <v>821651904</v>
      </c>
      <c r="Z83" s="15">
        <v>765746560</v>
      </c>
      <c r="AA83" s="15">
        <v>718148928</v>
      </c>
      <c r="AB83" s="15">
        <v>762359744</v>
      </c>
      <c r="AC83" s="15">
        <v>1060911744</v>
      </c>
      <c r="AD83" s="15">
        <v>1249099136</v>
      </c>
      <c r="AE83" s="15">
        <v>1378847488</v>
      </c>
      <c r="AF83" s="15">
        <v>1352949632</v>
      </c>
      <c r="AG83" s="15">
        <v>1628427520</v>
      </c>
      <c r="AH83" s="15">
        <v>1602299904</v>
      </c>
      <c r="AI83" s="15">
        <v>1692959104</v>
      </c>
      <c r="AJ83" s="15">
        <v>1233496832</v>
      </c>
      <c r="AK83" s="15">
        <v>982624320</v>
      </c>
      <c r="AL83" s="15">
        <v>1309382912</v>
      </c>
      <c r="AM83" s="15">
        <v>1465448320</v>
      </c>
      <c r="AN83" s="15">
        <v>1498950912</v>
      </c>
      <c r="AO83" s="15">
        <v>1587345920</v>
      </c>
      <c r="AP83" s="15">
        <v>1576094592</v>
      </c>
      <c r="AQ83" s="15">
        <v>1488185728</v>
      </c>
      <c r="AR83" s="15">
        <v>1481141888</v>
      </c>
      <c r="AS83" s="15">
        <v>1698678656</v>
      </c>
      <c r="AT83" s="15">
        <v>2111093248</v>
      </c>
      <c r="AU83" s="15">
        <v>2255942144</v>
      </c>
      <c r="AV83" s="15">
        <v>2280575744</v>
      </c>
      <c r="AW83" s="15">
        <v>2349495552</v>
      </c>
      <c r="AX83" s="15">
        <v>2659095040</v>
      </c>
      <c r="AY83" s="15">
        <v>3310277888</v>
      </c>
      <c r="AZ83" s="15">
        <v>3365711872</v>
      </c>
      <c r="BA83" s="15">
        <v>3429461504</v>
      </c>
      <c r="BB83" s="15">
        <v>3872459264</v>
      </c>
      <c r="BC83" s="15">
        <v>3873308416</v>
      </c>
      <c r="BD83" s="15">
        <v>4321655808</v>
      </c>
      <c r="BE83" s="15">
        <v>4574986752</v>
      </c>
      <c r="BF83" s="15">
        <v>4180866304</v>
      </c>
      <c r="BG83" s="15">
        <v>4486979072</v>
      </c>
      <c r="BH83" s="15">
        <v>4819950080</v>
      </c>
      <c r="BI83" s="15">
        <v>5356344832</v>
      </c>
      <c r="BJ83" s="15">
        <v>5459979264</v>
      </c>
    </row>
    <row r="84" spans="1:62" x14ac:dyDescent="0.45">
      <c r="A84" t="s">
        <v>26</v>
      </c>
      <c r="B84" t="s">
        <v>156</v>
      </c>
      <c r="C84" s="15">
        <v>535670112</v>
      </c>
      <c r="D84" s="15">
        <v>584961216</v>
      </c>
      <c r="E84" s="15">
        <v>619319168</v>
      </c>
      <c r="F84" s="15">
        <v>678235392</v>
      </c>
      <c r="G84" s="15">
        <v>711893376</v>
      </c>
      <c r="H84" s="15">
        <v>736568832</v>
      </c>
      <c r="I84" s="15">
        <v>723735616</v>
      </c>
      <c r="J84" s="15">
        <v>761981504</v>
      </c>
      <c r="K84" s="15">
        <v>758899968</v>
      </c>
      <c r="L84" s="15">
        <v>779200000</v>
      </c>
      <c r="M84" s="15">
        <v>821849984</v>
      </c>
      <c r="N84" s="15">
        <v>896754304</v>
      </c>
      <c r="O84" s="15">
        <v>1083380992</v>
      </c>
      <c r="P84" s="15">
        <v>1308799488</v>
      </c>
      <c r="Q84" s="15">
        <v>2042031872</v>
      </c>
      <c r="R84" s="15">
        <v>2442667520</v>
      </c>
      <c r="S84" s="15">
        <v>2500410624</v>
      </c>
      <c r="T84" s="15">
        <v>3138666752</v>
      </c>
      <c r="U84" s="15">
        <v>3562333440</v>
      </c>
      <c r="V84" s="15">
        <v>4602416640</v>
      </c>
      <c r="W84" s="15">
        <v>6235833344</v>
      </c>
      <c r="X84" s="15">
        <v>6992083456</v>
      </c>
      <c r="Y84" s="15">
        <v>8140416512</v>
      </c>
      <c r="Z84" s="15">
        <v>7763749888</v>
      </c>
      <c r="AA84" s="15">
        <v>7757083136</v>
      </c>
      <c r="AB84" s="15">
        <v>7375918592</v>
      </c>
      <c r="AC84" s="15">
        <v>4794444288</v>
      </c>
      <c r="AD84" s="15">
        <v>4797777920</v>
      </c>
      <c r="AE84" s="15">
        <v>4496851968</v>
      </c>
      <c r="AF84" s="15">
        <v>4323058688</v>
      </c>
      <c r="AG84" s="15">
        <v>5068000256</v>
      </c>
      <c r="AH84" s="15">
        <v>5307906048</v>
      </c>
      <c r="AI84" s="15">
        <v>5439553024</v>
      </c>
      <c r="AJ84" s="15">
        <v>4669488640</v>
      </c>
      <c r="AK84" s="15">
        <v>4947205632</v>
      </c>
      <c r="AL84" s="15">
        <v>5329213952</v>
      </c>
      <c r="AM84" s="15">
        <v>5759537664</v>
      </c>
      <c r="AN84" s="15">
        <v>5737751552</v>
      </c>
      <c r="AO84" s="15">
        <v>6043694080</v>
      </c>
      <c r="AP84" s="15">
        <v>6808982528</v>
      </c>
      <c r="AQ84" s="15">
        <v>8154338304</v>
      </c>
      <c r="AR84" s="15">
        <v>8824872960</v>
      </c>
      <c r="AS84" s="15">
        <v>9008273408</v>
      </c>
      <c r="AT84" s="15">
        <v>11305459712</v>
      </c>
      <c r="AU84" s="15">
        <v>13280275456</v>
      </c>
      <c r="AV84" s="15">
        <v>15982282752</v>
      </c>
      <c r="AW84" s="15">
        <v>18369361920</v>
      </c>
      <c r="AX84" s="15">
        <v>21641619456</v>
      </c>
      <c r="AY84" s="15">
        <v>27871588352</v>
      </c>
      <c r="AZ84" s="15">
        <v>19172165632</v>
      </c>
      <c r="BA84" s="15">
        <v>22157948928</v>
      </c>
      <c r="BB84" s="15">
        <v>25433012224</v>
      </c>
      <c r="BC84" s="15">
        <v>25763219456</v>
      </c>
      <c r="BD84" s="15">
        <v>27268478976</v>
      </c>
      <c r="BE84" s="15">
        <v>27615842304</v>
      </c>
      <c r="BF84" s="15">
        <v>25062893568</v>
      </c>
      <c r="BG84" s="15">
        <v>22284779520</v>
      </c>
      <c r="BH84" s="15">
        <v>22474827776</v>
      </c>
      <c r="BI84" s="15">
        <v>23808147456</v>
      </c>
      <c r="BJ84" s="15">
        <v>24100202496</v>
      </c>
    </row>
    <row r="85" spans="1:62" x14ac:dyDescent="0.45">
      <c r="A85" t="s">
        <v>26</v>
      </c>
      <c r="B85" t="s">
        <v>157</v>
      </c>
      <c r="C85" s="15">
        <v>13995067392</v>
      </c>
      <c r="D85" s="15">
        <v>7988889088</v>
      </c>
      <c r="E85" s="15">
        <v>8922222592</v>
      </c>
      <c r="F85" s="15">
        <v>10355555328</v>
      </c>
      <c r="G85" s="15">
        <v>11177778176</v>
      </c>
      <c r="H85" s="15">
        <v>11966666752</v>
      </c>
      <c r="I85" s="15">
        <v>14099999744</v>
      </c>
      <c r="J85" s="15">
        <v>15644444672</v>
      </c>
      <c r="K85" s="15">
        <v>17500000256</v>
      </c>
      <c r="L85" s="15">
        <v>19466665984</v>
      </c>
      <c r="M85" s="15">
        <v>17086956544</v>
      </c>
      <c r="N85" s="15">
        <v>16256619520</v>
      </c>
      <c r="O85" s="15">
        <v>20431095808</v>
      </c>
      <c r="P85" s="15">
        <v>25724381184</v>
      </c>
      <c r="Q85" s="15">
        <v>35599912960</v>
      </c>
      <c r="R85" s="15">
        <v>44633706496</v>
      </c>
      <c r="S85" s="15">
        <v>51280134144</v>
      </c>
      <c r="T85" s="15">
        <v>58676813824</v>
      </c>
      <c r="U85" s="15">
        <v>65147023360</v>
      </c>
      <c r="V85" s="15">
        <v>89394085888</v>
      </c>
      <c r="W85" s="15">
        <v>68789288960</v>
      </c>
      <c r="X85" s="15">
        <v>71040016384</v>
      </c>
      <c r="Y85" s="15">
        <v>64546332672</v>
      </c>
      <c r="Z85" s="15">
        <v>61678280704</v>
      </c>
      <c r="AA85" s="15">
        <v>59989909504</v>
      </c>
      <c r="AB85" s="15">
        <v>67234947072</v>
      </c>
      <c r="AC85" s="15">
        <v>75728011264</v>
      </c>
      <c r="AD85" s="15">
        <v>87172792320</v>
      </c>
      <c r="AE85" s="15">
        <v>90852810752</v>
      </c>
      <c r="AF85" s="15">
        <v>107143348224</v>
      </c>
      <c r="AG85" s="15">
        <v>150676291584</v>
      </c>
      <c r="AH85" s="15">
        <v>150027829248</v>
      </c>
      <c r="AI85" s="15">
        <v>158459133952</v>
      </c>
      <c r="AJ85" s="15">
        <v>180169736192</v>
      </c>
      <c r="AK85" s="15">
        <v>130690170880</v>
      </c>
      <c r="AL85" s="15">
        <v>169485942784</v>
      </c>
      <c r="AM85" s="15">
        <v>181475557376</v>
      </c>
      <c r="AN85" s="15">
        <v>189834641408</v>
      </c>
      <c r="AO85" s="15">
        <v>275768705024</v>
      </c>
      <c r="AP85" s="15">
        <v>255884296192</v>
      </c>
      <c r="AQ85" s="15">
        <v>272979394560</v>
      </c>
      <c r="AR85" s="15">
        <v>200251932672</v>
      </c>
      <c r="AS85" s="15">
        <v>238428127232</v>
      </c>
      <c r="AT85" s="15">
        <v>311823007744</v>
      </c>
      <c r="AU85" s="15">
        <v>404786741248</v>
      </c>
      <c r="AV85" s="15">
        <v>501416296448</v>
      </c>
      <c r="AW85" s="15">
        <v>552486895616</v>
      </c>
      <c r="AX85" s="15">
        <v>675770138624</v>
      </c>
      <c r="AY85" s="15">
        <v>764335685632</v>
      </c>
      <c r="AZ85" s="15">
        <v>644639883264</v>
      </c>
      <c r="BA85" s="15">
        <v>771901751296</v>
      </c>
      <c r="BB85" s="15">
        <v>832523665408</v>
      </c>
      <c r="BC85" s="15">
        <v>873982263296</v>
      </c>
      <c r="BD85" s="15">
        <v>950579429376</v>
      </c>
      <c r="BE85" s="15">
        <v>934185926656</v>
      </c>
      <c r="BF85" s="15">
        <v>859796865024</v>
      </c>
      <c r="BG85" s="15">
        <v>863721619456</v>
      </c>
      <c r="BH85" s="15">
        <v>852676771840</v>
      </c>
      <c r="BI85" s="15">
        <v>771350331392</v>
      </c>
      <c r="BJ85" s="15">
        <v>754411700224</v>
      </c>
    </row>
    <row r="86" spans="1:62" x14ac:dyDescent="0.45">
      <c r="A86" t="s">
        <v>26</v>
      </c>
      <c r="B86" t="s">
        <v>158</v>
      </c>
      <c r="C86" s="15">
        <v>1242289280</v>
      </c>
      <c r="D86" s="15">
        <v>1547388800</v>
      </c>
      <c r="E86" s="15">
        <v>1710004352</v>
      </c>
      <c r="F86" s="15">
        <v>1539681536</v>
      </c>
      <c r="G86" s="15">
        <v>1975701760</v>
      </c>
      <c r="H86" s="15">
        <v>1890769280</v>
      </c>
      <c r="I86" s="15">
        <v>1809184000</v>
      </c>
      <c r="J86" s="15">
        <v>1597721088</v>
      </c>
      <c r="K86" s="15">
        <v>1593675392</v>
      </c>
      <c r="L86" s="15">
        <v>2004435456</v>
      </c>
      <c r="M86" s="15">
        <v>2137096832</v>
      </c>
      <c r="N86" s="15">
        <v>2807258112</v>
      </c>
      <c r="O86" s="15">
        <v>2189417984</v>
      </c>
      <c r="P86" s="15">
        <v>3964295680</v>
      </c>
      <c r="Q86" s="15">
        <v>4090209792</v>
      </c>
      <c r="R86" s="15">
        <v>3538283264</v>
      </c>
      <c r="S86" s="15">
        <v>3667161344</v>
      </c>
      <c r="T86" s="15">
        <v>4114667008</v>
      </c>
      <c r="U86" s="15">
        <v>4910257152</v>
      </c>
      <c r="V86" s="15">
        <v>7181185024</v>
      </c>
      <c r="W86" s="15">
        <v>10163019776</v>
      </c>
      <c r="X86" s="15">
        <v>11048335360</v>
      </c>
      <c r="Y86" s="15">
        <v>9178802176</v>
      </c>
      <c r="Z86" s="15">
        <v>5102281216</v>
      </c>
      <c r="AA86" s="15">
        <v>4850241536</v>
      </c>
      <c r="AB86" s="15">
        <v>4732017664</v>
      </c>
      <c r="AC86" s="15">
        <v>5880112640</v>
      </c>
      <c r="AD86" s="15">
        <v>7367494144</v>
      </c>
      <c r="AE86" s="15">
        <v>8213515264</v>
      </c>
      <c r="AF86" s="15">
        <v>8438951424</v>
      </c>
      <c r="AG86" s="15">
        <v>9298839552</v>
      </c>
      <c r="AH86" s="15">
        <v>11205970944</v>
      </c>
      <c r="AI86" s="15">
        <v>12878199808</v>
      </c>
      <c r="AJ86" s="15">
        <v>15002106880</v>
      </c>
      <c r="AK86" s="15">
        <v>17474648064</v>
      </c>
      <c r="AL86" s="15">
        <v>19297662976</v>
      </c>
      <c r="AM86" s="15">
        <v>20515543040</v>
      </c>
      <c r="AN86" s="15">
        <v>23969822720</v>
      </c>
      <c r="AO86" s="15">
        <v>25385928704</v>
      </c>
      <c r="AP86" s="15">
        <v>23983945728</v>
      </c>
      <c r="AQ86" s="15">
        <v>22823256064</v>
      </c>
      <c r="AR86" s="15">
        <v>20898789376</v>
      </c>
      <c r="AS86" s="15">
        <v>13606494208</v>
      </c>
      <c r="AT86" s="15">
        <v>12045631488</v>
      </c>
      <c r="AU86" s="15">
        <v>13686330368</v>
      </c>
      <c r="AV86" s="15">
        <v>17362857984</v>
      </c>
      <c r="AW86" s="15">
        <v>19579457536</v>
      </c>
      <c r="AX86" s="15">
        <v>23410573312</v>
      </c>
      <c r="AY86" s="15">
        <v>30366212096</v>
      </c>
      <c r="AZ86" s="15">
        <v>31660910592</v>
      </c>
      <c r="BA86" s="15">
        <v>40284483584</v>
      </c>
      <c r="BB86" s="15">
        <v>47962439680</v>
      </c>
      <c r="BC86" s="15">
        <v>51264389120</v>
      </c>
      <c r="BD86" s="15">
        <v>57531232256</v>
      </c>
      <c r="BE86" s="15">
        <v>57236013056</v>
      </c>
      <c r="BF86" s="15">
        <v>53274304512</v>
      </c>
      <c r="BG86" s="15">
        <v>52687613952</v>
      </c>
      <c r="BH86" s="15">
        <v>59530088448</v>
      </c>
      <c r="BI86" s="15">
        <v>59596886016</v>
      </c>
      <c r="BJ86" s="15">
        <v>56045912064</v>
      </c>
    </row>
    <row r="87" spans="1:62" x14ac:dyDescent="0.45">
      <c r="A87" t="s">
        <v>26</v>
      </c>
      <c r="B87" t="s">
        <v>159</v>
      </c>
      <c r="C87" s="15">
        <v>713000000</v>
      </c>
      <c r="D87" s="15">
        <v>696285696</v>
      </c>
      <c r="E87" s="15">
        <v>693142848</v>
      </c>
      <c r="F87" s="15">
        <v>718714304</v>
      </c>
      <c r="G87" s="15">
        <v>839428544</v>
      </c>
      <c r="H87" s="15">
        <v>1082857088</v>
      </c>
      <c r="I87" s="15">
        <v>1264285696</v>
      </c>
      <c r="J87" s="15">
        <v>1368000000</v>
      </c>
      <c r="K87" s="15">
        <v>1605857152</v>
      </c>
      <c r="L87" s="15">
        <v>1965714304</v>
      </c>
      <c r="M87" s="15">
        <v>1825285760</v>
      </c>
      <c r="N87" s="15">
        <v>1687000064</v>
      </c>
      <c r="O87" s="15">
        <v>1910714240</v>
      </c>
      <c r="P87" s="15">
        <v>2268714240</v>
      </c>
      <c r="Q87" s="15">
        <v>3121833216</v>
      </c>
      <c r="R87" s="15">
        <v>2618666752</v>
      </c>
      <c r="S87" s="15">
        <v>2746714368</v>
      </c>
      <c r="T87" s="15">
        <v>2483000064</v>
      </c>
      <c r="U87" s="15">
        <v>2813374976</v>
      </c>
      <c r="V87" s="15">
        <v>3325499904</v>
      </c>
      <c r="W87" s="15">
        <v>3829499904</v>
      </c>
      <c r="X87" s="15">
        <v>3872666624</v>
      </c>
      <c r="Y87" s="15">
        <v>3994777856</v>
      </c>
      <c r="Z87" s="15">
        <v>3216307712</v>
      </c>
      <c r="AA87" s="15">
        <v>2739444480</v>
      </c>
      <c r="AB87" s="15">
        <v>2281257984</v>
      </c>
      <c r="AC87" s="15">
        <v>1661948672</v>
      </c>
      <c r="AD87" s="15">
        <v>2269894656</v>
      </c>
      <c r="AE87" s="15">
        <v>3713614336</v>
      </c>
      <c r="AF87" s="15">
        <v>3998637568</v>
      </c>
      <c r="AG87" s="15">
        <v>3285217280</v>
      </c>
      <c r="AH87" s="15">
        <v>3378882304</v>
      </c>
      <c r="AI87" s="15">
        <v>3181921792</v>
      </c>
      <c r="AJ87" s="15">
        <v>3273237760</v>
      </c>
      <c r="AK87" s="15">
        <v>3656647680</v>
      </c>
      <c r="AL87" s="15">
        <v>3807067136</v>
      </c>
      <c r="AM87" s="15">
        <v>3597220864</v>
      </c>
      <c r="AN87" s="15">
        <v>4303282176</v>
      </c>
      <c r="AO87" s="15">
        <v>3537682944</v>
      </c>
      <c r="AP87" s="15">
        <v>3404312064</v>
      </c>
      <c r="AQ87" s="15">
        <v>3600683008</v>
      </c>
      <c r="AR87" s="15">
        <v>4094480896</v>
      </c>
      <c r="AS87" s="15">
        <v>4193845760</v>
      </c>
      <c r="AT87" s="15">
        <v>4901839872</v>
      </c>
      <c r="AU87" s="15">
        <v>6221077504</v>
      </c>
      <c r="AV87" s="15">
        <v>8331870208</v>
      </c>
      <c r="AW87" s="15">
        <v>12756858880</v>
      </c>
      <c r="AX87" s="15">
        <v>14056957952</v>
      </c>
      <c r="AY87" s="15">
        <v>17910857728</v>
      </c>
      <c r="AZ87" s="15">
        <v>15328342016</v>
      </c>
      <c r="BA87" s="15">
        <v>20265560064</v>
      </c>
      <c r="BB87" s="15">
        <v>23459514368</v>
      </c>
      <c r="BC87" s="15">
        <v>25503059968</v>
      </c>
      <c r="BD87" s="15">
        <v>28045512704</v>
      </c>
      <c r="BE87" s="15">
        <v>27150647296</v>
      </c>
      <c r="BF87" s="15">
        <v>21243346944</v>
      </c>
      <c r="BG87" s="15">
        <v>20954761216</v>
      </c>
      <c r="BH87" s="15">
        <v>25868142592</v>
      </c>
      <c r="BI87" s="15">
        <v>27005239296</v>
      </c>
      <c r="BJ87" s="15">
        <v>23064723456</v>
      </c>
    </row>
    <row r="88" spans="1:62" x14ac:dyDescent="0.45">
      <c r="A88" t="s">
        <v>26</v>
      </c>
      <c r="B88" t="s">
        <v>160</v>
      </c>
      <c r="C88" s="15">
        <v>1052990400</v>
      </c>
      <c r="D88" s="15">
        <v>1096646656</v>
      </c>
      <c r="E88" s="15">
        <v>1117601536</v>
      </c>
      <c r="F88" s="15">
        <v>1159511680</v>
      </c>
      <c r="G88" s="15">
        <v>1217138048</v>
      </c>
      <c r="H88" s="15">
        <v>1311435776</v>
      </c>
      <c r="I88" s="15">
        <v>1281749504</v>
      </c>
      <c r="J88" s="15">
        <v>1397001984</v>
      </c>
      <c r="K88" s="15">
        <v>1479599872</v>
      </c>
      <c r="L88" s="15">
        <v>1747998848</v>
      </c>
      <c r="M88" s="15">
        <v>1884206336</v>
      </c>
      <c r="N88" s="15">
        <v>2178716416</v>
      </c>
      <c r="O88" s="15">
        <v>2677729280</v>
      </c>
      <c r="P88" s="15">
        <v>3309353472</v>
      </c>
      <c r="Q88" s="15">
        <v>3982161408</v>
      </c>
      <c r="R88" s="15">
        <v>4371300864</v>
      </c>
      <c r="S88" s="15">
        <v>4318371840</v>
      </c>
      <c r="T88" s="15">
        <v>4364382208</v>
      </c>
      <c r="U88" s="15">
        <v>4351600640</v>
      </c>
      <c r="V88" s="15">
        <v>5177459200</v>
      </c>
      <c r="W88" s="15">
        <v>6678867968</v>
      </c>
      <c r="X88" s="15">
        <v>8011373568</v>
      </c>
      <c r="Y88" s="15">
        <v>8539700736</v>
      </c>
      <c r="Z88" s="15">
        <v>7764066816</v>
      </c>
      <c r="AA88" s="15">
        <v>6352125952</v>
      </c>
      <c r="AB88" s="15">
        <v>5637259264</v>
      </c>
      <c r="AC88" s="15">
        <v>6217523712</v>
      </c>
      <c r="AD88" s="15">
        <v>6741215232</v>
      </c>
      <c r="AE88" s="15">
        <v>7814784000</v>
      </c>
      <c r="AF88" s="15">
        <v>8286322688</v>
      </c>
      <c r="AG88" s="15">
        <v>8783816704</v>
      </c>
      <c r="AH88" s="15">
        <v>8641481728</v>
      </c>
      <c r="AI88" s="15">
        <v>6751472128</v>
      </c>
      <c r="AJ88" s="15">
        <v>6563813376</v>
      </c>
      <c r="AK88" s="15">
        <v>6890675200</v>
      </c>
      <c r="AL88" s="15">
        <v>7111270912</v>
      </c>
      <c r="AM88" s="15">
        <v>8553146368</v>
      </c>
      <c r="AN88" s="15">
        <v>8529571840</v>
      </c>
      <c r="AO88" s="15">
        <v>6401968128</v>
      </c>
      <c r="AP88" s="15">
        <v>6858013184</v>
      </c>
      <c r="AQ88" s="15">
        <v>6689957376</v>
      </c>
      <c r="AR88" s="15">
        <v>6777384448</v>
      </c>
      <c r="AS88" s="15">
        <v>6342116352</v>
      </c>
      <c r="AT88" s="15">
        <v>5727591936</v>
      </c>
      <c r="AU88" s="15">
        <v>5805598208</v>
      </c>
      <c r="AV88" s="15">
        <v>5755215360</v>
      </c>
      <c r="AW88" s="15">
        <v>5443896320</v>
      </c>
      <c r="AX88" s="15">
        <v>5291950080</v>
      </c>
      <c r="AY88" s="15">
        <v>4415703040</v>
      </c>
      <c r="AZ88" s="15">
        <v>9665793024</v>
      </c>
      <c r="BA88" s="15">
        <v>12041655296</v>
      </c>
      <c r="BB88" s="15">
        <v>14101920768</v>
      </c>
      <c r="BC88" s="15">
        <v>17114850304</v>
      </c>
      <c r="BD88" s="15">
        <v>19091019776</v>
      </c>
      <c r="BE88" s="15">
        <v>19495520256</v>
      </c>
      <c r="BF88" s="15">
        <v>19963119616</v>
      </c>
      <c r="BG88" s="15">
        <v>20548677632</v>
      </c>
      <c r="BH88" s="15">
        <v>22040901632</v>
      </c>
      <c r="BI88" s="15">
        <v>24311560192</v>
      </c>
      <c r="BJ88" s="15">
        <v>21440759808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054D6-F898-44BA-9F87-CAC22C3EB33B}">
  <sheetPr codeName="Sheet6"/>
  <dimension ref="A11:BK170"/>
  <sheetViews>
    <sheetView topLeftCell="A11" workbookViewId="0">
      <pane xSplit="2" ySplit="1" topLeftCell="C89" activePane="bottomRight" state="frozen"/>
      <selection activeCell="A11" sqref="A11"/>
      <selection pane="topRight" activeCell="C11" sqref="C11"/>
      <selection pane="bottomLeft" activeCell="A12" sqref="A12"/>
      <selection pane="bottomRight" activeCell="H117" sqref="H117:I117"/>
    </sheetView>
  </sheetViews>
  <sheetFormatPr defaultRowHeight="14.25" x14ac:dyDescent="0.45"/>
  <cols>
    <col min="1" max="1" width="9.6640625" customWidth="1"/>
    <col min="2" max="2" width="19.796875" bestFit="1" customWidth="1"/>
    <col min="3" max="7" width="6.3984375" bestFit="1" customWidth="1"/>
    <col min="8" max="8" width="19.796875" bestFit="1" customWidth="1"/>
    <col min="9" max="9" width="7.19921875" bestFit="1" customWidth="1"/>
    <col min="10" max="17" width="6.3984375" bestFit="1" customWidth="1"/>
    <col min="18" max="49" width="7.3984375" bestFit="1" customWidth="1"/>
    <col min="50" max="62" width="8.3984375" bestFit="1" customWidth="1"/>
  </cols>
  <sheetData>
    <row r="11" spans="1:63" x14ac:dyDescent="0.45">
      <c r="C11" t="str">
        <f>Population!C11</f>
        <v>1960</v>
      </c>
      <c r="D11" t="str">
        <f>Population!D11</f>
        <v>1961</v>
      </c>
      <c r="E11" t="str">
        <f>Population!E11</f>
        <v>1962</v>
      </c>
      <c r="F11" t="str">
        <f>Population!F11</f>
        <v>1963</v>
      </c>
      <c r="G11" t="str">
        <f>Population!G11</f>
        <v>1964</v>
      </c>
      <c r="H11" s="34" t="str">
        <f>Population!H11</f>
        <v>1965</v>
      </c>
      <c r="I11" s="34" t="str">
        <f>Population!I11</f>
        <v>1966</v>
      </c>
      <c r="J11" t="str">
        <f>Population!J11</f>
        <v>1967</v>
      </c>
      <c r="K11" t="str">
        <f>Population!K11</f>
        <v>1968</v>
      </c>
      <c r="L11" t="str">
        <f>Population!L11</f>
        <v>1969</v>
      </c>
      <c r="M11" t="str">
        <f>Population!M11</f>
        <v>1970</v>
      </c>
      <c r="N11" t="str">
        <f>Population!N11</f>
        <v>1971</v>
      </c>
      <c r="O11" t="str">
        <f>Population!O11</f>
        <v>1972</v>
      </c>
      <c r="P11" t="str">
        <f>Population!P11</f>
        <v>1973</v>
      </c>
      <c r="Q11" t="str">
        <f>Population!Q11</f>
        <v>1974</v>
      </c>
      <c r="R11" t="str">
        <f>Population!R11</f>
        <v>1975</v>
      </c>
      <c r="S11" t="str">
        <f>Population!S11</f>
        <v>1976</v>
      </c>
      <c r="T11" t="str">
        <f>Population!T11</f>
        <v>1977</v>
      </c>
      <c r="U11" t="str">
        <f>Population!U11</f>
        <v>1978</v>
      </c>
      <c r="V11" t="str">
        <f>Population!V11</f>
        <v>1979</v>
      </c>
      <c r="W11" t="str">
        <f>Population!W11</f>
        <v>1980</v>
      </c>
      <c r="X11" t="str">
        <f>Population!X11</f>
        <v>1981</v>
      </c>
      <c r="Y11" t="str">
        <f>Population!Y11</f>
        <v>1982</v>
      </c>
      <c r="Z11" t="str">
        <f>Population!Z11</f>
        <v>1983</v>
      </c>
      <c r="AA11" t="str">
        <f>Population!AA11</f>
        <v>1984</v>
      </c>
      <c r="AB11" t="str">
        <f>Population!AB11</f>
        <v>1985</v>
      </c>
      <c r="AC11" t="str">
        <f>Population!AC11</f>
        <v>1986</v>
      </c>
      <c r="AD11" t="str">
        <f>Population!AD11</f>
        <v>1987</v>
      </c>
      <c r="AE11" t="str">
        <f>Population!AE11</f>
        <v>1988</v>
      </c>
      <c r="AF11" t="str">
        <f>Population!AF11</f>
        <v>1989</v>
      </c>
      <c r="AG11" t="str">
        <f>Population!AG11</f>
        <v>1990</v>
      </c>
      <c r="AH11" t="str">
        <f>Population!AH11</f>
        <v>1991</v>
      </c>
      <c r="AI11" t="str">
        <f>Population!AI11</f>
        <v>1992</v>
      </c>
      <c r="AJ11" t="str">
        <f>Population!AJ11</f>
        <v>1993</v>
      </c>
      <c r="AK11" t="str">
        <f>Population!AK11</f>
        <v>1994</v>
      </c>
      <c r="AL11" t="str">
        <f>Population!AL11</f>
        <v>1995</v>
      </c>
      <c r="AM11" t="str">
        <f>Population!AM11</f>
        <v>1996</v>
      </c>
      <c r="AN11" t="str">
        <f>Population!AN11</f>
        <v>1997</v>
      </c>
      <c r="AO11" t="str">
        <f>Population!AO11</f>
        <v>1998</v>
      </c>
      <c r="AP11" t="str">
        <f>Population!AP11</f>
        <v>1999</v>
      </c>
      <c r="AQ11" t="str">
        <f>Population!AQ11</f>
        <v>2000</v>
      </c>
      <c r="AR11" t="str">
        <f>Population!AR11</f>
        <v>2001</v>
      </c>
      <c r="AS11" t="str">
        <f>Population!AS11</f>
        <v>2002</v>
      </c>
      <c r="AT11" t="str">
        <f>Population!AT11</f>
        <v>2003</v>
      </c>
      <c r="AU11" t="str">
        <f>Population!AU11</f>
        <v>2004</v>
      </c>
      <c r="AV11" t="str">
        <f>Population!AV11</f>
        <v>2005</v>
      </c>
      <c r="AW11" t="str">
        <f>Population!AW11</f>
        <v>2006</v>
      </c>
      <c r="AX11" t="str">
        <f>Population!AX11</f>
        <v>2007</v>
      </c>
      <c r="AY11" t="str">
        <f>Population!AY11</f>
        <v>2008</v>
      </c>
      <c r="AZ11" t="str">
        <f>Population!AZ11</f>
        <v>2009</v>
      </c>
      <c r="BA11" t="str">
        <f>Population!BA11</f>
        <v>2010</v>
      </c>
      <c r="BB11" t="str">
        <f>Population!BB11</f>
        <v>2011</v>
      </c>
      <c r="BC11" t="str">
        <f>Population!BC11</f>
        <v>2012</v>
      </c>
      <c r="BD11" t="str">
        <f>Population!BD11</f>
        <v>2013</v>
      </c>
      <c r="BE11" t="str">
        <f>Population!BE11</f>
        <v>2014</v>
      </c>
      <c r="BF11" t="str">
        <f>Population!BF11</f>
        <v>2015</v>
      </c>
      <c r="BG11" t="str">
        <f>Population!BG11</f>
        <v>2016</v>
      </c>
      <c r="BH11" t="str">
        <f>Population!BH11</f>
        <v>2017</v>
      </c>
      <c r="BI11" t="str">
        <f>Population!BI11</f>
        <v>2018</v>
      </c>
      <c r="BJ11" t="str">
        <f>Population!BJ11</f>
        <v>2019</v>
      </c>
    </row>
    <row r="12" spans="1:63" x14ac:dyDescent="0.45">
      <c r="A12" t="str">
        <f>GDP!A12</f>
        <v>North</v>
      </c>
      <c r="B12" t="str">
        <f>GDP!B12</f>
        <v>Australia</v>
      </c>
      <c r="C12" s="11">
        <f>GDP!C12/Population!C12</f>
        <v>1807.7856930930707</v>
      </c>
      <c r="D12" s="11">
        <f>GDP!D12/Population!D12</f>
        <v>1874.732127826004</v>
      </c>
      <c r="E12" s="11">
        <f>GDP!E12/Population!E12</f>
        <v>1851.8419422826289</v>
      </c>
      <c r="F12" s="11">
        <f>GDP!F12/Population!F12</f>
        <v>1964.1503912328767</v>
      </c>
      <c r="G12" s="11">
        <f>GDP!G12/Population!G12</f>
        <v>2128.0684187337692</v>
      </c>
      <c r="H12" s="35">
        <f>GDP!H12/Population!H12</f>
        <v>2277.5583561643834</v>
      </c>
      <c r="I12" s="35">
        <f>GDP!I12/Population!I12</f>
        <v>2340.438615054502</v>
      </c>
      <c r="J12" s="11">
        <f>GDP!J12/Population!J12</f>
        <v>2576.2845420798371</v>
      </c>
      <c r="K12" s="11">
        <f>GDP!K12/Population!K12</f>
        <v>2720.0826899825133</v>
      </c>
      <c r="L12" s="11">
        <f>GDP!L12/Population!L12</f>
        <v>2986.9496312484712</v>
      </c>
      <c r="M12" s="11">
        <f>GDP!M12/Population!M12</f>
        <v>3299.8433159030942</v>
      </c>
      <c r="N12" s="11">
        <f>GDP!N12/Population!N12</f>
        <v>3489.9522053026203</v>
      </c>
      <c r="O12" s="11">
        <f>GDP!O12/Population!O12</f>
        <v>3943.7877659558321</v>
      </c>
      <c r="P12" s="11">
        <f>GDP!P12/Population!P12</f>
        <v>4763.6284077727951</v>
      </c>
      <c r="Q12" s="11">
        <f>GDP!Q12/Population!Q12</f>
        <v>6473.165221598776</v>
      </c>
      <c r="R12" s="11">
        <f>GDP!R12/Population!R12</f>
        <v>6994.2096652990713</v>
      </c>
      <c r="S12" s="11">
        <f>GDP!S12/Population!S12</f>
        <v>7476.7490252975131</v>
      </c>
      <c r="T12" s="11">
        <f>GDP!T12/Population!T12</f>
        <v>7765.0705028184893</v>
      </c>
      <c r="U12" s="11">
        <f>GDP!U12/Population!U12</f>
        <v>8241.9975595486831</v>
      </c>
      <c r="V12" s="11">
        <f>GDP!V12/Population!V12</f>
        <v>9281.5235827476918</v>
      </c>
      <c r="W12" s="11">
        <f>GDP!W12/Population!W12</f>
        <v>10194.318392594609</v>
      </c>
      <c r="X12" s="11">
        <f>GDP!X12/Population!X12</f>
        <v>11833.742706237021</v>
      </c>
      <c r="Y12" s="11">
        <f>GDP!Y12/Population!Y12</f>
        <v>12766.52225695085</v>
      </c>
      <c r="Z12" s="11">
        <f>GDP!Z12/Population!Z12</f>
        <v>11518.66838024595</v>
      </c>
      <c r="AA12" s="11">
        <f>GDP!AA12/Population!AA12</f>
        <v>12431.946046320123</v>
      </c>
      <c r="AB12" s="11">
        <f>GDP!AB12/Population!AB12</f>
        <v>11437.664369590049</v>
      </c>
      <c r="AC12" s="11">
        <f>GDP!AC12/Population!AC12</f>
        <v>11364.239796234331</v>
      </c>
      <c r="AD12" s="11">
        <f>GDP!AD12/Population!AD12</f>
        <v>11624.539621615972</v>
      </c>
      <c r="AE12" s="11">
        <f>GDP!AE12/Population!AE12</f>
        <v>14254.557679195752</v>
      </c>
      <c r="AF12" s="11">
        <f>GDP!AF12/Population!AF12</f>
        <v>17798.314617946522</v>
      </c>
      <c r="AG12" s="11">
        <f>GDP!AG12/Population!AG12</f>
        <v>18211.27429807033</v>
      </c>
      <c r="AH12" s="11">
        <f>GDP!AH12/Population!AH12</f>
        <v>18821.477369127515</v>
      </c>
      <c r="AI12" s="11">
        <f>GDP!AI12/Population!AI12</f>
        <v>18569.811962732208</v>
      </c>
      <c r="AJ12" s="11">
        <f>GDP!AJ12/Population!AJ12</f>
        <v>17634.256761646007</v>
      </c>
      <c r="AK12" s="11">
        <f>GDP!AK12/Population!AK12</f>
        <v>18046.019387286473</v>
      </c>
      <c r="AL12" s="11">
        <f>GDP!AL12/Population!AL12</f>
        <v>20319.630448871183</v>
      </c>
      <c r="AM12" s="11">
        <f>GDP!AM12/Population!AM12</f>
        <v>21861.325725520179</v>
      </c>
      <c r="AN12" s="11">
        <f>GDP!AN12/Population!AN12</f>
        <v>23468.596618458712</v>
      </c>
      <c r="AO12" s="11">
        <f>GDP!AO12/Population!AO12</f>
        <v>21318.964825396826</v>
      </c>
      <c r="AP12" s="11">
        <f>GDP!AP12/Population!AP12</f>
        <v>20533.03547373983</v>
      </c>
      <c r="AQ12" s="11">
        <f>GDP!AQ12/Population!AQ12</f>
        <v>21679.24755140187</v>
      </c>
      <c r="AR12" s="11">
        <f>GDP!AR12/Population!AR12</f>
        <v>19490.861468912586</v>
      </c>
      <c r="AS12" s="11">
        <f>GDP!AS12/Population!AS12</f>
        <v>20082.483277120205</v>
      </c>
      <c r="AT12" s="11">
        <f>GDP!AT12/Population!AT12</f>
        <v>23447.031275973339</v>
      </c>
      <c r="AU12" s="11">
        <f>GDP!AU12/Population!AU12</f>
        <v>30430.677187912996</v>
      </c>
      <c r="AV12" s="11">
        <f>GDP!AV12/Population!AV12</f>
        <v>33999.243766450272</v>
      </c>
      <c r="AW12" s="11">
        <f>GDP!AW12/Population!AW12</f>
        <v>36044.923486150772</v>
      </c>
      <c r="AX12" s="11">
        <f>GDP!AX12/Population!AX12</f>
        <v>40960.053492097024</v>
      </c>
      <c r="AY12" s="11">
        <f>GDP!AY12/Population!AY12</f>
        <v>49601.65556915084</v>
      </c>
      <c r="AZ12" s="11">
        <f>GDP!AZ12/Population!AZ12</f>
        <v>42772.360424678562</v>
      </c>
      <c r="BA12" s="11">
        <f>GDP!BA12/Population!BA12</f>
        <v>52022.128323714642</v>
      </c>
      <c r="BB12" s="11">
        <f>GDP!BB12/Population!BB12</f>
        <v>62517.832823098128</v>
      </c>
      <c r="BC12" s="11">
        <f>GDP!BC12/Population!BC12</f>
        <v>68012.151097782553</v>
      </c>
      <c r="BD12" s="11">
        <f>GDP!BD12/Population!BD12</f>
        <v>68150.109121499161</v>
      </c>
      <c r="BE12" s="11">
        <f>GDP!BE12/Population!BE12</f>
        <v>62510.790307214025</v>
      </c>
      <c r="BF12" s="11">
        <f>GDP!BF12/Population!BF12</f>
        <v>56755.721016412666</v>
      </c>
      <c r="BG12" s="11">
        <f>GDP!BG12/Population!BG12</f>
        <v>49971.131323884161</v>
      </c>
      <c r="BH12" s="11">
        <f>GDP!BH12/Population!BH12</f>
        <v>54066.468769434505</v>
      </c>
      <c r="BI12" s="11">
        <f>GDP!BI12/Population!BI12</f>
        <v>57395.919493690992</v>
      </c>
      <c r="BJ12" s="11">
        <f>GDP!BJ12/Population!BJ12</f>
        <v>54907.10144033892</v>
      </c>
      <c r="BK12" s="11"/>
    </row>
    <row r="13" spans="1:63" x14ac:dyDescent="0.45">
      <c r="A13" t="str">
        <f>GDP!A13</f>
        <v>North</v>
      </c>
      <c r="B13" t="str">
        <f>GDP!B13</f>
        <v>Austria</v>
      </c>
      <c r="C13" s="11">
        <f>GDP!C13/Population!C13</f>
        <v>935.46041533079847</v>
      </c>
      <c r="D13" s="11">
        <f>GDP!D13/Population!D13</f>
        <v>1031.8150041368563</v>
      </c>
      <c r="E13" s="11">
        <f>GDP!E13/Population!E13</f>
        <v>1087.8342610742645</v>
      </c>
      <c r="F13" s="11">
        <f>GDP!F13/Population!F13</f>
        <v>1167.0005288600828</v>
      </c>
      <c r="G13" s="11">
        <f>GDP!G13/Population!G13</f>
        <v>1269.4125278367994</v>
      </c>
      <c r="H13" s="35">
        <f>GDP!H13/Population!H13</f>
        <v>1374.5321981947461</v>
      </c>
      <c r="I13" s="35">
        <f>GDP!I13/Population!I13</f>
        <v>1486.9685752627743</v>
      </c>
      <c r="J13" s="11">
        <f>GDP!J13/Population!J13</f>
        <v>1569.6672191045734</v>
      </c>
      <c r="K13" s="11">
        <f>GDP!K13/Population!K13</f>
        <v>1677.6735063488795</v>
      </c>
      <c r="L13" s="11">
        <f>GDP!L13/Population!L13</f>
        <v>1825.3861647306733</v>
      </c>
      <c r="M13" s="11">
        <f>GDP!M13/Population!M13</f>
        <v>2058.769086628974</v>
      </c>
      <c r="N13" s="11">
        <f>GDP!N13/Population!N13</f>
        <v>2380.9784853826727</v>
      </c>
      <c r="O13" s="11">
        <f>GDP!O13/Population!O13</f>
        <v>2924.0488369808809</v>
      </c>
      <c r="P13" s="11">
        <f>GDP!P13/Population!P13</f>
        <v>3890.7225635255991</v>
      </c>
      <c r="Q13" s="11">
        <f>GDP!Q13/Population!Q13</f>
        <v>4630.7573732359278</v>
      </c>
      <c r="R13" s="11">
        <f>GDP!R13/Population!R13</f>
        <v>5285.6208451275861</v>
      </c>
      <c r="S13" s="11">
        <f>GDP!S13/Population!S13</f>
        <v>5678.3864173338925</v>
      </c>
      <c r="T13" s="11">
        <f>GDP!T13/Population!T13</f>
        <v>6810.6277978391818</v>
      </c>
      <c r="U13" s="11">
        <f>GDP!U13/Population!U13</f>
        <v>8205.4688077246283</v>
      </c>
      <c r="V13" s="11">
        <f>GDP!V13/Population!V13</f>
        <v>9793.7654070343106</v>
      </c>
      <c r="W13" s="11">
        <f>GDP!W13/Population!W13</f>
        <v>10869.546328048742</v>
      </c>
      <c r="X13" s="11">
        <f>GDP!X13/Population!X13</f>
        <v>9385.2485615118039</v>
      </c>
      <c r="Y13" s="11">
        <f>GDP!Y13/Population!Y13</f>
        <v>9410.3476598003199</v>
      </c>
      <c r="Z13" s="11">
        <f>GDP!Z13/Population!Z13</f>
        <v>9537.4073904608758</v>
      </c>
      <c r="AA13" s="11">
        <f>GDP!AA13/Population!AA13</f>
        <v>8991.0652609015706</v>
      </c>
      <c r="AB13" s="11">
        <f>GDP!AB13/Population!AB13</f>
        <v>9172.0965051483909</v>
      </c>
      <c r="AC13" s="11">
        <f>GDP!AC13/Population!AC13</f>
        <v>13083.073091817294</v>
      </c>
      <c r="AD13" s="11">
        <f>GDP!AD13/Population!AD13</f>
        <v>16392.769974755054</v>
      </c>
      <c r="AE13" s="11">
        <f>GDP!AE13/Population!AE13</f>
        <v>17578.619079993623</v>
      </c>
      <c r="AF13" s="11">
        <f>GDP!AF13/Population!AF13</f>
        <v>17468.945842198118</v>
      </c>
      <c r="AG13" s="11">
        <f>GDP!AG13/Population!AG13</f>
        <v>21680.990081337874</v>
      </c>
      <c r="AH13" s="11">
        <f>GDP!AH13/Population!AH13</f>
        <v>22410.912174007346</v>
      </c>
      <c r="AI13" s="11">
        <f>GDP!AI13/Population!AI13</f>
        <v>24880.164232086663</v>
      </c>
      <c r="AJ13" s="11">
        <f>GDP!AJ13/Population!AJ13</f>
        <v>24081.527779495962</v>
      </c>
      <c r="AK13" s="11">
        <f>GDP!AK13/Population!AK13</f>
        <v>25646.699950781982</v>
      </c>
      <c r="AL13" s="11">
        <f>GDP!AL13/Population!AL13</f>
        <v>30325.849027424556</v>
      </c>
      <c r="AM13" s="11">
        <f>GDP!AM13/Population!AM13</f>
        <v>29809.077329021915</v>
      </c>
      <c r="AN13" s="11">
        <f>GDP!AN13/Population!AN13</f>
        <v>26705.478263477809</v>
      </c>
      <c r="AO13" s="11">
        <f>GDP!AO13/Population!AO13</f>
        <v>27361.874354204429</v>
      </c>
      <c r="AP13" s="11">
        <f>GDP!AP13/Population!AP13</f>
        <v>27174.296201205056</v>
      </c>
      <c r="AQ13" s="11">
        <f>GDP!AQ13/Population!AQ13</f>
        <v>24564.457775171544</v>
      </c>
      <c r="AR13" s="11">
        <f>GDP!AR13/Population!AR13</f>
        <v>24537.513670790158</v>
      </c>
      <c r="AS13" s="11">
        <f>GDP!AS13/Population!AS13</f>
        <v>26401.746218644817</v>
      </c>
      <c r="AT13" s="11">
        <f>GDP!AT13/Population!AT13</f>
        <v>32222.897749815518</v>
      </c>
      <c r="AU13" s="11">
        <f>GDP!AU13/Population!AU13</f>
        <v>36821.521115481883</v>
      </c>
      <c r="AV13" s="11">
        <f>GDP!AV13/Population!AV13</f>
        <v>38403.133856087676</v>
      </c>
      <c r="AW13" s="11">
        <f>GDP!AW13/Population!AW13</f>
        <v>40635.280938669363</v>
      </c>
      <c r="AX13" s="11">
        <f>GDP!AX13/Population!AX13</f>
        <v>46855.773518299771</v>
      </c>
      <c r="AY13" s="11">
        <f>GDP!AY13/Population!AY13</f>
        <v>51708.767596595615</v>
      </c>
      <c r="AZ13" s="11">
        <f>GDP!AZ13/Population!AZ13</f>
        <v>47963.17797501068</v>
      </c>
      <c r="BA13" s="11">
        <f>GDP!BA13/Population!BA13</f>
        <v>46858.045195951316</v>
      </c>
      <c r="BB13" s="11">
        <f>GDP!BB13/Population!BB13</f>
        <v>51374.959404731591</v>
      </c>
      <c r="BC13" s="11">
        <f>GDP!BC13/Population!BC13</f>
        <v>48567.696959107074</v>
      </c>
      <c r="BD13" s="11">
        <f>GDP!BD13/Population!BD13</f>
        <v>50716.710455866829</v>
      </c>
      <c r="BE13" s="11">
        <f>GDP!BE13/Population!BE13</f>
        <v>51717.494095495204</v>
      </c>
      <c r="BF13" s="11">
        <f>GDP!BF13/Population!BF13</f>
        <v>44178.045873864168</v>
      </c>
      <c r="BG13" s="11">
        <f>GDP!BG13/Population!BG13</f>
        <v>45237.806112810969</v>
      </c>
      <c r="BH13" s="11">
        <f>GDP!BH13/Population!BH13</f>
        <v>47549.078566503507</v>
      </c>
      <c r="BI13" s="11">
        <f>GDP!BI13/Population!BI13</f>
        <v>51525.047326056912</v>
      </c>
      <c r="BJ13" s="11">
        <f>GDP!BJ13/Population!BJ13</f>
        <v>50277.275338802785</v>
      </c>
      <c r="BK13" s="11"/>
    </row>
    <row r="14" spans="1:63" x14ac:dyDescent="0.45">
      <c r="A14" t="str">
        <f>GDP!A14</f>
        <v>North</v>
      </c>
      <c r="B14" t="str">
        <f>GDP!B14</f>
        <v>Belgium</v>
      </c>
      <c r="C14" s="11">
        <f>GDP!C14/Population!C14</f>
        <v>1273.6916277498121</v>
      </c>
      <c r="D14" s="11">
        <f>GDP!D14/Population!D14</f>
        <v>1350.1976936280562</v>
      </c>
      <c r="E14" s="11">
        <f>GDP!E14/Population!E14</f>
        <v>1438.5231988710468</v>
      </c>
      <c r="F14" s="11">
        <f>GDP!F14/Population!F14</f>
        <v>1535.023703708488</v>
      </c>
      <c r="G14" s="11">
        <f>GDP!G14/Population!G14</f>
        <v>1701.846310446462</v>
      </c>
      <c r="H14" s="35">
        <f>GDP!H14/Population!H14</f>
        <v>1835.5947579305146</v>
      </c>
      <c r="I14" s="35">
        <f>GDP!I14/Population!I14</f>
        <v>1957.6260854150382</v>
      </c>
      <c r="J14" s="11">
        <f>GDP!J14/Population!J14</f>
        <v>2086.6360767899687</v>
      </c>
      <c r="K14" s="11">
        <f>GDP!K14/Population!K14</f>
        <v>2222.3614213729925</v>
      </c>
      <c r="L14" s="11">
        <f>GDP!L14/Population!L14</f>
        <v>2458.0818707630247</v>
      </c>
      <c r="M14" s="11">
        <f>GDP!M14/Population!M14</f>
        <v>2765.8910415140558</v>
      </c>
      <c r="N14" s="11">
        <f>GDP!N14/Population!N14</f>
        <v>3082.9279178824877</v>
      </c>
      <c r="O14" s="11">
        <f>GDP!O14/Population!O14</f>
        <v>3831.6320809711347</v>
      </c>
      <c r="P14" s="11">
        <f>GDP!P14/Population!P14</f>
        <v>4900.9623959629307</v>
      </c>
      <c r="Q14" s="11">
        <f>GDP!Q14/Population!Q14</f>
        <v>5733.7982843347181</v>
      </c>
      <c r="R14" s="11">
        <f>GDP!R14/Population!R14</f>
        <v>6701.3773040701171</v>
      </c>
      <c r="S14" s="11">
        <f>GDP!S14/Population!S14</f>
        <v>7243.0474104947871</v>
      </c>
      <c r="T14" s="11">
        <f>GDP!T14/Population!T14</f>
        <v>8426.9468371345174</v>
      </c>
      <c r="U14" s="11">
        <f>GDP!U14/Population!U14</f>
        <v>10289.768340655157</v>
      </c>
      <c r="V14" s="11">
        <f>GDP!V14/Population!V14</f>
        <v>11810.615742565631</v>
      </c>
      <c r="W14" s="11">
        <f>GDP!W14/Population!W14</f>
        <v>12864.002531634786</v>
      </c>
      <c r="X14" s="11">
        <f>GDP!X14/Population!X14</f>
        <v>10622.802414285776</v>
      </c>
      <c r="Y14" s="11">
        <f>GDP!Y14/Population!Y14</f>
        <v>9343.8615237376525</v>
      </c>
      <c r="Z14" s="11">
        <f>GDP!Z14/Population!Z14</f>
        <v>8846.234043865772</v>
      </c>
      <c r="AA14" s="11">
        <f>GDP!AA14/Population!AA14</f>
        <v>8457.2686425230822</v>
      </c>
      <c r="AB14" s="11">
        <f>GDP!AB14/Population!AB14</f>
        <v>8750.8185428980305</v>
      </c>
      <c r="AC14" s="11">
        <f>GDP!AC14/Population!AC14</f>
        <v>12170.04080807372</v>
      </c>
      <c r="AD14" s="11">
        <f>GDP!AD14/Population!AD14</f>
        <v>15135.852647870355</v>
      </c>
      <c r="AE14" s="11">
        <f>GDP!AE14/Population!AE14</f>
        <v>16391.093576190829</v>
      </c>
      <c r="AF14" s="11">
        <f>GDP!AF14/Population!AF14</f>
        <v>16525.062000984733</v>
      </c>
      <c r="AG14" s="11">
        <f>GDP!AG14/Population!AG14</f>
        <v>20600.374754486609</v>
      </c>
      <c r="AH14" s="11">
        <f>GDP!AH14/Population!AH14</f>
        <v>21041.661075641467</v>
      </c>
      <c r="AI14" s="11">
        <f>GDP!AI14/Population!AI14</f>
        <v>23372.619429181701</v>
      </c>
      <c r="AJ14" s="11">
        <f>GDP!AJ14/Population!AJ14</f>
        <v>22283.936161277608</v>
      </c>
      <c r="AK14" s="11">
        <f>GDP!AK14/Population!AK14</f>
        <v>24208.554620421542</v>
      </c>
      <c r="AL14" s="11">
        <f>GDP!AL14/Population!AL14</f>
        <v>28413.825159016971</v>
      </c>
      <c r="AM14" s="11">
        <f>GDP!AM14/Population!AM14</f>
        <v>27489.556625485384</v>
      </c>
      <c r="AN14" s="11">
        <f>GDP!AN14/Population!AN14</f>
        <v>24820.937400092032</v>
      </c>
      <c r="AO14" s="11">
        <f>GDP!AO14/Population!AO14</f>
        <v>25338.443928692403</v>
      </c>
      <c r="AP14" s="11">
        <f>GDP!AP14/Population!AP14</f>
        <v>25244.274311858335</v>
      </c>
      <c r="AQ14" s="11">
        <f>GDP!AQ14/Population!AQ14</f>
        <v>23041.535413144738</v>
      </c>
      <c r="AR14" s="11">
        <f>GDP!AR14/Population!AR14</f>
        <v>22995.157437318758</v>
      </c>
      <c r="AS14" s="11">
        <f>GDP!AS14/Population!AS14</f>
        <v>24887.561728227192</v>
      </c>
      <c r="AT14" s="11">
        <f>GDP!AT14/Population!AT14</f>
        <v>30587.667460314937</v>
      </c>
      <c r="AU14" s="11">
        <f>GDP!AU14/Population!AU14</f>
        <v>35364.37628408493</v>
      </c>
      <c r="AV14" s="11">
        <f>GDP!AV14/Population!AV14</f>
        <v>36795.978272323533</v>
      </c>
      <c r="AW14" s="11">
        <f>GDP!AW14/Population!AW14</f>
        <v>38672.70651779235</v>
      </c>
      <c r="AX14" s="11">
        <f>GDP!AX14/Population!AX14</f>
        <v>44262.89548697968</v>
      </c>
      <c r="AY14" s="11">
        <f>GDP!AY14/Population!AY14</f>
        <v>48106.892448001505</v>
      </c>
      <c r="AZ14" s="11">
        <f>GDP!AZ14/Population!AZ14</f>
        <v>44583.544787738021</v>
      </c>
      <c r="BA14" s="11">
        <f>GDP!BA14/Population!BA14</f>
        <v>44141.87835991566</v>
      </c>
      <c r="BB14" s="11">
        <f>GDP!BB14/Population!BB14</f>
        <v>47348.523644660068</v>
      </c>
      <c r="BC14" s="11">
        <f>GDP!BC14/Population!BC14</f>
        <v>44673.11477192802</v>
      </c>
      <c r="BD14" s="11">
        <f>GDP!BD14/Population!BD14</f>
        <v>46744.661691790614</v>
      </c>
      <c r="BE14" s="11">
        <f>GDP!BE14/Population!BE14</f>
        <v>47700.540503987089</v>
      </c>
      <c r="BF14" s="11">
        <f>GDP!BF14/Population!BF14</f>
        <v>40991.808298525233</v>
      </c>
      <c r="BG14" s="11">
        <f>GDP!BG14/Population!BG14</f>
        <v>41998.336189050235</v>
      </c>
      <c r="BH14" s="11">
        <f>GDP!BH14/Population!BH14</f>
        <v>44288.507041748344</v>
      </c>
      <c r="BI14" s="11">
        <f>GDP!BI14/Population!BI14</f>
        <v>47491.323772513897</v>
      </c>
      <c r="BJ14" s="11">
        <f>GDP!BJ14/Population!BJ14</f>
        <v>46116.698775127777</v>
      </c>
      <c r="BK14" s="11"/>
    </row>
    <row r="15" spans="1:63" x14ac:dyDescent="0.45">
      <c r="A15" t="str">
        <f>GDP!A15</f>
        <v>North</v>
      </c>
      <c r="B15" t="str">
        <f>GDP!B15</f>
        <v>Finland</v>
      </c>
      <c r="C15" s="11">
        <f>GDP!C15/Population!C15</f>
        <v>1179.3530571600272</v>
      </c>
      <c r="D15" s="11">
        <f>GDP!D15/Population!D15</f>
        <v>1327.4272035113163</v>
      </c>
      <c r="E15" s="11">
        <f>GDP!E15/Population!E15</f>
        <v>1411.7024003198972</v>
      </c>
      <c r="F15" s="11">
        <f>GDP!F15/Population!F15</f>
        <v>1522.3192260356302</v>
      </c>
      <c r="G15" s="11">
        <f>GDP!G15/Population!G15</f>
        <v>1707.5039141105185</v>
      </c>
      <c r="H15" s="35">
        <f>GDP!H15/Population!H15</f>
        <v>1882.0868885377142</v>
      </c>
      <c r="I15" s="35">
        <f>GDP!I15/Population!I15</f>
        <v>2010.2135206223973</v>
      </c>
      <c r="J15" s="11">
        <f>GDP!J15/Population!J15</f>
        <v>2034.1890161502681</v>
      </c>
      <c r="K15" s="11">
        <f>GDP!K15/Population!K15</f>
        <v>1907.0772669178157</v>
      </c>
      <c r="L15" s="11">
        <f>GDP!L15/Population!L15</f>
        <v>2178.0352226584928</v>
      </c>
      <c r="M15" s="11">
        <f>GDP!M15/Population!M15</f>
        <v>2465.6447779099394</v>
      </c>
      <c r="N15" s="11">
        <f>GDP!N15/Population!N15</f>
        <v>2716.1899931571656</v>
      </c>
      <c r="O15" s="11">
        <f>GDP!O15/Population!O15</f>
        <v>3177.6455475049124</v>
      </c>
      <c r="P15" s="11">
        <f>GDP!P15/Population!P15</f>
        <v>4173.1730589331819</v>
      </c>
      <c r="Q15" s="11">
        <f>GDP!Q15/Population!Q15</f>
        <v>5297.6079840121911</v>
      </c>
      <c r="R15" s="11">
        <f>GDP!R15/Population!R15</f>
        <v>6255.5449374288964</v>
      </c>
      <c r="S15" s="11">
        <f>GDP!S15/Population!S15</f>
        <v>6739.6909742207654</v>
      </c>
      <c r="T15" s="11">
        <f>GDP!T15/Population!T15</f>
        <v>7069.1057869523365</v>
      </c>
      <c r="U15" s="11">
        <f>GDP!U15/Population!U15</f>
        <v>7628.8160305420606</v>
      </c>
      <c r="V15" s="11">
        <f>GDP!V15/Population!V15</f>
        <v>9332.2449939030666</v>
      </c>
      <c r="W15" s="11">
        <f>GDP!W15/Population!W15</f>
        <v>11223.937351227682</v>
      </c>
      <c r="X15" s="11">
        <f>GDP!X15/Population!X15</f>
        <v>10926.818164469567</v>
      </c>
      <c r="Y15" s="11">
        <f>GDP!Y15/Population!Y15</f>
        <v>10938.122273501622</v>
      </c>
      <c r="Z15" s="11">
        <f>GDP!Z15/Population!Z15</f>
        <v>10497.480236262423</v>
      </c>
      <c r="AA15" s="11">
        <f>GDP!AA15/Population!AA15</f>
        <v>10833.866356344162</v>
      </c>
      <c r="AB15" s="11">
        <f>GDP!AB15/Population!AB15</f>
        <v>11398.105776868619</v>
      </c>
      <c r="AC15" s="11">
        <f>GDP!AC15/Population!AC15</f>
        <v>14951.046194974781</v>
      </c>
      <c r="AD15" s="11">
        <f>GDP!AD15/Population!AD15</f>
        <v>18571.059967482564</v>
      </c>
      <c r="AE15" s="11">
        <f>GDP!AE15/Population!AE15</f>
        <v>22047.793184690287</v>
      </c>
      <c r="AF15" s="11">
        <f>GDP!AF15/Population!AF15</f>
        <v>23973.239930698168</v>
      </c>
      <c r="AG15" s="11">
        <f>GDP!AG15/Population!AG15</f>
        <v>28364.646659705108</v>
      </c>
      <c r="AH15" s="11">
        <f>GDP!AH15/Population!AH15</f>
        <v>25484.739902747249</v>
      </c>
      <c r="AI15" s="11">
        <f>GDP!AI15/Population!AI15</f>
        <v>22319.059800174218</v>
      </c>
      <c r="AJ15" s="11">
        <f>GDP!AJ15/Population!AJ15</f>
        <v>17608.812613652131</v>
      </c>
      <c r="AK15" s="11">
        <f>GDP!AK15/Population!AK15</f>
        <v>20301.332548793485</v>
      </c>
      <c r="AL15" s="11">
        <f>GDP!AL15/Population!AL15</f>
        <v>26271.600409570481</v>
      </c>
      <c r="AM15" s="11">
        <f>GDP!AM15/Population!AM15</f>
        <v>25783.451148027358</v>
      </c>
      <c r="AN15" s="11">
        <f>GDP!AN15/Population!AN15</f>
        <v>24691.872706419563</v>
      </c>
      <c r="AO15" s="11">
        <f>GDP!AO15/Population!AO15</f>
        <v>26009.269124776994</v>
      </c>
      <c r="AP15" s="11">
        <f>GDP!AP15/Population!AP15</f>
        <v>26177.34859724393</v>
      </c>
      <c r="AQ15" s="11">
        <f>GDP!AQ15/Population!AQ15</f>
        <v>24285.466371238101</v>
      </c>
      <c r="AR15" s="11">
        <f>GDP!AR15/Population!AR15</f>
        <v>24946.188456147331</v>
      </c>
      <c r="AS15" s="11">
        <f>GDP!AS15/Population!AS15</f>
        <v>26869.675821126726</v>
      </c>
      <c r="AT15" s="11">
        <f>GDP!AT15/Population!AT15</f>
        <v>32855.133856920394</v>
      </c>
      <c r="AU15" s="11">
        <f>GDP!AU15/Population!AU15</f>
        <v>37702.843857470645</v>
      </c>
      <c r="AV15" s="11">
        <f>GDP!AV15/Population!AV15</f>
        <v>39040.290056453407</v>
      </c>
      <c r="AW15" s="11">
        <f>GDP!AW15/Population!AW15</f>
        <v>41188.094989468824</v>
      </c>
      <c r="AX15" s="11">
        <f>GDP!AX15/Population!AX15</f>
        <v>48414.845155727664</v>
      </c>
      <c r="AY15" s="11">
        <f>GDP!AY15/Population!AY15</f>
        <v>53554.037568795415</v>
      </c>
      <c r="AZ15" s="11">
        <f>GDP!AZ15/Population!AZ15</f>
        <v>47293.992935959679</v>
      </c>
      <c r="BA15" s="11">
        <f>GDP!BA15/Population!BA15</f>
        <v>46459.973574734606</v>
      </c>
      <c r="BB15" s="11">
        <f>GDP!BB15/Population!BB15</f>
        <v>51081.997369100893</v>
      </c>
      <c r="BC15" s="11">
        <f>GDP!BC15/Population!BC15</f>
        <v>47710.79039470289</v>
      </c>
      <c r="BD15" s="11">
        <f>GDP!BD15/Population!BD15</f>
        <v>49878.041765245347</v>
      </c>
      <c r="BE15" s="11">
        <f>GDP!BE15/Population!BE15</f>
        <v>50260.298742179824</v>
      </c>
      <c r="BF15" s="11">
        <f>GDP!BF15/Population!BF15</f>
        <v>42784.698436417275</v>
      </c>
      <c r="BG15" s="11">
        <f>GDP!BG15/Population!BG15</f>
        <v>43784.283367814292</v>
      </c>
      <c r="BH15" s="11">
        <f>GDP!BH15/Population!BH15</f>
        <v>46316.744138118091</v>
      </c>
      <c r="BI15" s="11">
        <f>GDP!BI15/Population!BI15</f>
        <v>50021.291205460948</v>
      </c>
      <c r="BJ15" s="11">
        <f>GDP!BJ15/Population!BJ15</f>
        <v>48685.854226408133</v>
      </c>
      <c r="BK15" s="11"/>
    </row>
    <row r="16" spans="1:63" x14ac:dyDescent="0.45">
      <c r="A16" t="str">
        <f>GDP!A16</f>
        <v>North</v>
      </c>
      <c r="B16" t="str">
        <f>GDP!B16</f>
        <v>France</v>
      </c>
      <c r="C16" s="11">
        <f>GDP!C16/Population!C16</f>
        <v>1334.6900765541036</v>
      </c>
      <c r="D16" s="11">
        <f>GDP!D16/Population!D16</f>
        <v>1428.0454579015855</v>
      </c>
      <c r="E16" s="11">
        <f>GDP!E16/Population!E16</f>
        <v>1578.2846723160289</v>
      </c>
      <c r="F16" s="11">
        <f>GDP!F16/Population!F16</f>
        <v>1744.6404806723854</v>
      </c>
      <c r="G16" s="11">
        <f>GDP!G16/Population!G16</f>
        <v>1909.5412343982186</v>
      </c>
      <c r="H16" s="35">
        <f>GDP!H16/Population!H16</f>
        <v>2038.162797772726</v>
      </c>
      <c r="I16" s="35">
        <f>GDP!I16/Population!I16</f>
        <v>2186.4748363728036</v>
      </c>
      <c r="J16" s="11">
        <f>GDP!J16/Population!J16</f>
        <v>2343.1043921087435</v>
      </c>
      <c r="K16" s="11">
        <f>GDP!K16/Population!K16</f>
        <v>2536.085000035564</v>
      </c>
      <c r="L16" s="11">
        <f>GDP!L16/Population!L16</f>
        <v>2752.0949638798743</v>
      </c>
      <c r="M16" s="11">
        <f>GDP!M16/Population!M16</f>
        <v>2857.2522460947876</v>
      </c>
      <c r="N16" s="11">
        <f>GDP!N16/Population!N16</f>
        <v>3169.0347765755259</v>
      </c>
      <c r="O16" s="11">
        <f>GDP!O16/Population!O16</f>
        <v>3854.5568887591749</v>
      </c>
      <c r="P16" s="11">
        <f>GDP!P16/Population!P16</f>
        <v>4969.7637820184646</v>
      </c>
      <c r="Q16" s="11">
        <f>GDP!Q16/Population!Q16</f>
        <v>5328.2419335697759</v>
      </c>
      <c r="R16" s="11">
        <f>GDP!R16/Population!R16</f>
        <v>6690.5777627990765</v>
      </c>
      <c r="S16" s="11">
        <f>GDP!S16/Population!S16</f>
        <v>6866.8178236143904</v>
      </c>
      <c r="T16" s="11">
        <f>GDP!T16/Population!T16</f>
        <v>7532.5274817532236</v>
      </c>
      <c r="U16" s="11">
        <f>GDP!U16/Population!U16</f>
        <v>9264.7774467026647</v>
      </c>
      <c r="V16" s="11">
        <f>GDP!V16/Population!V16</f>
        <v>11179.63050531419</v>
      </c>
      <c r="W16" s="11">
        <f>GDP!W16/Population!W16</f>
        <v>12713.360935759431</v>
      </c>
      <c r="X16" s="11">
        <f>GDP!X16/Population!X16</f>
        <v>11104.977473257584</v>
      </c>
      <c r="Y16" s="11">
        <f>GDP!Y16/Population!Y16</f>
        <v>10496.930126657848</v>
      </c>
      <c r="Z16" s="11">
        <f>GDP!Z16/Population!Z16</f>
        <v>9993.4227618535042</v>
      </c>
      <c r="AA16" s="11">
        <f>GDP!AA16/Population!AA16</f>
        <v>9419.6981492168361</v>
      </c>
      <c r="AB16" s="11">
        <f>GDP!AB16/Population!AB16</f>
        <v>9763.3281624527644</v>
      </c>
      <c r="AC16" s="11">
        <f>GDP!AC16/Population!AC16</f>
        <v>13540.246903422212</v>
      </c>
      <c r="AD16" s="11">
        <f>GDP!AD16/Population!AD16</f>
        <v>16302.440637105457</v>
      </c>
      <c r="AE16" s="11">
        <f>GDP!AE16/Population!AE16</f>
        <v>17679.997165778102</v>
      </c>
      <c r="AF16" s="11">
        <f>GDP!AF16/Population!AF16</f>
        <v>17694.305747034545</v>
      </c>
      <c r="AG16" s="11">
        <f>GDP!AG16/Population!AG16</f>
        <v>21793.842958174657</v>
      </c>
      <c r="AH16" s="11">
        <f>GDP!AH16/Population!AH16</f>
        <v>21675.064567152018</v>
      </c>
      <c r="AI16" s="11">
        <f>GDP!AI16/Population!AI16</f>
        <v>23813.711244165286</v>
      </c>
      <c r="AJ16" s="11">
        <f>GDP!AJ16/Population!AJ16</f>
        <v>22380.103515455285</v>
      </c>
      <c r="AK16" s="11">
        <f>GDP!AK16/Population!AK16</f>
        <v>23496.52249794664</v>
      </c>
      <c r="AL16" s="11">
        <f>GDP!AL16/Population!AL16</f>
        <v>26890.220359914616</v>
      </c>
      <c r="AM16" s="11">
        <f>GDP!AM16/Population!AM16</f>
        <v>26871.829623701531</v>
      </c>
      <c r="AN16" s="11">
        <f>GDP!AN16/Population!AN16</f>
        <v>24228.941405608741</v>
      </c>
      <c r="AO16" s="11">
        <f>GDP!AO16/Population!AO16</f>
        <v>24974.273082267508</v>
      </c>
      <c r="AP16" s="11">
        <f>GDP!AP16/Population!AP16</f>
        <v>24673.197865669412</v>
      </c>
      <c r="AQ16" s="11">
        <f>GDP!AQ16/Population!AQ16</f>
        <v>22364.030219084754</v>
      </c>
      <c r="AR16" s="11">
        <f>GDP!AR16/Population!AR16</f>
        <v>22433.554943824896</v>
      </c>
      <c r="AS16" s="11">
        <f>GDP!AS16/Population!AS16</f>
        <v>24177.333850311919</v>
      </c>
      <c r="AT16" s="11">
        <f>GDP!AT16/Population!AT16</f>
        <v>29568.384479830696</v>
      </c>
      <c r="AU16" s="11">
        <f>GDP!AU16/Population!AU16</f>
        <v>33741.264255473769</v>
      </c>
      <c r="AV16" s="11">
        <f>GDP!AV16/Population!AV16</f>
        <v>34760.186208684128</v>
      </c>
      <c r="AW16" s="11">
        <f>GDP!AW16/Population!AW16</f>
        <v>36443.624573248802</v>
      </c>
      <c r="AX16" s="11">
        <f>GDP!AX16/Population!AX16</f>
        <v>41508.434155941468</v>
      </c>
      <c r="AY16" s="11">
        <f>GDP!AY16/Population!AY16</f>
        <v>45334.113474389371</v>
      </c>
      <c r="AZ16" s="11">
        <f>GDP!AZ16/Population!AZ16</f>
        <v>41575.420407053083</v>
      </c>
      <c r="BA16" s="11">
        <f>GDP!BA16/Population!BA16</f>
        <v>40638.331684492659</v>
      </c>
      <c r="BB16" s="11">
        <f>GDP!BB16/Population!BB16</f>
        <v>43790.732357331595</v>
      </c>
      <c r="BC16" s="11">
        <f>GDP!BC16/Population!BC16</f>
        <v>40874.705135659242</v>
      </c>
      <c r="BD16" s="11">
        <f>GDP!BD16/Population!BD16</f>
        <v>42592.935380533629</v>
      </c>
      <c r="BE16" s="11">
        <f>GDP!BE16/Population!BE16</f>
        <v>43011.262738118799</v>
      </c>
      <c r="BF16" s="11">
        <f>GDP!BF16/Population!BF16</f>
        <v>36638.184949415365</v>
      </c>
      <c r="BG16" s="11">
        <f>GDP!BG16/Population!BG16</f>
        <v>37037.372426372334</v>
      </c>
      <c r="BH16" s="11">
        <f>GDP!BH16/Population!BH16</f>
        <v>38812.162037605078</v>
      </c>
      <c r="BI16" s="11">
        <f>GDP!BI16/Population!BI16</f>
        <v>41631.090657109249</v>
      </c>
      <c r="BJ16" s="11">
        <f>GDP!BJ16/Population!BJ16</f>
        <v>40493.92743870971</v>
      </c>
      <c r="BK16" s="11"/>
    </row>
    <row r="17" spans="1:63" x14ac:dyDescent="0.45">
      <c r="A17" t="str">
        <f>GDP!A17</f>
        <v>North</v>
      </c>
      <c r="B17" t="str">
        <f>GDP!B17</f>
        <v>Greece</v>
      </c>
      <c r="C17" s="11">
        <f>GDP!C17/Population!C17</f>
        <v>520.32273268740869</v>
      </c>
      <c r="D17" s="11">
        <f>GDP!D17/Population!D17</f>
        <v>590.78004060466412</v>
      </c>
      <c r="E17" s="11">
        <f>GDP!E17/Population!E17</f>
        <v>617.05776912166129</v>
      </c>
      <c r="F17" s="11">
        <f>GDP!F17/Population!F17</f>
        <v>695.22863098309188</v>
      </c>
      <c r="G17" s="11">
        <f>GDP!G17/Population!G17</f>
        <v>783.70590624749934</v>
      </c>
      <c r="H17" s="35">
        <f>GDP!H17/Population!H17</f>
        <v>899.28123828627497</v>
      </c>
      <c r="I17" s="35">
        <f>GDP!I17/Population!I17</f>
        <v>997.43043873033628</v>
      </c>
      <c r="J17" s="11">
        <f>GDP!J17/Population!J17</f>
        <v>1068.1145672406819</v>
      </c>
      <c r="K17" s="11">
        <f>GDP!K17/Population!K17</f>
        <v>1154.4385673336374</v>
      </c>
      <c r="L17" s="11">
        <f>GDP!L17/Population!L17</f>
        <v>1324.0589807271688</v>
      </c>
      <c r="M17" s="11">
        <f>GDP!M17/Population!M17</f>
        <v>1494.3878584379092</v>
      </c>
      <c r="N17" s="11">
        <f>GDP!N17/Population!N17</f>
        <v>1652.3265519470197</v>
      </c>
      <c r="O17" s="11">
        <f>GDP!O17/Population!O17</f>
        <v>1899.6753010700863</v>
      </c>
      <c r="P17" s="11">
        <f>GDP!P17/Population!P17</f>
        <v>2502.8144685805469</v>
      </c>
      <c r="Q17" s="11">
        <f>GDP!Q17/Population!Q17</f>
        <v>2828.7483802204456</v>
      </c>
      <c r="R17" s="11">
        <f>GDP!R17/Population!R17</f>
        <v>3153.2353804619911</v>
      </c>
      <c r="S17" s="11">
        <f>GDP!S17/Population!S17</f>
        <v>3390.5455074198831</v>
      </c>
      <c r="T17" s="11">
        <f>GDP!T17/Population!T17</f>
        <v>3886.3741807872157</v>
      </c>
      <c r="U17" s="11">
        <f>GDP!U17/Population!U17</f>
        <v>4694.6336542926647</v>
      </c>
      <c r="V17" s="11">
        <f>GDP!V17/Population!V17</f>
        <v>5705.9491840291703</v>
      </c>
      <c r="W17" s="11">
        <f>GDP!W17/Population!W17</f>
        <v>5893.6619975825788</v>
      </c>
      <c r="X17" s="11">
        <f>GDP!X17/Population!X17</f>
        <v>5380.2676709132675</v>
      </c>
      <c r="Y17" s="11">
        <f>GDP!Y17/Population!Y17</f>
        <v>5579.2349645993627</v>
      </c>
      <c r="Z17" s="11">
        <f>GDP!Z17/Population!Z17</f>
        <v>5019.8787072974328</v>
      </c>
      <c r="AA17" s="11">
        <f>GDP!AA17/Population!AA17</f>
        <v>4852.5657846191534</v>
      </c>
      <c r="AB17" s="11">
        <f>GDP!AB17/Population!AB17</f>
        <v>4813.7109964466545</v>
      </c>
      <c r="AC17" s="11">
        <f>GDP!AC17/Population!AC17</f>
        <v>5656.50525417687</v>
      </c>
      <c r="AD17" s="11">
        <f>GDP!AD17/Population!AD17</f>
        <v>6564.884627764648</v>
      </c>
      <c r="AE17" s="11">
        <f>GDP!AE17/Population!AE17</f>
        <v>7598.0279827115382</v>
      </c>
      <c r="AF17" s="11">
        <f>GDP!AF17/Population!AF17</f>
        <v>7846.6782470247772</v>
      </c>
      <c r="AG17" s="11">
        <f>GDP!AG17/Population!AG17</f>
        <v>9600.1850809548723</v>
      </c>
      <c r="AH17" s="11">
        <f>GDP!AH17/Population!AH17</f>
        <v>10188.369594474845</v>
      </c>
      <c r="AI17" s="11">
        <f>GDP!AI17/Population!AI17</f>
        <v>11176.458311380229</v>
      </c>
      <c r="AJ17" s="11">
        <f>GDP!AJ17/Population!AJ17</f>
        <v>10401.983128967637</v>
      </c>
      <c r="AK17" s="11">
        <f>GDP!AK17/Population!AK17</f>
        <v>11091.28353239946</v>
      </c>
      <c r="AL17" s="11">
        <f>GDP!AL17/Population!AL17</f>
        <v>12959.324365022927</v>
      </c>
      <c r="AM17" s="11">
        <f>GDP!AM17/Population!AM17</f>
        <v>13749.114642937939</v>
      </c>
      <c r="AN17" s="11">
        <f>GDP!AN17/Population!AN17</f>
        <v>13427.831747076025</v>
      </c>
      <c r="AO17" s="11">
        <f>GDP!AO17/Population!AO17</f>
        <v>13472.137494964092</v>
      </c>
      <c r="AP17" s="11">
        <f>GDP!AP17/Population!AP17</f>
        <v>13245.189975039255</v>
      </c>
      <c r="AQ17" s="11">
        <f>GDP!AQ17/Population!AQ17</f>
        <v>12042.953564231384</v>
      </c>
      <c r="AR17" s="11">
        <f>GDP!AR17/Population!AR17</f>
        <v>12538.178769324475</v>
      </c>
      <c r="AS17" s="11">
        <f>GDP!AS17/Population!AS17</f>
        <v>14110.313560548677</v>
      </c>
      <c r="AT17" s="11">
        <f>GDP!AT17/Population!AT17</f>
        <v>18477.577828106885</v>
      </c>
      <c r="AU17" s="11">
        <f>GDP!AU17/Population!AU17</f>
        <v>21955.104471224971</v>
      </c>
      <c r="AV17" s="11">
        <f>GDP!AV17/Population!AV17</f>
        <v>22551.735393745916</v>
      </c>
      <c r="AW17" s="11">
        <f>GDP!AW17/Population!AW17</f>
        <v>24801.158123843845</v>
      </c>
      <c r="AX17" s="11">
        <f>GDP!AX17/Population!AX17</f>
        <v>28827.327328219926</v>
      </c>
      <c r="AY17" s="11">
        <f>GDP!AY17/Population!AY17</f>
        <v>31997.281318625173</v>
      </c>
      <c r="AZ17" s="11">
        <f>GDP!AZ17/Population!AZ17</f>
        <v>29710.968889666776</v>
      </c>
      <c r="BA17" s="11">
        <f>GDP!BA17/Population!BA17</f>
        <v>26917.758094100343</v>
      </c>
      <c r="BB17" s="11">
        <f>GDP!BB17/Population!BB17</f>
        <v>25916.294945501078</v>
      </c>
      <c r="BC17" s="11">
        <f>GDP!BC17/Population!BC17</f>
        <v>22242.682640334173</v>
      </c>
      <c r="BD17" s="11">
        <f>GDP!BD17/Population!BD17</f>
        <v>21874.818985243423</v>
      </c>
      <c r="BE17" s="11">
        <f>GDP!BE17/Population!BE17</f>
        <v>21760.979188725218</v>
      </c>
      <c r="BF17" s="11">
        <f>GDP!BF17/Population!BF17</f>
        <v>18167.773725674699</v>
      </c>
      <c r="BG17" s="11">
        <f>GDP!BG17/Population!BG17</f>
        <v>18116.459100344648</v>
      </c>
      <c r="BH17" s="11">
        <f>GDP!BH17/Population!BH17</f>
        <v>18930.218148212512</v>
      </c>
      <c r="BI17" s="11">
        <f>GDP!BI17/Population!BI17</f>
        <v>20324.304493052285</v>
      </c>
      <c r="BJ17" s="11">
        <f>GDP!BJ17/Population!BJ17</f>
        <v>19582.535879754265</v>
      </c>
      <c r="BK17" s="11"/>
    </row>
    <row r="18" spans="1:63" x14ac:dyDescent="0.45">
      <c r="A18" t="str">
        <f>GDP!A18</f>
        <v>North</v>
      </c>
      <c r="B18" t="str">
        <f>GDP!B18</f>
        <v>Israel</v>
      </c>
      <c r="C18" s="11">
        <f>GDP!C18/Population!C18</f>
        <v>1229.1747930483155</v>
      </c>
      <c r="D18" s="11">
        <f>GDP!D18/Population!D18</f>
        <v>1436.3844832951945</v>
      </c>
      <c r="E18" s="11">
        <f>GDP!E18/Population!E18</f>
        <v>1094.635904055822</v>
      </c>
      <c r="F18" s="11">
        <f>GDP!F18/Population!F18</f>
        <v>1257.8113963850358</v>
      </c>
      <c r="G18" s="11">
        <f>GDP!G18/Population!G18</f>
        <v>1375.8922214141414</v>
      </c>
      <c r="H18" s="35">
        <f>GDP!H18/Population!H18</f>
        <v>1429.3146219274288</v>
      </c>
      <c r="I18" s="35">
        <f>GDP!I18/Population!I18</f>
        <v>1513.883605933815</v>
      </c>
      <c r="J18" s="11">
        <f>GDP!J18/Population!J18</f>
        <v>1468.1239081967212</v>
      </c>
      <c r="K18" s="11">
        <f>GDP!K18/Population!K18</f>
        <v>1647.8772058508741</v>
      </c>
      <c r="L18" s="11">
        <f>GDP!L18/Population!L18</f>
        <v>1852.3925088633994</v>
      </c>
      <c r="M18" s="11">
        <f>GDP!M18/Population!M18</f>
        <v>2370.0963765971755</v>
      </c>
      <c r="N18" s="11">
        <f>GDP!N18/Population!N18</f>
        <v>2186.9501935483872</v>
      </c>
      <c r="O18" s="11">
        <f>GDP!O18/Population!O18</f>
        <v>2787.5635069885643</v>
      </c>
      <c r="P18" s="11">
        <f>GDP!P18/Population!P18</f>
        <v>3455.2318438071993</v>
      </c>
      <c r="Q18" s="11">
        <f>GDP!Q18/Population!Q18</f>
        <v>4838.9103322475567</v>
      </c>
      <c r="R18" s="11">
        <f>GDP!R18/Population!R18</f>
        <v>4445.7791351664255</v>
      </c>
      <c r="S18" s="11">
        <f>GDP!S18/Population!S18</f>
        <v>4297.5164177752622</v>
      </c>
      <c r="T18" s="11">
        <f>GDP!T18/Population!T18</f>
        <v>4808.41377691669</v>
      </c>
      <c r="U18" s="11">
        <f>GDP!U18/Population!U18</f>
        <v>4564.5466016260161</v>
      </c>
      <c r="V18" s="11">
        <f>GDP!V18/Population!V18</f>
        <v>5682.535725303751</v>
      </c>
      <c r="W18" s="11">
        <f>GDP!W18/Population!W18</f>
        <v>6231.1783641052089</v>
      </c>
      <c r="X18" s="11">
        <f>GDP!X18/Population!X18</f>
        <v>6465.9320364004043</v>
      </c>
      <c r="Y18" s="11">
        <f>GDP!Y18/Population!Y18</f>
        <v>6905.8570161250309</v>
      </c>
      <c r="Z18" s="11">
        <f>GDP!Z18/Population!Z18</f>
        <v>7574.2338962241165</v>
      </c>
      <c r="AA18" s="11">
        <f>GDP!AA18/Population!AA18</f>
        <v>7011.410973791777</v>
      </c>
      <c r="AB18" s="11">
        <f>GDP!AB18/Population!AB18</f>
        <v>6497.7335790219704</v>
      </c>
      <c r="AC18" s="11">
        <f>GDP!AC18/Population!AC18</f>
        <v>7931.509549197488</v>
      </c>
      <c r="AD18" s="11">
        <f>GDP!AD18/Population!AD18</f>
        <v>9375.8930647745474</v>
      </c>
      <c r="AE18" s="11">
        <f>GDP!AE18/Population!AE18</f>
        <v>11278.563760468258</v>
      </c>
      <c r="AF18" s="11">
        <f>GDP!AF18/Population!AF18</f>
        <v>11045.14413811421</v>
      </c>
      <c r="AG18" s="11">
        <f>GDP!AG18/Population!AG18</f>
        <v>12663.363241201716</v>
      </c>
      <c r="AH18" s="11">
        <f>GDP!AH18/Population!AH18</f>
        <v>13650.841579308952</v>
      </c>
      <c r="AI18" s="11">
        <f>GDP!AI18/Population!AI18</f>
        <v>14758.346131563538</v>
      </c>
      <c r="AJ18" s="11">
        <f>GDP!AJ18/Population!AJ18</f>
        <v>14443.243416840905</v>
      </c>
      <c r="AK18" s="11">
        <f>GDP!AK18/Population!AK18</f>
        <v>15992.342285608445</v>
      </c>
      <c r="AL18" s="11">
        <f>GDP!AL18/Population!AL18</f>
        <v>18103.662571686204</v>
      </c>
      <c r="AM18" s="11">
        <f>GDP!AM18/Population!AM18</f>
        <v>19324.638718200982</v>
      </c>
      <c r="AN18" s="11">
        <f>GDP!AN18/Population!AN18</f>
        <v>19652.608</v>
      </c>
      <c r="AO18" s="11">
        <f>GDP!AO18/Population!AO18</f>
        <v>19415.985283537095</v>
      </c>
      <c r="AP18" s="11">
        <f>GDP!AP18/Population!AP18</f>
        <v>19120.251047183672</v>
      </c>
      <c r="AQ18" s="11">
        <f>GDP!AQ18/Population!AQ18</f>
        <v>21043.575472094133</v>
      </c>
      <c r="AR18" s="11">
        <f>GDP!AR18/Population!AR18</f>
        <v>20306.932390743903</v>
      </c>
      <c r="AS18" s="11">
        <f>GDP!AS18/Population!AS18</f>
        <v>18435.895252359209</v>
      </c>
      <c r="AT18" s="11">
        <f>GDP!AT18/Population!AT18</f>
        <v>18979.323614511861</v>
      </c>
      <c r="AU18" s="11">
        <f>GDP!AU18/Population!AU18</f>
        <v>19896.81718666471</v>
      </c>
      <c r="AV18" s="11">
        <f>GDP!AV18/Population!AV18</f>
        <v>20566.644812628965</v>
      </c>
      <c r="AW18" s="11">
        <f>GDP!AW18/Population!AW18</f>
        <v>21837.379454187165</v>
      </c>
      <c r="AX18" s="11">
        <f>GDP!AX18/Population!AX18</f>
        <v>24924.330854444925</v>
      </c>
      <c r="AY18" s="11">
        <f>GDP!AY18/Population!AY18</f>
        <v>29567.804973730297</v>
      </c>
      <c r="AZ18" s="11">
        <f>GDP!AZ18/Population!AZ18</f>
        <v>27715.636310783371</v>
      </c>
      <c r="BA18" s="11">
        <f>GDP!BA18/Population!BA18</f>
        <v>30693.593812896794</v>
      </c>
      <c r="BB18" s="11">
        <f>GDP!BB18/Population!BB18</f>
        <v>33669.246585799272</v>
      </c>
      <c r="BC18" s="11">
        <f>GDP!BC18/Population!BC18</f>
        <v>32511.23690285064</v>
      </c>
      <c r="BD18" s="11">
        <f>GDP!BD18/Population!BD18</f>
        <v>36309.468837520937</v>
      </c>
      <c r="BE18" s="11">
        <f>GDP!BE18/Population!BE18</f>
        <v>37678.888473532381</v>
      </c>
      <c r="BF18" s="11">
        <f>GDP!BF18/Population!BF18</f>
        <v>35776.793804369874</v>
      </c>
      <c r="BG18" s="11">
        <f>GDP!BG18/Population!BG18</f>
        <v>37321.624713316174</v>
      </c>
      <c r="BH18" s="11">
        <f>GDP!BH18/Population!BH18</f>
        <v>40541.860418440774</v>
      </c>
      <c r="BI18" s="11">
        <f>GDP!BI18/Population!BI18</f>
        <v>41719.727120277392</v>
      </c>
      <c r="BJ18" s="11">
        <f>GDP!BJ18/Population!BJ18</f>
        <v>43641.396250207108</v>
      </c>
      <c r="BK18" s="11"/>
    </row>
    <row r="19" spans="1:63" x14ac:dyDescent="0.45">
      <c r="A19" t="str">
        <f>GDP!A19</f>
        <v>North</v>
      </c>
      <c r="B19" t="str">
        <f>GDP!B19</f>
        <v>Italy</v>
      </c>
      <c r="C19" s="11">
        <f>GDP!C19/Population!C19</f>
        <v>804.49266111152053</v>
      </c>
      <c r="D19" s="11">
        <f>GDP!D19/Population!D19</f>
        <v>887.33674801062011</v>
      </c>
      <c r="E19" s="11">
        <f>GDP!E19/Population!E19</f>
        <v>990.26020250848637</v>
      </c>
      <c r="F19" s="11">
        <f>GDP!F19/Population!F19</f>
        <v>1126.0193466011083</v>
      </c>
      <c r="G19" s="11">
        <f>GDP!G19/Population!G19</f>
        <v>1222.5445093436422</v>
      </c>
      <c r="H19" s="35">
        <f>GDP!H19/Population!H19</f>
        <v>1304.4537691179244</v>
      </c>
      <c r="I19" s="35">
        <f>GDP!I19/Population!I19</f>
        <v>1402.442354500276</v>
      </c>
      <c r="J19" s="11">
        <f>GDP!J19/Population!J19</f>
        <v>1533.6928278560695</v>
      </c>
      <c r="K19" s="11">
        <f>GDP!K19/Population!K19</f>
        <v>1651.9393604508489</v>
      </c>
      <c r="L19" s="11">
        <f>GDP!L19/Population!L19</f>
        <v>1813.3879972099044</v>
      </c>
      <c r="M19" s="11">
        <f>GDP!M19/Population!M19</f>
        <v>2106.8640895422245</v>
      </c>
      <c r="N19" s="11">
        <f>GDP!N19/Population!N19</f>
        <v>2305.6098885279971</v>
      </c>
      <c r="O19" s="11">
        <f>GDP!O19/Population!O19</f>
        <v>2671.1372947310756</v>
      </c>
      <c r="P19" s="11">
        <f>GDP!P19/Population!P19</f>
        <v>3205.2519095034049</v>
      </c>
      <c r="Q19" s="11">
        <f>GDP!Q19/Population!Q19</f>
        <v>3621.1458836032125</v>
      </c>
      <c r="R19" s="11">
        <f>GDP!R19/Population!R19</f>
        <v>4106.9939858227663</v>
      </c>
      <c r="S19" s="11">
        <f>GDP!S19/Population!S19</f>
        <v>4033.0992952041215</v>
      </c>
      <c r="T19" s="11">
        <f>GDP!T19/Population!T19</f>
        <v>4603.599550013143</v>
      </c>
      <c r="U19" s="11">
        <f>GDP!U19/Population!U19</f>
        <v>5610.4980063090925</v>
      </c>
      <c r="V19" s="11">
        <f>GDP!V19/Population!V19</f>
        <v>6990.2862030633751</v>
      </c>
      <c r="W19" s="11">
        <f>GDP!W19/Population!W19</f>
        <v>8456.9188561963947</v>
      </c>
      <c r="X19" s="11">
        <f>GDP!X19/Population!X19</f>
        <v>7622.833243813865</v>
      </c>
      <c r="Y19" s="11">
        <f>GDP!Y19/Population!Y19</f>
        <v>7556.5232370632275</v>
      </c>
      <c r="Z19" s="11">
        <f>GDP!Z19/Population!Z19</f>
        <v>7832.57551613328</v>
      </c>
      <c r="AA19" s="11">
        <f>GDP!AA19/Population!AA19</f>
        <v>7739.7151495526778</v>
      </c>
      <c r="AB19" s="11">
        <f>GDP!AB19/Population!AB19</f>
        <v>7990.686629345726</v>
      </c>
      <c r="AC19" s="11">
        <f>GDP!AC19/Population!AC19</f>
        <v>11315.014657885953</v>
      </c>
      <c r="AD19" s="11">
        <f>GDP!AD19/Population!AD19</f>
        <v>14234.728771307666</v>
      </c>
      <c r="AE19" s="11">
        <f>GDP!AE19/Population!AE19</f>
        <v>15744.661259523516</v>
      </c>
      <c r="AF19" s="11">
        <f>GDP!AF19/Population!AF19</f>
        <v>16386.662063411455</v>
      </c>
      <c r="AG19" s="11">
        <f>GDP!AG19/Population!AG19</f>
        <v>20825.785024764085</v>
      </c>
      <c r="AH19" s="11">
        <f>GDP!AH19/Population!AH19</f>
        <v>21956.529595204385</v>
      </c>
      <c r="AI19" s="11">
        <f>GDP!AI19/Population!AI19</f>
        <v>23243.474039514138</v>
      </c>
      <c r="AJ19" s="11">
        <f>GDP!AJ19/Population!AJ19</f>
        <v>18738.764647269785</v>
      </c>
      <c r="AK19" s="11">
        <f>GDP!AK19/Population!AK19</f>
        <v>19337.631383344415</v>
      </c>
      <c r="AL19" s="11">
        <f>GDP!AL19/Population!AL19</f>
        <v>20664.551036107328</v>
      </c>
      <c r="AM19" s="11">
        <f>GDP!AM19/Population!AM19</f>
        <v>23081.605603067732</v>
      </c>
      <c r="AN19" s="11">
        <f>GDP!AN19/Population!AN19</f>
        <v>21829.344758160485</v>
      </c>
      <c r="AO19" s="11">
        <f>GDP!AO19/Population!AO19</f>
        <v>22318.137771227957</v>
      </c>
      <c r="AP19" s="11">
        <f>GDP!AP19/Population!AP19</f>
        <v>21997.624199289356</v>
      </c>
      <c r="AQ19" s="11">
        <f>GDP!AQ19/Population!AQ19</f>
        <v>20087.591830776619</v>
      </c>
      <c r="AR19" s="11">
        <f>GDP!AR19/Population!AR19</f>
        <v>20483.215887078513</v>
      </c>
      <c r="AS19" s="11">
        <f>GDP!AS19/Population!AS19</f>
        <v>22270.144779804094</v>
      </c>
      <c r="AT19" s="11">
        <f>GDP!AT19/Population!AT19</f>
        <v>27465.67587043293</v>
      </c>
      <c r="AU19" s="11">
        <f>GDP!AU19/Population!AU19</f>
        <v>31259.716026231141</v>
      </c>
      <c r="AV19" s="11">
        <f>GDP!AV19/Population!AV19</f>
        <v>32043.140742670748</v>
      </c>
      <c r="AW19" s="11">
        <f>GDP!AW19/Population!AW19</f>
        <v>33501.657648066059</v>
      </c>
      <c r="AX19" s="11">
        <f>GDP!AX19/Population!AX19</f>
        <v>37822.662707437543</v>
      </c>
      <c r="AY19" s="11">
        <f>GDP!AY19/Population!AY19</f>
        <v>40778.343344450957</v>
      </c>
      <c r="AZ19" s="11">
        <f>GDP!AZ19/Population!AZ19</f>
        <v>37079.759829011287</v>
      </c>
      <c r="BA19" s="11">
        <f>GDP!BA19/Population!BA19</f>
        <v>36000.520586254977</v>
      </c>
      <c r="BB19" s="11">
        <f>GDP!BB19/Population!BB19</f>
        <v>38599.062966836609</v>
      </c>
      <c r="BC19" s="11">
        <f>GDP!BC19/Population!BC19</f>
        <v>35053.526618232441</v>
      </c>
      <c r="BD19" s="11">
        <f>GDP!BD19/Population!BD19</f>
        <v>35549.973722592447</v>
      </c>
      <c r="BE19" s="11">
        <f>GDP!BE19/Population!BE19</f>
        <v>35518.416327653264</v>
      </c>
      <c r="BF19" s="11">
        <f>GDP!BF19/Population!BF19</f>
        <v>30230.22616742826</v>
      </c>
      <c r="BG19" s="11">
        <f>GDP!BG19/Population!BG19</f>
        <v>30939.715460589036</v>
      </c>
      <c r="BH19" s="11">
        <f>GDP!BH19/Population!BH19</f>
        <v>32406.720461641224</v>
      </c>
      <c r="BI19" s="11">
        <f>GDP!BI19/Population!BI19</f>
        <v>34520.085703693505</v>
      </c>
      <c r="BJ19" s="11">
        <f>GDP!BJ19/Population!BJ19</f>
        <v>33189.565754647185</v>
      </c>
      <c r="BK19" s="11"/>
    </row>
    <row r="20" spans="1:63" x14ac:dyDescent="0.45">
      <c r="A20" t="str">
        <f>GDP!A20</f>
        <v>North</v>
      </c>
      <c r="B20" t="str">
        <f>GDP!B20</f>
        <v>Japan</v>
      </c>
      <c r="C20" s="11">
        <f>GDP!C20/Population!C20</f>
        <v>478.99530173736434</v>
      </c>
      <c r="D20" s="11">
        <f>GDP!D20/Population!D20</f>
        <v>563.58674354086133</v>
      </c>
      <c r="E20" s="11">
        <f>GDP!E20/Population!E20</f>
        <v>633.64032657150017</v>
      </c>
      <c r="F20" s="11">
        <f>GDP!F20/Population!F20</f>
        <v>717.86694343676402</v>
      </c>
      <c r="G20" s="11">
        <f>GDP!G20/Population!G20</f>
        <v>835.65727295402041</v>
      </c>
      <c r="H20" s="35">
        <f>GDP!H20/Population!H20</f>
        <v>919.77669738984457</v>
      </c>
      <c r="I20" s="35">
        <f>GDP!I20/Population!I20</f>
        <v>1058.5035973945285</v>
      </c>
      <c r="J20" s="11">
        <f>GDP!J20/Population!J20</f>
        <v>1228.9092266666667</v>
      </c>
      <c r="K20" s="11">
        <f>GDP!K20/Population!K20</f>
        <v>1450.6195910984454</v>
      </c>
      <c r="L20" s="11">
        <f>GDP!L20/Population!L20</f>
        <v>1669.0981646183072</v>
      </c>
      <c r="M20" s="11">
        <f>GDP!M20/Population!M20</f>
        <v>2037.5599007139776</v>
      </c>
      <c r="N20" s="11">
        <f>GDP!N20/Population!N20</f>
        <v>2272.0777879410011</v>
      </c>
      <c r="O20" s="11">
        <f>GDP!O20/Population!O20</f>
        <v>2967.0420061947234</v>
      </c>
      <c r="P20" s="11">
        <f>GDP!P20/Population!P20</f>
        <v>3997.8412259180786</v>
      </c>
      <c r="Q20" s="11">
        <f>GDP!Q20/Population!Q20</f>
        <v>4353.8243898258925</v>
      </c>
      <c r="R20" s="11">
        <f>GDP!R20/Population!R20</f>
        <v>4659.1201583705561</v>
      </c>
      <c r="S20" s="11">
        <f>GDP!S20/Population!S20</f>
        <v>5197.8066020519464</v>
      </c>
      <c r="T20" s="11">
        <f>GDP!T20/Population!T20</f>
        <v>6335.787466692429</v>
      </c>
      <c r="U20" s="11">
        <f>GDP!U20/Population!U20</f>
        <v>8821.8432939128616</v>
      </c>
      <c r="V20" s="11">
        <f>GDP!V20/Population!V20</f>
        <v>9105.1358759989635</v>
      </c>
      <c r="W20" s="11">
        <f>GDP!W20/Population!W20</f>
        <v>9465.3800471990544</v>
      </c>
      <c r="X20" s="11">
        <f>GDP!X20/Population!X20</f>
        <v>10361.323597987217</v>
      </c>
      <c r="Y20" s="11">
        <f>GDP!Y20/Population!Y20</f>
        <v>9578.1133172926748</v>
      </c>
      <c r="Z20" s="11">
        <f>GDP!Z20/Population!Z20</f>
        <v>10425.406585934814</v>
      </c>
      <c r="AA20" s="11">
        <f>GDP!AA20/Population!AA20</f>
        <v>10984.866292456132</v>
      </c>
      <c r="AB20" s="11">
        <f>GDP!AB20/Population!AB20</f>
        <v>11584.649699057589</v>
      </c>
      <c r="AC20" s="11">
        <f>GDP!AC20/Population!AC20</f>
        <v>17111.853522536465</v>
      </c>
      <c r="AD20" s="11">
        <f>GDP!AD20/Population!AD20</f>
        <v>20745.252224258955</v>
      </c>
      <c r="AE20" s="11">
        <f>GDP!AE20/Population!AE20</f>
        <v>25051.854761762617</v>
      </c>
      <c r="AF20" s="11">
        <f>GDP!AF20/Population!AF20</f>
        <v>24813.299981415901</v>
      </c>
      <c r="AG20" s="11">
        <f>GDP!AG20/Population!AG20</f>
        <v>25359.347160316342</v>
      </c>
      <c r="AH20" s="11">
        <f>GDP!AH20/Population!AH20</f>
        <v>28925.040587858395</v>
      </c>
      <c r="AI20" s="11">
        <f>GDP!AI20/Population!AI20</f>
        <v>31464.549527083047</v>
      </c>
      <c r="AJ20" s="11">
        <f>GDP!AJ20/Population!AJ20</f>
        <v>35765.913103359671</v>
      </c>
      <c r="AK20" s="11">
        <f>GDP!AK20/Population!AK20</f>
        <v>39268.567451284798</v>
      </c>
      <c r="AL20" s="11">
        <f>GDP!AL20/Population!AL20</f>
        <v>43440.369814172627</v>
      </c>
      <c r="AM20" s="11">
        <f>GDP!AM20/Population!AM20</f>
        <v>38436.926275276921</v>
      </c>
      <c r="AN20" s="11">
        <f>GDP!AN20/Population!AN20</f>
        <v>35021.720533409491</v>
      </c>
      <c r="AO20" s="11">
        <f>GDP!AO20/Population!AO20</f>
        <v>31902.767181772153</v>
      </c>
      <c r="AP20" s="11">
        <f>GDP!AP20/Population!AP20</f>
        <v>36026.556884175283</v>
      </c>
      <c r="AQ20" s="11">
        <f>GDP!AQ20/Population!AQ20</f>
        <v>38532.041111862694</v>
      </c>
      <c r="AR20" s="11">
        <f>GDP!AR20/Population!AR20</f>
        <v>33846.466629985291</v>
      </c>
      <c r="AS20" s="11">
        <f>GDP!AS20/Population!AS20</f>
        <v>32289.350911467693</v>
      </c>
      <c r="AT20" s="11">
        <f>GDP!AT20/Population!AT20</f>
        <v>34808.391557650451</v>
      </c>
      <c r="AU20" s="11">
        <f>GDP!AU20/Population!AU20</f>
        <v>37688.72404242296</v>
      </c>
      <c r="AV20" s="11">
        <f>GDP!AV20/Population!AV20</f>
        <v>37217.648870168188</v>
      </c>
      <c r="AW20" s="11">
        <f>GDP!AW20/Population!AW20</f>
        <v>35433.989758568365</v>
      </c>
      <c r="AX20" s="11">
        <f>GDP!AX20/Population!AX20</f>
        <v>35275.230076265027</v>
      </c>
      <c r="AY20" s="11">
        <f>GDP!AY20/Population!AY20</f>
        <v>39339.298297119385</v>
      </c>
      <c r="AZ20" s="11">
        <f>GDP!AZ20/Population!AZ20</f>
        <v>40855.177305583107</v>
      </c>
      <c r="BA20" s="11">
        <f>GDP!BA20/Population!BA20</f>
        <v>44507.674969251188</v>
      </c>
      <c r="BB20" s="11">
        <f>GDP!BB20/Population!BB20</f>
        <v>48167.996695188252</v>
      </c>
      <c r="BC20" s="11">
        <f>GDP!BC20/Population!BC20</f>
        <v>48603.476378566003</v>
      </c>
      <c r="BD20" s="11">
        <f>GDP!BD20/Population!BD20</f>
        <v>40454.447957942641</v>
      </c>
      <c r="BE20" s="11">
        <f>GDP!BE20/Population!BE20</f>
        <v>38109.413650963259</v>
      </c>
      <c r="BF20" s="11">
        <f>GDP!BF20/Population!BF20</f>
        <v>34524.470572230828</v>
      </c>
      <c r="BG20" s="11">
        <f>GDP!BG20/Population!BG20</f>
        <v>38761.816218074055</v>
      </c>
      <c r="BH20" s="11">
        <f>GDP!BH20/Population!BH20</f>
        <v>38386.50950197893</v>
      </c>
      <c r="BI20" s="11">
        <f>GDP!BI20/Population!BI20</f>
        <v>39159.423848223887</v>
      </c>
      <c r="BJ20" s="11">
        <f>GDP!BJ20/Population!BJ20</f>
        <v>40246.880300189136</v>
      </c>
      <c r="BK20" s="11"/>
    </row>
    <row r="21" spans="1:63" x14ac:dyDescent="0.45">
      <c r="A21" t="str">
        <f>GDP!A21</f>
        <v>North</v>
      </c>
      <c r="B21" t="str">
        <f>GDP!B21</f>
        <v>Luxemburg</v>
      </c>
      <c r="C21" s="11">
        <f>GDP!C21/Population!C21</f>
        <v>2242.0157849476063</v>
      </c>
      <c r="D21" s="11">
        <f>GDP!D21/Population!D21</f>
        <v>2222.3663431646387</v>
      </c>
      <c r="E21" s="11">
        <f>GDP!E21/Population!E21</f>
        <v>2311.7989212782541</v>
      </c>
      <c r="F21" s="11">
        <f>GDP!F21/Population!F21</f>
        <v>2441.0385930268435</v>
      </c>
      <c r="G21" s="11">
        <f>GDP!G21/Population!G21</f>
        <v>2755.6332082379863</v>
      </c>
      <c r="H21" s="35">
        <f>GDP!H21/Population!H21</f>
        <v>2780.092814479638</v>
      </c>
      <c r="I21" s="35">
        <f>GDP!I21/Population!I21</f>
        <v>2900.4331541352822</v>
      </c>
      <c r="J21" s="11">
        <f>GDP!J21/Population!J21</f>
        <v>2909.6607173241391</v>
      </c>
      <c r="K21" s="11">
        <f>GDP!K21/Population!K21</f>
        <v>3175.3672889682894</v>
      </c>
      <c r="L21" s="11">
        <f>GDP!L21/Population!L21</f>
        <v>3658.9006696296296</v>
      </c>
      <c r="M21" s="11">
        <f>GDP!M21/Population!M21</f>
        <v>4449.5404147170602</v>
      </c>
      <c r="N21" s="11">
        <f>GDP!N21/Population!N21</f>
        <v>4591.7475388483763</v>
      </c>
      <c r="O21" s="11">
        <f>GDP!O21/Population!O21</f>
        <v>5680.1299942296591</v>
      </c>
      <c r="P21" s="11">
        <f>GDP!P21/Population!P21</f>
        <v>7709.7294564131835</v>
      </c>
      <c r="Q21" s="11">
        <f>GDP!Q21/Population!Q21</f>
        <v>9282.8080326714553</v>
      </c>
      <c r="R21" s="11">
        <f>GDP!R21/Population!R21</f>
        <v>9008.0277253099321</v>
      </c>
      <c r="S21" s="11">
        <f>GDP!S21/Population!S21</f>
        <v>9825.2382855923115</v>
      </c>
      <c r="T21" s="11">
        <f>GDP!T21/Population!T21</f>
        <v>10855.981801980308</v>
      </c>
      <c r="U21" s="11">
        <f>GDP!U21/Population!U21</f>
        <v>13493.852660307673</v>
      </c>
      <c r="V21" s="11">
        <f>GDP!V21/Population!V21</f>
        <v>15740.287585157748</v>
      </c>
      <c r="W21" s="11">
        <f>GDP!W21/Population!W21</f>
        <v>17113.842185912399</v>
      </c>
      <c r="X21" s="11">
        <f>GDP!X21/Population!X21</f>
        <v>14324.891538092956</v>
      </c>
      <c r="Y21" s="11">
        <f>GDP!Y21/Population!Y21</f>
        <v>13034.811933520279</v>
      </c>
      <c r="Z21" s="11">
        <f>GDP!Z21/Population!Z21</f>
        <v>12810.218378543961</v>
      </c>
      <c r="AA21" s="11">
        <f>GDP!AA21/Population!AA21</f>
        <v>12554.417718129607</v>
      </c>
      <c r="AB21" s="11">
        <f>GDP!AB21/Population!AB21</f>
        <v>12921.957884517842</v>
      </c>
      <c r="AC21" s="11">
        <f>GDP!AC21/Population!AC21</f>
        <v>18789.657064516567</v>
      </c>
      <c r="AD21" s="11">
        <f>GDP!AD21/Population!AD21</f>
        <v>23234.566904922456</v>
      </c>
      <c r="AE21" s="11">
        <f>GDP!AE21/Population!AE21</f>
        <v>26108.344913643057</v>
      </c>
      <c r="AF21" s="11">
        <f>GDP!AF21/Population!AF21</f>
        <v>27556.364083797402</v>
      </c>
      <c r="AG21" s="11">
        <f>GDP!AG21/Population!AG21</f>
        <v>34645.142040068087</v>
      </c>
      <c r="AH21" s="11">
        <f>GDP!AH21/Population!AH21</f>
        <v>37007.43937984496</v>
      </c>
      <c r="AI21" s="11">
        <f>GDP!AI21/Population!AI21</f>
        <v>40965.74437432269</v>
      </c>
      <c r="AJ21" s="11">
        <f>GDP!AJ21/Population!AJ21</f>
        <v>41479.086010440908</v>
      </c>
      <c r="AK21" s="11">
        <f>GDP!AK21/Population!AK21</f>
        <v>45481.890475895016</v>
      </c>
      <c r="AL21" s="11">
        <f>GDP!AL21/Population!AL21</f>
        <v>52831.252987457941</v>
      </c>
      <c r="AM21" s="11">
        <f>GDP!AM21/Population!AM21</f>
        <v>52571.933804091976</v>
      </c>
      <c r="AN21" s="11">
        <f>GDP!AN21/Population!AN21</f>
        <v>47042.34760758136</v>
      </c>
      <c r="AO21" s="11">
        <f>GDP!AO21/Population!AO21</f>
        <v>47584.462632446433</v>
      </c>
      <c r="AP21" s="11">
        <f>GDP!AP21/Population!AP21</f>
        <v>51654.401709739243</v>
      </c>
      <c r="AQ21" s="11">
        <f>GDP!AQ21/Population!AQ21</f>
        <v>48735.997359614943</v>
      </c>
      <c r="AR21" s="11">
        <f>GDP!AR21/Population!AR21</f>
        <v>48179.419747466171</v>
      </c>
      <c r="AS21" s="11">
        <f>GDP!AS21/Population!AS21</f>
        <v>52930.64319605536</v>
      </c>
      <c r="AT21" s="11">
        <f>GDP!AT21/Population!AT21</f>
        <v>65445.886730288068</v>
      </c>
      <c r="AU21" s="11">
        <f>GDP!AU21/Population!AU21</f>
        <v>75716.347604754468</v>
      </c>
      <c r="AV21" s="11">
        <f>GDP!AV21/Population!AV21</f>
        <v>80289.694116837723</v>
      </c>
      <c r="AW21" s="11">
        <f>GDP!AW21/Population!AW21</f>
        <v>89739.714360069149</v>
      </c>
      <c r="AX21" s="11">
        <f>GDP!AX21/Population!AX21</f>
        <v>106018.49330302734</v>
      </c>
      <c r="AY21" s="11">
        <f>GDP!AY21/Population!AY21</f>
        <v>114293.84015553055</v>
      </c>
      <c r="AZ21" s="11">
        <f>GDP!AZ21/Population!AZ21</f>
        <v>103198.67322106218</v>
      </c>
      <c r="BA21" s="11">
        <f>GDP!BA21/Population!BA21</f>
        <v>104965.30327663511</v>
      </c>
      <c r="BB21" s="11">
        <f>GDP!BB21/Population!BB21</f>
        <v>115761.50827148609</v>
      </c>
      <c r="BC21" s="11">
        <f>GDP!BC21/Population!BC21</f>
        <v>106749.01351173189</v>
      </c>
      <c r="BD21" s="11">
        <f>GDP!BD21/Population!BD21</f>
        <v>113625.13262661955</v>
      </c>
      <c r="BE21" s="11">
        <f>GDP!BE21/Population!BE21</f>
        <v>118823.64804365841</v>
      </c>
      <c r="BF21" s="11">
        <f>GDP!BF21/Population!BF21</f>
        <v>101376.49617629089</v>
      </c>
      <c r="BG21" s="11">
        <f>GDP!BG21/Population!BG21</f>
        <v>104278.39308332789</v>
      </c>
      <c r="BH21" s="11">
        <f>GDP!BH21/Population!BH21</f>
        <v>107627.15033135682</v>
      </c>
      <c r="BI21" s="11">
        <f>GDP!BI21/Population!BI21</f>
        <v>116654.25517230036</v>
      </c>
      <c r="BJ21" s="11">
        <f>GDP!BJ21/Population!BJ21</f>
        <v>114704.59819066424</v>
      </c>
      <c r="BK21" s="11"/>
    </row>
    <row r="22" spans="1:63" x14ac:dyDescent="0.45">
      <c r="A22" t="str">
        <f>GDP!A22</f>
        <v>North</v>
      </c>
      <c r="B22" t="str">
        <f>GDP!B22</f>
        <v>Netherlands</v>
      </c>
      <c r="C22" s="11">
        <f>GDP!C22/Population!C22</f>
        <v>1068.7845680774458</v>
      </c>
      <c r="D22" s="11">
        <f>GDP!D22/Population!D22</f>
        <v>1159.3923561301285</v>
      </c>
      <c r="E22" s="11">
        <f>GDP!E22/Population!E22</f>
        <v>1240.6778975797176</v>
      </c>
      <c r="F22" s="11">
        <f>GDP!F22/Population!F22</f>
        <v>1328.0366131743981</v>
      </c>
      <c r="G22" s="11">
        <f>GDP!G22/Population!G22</f>
        <v>1541.9473655740192</v>
      </c>
      <c r="H22" s="35">
        <f>GDP!H22/Population!H22</f>
        <v>1708.0963833941237</v>
      </c>
      <c r="I22" s="35">
        <f>GDP!I22/Population!I22</f>
        <v>1835.8014860169403</v>
      </c>
      <c r="J22" s="11">
        <f>GDP!J22/Population!J22</f>
        <v>1991.3606496673613</v>
      </c>
      <c r="K22" s="11">
        <f>GDP!K22/Population!K22</f>
        <v>2185.2486099263292</v>
      </c>
      <c r="L22" s="11">
        <f>GDP!L22/Population!L22</f>
        <v>2642.9561894159833</v>
      </c>
      <c r="M22" s="11">
        <f>GDP!M22/Population!M22</f>
        <v>2927.0730117806261</v>
      </c>
      <c r="N22" s="11">
        <f>GDP!N22/Population!N22</f>
        <v>3378.6148270752574</v>
      </c>
      <c r="O22" s="11">
        <f>GDP!O22/Population!O22</f>
        <v>4104.4510045433899</v>
      </c>
      <c r="P22" s="11">
        <f>GDP!P22/Population!P22</f>
        <v>5345.5752651807879</v>
      </c>
      <c r="Q22" s="11">
        <f>GDP!Q22/Population!Q22</f>
        <v>6440.9785793428982</v>
      </c>
      <c r="R22" s="11">
        <f>GDP!R22/Population!R22</f>
        <v>7335.5092109186553</v>
      </c>
      <c r="S22" s="11">
        <f>GDP!S22/Population!S22</f>
        <v>7925.6881566384645</v>
      </c>
      <c r="T22" s="11">
        <f>GDP!T22/Population!T22</f>
        <v>9166.8083796513984</v>
      </c>
      <c r="U22" s="11">
        <f>GDP!U22/Population!U22</f>
        <v>11179.389720335397</v>
      </c>
      <c r="V22" s="11">
        <f>GDP!V22/Population!V22</f>
        <v>12798.542954366883</v>
      </c>
      <c r="W22" s="11">
        <f>GDP!W22/Population!W22</f>
        <v>13791.861721861793</v>
      </c>
      <c r="X22" s="11">
        <f>GDP!X22/Population!X22</f>
        <v>11520.448348336038</v>
      </c>
      <c r="Y22" s="11">
        <f>GDP!Y22/Population!Y22</f>
        <v>11072.65874073986</v>
      </c>
      <c r="Z22" s="11">
        <f>GDP!Z22/Population!Z22</f>
        <v>10680.359051080004</v>
      </c>
      <c r="AA22" s="11">
        <f>GDP!AA22/Population!AA22</f>
        <v>9977.1602819731361</v>
      </c>
      <c r="AB22" s="11">
        <f>GDP!AB22/Population!AB22</f>
        <v>9926.1296704194538</v>
      </c>
      <c r="AC22" s="11">
        <f>GDP!AC22/Population!AC22</f>
        <v>13783.849664136245</v>
      </c>
      <c r="AD22" s="11">
        <f>GDP!AD22/Population!AD22</f>
        <v>16709.559816316862</v>
      </c>
      <c r="AE22" s="11">
        <f>GDP!AE22/Population!AE22</f>
        <v>17744.501601141565</v>
      </c>
      <c r="AF22" s="11">
        <f>GDP!AF22/Population!AF22</f>
        <v>17397.691457290424</v>
      </c>
      <c r="AG22" s="11">
        <f>GDP!AG22/Population!AG22</f>
        <v>21290.859797304754</v>
      </c>
      <c r="AH22" s="11">
        <f>GDP!AH22/Population!AH22</f>
        <v>21732.231119222699</v>
      </c>
      <c r="AI22" s="11">
        <f>GDP!AI22/Population!AI22</f>
        <v>23904.037828880428</v>
      </c>
      <c r="AJ22" s="11">
        <f>GDP!AJ22/Population!AJ22</f>
        <v>23122.410929547281</v>
      </c>
      <c r="AK22" s="11">
        <f>GDP!AK22/Population!AK22</f>
        <v>24646.31358764878</v>
      </c>
      <c r="AL22" s="11">
        <f>GDP!AL22/Population!AL22</f>
        <v>29258.135014372852</v>
      </c>
      <c r="AM22" s="11">
        <f>GDP!AM22/Population!AM22</f>
        <v>29006.809965784742</v>
      </c>
      <c r="AN22" s="11">
        <f>GDP!AN22/Population!AN22</f>
        <v>26700.536385096071</v>
      </c>
      <c r="AO22" s="11">
        <f>GDP!AO22/Population!AO22</f>
        <v>27885.808204372908</v>
      </c>
      <c r="AP22" s="11">
        <f>GDP!AP22/Population!AP22</f>
        <v>28263.096512996894</v>
      </c>
      <c r="AQ22" s="11">
        <f>GDP!AQ22/Population!AQ22</f>
        <v>26149.410546460891</v>
      </c>
      <c r="AR22" s="11">
        <f>GDP!AR22/Population!AR22</f>
        <v>26873.275281219579</v>
      </c>
      <c r="AS22" s="11">
        <f>GDP!AS22/Population!AS22</f>
        <v>29204.03974083978</v>
      </c>
      <c r="AT22" s="11">
        <f>GDP!AT22/Population!AT22</f>
        <v>35672.2066017631</v>
      </c>
      <c r="AU22" s="11">
        <f>GDP!AU22/Population!AU22</f>
        <v>40362.396004023882</v>
      </c>
      <c r="AV22" s="11">
        <f>GDP!AV22/Population!AV22</f>
        <v>41979.05489333615</v>
      </c>
      <c r="AW22" s="11">
        <f>GDP!AW22/Population!AW22</f>
        <v>44863.352623601189</v>
      </c>
      <c r="AX22" s="11">
        <f>GDP!AX22/Population!AX22</f>
        <v>51733.443015424047</v>
      </c>
      <c r="AY22" s="11">
        <f>GDP!AY22/Population!AY22</f>
        <v>57644.478898146146</v>
      </c>
      <c r="AZ22" s="11">
        <f>GDP!AZ22/Population!AZ22</f>
        <v>52514.028895631491</v>
      </c>
      <c r="BA22" s="11">
        <f>GDP!BA22/Population!BA22</f>
        <v>50950.036033331497</v>
      </c>
      <c r="BB22" s="11">
        <f>GDP!BB22/Population!BB22</f>
        <v>54159.345531685773</v>
      </c>
      <c r="BC22" s="11">
        <f>GDP!BC22/Population!BC22</f>
        <v>50073.004862440153</v>
      </c>
      <c r="BD22" s="11">
        <f>GDP!BD22/Population!BD22</f>
        <v>52184.06185796699</v>
      </c>
      <c r="BE22" s="11">
        <f>GDP!BE22/Population!BE22</f>
        <v>52830.174682158467</v>
      </c>
      <c r="BF22" s="11">
        <f>GDP!BF22/Population!BF22</f>
        <v>45175.227502555499</v>
      </c>
      <c r="BG22" s="11">
        <f>GDP!BG22/Population!BG22</f>
        <v>46007.851961860477</v>
      </c>
      <c r="BH22" s="11">
        <f>GDP!BH22/Population!BH22</f>
        <v>48675.222456958305</v>
      </c>
      <c r="BI22" s="11">
        <f>GDP!BI22/Population!BI22</f>
        <v>53048.096005808853</v>
      </c>
      <c r="BJ22" s="11">
        <f>GDP!BJ22/Population!BJ22</f>
        <v>52447.829916488059</v>
      </c>
      <c r="BK22" s="11"/>
    </row>
    <row r="23" spans="1:63" x14ac:dyDescent="0.45">
      <c r="A23" t="str">
        <f>GDP!A23</f>
        <v>North</v>
      </c>
      <c r="B23" t="str">
        <f>GDP!B23</f>
        <v>Norway</v>
      </c>
      <c r="C23" s="11">
        <f>GDP!C23/Population!C23</f>
        <v>1441.7556828795844</v>
      </c>
      <c r="D23" s="11">
        <f>GDP!D23/Population!D23</f>
        <v>1560.3248933458917</v>
      </c>
      <c r="E23" s="11">
        <f>GDP!E23/Population!E23</f>
        <v>1667.247453226481</v>
      </c>
      <c r="F23" s="11">
        <f>GDP!F23/Population!F23</f>
        <v>1775.5827212435058</v>
      </c>
      <c r="G23" s="11">
        <f>GDP!G23/Population!G23</f>
        <v>1937.8846435045621</v>
      </c>
      <c r="H23" s="35">
        <f>GDP!H23/Population!H23</f>
        <v>2164.4687620864811</v>
      </c>
      <c r="I23" s="35">
        <f>GDP!I23/Population!I23</f>
        <v>2317.1949058516202</v>
      </c>
      <c r="J23" s="11">
        <f>GDP!J23/Population!J23</f>
        <v>2514.0438568607697</v>
      </c>
      <c r="K23" s="11">
        <f>GDP!K23/Population!K23</f>
        <v>2662.1175772687229</v>
      </c>
      <c r="L23" s="11">
        <f>GDP!L23/Population!L23</f>
        <v>2875.2357120747502</v>
      </c>
      <c r="M23" s="11">
        <f>GDP!M23/Population!M23</f>
        <v>3306.219448402805</v>
      </c>
      <c r="N23" s="11">
        <f>GDP!N23/Population!N23</f>
        <v>3736.3487149372577</v>
      </c>
      <c r="O23" s="11">
        <f>GDP!O23/Population!O23</f>
        <v>4413.5755854812251</v>
      </c>
      <c r="P23" s="11">
        <f>GDP!P23/Population!P23</f>
        <v>5689.5890311901294</v>
      </c>
      <c r="Q23" s="11">
        <f>GDP!Q23/Population!Q23</f>
        <v>6811.5271794197515</v>
      </c>
      <c r="R23" s="11">
        <f>GDP!R23/Population!R23</f>
        <v>8204.4516033561649</v>
      </c>
      <c r="S23" s="11">
        <f>GDP!S23/Population!S23</f>
        <v>8927.201190615755</v>
      </c>
      <c r="T23" s="11">
        <f>GDP!T23/Population!T23</f>
        <v>10266.12017347624</v>
      </c>
      <c r="U23" s="11">
        <f>GDP!U23/Population!U23</f>
        <v>11462.642079636413</v>
      </c>
      <c r="V23" s="11">
        <f>GDP!V23/Population!V23</f>
        <v>13046.536808563353</v>
      </c>
      <c r="W23" s="11">
        <f>GDP!W23/Population!W23</f>
        <v>15772.240691987998</v>
      </c>
      <c r="X23" s="11">
        <f>GDP!X23/Population!X23</f>
        <v>15512.506663167225</v>
      </c>
      <c r="Y23" s="11">
        <f>GDP!Y23/Population!Y23</f>
        <v>15224.893439198675</v>
      </c>
      <c r="Z23" s="11">
        <f>GDP!Z23/Population!Z23</f>
        <v>14927.517383839675</v>
      </c>
      <c r="AA23" s="11">
        <f>GDP!AA23/Population!AA23</f>
        <v>14989.485837899045</v>
      </c>
      <c r="AB23" s="11">
        <f>GDP!AB23/Population!AB23</f>
        <v>15753.552816653808</v>
      </c>
      <c r="AC23" s="11">
        <f>GDP!AC23/Population!AC23</f>
        <v>18883.26576527936</v>
      </c>
      <c r="AD23" s="11">
        <f>GDP!AD23/Population!AD23</f>
        <v>22505.897044236732</v>
      </c>
      <c r="AE23" s="11">
        <f>GDP!AE23/Population!AE23</f>
        <v>24207.28207896067</v>
      </c>
      <c r="AF23" s="11">
        <f>GDP!AF23/Population!AF23</f>
        <v>24281.096597247015</v>
      </c>
      <c r="AG23" s="11">
        <f>GDP!AG23/Population!AG23</f>
        <v>28242.943320869897</v>
      </c>
      <c r="AH23" s="11">
        <f>GDP!AH23/Population!AH23</f>
        <v>28596.933340716874</v>
      </c>
      <c r="AI23" s="11">
        <f>GDP!AI23/Population!AI23</f>
        <v>30523.984218928654</v>
      </c>
      <c r="AJ23" s="11">
        <f>GDP!AJ23/Population!AJ23</f>
        <v>27963.665044755428</v>
      </c>
      <c r="AK23" s="11">
        <f>GDP!AK23/Population!AK23</f>
        <v>29315.841552843198</v>
      </c>
      <c r="AL23" s="11">
        <f>GDP!AL23/Population!AL23</f>
        <v>34875.703797774993</v>
      </c>
      <c r="AM23" s="11">
        <f>GDP!AM23/Population!AM23</f>
        <v>37321.972658568069</v>
      </c>
      <c r="AN23" s="11">
        <f>GDP!AN23/Population!AN23</f>
        <v>36629.030013686235</v>
      </c>
      <c r="AO23" s="11">
        <f>GDP!AO23/Population!AO23</f>
        <v>34788.359747478484</v>
      </c>
      <c r="AP23" s="11">
        <f>GDP!AP23/Population!AP23</f>
        <v>36371.052118676453</v>
      </c>
      <c r="AQ23" s="11">
        <f>GDP!AQ23/Population!AQ23</f>
        <v>38131.459100011198</v>
      </c>
      <c r="AR23" s="11">
        <f>GDP!AR23/Population!AR23</f>
        <v>38542.716700145844</v>
      </c>
      <c r="AS23" s="11">
        <f>GDP!AS23/Population!AS23</f>
        <v>43084.471481937937</v>
      </c>
      <c r="AT23" s="11">
        <f>GDP!AT23/Population!AT23</f>
        <v>50134.891767646506</v>
      </c>
      <c r="AU23" s="11">
        <f>GDP!AU23/Population!AU23</f>
        <v>57603.837064750835</v>
      </c>
      <c r="AV23" s="11">
        <f>GDP!AV23/Population!AV23</f>
        <v>66810.47660638277</v>
      </c>
      <c r="AW23" s="11">
        <f>GDP!AW23/Population!AW23</f>
        <v>74148.316866412322</v>
      </c>
      <c r="AX23" s="11">
        <f>GDP!AX23/Population!AX23</f>
        <v>85139.958517380932</v>
      </c>
      <c r="AY23" s="11">
        <f>GDP!AY23/Population!AY23</f>
        <v>96944.09225093179</v>
      </c>
      <c r="AZ23" s="11">
        <f>GDP!AZ23/Population!AZ23</f>
        <v>79977.695350699127</v>
      </c>
      <c r="BA23" s="11">
        <f>GDP!BA23/Population!BA23</f>
        <v>87693.787263982304</v>
      </c>
      <c r="BB23" s="11">
        <f>GDP!BB23/Population!BB23</f>
        <v>100600.5639859417</v>
      </c>
      <c r="BC23" s="11">
        <f>GDP!BC23/Population!BC23</f>
        <v>101524.14290516448</v>
      </c>
      <c r="BD23" s="11">
        <f>GDP!BD23/Population!BD23</f>
        <v>102913.45154709317</v>
      </c>
      <c r="BE23" s="11">
        <f>GDP!BE23/Population!BE23</f>
        <v>97019.185005465974</v>
      </c>
      <c r="BF23" s="11">
        <f>GDP!BF23/Population!BF23</f>
        <v>74355.51620540928</v>
      </c>
      <c r="BG23" s="11">
        <f>GDP!BG23/Population!BG23</f>
        <v>70459.182417333854</v>
      </c>
      <c r="BH23" s="11">
        <f>GDP!BH23/Population!BH23</f>
        <v>75496.756203941361</v>
      </c>
      <c r="BI23" s="11">
        <f>GDP!BI23/Population!BI23</f>
        <v>81734.468005894669</v>
      </c>
      <c r="BJ23" s="11">
        <f>GDP!BJ23/Population!BJ23</f>
        <v>75419.634942788718</v>
      </c>
      <c r="BK23" s="11"/>
    </row>
    <row r="24" spans="1:63" x14ac:dyDescent="0.45">
      <c r="A24" t="str">
        <f>GDP!A24</f>
        <v>North</v>
      </c>
      <c r="B24" t="str">
        <f>GDP!B24</f>
        <v>Portugal</v>
      </c>
      <c r="C24" s="11">
        <f>GDP!C24/Population!C24</f>
        <v>360.49929620683253</v>
      </c>
      <c r="D24" s="11">
        <f>GDP!D24/Population!D24</f>
        <v>382.72993631315097</v>
      </c>
      <c r="E24" s="11">
        <f>GDP!E24/Population!E24</f>
        <v>407.85285543616095</v>
      </c>
      <c r="F24" s="11">
        <f>GDP!F24/Population!F24</f>
        <v>432.51172296105744</v>
      </c>
      <c r="G24" s="11">
        <f>GDP!G24/Population!G24</f>
        <v>468.78106905476426</v>
      </c>
      <c r="H24" s="35">
        <f>GDP!H24/Population!H24</f>
        <v>520.91064616198423</v>
      </c>
      <c r="I24" s="35">
        <f>GDP!I24/Population!I24</f>
        <v>575.00765850146513</v>
      </c>
      <c r="J24" s="11">
        <f>GDP!J24/Population!J24</f>
        <v>646.82274737112539</v>
      </c>
      <c r="K24" s="11">
        <f>GDP!K24/Population!K24</f>
        <v>719.08048049883155</v>
      </c>
      <c r="L24" s="11">
        <f>GDP!L24/Population!L24</f>
        <v>795.75939678260454</v>
      </c>
      <c r="M24" s="11">
        <f>GDP!M24/Population!M24</f>
        <v>934.08204638686721</v>
      </c>
      <c r="N24" s="11">
        <f>GDP!N24/Population!N24</f>
        <v>1064.5379920488269</v>
      </c>
      <c r="O24" s="11">
        <f>GDP!O24/Population!O24</f>
        <v>1302.2661443288457</v>
      </c>
      <c r="P24" s="11">
        <f>GDP!P24/Population!P24</f>
        <v>1747.989267354716</v>
      </c>
      <c r="Q24" s="11">
        <f>GDP!Q24/Population!Q24</f>
        <v>2000.4179181471186</v>
      </c>
      <c r="R24" s="11">
        <f>GDP!R24/Population!R24</f>
        <v>2127.6377004597803</v>
      </c>
      <c r="S24" s="11">
        <f>GDP!S24/Population!S24</f>
        <v>2173.2842817457813</v>
      </c>
      <c r="T24" s="11">
        <f>GDP!T24/Population!T24</f>
        <v>2267.3711674735014</v>
      </c>
      <c r="U24" s="11">
        <f>GDP!U24/Population!U24</f>
        <v>2457.3130989459369</v>
      </c>
      <c r="V24" s="11">
        <f>GDP!V24/Population!V24</f>
        <v>2755.6244760908639</v>
      </c>
      <c r="W24" s="11">
        <f>GDP!W24/Population!W24</f>
        <v>3368.366916805443</v>
      </c>
      <c r="X24" s="11">
        <f>GDP!X24/Population!X24</f>
        <v>3245.9750633465706</v>
      </c>
      <c r="Y24" s="11">
        <f>GDP!Y24/Population!Y24</f>
        <v>3079.9495105365127</v>
      </c>
      <c r="Z24" s="11">
        <f>GDP!Z24/Population!Z24</f>
        <v>2735.4911246537285</v>
      </c>
      <c r="AA24" s="11">
        <f>GDP!AA24/Population!AA24</f>
        <v>2522.7475888914942</v>
      </c>
      <c r="AB24" s="11">
        <f>GDP!AB24/Population!AB24</f>
        <v>2705.1929000052178</v>
      </c>
      <c r="AC24" s="11">
        <f>GDP!AC24/Population!AC24</f>
        <v>3861.9486078271389</v>
      </c>
      <c r="AD24" s="11">
        <f>GDP!AD24/Population!AD24</f>
        <v>4803.86583690519</v>
      </c>
      <c r="AE24" s="11">
        <f>GDP!AE24/Population!AE24</f>
        <v>5623.6969989849904</v>
      </c>
      <c r="AF24" s="11">
        <f>GDP!AF24/Population!AF24</f>
        <v>6056.3812173913047</v>
      </c>
      <c r="AG24" s="11">
        <f>GDP!AG24/Population!AG24</f>
        <v>7884.6175651979147</v>
      </c>
      <c r="AH24" s="11">
        <f>GDP!AH24/Population!AH24</f>
        <v>8958.9850456339627</v>
      </c>
      <c r="AI24" s="11">
        <f>GDP!AI24/Population!AI24</f>
        <v>10810.566456206856</v>
      </c>
      <c r="AJ24" s="11">
        <f>GDP!AJ24/Population!AJ24</f>
        <v>9534.6562772995603</v>
      </c>
      <c r="AK24" s="11">
        <f>GDP!AK24/Population!AK24</f>
        <v>9977.3202397031491</v>
      </c>
      <c r="AL24" s="11">
        <f>GDP!AL24/Population!AL24</f>
        <v>11781.361555991038</v>
      </c>
      <c r="AM24" s="11">
        <f>GDP!AM24/Population!AM24</f>
        <v>12185.091100557485</v>
      </c>
      <c r="AN24" s="11">
        <f>GDP!AN24/Population!AN24</f>
        <v>11575.507100273351</v>
      </c>
      <c r="AO24" s="11">
        <f>GDP!AO24/Population!AO24</f>
        <v>12199.206399561583</v>
      </c>
      <c r="AP24" s="11">
        <f>GDP!AP24/Population!AP24</f>
        <v>12471.079610265508</v>
      </c>
      <c r="AQ24" s="11">
        <f>GDP!AQ24/Population!AQ24</f>
        <v>11497.753155570639</v>
      </c>
      <c r="AR24" s="11">
        <f>GDP!AR24/Population!AR24</f>
        <v>11724.611173010335</v>
      </c>
      <c r="AS24" s="11">
        <f>GDP!AS24/Population!AS24</f>
        <v>12875.320766349596</v>
      </c>
      <c r="AT24" s="11">
        <f>GDP!AT24/Population!AT24</f>
        <v>15762.976401259759</v>
      </c>
      <c r="AU24" s="11">
        <f>GDP!AU24/Population!AU24</f>
        <v>18030.999838704462</v>
      </c>
      <c r="AV24" s="11">
        <f>GDP!AV24/Population!AV24</f>
        <v>18773.124893533764</v>
      </c>
      <c r="AW24" s="11">
        <f>GDP!AW24/Population!AW24</f>
        <v>19822.845501282613</v>
      </c>
      <c r="AX24" s="11">
        <f>GDP!AX24/Population!AX24</f>
        <v>22782.094283163635</v>
      </c>
      <c r="AY24" s="11">
        <f>GDP!AY24/Population!AY24</f>
        <v>24847.545738246288</v>
      </c>
      <c r="AZ24" s="11">
        <f>GDP!AZ24/Population!AZ24</f>
        <v>23059.796854483058</v>
      </c>
      <c r="BA24" s="11">
        <f>GDP!BA24/Population!BA24</f>
        <v>22498.690226329079</v>
      </c>
      <c r="BB24" s="11">
        <f>GDP!BB24/Population!BB24</f>
        <v>23186.913170088545</v>
      </c>
      <c r="BC24" s="11">
        <f>GDP!BC24/Population!BC24</f>
        <v>20564.889544723632</v>
      </c>
      <c r="BD24" s="11">
        <f>GDP!BD24/Population!BD24</f>
        <v>21647.041919731633</v>
      </c>
      <c r="BE24" s="11">
        <f>GDP!BE24/Population!BE24</f>
        <v>22074.300508159649</v>
      </c>
      <c r="BF24" s="11">
        <f>GDP!BF24/Population!BF24</f>
        <v>19242.366972399122</v>
      </c>
      <c r="BG24" s="11">
        <f>GDP!BG24/Population!BG24</f>
        <v>19978.401797809918</v>
      </c>
      <c r="BH24" s="11">
        <f>GDP!BH24/Population!BH24</f>
        <v>21490.42911449181</v>
      </c>
      <c r="BI24" s="11">
        <f>GDP!BI24/Population!BI24</f>
        <v>23461.57238427503</v>
      </c>
      <c r="BJ24" s="11">
        <f>GDP!BJ24/Population!BJ24</f>
        <v>23145.041192503919</v>
      </c>
      <c r="BK24" s="11"/>
    </row>
    <row r="25" spans="1:63" x14ac:dyDescent="0.45">
      <c r="A25" t="str">
        <f>GDP!A25</f>
        <v>North</v>
      </c>
      <c r="B25" t="str">
        <f>GDP!B25</f>
        <v>Singapore</v>
      </c>
      <c r="C25" s="11">
        <f>GDP!C25/Population!C25</f>
        <v>428.05896987366373</v>
      </c>
      <c r="D25" s="11">
        <f>GDP!D25/Population!D25</f>
        <v>449.15105263157892</v>
      </c>
      <c r="E25" s="11">
        <f>GDP!E25/Population!E25</f>
        <v>472.08582333447606</v>
      </c>
      <c r="F25" s="11">
        <f>GDP!F25/Population!F25</f>
        <v>511.2055799442897</v>
      </c>
      <c r="G25" s="11">
        <f>GDP!G25/Population!G25</f>
        <v>485.5338662033015</v>
      </c>
      <c r="H25" s="35">
        <f>GDP!H25/Population!H25</f>
        <v>516.53528644867242</v>
      </c>
      <c r="I25" s="35">
        <f>GDP!I25/Population!I25</f>
        <v>566.80767576509515</v>
      </c>
      <c r="J25" s="11">
        <f>GDP!J25/Population!J25</f>
        <v>626.03352750809063</v>
      </c>
      <c r="K25" s="11">
        <f>GDP!K25/Population!K25</f>
        <v>708.60609145129229</v>
      </c>
      <c r="L25" s="11">
        <f>GDP!L25/Population!L25</f>
        <v>812.68281028151773</v>
      </c>
      <c r="M25" s="11">
        <f>GDP!M25/Population!M25</f>
        <v>925.8039389599553</v>
      </c>
      <c r="N25" s="11">
        <f>GDP!N25/Population!N25</f>
        <v>1071.4115537886316</v>
      </c>
      <c r="O25" s="11">
        <f>GDP!O25/Population!O25</f>
        <v>1264.3751272997583</v>
      </c>
      <c r="P25" s="11">
        <f>GDP!P25/Population!P25</f>
        <v>1685.4597574099407</v>
      </c>
      <c r="Q25" s="11">
        <f>GDP!Q25/Population!Q25</f>
        <v>2341.7054085568211</v>
      </c>
      <c r="R25" s="11">
        <f>GDP!R25/Population!R25</f>
        <v>2489.9114859011756</v>
      </c>
      <c r="S25" s="11">
        <f>GDP!S25/Population!S25</f>
        <v>2758.9403427375396</v>
      </c>
      <c r="T25" s="11">
        <f>GDP!T25/Population!T25</f>
        <v>2846.335994495334</v>
      </c>
      <c r="U25" s="11">
        <f>GDP!U25/Population!U25</f>
        <v>3193.9056424201221</v>
      </c>
      <c r="V25" s="11">
        <f>GDP!V25/Population!V25</f>
        <v>3900.5335011537654</v>
      </c>
      <c r="W25" s="11">
        <f>GDP!W25/Population!W25</f>
        <v>4928.1390056525725</v>
      </c>
      <c r="X25" s="11">
        <f>GDP!X25/Population!X25</f>
        <v>5596.5860105375996</v>
      </c>
      <c r="Y25" s="11">
        <f>GDP!Y25/Population!Y25</f>
        <v>6077.6343516221259</v>
      </c>
      <c r="Z25" s="11">
        <f>GDP!Z25/Population!Z25</f>
        <v>6633.237047571838</v>
      </c>
      <c r="AA25" s="11">
        <f>GDP!AA25/Population!AA25</f>
        <v>7228.3177912767669</v>
      </c>
      <c r="AB25" s="11">
        <f>GDP!AB25/Population!AB25</f>
        <v>7001.7669312785256</v>
      </c>
      <c r="AC25" s="11">
        <f>GDP!AC25/Population!AC25</f>
        <v>6799.9306644208455</v>
      </c>
      <c r="AD25" s="11">
        <f>GDP!AD25/Population!AD25</f>
        <v>7539.029500261101</v>
      </c>
      <c r="AE25" s="11">
        <f>GDP!AE25/Population!AE25</f>
        <v>8914.4409249403052</v>
      </c>
      <c r="AF25" s="11">
        <f>GDP!AF25/Population!AF25</f>
        <v>10394.538733311019</v>
      </c>
      <c r="AG25" s="11">
        <f>GDP!AG25/Population!AG25</f>
        <v>11861.756200912858</v>
      </c>
      <c r="AH25" s="11">
        <f>GDP!AH25/Population!AH25</f>
        <v>14502.380079889432</v>
      </c>
      <c r="AI25" s="11">
        <f>GDP!AI25/Population!AI25</f>
        <v>16135.913366089928</v>
      </c>
      <c r="AJ25" s="11">
        <f>GDP!AJ25/Population!AJ25</f>
        <v>18290.028195810377</v>
      </c>
      <c r="AK25" s="11">
        <f>GDP!AK25/Population!AK25</f>
        <v>21553.031510525736</v>
      </c>
      <c r="AL25" s="11">
        <f>GDP!AL25/Population!AL25</f>
        <v>24914.410723091405</v>
      </c>
      <c r="AM25" s="11">
        <f>GDP!AM25/Population!AM25</f>
        <v>26233.628984521769</v>
      </c>
      <c r="AN25" s="11">
        <f>GDP!AN25/Population!AN25</f>
        <v>26375.971123576739</v>
      </c>
      <c r="AO25" s="11">
        <f>GDP!AO25/Population!AO25</f>
        <v>21829.300662836471</v>
      </c>
      <c r="AP25" s="11">
        <f>GDP!AP25/Population!AP25</f>
        <v>21796.085462913168</v>
      </c>
      <c r="AQ25" s="11">
        <f>GDP!AQ25/Population!AQ25</f>
        <v>23852.327948624181</v>
      </c>
      <c r="AR25" s="11">
        <f>GDP!AR25/Population!AR25</f>
        <v>21700.020450399854</v>
      </c>
      <c r="AS25" s="11">
        <f>GDP!AS25/Population!AS25</f>
        <v>22159.688095882375</v>
      </c>
      <c r="AT25" s="11">
        <f>GDP!AT25/Population!AT25</f>
        <v>23730.151680775809</v>
      </c>
      <c r="AU25" s="11">
        <f>GDP!AU25/Population!AU25</f>
        <v>27608.536816983564</v>
      </c>
      <c r="AV25" s="11">
        <f>GDP!AV25/Population!AV25</f>
        <v>29961.26344413964</v>
      </c>
      <c r="AW25" s="11">
        <f>GDP!AW25/Population!AW25</f>
        <v>33769.153967462364</v>
      </c>
      <c r="AX25" s="11">
        <f>GDP!AX25/Population!AX25</f>
        <v>39432.939526857765</v>
      </c>
      <c r="AY25" s="11">
        <f>GDP!AY25/Population!AY25</f>
        <v>40007.469732173187</v>
      </c>
      <c r="AZ25" s="11">
        <f>GDP!AZ25/Population!AZ25</f>
        <v>38927.206511062592</v>
      </c>
      <c r="BA25" s="11">
        <f>GDP!BA25/Population!BA25</f>
        <v>47236.958805782931</v>
      </c>
      <c r="BB25" s="11">
        <f>GDP!BB25/Population!BB25</f>
        <v>53890.427997981358</v>
      </c>
      <c r="BC25" s="11">
        <f>GDP!BC25/Population!BC25</f>
        <v>55546.486574052549</v>
      </c>
      <c r="BD25" s="11">
        <f>GDP!BD25/Population!BD25</f>
        <v>56967.428139403855</v>
      </c>
      <c r="BE25" s="11">
        <f>GDP!BE25/Population!BE25</f>
        <v>57562.532252084384</v>
      </c>
      <c r="BF25" s="11">
        <f>GDP!BF25/Population!BF25</f>
        <v>55646.621173397951</v>
      </c>
      <c r="BG25" s="11">
        <f>GDP!BG25/Population!BG25</f>
        <v>56828.29820859764</v>
      </c>
      <c r="BH25" s="11">
        <f>GDP!BH25/Population!BH25</f>
        <v>60913.742464568153</v>
      </c>
      <c r="BI25" s="11">
        <f>GDP!BI25/Population!BI25</f>
        <v>66188.776763906993</v>
      </c>
      <c r="BJ25" s="11">
        <f>GDP!BJ25/Population!BJ25</f>
        <v>65233.281002824726</v>
      </c>
      <c r="BK25" s="11"/>
    </row>
    <row r="26" spans="1:63" x14ac:dyDescent="0.45">
      <c r="A26" t="str">
        <f>GDP!A26</f>
        <v>North</v>
      </c>
      <c r="B26" t="str">
        <f>GDP!B26</f>
        <v>South Korea</v>
      </c>
      <c r="C26" s="11">
        <f>GDP!C26/Population!C26</f>
        <v>158.24930684308495</v>
      </c>
      <c r="D26" s="11">
        <f>GDP!D26/Population!D26</f>
        <v>93.828652014199363</v>
      </c>
      <c r="E26" s="11">
        <f>GDP!E26/Population!E26</f>
        <v>106.14850856352518</v>
      </c>
      <c r="F26" s="11">
        <f>GDP!F26/Population!F26</f>
        <v>146.31433905118629</v>
      </c>
      <c r="G26" s="11">
        <f>GDP!G26/Population!G26</f>
        <v>123.60349163290827</v>
      </c>
      <c r="H26" s="35">
        <f>GDP!H26/Population!H26</f>
        <v>108.72212936471601</v>
      </c>
      <c r="I26" s="35">
        <f>GDP!I26/Population!I26</f>
        <v>133.47484084902445</v>
      </c>
      <c r="J26" s="11">
        <f>GDP!J26/Population!J26</f>
        <v>161.15993184955394</v>
      </c>
      <c r="K26" s="11">
        <f>GDP!K26/Population!K26</f>
        <v>198.4312957308739</v>
      </c>
      <c r="L26" s="11">
        <f>GDP!L26/Population!L26</f>
        <v>243.42240989218135</v>
      </c>
      <c r="M26" s="11">
        <f>GDP!M26/Population!M26</f>
        <v>279.30496177083296</v>
      </c>
      <c r="N26" s="11">
        <f>GDP!N26/Population!N26</f>
        <v>301.17657866579344</v>
      </c>
      <c r="O26" s="11">
        <f>GDP!O26/Population!O26</f>
        <v>324.19627471459381</v>
      </c>
      <c r="P26" s="11">
        <f>GDP!P26/Population!P26</f>
        <v>406.89883526294994</v>
      </c>
      <c r="Q26" s="11">
        <f>GDP!Q26/Population!Q26</f>
        <v>563.35598968115778</v>
      </c>
      <c r="R26" s="11">
        <f>GDP!R26/Population!R26</f>
        <v>617.45607805554107</v>
      </c>
      <c r="S26" s="11">
        <f>GDP!S26/Population!S26</f>
        <v>834.13418527356941</v>
      </c>
      <c r="T26" s="11">
        <f>GDP!T26/Population!T26</f>
        <v>1055.8800669980685</v>
      </c>
      <c r="U26" s="11">
        <f>GDP!U26/Population!U26</f>
        <v>1405.8224354640881</v>
      </c>
      <c r="V26" s="11">
        <f>GDP!V26/Population!V26</f>
        <v>1783.6222900074481</v>
      </c>
      <c r="W26" s="11">
        <f>GDP!W26/Population!W26</f>
        <v>1715.4293618764311</v>
      </c>
      <c r="X26" s="11">
        <f>GDP!X26/Population!X26</f>
        <v>1883.451290656197</v>
      </c>
      <c r="Y26" s="11">
        <f>GDP!Y26/Population!Y26</f>
        <v>1992.5281620832768</v>
      </c>
      <c r="Z26" s="11">
        <f>GDP!Z26/Population!Z26</f>
        <v>2198.9344813447642</v>
      </c>
      <c r="AA26" s="11">
        <f>GDP!AA26/Population!AA26</f>
        <v>2413.263929703829</v>
      </c>
      <c r="AB26" s="11">
        <f>GDP!AB26/Population!AB26</f>
        <v>2482.3999570256578</v>
      </c>
      <c r="AC26" s="11">
        <f>GDP!AC26/Population!AC26</f>
        <v>2834.9039745839682</v>
      </c>
      <c r="AD26" s="11">
        <f>GDP!AD26/Population!AD26</f>
        <v>3554.5953177103247</v>
      </c>
      <c r="AE26" s="11">
        <f>GDP!AE26/Population!AE26</f>
        <v>4748.6294455972375</v>
      </c>
      <c r="AF26" s="11">
        <f>GDP!AF26/Population!AF26</f>
        <v>5817.0289472741906</v>
      </c>
      <c r="AG26" s="11">
        <f>GDP!AG26/Population!AG26</f>
        <v>6610.0366567353913</v>
      </c>
      <c r="AH26" s="11">
        <f>GDP!AH26/Population!AH26</f>
        <v>7636.9821508387995</v>
      </c>
      <c r="AI26" s="11">
        <f>GDP!AI26/Population!AI26</f>
        <v>8126.6706689866223</v>
      </c>
      <c r="AJ26" s="11">
        <f>GDP!AJ26/Population!AJ26</f>
        <v>8884.9279922437636</v>
      </c>
      <c r="AK26" s="11">
        <f>GDP!AK26/Population!AK26</f>
        <v>10385.336004089464</v>
      </c>
      <c r="AL26" s="11">
        <f>GDP!AL26/Population!AL26</f>
        <v>12564.777850003831</v>
      </c>
      <c r="AM26" s="11">
        <f>GDP!AM26/Population!AM26</f>
        <v>13403.050513787246</v>
      </c>
      <c r="AN26" s="11">
        <f>GDP!AN26/Population!AN26</f>
        <v>12398.479454788941</v>
      </c>
      <c r="AO26" s="11">
        <f>GDP!AO26/Population!AO26</f>
        <v>8281.7000604755121</v>
      </c>
      <c r="AP26" s="11">
        <f>GDP!AP26/Population!AP26</f>
        <v>10672.417840516986</v>
      </c>
      <c r="AQ26" s="11">
        <f>GDP!AQ26/Population!AQ26</f>
        <v>12256.992879867203</v>
      </c>
      <c r="AR26" s="11">
        <f>GDP!AR26/Population!AR26</f>
        <v>11561.248466524203</v>
      </c>
      <c r="AS26" s="11">
        <f>GDP!AS26/Population!AS26</f>
        <v>13165.066222132073</v>
      </c>
      <c r="AT26" s="11">
        <f>GDP!AT26/Population!AT26</f>
        <v>14672.858712902827</v>
      </c>
      <c r="AU26" s="11">
        <f>GDP!AU26/Population!AU26</f>
        <v>16496.119567776397</v>
      </c>
      <c r="AV26" s="11">
        <f>GDP!AV26/Population!AV26</f>
        <v>19402.50269978599</v>
      </c>
      <c r="AW26" s="11">
        <f>GDP!AW26/Population!AW26</f>
        <v>21743.477904629668</v>
      </c>
      <c r="AX26" s="11">
        <f>GDP!AX26/Population!AX26</f>
        <v>24086.408105885261</v>
      </c>
      <c r="AY26" s="11">
        <f>GDP!AY26/Population!AY26</f>
        <v>21350.42793446044</v>
      </c>
      <c r="AZ26" s="11">
        <f>GDP!AZ26/Population!AZ26</f>
        <v>19143.851248308685</v>
      </c>
      <c r="BA26" s="11">
        <f>GDP!BA26/Population!BA26</f>
        <v>23087.224986213052</v>
      </c>
      <c r="BB26" s="11">
        <f>GDP!BB26/Population!BB26</f>
        <v>25096.262763694154</v>
      </c>
      <c r="BC26" s="11">
        <f>GDP!BC26/Population!BC26</f>
        <v>25466.761541209326</v>
      </c>
      <c r="BD26" s="11">
        <f>GDP!BD26/Population!BD26</f>
        <v>27182.733803947151</v>
      </c>
      <c r="BE26" s="11">
        <f>GDP!BE26/Population!BE26</f>
        <v>29249.573850338129</v>
      </c>
      <c r="BF26" s="11">
        <f>GDP!BF26/Population!BF26</f>
        <v>28732.229527392639</v>
      </c>
      <c r="BG26" s="11">
        <f>GDP!BG26/Population!BG26</f>
        <v>29288.869333327919</v>
      </c>
      <c r="BH26" s="11">
        <f>GDP!BH26/Population!BH26</f>
        <v>31616.842276432388</v>
      </c>
      <c r="BI26" s="11">
        <f>GDP!BI26/Population!BI26</f>
        <v>33340.266561088501</v>
      </c>
      <c r="BJ26" s="11">
        <f>GDP!BJ26/Population!BJ26</f>
        <v>31761.980098820524</v>
      </c>
      <c r="BK26" s="11"/>
    </row>
    <row r="27" spans="1:63" x14ac:dyDescent="0.45">
      <c r="A27" t="str">
        <f>GDP!A27</f>
        <v>North</v>
      </c>
      <c r="B27" t="str">
        <f>GDP!B27</f>
        <v>Spain</v>
      </c>
      <c r="C27" s="11">
        <f>GDP!C27/Population!C27</f>
        <v>396.39226609752092</v>
      </c>
      <c r="D27" s="11">
        <f>GDP!D27/Population!D27</f>
        <v>450.05328418878145</v>
      </c>
      <c r="E27" s="11">
        <f>GDP!E27/Population!E27</f>
        <v>520.20612953475131</v>
      </c>
      <c r="F27" s="11">
        <f>GDP!F27/Population!F27</f>
        <v>609.48737596596595</v>
      </c>
      <c r="G27" s="11">
        <f>GDP!G27/Population!G27</f>
        <v>675.24160854961326</v>
      </c>
      <c r="H27" s="35">
        <f>GDP!H27/Population!H27</f>
        <v>774.76162613773454</v>
      </c>
      <c r="I27" s="35">
        <f>GDP!I27/Population!I27</f>
        <v>889.65986104101103</v>
      </c>
      <c r="J27" s="11">
        <f>GDP!J27/Population!J27</f>
        <v>968.30675617144448</v>
      </c>
      <c r="K27" s="11">
        <f>GDP!K27/Population!K27</f>
        <v>950.54573088732707</v>
      </c>
      <c r="L27" s="11">
        <f>GDP!L27/Population!L27</f>
        <v>1077.6787521111028</v>
      </c>
      <c r="M27" s="11">
        <f>GDP!M27/Population!M27</f>
        <v>1212.2893605624943</v>
      </c>
      <c r="N27" s="11">
        <f>GDP!N27/Population!N27</f>
        <v>1362.1655530390988</v>
      </c>
      <c r="O27" s="11">
        <f>GDP!O27/Population!O27</f>
        <v>1708.8087006568053</v>
      </c>
      <c r="P27" s="11">
        <f>GDP!P27/Population!P27</f>
        <v>2247.5534269850009</v>
      </c>
      <c r="Q27" s="11">
        <f>GDP!Q27/Population!Q27</f>
        <v>2749.9245040388614</v>
      </c>
      <c r="R27" s="11">
        <f>GDP!R27/Population!R27</f>
        <v>3209.83746360944</v>
      </c>
      <c r="S27" s="11">
        <f>GDP!S27/Population!S27</f>
        <v>3279.3126525756456</v>
      </c>
      <c r="T27" s="11">
        <f>GDP!T27/Population!T27</f>
        <v>3627.590543727973</v>
      </c>
      <c r="U27" s="11">
        <f>GDP!U27/Population!U27</f>
        <v>4356.4394476523139</v>
      </c>
      <c r="V27" s="11">
        <f>GDP!V27/Population!V27</f>
        <v>5770.214964520761</v>
      </c>
      <c r="W27" s="11">
        <f>GDP!W27/Population!W27</f>
        <v>6208.5780067004589</v>
      </c>
      <c r="X27" s="11">
        <f>GDP!X27/Population!X27</f>
        <v>5371.1661435191827</v>
      </c>
      <c r="Y27" s="11">
        <f>GDP!Y27/Population!Y27</f>
        <v>5159.7088452454554</v>
      </c>
      <c r="Z27" s="11">
        <f>GDP!Z27/Population!Z27</f>
        <v>4478.5002633900604</v>
      </c>
      <c r="AA27" s="11">
        <f>GDP!AA27/Population!AA27</f>
        <v>4489.9889276292806</v>
      </c>
      <c r="AB27" s="11">
        <f>GDP!AB27/Population!AB27</f>
        <v>4699.6556308798508</v>
      </c>
      <c r="AC27" s="11">
        <f>GDP!AC27/Population!AC27</f>
        <v>6513.5032458525448</v>
      </c>
      <c r="AD27" s="11">
        <f>GDP!AD27/Population!AD27</f>
        <v>8239.6135662116121</v>
      </c>
      <c r="AE27" s="11">
        <f>GDP!AE27/Population!AE27</f>
        <v>9703.1238431508918</v>
      </c>
      <c r="AF27" s="11">
        <f>GDP!AF27/Population!AF27</f>
        <v>10681.971297857894</v>
      </c>
      <c r="AG27" s="11">
        <f>GDP!AG27/Population!AG27</f>
        <v>13804.877727406983</v>
      </c>
      <c r="AH27" s="11">
        <f>GDP!AH27/Population!AH27</f>
        <v>14811.902968651742</v>
      </c>
      <c r="AI27" s="11">
        <f>GDP!AI27/Population!AI27</f>
        <v>16112.188593789153</v>
      </c>
      <c r="AJ27" s="11">
        <f>GDP!AJ27/Population!AJ27</f>
        <v>13339.908098886255</v>
      </c>
      <c r="AK27" s="11">
        <f>GDP!AK27/Population!AK27</f>
        <v>13415.287293356907</v>
      </c>
      <c r="AL27" s="11">
        <f>GDP!AL27/Population!AL27</f>
        <v>15471.962834804752</v>
      </c>
      <c r="AM27" s="11">
        <f>GDP!AM27/Population!AM27</f>
        <v>16109.084578202997</v>
      </c>
      <c r="AN27" s="11">
        <f>GDP!AN27/Population!AN27</f>
        <v>14730.798139908673</v>
      </c>
      <c r="AO27" s="11">
        <f>GDP!AO27/Population!AO27</f>
        <v>15394.352585657123</v>
      </c>
      <c r="AP27" s="11">
        <f>GDP!AP27/Population!AP27</f>
        <v>15715.331803925612</v>
      </c>
      <c r="AQ27" s="11">
        <f>GDP!AQ27/Population!AQ27</f>
        <v>14713.065486514153</v>
      </c>
      <c r="AR27" s="11">
        <f>GDP!AR27/Population!AR27</f>
        <v>15355.703203972582</v>
      </c>
      <c r="AS27" s="11">
        <f>GDP!AS27/Population!AS27</f>
        <v>17025.531048505054</v>
      </c>
      <c r="AT27" s="11">
        <f>GDP!AT27/Population!AT27</f>
        <v>21463.443257651459</v>
      </c>
      <c r="AU27" s="11">
        <f>GDP!AU27/Population!AU27</f>
        <v>24861.282768310142</v>
      </c>
      <c r="AV27" s="11">
        <f>GDP!AV27/Population!AV27</f>
        <v>26419.295313081144</v>
      </c>
      <c r="AW27" s="11">
        <f>GDP!AW27/Population!AW27</f>
        <v>28365.312123164193</v>
      </c>
      <c r="AX27" s="11">
        <f>GDP!AX27/Population!AX27</f>
        <v>32549.969809230828</v>
      </c>
      <c r="AY27" s="11">
        <f>GDP!AY27/Population!AY27</f>
        <v>35366.262493204093</v>
      </c>
      <c r="AZ27" s="11">
        <f>GDP!AZ27/Population!AZ27</f>
        <v>32042.476604074149</v>
      </c>
      <c r="BA27" s="11">
        <f>GDP!BA27/Population!BA27</f>
        <v>30502.720596237243</v>
      </c>
      <c r="BB27" s="11">
        <f>GDP!BB27/Population!BB27</f>
        <v>31636.446155181122</v>
      </c>
      <c r="BC27" s="11">
        <f>GDP!BC27/Population!BC27</f>
        <v>28324.428286233851</v>
      </c>
      <c r="BD27" s="11">
        <f>GDP!BD27/Population!BD27</f>
        <v>29059.548710164239</v>
      </c>
      <c r="BE27" s="11">
        <f>GDP!BE27/Population!BE27</f>
        <v>29461.551443260112</v>
      </c>
      <c r="BF27" s="11">
        <f>GDP!BF27/Population!BF27</f>
        <v>25732.017172373453</v>
      </c>
      <c r="BG27" s="11">
        <f>GDP!BG27/Population!BG27</f>
        <v>26505.341993505561</v>
      </c>
      <c r="BH27" s="11">
        <f>GDP!BH27/Population!BH27</f>
        <v>28170.435107791182</v>
      </c>
      <c r="BI27" s="11">
        <f>GDP!BI27/Population!BI27</f>
        <v>30337.679550077533</v>
      </c>
      <c r="BJ27" s="11">
        <f>GDP!BJ27/Population!BJ27</f>
        <v>29613.670772215093</v>
      </c>
      <c r="BK27" s="11"/>
    </row>
    <row r="28" spans="1:63" x14ac:dyDescent="0.45">
      <c r="A28" t="str">
        <f>GDP!A28</f>
        <v>North</v>
      </c>
      <c r="B28" t="str">
        <f>GDP!B28</f>
        <v>Sweden</v>
      </c>
      <c r="C28" s="11">
        <f>GDP!C28/Population!C28</f>
        <v>2114.0029457599653</v>
      </c>
      <c r="D28" s="11">
        <f>GDP!D28/Population!D28</f>
        <v>2288.9216640749105</v>
      </c>
      <c r="E28" s="11">
        <f>GDP!E28/Population!E28</f>
        <v>2468.6946329263114</v>
      </c>
      <c r="F28" s="11">
        <f>GDP!F28/Population!F28</f>
        <v>2657.0223735746276</v>
      </c>
      <c r="G28" s="11">
        <f>GDP!G28/Population!G28</f>
        <v>2941.0490020432421</v>
      </c>
      <c r="H28" s="35">
        <f>GDP!H28/Population!H28</f>
        <v>3206.099281173304</v>
      </c>
      <c r="I28" s="35">
        <f>GDP!I28/Population!I28</f>
        <v>3454.4297460602525</v>
      </c>
      <c r="J28" s="11">
        <f>GDP!J28/Population!J28</f>
        <v>3720.9269069594025</v>
      </c>
      <c r="K28" s="11">
        <f>GDP!K28/Population!K28</f>
        <v>3926.4090872496436</v>
      </c>
      <c r="L28" s="11">
        <f>GDP!L28/Population!L28</f>
        <v>4234.1613860918924</v>
      </c>
      <c r="M28" s="11">
        <f>GDP!M28/Population!M28</f>
        <v>4736.2171263469036</v>
      </c>
      <c r="N28" s="11">
        <f>GDP!N28/Population!N28</f>
        <v>5132.7115922855246</v>
      </c>
      <c r="O28" s="11">
        <f>GDP!O28/Population!O28</f>
        <v>6027.1286231732392</v>
      </c>
      <c r="P28" s="11">
        <f>GDP!P28/Population!P28</f>
        <v>7301.2155797368632</v>
      </c>
      <c r="Q28" s="11">
        <f>GDP!Q28/Population!Q28</f>
        <v>8089.9146684019706</v>
      </c>
      <c r="R28" s="11">
        <f>GDP!R28/Population!R28</f>
        <v>10117.306295062141</v>
      </c>
      <c r="S28" s="11">
        <f>GDP!S28/Population!S28</f>
        <v>10868.275751050256</v>
      </c>
      <c r="T28" s="11">
        <f>GDP!T28/Population!T28</f>
        <v>11448.619671964263</v>
      </c>
      <c r="U28" s="11">
        <f>GDP!U28/Population!U28</f>
        <v>12620.518166721225</v>
      </c>
      <c r="V28" s="11">
        <f>GDP!V28/Population!V28</f>
        <v>14877.164637450356</v>
      </c>
      <c r="W28" s="11">
        <f>GDP!W28/Population!W28</f>
        <v>17097.833460701848</v>
      </c>
      <c r="X28" s="11">
        <f>GDP!X28/Population!X28</f>
        <v>15586.430003089958</v>
      </c>
      <c r="Y28" s="11">
        <f>GDP!Y28/Population!Y28</f>
        <v>13738.971878726234</v>
      </c>
      <c r="Z28" s="11">
        <f>GDP!Z28/Population!Z28</f>
        <v>12608.228820800687</v>
      </c>
      <c r="AA28" s="11">
        <f>GDP!AA28/Population!AA28</f>
        <v>13099.020386356317</v>
      </c>
      <c r="AB28" s="11">
        <f>GDP!AB28/Population!AB28</f>
        <v>13666.857847289933</v>
      </c>
      <c r="AC28" s="11">
        <f>GDP!AC28/Population!AC28</f>
        <v>17981.018494882035</v>
      </c>
      <c r="AD28" s="11">
        <f>GDP!AD28/Population!AD28</f>
        <v>21792.559155703086</v>
      </c>
      <c r="AE28" s="11">
        <f>GDP!AE28/Population!AE28</f>
        <v>24534.693777944831</v>
      </c>
      <c r="AF28" s="11">
        <f>GDP!AF28/Population!AF28</f>
        <v>25662.221556573182</v>
      </c>
      <c r="AG28" s="11">
        <f>GDP!AG28/Population!AG28</f>
        <v>30593.671689196017</v>
      </c>
      <c r="AH28" s="11">
        <f>GDP!AH28/Population!AH28</f>
        <v>31822.803929038717</v>
      </c>
      <c r="AI28" s="11">
        <f>GDP!AI28/Population!AI28</f>
        <v>32800.983224518226</v>
      </c>
      <c r="AJ28" s="11">
        <f>GDP!AJ28/Population!AJ28</f>
        <v>24425.284603732198</v>
      </c>
      <c r="AK28" s="11">
        <f>GDP!AK28/Population!AK28</f>
        <v>26083.615274102594</v>
      </c>
      <c r="AL28" s="11">
        <f>GDP!AL28/Population!AL28</f>
        <v>30282.964174103843</v>
      </c>
      <c r="AM28" s="11">
        <f>GDP!AM28/Population!AM28</f>
        <v>32998.969790514602</v>
      </c>
      <c r="AN28" s="11">
        <f>GDP!AN28/Population!AN28</f>
        <v>30312.487898909141</v>
      </c>
      <c r="AO28" s="11">
        <f>GDP!AO28/Population!AO28</f>
        <v>30596.52775118309</v>
      </c>
      <c r="AP28" s="11">
        <f>GDP!AP28/Population!AP28</f>
        <v>30941.078479102322</v>
      </c>
      <c r="AQ28" s="11">
        <f>GDP!AQ28/Population!AQ28</f>
        <v>29624.912628102291</v>
      </c>
      <c r="AR28" s="11">
        <f>GDP!AR28/Population!AR28</f>
        <v>27247.858229578371</v>
      </c>
      <c r="AS28" s="11">
        <f>GDP!AS28/Population!AS28</f>
        <v>29899.194911169328</v>
      </c>
      <c r="AT28" s="11">
        <f>GDP!AT28/Population!AT28</f>
        <v>37321.797915190604</v>
      </c>
      <c r="AU28" s="11">
        <f>GDP!AU28/Population!AU28</f>
        <v>42821.673062560192</v>
      </c>
      <c r="AV28" s="11">
        <f>GDP!AV28/Population!AV28</f>
        <v>43437.062501744265</v>
      </c>
      <c r="AW28" s="11">
        <f>GDP!AW28/Population!AW28</f>
        <v>46593.602053630275</v>
      </c>
      <c r="AX28" s="11">
        <f>GDP!AX28/Population!AX28</f>
        <v>53700.004367249479</v>
      </c>
      <c r="AY28" s="11">
        <f>GDP!AY28/Population!AY28</f>
        <v>56152.552859076772</v>
      </c>
      <c r="AZ28" s="11">
        <f>GDP!AZ28/Population!AZ28</f>
        <v>46946.958727925914</v>
      </c>
      <c r="BA28" s="11">
        <f>GDP!BA28/Population!BA28</f>
        <v>52869.042542614588</v>
      </c>
      <c r="BB28" s="11">
        <f>GDP!BB28/Population!BB28</f>
        <v>60755.759745917465</v>
      </c>
      <c r="BC28" s="11">
        <f>GDP!BC28/Population!BC28</f>
        <v>58037.823693868944</v>
      </c>
      <c r="BD28" s="11">
        <f>GDP!BD28/Population!BD28</f>
        <v>61126.946119106338</v>
      </c>
      <c r="BE28" s="11">
        <f>GDP!BE28/Population!BE28</f>
        <v>60020.359234373369</v>
      </c>
      <c r="BF28" s="11">
        <f>GDP!BF28/Population!BF28</f>
        <v>51545.483246465577</v>
      </c>
      <c r="BG28" s="11">
        <f>GDP!BG28/Population!BG28</f>
        <v>51965.158070902347</v>
      </c>
      <c r="BH28" s="11">
        <f>GDP!BH28/Population!BH28</f>
        <v>53791.508849838203</v>
      </c>
      <c r="BI28" s="11">
        <f>GDP!BI28/Population!BI28</f>
        <v>54589.058150128338</v>
      </c>
      <c r="BJ28" s="11">
        <f>GDP!BJ28/Population!BJ28</f>
        <v>51610.066807947107</v>
      </c>
      <c r="BK28" s="11"/>
    </row>
    <row r="29" spans="1:63" x14ac:dyDescent="0.45">
      <c r="A29" t="str">
        <f>GDP!A29</f>
        <v>North</v>
      </c>
      <c r="B29" t="str">
        <f>GDP!B29</f>
        <v>United Kingdom</v>
      </c>
      <c r="C29" s="11">
        <f>GDP!C29/Population!C29</f>
        <v>1397.5947529770992</v>
      </c>
      <c r="D29" s="11">
        <f>GDP!D29/Population!D29</f>
        <v>1472.3857066666667</v>
      </c>
      <c r="E29" s="11">
        <f>GDP!E29/Population!E29</f>
        <v>1525.7759224788733</v>
      </c>
      <c r="F29" s="11">
        <f>GDP!F29/Population!F29</f>
        <v>1613.4569251071762</v>
      </c>
      <c r="G29" s="11">
        <f>GDP!G29/Population!G29</f>
        <v>1748.2880948148147</v>
      </c>
      <c r="H29" s="35">
        <f>GDP!H29/Population!H29</f>
        <v>1873.5678926315809</v>
      </c>
      <c r="I29" s="35">
        <f>GDP!I29/Population!I29</f>
        <v>1986.7471919631828</v>
      </c>
      <c r="J29" s="11">
        <f>GDP!J29/Population!J29</f>
        <v>2058.7818979462577</v>
      </c>
      <c r="K29" s="11">
        <f>GDP!K29/Population!K29</f>
        <v>1951.758611163938</v>
      </c>
      <c r="L29" s="11">
        <f>GDP!L29/Population!L29</f>
        <v>2100.6678420984963</v>
      </c>
      <c r="M29" s="11">
        <f>GDP!M29/Population!M29</f>
        <v>2347.5443560174572</v>
      </c>
      <c r="N29" s="11">
        <f>GDP!N29/Population!N29</f>
        <v>2649.8015236234919</v>
      </c>
      <c r="O29" s="11">
        <f>GDP!O29/Population!O29</f>
        <v>3030.4324319852431</v>
      </c>
      <c r="P29" s="11">
        <f>GDP!P29/Population!P29</f>
        <v>3426.2761071682994</v>
      </c>
      <c r="Q29" s="11">
        <f>GDP!Q29/Population!Q29</f>
        <v>3665.8625612787032</v>
      </c>
      <c r="R29" s="11">
        <f>GDP!R29/Population!R29</f>
        <v>4299.7455818503249</v>
      </c>
      <c r="S29" s="11">
        <f>GDP!S29/Population!S29</f>
        <v>4138.1678674548448</v>
      </c>
      <c r="T29" s="11">
        <f>GDP!T29/Population!T29</f>
        <v>4681.4398359155184</v>
      </c>
      <c r="U29" s="11">
        <f>GDP!U29/Population!U29</f>
        <v>5976.938402004509</v>
      </c>
      <c r="V29" s="11">
        <f>GDP!V29/Population!V29</f>
        <v>7804.7620366700048</v>
      </c>
      <c r="W29" s="11">
        <f>GDP!W29/Population!W29</f>
        <v>10032.062135926744</v>
      </c>
      <c r="X29" s="11">
        <f>GDP!X29/Population!X29</f>
        <v>9599.3065429886992</v>
      </c>
      <c r="Y29" s="11">
        <f>GDP!Y29/Population!Y29</f>
        <v>9146.0777766807478</v>
      </c>
      <c r="Z29" s="11">
        <f>GDP!Z29/Population!Z29</f>
        <v>8691.5189199736542</v>
      </c>
      <c r="AA29" s="11">
        <f>GDP!AA29/Population!AA29</f>
        <v>8179.1946986987641</v>
      </c>
      <c r="AB29" s="11">
        <f>GDP!AB29/Population!AB29</f>
        <v>8652.2164114942825</v>
      </c>
      <c r="AC29" s="11">
        <f>GDP!AC29/Population!AC29</f>
        <v>10611.112018200822</v>
      </c>
      <c r="AD29" s="11">
        <f>GDP!AD29/Population!AD29</f>
        <v>13118.586930950096</v>
      </c>
      <c r="AE29" s="11">
        <f>GDP!AE29/Population!AE29</f>
        <v>15987.168037958185</v>
      </c>
      <c r="AF29" s="11">
        <f>GDP!AF29/Population!AF29</f>
        <v>16239.282021711411</v>
      </c>
      <c r="AG29" s="11">
        <f>GDP!AG29/Population!AG29</f>
        <v>19095.467528830563</v>
      </c>
      <c r="AH29" s="11">
        <f>GDP!AH29/Population!AH29</f>
        <v>19900.728044365984</v>
      </c>
      <c r="AI29" s="11">
        <f>GDP!AI29/Population!AI29</f>
        <v>20487.171578106438</v>
      </c>
      <c r="AJ29" s="11">
        <f>GDP!AJ29/Population!AJ29</f>
        <v>18389.019354726039</v>
      </c>
      <c r="AK29" s="11">
        <f>GDP!AK29/Population!AK29</f>
        <v>19709.2379165124</v>
      </c>
      <c r="AL29" s="11">
        <f>GDP!AL29/Population!AL29</f>
        <v>23123.17637895096</v>
      </c>
      <c r="AM29" s="11">
        <f>GDP!AM29/Population!AM29</f>
        <v>24332.697385140622</v>
      </c>
      <c r="AN29" s="11">
        <f>GDP!AN29/Population!AN29</f>
        <v>26734.563223674653</v>
      </c>
      <c r="AO29" s="11">
        <f>GDP!AO29/Population!AO29</f>
        <v>28214.274653881177</v>
      </c>
      <c r="AP29" s="11">
        <f>GDP!AP29/Population!AP29</f>
        <v>28669.540828006131</v>
      </c>
      <c r="AQ29" s="11">
        <f>GDP!AQ29/Population!AQ29</f>
        <v>28149.870952422611</v>
      </c>
      <c r="AR29" s="11">
        <f>GDP!AR29/Population!AR29</f>
        <v>27744.506923516084</v>
      </c>
      <c r="AS29" s="11">
        <f>GDP!AS29/Population!AS29</f>
        <v>30056.58665437773</v>
      </c>
      <c r="AT29" s="11">
        <f>GDP!AT29/Population!AT29</f>
        <v>34419.148011647616</v>
      </c>
      <c r="AU29" s="11">
        <f>GDP!AU29/Population!AU29</f>
        <v>40290.314262822052</v>
      </c>
      <c r="AV29" s="11">
        <f>GDP!AV29/Population!AV29</f>
        <v>42030.286722477475</v>
      </c>
      <c r="AW29" s="11">
        <f>GDP!AW29/Population!AW29</f>
        <v>44599.69831284527</v>
      </c>
      <c r="AX29" s="11">
        <f>GDP!AX29/Population!AX29</f>
        <v>50566.823920969648</v>
      </c>
      <c r="AY29" s="11">
        <f>GDP!AY29/Population!AY29</f>
        <v>47286.998240522807</v>
      </c>
      <c r="AZ29" s="11">
        <f>GDP!AZ29/Population!AZ29</f>
        <v>38713.136109110703</v>
      </c>
      <c r="BA29" s="11">
        <f>GDP!BA29/Population!BA29</f>
        <v>39435.841597451785</v>
      </c>
      <c r="BB29" s="11">
        <f>GDP!BB29/Population!BB29</f>
        <v>42038.574433334245</v>
      </c>
      <c r="BC29" s="11">
        <f>GDP!BC29/Population!BC29</f>
        <v>42462.772421870592</v>
      </c>
      <c r="BD29" s="11">
        <f>GDP!BD29/Population!BD29</f>
        <v>43444.534356016949</v>
      </c>
      <c r="BE29" s="11">
        <f>GDP!BE29/Population!BE29</f>
        <v>47425.60978650047</v>
      </c>
      <c r="BF29" s="11">
        <f>GDP!BF29/Population!BF29</f>
        <v>44974.830834345114</v>
      </c>
      <c r="BG29" s="11">
        <f>GDP!BG29/Population!BG29</f>
        <v>41064.134886408487</v>
      </c>
      <c r="BH29" s="11">
        <f>GDP!BH29/Population!BH29</f>
        <v>40361.416128101511</v>
      </c>
      <c r="BI29" s="11">
        <f>GDP!BI29/Population!BI29</f>
        <v>43043.226403763423</v>
      </c>
      <c r="BJ29" s="11">
        <f>GDP!BJ29/Population!BJ29</f>
        <v>42300.268012624154</v>
      </c>
      <c r="BK29" s="11"/>
    </row>
    <row r="30" spans="1:63" x14ac:dyDescent="0.45">
      <c r="A30" t="str">
        <f>GDP!A30</f>
        <v>North</v>
      </c>
      <c r="B30" t="str">
        <f>GDP!B30</f>
        <v>United States</v>
      </c>
      <c r="C30" s="11">
        <f>GDP!C30/Population!C30</f>
        <v>3007.1232768015552</v>
      </c>
      <c r="D30" s="11">
        <f>GDP!D30/Population!D30</f>
        <v>3066.5627788160432</v>
      </c>
      <c r="E30" s="11">
        <f>GDP!E30/Population!E30</f>
        <v>3243.8429856007892</v>
      </c>
      <c r="F30" s="11">
        <f>GDP!F30/Population!F30</f>
        <v>3374.5152765665125</v>
      </c>
      <c r="G30" s="11">
        <f>GDP!G30/Population!G30</f>
        <v>3573.941491172146</v>
      </c>
      <c r="H30" s="35">
        <f>GDP!H30/Population!H30</f>
        <v>3827.5268085196085</v>
      </c>
      <c r="I30" s="35">
        <f>GDP!I30/Population!I30</f>
        <v>4146.3166176638179</v>
      </c>
      <c r="J30" s="11">
        <f>GDP!J30/Population!J30</f>
        <v>4336.4267405290066</v>
      </c>
      <c r="K30" s="11">
        <f>GDP!K30/Population!K30</f>
        <v>4695.9234911960775</v>
      </c>
      <c r="L30" s="11">
        <f>GDP!L30/Population!L30</f>
        <v>5032.1449526150454</v>
      </c>
      <c r="M30" s="11">
        <f>GDP!M30/Population!M30</f>
        <v>5234.2966415543378</v>
      </c>
      <c r="N30" s="11">
        <f>GDP!N30/Population!N30</f>
        <v>5609.3826769353</v>
      </c>
      <c r="O30" s="11">
        <f>GDP!O30/Population!O30</f>
        <v>6094.0180904829058</v>
      </c>
      <c r="P30" s="11">
        <f>GDP!P30/Population!P30</f>
        <v>6726.3592968815592</v>
      </c>
      <c r="Q30" s="11">
        <f>GDP!Q30/Population!Q30</f>
        <v>7225.6910569640968</v>
      </c>
      <c r="R30" s="11">
        <f>GDP!R30/Population!R30</f>
        <v>7801.4567320713877</v>
      </c>
      <c r="S30" s="11">
        <f>GDP!S30/Population!S30</f>
        <v>8592.253061159794</v>
      </c>
      <c r="T30" s="11">
        <f>GDP!T30/Population!T30</f>
        <v>9452.5762356503164</v>
      </c>
      <c r="U30" s="11">
        <f>GDP!U30/Population!U30</f>
        <v>10564.948277698795</v>
      </c>
      <c r="V30" s="11">
        <f>GDP!V30/Population!V30</f>
        <v>11674.186098076076</v>
      </c>
      <c r="W30" s="11">
        <f>GDP!W30/Population!W30</f>
        <v>12574.791718263104</v>
      </c>
      <c r="X30" s="11">
        <f>GDP!X30/Population!X30</f>
        <v>13976.10935274071</v>
      </c>
      <c r="Y30" s="11">
        <f>GDP!Y30/Population!Y30</f>
        <v>14433.788004143933</v>
      </c>
      <c r="Z30" s="11">
        <f>GDP!Z30/Population!Z30</f>
        <v>15543.893917328223</v>
      </c>
      <c r="AA30" s="11">
        <f>GDP!AA30/Population!AA30</f>
        <v>17121.225764841751</v>
      </c>
      <c r="AB30" s="11">
        <f>GDP!AB30/Population!AB30</f>
        <v>18236.827366318656</v>
      </c>
      <c r="AC30" s="11">
        <f>GDP!AC30/Population!AC30</f>
        <v>19071.227990462885</v>
      </c>
      <c r="AD30" s="11">
        <f>GDP!AD30/Population!AD30</f>
        <v>20038.942426835471</v>
      </c>
      <c r="AE30" s="11">
        <f>GDP!AE30/Population!AE30</f>
        <v>21417.011529731852</v>
      </c>
      <c r="AF30" s="11">
        <f>GDP!AF30/Population!AF30</f>
        <v>22857.153904775438</v>
      </c>
      <c r="AG30" s="11">
        <f>GDP!AG30/Population!AG30</f>
        <v>23888.600176470911</v>
      </c>
      <c r="AH30" s="11">
        <f>GDP!AH30/Population!AH30</f>
        <v>24342.259822081811</v>
      </c>
      <c r="AI30" s="11">
        <f>GDP!AI30/Population!AI30</f>
        <v>25418.991207715757</v>
      </c>
      <c r="AJ30" s="11">
        <f>GDP!AJ30/Population!AJ30</f>
        <v>26387.292655964586</v>
      </c>
      <c r="AK30" s="11">
        <f>GDP!AK30/Population!AK30</f>
        <v>27694.854170245435</v>
      </c>
      <c r="AL30" s="11">
        <f>GDP!AL30/Population!AL30</f>
        <v>28690.876075079428</v>
      </c>
      <c r="AM30" s="11">
        <f>GDP!AM30/Population!AM30</f>
        <v>29967.714090838792</v>
      </c>
      <c r="AN30" s="11">
        <f>GDP!AN30/Population!AN30</f>
        <v>31459.140352637645</v>
      </c>
      <c r="AO30" s="11">
        <f>GDP!AO30/Population!AO30</f>
        <v>32853.67522346312</v>
      </c>
      <c r="AP30" s="11">
        <f>GDP!AP30/Population!AP30</f>
        <v>34513.56113027523</v>
      </c>
      <c r="AQ30" s="11">
        <f>GDP!AQ30/Population!AQ30</f>
        <v>36334.911858645944</v>
      </c>
      <c r="AR30" s="11">
        <f>GDP!AR30/Population!AR30</f>
        <v>37133.241093822988</v>
      </c>
      <c r="AS30" s="11">
        <f>GDP!AS30/Population!AS30</f>
        <v>38023.162430839155</v>
      </c>
      <c r="AT30" s="11">
        <f>GDP!AT30/Population!AT30</f>
        <v>39496.485836940359</v>
      </c>
      <c r="AU30" s="11">
        <f>GDP!AU30/Population!AU30</f>
        <v>41712.79980712918</v>
      </c>
      <c r="AV30" s="11">
        <f>GDP!AV30/Population!AV30</f>
        <v>44114.746580956969</v>
      </c>
      <c r="AW30" s="11">
        <f>GDP!AW30/Population!AW30</f>
        <v>46298.732345727949</v>
      </c>
      <c r="AX30" s="11">
        <f>GDP!AX30/Population!AX30</f>
        <v>47975.967332786247</v>
      </c>
      <c r="AY30" s="11">
        <f>GDP!AY30/Population!AY30</f>
        <v>48382.56231716177</v>
      </c>
      <c r="AZ30" s="11">
        <f>GDP!AZ30/Population!AZ30</f>
        <v>47099.980740637198</v>
      </c>
      <c r="BA30" s="11">
        <f>GDP!BA30/Population!BA30</f>
        <v>48467.517324412169</v>
      </c>
      <c r="BB30" s="11">
        <f>GDP!BB30/Population!BB30</f>
        <v>49886.818332334995</v>
      </c>
      <c r="BC30" s="11">
        <f>GDP!BC30/Population!BC30</f>
        <v>51610.607876769944</v>
      </c>
      <c r="BD30" s="11">
        <f>GDP!BD30/Population!BD30</f>
        <v>53117.667048378884</v>
      </c>
      <c r="BE30" s="11">
        <f>GDP!BE30/Population!BE30</f>
        <v>55047.729486937948</v>
      </c>
      <c r="BF30" s="11">
        <f>GDP!BF30/Population!BF30</f>
        <v>56822.517382048369</v>
      </c>
      <c r="BG30" s="11">
        <f>GDP!BG30/Population!BG30</f>
        <v>57927.513581365522</v>
      </c>
      <c r="BH30" s="11">
        <f>GDP!BH30/Population!BH30</f>
        <v>59957.727493201419</v>
      </c>
      <c r="BI30" s="11">
        <f>GDP!BI30/Population!BI30</f>
        <v>62840.019728505795</v>
      </c>
      <c r="BJ30" s="11">
        <f>GDP!BJ30/Population!BJ30</f>
        <v>65118.357931988205</v>
      </c>
      <c r="BK30" s="11"/>
    </row>
    <row r="31" spans="1:63" x14ac:dyDescent="0.45">
      <c r="A31" t="str">
        <f>GDP!A31</f>
        <v>South</v>
      </c>
      <c r="B31" t="str">
        <f>GDP!B31</f>
        <v>Bahamas</v>
      </c>
      <c r="C31" s="11">
        <f>GDP!C31/Population!C31</f>
        <v>1550.2393777274635</v>
      </c>
      <c r="D31" s="11">
        <f>GDP!D31/Population!D31</f>
        <v>1651.2889220906698</v>
      </c>
      <c r="E31" s="11">
        <f>GDP!E31/Population!E31</f>
        <v>1752.8544317909671</v>
      </c>
      <c r="F31" s="11">
        <f>GDP!F31/Population!F31</f>
        <v>1867.0250590942287</v>
      </c>
      <c r="G31" s="11">
        <f>GDP!G31/Population!G31</f>
        <v>1994.3808718934401</v>
      </c>
      <c r="H31" s="35">
        <f>GDP!H31/Population!H31</f>
        <v>2144.7544249209263</v>
      </c>
      <c r="I31" s="35">
        <f>GDP!I31/Population!I31</f>
        <v>2322.6899482176768</v>
      </c>
      <c r="J31" s="11">
        <f>GDP!J31/Population!J31</f>
        <v>2556.6509238631897</v>
      </c>
      <c r="K31" s="11">
        <f>GDP!K31/Population!K31</f>
        <v>2804.3338207856386</v>
      </c>
      <c r="L31" s="11">
        <f>GDP!L31/Population!L31</f>
        <v>3215.0951372147952</v>
      </c>
      <c r="M31" s="11">
        <f>GDP!M31/Population!M31</f>
        <v>3178.844636520897</v>
      </c>
      <c r="N31" s="11">
        <f>GDP!N31/Population!N31</f>
        <v>3297.5058801879359</v>
      </c>
      <c r="O31" s="11">
        <f>GDP!O31/Population!O31</f>
        <v>3322.163696265728</v>
      </c>
      <c r="P31" s="11">
        <f>GDP!P31/Population!P31</f>
        <v>3696.0723678773888</v>
      </c>
      <c r="Q31" s="11">
        <f>GDP!Q31/Population!Q31</f>
        <v>3416.1624891961969</v>
      </c>
      <c r="R31" s="11">
        <f>GDP!R31/Population!R31</f>
        <v>3156.23411824496</v>
      </c>
      <c r="S31" s="11">
        <f>GDP!S31/Population!S31</f>
        <v>3328.5122415232054</v>
      </c>
      <c r="T31" s="11">
        <f>GDP!T31/Population!T31</f>
        <v>3617.4347162114855</v>
      </c>
      <c r="U31" s="11">
        <f>GDP!U31/Population!U31</f>
        <v>4131.4684481680379</v>
      </c>
      <c r="V31" s="11">
        <f>GDP!V31/Population!V31</f>
        <v>5533.4398011496041</v>
      </c>
      <c r="W31" s="11">
        <f>GDP!W31/Population!W31</f>
        <v>6340.7266597337966</v>
      </c>
      <c r="X31" s="11">
        <f>GDP!X31/Population!X31</f>
        <v>6624.8384681831267</v>
      </c>
      <c r="Y31" s="11">
        <f>GDP!Y31/Population!Y31</f>
        <v>7168.0959197761867</v>
      </c>
      <c r="Z31" s="11">
        <f>GDP!Z31/Population!Z31</f>
        <v>7698.4592418830307</v>
      </c>
      <c r="AA31" s="11">
        <f>GDP!AA31/Population!AA31</f>
        <v>8877.3199375443091</v>
      </c>
      <c r="AB31" s="11">
        <f>GDP!AB31/Population!AB31</f>
        <v>9893.084193743658</v>
      </c>
      <c r="AC31" s="11">
        <f>GDP!AC31/Population!AC31</f>
        <v>10344.452352761518</v>
      </c>
      <c r="AD31" s="11">
        <f>GDP!AD31/Population!AD31</f>
        <v>11156.281973601457</v>
      </c>
      <c r="AE31" s="11">
        <f>GDP!AE31/Population!AE31</f>
        <v>11387.709211116544</v>
      </c>
      <c r="AF31" s="11">
        <f>GDP!AF31/Population!AF31</f>
        <v>12163.681869282136</v>
      </c>
      <c r="AG31" s="11">
        <f>GDP!AG31/Population!AG31</f>
        <v>12356.424395936352</v>
      </c>
      <c r="AH31" s="11">
        <f>GDP!AH31/Population!AH31</f>
        <v>11919.788144424692</v>
      </c>
      <c r="AI31" s="11">
        <f>GDP!AI31/Population!AI31</f>
        <v>11686.695570783637</v>
      </c>
      <c r="AJ31" s="11">
        <f>GDP!AJ31/Population!AJ31</f>
        <v>11406.689809605672</v>
      </c>
      <c r="AK31" s="11">
        <f>GDP!AK31/Population!AK31</f>
        <v>11814.563430319817</v>
      </c>
      <c r="AL31" s="11">
        <f>GDP!AL31/Population!AL31</f>
        <v>12238.385974930759</v>
      </c>
      <c r="AM31" s="11">
        <f>GDP!AM31/Population!AM31</f>
        <v>12708.730732662389</v>
      </c>
      <c r="AN31" s="11">
        <f>GDP!AN31/Population!AN31</f>
        <v>22036.484775088913</v>
      </c>
      <c r="AO31" s="11">
        <f>GDP!AO31/Population!AO31</f>
        <v>23514.420644397567</v>
      </c>
      <c r="AP31" s="11">
        <f>GDP!AP31/Population!AP31</f>
        <v>26130.102522597277</v>
      </c>
      <c r="AQ31" s="11">
        <f>GDP!AQ31/Population!AQ31</f>
        <v>27097.610006341198</v>
      </c>
      <c r="AR31" s="11">
        <f>GDP!AR31/Population!AR31</f>
        <v>27486.237249601807</v>
      </c>
      <c r="AS31" s="11">
        <f>GDP!AS31/Population!AS31</f>
        <v>28866.801638172008</v>
      </c>
      <c r="AT31" s="11">
        <f>GDP!AT31/Population!AT31</f>
        <v>28327.270000542907</v>
      </c>
      <c r="AU31" s="11">
        <f>GDP!AU31/Population!AU31</f>
        <v>28395.925818610573</v>
      </c>
      <c r="AV31" s="11">
        <f>GDP!AV31/Population!AV31</f>
        <v>30278.366725256186</v>
      </c>
      <c r="AW31" s="11">
        <f>GDP!AW31/Population!AW31</f>
        <v>30713.705038470485</v>
      </c>
      <c r="AX31" s="11">
        <f>GDP!AX31/Population!AX31</f>
        <v>31472.100015116084</v>
      </c>
      <c r="AY31" s="11">
        <f>GDP!AY31/Population!AY31</f>
        <v>30627.239003610906</v>
      </c>
      <c r="AZ31" s="11">
        <f>GDP!AZ31/Population!AZ31</f>
        <v>28552.191027562614</v>
      </c>
      <c r="BA31" s="11">
        <f>GDP!BA31/Population!BA31</f>
        <v>28443.408737202135</v>
      </c>
      <c r="BB31" s="11">
        <f>GDP!BB31/Population!BB31</f>
        <v>28006.380207855342</v>
      </c>
      <c r="BC31" s="11">
        <f>GDP!BC31/Population!BC31</f>
        <v>29485.620137299771</v>
      </c>
      <c r="BD31" s="11">
        <f>GDP!BD31/Population!BD31</f>
        <v>28768.030678054733</v>
      </c>
      <c r="BE31" s="11">
        <f>GDP!BE31/Population!BE31</f>
        <v>29445.031823933648</v>
      </c>
      <c r="BF31" s="11">
        <f>GDP!BF31/Population!BF31</f>
        <v>31405.962277462146</v>
      </c>
      <c r="BG31" s="11">
        <f>GDP!BG31/Population!BG31</f>
        <v>31588.835676353621</v>
      </c>
      <c r="BH31" s="11">
        <f>GDP!BH31/Population!BH31</f>
        <v>31827.242698966107</v>
      </c>
      <c r="BI31" s="11">
        <f>GDP!BI31/Population!BI31</f>
        <v>32217.872170936625</v>
      </c>
      <c r="BJ31" s="11">
        <f>GDP!BJ31/Population!BJ31</f>
        <v>32933.485521795614</v>
      </c>
      <c r="BK31" s="11"/>
    </row>
    <row r="32" spans="1:63" x14ac:dyDescent="0.45">
      <c r="A32" t="str">
        <f>GDP!A32</f>
        <v>South</v>
      </c>
      <c r="B32" t="str">
        <f>GDP!B32</f>
        <v>Bangladesh</v>
      </c>
      <c r="C32" s="11">
        <f>GDP!C32/Population!C32</f>
        <v>89.035239419310031</v>
      </c>
      <c r="D32" s="11">
        <f>GDP!D32/Population!D32</f>
        <v>97.595268862547712</v>
      </c>
      <c r="E32" s="11">
        <f>GDP!E32/Population!E32</f>
        <v>100.12211343297416</v>
      </c>
      <c r="F32" s="11">
        <f>GDP!F32/Population!F32</f>
        <v>101.90141160853429</v>
      </c>
      <c r="G32" s="11">
        <f>GDP!G32/Population!G32</f>
        <v>100.22111418995254</v>
      </c>
      <c r="H32" s="35">
        <f>GDP!H32/Population!H32</f>
        <v>106.64665262390369</v>
      </c>
      <c r="I32" s="35">
        <f>GDP!I32/Population!I32</f>
        <v>112.66535632601868</v>
      </c>
      <c r="J32" s="11">
        <f>GDP!J32/Population!J32</f>
        <v>122.87062872385535</v>
      </c>
      <c r="K32" s="11">
        <f>GDP!K32/Population!K32</f>
        <v>122.84758786401284</v>
      </c>
      <c r="L32" s="11">
        <f>GDP!L32/Population!L32</f>
        <v>135.14738517522179</v>
      </c>
      <c r="M32" s="11">
        <f>GDP!M32/Population!M32</f>
        <v>140.00272011916712</v>
      </c>
      <c r="N32" s="11">
        <f>GDP!N32/Population!N32</f>
        <v>133.55143250514499</v>
      </c>
      <c r="O32" s="11">
        <f>GDP!O32/Population!O32</f>
        <v>94.381678278401381</v>
      </c>
      <c r="P32" s="11">
        <f>GDP!P32/Population!P32</f>
        <v>119.55974547147849</v>
      </c>
      <c r="Q32" s="11">
        <f>GDP!Q32/Population!Q32</f>
        <v>182.01999609206754</v>
      </c>
      <c r="R32" s="11">
        <f>GDP!R32/Population!R32</f>
        <v>277.57063754925622</v>
      </c>
      <c r="S32" s="11">
        <f>GDP!S32/Population!S32</f>
        <v>141.19715586853329</v>
      </c>
      <c r="T32" s="11">
        <f>GDP!T32/Population!T32</f>
        <v>131.37323656847454</v>
      </c>
      <c r="U32" s="11">
        <f>GDP!U32/Population!U32</f>
        <v>176.03395349123244</v>
      </c>
      <c r="V32" s="11">
        <f>GDP!V32/Population!V32</f>
        <v>200.76965134410008</v>
      </c>
      <c r="W32" s="11">
        <f>GDP!W32/Population!W32</f>
        <v>227.75194777746435</v>
      </c>
      <c r="X32" s="11">
        <f>GDP!X32/Population!X32</f>
        <v>247.64963140862108</v>
      </c>
      <c r="Y32" s="11">
        <f>GDP!Y32/Population!Y32</f>
        <v>220.71880555679465</v>
      </c>
      <c r="Z32" s="11">
        <f>GDP!Z32/Population!Z32</f>
        <v>204.41766702464716</v>
      </c>
      <c r="AA32" s="11">
        <f>GDP!AA32/Population!AA32</f>
        <v>213.99665094260666</v>
      </c>
      <c r="AB32" s="11">
        <f>GDP!AB32/Population!AB32</f>
        <v>245.45389542641621</v>
      </c>
      <c r="AC32" s="11">
        <f>GDP!AC32/Population!AC32</f>
        <v>233.65804995514424</v>
      </c>
      <c r="AD32" s="11">
        <f>GDP!AD32/Population!AD32</f>
        <v>253.97448041813229</v>
      </c>
      <c r="AE32" s="11">
        <f>GDP!AE32/Population!AE32</f>
        <v>270.69959213883413</v>
      </c>
      <c r="AF32" s="11">
        <f>GDP!AF32/Population!AF32</f>
        <v>285.82922374204304</v>
      </c>
      <c r="AG32" s="11">
        <f>GDP!AG32/Population!AG32</f>
        <v>306.26872450760646</v>
      </c>
      <c r="AH32" s="11">
        <f>GDP!AH32/Population!AH32</f>
        <v>293.16041352159652</v>
      </c>
      <c r="AI32" s="11">
        <f>GDP!AI32/Population!AI32</f>
        <v>293.64499991591322</v>
      </c>
      <c r="AJ32" s="11">
        <f>GDP!AJ32/Population!AJ32</f>
        <v>300.5557586254144</v>
      </c>
      <c r="AK32" s="11">
        <f>GDP!AK32/Population!AK32</f>
        <v>299.53304868434407</v>
      </c>
      <c r="AL32" s="11">
        <f>GDP!AL32/Population!AL32</f>
        <v>329.42409119158259</v>
      </c>
      <c r="AM32" s="11">
        <f>GDP!AM32/Population!AM32</f>
        <v>394.71747792535984</v>
      </c>
      <c r="AN32" s="11">
        <f>GDP!AN32/Population!AN32</f>
        <v>401.49871152398089</v>
      </c>
      <c r="AO32" s="11">
        <f>GDP!AO32/Population!AO32</f>
        <v>407.42919653882086</v>
      </c>
      <c r="AP32" s="11">
        <f>GDP!AP32/Population!AP32</f>
        <v>409.54320747031733</v>
      </c>
      <c r="AQ32" s="11">
        <f>GDP!AQ32/Population!AQ32</f>
        <v>418.06895431488368</v>
      </c>
      <c r="AR32" s="11">
        <f>GDP!AR32/Population!AR32</f>
        <v>415.03441245751821</v>
      </c>
      <c r="AS32" s="11">
        <f>GDP!AS32/Population!AS32</f>
        <v>413.08023418937023</v>
      </c>
      <c r="AT32" s="11">
        <f>GDP!AT32/Population!AT32</f>
        <v>446.31068214933276</v>
      </c>
      <c r="AU32" s="11">
        <f>GDP!AU32/Population!AU32</f>
        <v>475.29192917441634</v>
      </c>
      <c r="AV32" s="11">
        <f>GDP!AV32/Population!AV32</f>
        <v>499.46195774569924</v>
      </c>
      <c r="AW32" s="11">
        <f>GDP!AW32/Population!AW32</f>
        <v>509.64013991141485</v>
      </c>
      <c r="AX32" s="11">
        <f>GDP!AX32/Population!AX32</f>
        <v>558.05182478690085</v>
      </c>
      <c r="AY32" s="11">
        <f>GDP!AY32/Population!AY32</f>
        <v>634.98710035802151</v>
      </c>
      <c r="AZ32" s="11">
        <f>GDP!AZ32/Population!AZ32</f>
        <v>702.26439393441001</v>
      </c>
      <c r="BA32" s="11">
        <f>GDP!BA32/Population!BA32</f>
        <v>781.15362471193032</v>
      </c>
      <c r="BB32" s="11">
        <f>GDP!BB32/Population!BB32</f>
        <v>861.75843515876488</v>
      </c>
      <c r="BC32" s="11">
        <f>GDP!BC32/Population!BC32</f>
        <v>883.10499398812544</v>
      </c>
      <c r="BD32" s="11">
        <f>GDP!BD32/Population!BD32</f>
        <v>981.83994624097386</v>
      </c>
      <c r="BE32" s="11">
        <f>GDP!BE32/Population!BE32</f>
        <v>1118.8537401462695</v>
      </c>
      <c r="BF32" s="11">
        <f>GDP!BF32/Population!BF32</f>
        <v>1248.4534679798326</v>
      </c>
      <c r="BG32" s="11">
        <f>GDP!BG32/Population!BG32</f>
        <v>1401.6203917320238</v>
      </c>
      <c r="BH32" s="11">
        <f>GDP!BH32/Population!BH32</f>
        <v>1563.9138530406401</v>
      </c>
      <c r="BI32" s="11">
        <f>GDP!BI32/Population!BI32</f>
        <v>1698.3504855647418</v>
      </c>
      <c r="BJ32" s="11">
        <f>GDP!BJ32/Population!BJ32</f>
        <v>1855.7398583076106</v>
      </c>
      <c r="BK32" s="11"/>
    </row>
    <row r="33" spans="1:63" x14ac:dyDescent="0.45">
      <c r="A33" t="str">
        <f>GDP!A33</f>
        <v>South</v>
      </c>
      <c r="B33" t="str">
        <f>GDP!B33</f>
        <v>Belize</v>
      </c>
      <c r="C33" s="11">
        <f>GDP!C33/Population!C33</f>
        <v>304.91710114702818</v>
      </c>
      <c r="D33" s="11">
        <f>GDP!D33/Population!D33</f>
        <v>316.40359861883996</v>
      </c>
      <c r="E33" s="11">
        <f>GDP!E33/Population!E33</f>
        <v>327.1268586215395</v>
      </c>
      <c r="F33" s="11">
        <f>GDP!F33/Population!F33</f>
        <v>336.94145601214007</v>
      </c>
      <c r="G33" s="11">
        <f>GDP!G33/Population!G33</f>
        <v>351.16114447603064</v>
      </c>
      <c r="H33" s="35">
        <f>GDP!H33/Population!H33</f>
        <v>377.59432335397054</v>
      </c>
      <c r="I33" s="35">
        <f>GDP!I33/Population!I33</f>
        <v>406.09798165473217</v>
      </c>
      <c r="J33" s="11">
        <f>GDP!J33/Population!J33</f>
        <v>420.43190288574169</v>
      </c>
      <c r="K33" s="11">
        <f>GDP!K33/Population!K33</f>
        <v>386.95324010649574</v>
      </c>
      <c r="L33" s="11">
        <f>GDP!L33/Population!L33</f>
        <v>396.65429603977827</v>
      </c>
      <c r="M33" s="11">
        <f>GDP!M33/Population!M33</f>
        <v>435.69046177014616</v>
      </c>
      <c r="N33" s="11">
        <f>GDP!N33/Population!N33</f>
        <v>474.44420760779849</v>
      </c>
      <c r="O33" s="11">
        <f>GDP!O33/Population!O33</f>
        <v>519.56350766810851</v>
      </c>
      <c r="P33" s="11">
        <f>GDP!P33/Population!P33</f>
        <v>605.93345398858412</v>
      </c>
      <c r="Q33" s="11">
        <f>GDP!Q33/Population!Q33</f>
        <v>786.0691052266825</v>
      </c>
      <c r="R33" s="11">
        <f>GDP!R33/Population!R33</f>
        <v>885.98451148131471</v>
      </c>
      <c r="S33" s="11">
        <f>GDP!S33/Population!S33</f>
        <v>717.04020067038118</v>
      </c>
      <c r="T33" s="11">
        <f>GDP!T33/Population!T33</f>
        <v>858.82808108680263</v>
      </c>
      <c r="U33" s="11">
        <f>GDP!U33/Population!U33</f>
        <v>980.82250926492281</v>
      </c>
      <c r="V33" s="11">
        <f>GDP!V33/Population!V33</f>
        <v>1074.2719648986235</v>
      </c>
      <c r="W33" s="11">
        <f>GDP!W33/Population!W33</f>
        <v>1373.0930179320869</v>
      </c>
      <c r="X33" s="11">
        <f>GDP!X33/Population!X33</f>
        <v>1328.8281582478348</v>
      </c>
      <c r="Y33" s="11">
        <f>GDP!Y33/Population!Y33</f>
        <v>1202.6819801980198</v>
      </c>
      <c r="Z33" s="11">
        <f>GDP!Z33/Population!Z33</f>
        <v>1232.8373657121588</v>
      </c>
      <c r="AA33" s="11">
        <f>GDP!AA33/Population!AA33</f>
        <v>1336.9876081248792</v>
      </c>
      <c r="AB33" s="11">
        <f>GDP!AB33/Population!AB33</f>
        <v>1289.3672970695061</v>
      </c>
      <c r="AC33" s="11">
        <f>GDP!AC33/Population!AC33</f>
        <v>1366.0497263634647</v>
      </c>
      <c r="AD33" s="11">
        <f>GDP!AD33/Population!AD33</f>
        <v>1612.4515832950894</v>
      </c>
      <c r="AE33" s="11">
        <f>GDP!AE33/Population!AE33</f>
        <v>1787.9514712782359</v>
      </c>
      <c r="AF33" s="11">
        <f>GDP!AF33/Population!AF33</f>
        <v>2011.9687140606859</v>
      </c>
      <c r="AG33" s="11">
        <f>GDP!AG33/Population!AG33</f>
        <v>2197.1849513734855</v>
      </c>
      <c r="AH33" s="11">
        <f>GDP!AH33/Population!AH33</f>
        <v>2326.8214808923863</v>
      </c>
      <c r="AI33" s="11">
        <f>GDP!AI33/Population!AI33</f>
        <v>2666.8816203865708</v>
      </c>
      <c r="AJ33" s="11">
        <f>GDP!AJ33/Population!AJ33</f>
        <v>2832.9752760320207</v>
      </c>
      <c r="AK33" s="11">
        <f>GDP!AK33/Population!AK33</f>
        <v>2880.1253470844904</v>
      </c>
      <c r="AL33" s="11">
        <f>GDP!AL33/Population!AL33</f>
        <v>2996.3830056580164</v>
      </c>
      <c r="AM33" s="11">
        <f>GDP!AM33/Population!AM33</f>
        <v>3001.833757675603</v>
      </c>
      <c r="AN33" s="11">
        <f>GDP!AN33/Population!AN33</f>
        <v>2952.9486776784906</v>
      </c>
      <c r="AO33" s="11">
        <f>GDP!AO33/Population!AO33</f>
        <v>2992.4447455742602</v>
      </c>
      <c r="AP33" s="11">
        <f>GDP!AP33/Population!AP33</f>
        <v>3065.9796809881668</v>
      </c>
      <c r="AQ33" s="11">
        <f>GDP!AQ33/Population!AQ33</f>
        <v>3364.3328710349151</v>
      </c>
      <c r="AR33" s="11">
        <f>GDP!AR33/Population!AR33</f>
        <v>3404.4530802193967</v>
      </c>
      <c r="AS33" s="11">
        <f>GDP!AS33/Population!AS33</f>
        <v>3525.6385215223836</v>
      </c>
      <c r="AT33" s="11">
        <f>GDP!AT33/Population!AT33</f>
        <v>3650.3666400668089</v>
      </c>
      <c r="AU33" s="11">
        <f>GDP!AU33/Population!AU33</f>
        <v>3802.2958655209327</v>
      </c>
      <c r="AV33" s="11">
        <f>GDP!AV33/Population!AV33</f>
        <v>3883.1925581395349</v>
      </c>
      <c r="AW33" s="11">
        <f>GDP!AW33/Population!AW33</f>
        <v>4153.894792485472</v>
      </c>
      <c r="AX33" s="11">
        <f>GDP!AX33/Population!AX33</f>
        <v>4252.487250229914</v>
      </c>
      <c r="AY33" s="11">
        <f>GDP!AY33/Population!AY33</f>
        <v>4404.3308878408725</v>
      </c>
      <c r="AZ33" s="11">
        <f>GDP!AZ33/Population!AZ33</f>
        <v>4186.4898635012951</v>
      </c>
      <c r="BA33" s="11">
        <f>GDP!BA33/Population!BA33</f>
        <v>4270.8643445469879</v>
      </c>
      <c r="BB33" s="11">
        <f>GDP!BB33/Population!BB33</f>
        <v>4423.4897967217485</v>
      </c>
      <c r="BC33" s="11">
        <f>GDP!BC33/Population!BC33</f>
        <v>4505.6212071005921</v>
      </c>
      <c r="BD33" s="11">
        <f>GDP!BD33/Population!BD33</f>
        <v>4568.502772514933</v>
      </c>
      <c r="BE33" s="11">
        <f>GDP!BE33/Population!BE33</f>
        <v>4705.6026895626628</v>
      </c>
      <c r="BF33" s="11">
        <f>GDP!BF33/Population!BF33</f>
        <v>4775.9558255964403</v>
      </c>
      <c r="BG33" s="11">
        <f>GDP!BG33/Population!BG33</f>
        <v>4818.4039956568949</v>
      </c>
      <c r="BH33" s="11">
        <f>GDP!BH33/Population!BH33</f>
        <v>4887.5773786555037</v>
      </c>
      <c r="BI33" s="11">
        <f>GDP!BI33/Population!BI33</f>
        <v>4884.7341615522973</v>
      </c>
      <c r="BJ33" s="11">
        <f>GDP!BJ33/Population!BJ33</f>
        <v>4815.1636288180189</v>
      </c>
      <c r="BK33" s="11"/>
    </row>
    <row r="34" spans="1:63" x14ac:dyDescent="0.45">
      <c r="A34" t="str">
        <f>GDP!A34</f>
        <v>South</v>
      </c>
      <c r="B34" t="str">
        <f>GDP!B34</f>
        <v>Benin</v>
      </c>
      <c r="C34" s="11">
        <f>GDP!C34/Population!C34</f>
        <v>93.022510900131678</v>
      </c>
      <c r="D34" s="11">
        <f>GDP!D34/Population!D34</f>
        <v>95.572155351444337</v>
      </c>
      <c r="E34" s="11">
        <f>GDP!E34/Population!E34</f>
        <v>94.464537080246245</v>
      </c>
      <c r="F34" s="11">
        <f>GDP!F34/Population!F34</f>
        <v>99.85911448491639</v>
      </c>
      <c r="G34" s="11">
        <f>GDP!G34/Population!G34</f>
        <v>104.33976329919392</v>
      </c>
      <c r="H34" s="35">
        <f>GDP!H34/Population!H34</f>
        <v>110.13279966691435</v>
      </c>
      <c r="I34" s="35">
        <f>GDP!I34/Population!I34</f>
        <v>112.94083609510101</v>
      </c>
      <c r="J34" s="11">
        <f>GDP!J34/Population!J34</f>
        <v>111.95160762576194</v>
      </c>
      <c r="K34" s="11">
        <f>GDP!K34/Population!K34</f>
        <v>116.8950684018785</v>
      </c>
      <c r="L34" s="11">
        <f>GDP!L34/Population!L34</f>
        <v>116.02509874025708</v>
      </c>
      <c r="M34" s="11">
        <f>GDP!M34/Population!M34</f>
        <v>114.55659160674921</v>
      </c>
      <c r="N34" s="11">
        <f>GDP!N34/Population!N34</f>
        <v>112.57008397579497</v>
      </c>
      <c r="O34" s="11">
        <f>GDP!O34/Population!O34</f>
        <v>134.81940893694801</v>
      </c>
      <c r="P34" s="11">
        <f>GDP!P34/Population!P34</f>
        <v>161.98737247785976</v>
      </c>
      <c r="Q34" s="11">
        <f>GDP!Q34/Population!Q34</f>
        <v>174.01414815530595</v>
      </c>
      <c r="R34" s="11">
        <f>GDP!R34/Population!R34</f>
        <v>207.30044086592866</v>
      </c>
      <c r="S34" s="11">
        <f>GDP!S34/Population!S34</f>
        <v>208.65615730050405</v>
      </c>
      <c r="T34" s="11">
        <f>GDP!T34/Population!T34</f>
        <v>218.45436252107581</v>
      </c>
      <c r="U34" s="11">
        <f>GDP!U34/Population!U34</f>
        <v>263.58106413903988</v>
      </c>
      <c r="V34" s="11">
        <f>GDP!V34/Population!V34</f>
        <v>327.82168650992145</v>
      </c>
      <c r="W34" s="11">
        <f>GDP!W34/Population!W34</f>
        <v>378.04390819347543</v>
      </c>
      <c r="X34" s="11">
        <f>GDP!X34/Population!X34</f>
        <v>337.9782038717027</v>
      </c>
      <c r="Y34" s="11">
        <f>GDP!Y34/Population!Y34</f>
        <v>322.77768493327164</v>
      </c>
      <c r="Z34" s="11">
        <f>GDP!Z34/Population!Z34</f>
        <v>271.12925237422553</v>
      </c>
      <c r="AA34" s="11">
        <f>GDP!AA34/Population!AA34</f>
        <v>252.86979105898044</v>
      </c>
      <c r="AB34" s="11">
        <f>GDP!AB34/Population!AB34</f>
        <v>244.41099908589482</v>
      </c>
      <c r="AC34" s="11">
        <f>GDP!AC34/Population!AC34</f>
        <v>303.34889224807506</v>
      </c>
      <c r="AD34" s="11">
        <f>GDP!AD34/Population!AD34</f>
        <v>344.50307115596161</v>
      </c>
      <c r="AE34" s="11">
        <f>GDP!AE34/Population!AE34</f>
        <v>346.73602844686712</v>
      </c>
      <c r="AF34" s="11">
        <f>GDP!AF34/Population!AF34</f>
        <v>311.67830148281666</v>
      </c>
      <c r="AG34" s="11">
        <f>GDP!AG34/Population!AG34</f>
        <v>393.6862024193652</v>
      </c>
      <c r="AH34" s="11">
        <f>GDP!AH34/Population!AH34</f>
        <v>385.75362146880695</v>
      </c>
      <c r="AI34" s="11">
        <f>GDP!AI34/Population!AI34</f>
        <v>317.96285946798861</v>
      </c>
      <c r="AJ34" s="11">
        <f>GDP!AJ34/Population!AJ34</f>
        <v>411.92603739059427</v>
      </c>
      <c r="AK34" s="11">
        <f>GDP!AK34/Population!AK34</f>
        <v>279.66649936474272</v>
      </c>
      <c r="AL34" s="11">
        <f>GDP!AL34/Population!AL34</f>
        <v>367.3873215706289</v>
      </c>
      <c r="AM34" s="11">
        <f>GDP!AM34/Population!AM34</f>
        <v>387.43293844255714</v>
      </c>
      <c r="AN34" s="11">
        <f>GDP!AN34/Population!AN34</f>
        <v>361.10027462577841</v>
      </c>
      <c r="AO34" s="11">
        <f>GDP!AO34/Population!AO34</f>
        <v>379.44233814225538</v>
      </c>
      <c r="AP34" s="11">
        <f>GDP!AP34/Population!AP34</f>
        <v>551.61937414485806</v>
      </c>
      <c r="AQ34" s="11">
        <f>GDP!AQ34/Population!AQ34</f>
        <v>511.40022642165667</v>
      </c>
      <c r="AR34" s="11">
        <f>GDP!AR34/Population!AR34</f>
        <v>517.61423357359956</v>
      </c>
      <c r="AS34" s="11">
        <f>GDP!AS34/Population!AS34</f>
        <v>572.2287920296011</v>
      </c>
      <c r="AT34" s="11">
        <f>GDP!AT34/Population!AT34</f>
        <v>709.69053321197703</v>
      </c>
      <c r="AU34" s="11">
        <f>GDP!AU34/Population!AU34</f>
        <v>797.31267854829491</v>
      </c>
      <c r="AV34" s="11">
        <f>GDP!AV34/Population!AV34</f>
        <v>822.45786256338306</v>
      </c>
      <c r="AW34" s="11">
        <f>GDP!AW34/Population!AW34</f>
        <v>855.29404104736864</v>
      </c>
      <c r="AX34" s="11">
        <f>GDP!AX34/Population!AX34</f>
        <v>964.92695492367466</v>
      </c>
      <c r="AY34" s="11">
        <f>GDP!AY34/Population!AY34</f>
        <v>1120.8883290994595</v>
      </c>
      <c r="AZ34" s="11">
        <f>GDP!AZ34/Population!AZ34</f>
        <v>1084.3939312496282</v>
      </c>
      <c r="BA34" s="11">
        <f>GDP!BA34/Population!BA34</f>
        <v>1036.5339904007485</v>
      </c>
      <c r="BB34" s="11">
        <f>GDP!BB34/Population!BB34</f>
        <v>1130.2731079619864</v>
      </c>
      <c r="BC34" s="11">
        <f>GDP!BC34/Population!BC34</f>
        <v>1145.1407747032454</v>
      </c>
      <c r="BD34" s="11">
        <f>GDP!BD34/Population!BD34</f>
        <v>1251.2105462014028</v>
      </c>
      <c r="BE34" s="11">
        <f>GDP!BE34/Population!BE34</f>
        <v>1291.4098565915565</v>
      </c>
      <c r="BF34" s="11">
        <f>GDP!BF34/Population!BF34</f>
        <v>1076.7977222286938</v>
      </c>
      <c r="BG34" s="11">
        <f>GDP!BG34/Population!BG34</f>
        <v>1087.2878395616951</v>
      </c>
      <c r="BH34" s="11">
        <f>GDP!BH34/Population!BH34</f>
        <v>1136.5928611236091</v>
      </c>
      <c r="BI34" s="11">
        <f>GDP!BI34/Population!BI34</f>
        <v>1240.8294220450798</v>
      </c>
      <c r="BJ34" s="11">
        <f>GDP!BJ34/Population!BJ34</f>
        <v>1219.4326848287933</v>
      </c>
      <c r="BK34" s="11"/>
    </row>
    <row r="35" spans="1:63" x14ac:dyDescent="0.45">
      <c r="A35" t="str">
        <f>GDP!A35</f>
        <v>South</v>
      </c>
      <c r="B35" t="str">
        <f>GDP!B35</f>
        <v>Bolivia</v>
      </c>
      <c r="C35" s="11">
        <f>GDP!C35/Population!C35</f>
        <v>102.23788917282275</v>
      </c>
      <c r="D35" s="11">
        <f>GDP!D35/Population!D35</f>
        <v>109.06100890220448</v>
      </c>
      <c r="E35" s="11">
        <f>GDP!E35/Population!E35</f>
        <v>116.92515205141218</v>
      </c>
      <c r="F35" s="11">
        <f>GDP!F35/Population!F35</f>
        <v>123.42930795897702</v>
      </c>
      <c r="G35" s="11">
        <f>GDP!G35/Population!G35</f>
        <v>136.31242544703983</v>
      </c>
      <c r="H35" s="35">
        <f>GDP!H35/Population!H35</f>
        <v>149.64006980166741</v>
      </c>
      <c r="I35" s="35">
        <f>GDP!I35/Population!I35</f>
        <v>162.32605857052863</v>
      </c>
      <c r="J35" s="11">
        <f>GDP!J35/Population!J35</f>
        <v>179.58333309572893</v>
      </c>
      <c r="K35" s="11">
        <f>GDP!K35/Population!K35</f>
        <v>199.62979739230818</v>
      </c>
      <c r="L35" s="11">
        <f>GDP!L35/Population!L35</f>
        <v>211.79711321716761</v>
      </c>
      <c r="M35" s="11">
        <f>GDP!M35/Population!M35</f>
        <v>226.80697697861109</v>
      </c>
      <c r="N35" s="11">
        <f>GDP!N35/Population!N35</f>
        <v>239.12812861489303</v>
      </c>
      <c r="O35" s="11">
        <f>GDP!O35/Population!O35</f>
        <v>268.58412391962224</v>
      </c>
      <c r="P35" s="11">
        <f>GDP!P35/Population!P35</f>
        <v>263.89237269383563</v>
      </c>
      <c r="Q35" s="11">
        <f>GDP!Q35/Population!Q35</f>
        <v>429.29764345675943</v>
      </c>
      <c r="R35" s="11">
        <f>GDP!R35/Population!R35</f>
        <v>480.80306808927628</v>
      </c>
      <c r="S35" s="11">
        <f>GDP!S35/Population!S35</f>
        <v>534.27351834062915</v>
      </c>
      <c r="T35" s="11">
        <f>GDP!T35/Population!T35</f>
        <v>617.30694847914754</v>
      </c>
      <c r="U35" s="11">
        <f>GDP!U35/Population!U35</f>
        <v>703.13633139685976</v>
      </c>
      <c r="V35" s="11">
        <f>GDP!V35/Population!V35</f>
        <v>809.41131465748049</v>
      </c>
      <c r="W35" s="11">
        <f>GDP!W35/Population!W35</f>
        <v>811.28482822828585</v>
      </c>
      <c r="X35" s="11">
        <f>GDP!X35/Population!X35</f>
        <v>1030.8333817790678</v>
      </c>
      <c r="Y35" s="11">
        <f>GDP!Y35/Population!Y35</f>
        <v>960.98361965105266</v>
      </c>
      <c r="Z35" s="11">
        <f>GDP!Z35/Population!Z35</f>
        <v>913.97515848307967</v>
      </c>
      <c r="AA35" s="11">
        <f>GDP!AA35/Population!AA35</f>
        <v>1019.0577865695824</v>
      </c>
      <c r="AB35" s="11">
        <f>GDP!AB35/Population!AB35</f>
        <v>870.18565376262654</v>
      </c>
      <c r="AC35" s="11">
        <f>GDP!AC35/Population!AC35</f>
        <v>627.39851865471155</v>
      </c>
      <c r="AD35" s="11">
        <f>GDP!AD35/Population!AD35</f>
        <v>671.07509478364398</v>
      </c>
      <c r="AE35" s="11">
        <f>GDP!AE35/Population!AE35</f>
        <v>698.6926480081795</v>
      </c>
      <c r="AF35" s="11">
        <f>GDP!AF35/Population!AF35</f>
        <v>701.66613009894934</v>
      </c>
      <c r="AG35" s="11">
        <f>GDP!AG35/Population!AG35</f>
        <v>709.05964973410892</v>
      </c>
      <c r="AH35" s="11">
        <f>GDP!AH35/Population!AH35</f>
        <v>762.07805942648406</v>
      </c>
      <c r="AI35" s="11">
        <f>GDP!AI35/Population!AI35</f>
        <v>788.1519760030834</v>
      </c>
      <c r="AJ35" s="11">
        <f>GDP!AJ35/Population!AJ35</f>
        <v>784.1917282591603</v>
      </c>
      <c r="AK35" s="11">
        <f>GDP!AK35/Population!AK35</f>
        <v>801.04603515860151</v>
      </c>
      <c r="AL35" s="11">
        <f>GDP!AL35/Population!AL35</f>
        <v>880.99222049717559</v>
      </c>
      <c r="AM35" s="11">
        <f>GDP!AM35/Population!AM35</f>
        <v>950.85654111113558</v>
      </c>
      <c r="AN35" s="11">
        <f>GDP!AN35/Population!AN35</f>
        <v>998.51532719921158</v>
      </c>
      <c r="AO35" s="11">
        <f>GDP!AO35/Population!AO35</f>
        <v>1049.4993896942246</v>
      </c>
      <c r="AP35" s="11">
        <f>GDP!AP35/Population!AP35</f>
        <v>1003.3922422322893</v>
      </c>
      <c r="AQ35" s="11">
        <f>GDP!AQ35/Population!AQ35</f>
        <v>997.58246783422328</v>
      </c>
      <c r="AR35" s="11">
        <f>GDP!AR35/Population!AR35</f>
        <v>948.87118965855825</v>
      </c>
      <c r="AS35" s="11">
        <f>GDP!AS35/Population!AS35</f>
        <v>904.22663824256131</v>
      </c>
      <c r="AT35" s="11">
        <f>GDP!AT35/Population!AT35</f>
        <v>907.53711678303057</v>
      </c>
      <c r="AU35" s="11">
        <f>GDP!AU35/Population!AU35</f>
        <v>967.4069960444541</v>
      </c>
      <c r="AV35" s="11">
        <f>GDP!AV35/Population!AV35</f>
        <v>1034.3112006902718</v>
      </c>
      <c r="AW35" s="11">
        <f>GDP!AW35/Population!AW35</f>
        <v>1218.8744615210389</v>
      </c>
      <c r="AX35" s="11">
        <f>GDP!AX35/Population!AX35</f>
        <v>1372.6282394018522</v>
      </c>
      <c r="AY35" s="11">
        <f>GDP!AY35/Population!AY35</f>
        <v>1715.2089059928689</v>
      </c>
      <c r="AZ35" s="11">
        <f>GDP!AZ35/Population!AZ35</f>
        <v>1754.2110507051193</v>
      </c>
      <c r="BA35" s="11">
        <f>GDP!BA35/Population!BA35</f>
        <v>1955.4616375033711</v>
      </c>
      <c r="BB35" s="11">
        <f>GDP!BB35/Population!BB35</f>
        <v>2346.3371714001651</v>
      </c>
      <c r="BC35" s="11">
        <f>GDP!BC35/Population!BC35</f>
        <v>2609.8807571174893</v>
      </c>
      <c r="BD35" s="11">
        <f>GDP!BD35/Population!BD35</f>
        <v>2908.2000338443631</v>
      </c>
      <c r="BE35" s="11">
        <f>GDP!BE35/Population!BE35</f>
        <v>3081.8788369737795</v>
      </c>
      <c r="BF35" s="11">
        <f>GDP!BF35/Population!BF35</f>
        <v>3035.9722039093886</v>
      </c>
      <c r="BG35" s="11">
        <f>GDP!BG35/Population!BG35</f>
        <v>3076.6590376395975</v>
      </c>
      <c r="BH35" s="11">
        <f>GDP!BH35/Population!BH35</f>
        <v>3351.1239196008455</v>
      </c>
      <c r="BI35" s="11">
        <f>GDP!BI35/Population!BI35</f>
        <v>3548.5903190500039</v>
      </c>
      <c r="BJ35" s="11">
        <f>GDP!BJ35/Population!BJ35</f>
        <v>3552.0688745863408</v>
      </c>
      <c r="BK35" s="11"/>
    </row>
    <row r="36" spans="1:63" x14ac:dyDescent="0.45">
      <c r="A36" t="str">
        <f>GDP!A36</f>
        <v>South</v>
      </c>
      <c r="B36" t="str">
        <f>GDP!B36</f>
        <v>Botswana</v>
      </c>
      <c r="C36" s="11">
        <f>GDP!C36/Population!C36</f>
        <v>60.492512108524203</v>
      </c>
      <c r="D36" s="11">
        <f>GDP!D36/Population!D36</f>
        <v>64.176513843783226</v>
      </c>
      <c r="E36" s="11">
        <f>GDP!E36/Population!E36</f>
        <v>68.050219749588564</v>
      </c>
      <c r="F36" s="11">
        <f>GDP!F36/Population!F36</f>
        <v>71.107370936277846</v>
      </c>
      <c r="G36" s="11">
        <f>GDP!G36/Population!G36</f>
        <v>75.955500636096318</v>
      </c>
      <c r="H36" s="35">
        <f>GDP!H36/Population!H36</f>
        <v>81.770283253034847</v>
      </c>
      <c r="I36" s="35">
        <f>GDP!I36/Population!I36</f>
        <v>89.978453189361574</v>
      </c>
      <c r="J36" s="11">
        <f>GDP!J36/Population!J36</f>
        <v>100.40617573943831</v>
      </c>
      <c r="K36" s="11">
        <f>GDP!K36/Population!K36</f>
        <v>110.97845537376016</v>
      </c>
      <c r="L36" s="11">
        <f>GDP!L36/Population!L36</f>
        <v>126.54492393260266</v>
      </c>
      <c r="M36" s="11">
        <f>GDP!M36/Population!M36</f>
        <v>153.3261304891551</v>
      </c>
      <c r="N36" s="11">
        <f>GDP!N36/Population!N36</f>
        <v>196.42312256419538</v>
      </c>
      <c r="O36" s="11">
        <f>GDP!O36/Population!O36</f>
        <v>247.72909283876888</v>
      </c>
      <c r="P36" s="11">
        <f>GDP!P36/Population!P36</f>
        <v>353.85540184835168</v>
      </c>
      <c r="Q36" s="11">
        <f>GDP!Q36/Population!Q36</f>
        <v>428.19185350183011</v>
      </c>
      <c r="R36" s="11">
        <f>GDP!R36/Population!R36</f>
        <v>479.08547996573839</v>
      </c>
      <c r="S36" s="11">
        <f>GDP!S36/Population!S36</f>
        <v>483.14319221693057</v>
      </c>
      <c r="T36" s="11">
        <f>GDP!T36/Population!T36</f>
        <v>564.13112829141733</v>
      </c>
      <c r="U36" s="11">
        <f>GDP!U36/Population!U36</f>
        <v>709.18931801500844</v>
      </c>
      <c r="V36" s="11">
        <f>GDP!V36/Population!V36</f>
        <v>947.75286767043315</v>
      </c>
      <c r="W36" s="11">
        <f>GDP!W36/Population!W36</f>
        <v>1181.6033537223734</v>
      </c>
      <c r="X36" s="11">
        <f>GDP!X36/Population!X36</f>
        <v>1154.1835753776838</v>
      </c>
      <c r="Y36" s="11">
        <f>GDP!Y36/Population!Y36</f>
        <v>1054.0384411268337</v>
      </c>
      <c r="Z36" s="11">
        <f>GDP!Z36/Population!Z36</f>
        <v>1176.8124401433547</v>
      </c>
      <c r="AA36" s="11">
        <f>GDP!AA36/Population!AA36</f>
        <v>1202.9760519041843</v>
      </c>
      <c r="AB36" s="11">
        <f>GDP!AB36/Population!AB36</f>
        <v>1042.2427004194162</v>
      </c>
      <c r="AC36" s="11">
        <f>GDP!AC36/Population!AC36</f>
        <v>1253.5609405703083</v>
      </c>
      <c r="AD36" s="11">
        <f>GDP!AD36/Population!AD36</f>
        <v>1701.6751839543651</v>
      </c>
      <c r="AE36" s="11">
        <f>GDP!AE36/Population!AE36</f>
        <v>2203.6576557808858</v>
      </c>
      <c r="AF36" s="11">
        <f>GDP!AF36/Population!AF36</f>
        <v>2477.9752700717727</v>
      </c>
      <c r="AG36" s="11">
        <f>GDP!AG36/Population!AG36</f>
        <v>2945.8321297899524</v>
      </c>
      <c r="AH36" s="11">
        <f>GDP!AH36/Population!AH36</f>
        <v>2972.7268038982993</v>
      </c>
      <c r="AI36" s="11">
        <f>GDP!AI36/Population!AI36</f>
        <v>3040.9603609391343</v>
      </c>
      <c r="AJ36" s="11">
        <f>GDP!AJ36/Population!AJ36</f>
        <v>2973.3804146921971</v>
      </c>
      <c r="AK36" s="11">
        <f>GDP!AK36/Population!AK36</f>
        <v>2970.122618385994</v>
      </c>
      <c r="AL36" s="11">
        <f>GDP!AL36/Population!AL36</f>
        <v>3219.9121411078604</v>
      </c>
      <c r="AM36" s="11">
        <f>GDP!AM36/Population!AM36</f>
        <v>3221.6761173100822</v>
      </c>
      <c r="AN36" s="11">
        <f>GDP!AN36/Population!AN36</f>
        <v>3258.9803359462485</v>
      </c>
      <c r="AO36" s="11">
        <f>GDP!AO36/Population!AO36</f>
        <v>3039.9707581557332</v>
      </c>
      <c r="AP36" s="11">
        <f>GDP!AP36/Population!AP36</f>
        <v>3405.8125127308317</v>
      </c>
      <c r="AQ36" s="11">
        <f>GDP!AQ36/Population!AQ36</f>
        <v>3522.308594600976</v>
      </c>
      <c r="AR36" s="11">
        <f>GDP!AR36/Population!AR36</f>
        <v>3278.008185454159</v>
      </c>
      <c r="AS36" s="11">
        <f>GDP!AS36/Population!AS36</f>
        <v>3190.6155169237882</v>
      </c>
      <c r="AT36" s="11">
        <f>GDP!AT36/Population!AT36</f>
        <v>4330.9449203700651</v>
      </c>
      <c r="AU36" s="11">
        <f>GDP!AU36/Population!AU36</f>
        <v>5073.5376168135635</v>
      </c>
      <c r="AV36" s="11">
        <f>GDP!AV36/Population!AV36</f>
        <v>5520.1247394498741</v>
      </c>
      <c r="AW36" s="11">
        <f>GDP!AW36/Population!AW36</f>
        <v>5516.039017205655</v>
      </c>
      <c r="AX36" s="11">
        <f>GDP!AX36/Population!AX36</f>
        <v>5832.7337766381461</v>
      </c>
      <c r="AY36" s="11">
        <f>GDP!AY36/Population!AY36</f>
        <v>5713.5347943949773</v>
      </c>
      <c r="AZ36" s="11">
        <f>GDP!AZ36/Population!AZ36</f>
        <v>5255.7683335227375</v>
      </c>
      <c r="BA36" s="11">
        <f>GDP!BA36/Population!BA36</f>
        <v>6434.8155774355155</v>
      </c>
      <c r="BB36" s="11">
        <f>GDP!BB36/Population!BB36</f>
        <v>7617.3249009378778</v>
      </c>
      <c r="BC36" s="11">
        <f>GDP!BC36/Population!BC36</f>
        <v>7070.3767564527679</v>
      </c>
      <c r="BD36" s="11">
        <f>GDP!BD36/Population!BD36</f>
        <v>7224.9651807289665</v>
      </c>
      <c r="BE36" s="11">
        <f>GDP!BE36/Population!BE36</f>
        <v>7780.6382376063748</v>
      </c>
      <c r="BF36" s="11">
        <f>GDP!BF36/Population!BF36</f>
        <v>6799.8750912427686</v>
      </c>
      <c r="BG36" s="11">
        <f>GDP!BG36/Population!BG36</f>
        <v>7243.8528702595995</v>
      </c>
      <c r="BH36" s="11">
        <f>GDP!BH36/Population!BH36</f>
        <v>7893.2099651358103</v>
      </c>
      <c r="BI36" s="11">
        <f>GDP!BI36/Population!BI36</f>
        <v>8279.6011651522585</v>
      </c>
      <c r="BJ36" s="11">
        <f>GDP!BJ36/Population!BJ36</f>
        <v>7961.3385545060828</v>
      </c>
      <c r="BK36" s="11"/>
    </row>
    <row r="37" spans="1:63" x14ac:dyDescent="0.45">
      <c r="A37" t="str">
        <f>GDP!A37</f>
        <v>South</v>
      </c>
      <c r="B37" t="str">
        <f>GDP!B37</f>
        <v>Brazil</v>
      </c>
      <c r="C37" s="11">
        <f>GDP!C37/Population!C37</f>
        <v>210.10990708351201</v>
      </c>
      <c r="D37" s="11">
        <f>GDP!D37/Population!D37</f>
        <v>205.04076448947015</v>
      </c>
      <c r="E37" s="11">
        <f>GDP!E37/Population!E37</f>
        <v>260.42566207991791</v>
      </c>
      <c r="F37" s="11">
        <f>GDP!F37/Population!F37</f>
        <v>292.25214759801929</v>
      </c>
      <c r="G37" s="11">
        <f>GDP!G37/Population!G37</f>
        <v>261.6666224878914</v>
      </c>
      <c r="H37" s="35">
        <f>GDP!H37/Population!H37</f>
        <v>261.35437099411217</v>
      </c>
      <c r="I37" s="35">
        <f>GDP!I37/Population!I37</f>
        <v>315.79720470277294</v>
      </c>
      <c r="J37" s="11">
        <f>GDP!J37/Population!J37</f>
        <v>347.49304887456259</v>
      </c>
      <c r="K37" s="11">
        <f>GDP!K37/Population!K37</f>
        <v>374.78677244579643</v>
      </c>
      <c r="L37" s="11">
        <f>GDP!L37/Population!L37</f>
        <v>403.88426618174401</v>
      </c>
      <c r="M37" s="11">
        <f>GDP!M37/Population!M37</f>
        <v>445.0231163552541</v>
      </c>
      <c r="N37" s="11">
        <f>GDP!N37/Population!N37</f>
        <v>504.74952403969843</v>
      </c>
      <c r="O37" s="11">
        <f>GDP!O37/Population!O37</f>
        <v>586.21439122836966</v>
      </c>
      <c r="P37" s="11">
        <f>GDP!P37/Population!P37</f>
        <v>775.2732797353118</v>
      </c>
      <c r="Q37" s="11">
        <f>GDP!Q37/Population!Q37</f>
        <v>1004.1048679065805</v>
      </c>
      <c r="R37" s="11">
        <f>GDP!R37/Population!R37</f>
        <v>1153.8309064614559</v>
      </c>
      <c r="S37" s="11">
        <f>GDP!S37/Population!S37</f>
        <v>1390.6250254392585</v>
      </c>
      <c r="T37" s="11">
        <f>GDP!T37/Population!T37</f>
        <v>1567.0062020152884</v>
      </c>
      <c r="U37" s="11">
        <f>GDP!U37/Population!U37</f>
        <v>1744.2571715752115</v>
      </c>
      <c r="V37" s="11">
        <f>GDP!V37/Population!V37</f>
        <v>1908.4876887037701</v>
      </c>
      <c r="W37" s="11">
        <f>GDP!W37/Population!W37</f>
        <v>1947.2764297627766</v>
      </c>
      <c r="X37" s="11">
        <f>GDP!X37/Population!X37</f>
        <v>2132.8832673164061</v>
      </c>
      <c r="Y37" s="11">
        <f>GDP!Y37/Population!Y37</f>
        <v>2226.7673675835294</v>
      </c>
      <c r="Z37" s="11">
        <f>GDP!Z37/Population!Z37</f>
        <v>1570.5398003176792</v>
      </c>
      <c r="AA37" s="11">
        <f>GDP!AA37/Population!AA37</f>
        <v>1578.9263958197591</v>
      </c>
      <c r="AB37" s="11">
        <f>GDP!AB37/Population!AB37</f>
        <v>1648.0820984478328</v>
      </c>
      <c r="AC37" s="11">
        <f>GDP!AC37/Population!AC37</f>
        <v>1941.4910606782566</v>
      </c>
      <c r="AD37" s="11">
        <f>GDP!AD37/Population!AD37</f>
        <v>2087.3076640481049</v>
      </c>
      <c r="AE37" s="11">
        <f>GDP!AE37/Population!AE37</f>
        <v>2300.37684637338</v>
      </c>
      <c r="AF37" s="11">
        <f>GDP!AF37/Population!AF37</f>
        <v>2908.4961306187215</v>
      </c>
      <c r="AG37" s="11">
        <f>GDP!AG37/Population!AG37</f>
        <v>3100.2807026661758</v>
      </c>
      <c r="AH37" s="11">
        <f>GDP!AH37/Population!AH37</f>
        <v>3975.3901422884423</v>
      </c>
      <c r="AI37" s="11">
        <f>GDP!AI37/Population!AI37</f>
        <v>2596.9199628552888</v>
      </c>
      <c r="AJ37" s="11">
        <f>GDP!AJ37/Population!AJ37</f>
        <v>2791.2091691304363</v>
      </c>
      <c r="AK37" s="11">
        <f>GDP!AK37/Population!AK37</f>
        <v>3500.6113021718502</v>
      </c>
      <c r="AL37" s="11">
        <f>GDP!AL37/Population!AL37</f>
        <v>4748.2154512571497</v>
      </c>
      <c r="AM37" s="11">
        <f>GDP!AM37/Population!AM37</f>
        <v>5166.1639221890091</v>
      </c>
      <c r="AN37" s="11">
        <f>GDP!AN37/Population!AN37</f>
        <v>5282.0089126281691</v>
      </c>
      <c r="AO37" s="11">
        <f>GDP!AO37/Population!AO37</f>
        <v>5087.1521472112818</v>
      </c>
      <c r="AP37" s="11">
        <f>GDP!AP37/Population!AP37</f>
        <v>3478.3728253430363</v>
      </c>
      <c r="AQ37" s="11">
        <f>GDP!AQ37/Population!AQ37</f>
        <v>3749.7531945930923</v>
      </c>
      <c r="AR37" s="11">
        <f>GDP!AR37/Population!AR37</f>
        <v>3156.7989845010538</v>
      </c>
      <c r="AS37" s="11">
        <f>GDP!AS37/Population!AS37</f>
        <v>2829.2832098828144</v>
      </c>
      <c r="AT37" s="11">
        <f>GDP!AT37/Population!AT37</f>
        <v>3070.9104923859541</v>
      </c>
      <c r="AU37" s="11">
        <f>GDP!AU37/Population!AU37</f>
        <v>3637.4625373628146</v>
      </c>
      <c r="AV37" s="11">
        <f>GDP!AV37/Population!AV37</f>
        <v>4790.4371337126695</v>
      </c>
      <c r="AW37" s="11">
        <f>GDP!AW37/Population!AW37</f>
        <v>5886.4636247221624</v>
      </c>
      <c r="AX37" s="11">
        <f>GDP!AX37/Population!AX37</f>
        <v>7348.0308076484416</v>
      </c>
      <c r="AY37" s="11">
        <f>GDP!AY37/Population!AY37</f>
        <v>8831.0230665183117</v>
      </c>
      <c r="AZ37" s="11">
        <f>GDP!AZ37/Population!AZ37</f>
        <v>8597.9154307752979</v>
      </c>
      <c r="BA37" s="11">
        <f>GDP!BA37/Population!BA37</f>
        <v>11286.243686326357</v>
      </c>
      <c r="BB37" s="11">
        <f>GDP!BB37/Population!BB37</f>
        <v>13245.613265268265</v>
      </c>
      <c r="BC37" s="11">
        <f>GDP!BC37/Population!BC37</f>
        <v>12370.023548876894</v>
      </c>
      <c r="BD37" s="11">
        <f>GDP!BD37/Population!BD37</f>
        <v>12300.325087403293</v>
      </c>
      <c r="BE37" s="11">
        <f>GDP!BE37/Population!BE37</f>
        <v>12112.588409145841</v>
      </c>
      <c r="BF37" s="11">
        <f>GDP!BF37/Population!BF37</f>
        <v>8814.0003727849453</v>
      </c>
      <c r="BG37" s="11">
        <f>GDP!BG37/Population!BG37</f>
        <v>8710.0967428422282</v>
      </c>
      <c r="BH37" s="11">
        <f>GDP!BH37/Population!BH37</f>
        <v>9925.3866345835995</v>
      </c>
      <c r="BI37" s="11">
        <f>GDP!BI37/Population!BI37</f>
        <v>9001.2343787153404</v>
      </c>
      <c r="BJ37" s="11">
        <f>GDP!BJ37/Population!BJ37</f>
        <v>8717.1866075791131</v>
      </c>
      <c r="BK37" s="11"/>
    </row>
    <row r="38" spans="1:63" x14ac:dyDescent="0.45">
      <c r="A38" t="str">
        <f>GDP!A38</f>
        <v>South</v>
      </c>
      <c r="B38" t="str">
        <f>GDP!B38</f>
        <v>Burkina Faso</v>
      </c>
      <c r="C38" s="11">
        <f>GDP!C38/Population!C38</f>
        <v>68.424748327289649</v>
      </c>
      <c r="D38" s="11">
        <f>GDP!D38/Population!D38</f>
        <v>71.558179047027522</v>
      </c>
      <c r="E38" s="11">
        <f>GDP!E38/Population!E38</f>
        <v>76.520609330918973</v>
      </c>
      <c r="F38" s="11">
        <f>GDP!F38/Population!F38</f>
        <v>78.372069331823866</v>
      </c>
      <c r="G38" s="11">
        <f>GDP!G38/Population!G38</f>
        <v>80.472767994602748</v>
      </c>
      <c r="H38" s="35">
        <f>GDP!H38/Population!H38</f>
        <v>81.725118505392402</v>
      </c>
      <c r="I38" s="35">
        <f>GDP!I38/Population!I38</f>
        <v>82.545635451737255</v>
      </c>
      <c r="J38" s="11">
        <f>GDP!J38/Population!J38</f>
        <v>84.363163222889526</v>
      </c>
      <c r="K38" s="11">
        <f>GDP!K38/Population!K38</f>
        <v>84.73305225337829</v>
      </c>
      <c r="L38" s="11">
        <f>GDP!L38/Population!L38</f>
        <v>86.520211556293276</v>
      </c>
      <c r="M38" s="11">
        <f>GDP!M38/Population!M38</f>
        <v>81.499896881556026</v>
      </c>
      <c r="N38" s="11">
        <f>GDP!N38/Population!N38</f>
        <v>84.287812396204274</v>
      </c>
      <c r="O38" s="11">
        <f>GDP!O38/Population!O38</f>
        <v>99.326764029154162</v>
      </c>
      <c r="P38" s="11">
        <f>GDP!P38/Population!P38</f>
        <v>113.78058481914542</v>
      </c>
      <c r="Q38" s="11">
        <f>GDP!Q38/Population!Q38</f>
        <v>124.35902868871254</v>
      </c>
      <c r="R38" s="11">
        <f>GDP!R38/Population!R38</f>
        <v>152.72821500208383</v>
      </c>
      <c r="S38" s="11">
        <f>GDP!S38/Population!S38</f>
        <v>155.64899983854096</v>
      </c>
      <c r="T38" s="11">
        <f>GDP!T38/Population!T38</f>
        <v>176.78335785564317</v>
      </c>
      <c r="U38" s="11">
        <f>GDP!U38/Population!U38</f>
        <v>225.94164682867492</v>
      </c>
      <c r="V38" s="11">
        <f>GDP!V38/Population!V38</f>
        <v>262.07601590969318</v>
      </c>
      <c r="W38" s="11">
        <f>GDP!W38/Population!W38</f>
        <v>282.68573437788325</v>
      </c>
      <c r="X38" s="11">
        <f>GDP!X38/Population!X38</f>
        <v>254.23078182890586</v>
      </c>
      <c r="Y38" s="11">
        <f>GDP!Y38/Population!Y38</f>
        <v>245.09470981405386</v>
      </c>
      <c r="Z38" s="11">
        <f>GDP!Z38/Population!Z38</f>
        <v>217.99475459769607</v>
      </c>
      <c r="AA38" s="11">
        <f>GDP!AA38/Population!AA38</f>
        <v>193.84323594966142</v>
      </c>
      <c r="AB38" s="11">
        <f>GDP!AB38/Population!AB38</f>
        <v>200.89442587753709</v>
      </c>
      <c r="AC38" s="11">
        <f>GDP!AC38/Population!AC38</f>
        <v>256.7623161352588</v>
      </c>
      <c r="AD38" s="11">
        <f>GDP!AD38/Population!AD38</f>
        <v>291.13197387787557</v>
      </c>
      <c r="AE38" s="11">
        <f>GDP!AE38/Population!AE38</f>
        <v>313.06189805183033</v>
      </c>
      <c r="AF38" s="11">
        <f>GDP!AF38/Population!AF38</f>
        <v>304.8534460442832</v>
      </c>
      <c r="AG38" s="11">
        <f>GDP!AG38/Population!AG38</f>
        <v>351.97932047475928</v>
      </c>
      <c r="AH38" s="11">
        <f>GDP!AH38/Population!AH38</f>
        <v>346.41066668552469</v>
      </c>
      <c r="AI38" s="11">
        <f>GDP!AI38/Population!AI38</f>
        <v>240.96348016852113</v>
      </c>
      <c r="AJ38" s="11">
        <f>GDP!AJ38/Population!AJ38</f>
        <v>244.12706401984155</v>
      </c>
      <c r="AK38" s="11">
        <f>GDP!AK38/Population!AK38</f>
        <v>193.07024069870306</v>
      </c>
      <c r="AL38" s="11">
        <f>GDP!AL38/Population!AL38</f>
        <v>235.83220808021662</v>
      </c>
      <c r="AM38" s="11">
        <f>GDP!AM38/Population!AM38</f>
        <v>249.36029797319804</v>
      </c>
      <c r="AN38" s="11">
        <f>GDP!AN38/Population!AN38</f>
        <v>229.49312712166821</v>
      </c>
      <c r="AO38" s="11">
        <f>GDP!AO38/Population!AO38</f>
        <v>255.71822720673799</v>
      </c>
      <c r="AP38" s="11">
        <f>GDP!AP38/Population!AP38</f>
        <v>298.22816362854957</v>
      </c>
      <c r="AQ38" s="11">
        <f>GDP!AQ38/Population!AQ38</f>
        <v>254.71752357136174</v>
      </c>
      <c r="AR38" s="11">
        <f>GDP!AR38/Population!AR38</f>
        <v>266.86416265376107</v>
      </c>
      <c r="AS38" s="11">
        <f>GDP!AS38/Population!AS38</f>
        <v>293.28075619656556</v>
      </c>
      <c r="AT38" s="11">
        <f>GDP!AT38/Population!AT38</f>
        <v>373.78762050637471</v>
      </c>
      <c r="AU38" s="11">
        <f>GDP!AU38/Population!AU38</f>
        <v>417.62707860263049</v>
      </c>
      <c r="AV38" s="11">
        <f>GDP!AV38/Population!AV38</f>
        <v>457.75155853144815</v>
      </c>
      <c r="AW38" s="11">
        <f>GDP!AW38/Population!AW38</f>
        <v>473.02918409600107</v>
      </c>
      <c r="AX38" s="11">
        <f>GDP!AX38/Population!AX38</f>
        <v>534.35588735099395</v>
      </c>
      <c r="AY38" s="11">
        <f>GDP!AY38/Population!AY38</f>
        <v>640.81091130024561</v>
      </c>
      <c r="AZ38" s="11">
        <f>GDP!AZ38/Population!AZ38</f>
        <v>621.67313255617262</v>
      </c>
      <c r="BA38" s="11">
        <f>GDP!BA38/Population!BA38</f>
        <v>647.83586155834939</v>
      </c>
      <c r="BB38" s="11">
        <f>GDP!BB38/Population!BB38</f>
        <v>751.17297689310681</v>
      </c>
      <c r="BC38" s="11">
        <f>GDP!BC38/Population!BC38</f>
        <v>758.00068431788418</v>
      </c>
      <c r="BD38" s="11">
        <f>GDP!BD38/Population!BD38</f>
        <v>787.47011030895032</v>
      </c>
      <c r="BE38" s="11">
        <f>GDP!BE38/Population!BE38</f>
        <v>792.84679645463757</v>
      </c>
      <c r="BF38" s="11">
        <f>GDP!BF38/Population!BF38</f>
        <v>653.32697713783909</v>
      </c>
      <c r="BG38" s="11">
        <f>GDP!BG38/Population!BG38</f>
        <v>687.67015749653899</v>
      </c>
      <c r="BH38" s="11">
        <f>GDP!BH38/Population!BH38</f>
        <v>738.27413547363756</v>
      </c>
      <c r="BI38" s="11">
        <f>GDP!BI38/Population!BI38</f>
        <v>820.16073281591878</v>
      </c>
      <c r="BJ38" s="11">
        <f>GDP!BJ38/Population!BJ38</f>
        <v>774.83969994554502</v>
      </c>
      <c r="BK38" s="11"/>
    </row>
    <row r="39" spans="1:63" x14ac:dyDescent="0.45">
      <c r="A39" t="str">
        <f>GDP!A39</f>
        <v>South</v>
      </c>
      <c r="B39" t="str">
        <f>GDP!B39</f>
        <v>Burundi</v>
      </c>
      <c r="C39" s="11">
        <f>GDP!C39/Population!C39</f>
        <v>70.051732493856179</v>
      </c>
      <c r="D39" s="11">
        <f>GDP!D39/Population!D39</f>
        <v>71.167191013441837</v>
      </c>
      <c r="E39" s="11">
        <f>GDP!E39/Population!E39</f>
        <v>73.435303497618591</v>
      </c>
      <c r="F39" s="11">
        <f>GDP!F39/Population!F39</f>
        <v>78.51433008807436</v>
      </c>
      <c r="G39" s="11">
        <f>GDP!G39/Population!G39</f>
        <v>86.161609098929716</v>
      </c>
      <c r="H39" s="35">
        <f>GDP!H39/Population!H39</f>
        <v>51.381863695429679</v>
      </c>
      <c r="I39" s="35">
        <f>GDP!I39/Population!I39</f>
        <v>52.182651892925065</v>
      </c>
      <c r="J39" s="11">
        <f>GDP!J39/Population!J39</f>
        <v>54.806390472449124</v>
      </c>
      <c r="K39" s="11">
        <f>GDP!K39/Population!K39</f>
        <v>54.90081143519172</v>
      </c>
      <c r="L39" s="11">
        <f>GDP!L39/Population!L39</f>
        <v>55.715014833457531</v>
      </c>
      <c r="M39" s="11">
        <f>GDP!M39/Population!M39</f>
        <v>69.769305280658017</v>
      </c>
      <c r="N39" s="11">
        <f>GDP!N39/Population!N39</f>
        <v>71.62677135419662</v>
      </c>
      <c r="O39" s="11">
        <f>GDP!O39/Population!O39</f>
        <v>69.139402958147912</v>
      </c>
      <c r="P39" s="11">
        <f>GDP!P39/Population!P39</f>
        <v>84.418641678543281</v>
      </c>
      <c r="Q39" s="11">
        <f>GDP!Q39/Population!Q39</f>
        <v>94.685320522999064</v>
      </c>
      <c r="R39" s="11">
        <f>GDP!R39/Population!R39</f>
        <v>113.75312250059446</v>
      </c>
      <c r="S39" s="11">
        <f>GDP!S39/Population!S39</f>
        <v>118.91490533619421</v>
      </c>
      <c r="T39" s="11">
        <f>GDP!T39/Population!T39</f>
        <v>142.05301982516289</v>
      </c>
      <c r="U39" s="11">
        <f>GDP!U39/Population!U39</f>
        <v>154.51619009709651</v>
      </c>
      <c r="V39" s="11">
        <f>GDP!V39/Population!V39</f>
        <v>193.15019571814415</v>
      </c>
      <c r="W39" s="11">
        <f>GDP!W39/Population!W39</f>
        <v>221.23183279139479</v>
      </c>
      <c r="X39" s="11">
        <f>GDP!X39/Population!X39</f>
        <v>227.12811752904005</v>
      </c>
      <c r="Y39" s="11">
        <f>GDP!Y39/Population!Y39</f>
        <v>231.34384906446161</v>
      </c>
      <c r="Z39" s="11">
        <f>GDP!Z39/Population!Z39</f>
        <v>240.78229909597107</v>
      </c>
      <c r="AA39" s="11">
        <f>GDP!AA39/Population!AA39</f>
        <v>213.61651882678225</v>
      </c>
      <c r="AB39" s="11">
        <f>GDP!AB39/Population!AB39</f>
        <v>242.05824447355278</v>
      </c>
      <c r="AC39" s="11">
        <f>GDP!AC39/Population!AC39</f>
        <v>245.91541646450406</v>
      </c>
      <c r="AD39" s="11">
        <f>GDP!AD39/Population!AD39</f>
        <v>225.07170004085825</v>
      </c>
      <c r="AE39" s="11">
        <f>GDP!AE39/Population!AE39</f>
        <v>209.41505965332081</v>
      </c>
      <c r="AF39" s="11">
        <f>GDP!AF39/Population!AF39</f>
        <v>209.89440612134496</v>
      </c>
      <c r="AG39" s="11">
        <f>GDP!AG39/Population!AG39</f>
        <v>208.146754607547</v>
      </c>
      <c r="AH39" s="11">
        <f>GDP!AH39/Population!AH39</f>
        <v>209.77790684009096</v>
      </c>
      <c r="AI39" s="11">
        <f>GDP!AI39/Population!AI39</f>
        <v>190.48901841769464</v>
      </c>
      <c r="AJ39" s="11">
        <f>GDP!AJ39/Population!AJ39</f>
        <v>161.88755777154847</v>
      </c>
      <c r="AK39" s="11">
        <f>GDP!AK39/Population!AK39</f>
        <v>156.81230154364314</v>
      </c>
      <c r="AL39" s="11">
        <f>GDP!AL39/Population!AL39</f>
        <v>167.09891944988536</v>
      </c>
      <c r="AM39" s="11">
        <f>GDP!AM39/Population!AM39</f>
        <v>143.40230005688014</v>
      </c>
      <c r="AN39" s="11">
        <f>GDP!AN39/Population!AN39</f>
        <v>158.91466793419937</v>
      </c>
      <c r="AO39" s="11">
        <f>GDP!AO39/Population!AO39</f>
        <v>144.49306562604983</v>
      </c>
      <c r="AP39" s="11">
        <f>GDP!AP39/Population!AP39</f>
        <v>128.939087211295</v>
      </c>
      <c r="AQ39" s="11">
        <f>GDP!AQ39/Population!AQ39</f>
        <v>136.4639730134063</v>
      </c>
      <c r="AR39" s="11">
        <f>GDP!AR39/Population!AR39</f>
        <v>134.36345194156198</v>
      </c>
      <c r="AS39" s="11">
        <f>GDP!AS39/Population!AS39</f>
        <v>123.11762883471684</v>
      </c>
      <c r="AT39" s="11">
        <f>GDP!AT39/Population!AT39</f>
        <v>113.56736295065937</v>
      </c>
      <c r="AU39" s="11">
        <f>GDP!AU39/Population!AU39</f>
        <v>128.33661572364375</v>
      </c>
      <c r="AV39" s="11">
        <f>GDP!AV39/Population!AV39</f>
        <v>151.68146911646139</v>
      </c>
      <c r="AW39" s="11">
        <f>GDP!AW39/Population!AW39</f>
        <v>167.37647868668267</v>
      </c>
      <c r="AX39" s="11">
        <f>GDP!AX39/Population!AX39</f>
        <v>172.4958674490417</v>
      </c>
      <c r="AY39" s="11">
        <f>GDP!AY39/Population!AY39</f>
        <v>198.35290081271438</v>
      </c>
      <c r="AZ39" s="11">
        <f>GDP!AZ39/Population!AZ39</f>
        <v>212.13688181052169</v>
      </c>
      <c r="BA39" s="11">
        <f>GDP!BA39/Population!BA39</f>
        <v>234.23565258065088</v>
      </c>
      <c r="BB39" s="11">
        <f>GDP!BB39/Population!BB39</f>
        <v>249.57797179542879</v>
      </c>
      <c r="BC39" s="11">
        <f>GDP!BC39/Population!BC39</f>
        <v>252.35898640577946</v>
      </c>
      <c r="BD39" s="11">
        <f>GDP!BD39/Population!BD39</f>
        <v>256.97599055961513</v>
      </c>
      <c r="BE39" s="11">
        <f>GDP!BE39/Population!BE39</f>
        <v>274.85795034424501</v>
      </c>
      <c r="BF39" s="11">
        <f>GDP!BF39/Population!BF39</f>
        <v>305.5497623530639</v>
      </c>
      <c r="BG39" s="11">
        <f>GDP!BG39/Population!BG39</f>
        <v>282.1931400063196</v>
      </c>
      <c r="BH39" s="11">
        <f>GDP!BH39/Population!BH39</f>
        <v>292.99762815710022</v>
      </c>
      <c r="BI39" s="11">
        <f>GDP!BI39/Population!BI39</f>
        <v>271.75204632899221</v>
      </c>
      <c r="BJ39" s="11">
        <f>GDP!BJ39/Population!BJ39</f>
        <v>261.24746959823358</v>
      </c>
      <c r="BK39" s="11"/>
    </row>
    <row r="40" spans="1:63" x14ac:dyDescent="0.45">
      <c r="A40" t="str">
        <f>GDP!A40</f>
        <v>South</v>
      </c>
      <c r="B40" t="str">
        <f>GDP!B40</f>
        <v>Cameroon</v>
      </c>
      <c r="C40" s="11">
        <f>GDP!C40/Population!C40</f>
        <v>119.519179558185</v>
      </c>
      <c r="D40" s="11">
        <f>GDP!D40/Population!D40</f>
        <v>124.42672861790227</v>
      </c>
      <c r="E40" s="11">
        <f>GDP!E40/Population!E40</f>
        <v>129.54413825920878</v>
      </c>
      <c r="F40" s="11">
        <f>GDP!F40/Population!F40</f>
        <v>131.13641642129252</v>
      </c>
      <c r="G40" s="11">
        <f>GDP!G40/Population!G40</f>
        <v>138.64602529560329</v>
      </c>
      <c r="H40" s="35">
        <f>GDP!H40/Population!H40</f>
        <v>141.01217224847898</v>
      </c>
      <c r="I40" s="35">
        <f>GDP!I40/Population!I40</f>
        <v>144.380006233627</v>
      </c>
      <c r="J40" s="11">
        <f>GDP!J40/Population!J40</f>
        <v>154.33149715320482</v>
      </c>
      <c r="K40" s="11">
        <f>GDP!K40/Population!K40</f>
        <v>169.81245790273925</v>
      </c>
      <c r="L40" s="11">
        <f>GDP!L40/Population!L40</f>
        <v>181.28077429113816</v>
      </c>
      <c r="M40" s="11">
        <f>GDP!M40/Population!M40</f>
        <v>177.92095846443473</v>
      </c>
      <c r="N40" s="11">
        <f>GDP!N40/Population!N40</f>
        <v>184.46238987859178</v>
      </c>
      <c r="O40" s="11">
        <f>GDP!O40/Population!O40</f>
        <v>208.37544854669559</v>
      </c>
      <c r="P40" s="11">
        <f>GDP!P40/Population!P40</f>
        <v>249.36411143922123</v>
      </c>
      <c r="Q40" s="11">
        <f>GDP!Q40/Population!Q40</f>
        <v>311.2194894448088</v>
      </c>
      <c r="R40" s="11">
        <f>GDP!R40/Population!R40</f>
        <v>369.44720465050983</v>
      </c>
      <c r="S40" s="11">
        <f>GDP!S40/Population!S40</f>
        <v>401.4130232662518</v>
      </c>
      <c r="T40" s="11">
        <f>GDP!T40/Population!T40</f>
        <v>426.79469544447204</v>
      </c>
      <c r="U40" s="11">
        <f>GDP!U40/Population!U40</f>
        <v>543.02116712497991</v>
      </c>
      <c r="V40" s="11">
        <f>GDP!V40/Population!V40</f>
        <v>694.68629394755908</v>
      </c>
      <c r="W40" s="11">
        <f>GDP!W40/Population!W40</f>
        <v>781.86278201026607</v>
      </c>
      <c r="X40" s="11">
        <f>GDP!X40/Population!X40</f>
        <v>859.12311263892195</v>
      </c>
      <c r="Y40" s="11">
        <f>GDP!Y40/Population!Y40</f>
        <v>798.85042047315017</v>
      </c>
      <c r="Z40" s="11">
        <f>GDP!Z40/Population!Z40</f>
        <v>780.61221420962147</v>
      </c>
      <c r="AA40" s="11">
        <f>GDP!AA40/Population!AA40</f>
        <v>799.54767371183846</v>
      </c>
      <c r="AB40" s="11">
        <f>GDP!AB40/Population!AB40</f>
        <v>809.093481494927</v>
      </c>
      <c r="AC40" s="11">
        <f>GDP!AC40/Population!AC40</f>
        <v>1021.7092813415061</v>
      </c>
      <c r="AD40" s="11">
        <f>GDP!AD40/Population!AD40</f>
        <v>1146.4353551521078</v>
      </c>
      <c r="AE40" s="11">
        <f>GDP!AE40/Population!AE40</f>
        <v>1128.0189955741641</v>
      </c>
      <c r="AF40" s="11">
        <f>GDP!AF40/Population!AF40</f>
        <v>974.99125137845931</v>
      </c>
      <c r="AG40" s="11">
        <f>GDP!AG40/Population!AG40</f>
        <v>946.64641826105208</v>
      </c>
      <c r="AH40" s="11">
        <f>GDP!AH40/Population!AH40</f>
        <v>1024.4240966650607</v>
      </c>
      <c r="AI40" s="11">
        <f>GDP!AI40/Population!AI40</f>
        <v>911.74142579634588</v>
      </c>
      <c r="AJ40" s="11">
        <f>GDP!AJ40/Population!AJ40</f>
        <v>1204.7629940399981</v>
      </c>
      <c r="AK40" s="11">
        <f>GDP!AK40/Population!AK40</f>
        <v>801.16166598039877</v>
      </c>
      <c r="AL40" s="11">
        <f>GDP!AL40/Population!AL40</f>
        <v>709.11482804249533</v>
      </c>
      <c r="AM40" s="11">
        <f>GDP!AM40/Population!AM40</f>
        <v>752.52510501715255</v>
      </c>
      <c r="AN40" s="11">
        <f>GDP!AN40/Population!AN40</f>
        <v>755.23968107802534</v>
      </c>
      <c r="AO40" s="11">
        <f>GDP!AO40/Population!AO40</f>
        <v>720.7969872929267</v>
      </c>
      <c r="AP40" s="11">
        <f>GDP!AP40/Population!AP40</f>
        <v>740.9965813938469</v>
      </c>
      <c r="AQ40" s="11">
        <f>GDP!AQ40/Population!AQ40</f>
        <v>649.99181575028149</v>
      </c>
      <c r="AR40" s="11">
        <f>GDP!AR40/Population!AR40</f>
        <v>651.10092278756053</v>
      </c>
      <c r="AS40" s="11">
        <f>GDP!AS40/Population!AS40</f>
        <v>707.88755271096579</v>
      </c>
      <c r="AT40" s="11">
        <f>GDP!AT40/Population!AT40</f>
        <v>865.95817738897233</v>
      </c>
      <c r="AU40" s="11">
        <f>GDP!AU40/Population!AU40</f>
        <v>1009.9431196659984</v>
      </c>
      <c r="AV40" s="11">
        <f>GDP!AV40/Population!AV40</f>
        <v>1011.8800884883392</v>
      </c>
      <c r="AW40" s="11">
        <f>GDP!AW40/Population!AW40</f>
        <v>1062.1373775672239</v>
      </c>
      <c r="AX40" s="11">
        <f>GDP!AX40/Population!AX40</f>
        <v>1194.0698981467551</v>
      </c>
      <c r="AY40" s="11">
        <f>GDP!AY40/Population!AY40</f>
        <v>1371.7467101958762</v>
      </c>
      <c r="AZ40" s="11">
        <f>GDP!AZ40/Population!AZ40</f>
        <v>1314.7059270578152</v>
      </c>
      <c r="BA40" s="11">
        <f>GDP!BA40/Population!BA40</f>
        <v>1286.5156460471437</v>
      </c>
      <c r="BB40" s="11">
        <f>GDP!BB40/Population!BB40</f>
        <v>1405.0944184141231</v>
      </c>
      <c r="BC40" s="11">
        <f>GDP!BC40/Population!BC40</f>
        <v>1354.5455859843671</v>
      </c>
      <c r="BD40" s="11">
        <f>GDP!BD40/Population!BD40</f>
        <v>1465.6388331579344</v>
      </c>
      <c r="BE40" s="11">
        <f>GDP!BE40/Population!BE40</f>
        <v>1542.6202858689971</v>
      </c>
      <c r="BF40" s="11">
        <f>GDP!BF40/Population!BF40</f>
        <v>1327.503039526202</v>
      </c>
      <c r="BG40" s="11">
        <f>GDP!BG40/Population!BG40</f>
        <v>1364.3300134495</v>
      </c>
      <c r="BH40" s="11">
        <f>GDP!BH40/Population!BH40</f>
        <v>1425.1078263964682</v>
      </c>
      <c r="BI40" s="11">
        <f>GDP!BI40/Population!BI40</f>
        <v>1534.4913846777133</v>
      </c>
      <c r="BJ40" s="11">
        <f>GDP!BJ40/Population!BJ40</f>
        <v>1497.909231507653</v>
      </c>
      <c r="BK40" s="11"/>
    </row>
    <row r="41" spans="1:63" x14ac:dyDescent="0.45">
      <c r="A41" t="str">
        <f>GDP!A41</f>
        <v>South</v>
      </c>
      <c r="B41" t="str">
        <f>GDP!B41</f>
        <v>Central African Republic</v>
      </c>
      <c r="C41" s="11">
        <f>GDP!C41/Population!C41</f>
        <v>74.687347669391642</v>
      </c>
      <c r="D41" s="11">
        <f>GDP!D41/Population!D41</f>
        <v>80.687587561743726</v>
      </c>
      <c r="E41" s="11">
        <f>GDP!E41/Population!E41</f>
        <v>80.212610267347983</v>
      </c>
      <c r="F41" s="11">
        <f>GDP!F41/Population!F41</f>
        <v>81.918167370533823</v>
      </c>
      <c r="G41" s="11">
        <f>GDP!G41/Population!G41</f>
        <v>88.290227126921522</v>
      </c>
      <c r="H41" s="35">
        <f>GDP!H41/Population!H41</f>
        <v>91.830374469569549</v>
      </c>
      <c r="I41" s="35">
        <f>GDP!I41/Population!I41</f>
        <v>94.398239350539356</v>
      </c>
      <c r="J41" s="11">
        <f>GDP!J41/Population!J41</f>
        <v>95.896711471390887</v>
      </c>
      <c r="K41" s="11">
        <f>GDP!K41/Population!K41</f>
        <v>109.94616424549105</v>
      </c>
      <c r="L41" s="11">
        <f>GDP!L41/Population!L41</f>
        <v>105.70763201846574</v>
      </c>
      <c r="M41" s="11">
        <f>GDP!M41/Population!M41</f>
        <v>104.41276894603632</v>
      </c>
      <c r="N41" s="11">
        <f>GDP!N41/Population!N41</f>
        <v>109.45329956023249</v>
      </c>
      <c r="O41" s="11">
        <f>GDP!O41/Population!O41</f>
        <v>123.31091315795955</v>
      </c>
      <c r="P41" s="11">
        <f>GDP!P41/Population!P41</f>
        <v>143.1156253281917</v>
      </c>
      <c r="Q41" s="11">
        <f>GDP!Q41/Population!Q41</f>
        <v>146.22760898529819</v>
      </c>
      <c r="R41" s="11">
        <f>GDP!R41/Population!R41</f>
        <v>193.35499015250971</v>
      </c>
      <c r="S41" s="11">
        <f>GDP!S41/Population!S41</f>
        <v>225.91351287472196</v>
      </c>
      <c r="T41" s="11">
        <f>GDP!T41/Population!T41</f>
        <v>248.6854193720437</v>
      </c>
      <c r="U41" s="11">
        <f>GDP!U41/Population!U41</f>
        <v>292.46985552744866</v>
      </c>
      <c r="V41" s="11">
        <f>GDP!V41/Population!V41</f>
        <v>327.34136437377646</v>
      </c>
      <c r="W41" s="11">
        <f>GDP!W41/Population!W41</f>
        <v>362.40063000260074</v>
      </c>
      <c r="X41" s="11">
        <f>GDP!X41/Population!X41</f>
        <v>306.83211139874635</v>
      </c>
      <c r="Y41" s="11">
        <f>GDP!Y41/Population!Y41</f>
        <v>320.43064350994058</v>
      </c>
      <c r="Z41" s="11">
        <f>GDP!Z41/Population!Z41</f>
        <v>273.50196174340834</v>
      </c>
      <c r="AA41" s="11">
        <f>GDP!AA41/Population!AA41</f>
        <v>257.35363152250136</v>
      </c>
      <c r="AB41" s="11">
        <f>GDP!AB41/Population!AB41</f>
        <v>340.20153341496967</v>
      </c>
      <c r="AC41" s="11">
        <f>GDP!AC41/Population!AC41</f>
        <v>432.01244764241204</v>
      </c>
      <c r="AD41" s="11">
        <f>GDP!AD41/Population!AD41</f>
        <v>453.74555016548032</v>
      </c>
      <c r="AE41" s="11">
        <f>GDP!AE41/Population!AE41</f>
        <v>469.52932638894305</v>
      </c>
      <c r="AF41" s="11">
        <f>GDP!AF41/Population!AF41</f>
        <v>449.3990459381717</v>
      </c>
      <c r="AG41" s="11">
        <f>GDP!AG41/Population!AG41</f>
        <v>513.30529505111633</v>
      </c>
      <c r="AH41" s="11">
        <f>GDP!AH41/Population!AH41</f>
        <v>478.50292495177189</v>
      </c>
      <c r="AI41" s="11">
        <f>GDP!AI41/Population!AI41</f>
        <v>477.12232751967059</v>
      </c>
      <c r="AJ41" s="11">
        <f>GDP!AJ41/Population!AJ41</f>
        <v>419.80257170611156</v>
      </c>
      <c r="AK41" s="11">
        <f>GDP!AK41/Population!AK41</f>
        <v>271.50566616108694</v>
      </c>
      <c r="AL41" s="11">
        <f>GDP!AL41/Population!AL41</f>
        <v>346.10882948723042</v>
      </c>
      <c r="AM41" s="11">
        <f>GDP!AM41/Population!AM41</f>
        <v>304.63125420730643</v>
      </c>
      <c r="AN41" s="11">
        <f>GDP!AN41/Population!AN41</f>
        <v>276.42126188968638</v>
      </c>
      <c r="AO41" s="11">
        <f>GDP!AO41/Population!AO41</f>
        <v>278.33134646835612</v>
      </c>
      <c r="AP41" s="11">
        <f>GDP!AP41/Population!AP41</f>
        <v>280.90881710976964</v>
      </c>
      <c r="AQ41" s="11">
        <f>GDP!AQ41/Population!AQ41</f>
        <v>251.20687435842004</v>
      </c>
      <c r="AR41" s="11">
        <f>GDP!AR41/Population!AR41</f>
        <v>250.35700525897511</v>
      </c>
      <c r="AS41" s="11">
        <f>GDP!AS41/Population!AS41</f>
        <v>260.74551935126857</v>
      </c>
      <c r="AT41" s="11">
        <f>GDP!AT41/Population!AT41</f>
        <v>293.66183952771075</v>
      </c>
      <c r="AU41" s="11">
        <f>GDP!AU41/Population!AU41</f>
        <v>320.73746166229995</v>
      </c>
      <c r="AV41" s="11">
        <f>GDP!AV41/Population!AV41</f>
        <v>331.16293406616808</v>
      </c>
      <c r="AW41" s="11">
        <f>GDP!AW41/Population!AW41</f>
        <v>354.67136466144689</v>
      </c>
      <c r="AX41" s="11">
        <f>GDP!AX41/Population!AX41</f>
        <v>404.37396575996723</v>
      </c>
      <c r="AY41" s="11">
        <f>GDP!AY41/Population!AY41</f>
        <v>464.56141598917577</v>
      </c>
      <c r="AZ41" s="11">
        <f>GDP!AZ41/Population!AZ41</f>
        <v>474.70540122763032</v>
      </c>
      <c r="BA41" s="11">
        <f>GDP!BA41/Population!BA41</f>
        <v>488.42139816830979</v>
      </c>
      <c r="BB41" s="11">
        <f>GDP!BB41/Population!BB41</f>
        <v>551.75006947845441</v>
      </c>
      <c r="BC41" s="11">
        <f>GDP!BC41/Population!BC41</f>
        <v>565.80067284057054</v>
      </c>
      <c r="BD41" s="11">
        <f>GDP!BD41/Population!BD41</f>
        <v>380.29816755704098</v>
      </c>
      <c r="BE41" s="11">
        <f>GDP!BE41/Population!BE41</f>
        <v>424.44876556138593</v>
      </c>
      <c r="BF41" s="11">
        <f>GDP!BF41/Population!BF41</f>
        <v>377.4229917853097</v>
      </c>
      <c r="BG41" s="11">
        <f>GDP!BG41/Population!BG41</f>
        <v>402.19130142735713</v>
      </c>
      <c r="BH41" s="11">
        <f>GDP!BH41/Population!BH41</f>
        <v>450.90025735265323</v>
      </c>
      <c r="BI41" s="11">
        <f>GDP!BI41/Population!BI41</f>
        <v>475.95360254861532</v>
      </c>
      <c r="BJ41" s="11">
        <f>GDP!BJ41/Population!BJ41</f>
        <v>467.90745903479001</v>
      </c>
      <c r="BK41" s="11"/>
    </row>
    <row r="42" spans="1:63" x14ac:dyDescent="0.45">
      <c r="A42" t="str">
        <f>GDP!A42</f>
        <v>South</v>
      </c>
      <c r="B42" t="str">
        <f>GDP!B42</f>
        <v>Chad</v>
      </c>
      <c r="C42" s="11">
        <f>GDP!C42/Population!C42</f>
        <v>104.47154176310106</v>
      </c>
      <c r="D42" s="11">
        <f>GDP!D42/Population!D42</f>
        <v>109.12914002499046</v>
      </c>
      <c r="E42" s="11">
        <f>GDP!E42/Population!E42</f>
        <v>114.58143889151606</v>
      </c>
      <c r="F42" s="11">
        <f>GDP!F42/Population!F42</f>
        <v>116.77669234432267</v>
      </c>
      <c r="G42" s="11">
        <f>GDP!G42/Population!G42</f>
        <v>120.82080428815689</v>
      </c>
      <c r="H42" s="35">
        <f>GDP!H42/Population!H42</f>
        <v>125.97536489458199</v>
      </c>
      <c r="I42" s="35">
        <f>GDP!I42/Population!I42</f>
        <v>128.34242446078792</v>
      </c>
      <c r="J42" s="11">
        <f>GDP!J42/Population!J42</f>
        <v>130.96048153836077</v>
      </c>
      <c r="K42" s="11">
        <f>GDP!K42/Population!K42</f>
        <v>129.73224719248822</v>
      </c>
      <c r="L42" s="11">
        <f>GDP!L42/Population!L42</f>
        <v>132.17012676276582</v>
      </c>
      <c r="M42" s="11">
        <f>GDP!M42/Population!M42</f>
        <v>128.79191920966164</v>
      </c>
      <c r="N42" s="11">
        <f>GDP!N42/Population!N42</f>
        <v>134.68632965209227</v>
      </c>
      <c r="O42" s="11">
        <f>GDP!O42/Population!O42</f>
        <v>153.44367618458506</v>
      </c>
      <c r="P42" s="11">
        <f>GDP!P42/Population!P42</f>
        <v>165.61358011959911</v>
      </c>
      <c r="Q42" s="11">
        <f>GDP!Q42/Population!Q42</f>
        <v>163.13642194433339</v>
      </c>
      <c r="R42" s="11">
        <f>GDP!R42/Population!R42</f>
        <v>211.46840602226112</v>
      </c>
      <c r="S42" s="11">
        <f>GDP!S42/Population!S42</f>
        <v>207.52863063380408</v>
      </c>
      <c r="T42" s="11">
        <f>GDP!T42/Population!T42</f>
        <v>219.81338055972296</v>
      </c>
      <c r="U42" s="11">
        <f>GDP!U42/Population!U42</f>
        <v>256.82393180443739</v>
      </c>
      <c r="V42" s="11">
        <f>GDP!V42/Population!V42</f>
        <v>227.07989721315607</v>
      </c>
      <c r="W42" s="11">
        <f>GDP!W42/Population!W42</f>
        <v>228.82233903283472</v>
      </c>
      <c r="X42" s="11">
        <f>GDP!X42/Population!X42</f>
        <v>190.10757473309877</v>
      </c>
      <c r="Y42" s="11">
        <f>GDP!Y42/Population!Y42</f>
        <v>176.84213810377855</v>
      </c>
      <c r="Z42" s="11">
        <f>GDP!Z42/Population!Z42</f>
        <v>172.26003984420737</v>
      </c>
      <c r="AA42" s="11">
        <f>GDP!AA42/Population!AA42</f>
        <v>185.39445105836381</v>
      </c>
      <c r="AB42" s="11">
        <f>GDP!AB42/Population!AB42</f>
        <v>202.74551423921298</v>
      </c>
      <c r="AC42" s="11">
        <f>GDP!AC42/Population!AC42</f>
        <v>203.50116889064302</v>
      </c>
      <c r="AD42" s="11">
        <f>GDP!AD42/Population!AD42</f>
        <v>214.93805681187737</v>
      </c>
      <c r="AE42" s="11">
        <f>GDP!AE42/Population!AE42</f>
        <v>265.24086727806116</v>
      </c>
      <c r="AF42" s="11">
        <f>GDP!AF42/Population!AF42</f>
        <v>248.30379915204921</v>
      </c>
      <c r="AG42" s="11">
        <f>GDP!AG42/Population!AG42</f>
        <v>291.55326120714</v>
      </c>
      <c r="AH42" s="11">
        <f>GDP!AH42/Population!AH42</f>
        <v>304.87477065017356</v>
      </c>
      <c r="AI42" s="11">
        <f>GDP!AI42/Population!AI42</f>
        <v>296.03937107464384</v>
      </c>
      <c r="AJ42" s="11">
        <f>GDP!AJ42/Population!AJ42</f>
        <v>222.92328763199805</v>
      </c>
      <c r="AK42" s="11">
        <f>GDP!AK42/Population!AK42</f>
        <v>173.99037465125255</v>
      </c>
      <c r="AL42" s="11">
        <f>GDP!AL42/Population!AL42</f>
        <v>206.26106877960441</v>
      </c>
      <c r="AM42" s="11">
        <f>GDP!AM42/Population!AM42</f>
        <v>221.67300369950249</v>
      </c>
      <c r="AN42" s="11">
        <f>GDP!AN42/Population!AN42</f>
        <v>205.86272766563519</v>
      </c>
      <c r="AO42" s="11">
        <f>GDP!AO42/Population!AO42</f>
        <v>224.55388898498438</v>
      </c>
      <c r="AP42" s="11">
        <f>GDP!AP42/Population!AP42</f>
        <v>190.55897136363456</v>
      </c>
      <c r="AQ42" s="11">
        <f>GDP!AQ42/Population!AQ42</f>
        <v>165.76298827117543</v>
      </c>
      <c r="AR42" s="11">
        <f>GDP!AR42/Population!AR42</f>
        <v>196.9737029662536</v>
      </c>
      <c r="AS42" s="11">
        <f>GDP!AS42/Population!AS42</f>
        <v>220.37597565114461</v>
      </c>
      <c r="AT42" s="11">
        <f>GDP!AT42/Population!AT42</f>
        <v>291.94486317137898</v>
      </c>
      <c r="AU42" s="11">
        <f>GDP!AU42/Population!AU42</f>
        <v>453.52183652674995</v>
      </c>
      <c r="AV42" s="11">
        <f>GDP!AV42/Population!AV42</f>
        <v>658.30496958738627</v>
      </c>
      <c r="AW42" s="11">
        <f>GDP!AW42/Population!AW42</f>
        <v>709.76518285524776</v>
      </c>
      <c r="AX42" s="11">
        <f>GDP!AX42/Population!AX42</f>
        <v>798.54803502007394</v>
      </c>
      <c r="AY42" s="11">
        <f>GDP!AY42/Population!AY42</f>
        <v>925.63606742308457</v>
      </c>
      <c r="AZ42" s="11">
        <f>GDP!AZ42/Population!AZ42</f>
        <v>800.46426260842532</v>
      </c>
      <c r="BA42" s="11">
        <f>GDP!BA42/Population!BA42</f>
        <v>892.56871374288244</v>
      </c>
      <c r="BB42" s="11">
        <f>GDP!BB42/Population!BB42</f>
        <v>984.73588998420757</v>
      </c>
      <c r="BC42" s="11">
        <f>GDP!BC42/Population!BC42</f>
        <v>967.35283020786483</v>
      </c>
      <c r="BD42" s="11">
        <f>GDP!BD42/Population!BD42</f>
        <v>979.8124090422516</v>
      </c>
      <c r="BE42" s="11">
        <f>GDP!BE42/Population!BE42</f>
        <v>1020.2881799683377</v>
      </c>
      <c r="BF42" s="11">
        <f>GDP!BF42/Population!BF42</f>
        <v>776.01950311725443</v>
      </c>
      <c r="BG42" s="11">
        <f>GDP!BG42/Population!BG42</f>
        <v>693.44940942883875</v>
      </c>
      <c r="BH42" s="11">
        <f>GDP!BH42/Population!BH42</f>
        <v>665.94835415038904</v>
      </c>
      <c r="BI42" s="11">
        <f>GDP!BI42/Population!BI42</f>
        <v>726.14987642584504</v>
      </c>
      <c r="BJ42" s="11">
        <f>GDP!BJ42/Population!BJ42</f>
        <v>709.54029917834691</v>
      </c>
      <c r="BK42" s="11"/>
    </row>
    <row r="43" spans="1:63" x14ac:dyDescent="0.45">
      <c r="A43" t="str">
        <f>GDP!A43</f>
        <v>South</v>
      </c>
      <c r="B43" t="str">
        <f>GDP!B43</f>
        <v>Chile</v>
      </c>
      <c r="C43" s="11">
        <f>GDP!C43/Population!C43</f>
        <v>505.34921695465016</v>
      </c>
      <c r="D43" s="11">
        <f>GDP!D43/Population!D43</f>
        <v>555.13396053932343</v>
      </c>
      <c r="E43" s="11">
        <f>GDP!E43/Population!E43</f>
        <v>638.94522913278286</v>
      </c>
      <c r="F43" s="11">
        <f>GDP!F43/Population!F43</f>
        <v>655.25249309655169</v>
      </c>
      <c r="G43" s="11">
        <f>GDP!G43/Population!G43</f>
        <v>678.12787011534306</v>
      </c>
      <c r="H43" s="35">
        <f>GDP!H43/Population!H43</f>
        <v>670.39464644838756</v>
      </c>
      <c r="I43" s="35">
        <f>GDP!I43/Population!I43</f>
        <v>772.72605367249787</v>
      </c>
      <c r="J43" s="11">
        <f>GDP!J43/Population!J43</f>
        <v>753.12765688064826</v>
      </c>
      <c r="K43" s="11">
        <f>GDP!K43/Population!K43</f>
        <v>756.91249608584781</v>
      </c>
      <c r="L43" s="11">
        <f>GDP!L43/Population!L43</f>
        <v>870.3191252397844</v>
      </c>
      <c r="M43" s="11">
        <f>GDP!M43/Population!M43</f>
        <v>932.86158484591954</v>
      </c>
      <c r="N43" s="11">
        <f>GDP!N43/Population!N43</f>
        <v>1094.6810097471248</v>
      </c>
      <c r="O43" s="11">
        <f>GDP!O43/Population!O43</f>
        <v>1173.218458156904</v>
      </c>
      <c r="P43" s="11">
        <f>GDP!P43/Population!P43</f>
        <v>1640.0293501869162</v>
      </c>
      <c r="Q43" s="11">
        <f>GDP!Q43/Population!Q43</f>
        <v>1554.3885644347508</v>
      </c>
      <c r="R43" s="11">
        <f>GDP!R43/Population!R43</f>
        <v>719.59934847054569</v>
      </c>
      <c r="S43" s="11">
        <f>GDP!S43/Population!S43</f>
        <v>961.42438949293648</v>
      </c>
      <c r="T43" s="11">
        <f>GDP!T43/Population!T43</f>
        <v>1278.3279156339242</v>
      </c>
      <c r="U43" s="11">
        <f>GDP!U43/Population!U43</f>
        <v>1441.9421191766919</v>
      </c>
      <c r="V43" s="11">
        <f>GDP!V43/Population!V43</f>
        <v>1937.2664959377166</v>
      </c>
      <c r="W43" s="11">
        <f>GDP!W43/Population!W43</f>
        <v>2542.7642530904568</v>
      </c>
      <c r="X43" s="11">
        <f>GDP!X43/Population!X43</f>
        <v>2979.6093536063763</v>
      </c>
      <c r="Y43" s="11">
        <f>GDP!Y43/Population!Y43</f>
        <v>2156.5127351527103</v>
      </c>
      <c r="Z43" s="11">
        <f>GDP!Z43/Population!Z43</f>
        <v>1709.4413135415302</v>
      </c>
      <c r="AA43" s="11">
        <f>GDP!AA43/Population!AA43</f>
        <v>1624.6321949539395</v>
      </c>
      <c r="AB43" s="11">
        <f>GDP!AB43/Population!AB43</f>
        <v>1444.2803725081251</v>
      </c>
      <c r="AC43" s="11">
        <f>GDP!AC43/Population!AC43</f>
        <v>1517.8625760626678</v>
      </c>
      <c r="AD43" s="11">
        <f>GDP!AD43/Population!AD43</f>
        <v>1760.305377458569</v>
      </c>
      <c r="AE43" s="11">
        <f>GDP!AE43/Population!AE43</f>
        <v>2026.8385526819259</v>
      </c>
      <c r="AF43" s="11">
        <f>GDP!AF43/Population!AF43</f>
        <v>2288.5549881543097</v>
      </c>
      <c r="AG43" s="11">
        <f>GDP!AG43/Population!AG43</f>
        <v>2494.5257404296904</v>
      </c>
      <c r="AH43" s="11">
        <f>GDP!AH43/Population!AH43</f>
        <v>2803.5620334194427</v>
      </c>
      <c r="AI43" s="11">
        <f>GDP!AI43/Population!AI43</f>
        <v>3350.2139467000256</v>
      </c>
      <c r="AJ43" s="11">
        <f>GDP!AJ43/Population!AJ43</f>
        <v>3535.1735575427842</v>
      </c>
      <c r="AK43" s="11">
        <f>GDP!AK43/Population!AK43</f>
        <v>4024.2170530991066</v>
      </c>
      <c r="AL43" s="11">
        <f>GDP!AL43/Population!AL43</f>
        <v>5107.2768185170489</v>
      </c>
      <c r="AM43" s="11">
        <f>GDP!AM43/Population!AM43</f>
        <v>5349.8041442700087</v>
      </c>
      <c r="AN43" s="11">
        <f>GDP!AN43/Population!AN43</f>
        <v>5745.3736595289402</v>
      </c>
      <c r="AO43" s="11">
        <f>GDP!AO43/Population!AO43</f>
        <v>5446.5803966461417</v>
      </c>
      <c r="AP43" s="11">
        <f>GDP!AP43/Population!AP43</f>
        <v>4957.778107473554</v>
      </c>
      <c r="AQ43" s="11">
        <f>GDP!AQ43/Population!AQ43</f>
        <v>5074.9014532516621</v>
      </c>
      <c r="AR43" s="11">
        <f>GDP!AR43/Population!AR43</f>
        <v>4574.5941571835674</v>
      </c>
      <c r="AS43" s="11">
        <f>GDP!AS43/Population!AS43</f>
        <v>4446.2503144364573</v>
      </c>
      <c r="AT43" s="11">
        <f>GDP!AT43/Population!AT43</f>
        <v>4772.5629327382076</v>
      </c>
      <c r="AU43" s="11">
        <f>GDP!AU43/Population!AU43</f>
        <v>6194.8532812204285</v>
      </c>
      <c r="AV43" s="11">
        <f>GDP!AV43/Population!AV43</f>
        <v>7598.5251043999333</v>
      </c>
      <c r="AW43" s="11">
        <f>GDP!AW43/Population!AW43</f>
        <v>9464.5499627503232</v>
      </c>
      <c r="AX43" s="11">
        <f>GDP!AX43/Population!AX43</f>
        <v>10502.354130002701</v>
      </c>
      <c r="AY43" s="11">
        <f>GDP!AY43/Population!AY43</f>
        <v>10751.479979301253</v>
      </c>
      <c r="AZ43" s="11">
        <f>GDP!AZ43/Population!AZ43</f>
        <v>10208.906788069255</v>
      </c>
      <c r="BA43" s="11">
        <f>GDP!BA43/Population!BA43</f>
        <v>12808.034984717395</v>
      </c>
      <c r="BB43" s="11">
        <f>GDP!BB43/Population!BB43</f>
        <v>14637.240475221161</v>
      </c>
      <c r="BC43" s="11">
        <f>GDP!BC43/Population!BC43</f>
        <v>15351.550874269871</v>
      </c>
      <c r="BD43" s="11">
        <f>GDP!BD43/Population!BD43</f>
        <v>15842.939893832676</v>
      </c>
      <c r="BE43" s="11">
        <f>GDP!BE43/Population!BE43</f>
        <v>14670.995847504584</v>
      </c>
      <c r="BF43" s="11">
        <f>GDP!BF43/Population!BF43</f>
        <v>13574.172144660532</v>
      </c>
      <c r="BG43" s="11">
        <f>GDP!BG43/Population!BG43</f>
        <v>13753.594569035604</v>
      </c>
      <c r="BH43" s="11">
        <f>GDP!BH43/Population!BH43</f>
        <v>14999.369429640008</v>
      </c>
      <c r="BI43" s="11">
        <f>GDP!BI43/Population!BI43</f>
        <v>15924.793531370333</v>
      </c>
      <c r="BJ43" s="11">
        <f>GDP!BJ43/Population!BJ43</f>
        <v>14896.453008800425</v>
      </c>
      <c r="BK43" s="11"/>
    </row>
    <row r="44" spans="1:63" x14ac:dyDescent="0.45">
      <c r="A44" t="str">
        <f>GDP!A44</f>
        <v>South</v>
      </c>
      <c r="B44" t="str">
        <f>GDP!B44</f>
        <v>Colombia</v>
      </c>
      <c r="C44" s="11">
        <f>GDP!C44/Population!C44</f>
        <v>251.04136152794754</v>
      </c>
      <c r="D44" s="11">
        <f>GDP!D44/Population!D44</f>
        <v>274.05236237907349</v>
      </c>
      <c r="E44" s="11">
        <f>GDP!E44/Population!E44</f>
        <v>289.91796859962705</v>
      </c>
      <c r="F44" s="11">
        <f>GDP!F44/Population!F44</f>
        <v>274.31492582521366</v>
      </c>
      <c r="G44" s="11">
        <f>GDP!G44/Population!G44</f>
        <v>328.6550927902573</v>
      </c>
      <c r="H44" s="35">
        <f>GDP!H44/Population!H44</f>
        <v>307.64682457542341</v>
      </c>
      <c r="I44" s="35">
        <f>GDP!I44/Population!I44</f>
        <v>281.56595472760523</v>
      </c>
      <c r="J44" s="11">
        <f>GDP!J44/Population!J44</f>
        <v>293.64423418060028</v>
      </c>
      <c r="K44" s="11">
        <f>GDP!K44/Population!K44</f>
        <v>292.25755954044632</v>
      </c>
      <c r="L44" s="11">
        <f>GDP!L44/Population!L44</f>
        <v>307.99515472301817</v>
      </c>
      <c r="M44" s="11">
        <f>GDP!M44/Population!M44</f>
        <v>335.11820895878151</v>
      </c>
      <c r="N44" s="11">
        <f>GDP!N44/Population!N44</f>
        <v>355.40757553860709</v>
      </c>
      <c r="O44" s="11">
        <f>GDP!O44/Population!O44</f>
        <v>385.11261717224727</v>
      </c>
      <c r="P44" s="11">
        <f>GDP!P44/Population!P44</f>
        <v>448.03372266326903</v>
      </c>
      <c r="Q44" s="11">
        <f>GDP!Q44/Population!Q44</f>
        <v>525.52581846520832</v>
      </c>
      <c r="R44" s="11">
        <f>GDP!R44/Population!R44</f>
        <v>544.29078496909358</v>
      </c>
      <c r="S44" s="11">
        <f>GDP!S44/Population!S44</f>
        <v>623.42873602005716</v>
      </c>
      <c r="T44" s="11">
        <f>GDP!T44/Population!T44</f>
        <v>773.7458163358732</v>
      </c>
      <c r="U44" s="11">
        <f>GDP!U44/Population!U44</f>
        <v>904.01061208831754</v>
      </c>
      <c r="V44" s="11">
        <f>GDP!V44/Population!V44</f>
        <v>1061.8484309311209</v>
      </c>
      <c r="W44" s="11">
        <f>GDP!W44/Population!W44</f>
        <v>1241.6396830602368</v>
      </c>
      <c r="X44" s="11">
        <f>GDP!X44/Population!X44</f>
        <v>1323.3762432438959</v>
      </c>
      <c r="Y44" s="11">
        <f>GDP!Y44/Population!Y44</f>
        <v>1386.6732287090301</v>
      </c>
      <c r="Z44" s="11">
        <f>GDP!Z44/Population!Z44</f>
        <v>1348.8042744023078</v>
      </c>
      <c r="AA44" s="11">
        <f>GDP!AA44/Population!AA44</f>
        <v>1304.1768484507882</v>
      </c>
      <c r="AB44" s="11">
        <f>GDP!AB44/Population!AB44</f>
        <v>1165.0421261251636</v>
      </c>
      <c r="AC44" s="11">
        <f>GDP!AC44/Population!AC44</f>
        <v>1142.9393644833108</v>
      </c>
      <c r="AD44" s="11">
        <f>GDP!AD44/Population!AD44</f>
        <v>1165.9825935942119</v>
      </c>
      <c r="AE44" s="11">
        <f>GDP!AE44/Population!AE44</f>
        <v>1232.2262085810667</v>
      </c>
      <c r="AF44" s="11">
        <f>GDP!AF44/Population!AF44</f>
        <v>1218.2109108834629</v>
      </c>
      <c r="AG44" s="11">
        <f>GDP!AG44/Population!AG44</f>
        <v>1445.3282988006733</v>
      </c>
      <c r="AH44" s="11">
        <f>GDP!AH44/Population!AH44</f>
        <v>1456.6939640626836</v>
      </c>
      <c r="AI44" s="11">
        <f>GDP!AI44/Population!AI44</f>
        <v>1697.1129814603025</v>
      </c>
      <c r="AJ44" s="11">
        <f>GDP!AJ44/Population!AJ44</f>
        <v>1893.5419431313926</v>
      </c>
      <c r="AK44" s="11">
        <f>GDP!AK44/Population!AK44</f>
        <v>2284.8387125136119</v>
      </c>
      <c r="AL44" s="11">
        <f>GDP!AL44/Population!AL44</f>
        <v>2539.9128495743166</v>
      </c>
      <c r="AM44" s="11">
        <f>GDP!AM44/Population!AM44</f>
        <v>2620.5387126707164</v>
      </c>
      <c r="AN44" s="11">
        <f>GDP!AN44/Population!AN44</f>
        <v>2827.3798588689369</v>
      </c>
      <c r="AO44" s="11">
        <f>GDP!AO44/Population!AO44</f>
        <v>2566.024105947643</v>
      </c>
      <c r="AP44" s="11">
        <f>GDP!AP44/Population!AP44</f>
        <v>2209.9313557886117</v>
      </c>
      <c r="AQ44" s="11">
        <f>GDP!AQ44/Population!AQ44</f>
        <v>2520.4809580466986</v>
      </c>
      <c r="AR44" s="11">
        <f>GDP!AR44/Population!AR44</f>
        <v>2439.6817358360381</v>
      </c>
      <c r="AS44" s="11">
        <f>GDP!AS44/Population!AS44</f>
        <v>2396.6272054362335</v>
      </c>
      <c r="AT44" s="11">
        <f>GDP!AT44/Population!AT44</f>
        <v>2281.4020470800842</v>
      </c>
      <c r="AU44" s="11">
        <f>GDP!AU44/Population!AU44</f>
        <v>2782.62298249385</v>
      </c>
      <c r="AV44" s="11">
        <f>GDP!AV44/Population!AV44</f>
        <v>3414.4656760581174</v>
      </c>
      <c r="AW44" s="11">
        <f>GDP!AW44/Population!AW44</f>
        <v>3741.0931328831698</v>
      </c>
      <c r="AX44" s="11">
        <f>GDP!AX44/Population!AX44</f>
        <v>4714.0726181157615</v>
      </c>
      <c r="AY44" s="11">
        <f>GDP!AY44/Population!AY44</f>
        <v>5472.5358909244469</v>
      </c>
      <c r="AZ44" s="11">
        <f>GDP!AZ44/Population!AZ44</f>
        <v>5193.2411479440379</v>
      </c>
      <c r="BA44" s="11">
        <f>GDP!BA44/Population!BA44</f>
        <v>6336.7093697634155</v>
      </c>
      <c r="BB44" s="11">
        <f>GDP!BB44/Population!BB44</f>
        <v>7335.1103882128018</v>
      </c>
      <c r="BC44" s="11">
        <f>GDP!BC44/Population!BC44</f>
        <v>8050.0582018978384</v>
      </c>
      <c r="BD44" s="11">
        <f>GDP!BD44/Population!BD44</f>
        <v>8218.0341200261482</v>
      </c>
      <c r="BE44" s="11">
        <f>GDP!BE44/Population!BE44</f>
        <v>8114.0845166475874</v>
      </c>
      <c r="BF44" s="11">
        <f>GDP!BF44/Population!BF44</f>
        <v>6175.8757754836279</v>
      </c>
      <c r="BG44" s="11">
        <f>GDP!BG44/Population!BG44</f>
        <v>5871.2232960176862</v>
      </c>
      <c r="BH44" s="11">
        <f>GDP!BH44/Population!BH44</f>
        <v>6377.8515503875333</v>
      </c>
      <c r="BI44" s="11">
        <f>GDP!BI44/Population!BI44</f>
        <v>6718.5856102046937</v>
      </c>
      <c r="BJ44" s="11">
        <f>GDP!BJ44/Population!BJ44</f>
        <v>6432.3871343513447</v>
      </c>
      <c r="BK44" s="11"/>
    </row>
    <row r="45" spans="1:63" x14ac:dyDescent="0.45">
      <c r="A45" t="str">
        <f>GDP!A45</f>
        <v>South</v>
      </c>
      <c r="B45" t="str">
        <f>GDP!B45</f>
        <v>Congo DR</v>
      </c>
      <c r="C45" s="11">
        <f>GDP!C45/Population!C45</f>
        <v>220.31405647769046</v>
      </c>
      <c r="D45" s="11">
        <f>GDP!D45/Population!D45</f>
        <v>197.39137324487444</v>
      </c>
      <c r="E45" s="11">
        <f>GDP!E45/Population!E45</f>
        <v>235.63348704179677</v>
      </c>
      <c r="F45" s="11">
        <f>GDP!F45/Population!F45</f>
        <v>377.42982013542843</v>
      </c>
      <c r="G45" s="11">
        <f>GDP!G45/Population!G45</f>
        <v>170.46698145130642</v>
      </c>
      <c r="H45" s="35">
        <f>GDP!H45/Population!H45</f>
        <v>232.81109396009782</v>
      </c>
      <c r="I45" s="35">
        <f>GDP!I45/Population!I45</f>
        <v>253.75926791821408</v>
      </c>
      <c r="J45" s="11">
        <f>GDP!J45/Population!J45</f>
        <v>184.13040541011122</v>
      </c>
      <c r="K45" s="11">
        <f>GDP!K45/Population!K45</f>
        <v>206.71490426236227</v>
      </c>
      <c r="L45" s="11">
        <f>GDP!L45/Population!L45</f>
        <v>258.6065150872958</v>
      </c>
      <c r="M45" s="11">
        <f>GDP!M45/Population!M45</f>
        <v>243.74973569584304</v>
      </c>
      <c r="N45" s="11">
        <f>GDP!N45/Population!N45</f>
        <v>272.06535360610559</v>
      </c>
      <c r="O45" s="11">
        <f>GDP!O45/Population!O45</f>
        <v>292.29707399578928</v>
      </c>
      <c r="P45" s="11">
        <f>GDP!P45/Population!P45</f>
        <v>362.84362053630622</v>
      </c>
      <c r="Q45" s="11">
        <f>GDP!Q45/Population!Q45</f>
        <v>430.70196430001147</v>
      </c>
      <c r="R45" s="11">
        <f>GDP!R45/Population!R45</f>
        <v>446.97565708068345</v>
      </c>
      <c r="S45" s="11">
        <f>GDP!S45/Population!S45</f>
        <v>409.52434892623506</v>
      </c>
      <c r="T45" s="11">
        <f>GDP!T45/Population!T45</f>
        <v>509.06669426903153</v>
      </c>
      <c r="U45" s="11">
        <f>GDP!U45/Population!U45</f>
        <v>615.97900208619967</v>
      </c>
      <c r="V45" s="11">
        <f>GDP!V45/Population!V45</f>
        <v>587.15171843442647</v>
      </c>
      <c r="W45" s="11">
        <f>GDP!W45/Population!W45</f>
        <v>546.11242256318053</v>
      </c>
      <c r="X45" s="11">
        <f>GDP!X45/Population!X45</f>
        <v>463.6712974054081</v>
      </c>
      <c r="Y45" s="11">
        <f>GDP!Y45/Population!Y45</f>
        <v>492.532493578377</v>
      </c>
      <c r="Z45" s="11">
        <f>GDP!Z45/Population!Z45</f>
        <v>387.50775183591298</v>
      </c>
      <c r="AA45" s="11">
        <f>GDP!AA45/Population!AA45</f>
        <v>269.84263504066939</v>
      </c>
      <c r="AB45" s="11">
        <f>GDP!AB45/Population!AB45</f>
        <v>240.78805650156011</v>
      </c>
      <c r="AC45" s="11">
        <f>GDP!AC45/Population!AC45</f>
        <v>263.83137771287505</v>
      </c>
      <c r="AD45" s="11">
        <f>GDP!AD45/Population!AD45</f>
        <v>243.00473536689165</v>
      </c>
      <c r="AE45" s="11">
        <f>GDP!AE45/Population!AE45</f>
        <v>273.12784490586483</v>
      </c>
      <c r="AF45" s="11">
        <f>GDP!AF45/Population!AF45</f>
        <v>269.59290410654023</v>
      </c>
      <c r="AG45" s="11">
        <f>GDP!AG45/Population!AG45</f>
        <v>270.13052157828156</v>
      </c>
      <c r="AH45" s="11">
        <f>GDP!AH45/Population!AH45</f>
        <v>268.05647148883139</v>
      </c>
      <c r="AI45" s="11">
        <f>GDP!AI45/Population!AI45</f>
        <v>220.3718665217832</v>
      </c>
      <c r="AJ45" s="11">
        <f>GDP!AJ45/Population!AJ45</f>
        <v>275.8219885123163</v>
      </c>
      <c r="AK45" s="11">
        <f>GDP!AK45/Population!AK45</f>
        <v>144.59507808813936</v>
      </c>
      <c r="AL45" s="11">
        <f>GDP!AL45/Population!AL45</f>
        <v>135.73715905760773</v>
      </c>
      <c r="AM45" s="11">
        <f>GDP!AM45/Population!AM45</f>
        <v>134.98192203407686</v>
      </c>
      <c r="AN45" s="11">
        <f>GDP!AN45/Population!AN45</f>
        <v>138.97404706394525</v>
      </c>
      <c r="AO45" s="11">
        <f>GDP!AO45/Population!AO45</f>
        <v>138.58630677283873</v>
      </c>
      <c r="AP45" s="11">
        <f>GDP!AP45/Population!AP45</f>
        <v>102.59798466938265</v>
      </c>
      <c r="AQ45" s="11">
        <f>GDP!AQ45/Population!AQ45</f>
        <v>405.21626540276634</v>
      </c>
      <c r="AR45" s="11">
        <f>GDP!AR45/Population!AR45</f>
        <v>153.5910114497764</v>
      </c>
      <c r="AS45" s="11">
        <f>GDP!AS45/Population!AS45</f>
        <v>175.00996958914385</v>
      </c>
      <c r="AT45" s="11">
        <f>GDP!AT45/Population!AT45</f>
        <v>173.79613865317611</v>
      </c>
      <c r="AU45" s="11">
        <f>GDP!AU45/Population!AU45</f>
        <v>194.03995833339616</v>
      </c>
      <c r="AV45" s="11">
        <f>GDP!AV45/Population!AV45</f>
        <v>218.38618576048322</v>
      </c>
      <c r="AW45" s="11">
        <f>GDP!AW45/Population!AW45</f>
        <v>255.4330882747503</v>
      </c>
      <c r="AX45" s="11">
        <f>GDP!AX45/Population!AX45</f>
        <v>286.33049249727355</v>
      </c>
      <c r="AY45" s="11">
        <f>GDP!AY45/Population!AY45</f>
        <v>327.56370736311857</v>
      </c>
      <c r="AZ45" s="11">
        <f>GDP!AZ45/Population!AZ45</f>
        <v>298.61967145575903</v>
      </c>
      <c r="BA45" s="11">
        <f>GDP!BA45/Population!BA45</f>
        <v>334.0215704588648</v>
      </c>
      <c r="BB45" s="11">
        <f>GDP!BB45/Population!BB45</f>
        <v>387.08246997924596</v>
      </c>
      <c r="BC45" s="11">
        <f>GDP!BC45/Population!BC45</f>
        <v>424.60039086220223</v>
      </c>
      <c r="BD45" s="11">
        <f>GDP!BD45/Population!BD45</f>
        <v>457.96372517881747</v>
      </c>
      <c r="BE45" s="11">
        <f>GDP!BE45/Population!BE45</f>
        <v>486.78710121570151</v>
      </c>
      <c r="BF45" s="11">
        <f>GDP!BF45/Population!BF45</f>
        <v>497.31695151852438</v>
      </c>
      <c r="BG45" s="11">
        <f>GDP!BG45/Population!BG45</f>
        <v>471.3188201295996</v>
      </c>
      <c r="BH45" s="11">
        <f>GDP!BH45/Population!BH45</f>
        <v>467.07420082819925</v>
      </c>
      <c r="BI45" s="11">
        <f>GDP!BI45/Population!BI45</f>
        <v>557.06443053635292</v>
      </c>
      <c r="BJ45" s="11">
        <f>GDP!BJ45/Population!BJ45</f>
        <v>545.21622358779814</v>
      </c>
      <c r="BK45" s="11"/>
    </row>
    <row r="46" spans="1:63" x14ac:dyDescent="0.45">
      <c r="A46" t="str">
        <f>GDP!A46</f>
        <v>South</v>
      </c>
      <c r="B46" t="str">
        <f>GDP!B46</f>
        <v>Congo R</v>
      </c>
      <c r="C46" s="11">
        <f>GDP!C46/Population!C46</f>
        <v>129.37046490410538</v>
      </c>
      <c r="D46" s="11">
        <f>GDP!D46/Population!D46</f>
        <v>145.40640158908502</v>
      </c>
      <c r="E46" s="11">
        <f>GDP!E46/Population!E46</f>
        <v>155.73822853284301</v>
      </c>
      <c r="F46" s="11">
        <f>GDP!F46/Population!F46</f>
        <v>157.05585981882808</v>
      </c>
      <c r="G46" s="11">
        <f>GDP!G46/Population!G46</f>
        <v>165.00946192835664</v>
      </c>
      <c r="H46" s="35">
        <f>GDP!H46/Population!H46</f>
        <v>171.64569600620396</v>
      </c>
      <c r="I46" s="35">
        <f>GDP!I46/Population!I46</f>
        <v>185.89178663363626</v>
      </c>
      <c r="J46" s="11">
        <f>GDP!J46/Population!J46</f>
        <v>194.66128978033538</v>
      </c>
      <c r="K46" s="11">
        <f>GDP!K46/Population!K46</f>
        <v>200.39517611026034</v>
      </c>
      <c r="L46" s="11">
        <f>GDP!L46/Population!L46</f>
        <v>205.53354808991239</v>
      </c>
      <c r="M46" s="11">
        <f>GDP!M46/Population!M46</f>
        <v>207.22270882555759</v>
      </c>
      <c r="N46" s="11">
        <f>GDP!N46/Population!N46</f>
        <v>235.8359088043845</v>
      </c>
      <c r="O46" s="11">
        <f>GDP!O46/Population!O46</f>
        <v>291.97499079289196</v>
      </c>
      <c r="P46" s="11">
        <f>GDP!P46/Population!P46</f>
        <v>374.12642090461588</v>
      </c>
      <c r="Q46" s="11">
        <f>GDP!Q46/Population!Q46</f>
        <v>392.32106591244963</v>
      </c>
      <c r="R46" s="11">
        <f>GDP!R46/Population!R46</f>
        <v>499.20324028701322</v>
      </c>
      <c r="S46" s="11">
        <f>GDP!S46/Population!S46</f>
        <v>476.85140277990189</v>
      </c>
      <c r="T46" s="11">
        <f>GDP!T46/Population!T46</f>
        <v>469.69050625180688</v>
      </c>
      <c r="U46" s="11">
        <f>GDP!U46/Population!U46</f>
        <v>523.91045779845615</v>
      </c>
      <c r="V46" s="11">
        <f>GDP!V46/Population!V46</f>
        <v>694.17644217906889</v>
      </c>
      <c r="W46" s="11">
        <f>GDP!W46/Population!W46</f>
        <v>959.42642640277984</v>
      </c>
      <c r="X46" s="11">
        <f>GDP!X46/Population!X46</f>
        <v>1088.9749113967198</v>
      </c>
      <c r="Y46" s="11">
        <f>GDP!Y46/Population!Y46</f>
        <v>1146.3044032097619</v>
      </c>
      <c r="Z46" s="11">
        <f>GDP!Z46/Population!Z46</f>
        <v>1080.8223895265153</v>
      </c>
      <c r="AA46" s="11">
        <f>GDP!AA46/Population!AA46</f>
        <v>1098.4410636982066</v>
      </c>
      <c r="AB46" s="11">
        <f>GDP!AB46/Population!AB46</f>
        <v>1051.8715988613219</v>
      </c>
      <c r="AC46" s="11">
        <f>GDP!AC46/Population!AC46</f>
        <v>875.45084575979206</v>
      </c>
      <c r="AD46" s="11">
        <f>GDP!AD46/Population!AD46</f>
        <v>1058.2284240791666</v>
      </c>
      <c r="AE46" s="11">
        <f>GDP!AE46/Population!AE46</f>
        <v>991.51737535654831</v>
      </c>
      <c r="AF46" s="11">
        <f>GDP!AF46/Population!AF46</f>
        <v>1042.0497635147215</v>
      </c>
      <c r="AG46" s="11">
        <f>GDP!AG46/Population!AG46</f>
        <v>1187.551310137703</v>
      </c>
      <c r="AH46" s="11">
        <f>GDP!AH46/Population!AH46</f>
        <v>1124.9010772796985</v>
      </c>
      <c r="AI46" s="11">
        <f>GDP!AI46/Population!AI46</f>
        <v>1178.0237755587257</v>
      </c>
      <c r="AJ46" s="11">
        <f>GDP!AJ46/Population!AJ46</f>
        <v>749.63483891583689</v>
      </c>
      <c r="AK46" s="11">
        <f>GDP!AK46/Population!AK46</f>
        <v>672.16317617941422</v>
      </c>
      <c r="AL46" s="11">
        <f>GDP!AL46/Population!AL46</f>
        <v>781.52356477492276</v>
      </c>
      <c r="AM46" s="11">
        <f>GDP!AM46/Population!AM46</f>
        <v>912.01395644354784</v>
      </c>
      <c r="AN46" s="11">
        <f>GDP!AN46/Population!AN46</f>
        <v>810.07748667726901</v>
      </c>
      <c r="AO46" s="11">
        <f>GDP!AO46/Population!AO46</f>
        <v>660.47238846650703</v>
      </c>
      <c r="AP46" s="11">
        <f>GDP!AP46/Population!AP46</f>
        <v>774.71167012733213</v>
      </c>
      <c r="AQ46" s="11">
        <f>GDP!AQ46/Population!AQ46</f>
        <v>1029.5770706184765</v>
      </c>
      <c r="AR46" s="11">
        <f>GDP!AR46/Population!AR46</f>
        <v>868.33992876793889</v>
      </c>
      <c r="AS46" s="11">
        <f>GDP!AS46/Population!AS46</f>
        <v>912.27818862265951</v>
      </c>
      <c r="AT46" s="11">
        <f>GDP!AT46/Population!AT46</f>
        <v>1026.1077089525384</v>
      </c>
      <c r="AU46" s="11">
        <f>GDP!AU46/Population!AU46</f>
        <v>1324.2190887368863</v>
      </c>
      <c r="AV46" s="11">
        <f>GDP!AV46/Population!AV46</f>
        <v>1680.2045768782218</v>
      </c>
      <c r="AW46" s="11">
        <f>GDP!AW46/Population!AW46</f>
        <v>2064.3445573878262</v>
      </c>
      <c r="AX46" s="11">
        <f>GDP!AX46/Population!AX46</f>
        <v>2165.745817401375</v>
      </c>
      <c r="AY46" s="11">
        <f>GDP!AY46/Population!AY46</f>
        <v>2956.2644945040315</v>
      </c>
      <c r="AZ46" s="11">
        <f>GDP!AZ46/Population!AZ46</f>
        <v>2314.2660212269484</v>
      </c>
      <c r="BA46" s="11">
        <f>GDP!BA46/Population!BA46</f>
        <v>2812.4360807921698</v>
      </c>
      <c r="BB46" s="11">
        <f>GDP!BB46/Population!BB46</f>
        <v>3286.6946376253627</v>
      </c>
      <c r="BC46" s="11">
        <f>GDP!BC46/Population!BC46</f>
        <v>3032.4939525936556</v>
      </c>
      <c r="BD46" s="11">
        <f>GDP!BD46/Population!BD46</f>
        <v>3047.9308794030235</v>
      </c>
      <c r="BE46" s="11">
        <f>GDP!BE46/Population!BE46</f>
        <v>2996.9179277741446</v>
      </c>
      <c r="BF46" s="11">
        <f>GDP!BF46/Population!BF46</f>
        <v>1762.0319800168654</v>
      </c>
      <c r="BG46" s="11">
        <f>GDP!BG46/Population!BG46</f>
        <v>1815.2957990957236</v>
      </c>
      <c r="BH46" s="11">
        <f>GDP!BH46/Population!BH46</f>
        <v>1767.8945240790795</v>
      </c>
      <c r="BI46" s="11">
        <f>GDP!BI46/Population!BI46</f>
        <v>2223.8545546904361</v>
      </c>
      <c r="BJ46" s="11">
        <f>GDP!BJ46/Population!BJ46</f>
        <v>2011.0724890660881</v>
      </c>
      <c r="BK46" s="11"/>
    </row>
    <row r="47" spans="1:63" x14ac:dyDescent="0.45">
      <c r="A47" t="str">
        <f>GDP!A47</f>
        <v>South</v>
      </c>
      <c r="B47" t="str">
        <f>GDP!B47</f>
        <v>Costa Rica</v>
      </c>
      <c r="C47" s="11">
        <f>GDP!C47/Population!C47</f>
        <v>381.36511013824952</v>
      </c>
      <c r="D47" s="11">
        <f>GDP!D47/Population!D47</f>
        <v>355.0037786448284</v>
      </c>
      <c r="E47" s="11">
        <f>GDP!E47/Population!E47</f>
        <v>334.31181963741903</v>
      </c>
      <c r="F47" s="11">
        <f>GDP!F47/Population!F47</f>
        <v>344.35512490977447</v>
      </c>
      <c r="G47" s="11">
        <f>GDP!G47/Population!G47</f>
        <v>352.33711421411601</v>
      </c>
      <c r="H47" s="35">
        <f>GDP!H47/Population!H47</f>
        <v>372.27895565219632</v>
      </c>
      <c r="I47" s="35">
        <f>GDP!I47/Population!I47</f>
        <v>393.47899163750401</v>
      </c>
      <c r="J47" s="11">
        <f>GDP!J47/Population!J47</f>
        <v>412.2375484166032</v>
      </c>
      <c r="K47" s="11">
        <f>GDP!K47/Population!K47</f>
        <v>442.77858252073878</v>
      </c>
      <c r="L47" s="11">
        <f>GDP!L47/Population!L47</f>
        <v>474.79477810970951</v>
      </c>
      <c r="M47" s="11">
        <f>GDP!M47/Population!M47</f>
        <v>533.09155707986497</v>
      </c>
      <c r="N47" s="11">
        <f>GDP!N47/Population!N47</f>
        <v>568.09554464296548</v>
      </c>
      <c r="O47" s="11">
        <f>GDP!O47/Population!O47</f>
        <v>636.90535545006628</v>
      </c>
      <c r="P47" s="11">
        <f>GDP!P47/Population!P47</f>
        <v>767.33022904732411</v>
      </c>
      <c r="Q47" s="11">
        <f>GDP!Q47/Population!Q47</f>
        <v>816.03726886297943</v>
      </c>
      <c r="R47" s="11">
        <f>GDP!R47/Population!R47</f>
        <v>936.33593927574793</v>
      </c>
      <c r="S47" s="11">
        <f>GDP!S47/Population!S47</f>
        <v>1122.8097661956638</v>
      </c>
      <c r="T47" s="11">
        <f>GDP!T47/Population!T47</f>
        <v>1393.0024088519529</v>
      </c>
      <c r="U47" s="11">
        <f>GDP!U47/Population!U47</f>
        <v>1555.5376172323756</v>
      </c>
      <c r="V47" s="11">
        <f>GDP!V47/Population!V47</f>
        <v>1734.6149486946715</v>
      </c>
      <c r="W47" s="11">
        <f>GDP!W47/Population!W47</f>
        <v>2021.5454123617089</v>
      </c>
      <c r="X47" s="11">
        <f>GDP!X47/Population!X47</f>
        <v>1068.5045602112407</v>
      </c>
      <c r="Y47" s="11">
        <f>GDP!Y47/Population!Y47</f>
        <v>1032.9986137497949</v>
      </c>
      <c r="Z47" s="11">
        <f>GDP!Z47/Population!Z47</f>
        <v>1213.5541476733692</v>
      </c>
      <c r="AA47" s="11">
        <f>GDP!AA47/Population!AA47</f>
        <v>1373.9376981581497</v>
      </c>
      <c r="AB47" s="11">
        <f>GDP!AB47/Population!AB47</f>
        <v>1432.0848668036681</v>
      </c>
      <c r="AC47" s="11">
        <f>GDP!AC47/Population!AC47</f>
        <v>1572.4567265025573</v>
      </c>
      <c r="AD47" s="11">
        <f>GDP!AD47/Population!AD47</f>
        <v>1571.2950388078968</v>
      </c>
      <c r="AE47" s="11">
        <f>GDP!AE47/Population!AE47</f>
        <v>1558.5074441163567</v>
      </c>
      <c r="AF47" s="11">
        <f>GDP!AF47/Population!AF47</f>
        <v>1727.8721479638291</v>
      </c>
      <c r="AG47" s="11">
        <f>GDP!AG47/Population!AG47</f>
        <v>1831.0018775848048</v>
      </c>
      <c r="AH47" s="11">
        <f>GDP!AH47/Population!AH47</f>
        <v>2238.8535669727694</v>
      </c>
      <c r="AI47" s="11">
        <f>GDP!AI47/Population!AI47</f>
        <v>2595.0225186519478</v>
      </c>
      <c r="AJ47" s="11">
        <f>GDP!AJ47/Population!AJ47</f>
        <v>2828.1300786585289</v>
      </c>
      <c r="AK47" s="11">
        <f>GDP!AK47/Population!AK47</f>
        <v>3016.2244039465322</v>
      </c>
      <c r="AL47" s="11">
        <f>GDP!AL47/Population!AL47</f>
        <v>3247.317054074224</v>
      </c>
      <c r="AM47" s="11">
        <f>GDP!AM47/Population!AM47</f>
        <v>3198.5486556681299</v>
      </c>
      <c r="AN47" s="11">
        <f>GDP!AN47/Population!AN47</f>
        <v>3375.1662547671399</v>
      </c>
      <c r="AO47" s="11">
        <f>GDP!AO47/Population!AO47</f>
        <v>3579.8657867597012</v>
      </c>
      <c r="AP47" s="11">
        <f>GDP!AP47/Population!AP47</f>
        <v>3653.5526085915844</v>
      </c>
      <c r="AQ47" s="11">
        <f>GDP!AQ47/Population!AQ47</f>
        <v>3772.8699475970452</v>
      </c>
      <c r="AR47" s="11">
        <f>GDP!AR47/Population!AR47</f>
        <v>3944.7376166128834</v>
      </c>
      <c r="AS47" s="11">
        <f>GDP!AS47/Population!AS47</f>
        <v>4024.6517885598983</v>
      </c>
      <c r="AT47" s="11">
        <f>GDP!AT47/Population!AT47</f>
        <v>4129.632709285881</v>
      </c>
      <c r="AU47" s="11">
        <f>GDP!AU47/Population!AU47</f>
        <v>4385.3909302735638</v>
      </c>
      <c r="AV47" s="11">
        <f>GDP!AV47/Population!AV47</f>
        <v>4654.8248900595545</v>
      </c>
      <c r="AW47" s="11">
        <f>GDP!AW47/Population!AW47</f>
        <v>5201.5139830239341</v>
      </c>
      <c r="AX47" s="11">
        <f>GDP!AX47/Population!AX47</f>
        <v>6071.7890001153328</v>
      </c>
      <c r="AY47" s="11">
        <f>GDP!AY47/Population!AY47</f>
        <v>6859.0788884469966</v>
      </c>
      <c r="AZ47" s="11">
        <f>GDP!AZ47/Population!AZ47</f>
        <v>6760.4775642925715</v>
      </c>
      <c r="BA47" s="11">
        <f>GDP!BA47/Population!BA47</f>
        <v>8141.9133766099285</v>
      </c>
      <c r="BB47" s="11">
        <f>GDP!BB47/Population!BB47</f>
        <v>9121.9321065915901</v>
      </c>
      <c r="BC47" s="11">
        <f>GDP!BC47/Population!BC47</f>
        <v>9913.2103208191129</v>
      </c>
      <c r="BD47" s="11">
        <f>GDP!BD47/Population!BD47</f>
        <v>10490.08141570825</v>
      </c>
      <c r="BE47" s="11">
        <f>GDP!BE47/Population!BE47</f>
        <v>10547.151569547124</v>
      </c>
      <c r="BF47" s="11">
        <f>GDP!BF47/Population!BF47</f>
        <v>11299.135941964651</v>
      </c>
      <c r="BG47" s="11">
        <f>GDP!BG47/Population!BG47</f>
        <v>11666.455913596614</v>
      </c>
      <c r="BH47" s="11">
        <f>GDP!BH47/Population!BH47</f>
        <v>11814.626259557159</v>
      </c>
      <c r="BI47" s="11">
        <f>GDP!BI47/Population!BI47</f>
        <v>12112.134142997187</v>
      </c>
      <c r="BJ47" s="11">
        <f>GDP!BJ47/Population!BJ47</f>
        <v>12238.37468908251</v>
      </c>
      <c r="BK47" s="11"/>
    </row>
    <row r="48" spans="1:63" x14ac:dyDescent="0.45">
      <c r="A48" t="str">
        <f>GDP!A48</f>
        <v>South</v>
      </c>
      <c r="B48" t="str">
        <f>GDP!B48</f>
        <v>Cote d'Ivoire</v>
      </c>
      <c r="C48" s="11">
        <f>GDP!C48/Population!C48</f>
        <v>155.89990618095402</v>
      </c>
      <c r="D48" s="11">
        <f>GDP!D48/Population!D48</f>
        <v>170.24276721281501</v>
      </c>
      <c r="E48" s="11">
        <f>GDP!E48/Population!E48</f>
        <v>171.1281877475293</v>
      </c>
      <c r="F48" s="11">
        <f>GDP!F48/Population!F48</f>
        <v>194.2126274808428</v>
      </c>
      <c r="G48" s="11">
        <f>GDP!G48/Population!G48</f>
        <v>226.22704905007134</v>
      </c>
      <c r="H48" s="35">
        <f>GDP!H48/Population!H48</f>
        <v>217.60238324385759</v>
      </c>
      <c r="I48" s="35">
        <f>GDP!I48/Population!I48</f>
        <v>233.61464032439969</v>
      </c>
      <c r="J48" s="11">
        <f>GDP!J48/Population!J48</f>
        <v>238.31069477245978</v>
      </c>
      <c r="K48" s="11">
        <f>GDP!K48/Population!K48</f>
        <v>271.85329509975844</v>
      </c>
      <c r="L48" s="11">
        <f>GDP!L48/Population!L48</f>
        <v>277.9720084157704</v>
      </c>
      <c r="M48" s="11">
        <f>GDP!M48/Population!M48</f>
        <v>285.27337328579176</v>
      </c>
      <c r="N48" s="11">
        <f>GDP!N48/Population!N48</f>
        <v>297.27985731722146</v>
      </c>
      <c r="O48" s="11">
        <f>GDP!O48/Population!O48</f>
        <v>331.66929206723484</v>
      </c>
      <c r="P48" s="11">
        <f>GDP!P48/Population!P48</f>
        <v>429.41342866034887</v>
      </c>
      <c r="Q48" s="11">
        <f>GDP!Q48/Population!Q48</f>
        <v>501.55350322685513</v>
      </c>
      <c r="R48" s="11">
        <f>GDP!R48/Population!R48</f>
        <v>607.23555646767682</v>
      </c>
      <c r="S48" s="11">
        <f>GDP!S48/Population!S48</f>
        <v>694.38317056278345</v>
      </c>
      <c r="T48" s="11">
        <f>GDP!T48/Population!T48</f>
        <v>891.63475393709757</v>
      </c>
      <c r="U48" s="11">
        <f>GDP!U48/Population!U48</f>
        <v>1074.8618834410165</v>
      </c>
      <c r="V48" s="11">
        <f>GDP!V48/Population!V48</f>
        <v>1189.5697497683425</v>
      </c>
      <c r="W48" s="11">
        <f>GDP!W48/Population!W48</f>
        <v>1266.6241342353724</v>
      </c>
      <c r="X48" s="11">
        <f>GDP!X48/Population!X48</f>
        <v>1004.634110071481</v>
      </c>
      <c r="Y48" s="11">
        <f>GDP!Y48/Population!Y48</f>
        <v>863.33361422358882</v>
      </c>
      <c r="Z48" s="11">
        <f>GDP!Z48/Population!Z48</f>
        <v>747.75692369904152</v>
      </c>
      <c r="AA48" s="11">
        <f>GDP!AA48/Population!AA48</f>
        <v>717.8973868813855</v>
      </c>
      <c r="AB48" s="11">
        <f>GDP!AB48/Population!AB48</f>
        <v>703.5200933718188</v>
      </c>
      <c r="AC48" s="11">
        <f>GDP!AC48/Population!AC48</f>
        <v>888.5274104780882</v>
      </c>
      <c r="AD48" s="11">
        <f>GDP!AD48/Population!AD48</f>
        <v>942.93049611925153</v>
      </c>
      <c r="AE48" s="11">
        <f>GDP!AE48/Population!AE48</f>
        <v>924.32658767914336</v>
      </c>
      <c r="AF48" s="11">
        <f>GDP!AF48/Population!AF48</f>
        <v>848.28981236952234</v>
      </c>
      <c r="AG48" s="11">
        <f>GDP!AG48/Population!AG48</f>
        <v>905.32168407271627</v>
      </c>
      <c r="AH48" s="11">
        <f>GDP!AH48/Population!AH48</f>
        <v>848.75291615945014</v>
      </c>
      <c r="AI48" s="11">
        <f>GDP!AI48/Population!AI48</f>
        <v>870.48121319148038</v>
      </c>
      <c r="AJ48" s="11">
        <f>GDP!AJ48/Population!AJ48</f>
        <v>832.28270802642896</v>
      </c>
      <c r="AK48" s="11">
        <f>GDP!AK48/Population!AK48</f>
        <v>605.263591180562</v>
      </c>
      <c r="AL48" s="11">
        <f>GDP!AL48/Population!AL48</f>
        <v>774.67121941902974</v>
      </c>
      <c r="AM48" s="11">
        <f>GDP!AM48/Population!AM48</f>
        <v>827.76203220060756</v>
      </c>
      <c r="AN48" s="11">
        <f>GDP!AN48/Population!AN48</f>
        <v>774.72763222602998</v>
      </c>
      <c r="AO48" s="11">
        <f>GDP!AO48/Population!AO48</f>
        <v>809.01267590943439</v>
      </c>
      <c r="AP48" s="11">
        <f>GDP!AP48/Population!AP48</f>
        <v>771.96838511198416</v>
      </c>
      <c r="AQ48" s="11">
        <f>GDP!AQ48/Population!AQ48</f>
        <v>651.30589131303043</v>
      </c>
      <c r="AR48" s="11">
        <f>GDP!AR48/Population!AR48</f>
        <v>664.1276551759903</v>
      </c>
      <c r="AS48" s="11">
        <f>GDP!AS48/Population!AS48</f>
        <v>716.53020635416215</v>
      </c>
      <c r="AT48" s="11">
        <f>GDP!AT48/Population!AT48</f>
        <v>869.71259567683603</v>
      </c>
      <c r="AU48" s="11">
        <f>GDP!AU48/Population!AU48</f>
        <v>921.2012606887713</v>
      </c>
      <c r="AV48" s="11">
        <f>GDP!AV48/Population!AV48</f>
        <v>930.82982333392215</v>
      </c>
      <c r="AW48" s="11">
        <f>GDP!AW48/Population!AW48</f>
        <v>949.13186068122081</v>
      </c>
      <c r="AX48" s="11">
        <f>GDP!AX48/Population!AX48</f>
        <v>1061.1541148416304</v>
      </c>
      <c r="AY48" s="11">
        <f>GDP!AY48/Population!AY48</f>
        <v>1235.6134322657726</v>
      </c>
      <c r="AZ48" s="11">
        <f>GDP!AZ48/Population!AZ48</f>
        <v>1210.2953605008547</v>
      </c>
      <c r="BA48" s="11">
        <f>GDP!BA48/Population!BA48</f>
        <v>1213.1126588239879</v>
      </c>
      <c r="BB48" s="11">
        <f>GDP!BB48/Population!BB48</f>
        <v>1208.5829515685643</v>
      </c>
      <c r="BC48" s="11">
        <f>GDP!BC48/Population!BC48</f>
        <v>1243.2735222804943</v>
      </c>
      <c r="BD48" s="11">
        <f>GDP!BD48/Population!BD48</f>
        <v>1415.8718290667882</v>
      </c>
      <c r="BE48" s="11">
        <f>GDP!BE48/Population!BE48</f>
        <v>1561.4635386117186</v>
      </c>
      <c r="BF48" s="11">
        <f>GDP!BF48/Population!BF48</f>
        <v>1972.5459613098067</v>
      </c>
      <c r="BG48" s="11">
        <f>GDP!BG48/Population!BG48</f>
        <v>2013.3824268721021</v>
      </c>
      <c r="BH48" s="11">
        <f>GDP!BH48/Population!BH48</f>
        <v>2111.0271096825581</v>
      </c>
      <c r="BI48" s="11">
        <f>GDP!BI48/Population!BI48</f>
        <v>2302.6130438480195</v>
      </c>
      <c r="BJ48" s="11">
        <f>GDP!BJ48/Population!BJ48</f>
        <v>2286.1628038355389</v>
      </c>
      <c r="BK48" s="11"/>
    </row>
    <row r="49" spans="1:63" x14ac:dyDescent="0.45">
      <c r="A49" t="str">
        <f>GDP!A49</f>
        <v>South</v>
      </c>
      <c r="B49" t="str">
        <f>GDP!B49</f>
        <v>Dominican Republic</v>
      </c>
      <c r="C49" s="11">
        <f>GDP!C49/Population!C49</f>
        <v>204.11474143834783</v>
      </c>
      <c r="D49" s="11">
        <f>GDP!D49/Population!D49</f>
        <v>192.02773230621088</v>
      </c>
      <c r="E49" s="11">
        <f>GDP!E49/Population!E49</f>
        <v>234.05162029844777</v>
      </c>
      <c r="F49" s="11">
        <f>GDP!F49/Population!F49</f>
        <v>258.59584525917171</v>
      </c>
      <c r="G49" s="11">
        <f>GDP!G49/Population!G49</f>
        <v>272.97413878458354</v>
      </c>
      <c r="H49" s="35">
        <f>GDP!H49/Population!H49</f>
        <v>229.02366904647394</v>
      </c>
      <c r="I49" s="35">
        <f>GDP!I49/Population!I49</f>
        <v>245.98755336522163</v>
      </c>
      <c r="J49" s="11">
        <f>GDP!J49/Population!J49</f>
        <v>250.97669418970034</v>
      </c>
      <c r="K49" s="11">
        <f>GDP!K49/Population!K49</f>
        <v>254.05186509519118</v>
      </c>
      <c r="L49" s="11">
        <f>GDP!L49/Population!L49</f>
        <v>281.37779033935465</v>
      </c>
      <c r="M49" s="11">
        <f>GDP!M49/Population!M49</f>
        <v>330.13165974771766</v>
      </c>
      <c r="N49" s="11">
        <f>GDP!N49/Population!N49</f>
        <v>360.15222304585268</v>
      </c>
      <c r="O49" s="11">
        <f>GDP!O49/Population!O49</f>
        <v>417.91968682728628</v>
      </c>
      <c r="P49" s="11">
        <f>GDP!P49/Population!P49</f>
        <v>480.0529679733342</v>
      </c>
      <c r="Q49" s="11">
        <f>GDP!Q49/Population!Q49</f>
        <v>583.48420771534541</v>
      </c>
      <c r="R49" s="11">
        <f>GDP!R49/Population!R49</f>
        <v>699.60232374023667</v>
      </c>
      <c r="S49" s="11">
        <f>GDP!S49/Population!S49</f>
        <v>748.99020086167513</v>
      </c>
      <c r="T49" s="11">
        <f>GDP!T49/Population!T49</f>
        <v>848.28481923254742</v>
      </c>
      <c r="U49" s="11">
        <f>GDP!U49/Population!U49</f>
        <v>854.64808767435852</v>
      </c>
      <c r="V49" s="11">
        <f>GDP!V49/Population!V49</f>
        <v>969.49875462750163</v>
      </c>
      <c r="W49" s="11">
        <f>GDP!W49/Population!W49</f>
        <v>1164.9526205274462</v>
      </c>
      <c r="X49" s="11">
        <f>GDP!X49/Population!X49</f>
        <v>1273.8234309184995</v>
      </c>
      <c r="Y49" s="11">
        <f>GDP!Y49/Population!Y49</f>
        <v>1362.5104761716414</v>
      </c>
      <c r="Z49" s="11">
        <f>GDP!Z49/Population!Z49</f>
        <v>1487.2748377693554</v>
      </c>
      <c r="AA49" s="11">
        <f>GDP!AA49/Population!AA49</f>
        <v>1831.0853632573799</v>
      </c>
      <c r="AB49" s="11">
        <f>GDP!AB49/Population!AB49</f>
        <v>780.38589783870589</v>
      </c>
      <c r="AC49" s="11">
        <f>GDP!AC49/Population!AC49</f>
        <v>928.03293637283343</v>
      </c>
      <c r="AD49" s="11">
        <f>GDP!AD49/Population!AD49</f>
        <v>865.83135493325119</v>
      </c>
      <c r="AE49" s="11">
        <f>GDP!AE49/Population!AE49</f>
        <v>783.03507060088373</v>
      </c>
      <c r="AF49" s="11">
        <f>GDP!AF49/Population!AF49</f>
        <v>955.51586764463798</v>
      </c>
      <c r="AG49" s="11">
        <f>GDP!AG49/Population!AG49</f>
        <v>991.61445653420333</v>
      </c>
      <c r="AH49" s="11">
        <f>GDP!AH49/Population!AH49</f>
        <v>1338.8960890645903</v>
      </c>
      <c r="AI49" s="11">
        <f>GDP!AI49/Population!AI49</f>
        <v>1532.9032617554642</v>
      </c>
      <c r="AJ49" s="11">
        <f>GDP!AJ49/Population!AJ49</f>
        <v>1733.4003916801819</v>
      </c>
      <c r="AK49" s="11">
        <f>GDP!AK49/Population!AK49</f>
        <v>1908.484808179177</v>
      </c>
      <c r="AL49" s="11">
        <f>GDP!AL49/Population!AL49</f>
        <v>2122.797700597001</v>
      </c>
      <c r="AM49" s="11">
        <f>GDP!AM49/Population!AM49</f>
        <v>2293.7552204183626</v>
      </c>
      <c r="AN49" s="11">
        <f>GDP!AN49/Population!AN49</f>
        <v>2476.1135553912613</v>
      </c>
      <c r="AO49" s="11">
        <f>GDP!AO49/Population!AO49</f>
        <v>2638.3493897199878</v>
      </c>
      <c r="AP49" s="11">
        <f>GDP!AP49/Population!AP49</f>
        <v>2653.3440133817826</v>
      </c>
      <c r="AQ49" s="11">
        <f>GDP!AQ49/Population!AQ49</f>
        <v>2869.1059144140568</v>
      </c>
      <c r="AR49" s="11">
        <f>GDP!AR49/Population!AR49</f>
        <v>2977.1484770603961</v>
      </c>
      <c r="AS49" s="11">
        <f>GDP!AS49/Population!AS49</f>
        <v>3136.1551628514694</v>
      </c>
      <c r="AT49" s="11">
        <f>GDP!AT49/Population!AT49</f>
        <v>2445.4359173801345</v>
      </c>
      <c r="AU49" s="11">
        <f>GDP!AU49/Population!AU49</f>
        <v>2528.5772836735068</v>
      </c>
      <c r="AV49" s="11">
        <f>GDP!AV49/Population!AV49</f>
        <v>3970.3229437180898</v>
      </c>
      <c r="AW49" s="11">
        <f>GDP!AW49/Population!AW49</f>
        <v>4134.6838367203309</v>
      </c>
      <c r="AX49" s="11">
        <f>GDP!AX49/Population!AX49</f>
        <v>4707.792472765148</v>
      </c>
      <c r="AY49" s="11">
        <f>GDP!AY49/Population!AY49</f>
        <v>5087.9854752684878</v>
      </c>
      <c r="AZ49" s="11">
        <f>GDP!AZ49/Population!AZ49</f>
        <v>5039.4026675265277</v>
      </c>
      <c r="BA49" s="11">
        <f>GDP!BA49/Population!BA49</f>
        <v>5555.3897544961019</v>
      </c>
      <c r="BB49" s="11">
        <f>GDP!BB49/Population!BB49</f>
        <v>5913.4322326741203</v>
      </c>
      <c r="BC49" s="11">
        <f>GDP!BC49/Population!BC49</f>
        <v>6110.3694805038531</v>
      </c>
      <c r="BD49" s="11">
        <f>GDP!BD49/Population!BD49</f>
        <v>6238.1337486106995</v>
      </c>
      <c r="BE49" s="11">
        <f>GDP!BE49/Population!BE49</f>
        <v>6608.8280220966126</v>
      </c>
      <c r="BF49" s="11">
        <f>GDP!BF49/Population!BF49</f>
        <v>6921.5168633919748</v>
      </c>
      <c r="BG49" s="11">
        <f>GDP!BG49/Population!BG49</f>
        <v>7280.8802264106744</v>
      </c>
      <c r="BH49" s="11">
        <f>GDP!BH49/Population!BH49</f>
        <v>7609.3388901936069</v>
      </c>
      <c r="BI49" s="11">
        <f>GDP!BI49/Population!BI49</f>
        <v>8050.6306455202302</v>
      </c>
      <c r="BJ49" s="11">
        <f>GDP!BJ49/Population!BJ49</f>
        <v>8282.1161665778</v>
      </c>
      <c r="BK49" s="11"/>
    </row>
    <row r="50" spans="1:63" x14ac:dyDescent="0.45">
      <c r="A50" t="str">
        <f>GDP!A50</f>
        <v>South</v>
      </c>
      <c r="B50" t="str">
        <f>GDP!B50</f>
        <v>Ecuador</v>
      </c>
      <c r="C50" s="11">
        <f>GDP!C50/Population!C50</f>
        <v>455.46159070671126</v>
      </c>
      <c r="D50" s="11">
        <f>GDP!D50/Population!D50</f>
        <v>375.22161529357498</v>
      </c>
      <c r="E50" s="11">
        <f>GDP!E50/Population!E50</f>
        <v>315.68825174909512</v>
      </c>
      <c r="F50" s="11">
        <f>GDP!F50/Population!F50</f>
        <v>368.62994722555288</v>
      </c>
      <c r="G50" s="11">
        <f>GDP!G50/Population!G50</f>
        <v>440.55973021606036</v>
      </c>
      <c r="H50" s="35">
        <f>GDP!H50/Population!H50</f>
        <v>455.19806665818709</v>
      </c>
      <c r="I50" s="35">
        <f>GDP!I50/Population!I50</f>
        <v>449.92027665183423</v>
      </c>
      <c r="J50" s="11">
        <f>GDP!J50/Population!J50</f>
        <v>459.2788936426756</v>
      </c>
      <c r="K50" s="11">
        <f>GDP!K50/Population!K50</f>
        <v>450.99980001603365</v>
      </c>
      <c r="L50" s="11">
        <f>GDP!L50/Population!L50</f>
        <v>527.90045335599973</v>
      </c>
      <c r="M50" s="11">
        <f>GDP!M50/Population!M50</f>
        <v>471.63072315836092</v>
      </c>
      <c r="N50" s="11">
        <f>GDP!N50/Population!N50</f>
        <v>440.85737307796597</v>
      </c>
      <c r="O50" s="11">
        <f>GDP!O50/Population!O50</f>
        <v>495.53577849431491</v>
      </c>
      <c r="P50" s="11">
        <f>GDP!P50/Population!P50</f>
        <v>588.33679348096393</v>
      </c>
      <c r="Q50" s="11">
        <f>GDP!Q50/Population!Q50</f>
        <v>970.01147211345119</v>
      </c>
      <c r="R50" s="11">
        <f>GDP!R50/Population!R50</f>
        <v>1105.4200705885651</v>
      </c>
      <c r="S50" s="11">
        <f>GDP!S50/Population!S50</f>
        <v>1264.9128261591502</v>
      </c>
      <c r="T50" s="11">
        <f>GDP!T50/Population!T50</f>
        <v>1493.3314148795378</v>
      </c>
      <c r="U50" s="11">
        <f>GDP!U50/Population!U50</f>
        <v>1572.4014242016956</v>
      </c>
      <c r="V50" s="11">
        <f>GDP!V50/Population!V50</f>
        <v>1821.0477066501953</v>
      </c>
      <c r="W50" s="11">
        <f>GDP!W50/Population!W50</f>
        <v>2238.2147547947939</v>
      </c>
      <c r="X50" s="11">
        <f>GDP!X50/Population!X50</f>
        <v>2660.6115839023173</v>
      </c>
      <c r="Y50" s="11">
        <f>GDP!Y50/Population!Y50</f>
        <v>2369.9504199884964</v>
      </c>
      <c r="Z50" s="11">
        <f>GDP!Z50/Population!Z50</f>
        <v>1988.7873363082367</v>
      </c>
      <c r="AA50" s="11">
        <f>GDP!AA50/Population!AA50</f>
        <v>1912.4314744610199</v>
      </c>
      <c r="AB50" s="11">
        <f>GDP!AB50/Population!AB50</f>
        <v>1891.5606366523941</v>
      </c>
      <c r="AC50" s="11">
        <f>GDP!AC50/Population!AC50</f>
        <v>1648.0158304451538</v>
      </c>
      <c r="AD50" s="11">
        <f>GDP!AD50/Population!AD50</f>
        <v>1464.4932625945669</v>
      </c>
      <c r="AE50" s="11">
        <f>GDP!AE50/Population!AE50</f>
        <v>1337.889487851003</v>
      </c>
      <c r="AF50" s="11">
        <f>GDP!AF50/Population!AF50</f>
        <v>1390.2130720275584</v>
      </c>
      <c r="AG50" s="11">
        <f>GDP!AG50/Population!AG50</f>
        <v>1489.5295573209642</v>
      </c>
      <c r="AH50" s="11">
        <f>GDP!AH50/Population!AH50</f>
        <v>1622.2081966297364</v>
      </c>
      <c r="AI50" s="11">
        <f>GDP!AI50/Population!AI50</f>
        <v>1688.5050278883355</v>
      </c>
      <c r="AJ50" s="11">
        <f>GDP!AJ50/Population!AJ50</f>
        <v>1727.7541350764579</v>
      </c>
      <c r="AK50" s="11">
        <f>GDP!AK50/Population!AK50</f>
        <v>2026.112641496017</v>
      </c>
      <c r="AL50" s="11">
        <f>GDP!AL50/Population!AL50</f>
        <v>2132.9069051934825</v>
      </c>
      <c r="AM50" s="11">
        <f>GDP!AM50/Population!AM50</f>
        <v>2155.5172639490793</v>
      </c>
      <c r="AN50" s="11">
        <f>GDP!AN50/Population!AN50</f>
        <v>2356.370765326255</v>
      </c>
      <c r="AO50" s="11">
        <f>GDP!AO50/Population!AO50</f>
        <v>2293.889799268743</v>
      </c>
      <c r="AP50" s="11">
        <f>GDP!AP50/Population!AP50</f>
        <v>1578.9334903270062</v>
      </c>
      <c r="AQ50" s="11">
        <f>GDP!AQ50/Population!AQ50</f>
        <v>1445.2793330685304</v>
      </c>
      <c r="AR50" s="11">
        <f>GDP!AR50/Population!AR50</f>
        <v>1894.6151961951477</v>
      </c>
      <c r="AS50" s="11">
        <f>GDP!AS50/Population!AS50</f>
        <v>2172.1019472414619</v>
      </c>
      <c r="AT50" s="11">
        <f>GDP!AT50/Population!AT50</f>
        <v>2425.8517735430878</v>
      </c>
      <c r="AU50" s="11">
        <f>GDP!AU50/Population!AU50</f>
        <v>2691.2780847383879</v>
      </c>
      <c r="AV50" s="11">
        <f>GDP!AV50/Population!AV50</f>
        <v>3002.1369639053578</v>
      </c>
      <c r="AW50" s="11">
        <f>GDP!AW50/Population!AW50</f>
        <v>3328.8828927355567</v>
      </c>
      <c r="AX50" s="11">
        <f>GDP!AX50/Population!AX50</f>
        <v>3567.8365648456479</v>
      </c>
      <c r="AY50" s="11">
        <f>GDP!AY50/Population!AY50</f>
        <v>4249.0191746013052</v>
      </c>
      <c r="AZ50" s="11">
        <f>GDP!AZ50/Population!AZ50</f>
        <v>4231.6157381160847</v>
      </c>
      <c r="BA50" s="11">
        <f>GDP!BA50/Population!BA50</f>
        <v>4633.5901478883952</v>
      </c>
      <c r="BB50" s="11">
        <f>GDP!BB50/Population!BB50</f>
        <v>5200.5557103790416</v>
      </c>
      <c r="BC50" s="11">
        <f>GDP!BC50/Population!BC50</f>
        <v>5682.0452381663245</v>
      </c>
      <c r="BD50" s="11">
        <f>GDP!BD50/Population!BD50</f>
        <v>6056.3307215405866</v>
      </c>
      <c r="BE50" s="11">
        <f>GDP!BE50/Population!BE50</f>
        <v>6377.0915226195248</v>
      </c>
      <c r="BF50" s="11">
        <f>GDP!BF50/Population!BF50</f>
        <v>6124.4917250287135</v>
      </c>
      <c r="BG50" s="11">
        <f>GDP!BG50/Population!BG50</f>
        <v>6060.0934377087297</v>
      </c>
      <c r="BH50" s="11">
        <f>GDP!BH50/Population!BH50</f>
        <v>6213.5014188554787</v>
      </c>
      <c r="BI50" s="11">
        <f>GDP!BI50/Population!BI50</f>
        <v>6295.935800916347</v>
      </c>
      <c r="BJ50" s="11">
        <f>GDP!BJ50/Population!BJ50</f>
        <v>6183.8237304259746</v>
      </c>
      <c r="BK50" s="11"/>
    </row>
    <row r="51" spans="1:63" x14ac:dyDescent="0.45">
      <c r="A51" t="str">
        <f>GDP!A51</f>
        <v>South</v>
      </c>
      <c r="B51" t="str">
        <f>GDP!B51</f>
        <v>Fiji</v>
      </c>
      <c r="C51" s="11">
        <f>GDP!C51/Population!C51</f>
        <v>285.47356543263845</v>
      </c>
      <c r="D51" s="11">
        <f>GDP!D51/Population!D51</f>
        <v>287.26352673671391</v>
      </c>
      <c r="E51" s="11">
        <f>GDP!E51/Population!E51</f>
        <v>291.47885643816772</v>
      </c>
      <c r="F51" s="11">
        <f>GDP!F51/Population!F51</f>
        <v>296.71511575936353</v>
      </c>
      <c r="G51" s="11">
        <f>GDP!G51/Population!G51</f>
        <v>310.80950499620457</v>
      </c>
      <c r="H51" s="35">
        <f>GDP!H51/Population!H51</f>
        <v>317.0148630940065</v>
      </c>
      <c r="I51" s="35">
        <f>GDP!I51/Population!I51</f>
        <v>316.12648088597075</v>
      </c>
      <c r="J51" s="11">
        <f>GDP!J51/Population!J51</f>
        <v>333.26274588559801</v>
      </c>
      <c r="K51" s="11">
        <f>GDP!K51/Population!K51</f>
        <v>334.61527237744019</v>
      </c>
      <c r="L51" s="11">
        <f>GDP!L51/Population!L51</f>
        <v>357.42718126598965</v>
      </c>
      <c r="M51" s="11">
        <f>GDP!M51/Population!M51</f>
        <v>422.38672818991785</v>
      </c>
      <c r="N51" s="11">
        <f>GDP!N51/Population!N51</f>
        <v>466.01395318216447</v>
      </c>
      <c r="O51" s="11">
        <f>GDP!O51/Population!O51</f>
        <v>583.317667690902</v>
      </c>
      <c r="P51" s="11">
        <f>GDP!P51/Population!P51</f>
        <v>768.69545131357177</v>
      </c>
      <c r="Q51" s="11">
        <f>GDP!Q51/Population!Q51</f>
        <v>987.92902204575398</v>
      </c>
      <c r="R51" s="11">
        <f>GDP!R51/Population!R51</f>
        <v>1186.6760916087724</v>
      </c>
      <c r="S51" s="11">
        <f>GDP!S51/Population!S51</f>
        <v>1182.1021347716051</v>
      </c>
      <c r="T51" s="11">
        <f>GDP!T51/Population!T51</f>
        <v>1202.6373567598646</v>
      </c>
      <c r="U51" s="11">
        <f>GDP!U51/Population!U51</f>
        <v>1360.7853976891381</v>
      </c>
      <c r="V51" s="11">
        <f>GDP!V51/Population!V51</f>
        <v>1640.5542862199056</v>
      </c>
      <c r="W51" s="11">
        <f>GDP!W51/Population!W51</f>
        <v>1892.8916193273487</v>
      </c>
      <c r="X51" s="11">
        <f>GDP!X51/Population!X51</f>
        <v>1898.4023188192086</v>
      </c>
      <c r="Y51" s="11">
        <f>GDP!Y51/Population!Y51</f>
        <v>1786.6994194050399</v>
      </c>
      <c r="Z51" s="11">
        <f>GDP!Z51/Population!Z51</f>
        <v>1638.3840162684885</v>
      </c>
      <c r="AA51" s="11">
        <f>GDP!AA51/Population!AA51</f>
        <v>1681.6931174632361</v>
      </c>
      <c r="AB51" s="11">
        <f>GDP!AB51/Population!AB51</f>
        <v>1603.3298612623371</v>
      </c>
      <c r="AC51" s="11">
        <f>GDP!AC51/Population!AC51</f>
        <v>1795.3779408019882</v>
      </c>
      <c r="AD51" s="11">
        <f>GDP!AD51/Population!AD51</f>
        <v>1631.9423206143674</v>
      </c>
      <c r="AE51" s="11">
        <f>GDP!AE51/Population!AE51</f>
        <v>1535.3864966179299</v>
      </c>
      <c r="AF51" s="11">
        <f>GDP!AF51/Population!AF51</f>
        <v>1632.205886330828</v>
      </c>
      <c r="AG51" s="11">
        <f>GDP!AG51/Population!AG51</f>
        <v>1835.1280763904235</v>
      </c>
      <c r="AH51" s="11">
        <f>GDP!AH51/Population!AH51</f>
        <v>1881.7540906253867</v>
      </c>
      <c r="AI51" s="11">
        <f>GDP!AI51/Population!AI51</f>
        <v>2057.5779622791547</v>
      </c>
      <c r="AJ51" s="11">
        <f>GDP!AJ51/Population!AJ51</f>
        <v>2166.2335452200969</v>
      </c>
      <c r="AK51" s="11">
        <f>GDP!AK51/Population!AK51</f>
        <v>2384.0956937549063</v>
      </c>
      <c r="AL51" s="11">
        <f>GDP!AL51/Population!AL51</f>
        <v>2540.9907805397042</v>
      </c>
      <c r="AM51" s="11">
        <f>GDP!AM51/Population!AM51</f>
        <v>2714.5648800463036</v>
      </c>
      <c r="AN51" s="11">
        <f>GDP!AN51/Population!AN51</f>
        <v>2641.4778993258792</v>
      </c>
      <c r="AO51" s="11">
        <f>GDP!AO51/Population!AO51</f>
        <v>2070.5746097328401</v>
      </c>
      <c r="AP51" s="11">
        <f>GDP!AP51/Population!AP51</f>
        <v>2408.7359317775081</v>
      </c>
      <c r="AQ51" s="11">
        <f>GDP!AQ51/Population!AQ51</f>
        <v>2076.56872575542</v>
      </c>
      <c r="AR51" s="11">
        <f>GDP!AR51/Population!AR51</f>
        <v>2039.6257640445988</v>
      </c>
      <c r="AS51" s="11">
        <f>GDP!AS51/Population!AS51</f>
        <v>2260.2583676067793</v>
      </c>
      <c r="AT51" s="11">
        <f>GDP!AT51/Population!AT51</f>
        <v>2837.8922355270834</v>
      </c>
      <c r="AU51" s="11">
        <f>GDP!AU51/Population!AU51</f>
        <v>3334.9316508937959</v>
      </c>
      <c r="AV51" s="11">
        <f>GDP!AV51/Population!AV51</f>
        <v>3659.5794567699281</v>
      </c>
      <c r="AW51" s="11">
        <f>GDP!AW51/Population!AW51</f>
        <v>3747.8607800741661</v>
      </c>
      <c r="AX51" s="11">
        <f>GDP!AX51/Population!AX51</f>
        <v>4072.1015845681004</v>
      </c>
      <c r="AY51" s="11">
        <f>GDP!AY51/Population!AY51</f>
        <v>4167.6702852390872</v>
      </c>
      <c r="AZ51" s="11">
        <f>GDP!AZ51/Population!AZ51</f>
        <v>3362.8164102540072</v>
      </c>
      <c r="BA51" s="11">
        <f>GDP!BA51/Population!BA51</f>
        <v>3652.5275442012148</v>
      </c>
      <c r="BB51" s="11">
        <f>GDP!BB51/Population!BB51</f>
        <v>4371.4574456626851</v>
      </c>
      <c r="BC51" s="11">
        <f>GDP!BC51/Population!BC51</f>
        <v>4591.5557533560905</v>
      </c>
      <c r="BD51" s="11">
        <f>GDP!BD51/Population!BD51</f>
        <v>4840.6937458988368</v>
      </c>
      <c r="BE51" s="11">
        <f>GDP!BE51/Population!BE51</f>
        <v>5605.5701486404914</v>
      </c>
      <c r="BF51" s="11">
        <f>GDP!BF51/Population!BF51</f>
        <v>5390.7450355561132</v>
      </c>
      <c r="BG51" s="11">
        <f>GDP!BG51/Population!BG51</f>
        <v>5651.3179863800851</v>
      </c>
      <c r="BH51" s="11">
        <f>GDP!BH51/Population!BH51</f>
        <v>6101.0308356287869</v>
      </c>
      <c r="BI51" s="11">
        <f>GDP!BI51/Population!BI51</f>
        <v>6266.9681340784146</v>
      </c>
      <c r="BJ51" s="11">
        <f>GDP!BJ51/Population!BJ51</f>
        <v>6220.0463709881305</v>
      </c>
      <c r="BK51" s="11"/>
    </row>
    <row r="52" spans="1:63" x14ac:dyDescent="0.45">
      <c r="A52" t="str">
        <f>GDP!A52</f>
        <v>South</v>
      </c>
      <c r="B52" t="str">
        <f>GDP!B52</f>
        <v>Gabon</v>
      </c>
      <c r="C52" s="11">
        <f>GDP!C52/Population!C52</f>
        <v>282.4137920020442</v>
      </c>
      <c r="D52" s="11">
        <f>GDP!D52/Population!D52</f>
        <v>331.43186127295627</v>
      </c>
      <c r="E52" s="11">
        <f>GDP!E52/Population!E52</f>
        <v>357.52237784258159</v>
      </c>
      <c r="F52" s="11">
        <f>GDP!F52/Population!F52</f>
        <v>298.46640132926314</v>
      </c>
      <c r="G52" s="11">
        <f>GDP!G52/Population!G52</f>
        <v>410.90095352403813</v>
      </c>
      <c r="H52" s="35">
        <f>GDP!H52/Population!H52</f>
        <v>424.61726297948292</v>
      </c>
      <c r="I52" s="35">
        <f>GDP!I52/Population!I52</f>
        <v>452.66865029680804</v>
      </c>
      <c r="J52" s="11">
        <f>GDP!J52/Population!J52</f>
        <v>490.09885228829421</v>
      </c>
      <c r="K52" s="11">
        <f>GDP!K52/Population!K52</f>
        <v>520.47768158567328</v>
      </c>
      <c r="L52" s="11">
        <f>GDP!L52/Population!L52</f>
        <v>550.72605713533892</v>
      </c>
      <c r="M52" s="11">
        <f>GDP!M52/Population!M52</f>
        <v>549.456595295547</v>
      </c>
      <c r="N52" s="11">
        <f>GDP!N52/Population!N52</f>
        <v>635.49585506807216</v>
      </c>
      <c r="O52" s="11">
        <f>GDP!O52/Population!O52</f>
        <v>703.78541255247637</v>
      </c>
      <c r="P52" s="11">
        <f>GDP!P52/Population!P52</f>
        <v>1160.3105888396583</v>
      </c>
      <c r="Q52" s="11">
        <f>GDP!Q52/Population!Q52</f>
        <v>2432.824776050742</v>
      </c>
      <c r="R52" s="11">
        <f>GDP!R52/Population!R52</f>
        <v>3332.0044476291664</v>
      </c>
      <c r="S52" s="11">
        <f>GDP!S52/Population!S52</f>
        <v>4550.0467915125746</v>
      </c>
      <c r="T52" s="11">
        <f>GDP!T52/Population!T52</f>
        <v>4154.2748223673025</v>
      </c>
      <c r="U52" s="11">
        <f>GDP!U52/Population!U52</f>
        <v>3452.6203991752363</v>
      </c>
      <c r="V52" s="11">
        <f>GDP!V52/Population!V52</f>
        <v>4275.2572109008615</v>
      </c>
      <c r="W52" s="11">
        <f>GDP!W52/Population!W52</f>
        <v>5892.1561828815629</v>
      </c>
      <c r="X52" s="11">
        <f>GDP!X52/Population!X52</f>
        <v>5186.3702557822253</v>
      </c>
      <c r="Y52" s="11">
        <f>GDP!Y52/Population!Y52</f>
        <v>4736.0462450748109</v>
      </c>
      <c r="Z52" s="11">
        <f>GDP!Z52/Population!Z52</f>
        <v>4325.2703246303536</v>
      </c>
      <c r="AA52" s="11">
        <f>GDP!AA52/Population!AA52</f>
        <v>4423.5314458182993</v>
      </c>
      <c r="AB52" s="11">
        <f>GDP!AB52/Population!AB52</f>
        <v>4038.0636531142245</v>
      </c>
      <c r="AC52" s="11">
        <f>GDP!AC52/Population!AC52</f>
        <v>4004.0542087035087</v>
      </c>
      <c r="AD52" s="11">
        <f>GDP!AD52/Population!AD52</f>
        <v>3755.4881005919665</v>
      </c>
      <c r="AE52" s="11">
        <f>GDP!AE52/Population!AE52</f>
        <v>4267.8193949930383</v>
      </c>
      <c r="AF52" s="11">
        <f>GDP!AF52/Population!AF52</f>
        <v>4532.165926355754</v>
      </c>
      <c r="AG52" s="11">
        <f>GDP!AG52/Population!AG52</f>
        <v>6268.9511484084051</v>
      </c>
      <c r="AH52" s="11">
        <f>GDP!AH52/Population!AH52</f>
        <v>5537.00969990254</v>
      </c>
      <c r="AI52" s="11">
        <f>GDP!AI52/Population!AI52</f>
        <v>5578.0049811536046</v>
      </c>
      <c r="AJ52" s="11">
        <f>GDP!AJ52/Population!AJ52</f>
        <v>4252.0280992602293</v>
      </c>
      <c r="AK52" s="11">
        <f>GDP!AK52/Population!AK52</f>
        <v>3963.8680621042226</v>
      </c>
      <c r="AL52" s="11">
        <f>GDP!AL52/Population!AL52</f>
        <v>4570.5924092074629</v>
      </c>
      <c r="AM52" s="11">
        <f>GDP!AM52/Population!AM52</f>
        <v>5116.1462736588628</v>
      </c>
      <c r="AN52" s="11">
        <f>GDP!AN52/Population!AN52</f>
        <v>4667.1685057362502</v>
      </c>
      <c r="AO52" s="11">
        <f>GDP!AO52/Population!AO52</f>
        <v>3831.7806404965213</v>
      </c>
      <c r="AP52" s="11">
        <f>GDP!AP52/Population!AP52</f>
        <v>3888.8987900441348</v>
      </c>
      <c r="AQ52" s="11">
        <f>GDP!AQ52/Population!AQ52</f>
        <v>4125.7164739978507</v>
      </c>
      <c r="AR52" s="11">
        <f>GDP!AR52/Population!AR52</f>
        <v>3989.5567562239517</v>
      </c>
      <c r="AS52" s="11">
        <f>GDP!AS52/Population!AS52</f>
        <v>4121.9585706911739</v>
      </c>
      <c r="AT52" s="11">
        <f>GDP!AT52/Population!AT52</f>
        <v>4922.3764785564335</v>
      </c>
      <c r="AU52" s="11">
        <f>GDP!AU52/Population!AU52</f>
        <v>5729.2969999150537</v>
      </c>
      <c r="AV52" s="11">
        <f>GDP!AV52/Population!AV52</f>
        <v>6888.6268545732655</v>
      </c>
      <c r="AW52" s="11">
        <f>GDP!AW52/Population!AW52</f>
        <v>7214.9142636586885</v>
      </c>
      <c r="AX52" s="11">
        <f>GDP!AX52/Population!AX52</f>
        <v>8447.0787946284563</v>
      </c>
      <c r="AY52" s="11">
        <f>GDP!AY52/Population!AY52</f>
        <v>10212.819703135907</v>
      </c>
      <c r="AZ52" s="11">
        <f>GDP!AZ52/Population!AZ52</f>
        <v>7690.0524995410879</v>
      </c>
      <c r="BA52" s="11">
        <f>GDP!BA52/Population!BA52</f>
        <v>8849.3551147068611</v>
      </c>
      <c r="BB52" s="11">
        <f>GDP!BB52/Population!BB52</f>
        <v>10809.646063390586</v>
      </c>
      <c r="BC52" s="11">
        <f>GDP!BC52/Population!BC52</f>
        <v>9813.4779874285723</v>
      </c>
      <c r="BD52" s="11">
        <f>GDP!BD52/Population!BD52</f>
        <v>9683.5766483533116</v>
      </c>
      <c r="BE52" s="11">
        <f>GDP!BE52/Population!BE52</f>
        <v>9663.4289669816335</v>
      </c>
      <c r="BF52" s="11">
        <f>GDP!BF52/Population!BF52</f>
        <v>7384.7160661420785</v>
      </c>
      <c r="BG52" s="11">
        <f>GDP!BG52/Population!BG52</f>
        <v>6984.4511799302045</v>
      </c>
      <c r="BH52" s="11">
        <f>GDP!BH52/Population!BH52</f>
        <v>7230.3964533521757</v>
      </c>
      <c r="BI52" s="11">
        <f>GDP!BI52/Population!BI52</f>
        <v>7956.6279751330057</v>
      </c>
      <c r="BJ52" s="11">
        <f>GDP!BJ52/Population!BJ52</f>
        <v>7667.366726825584</v>
      </c>
      <c r="BK52" s="11"/>
    </row>
    <row r="53" spans="1:63" x14ac:dyDescent="0.45">
      <c r="A53" t="str">
        <f>GDP!A53</f>
        <v>South</v>
      </c>
      <c r="B53" t="str">
        <f>GDP!B53</f>
        <v>Ghana</v>
      </c>
      <c r="C53" s="11">
        <f>GDP!C53/Population!C53</f>
        <v>183.44956843997872</v>
      </c>
      <c r="D53" s="11">
        <f>GDP!D53/Population!D53</f>
        <v>190.21877766655788</v>
      </c>
      <c r="E53" s="11">
        <f>GDP!E53/Population!E53</f>
        <v>195.49225866452224</v>
      </c>
      <c r="F53" s="11">
        <f>GDP!F53/Population!F53</f>
        <v>211.06480609349222</v>
      </c>
      <c r="G53" s="11">
        <f>GDP!G53/Population!G53</f>
        <v>230.08871958058984</v>
      </c>
      <c r="H53" s="35">
        <f>GDP!H53/Population!H53</f>
        <v>265.3233510860494</v>
      </c>
      <c r="I53" s="35">
        <f>GDP!I53/Population!I53</f>
        <v>267.7484235800888</v>
      </c>
      <c r="J53" s="11">
        <f>GDP!J53/Population!J53</f>
        <v>214.83215368674243</v>
      </c>
      <c r="K53" s="11">
        <f>GDP!K53/Population!K53</f>
        <v>200.30717119074427</v>
      </c>
      <c r="L53" s="11">
        <f>GDP!L53/Population!L53</f>
        <v>230.28730911858725</v>
      </c>
      <c r="M53" s="11">
        <f>GDP!M53/Population!M53</f>
        <v>253.56656995396369</v>
      </c>
      <c r="N53" s="11">
        <f>GDP!N53/Population!N53</f>
        <v>269.36832565792258</v>
      </c>
      <c r="O53" s="11">
        <f>GDP!O53/Population!O53</f>
        <v>228.85996114037496</v>
      </c>
      <c r="P53" s="11">
        <f>GDP!P53/Population!P53</f>
        <v>259.70173789463087</v>
      </c>
      <c r="Q53" s="11">
        <f>GDP!Q53/Population!Q53</f>
        <v>296.88984587711855</v>
      </c>
      <c r="R53" s="11">
        <f>GDP!R53/Population!R53</f>
        <v>281.40612496803004</v>
      </c>
      <c r="S53" s="11">
        <f>GDP!S53/Population!S53</f>
        <v>271.12554253215825</v>
      </c>
      <c r="T53" s="11">
        <f>GDP!T53/Population!T53</f>
        <v>306.80998575146134</v>
      </c>
      <c r="U53" s="11">
        <f>GDP!U53/Population!U53</f>
        <v>345.83454364344749</v>
      </c>
      <c r="V53" s="11">
        <f>GDP!V53/Population!V53</f>
        <v>372.06025109497051</v>
      </c>
      <c r="W53" s="11">
        <f>GDP!W53/Population!W53</f>
        <v>402.06054567444841</v>
      </c>
      <c r="X53" s="11">
        <f>GDP!X53/Population!X53</f>
        <v>372.07738787759104</v>
      </c>
      <c r="Y53" s="11">
        <f>GDP!Y53/Population!Y53</f>
        <v>345.64147867960315</v>
      </c>
      <c r="Z53" s="11">
        <f>GDP!Z53/Population!Z53</f>
        <v>337.16290761473624</v>
      </c>
      <c r="AA53" s="11">
        <f>GDP!AA53/Population!AA53</f>
        <v>355.66667214803567</v>
      </c>
      <c r="AB53" s="11">
        <f>GDP!AB53/Population!AB53</f>
        <v>352.35281418484743</v>
      </c>
      <c r="AC53" s="11">
        <f>GDP!AC53/Population!AC53</f>
        <v>435.06825705475882</v>
      </c>
      <c r="AD53" s="11">
        <f>GDP!AD53/Population!AD53</f>
        <v>374.47033353918209</v>
      </c>
      <c r="AE53" s="11">
        <f>GDP!AE53/Population!AE53</f>
        <v>372.68410721069029</v>
      </c>
      <c r="AF53" s="11">
        <f>GDP!AF53/Population!AF53</f>
        <v>365.88965437481409</v>
      </c>
      <c r="AG53" s="11">
        <f>GDP!AG53/Population!AG53</f>
        <v>398.63701465829143</v>
      </c>
      <c r="AH53" s="11">
        <f>GDP!AH53/Population!AH53</f>
        <v>433.77305538822071</v>
      </c>
      <c r="AI53" s="11">
        <f>GDP!AI53/Population!AI53</f>
        <v>409.74663956616018</v>
      </c>
      <c r="AJ53" s="11">
        <f>GDP!AJ53/Population!AJ53</f>
        <v>370.41923787923895</v>
      </c>
      <c r="AK53" s="11">
        <f>GDP!AK53/Population!AK53</f>
        <v>328.7446000929616</v>
      </c>
      <c r="AL53" s="11">
        <f>GDP!AL53/Population!AL53</f>
        <v>379.9880324832597</v>
      </c>
      <c r="AM53" s="11">
        <f>GDP!AM53/Population!AM53</f>
        <v>397.1359365808874</v>
      </c>
      <c r="AN53" s="11">
        <f>GDP!AN53/Population!AN53</f>
        <v>384.79617514874099</v>
      </c>
      <c r="AO53" s="11">
        <f>GDP!AO53/Population!AO53</f>
        <v>407.52329522067578</v>
      </c>
      <c r="AP53" s="11">
        <f>GDP!AP53/Population!AP53</f>
        <v>410.33421006189548</v>
      </c>
      <c r="AQ53" s="11">
        <f>GDP!AQ53/Population!AQ53</f>
        <v>258.47097151407741</v>
      </c>
      <c r="AR53" s="11">
        <f>GDP!AR53/Population!AR53</f>
        <v>269.01501124061394</v>
      </c>
      <c r="AS53" s="11">
        <f>GDP!AS53/Population!AS53</f>
        <v>304.56458724967132</v>
      </c>
      <c r="AT53" s="11">
        <f>GDP!AT53/Population!AT53</f>
        <v>367.82150272526178</v>
      </c>
      <c r="AU53" s="11">
        <f>GDP!AU53/Population!AU53</f>
        <v>417.50812294886072</v>
      </c>
      <c r="AV53" s="11">
        <f>GDP!AV53/Population!AV53</f>
        <v>491.94635713022473</v>
      </c>
      <c r="AW53" s="11">
        <f>GDP!AW53/Population!AW53</f>
        <v>911.99859297014132</v>
      </c>
      <c r="AX53" s="11">
        <f>GDP!AX53/Population!AX53</f>
        <v>1078.1604701561309</v>
      </c>
      <c r="AY53" s="11">
        <f>GDP!AY53/Population!AY53</f>
        <v>1210.6223085013705</v>
      </c>
      <c r="AZ53" s="11">
        <f>GDP!AZ53/Population!AZ53</f>
        <v>1074.7553801382983</v>
      </c>
      <c r="BA53" s="11">
        <f>GDP!BA53/Population!BA53</f>
        <v>1299.3449294218394</v>
      </c>
      <c r="BB53" s="11">
        <f>GDP!BB53/Population!BB53</f>
        <v>1549.4629626697326</v>
      </c>
      <c r="BC53" s="11">
        <f>GDP!BC53/Population!BC53</f>
        <v>1587.5613480733982</v>
      </c>
      <c r="BD53" s="11">
        <f>GDP!BD53/Population!BD53</f>
        <v>2345.3928744230698</v>
      </c>
      <c r="BE53" s="11">
        <f>GDP!BE53/Population!BE53</f>
        <v>1971.0332756499372</v>
      </c>
      <c r="BF53" s="11">
        <f>GDP!BF53/Population!BF53</f>
        <v>1743.8510262627256</v>
      </c>
      <c r="BG53" s="11">
        <f>GDP!BG53/Population!BG53</f>
        <v>1931.3894689639535</v>
      </c>
      <c r="BH53" s="11">
        <f>GDP!BH53/Population!BH53</f>
        <v>2025.9323682539125</v>
      </c>
      <c r="BI53" s="11">
        <f>GDP!BI53/Population!BI53</f>
        <v>2202.3121499072063</v>
      </c>
      <c r="BJ53" s="11">
        <f>GDP!BJ53/Population!BJ53</f>
        <v>2202.11552372396</v>
      </c>
      <c r="BK53" s="11"/>
    </row>
    <row r="54" spans="1:63" x14ac:dyDescent="0.45">
      <c r="A54" t="str">
        <f>GDP!A54</f>
        <v>South</v>
      </c>
      <c r="B54" t="str">
        <f>GDP!B54</f>
        <v>Guatemala</v>
      </c>
      <c r="C54" s="11">
        <f>GDP!C54/Population!C54</f>
        <v>252.75616438356164</v>
      </c>
      <c r="D54" s="11">
        <f>GDP!D54/Population!D54</f>
        <v>253.22729097575186</v>
      </c>
      <c r="E54" s="11">
        <f>GDP!E54/Population!E54</f>
        <v>261.17913380611719</v>
      </c>
      <c r="F54" s="11">
        <f>GDP!F54/Population!F54</f>
        <v>280.09663644485767</v>
      </c>
      <c r="G54" s="11">
        <f>GDP!G54/Population!G54</f>
        <v>279.93046536207697</v>
      </c>
      <c r="H54" s="35">
        <f>GDP!H54/Population!H54</f>
        <v>278.82814602101286</v>
      </c>
      <c r="I54" s="35">
        <f>GDP!I54/Population!I54</f>
        <v>283.1927311084367</v>
      </c>
      <c r="J54" s="11">
        <f>GDP!J54/Population!J54</f>
        <v>287.96805347666685</v>
      </c>
      <c r="K54" s="11">
        <f>GDP!K54/Population!K54</f>
        <v>310.66173903063117</v>
      </c>
      <c r="L54" s="11">
        <f>GDP!L54/Population!L54</f>
        <v>322.43753613653877</v>
      </c>
      <c r="M54" s="11">
        <f>GDP!M54/Population!M54</f>
        <v>349.02497563332724</v>
      </c>
      <c r="N54" s="11">
        <f>GDP!N54/Population!N54</f>
        <v>355.09037110772346</v>
      </c>
      <c r="O54" s="11">
        <f>GDP!O54/Population!O54</f>
        <v>367.11887555014107</v>
      </c>
      <c r="P54" s="11">
        <f>GDP!P54/Population!P54</f>
        <v>438.54485594010447</v>
      </c>
      <c r="Q54" s="11">
        <f>GDP!Q54/Population!Q54</f>
        <v>527.41769747927196</v>
      </c>
      <c r="R54" s="11">
        <f>GDP!R54/Population!R54</f>
        <v>594.6518087713057</v>
      </c>
      <c r="S54" s="11">
        <f>GDP!S54/Population!S54</f>
        <v>696.22201910276317</v>
      </c>
      <c r="T54" s="11">
        <f>GDP!T54/Population!T54</f>
        <v>854.63664712357593</v>
      </c>
      <c r="U54" s="11">
        <f>GDP!U54/Population!U54</f>
        <v>925.1257432467545</v>
      </c>
      <c r="V54" s="11">
        <f>GDP!V54/Population!V54</f>
        <v>1027.0836948347628</v>
      </c>
      <c r="W54" s="11">
        <f>GDP!W54/Population!W54</f>
        <v>1143.4404066210898</v>
      </c>
      <c r="X54" s="11">
        <f>GDP!X54/Population!X54</f>
        <v>1217.2640187940185</v>
      </c>
      <c r="Y54" s="11">
        <f>GDP!Y54/Population!Y54</f>
        <v>1200.2492310666426</v>
      </c>
      <c r="Z54" s="11">
        <f>GDP!Z54/Population!Z54</f>
        <v>1212.7165565283344</v>
      </c>
      <c r="AA54" s="11">
        <f>GDP!AA54/Population!AA54</f>
        <v>1234.7026443627481</v>
      </c>
      <c r="AB54" s="11">
        <f>GDP!AB54/Population!AB54</f>
        <v>1233.080961345423</v>
      </c>
      <c r="AC54" s="11">
        <f>GDP!AC54/Population!AC54</f>
        <v>892.29292278111041</v>
      </c>
      <c r="AD54" s="11">
        <f>GDP!AD54/Population!AD54</f>
        <v>850.21848518430238</v>
      </c>
      <c r="AE54" s="11">
        <f>GDP!AE54/Population!AE54</f>
        <v>915.39809423661075</v>
      </c>
      <c r="AF54" s="11">
        <f>GDP!AF54/Population!AF54</f>
        <v>955.11345986455819</v>
      </c>
      <c r="AG54" s="11">
        <f>GDP!AG54/Population!AG54</f>
        <v>845.30697256333212</v>
      </c>
      <c r="AH54" s="11">
        <f>GDP!AH54/Population!AH54</f>
        <v>1011.7549310979008</v>
      </c>
      <c r="AI54" s="11">
        <f>GDP!AI54/Population!AI54</f>
        <v>1093.9629161818534</v>
      </c>
      <c r="AJ54" s="11">
        <f>GDP!AJ54/Population!AJ54</f>
        <v>1164.3739935135868</v>
      </c>
      <c r="AK54" s="11">
        <f>GDP!AK54/Population!AK54</f>
        <v>1293.4701995173709</v>
      </c>
      <c r="AL54" s="11">
        <f>GDP!AL54/Population!AL54</f>
        <v>1424.682503553588</v>
      </c>
      <c r="AM54" s="11">
        <f>GDP!AM54/Population!AM54</f>
        <v>1487.6076918711331</v>
      </c>
      <c r="AN54" s="11">
        <f>GDP!AN54/Population!AN54</f>
        <v>1649.0015563066943</v>
      </c>
      <c r="AO54" s="11">
        <f>GDP!AO54/Population!AO54</f>
        <v>1755.8495683815679</v>
      </c>
      <c r="AP54" s="11">
        <f>GDP!AP54/Population!AP54</f>
        <v>1619.5106934988867</v>
      </c>
      <c r="AQ54" s="11">
        <f>GDP!AQ54/Population!AQ54</f>
        <v>1664.2990225596541</v>
      </c>
      <c r="AR54" s="11">
        <f>GDP!AR54/Population!AR54</f>
        <v>1575.4285929445696</v>
      </c>
      <c r="AS54" s="11">
        <f>GDP!AS54/Population!AS54</f>
        <v>1710.3414001115289</v>
      </c>
      <c r="AT54" s="11">
        <f>GDP!AT54/Population!AT54</f>
        <v>1765.3516014953766</v>
      </c>
      <c r="AU54" s="11">
        <f>GDP!AU54/Population!AU54</f>
        <v>1889.691852490138</v>
      </c>
      <c r="AV54" s="11">
        <f>GDP!AV54/Population!AV54</f>
        <v>2101.5417817268872</v>
      </c>
      <c r="AW54" s="11">
        <f>GDP!AW54/Population!AW54</f>
        <v>2287.9356601250406</v>
      </c>
      <c r="AX54" s="11">
        <f>GDP!AX54/Population!AX54</f>
        <v>2531.2061243226153</v>
      </c>
      <c r="AY54" s="11">
        <f>GDP!AY54/Population!AY54</f>
        <v>2848.5031313460754</v>
      </c>
      <c r="AZ54" s="11">
        <f>GDP!AZ54/Population!AZ54</f>
        <v>2695.2212414260093</v>
      </c>
      <c r="BA54" s="11">
        <f>GDP!BA54/Population!BA54</f>
        <v>2898.9421403148613</v>
      </c>
      <c r="BB54" s="11">
        <f>GDP!BB54/Population!BB54</f>
        <v>3281.6675824802028</v>
      </c>
      <c r="BC54" s="11">
        <f>GDP!BC54/Population!BC54</f>
        <v>3408.7848213719144</v>
      </c>
      <c r="BD54" s="11">
        <f>GDP!BD54/Population!BD54</f>
        <v>3522.7738232320289</v>
      </c>
      <c r="BE54" s="11">
        <f>GDP!BE54/Population!BE54</f>
        <v>3779.6423134083993</v>
      </c>
      <c r="BF54" s="11">
        <f>GDP!BF54/Population!BF54</f>
        <v>3994.6367926500852</v>
      </c>
      <c r="BG54" s="11">
        <f>GDP!BG54/Population!BG54</f>
        <v>4173.301739419966</v>
      </c>
      <c r="BH54" s="11">
        <f>GDP!BH54/Population!BH54</f>
        <v>4451.4508458722212</v>
      </c>
      <c r="BI54" s="11">
        <f>GDP!BI54/Population!BI54</f>
        <v>4472.8922863286425</v>
      </c>
      <c r="BJ54" s="11">
        <f>GDP!BJ54/Population!BJ54</f>
        <v>4619.9872074399309</v>
      </c>
      <c r="BK54" s="11"/>
    </row>
    <row r="55" spans="1:63" x14ac:dyDescent="0.45">
      <c r="A55" t="str">
        <f>GDP!A55</f>
        <v>South</v>
      </c>
      <c r="B55" t="str">
        <f>GDP!B55</f>
        <v>Guyana</v>
      </c>
      <c r="C55" s="11">
        <f>GDP!C55/Population!C55</f>
        <v>297.67329871865047</v>
      </c>
      <c r="D55" s="11">
        <f>GDP!D55/Population!D55</f>
        <v>315.38545396538791</v>
      </c>
      <c r="E55" s="11">
        <f>GDP!E55/Population!E55</f>
        <v>321.54575488425411</v>
      </c>
      <c r="F55" s="11">
        <f>GDP!F55/Population!F55</f>
        <v>282.30633096414084</v>
      </c>
      <c r="G55" s="11">
        <f>GDP!G55/Population!G55</f>
        <v>305.36160979548322</v>
      </c>
      <c r="H55" s="35">
        <f>GDP!H55/Population!H55</f>
        <v>327.11422557941177</v>
      </c>
      <c r="I55" s="35">
        <f>GDP!I55/Population!I55</f>
        <v>344.16653198318789</v>
      </c>
      <c r="J55" s="11">
        <f>GDP!J55/Population!J55</f>
        <v>370.1541625546887</v>
      </c>
      <c r="K55" s="11">
        <f>GDP!K55/Population!K55</f>
        <v>334.8412728486357</v>
      </c>
      <c r="L55" s="11">
        <f>GDP!L55/Population!L55</f>
        <v>358.3209365500291</v>
      </c>
      <c r="M55" s="11">
        <f>GDP!M55/Population!M55</f>
        <v>379.89372054688806</v>
      </c>
      <c r="N55" s="11">
        <f>GDP!N55/Population!N55</f>
        <v>395.20289652002845</v>
      </c>
      <c r="O55" s="11">
        <f>GDP!O55/Population!O55</f>
        <v>395.29295738751267</v>
      </c>
      <c r="P55" s="11">
        <f>GDP!P55/Population!P55</f>
        <v>420.66157749658862</v>
      </c>
      <c r="Q55" s="11">
        <f>GDP!Q55/Population!Q55</f>
        <v>588.13623962691452</v>
      </c>
      <c r="R55" s="11">
        <f>GDP!R55/Population!R55</f>
        <v>663.40101978839994</v>
      </c>
      <c r="S55" s="11">
        <f>GDP!S55/Population!S55</f>
        <v>602.62484733477345</v>
      </c>
      <c r="T55" s="11">
        <f>GDP!T55/Population!T55</f>
        <v>590.06537045003824</v>
      </c>
      <c r="U55" s="11">
        <f>GDP!U55/Population!U55</f>
        <v>658.43856516799224</v>
      </c>
      <c r="V55" s="11">
        <f>GDP!V55/Population!V55</f>
        <v>683.33303274443676</v>
      </c>
      <c r="W55" s="11">
        <f>GDP!W55/Population!W55</f>
        <v>773.1816707748352</v>
      </c>
      <c r="X55" s="11">
        <f>GDP!X55/Population!X55</f>
        <v>729.60697528053095</v>
      </c>
      <c r="Y55" s="11">
        <f>GDP!Y55/Population!Y55</f>
        <v>616.96315885137335</v>
      </c>
      <c r="Z55" s="11">
        <f>GDP!Z55/Population!Z55</f>
        <v>628.19770254240336</v>
      </c>
      <c r="AA55" s="11">
        <f>GDP!AA55/Population!AA55</f>
        <v>564.52643188569937</v>
      </c>
      <c r="AB55" s="11">
        <f>GDP!AB55/Population!AB55</f>
        <v>588.61342488334515</v>
      </c>
      <c r="AC55" s="11">
        <f>GDP!AC55/Population!AC55</f>
        <v>660.15275899147878</v>
      </c>
      <c r="AD55" s="11">
        <f>GDP!AD55/Population!AD55</f>
        <v>468.14017595927379</v>
      </c>
      <c r="AE55" s="11">
        <f>GDP!AE55/Population!AE55</f>
        <v>551.26365669782683</v>
      </c>
      <c r="AF55" s="11">
        <f>GDP!AF55/Population!AF55</f>
        <v>509.37102007148746</v>
      </c>
      <c r="AG55" s="11">
        <f>GDP!AG55/Population!AG55</f>
        <v>533.53621710486482</v>
      </c>
      <c r="AH55" s="11">
        <f>GDP!AH55/Population!AH55</f>
        <v>468.16018826715236</v>
      </c>
      <c r="AI55" s="11">
        <f>GDP!AI55/Population!AI55</f>
        <v>499.02772367693382</v>
      </c>
      <c r="AJ55" s="11">
        <f>GDP!AJ55/Population!AJ55</f>
        <v>602.14146900326728</v>
      </c>
      <c r="AK55" s="11">
        <f>GDP!AK55/Population!AK55</f>
        <v>712.71286711222615</v>
      </c>
      <c r="AL55" s="11">
        <f>GDP!AL55/Population!AL55</f>
        <v>816.54297239820255</v>
      </c>
      <c r="AM55" s="11">
        <f>GDP!AM55/Population!AM55</f>
        <v>927.19591479965038</v>
      </c>
      <c r="AN55" s="11">
        <f>GDP!AN55/Population!AN55</f>
        <v>988.34780268348356</v>
      </c>
      <c r="AO55" s="11">
        <f>GDP!AO55/Population!AO55</f>
        <v>951.91248351636693</v>
      </c>
      <c r="AP55" s="11">
        <f>GDP!AP55/Population!AP55</f>
        <v>926.74283488556364</v>
      </c>
      <c r="AQ55" s="11">
        <f>GDP!AQ55/Population!AQ55</f>
        <v>954.40416223056991</v>
      </c>
      <c r="AR55" s="11">
        <f>GDP!AR55/Population!AR55</f>
        <v>955.66534891023423</v>
      </c>
      <c r="AS55" s="11">
        <f>GDP!AS55/Population!AS55</f>
        <v>974.94922186015094</v>
      </c>
      <c r="AT55" s="11">
        <f>GDP!AT55/Population!AT55</f>
        <v>997.21001740605493</v>
      </c>
      <c r="AU55" s="11">
        <f>GDP!AU55/Population!AU55</f>
        <v>1056.4239135244732</v>
      </c>
      <c r="AV55" s="11">
        <f>GDP!AV55/Population!AV55</f>
        <v>1105.4964880327757</v>
      </c>
      <c r="AW55" s="11">
        <f>GDP!AW55/Population!AW55</f>
        <v>1954.1333676339164</v>
      </c>
      <c r="AX55" s="11">
        <f>GDP!AX55/Population!AX55</f>
        <v>2331.2003901006601</v>
      </c>
      <c r="AY55" s="11">
        <f>GDP!AY55/Population!AY55</f>
        <v>2566.8871276363552</v>
      </c>
      <c r="AZ55" s="11">
        <f>GDP!AZ55/Population!AZ55</f>
        <v>2756.8199561866909</v>
      </c>
      <c r="BA55" s="11">
        <f>GDP!BA55/Population!BA55</f>
        <v>3033.2476155402196</v>
      </c>
      <c r="BB55" s="11">
        <f>GDP!BB55/Population!BB55</f>
        <v>3425.4363720499769</v>
      </c>
      <c r="BC55" s="11">
        <f>GDP!BC55/Population!BC55</f>
        <v>3788.1468839646332</v>
      </c>
      <c r="BD55" s="11">
        <f>GDP!BD55/Population!BD55</f>
        <v>3934.8651639371251</v>
      </c>
      <c r="BE55" s="11">
        <f>GDP!BE55/Population!BE55</f>
        <v>4031.6005973433939</v>
      </c>
      <c r="BF55" s="11">
        <f>GDP!BF55/Population!BF55</f>
        <v>4166.1285325605395</v>
      </c>
      <c r="BG55" s="11">
        <f>GDP!BG55/Population!BG55</f>
        <v>4542.6222052825769</v>
      </c>
      <c r="BH55" s="11">
        <f>GDP!BH55/Population!BH55</f>
        <v>4586.0546708615993</v>
      </c>
      <c r="BI55" s="11">
        <f>GDP!BI55/Population!BI55</f>
        <v>4979.0022336213933</v>
      </c>
      <c r="BJ55" s="11">
        <f>GDP!BJ55/Population!BJ55</f>
        <v>5468.3566327612598</v>
      </c>
      <c r="BK55" s="11"/>
    </row>
    <row r="56" spans="1:63" x14ac:dyDescent="0.45">
      <c r="A56" t="str">
        <f>GDP!A56</f>
        <v>South</v>
      </c>
      <c r="B56" t="str">
        <f>GDP!B56</f>
        <v>Haiti</v>
      </c>
      <c r="C56" s="11">
        <f>GDP!C56/Population!C56</f>
        <v>70.661139389249129</v>
      </c>
      <c r="D56" s="11">
        <f>GDP!D56/Population!D56</f>
        <v>68.764544600329174</v>
      </c>
      <c r="E56" s="11">
        <f>GDP!E56/Population!E56</f>
        <v>70.138010978875499</v>
      </c>
      <c r="F56" s="11">
        <f>GDP!F56/Population!F56</f>
        <v>71.962182219288366</v>
      </c>
      <c r="G56" s="11">
        <f>GDP!G56/Population!G56</f>
        <v>77.862489249305284</v>
      </c>
      <c r="H56" s="35">
        <f>GDP!H56/Population!H56</f>
        <v>82.947649206383502</v>
      </c>
      <c r="I56" s="35">
        <f>GDP!I56/Population!I56</f>
        <v>84.985391072480752</v>
      </c>
      <c r="J56" s="11">
        <f>GDP!J56/Population!J56</f>
        <v>83.412184883159412</v>
      </c>
      <c r="K56" s="11">
        <f>GDP!K56/Population!K56</f>
        <v>81.592917489040005</v>
      </c>
      <c r="L56" s="11">
        <f>GDP!L56/Population!L56</f>
        <v>85.295744207952296</v>
      </c>
      <c r="M56" s="11">
        <f>GDP!M56/Population!M56</f>
        <v>70.826285276814872</v>
      </c>
      <c r="N56" s="11">
        <f>GDP!N56/Population!N56</f>
        <v>76.263636749655575</v>
      </c>
      <c r="O56" s="11">
        <f>GDP!O56/Population!O56</f>
        <v>76.901895507688948</v>
      </c>
      <c r="P56" s="11">
        <f>GDP!P56/Population!P56</f>
        <v>94.904571907799436</v>
      </c>
      <c r="Q56" s="11">
        <f>GDP!Q56/Population!Q56</f>
        <v>112.99615685161611</v>
      </c>
      <c r="R56" s="11">
        <f>GDP!R56/Population!R56</f>
        <v>133.75006403868269</v>
      </c>
      <c r="S56" s="11">
        <f>GDP!S56/Population!S56</f>
        <v>169.31092188352332</v>
      </c>
      <c r="T56" s="11">
        <f>GDP!T56/Population!T56</f>
        <v>178.86083965626233</v>
      </c>
      <c r="U56" s="11">
        <f>GDP!U56/Population!U56</f>
        <v>180.27323738128973</v>
      </c>
      <c r="V56" s="11">
        <f>GDP!V56/Population!V56</f>
        <v>195.75424962958684</v>
      </c>
      <c r="W56" s="11">
        <f>GDP!W56/Population!W56</f>
        <v>245.2166651633753</v>
      </c>
      <c r="X56" s="11">
        <f>GDP!X56/Population!X56</f>
        <v>256.24565218972782</v>
      </c>
      <c r="Y56" s="11">
        <f>GDP!Y56/Population!Y56</f>
        <v>249.43205464020249</v>
      </c>
      <c r="Z56" s="11">
        <f>GDP!Z56/Population!Z56</f>
        <v>268.29170757856326</v>
      </c>
      <c r="AA56" s="11">
        <f>GDP!AA56/Population!AA56</f>
        <v>293.18671564842583</v>
      </c>
      <c r="AB56" s="11">
        <f>GDP!AB56/Population!AB56</f>
        <v>317.07645607187823</v>
      </c>
      <c r="AC56" s="11">
        <f>GDP!AC56/Population!AC56</f>
        <v>357.79662859276493</v>
      </c>
      <c r="AD56" s="11">
        <f>GDP!AD56/Population!AD56</f>
        <v>309.30339653565693</v>
      </c>
      <c r="AE56" s="11">
        <f>GDP!AE56/Population!AE56</f>
        <v>386.77725076547489</v>
      </c>
      <c r="AF56" s="11">
        <f>GDP!AF56/Population!AF56</f>
        <v>396.68612642809148</v>
      </c>
      <c r="AG56" s="11">
        <f>GDP!AG56/Population!AG56</f>
        <v>439.94406185807532</v>
      </c>
      <c r="AH56" s="11">
        <f>GDP!AH56/Population!AH56</f>
        <v>483.87390589845637</v>
      </c>
      <c r="AI56" s="11">
        <f>GDP!AI56/Population!AI56</f>
        <v>308.37133009075905</v>
      </c>
      <c r="AJ56" s="11">
        <f>GDP!AJ56/Population!AJ56</f>
        <v>251.75271399196509</v>
      </c>
      <c r="AK56" s="11">
        <f>GDP!AK56/Population!AK56</f>
        <v>285.11879110587296</v>
      </c>
      <c r="AL56" s="11">
        <f>GDP!AL56/Population!AL56</f>
        <v>363.26582609626468</v>
      </c>
      <c r="AM56" s="11">
        <f>GDP!AM56/Population!AM56</f>
        <v>368.63225051297627</v>
      </c>
      <c r="AN56" s="11">
        <f>GDP!AN56/Population!AN56</f>
        <v>415.77048949248177</v>
      </c>
      <c r="AO56" s="11">
        <f>GDP!AO56/Population!AO56</f>
        <v>455.54188298502203</v>
      </c>
      <c r="AP56" s="11">
        <f>GDP!AP56/Population!AP56</f>
        <v>499.30376099117967</v>
      </c>
      <c r="AQ56" s="11">
        <f>GDP!AQ56/Population!AQ56</f>
        <v>467.14755418543382</v>
      </c>
      <c r="AR56" s="11">
        <f>GDP!AR56/Population!AR56</f>
        <v>417.76263155259738</v>
      </c>
      <c r="AS56" s="11">
        <f>GDP!AS56/Population!AS56</f>
        <v>396.63382510009541</v>
      </c>
      <c r="AT56" s="11">
        <f>GDP!AT56/Population!AT56</f>
        <v>332.61478472611105</v>
      </c>
      <c r="AU56" s="11">
        <f>GDP!AU56/Population!AU56</f>
        <v>391.03462035307092</v>
      </c>
      <c r="AV56" s="11">
        <f>GDP!AV56/Population!AV56</f>
        <v>468.75726089275292</v>
      </c>
      <c r="AW56" s="11">
        <f>GDP!AW56/Population!AW56</f>
        <v>508.96880259952474</v>
      </c>
      <c r="AX56" s="11">
        <f>GDP!AX56/Population!AX56</f>
        <v>619.81279888383006</v>
      </c>
      <c r="AY56" s="11">
        <f>GDP!AY56/Population!AY56</f>
        <v>678.8448017846739</v>
      </c>
      <c r="AZ56" s="11">
        <f>GDP!AZ56/Population!AZ56</f>
        <v>672.03697716871307</v>
      </c>
      <c r="BA56" s="11">
        <f>GDP!BA56/Population!BA56</f>
        <v>665.62739772619682</v>
      </c>
      <c r="BB56" s="11">
        <f>GDP!BB56/Population!BB56</f>
        <v>744.2174410315713</v>
      </c>
      <c r="BC56" s="11">
        <f>GDP!BC56/Population!BC56</f>
        <v>769.74938273893201</v>
      </c>
      <c r="BD56" s="11">
        <f>GDP!BD56/Population!BD56</f>
        <v>815.8199947253413</v>
      </c>
      <c r="BE56" s="11">
        <f>GDP!BE56/Population!BE56</f>
        <v>831.87390511031936</v>
      </c>
      <c r="BF56" s="11">
        <f>GDP!BF56/Population!BF56</f>
        <v>815.72828455070351</v>
      </c>
      <c r="BG56" s="11">
        <f>GDP!BG56/Population!BG56</f>
        <v>735.30176633330166</v>
      </c>
      <c r="BH56" s="11">
        <f>GDP!BH56/Population!BH56</f>
        <v>765.72731231139085</v>
      </c>
      <c r="BI56" s="11">
        <f>GDP!BI56/Population!BI56</f>
        <v>868.34203468505757</v>
      </c>
      <c r="BJ56" s="11">
        <f>GDP!BJ56/Population!BJ56</f>
        <v>754.58792370859226</v>
      </c>
      <c r="BK56" s="11"/>
    </row>
    <row r="57" spans="1:63" x14ac:dyDescent="0.45">
      <c r="A57" t="str">
        <f>GDP!A57</f>
        <v>South</v>
      </c>
      <c r="B57" t="str">
        <f>GDP!B57</f>
        <v>Honduras</v>
      </c>
      <c r="C57" s="11">
        <f>GDP!C57/Population!C57</f>
        <v>164.6447146910281</v>
      </c>
      <c r="D57" s="11">
        <f>GDP!D57/Population!D57</f>
        <v>169.90959302311714</v>
      </c>
      <c r="E57" s="11">
        <f>GDP!E57/Population!E57</f>
        <v>179.87639720232488</v>
      </c>
      <c r="F57" s="11">
        <f>GDP!F57/Population!F57</f>
        <v>185.0495149555376</v>
      </c>
      <c r="G57" s="11">
        <f>GDP!G57/Population!G57</f>
        <v>200.43437682013712</v>
      </c>
      <c r="H57" s="35">
        <f>GDP!H57/Population!H57</f>
        <v>216.8144636756372</v>
      </c>
      <c r="I57" s="35">
        <f>GDP!I57/Population!I57</f>
        <v>227.74115155563413</v>
      </c>
      <c r="J57" s="11">
        <f>GDP!J57/Population!J57</f>
        <v>240.54712025144636</v>
      </c>
      <c r="K57" s="11">
        <f>GDP!K57/Population!K57</f>
        <v>252.58451994296931</v>
      </c>
      <c r="L57" s="11">
        <f>GDP!L57/Population!L57</f>
        <v>253.26891810580651</v>
      </c>
      <c r="M57" s="11">
        <f>GDP!M57/Population!M57</f>
        <v>266.13621020564267</v>
      </c>
      <c r="N57" s="11">
        <f>GDP!N57/Population!N57</f>
        <v>261.24655706700526</v>
      </c>
      <c r="O57" s="11">
        <f>GDP!O57/Population!O57</f>
        <v>278.61500780850719</v>
      </c>
      <c r="P57" s="11">
        <f>GDP!P57/Population!P57</f>
        <v>307.34366749085297</v>
      </c>
      <c r="Q57" s="11">
        <f>GDP!Q57/Population!Q57</f>
        <v>338.15598192883914</v>
      </c>
      <c r="R57" s="11">
        <f>GDP!R57/Population!R57</f>
        <v>356.45728395406269</v>
      </c>
      <c r="S57" s="11">
        <f>GDP!S57/Population!S57</f>
        <v>414.62315584201872</v>
      </c>
      <c r="T57" s="11">
        <f>GDP!T57/Population!T57</f>
        <v>497.9382771245144</v>
      </c>
      <c r="U57" s="11">
        <f>GDP!U57/Population!U57</f>
        <v>895.64980487811931</v>
      </c>
      <c r="V57" s="11">
        <f>GDP!V57/Population!V57</f>
        <v>993.7274139852085</v>
      </c>
      <c r="W57" s="11">
        <f>GDP!W57/Population!W57</f>
        <v>1078.808866864096</v>
      </c>
      <c r="X57" s="11">
        <f>GDP!X57/Population!X57</f>
        <v>1066.1695606998198</v>
      </c>
      <c r="Y57" s="11">
        <f>GDP!Y57/Population!Y57</f>
        <v>1090.9987684880225</v>
      </c>
      <c r="Z57" s="11">
        <f>GDP!Z57/Population!Z57</f>
        <v>1110.4778423967307</v>
      </c>
      <c r="AA57" s="11">
        <f>GDP!AA57/Population!AA57</f>
        <v>1183.0270131845598</v>
      </c>
      <c r="AB57" s="11">
        <f>GDP!AB57/Population!AB57</f>
        <v>1232.8714010054748</v>
      </c>
      <c r="AC57" s="11">
        <f>GDP!AC57/Population!AC57</f>
        <v>1287.4110672160814</v>
      </c>
      <c r="AD57" s="11">
        <f>GDP!AD57/Population!AD57</f>
        <v>1362.8863245985328</v>
      </c>
      <c r="AE57" s="11">
        <f>GDP!AE57/Population!AE57</f>
        <v>1262.0668459259564</v>
      </c>
      <c r="AF57" s="11">
        <f>GDP!AF57/Population!AF57</f>
        <v>1128.2827240398265</v>
      </c>
      <c r="AG57" s="11">
        <f>GDP!AG57/Population!AG57</f>
        <v>993.48304957335608</v>
      </c>
      <c r="AH57" s="11">
        <f>GDP!AH57/Population!AH57</f>
        <v>911.75555599576433</v>
      </c>
      <c r="AI57" s="11">
        <f>GDP!AI57/Population!AI57</f>
        <v>942.61277432094016</v>
      </c>
      <c r="AJ57" s="11">
        <f>GDP!AJ57/Population!AJ57</f>
        <v>913.30226612279523</v>
      </c>
      <c r="AK57" s="11">
        <f>GDP!AK57/Population!AK57</f>
        <v>836.60369654854242</v>
      </c>
      <c r="AL57" s="11">
        <f>GDP!AL57/Population!AL57</f>
        <v>936.66704057828554</v>
      </c>
      <c r="AM57" s="11">
        <f>GDP!AM57/Population!AM57</f>
        <v>887.69332517874193</v>
      </c>
      <c r="AN57" s="11">
        <f>GDP!AN57/Population!AN57</f>
        <v>948.95557585648908</v>
      </c>
      <c r="AO57" s="11">
        <f>GDP!AO57/Population!AO57</f>
        <v>1023.4605419646242</v>
      </c>
      <c r="AP57" s="11">
        <f>GDP!AP57/Population!AP57</f>
        <v>1002.715164922635</v>
      </c>
      <c r="AQ57" s="11">
        <f>GDP!AQ57/Population!AQ57</f>
        <v>1080.4621254606238</v>
      </c>
      <c r="AR57" s="11">
        <f>GDP!AR57/Population!AR57</f>
        <v>1120.5522346855232</v>
      </c>
      <c r="AS57" s="11">
        <f>GDP!AS57/Population!AS57</f>
        <v>1122.063941846646</v>
      </c>
      <c r="AT57" s="11">
        <f>GDP!AT57/Population!AT57</f>
        <v>1145.4975640693867</v>
      </c>
      <c r="AU57" s="11">
        <f>GDP!AU57/Population!AU57</f>
        <v>1204.4765599887849</v>
      </c>
      <c r="AV57" s="11">
        <f>GDP!AV57/Population!AV57</f>
        <v>1296.6959080893714</v>
      </c>
      <c r="AW57" s="11">
        <f>GDP!AW57/Population!AW57</f>
        <v>1420.1361193917239</v>
      </c>
      <c r="AX57" s="11">
        <f>GDP!AX57/Population!AX57</f>
        <v>1572.0655417583721</v>
      </c>
      <c r="AY57" s="11">
        <f>GDP!AY57/Population!AY57</f>
        <v>1727.8277419181038</v>
      </c>
      <c r="AZ57" s="11">
        <f>GDP!AZ57/Population!AZ57</f>
        <v>1789.7066779539368</v>
      </c>
      <c r="BA57" s="11">
        <f>GDP!BA57/Population!BA57</f>
        <v>1904.3464707417038</v>
      </c>
      <c r="BB57" s="11">
        <f>GDP!BB57/Population!BB57</f>
        <v>2088.3153608953821</v>
      </c>
      <c r="BC57" s="11">
        <f>GDP!BC57/Population!BC57</f>
        <v>2144.3426355600495</v>
      </c>
      <c r="BD57" s="11">
        <f>GDP!BD57/Population!BD57</f>
        <v>2102.5932626631225</v>
      </c>
      <c r="BE57" s="11">
        <f>GDP!BE57/Population!BE57</f>
        <v>2206.0519802773442</v>
      </c>
      <c r="BF57" s="11">
        <f>GDP!BF57/Population!BF57</f>
        <v>2302.2013256788496</v>
      </c>
      <c r="BG57" s="11">
        <f>GDP!BG57/Population!BG57</f>
        <v>2342.5847280626958</v>
      </c>
      <c r="BH57" s="11">
        <f>GDP!BH57/Population!BH57</f>
        <v>2453.7278105354189</v>
      </c>
      <c r="BI57" s="11">
        <f>GDP!BI57/Population!BI57</f>
        <v>2505.7766676311148</v>
      </c>
      <c r="BJ57" s="11">
        <f>GDP!BJ57/Population!BJ57</f>
        <v>2574.9121755874671</v>
      </c>
      <c r="BK57" s="11"/>
    </row>
    <row r="58" spans="1:63" x14ac:dyDescent="0.45">
      <c r="A58" t="str">
        <f>GDP!A58</f>
        <v>South</v>
      </c>
      <c r="B58" t="str">
        <f>GDP!B58</f>
        <v>India</v>
      </c>
      <c r="C58" s="11">
        <f>GDP!C58/Population!C58</f>
        <v>82.188601890037475</v>
      </c>
      <c r="D58" s="11">
        <f>GDP!D58/Population!D58</f>
        <v>85.354295633653948</v>
      </c>
      <c r="E58" s="11">
        <f>GDP!E58/Population!E58</f>
        <v>89.881761923427931</v>
      </c>
      <c r="F58" s="11">
        <f>GDP!F58/Population!F58</f>
        <v>101.1264328055977</v>
      </c>
      <c r="G58" s="11">
        <f>GDP!G58/Population!G58</f>
        <v>115.53749627532582</v>
      </c>
      <c r="H58" s="35">
        <f>GDP!H58/Population!H58</f>
        <v>119.31891282789331</v>
      </c>
      <c r="I58" s="35">
        <f>GDP!I58/Population!I58</f>
        <v>89.997311563291788</v>
      </c>
      <c r="J58" s="11">
        <f>GDP!J58/Population!J58</f>
        <v>96.339135673823691</v>
      </c>
      <c r="K58" s="11">
        <f>GDP!K58/Population!K58</f>
        <v>99.875961713462416</v>
      </c>
      <c r="L58" s="11">
        <f>GDP!L58/Population!L58</f>
        <v>107.62231440614219</v>
      </c>
      <c r="M58" s="11">
        <f>GDP!M58/Population!M58</f>
        <v>112.43449977175372</v>
      </c>
      <c r="N58" s="11">
        <f>GDP!N58/Population!N58</f>
        <v>118.60323694361439</v>
      </c>
      <c r="O58" s="11">
        <f>GDP!O58/Population!O58</f>
        <v>122.98186329449413</v>
      </c>
      <c r="P58" s="11">
        <f>GDP!P58/Population!P58</f>
        <v>143.77869779710787</v>
      </c>
      <c r="Q58" s="11">
        <f>GDP!Q58/Population!Q58</f>
        <v>163.47811000236425</v>
      </c>
      <c r="R58" s="11">
        <f>GDP!R58/Population!R58</f>
        <v>158.03616748303691</v>
      </c>
      <c r="S58" s="11">
        <f>GDP!S58/Population!S58</f>
        <v>161.09208880484434</v>
      </c>
      <c r="T58" s="11">
        <f>GDP!T58/Population!T58</f>
        <v>186.21349834464519</v>
      </c>
      <c r="U58" s="11">
        <f>GDP!U58/Population!U58</f>
        <v>205.69339588812088</v>
      </c>
      <c r="V58" s="11">
        <f>GDP!V58/Population!V58</f>
        <v>224.00101351205728</v>
      </c>
      <c r="W58" s="11">
        <f>GDP!W58/Population!W58</f>
        <v>266.57786322267879</v>
      </c>
      <c r="X58" s="11">
        <f>GDP!X58/Population!X58</f>
        <v>270.47059950754573</v>
      </c>
      <c r="Y58" s="11">
        <f>GDP!Y58/Population!Y58</f>
        <v>274.11133161941683</v>
      </c>
      <c r="Z58" s="11">
        <f>GDP!Z58/Population!Z58</f>
        <v>291.23812264690162</v>
      </c>
      <c r="AA58" s="11">
        <f>GDP!AA58/Population!AA58</f>
        <v>276.66795996451941</v>
      </c>
      <c r="AB58" s="11">
        <f>GDP!AB58/Population!AB58</f>
        <v>296.43515887602632</v>
      </c>
      <c r="AC58" s="11">
        <f>GDP!AC58/Population!AC58</f>
        <v>310.46593869871532</v>
      </c>
      <c r="AD58" s="11">
        <f>GDP!AD58/Population!AD58</f>
        <v>340.41681938278043</v>
      </c>
      <c r="AE58" s="11">
        <f>GDP!AE58/Population!AE58</f>
        <v>354.14925949825806</v>
      </c>
      <c r="AF58" s="11">
        <f>GDP!AF58/Population!AF58</f>
        <v>346.11290779734287</v>
      </c>
      <c r="AG58" s="11">
        <f>GDP!AG58/Population!AG58</f>
        <v>367.55661655734428</v>
      </c>
      <c r="AH58" s="11">
        <f>GDP!AH58/Population!AH58</f>
        <v>303.0556076398463</v>
      </c>
      <c r="AI58" s="11">
        <f>GDP!AI58/Population!AI58</f>
        <v>316.95392021437056</v>
      </c>
      <c r="AJ58" s="11">
        <f>GDP!AJ58/Population!AJ58</f>
        <v>301.15900359437802</v>
      </c>
      <c r="AK58" s="11">
        <f>GDP!AK58/Population!AK58</f>
        <v>346.1029346202975</v>
      </c>
      <c r="AL58" s="11">
        <f>GDP!AL58/Population!AL58</f>
        <v>373.76650313485766</v>
      </c>
      <c r="AM58" s="11">
        <f>GDP!AM58/Population!AM58</f>
        <v>399.95008970024151</v>
      </c>
      <c r="AN58" s="11">
        <f>GDP!AN58/Population!AN58</f>
        <v>415.49380701388566</v>
      </c>
      <c r="AO58" s="11">
        <f>GDP!AO58/Population!AO58</f>
        <v>413.29894482734505</v>
      </c>
      <c r="AP58" s="11">
        <f>GDP!AP58/Population!AP58</f>
        <v>441.99875324135974</v>
      </c>
      <c r="AQ58" s="11">
        <f>GDP!AQ58/Population!AQ58</f>
        <v>443.31418930276368</v>
      </c>
      <c r="AR58" s="11">
        <f>GDP!AR58/Population!AR58</f>
        <v>451.57300726635117</v>
      </c>
      <c r="AS58" s="11">
        <f>GDP!AS58/Population!AS58</f>
        <v>470.9867580100593</v>
      </c>
      <c r="AT58" s="11">
        <f>GDP!AT58/Population!AT58</f>
        <v>546.72657456002719</v>
      </c>
      <c r="AU58" s="11">
        <f>GDP!AU58/Population!AU58</f>
        <v>627.77428819323063</v>
      </c>
      <c r="AV58" s="11">
        <f>GDP!AV58/Population!AV58</f>
        <v>714.86099416855541</v>
      </c>
      <c r="AW58" s="11">
        <f>GDP!AW58/Population!AW58</f>
        <v>806.75323221635779</v>
      </c>
      <c r="AX58" s="11">
        <f>GDP!AX58/Population!AX58</f>
        <v>1028.3348017011142</v>
      </c>
      <c r="AY58" s="11">
        <f>GDP!AY58/Population!AY58</f>
        <v>998.52224651562494</v>
      </c>
      <c r="AZ58" s="11">
        <f>GDP!AZ58/Population!AZ58</f>
        <v>1101.9608131025789</v>
      </c>
      <c r="BA58" s="11">
        <f>GDP!BA58/Population!BA58</f>
        <v>1357.5636177874071</v>
      </c>
      <c r="BB58" s="11">
        <f>GDP!BB58/Population!BB58</f>
        <v>1458.1035031036927</v>
      </c>
      <c r="BC58" s="11">
        <f>GDP!BC58/Population!BC58</f>
        <v>1443.8795064540868</v>
      </c>
      <c r="BD58" s="11">
        <f>GDP!BD58/Population!BD58</f>
        <v>1449.6060088281645</v>
      </c>
      <c r="BE58" s="11">
        <f>GDP!BE58/Population!BE58</f>
        <v>1573.8814650360387</v>
      </c>
      <c r="BF58" s="11">
        <f>GDP!BF58/Population!BF58</f>
        <v>1605.6053396558627</v>
      </c>
      <c r="BG58" s="11">
        <f>GDP!BG58/Population!BG58</f>
        <v>1732.5643737743085</v>
      </c>
      <c r="BH58" s="11">
        <f>GDP!BH58/Population!BH58</f>
        <v>1981.6510689337588</v>
      </c>
      <c r="BI58" s="11">
        <f>GDP!BI58/Population!BI58</f>
        <v>2005.8629175998501</v>
      </c>
      <c r="BJ58" s="11">
        <f>GDP!BJ58/Population!BJ58</f>
        <v>2104.1459323386798</v>
      </c>
      <c r="BK58" s="11"/>
    </row>
    <row r="59" spans="1:63" x14ac:dyDescent="0.45">
      <c r="A59" t="str">
        <f>GDP!A59</f>
        <v>South</v>
      </c>
      <c r="B59" t="str">
        <f>GDP!B59</f>
        <v>Kenya</v>
      </c>
      <c r="C59" s="11">
        <f>GDP!C59/Population!C59</f>
        <v>97.445526645057683</v>
      </c>
      <c r="D59" s="11">
        <f>GDP!D59/Population!D59</f>
        <v>94.651260680740862</v>
      </c>
      <c r="E59" s="11">
        <f>GDP!E59/Population!E59</f>
        <v>100.39439339212127</v>
      </c>
      <c r="F59" s="11">
        <f>GDP!F59/Population!F59</f>
        <v>103.77871248632611</v>
      </c>
      <c r="G59" s="11">
        <f>GDP!G59/Population!G59</f>
        <v>108.29369125630565</v>
      </c>
      <c r="H59" s="35">
        <f>GDP!H59/Population!H59</f>
        <v>104.71156147952404</v>
      </c>
      <c r="I59" s="35">
        <f>GDP!I59/Population!I59</f>
        <v>118.20801904776599</v>
      </c>
      <c r="J59" s="11">
        <f>GDP!J59/Population!J59</f>
        <v>120.98769567895017</v>
      </c>
      <c r="K59" s="11">
        <f>GDP!K59/Population!K59</f>
        <v>128.39744764036527</v>
      </c>
      <c r="L59" s="11">
        <f>GDP!L59/Population!L59</f>
        <v>133.66536827464844</v>
      </c>
      <c r="M59" s="11">
        <f>GDP!M59/Population!M59</f>
        <v>141.88048801767286</v>
      </c>
      <c r="N59" s="11">
        <f>GDP!N59/Population!N59</f>
        <v>151.82993325050833</v>
      </c>
      <c r="O59" s="11">
        <f>GDP!O59/Population!O59</f>
        <v>173.49475599840213</v>
      </c>
      <c r="P59" s="11">
        <f>GDP!P59/Population!P59</f>
        <v>198.57017488655677</v>
      </c>
      <c r="Q59" s="11">
        <f>GDP!Q59/Population!Q59</f>
        <v>227.36343603795297</v>
      </c>
      <c r="R59" s="11">
        <f>GDP!R59/Population!R59</f>
        <v>240.08303062182145</v>
      </c>
      <c r="S59" s="11">
        <f>GDP!S59/Population!S59</f>
        <v>246.48677000422026</v>
      </c>
      <c r="T59" s="11">
        <f>GDP!T59/Population!T59</f>
        <v>307.01637952057843</v>
      </c>
      <c r="U59" s="11">
        <f>GDP!U59/Population!U59</f>
        <v>348.80659850918499</v>
      </c>
      <c r="V59" s="11">
        <f>GDP!V59/Population!V59</f>
        <v>394.63726033335325</v>
      </c>
      <c r="W59" s="11">
        <f>GDP!W59/Population!W59</f>
        <v>442.54298270283289</v>
      </c>
      <c r="X59" s="11">
        <f>GDP!X59/Population!X59</f>
        <v>401.69605358126137</v>
      </c>
      <c r="Y59" s="11">
        <f>GDP!Y59/Population!Y59</f>
        <v>362.62183814167599</v>
      </c>
      <c r="Z59" s="11">
        <f>GDP!Z59/Population!Z59</f>
        <v>324.39650169056023</v>
      </c>
      <c r="AA59" s="11">
        <f>GDP!AA59/Population!AA59</f>
        <v>323.37344419838718</v>
      </c>
      <c r="AB59" s="11">
        <f>GDP!AB59/Population!AB59</f>
        <v>308.64861103369088</v>
      </c>
      <c r="AC59" s="11">
        <f>GDP!AC59/Population!AC59</f>
        <v>351.02948072402262</v>
      </c>
      <c r="AD59" s="11">
        <f>GDP!AD59/Population!AD59</f>
        <v>372.77985486185838</v>
      </c>
      <c r="AE59" s="11">
        <f>GDP!AE59/Population!AE59</f>
        <v>377.15549943043311</v>
      </c>
      <c r="AF59" s="11">
        <f>GDP!AF59/Population!AF59</f>
        <v>361.15462261934681</v>
      </c>
      <c r="AG59" s="11">
        <f>GDP!AG59/Population!AG59</f>
        <v>361.32817390234095</v>
      </c>
      <c r="AH59" s="11">
        <f>GDP!AH59/Population!AH59</f>
        <v>332.41893728103071</v>
      </c>
      <c r="AI59" s="11">
        <f>GDP!AI59/Population!AI59</f>
        <v>324.13739545459822</v>
      </c>
      <c r="AJ59" s="11">
        <f>GDP!AJ59/Population!AJ59</f>
        <v>220.06973312433598</v>
      </c>
      <c r="AK59" s="11">
        <f>GDP!AK59/Population!AK59</f>
        <v>265.23225799940275</v>
      </c>
      <c r="AL59" s="11">
        <f>GDP!AL59/Population!AL59</f>
        <v>325.77894848139044</v>
      </c>
      <c r="AM59" s="11">
        <f>GDP!AM59/Population!AM59</f>
        <v>421.3392693221262</v>
      </c>
      <c r="AN59" s="11">
        <f>GDP!AN59/Population!AN59</f>
        <v>445.87726238336995</v>
      </c>
      <c r="AO59" s="11">
        <f>GDP!AO59/Population!AO59</f>
        <v>465.90980958720399</v>
      </c>
      <c r="AP59" s="11">
        <f>GDP!AP59/Population!AP59</f>
        <v>414.67939463559247</v>
      </c>
      <c r="AQ59" s="11">
        <f>GDP!AQ59/Population!AQ59</f>
        <v>397.48266173320224</v>
      </c>
      <c r="AR59" s="11">
        <f>GDP!AR59/Population!AR59</f>
        <v>395.3295356229271</v>
      </c>
      <c r="AS59" s="11">
        <f>GDP!AS59/Population!AS59</f>
        <v>389.54270967956023</v>
      </c>
      <c r="AT59" s="11">
        <f>GDP!AT59/Population!AT59</f>
        <v>429.78783082911224</v>
      </c>
      <c r="AU59" s="11">
        <f>GDP!AU59/Population!AU59</f>
        <v>451.66871385182634</v>
      </c>
      <c r="AV59" s="11">
        <f>GDP!AV59/Population!AV59</f>
        <v>511.61640082199824</v>
      </c>
      <c r="AW59" s="11">
        <f>GDP!AW59/Population!AW59</f>
        <v>685.95457540581651</v>
      </c>
      <c r="AX59" s="11">
        <f>GDP!AX59/Population!AX59</f>
        <v>825.66657162524859</v>
      </c>
      <c r="AY59" s="11">
        <f>GDP!AY59/Population!AY59</f>
        <v>902.07003119724129</v>
      </c>
      <c r="AZ59" s="11">
        <f>GDP!AZ59/Population!AZ59</f>
        <v>905.13177711137939</v>
      </c>
      <c r="BA59" s="11">
        <f>GDP!BA59/Population!BA59</f>
        <v>951.68800311467749</v>
      </c>
      <c r="BB59" s="11">
        <f>GDP!BB59/Population!BB59</f>
        <v>971.6333043187293</v>
      </c>
      <c r="BC59" s="11">
        <f>GDP!BC59/Population!BC59</f>
        <v>1136.8714126798734</v>
      </c>
      <c r="BD59" s="11">
        <f>GDP!BD59/Population!BD59</f>
        <v>1210.3880747685496</v>
      </c>
      <c r="BE59" s="11">
        <f>GDP!BE59/Population!BE59</f>
        <v>1315.8046029141769</v>
      </c>
      <c r="BF59" s="11">
        <f>GDP!BF59/Population!BF59</f>
        <v>1336.8833376331208</v>
      </c>
      <c r="BG59" s="11">
        <f>GDP!BG59/Population!BG59</f>
        <v>1410.5275124476857</v>
      </c>
      <c r="BH59" s="11">
        <f>GDP!BH59/Population!BH59</f>
        <v>1572.3355606940395</v>
      </c>
      <c r="BI59" s="11">
        <f>GDP!BI59/Population!BI59</f>
        <v>1707.9868632713617</v>
      </c>
      <c r="BJ59" s="11">
        <f>GDP!BJ59/Population!BJ59</f>
        <v>1816.5469724068023</v>
      </c>
      <c r="BK59" s="11"/>
    </row>
    <row r="60" spans="1:63" x14ac:dyDescent="0.45">
      <c r="A60" t="str">
        <f>GDP!A60</f>
        <v>South</v>
      </c>
      <c r="B60" t="str">
        <f>GDP!B60</f>
        <v>Lesotho</v>
      </c>
      <c r="C60" s="11">
        <f>GDP!C60/Population!C60</f>
        <v>41.300068078397651</v>
      </c>
      <c r="D60" s="11">
        <f>GDP!D60/Population!D60</f>
        <v>41.856849066116382</v>
      </c>
      <c r="E60" s="11">
        <f>GDP!E60/Population!E60</f>
        <v>48.161811270042897</v>
      </c>
      <c r="F60" s="11">
        <f>GDP!F60/Population!F60</f>
        <v>53.088074469249719</v>
      </c>
      <c r="G60" s="11">
        <f>GDP!G60/Population!G60</f>
        <v>57.469668486096467</v>
      </c>
      <c r="H60" s="35">
        <f>GDP!H60/Population!H60</f>
        <v>59.501839953334361</v>
      </c>
      <c r="I60" s="35">
        <f>GDP!I60/Population!I60</f>
        <v>60.203042278884766</v>
      </c>
      <c r="J60" s="11">
        <f>GDP!J60/Population!J60</f>
        <v>61.584203235464365</v>
      </c>
      <c r="K60" s="11">
        <f>GDP!K60/Population!K60</f>
        <v>62.463870039697667</v>
      </c>
      <c r="L60" s="11">
        <f>GDP!L60/Population!L60</f>
        <v>65.57917266870065</v>
      </c>
      <c r="M60" s="11">
        <f>GDP!M60/Population!M60</f>
        <v>66.806188200123231</v>
      </c>
      <c r="N60" s="11">
        <f>GDP!N60/Population!N60</f>
        <v>72.659212208843883</v>
      </c>
      <c r="O60" s="11">
        <f>GDP!O60/Population!O60</f>
        <v>75.124136682465334</v>
      </c>
      <c r="P60" s="11">
        <f>GDP!P60/Population!P60</f>
        <v>109.87757485415432</v>
      </c>
      <c r="Q60" s="11">
        <f>GDP!Q60/Population!Q60</f>
        <v>133.4172460608419</v>
      </c>
      <c r="R60" s="11">
        <f>GDP!R60/Population!R60</f>
        <v>128.84350684704927</v>
      </c>
      <c r="S60" s="11">
        <f>GDP!S60/Population!S60</f>
        <v>123.7130272529767</v>
      </c>
      <c r="T60" s="11">
        <f>GDP!T60/Population!T60</f>
        <v>157.34765932785038</v>
      </c>
      <c r="U60" s="11">
        <f>GDP!U60/Population!U60</f>
        <v>210.68520599872591</v>
      </c>
      <c r="V60" s="11">
        <f>GDP!V60/Population!V60</f>
        <v>222.72962161473347</v>
      </c>
      <c r="W60" s="11">
        <f>GDP!W60/Population!W60</f>
        <v>321.9994523430243</v>
      </c>
      <c r="X60" s="11">
        <f>GDP!X60/Population!X60</f>
        <v>315.13162079519583</v>
      </c>
      <c r="Y60" s="11">
        <f>GDP!Y60/Population!Y60</f>
        <v>246.40027356862214</v>
      </c>
      <c r="Z60" s="11">
        <f>GDP!Z60/Population!Z60</f>
        <v>266.18836836627366</v>
      </c>
      <c r="AA60" s="11">
        <f>GDP!AA60/Population!AA60</f>
        <v>223.64266414981361</v>
      </c>
      <c r="AB60" s="11">
        <f>GDP!AB60/Population!AB60</f>
        <v>176.01825269259322</v>
      </c>
      <c r="AC60" s="11">
        <f>GDP!AC60/Population!AC60</f>
        <v>204.17782763822828</v>
      </c>
      <c r="AD60" s="11">
        <f>GDP!AD60/Population!AD60</f>
        <v>252.30290767817971</v>
      </c>
      <c r="AE60" s="11">
        <f>GDP!AE60/Population!AE60</f>
        <v>288.40609296405387</v>
      </c>
      <c r="AF60" s="11">
        <f>GDP!AF60/Population!AF60</f>
        <v>297.26142726077563</v>
      </c>
      <c r="AG60" s="11">
        <f>GDP!AG60/Population!AG60</f>
        <v>350.0608388452041</v>
      </c>
      <c r="AH60" s="11">
        <f>GDP!AH60/Population!AH60</f>
        <v>404.19710319252539</v>
      </c>
      <c r="AI60" s="11">
        <f>GDP!AI60/Population!AI60</f>
        <v>466.27442861270782</v>
      </c>
      <c r="AJ60" s="11">
        <f>GDP!AJ60/Population!AJ60</f>
        <v>458.55357483882437</v>
      </c>
      <c r="AK60" s="11">
        <f>GDP!AK60/Population!AK60</f>
        <v>471.8417814415975</v>
      </c>
      <c r="AL60" s="11">
        <f>GDP!AL60/Population!AL60</f>
        <v>527.69983745900925</v>
      </c>
      <c r="AM60" s="11">
        <f>GDP!AM60/Population!AM60</f>
        <v>489.13181315531119</v>
      </c>
      <c r="AN60" s="11">
        <f>GDP!AN60/Population!AN60</f>
        <v>507.10046726597574</v>
      </c>
      <c r="AO60" s="11">
        <f>GDP!AO60/Population!AO60</f>
        <v>464.80637752088091</v>
      </c>
      <c r="AP60" s="11">
        <f>GDP!AP60/Population!AP60</f>
        <v>451.92714475343496</v>
      </c>
      <c r="AQ60" s="11">
        <f>GDP!AQ60/Population!AQ60</f>
        <v>436.48836582375873</v>
      </c>
      <c r="AR60" s="11">
        <f>GDP!AR60/Population!AR60</f>
        <v>405.60530519614491</v>
      </c>
      <c r="AS60" s="11">
        <f>GDP!AS60/Population!AS60</f>
        <v>382.19016084606142</v>
      </c>
      <c r="AT60" s="11">
        <f>GDP!AT60/Population!AT60</f>
        <v>573.65378022025936</v>
      </c>
      <c r="AU60" s="11">
        <f>GDP!AU60/Population!AU60</f>
        <v>753.38076313349347</v>
      </c>
      <c r="AV60" s="11">
        <f>GDP!AV60/Population!AV60</f>
        <v>842.81307380239809</v>
      </c>
      <c r="AW60" s="11">
        <f>GDP!AW60/Population!AW60</f>
        <v>904.60340744113262</v>
      </c>
      <c r="AX60" s="11">
        <f>GDP!AX60/Population!AX60</f>
        <v>863.77964711246841</v>
      </c>
      <c r="AY60" s="11">
        <f>GDP!AY60/Population!AY60</f>
        <v>884.96269743937103</v>
      </c>
      <c r="AZ60" s="11">
        <f>GDP!AZ60/Population!AZ60</f>
        <v>890.99636556588484</v>
      </c>
      <c r="BA60" s="11">
        <f>GDP!BA60/Population!BA60</f>
        <v>1137.2756906384657</v>
      </c>
      <c r="BB60" s="11">
        <f>GDP!BB60/Population!BB60</f>
        <v>1308.6901232516232</v>
      </c>
      <c r="BC60" s="11">
        <f>GDP!BC60/Population!BC60</f>
        <v>1253.6961553159072</v>
      </c>
      <c r="BD60" s="11">
        <f>GDP!BD60/Population!BD60</f>
        <v>1193.7132223065203</v>
      </c>
      <c r="BE60" s="11">
        <f>GDP!BE60/Population!BE60</f>
        <v>1223.3329943619499</v>
      </c>
      <c r="BF60" s="11">
        <f>GDP!BF60/Population!BF60</f>
        <v>1152.1398101330681</v>
      </c>
      <c r="BG60" s="11">
        <f>GDP!BG60/Population!BG60</f>
        <v>1043.5697409302454</v>
      </c>
      <c r="BH60" s="11">
        <f>GDP!BH60/Population!BH60</f>
        <v>1150.0792153817613</v>
      </c>
      <c r="BI60" s="11">
        <f>GDP!BI60/Population!BI60</f>
        <v>1221.8837454201159</v>
      </c>
      <c r="BJ60" s="11">
        <f>GDP!BJ60/Population!BJ60</f>
        <v>1157.5351663884273</v>
      </c>
      <c r="BK60" s="11"/>
    </row>
    <row r="61" spans="1:63" x14ac:dyDescent="0.45">
      <c r="A61" t="str">
        <f>GDP!A61</f>
        <v>South</v>
      </c>
      <c r="B61" t="str">
        <f>GDP!B61</f>
        <v>Madagascar</v>
      </c>
      <c r="C61" s="11">
        <f>GDP!C61/Population!C61</f>
        <v>131.99303679099373</v>
      </c>
      <c r="D61" s="11">
        <f>GDP!D61/Population!D61</f>
        <v>133.84757698186374</v>
      </c>
      <c r="E61" s="11">
        <f>GDP!E61/Population!E61</f>
        <v>138.11985009630075</v>
      </c>
      <c r="F61" s="11">
        <f>GDP!F61/Population!F61</f>
        <v>138.40716443939917</v>
      </c>
      <c r="G61" s="11">
        <f>GDP!G61/Population!G61</f>
        <v>142.65933864328221</v>
      </c>
      <c r="H61" s="35">
        <f>GDP!H61/Population!H61</f>
        <v>144.48465216603012</v>
      </c>
      <c r="I61" s="35">
        <f>GDP!I61/Population!I61</f>
        <v>152.1078188320032</v>
      </c>
      <c r="J61" s="11">
        <f>GDP!J61/Population!J61</f>
        <v>157.4763865339508</v>
      </c>
      <c r="K61" s="11">
        <f>GDP!K61/Population!K61</f>
        <v>165.47845436617257</v>
      </c>
      <c r="L61" s="11">
        <f>GDP!L61/Population!L61</f>
        <v>165.01157074571836</v>
      </c>
      <c r="M61" s="11">
        <f>GDP!M61/Population!M61</f>
        <v>169.07056226862957</v>
      </c>
      <c r="N61" s="11">
        <f>GDP!N61/Population!N61</f>
        <v>177.4984031903638</v>
      </c>
      <c r="O61" s="11">
        <f>GDP!O61/Population!O61</f>
        <v>193.12855115149526</v>
      </c>
      <c r="P61" s="11">
        <f>GDP!P61/Population!P61</f>
        <v>231.43619287413441</v>
      </c>
      <c r="Q61" s="11">
        <f>GDP!Q61/Population!Q61</f>
        <v>261.03534600818426</v>
      </c>
      <c r="R61" s="11">
        <f>GDP!R61/Population!R61</f>
        <v>302.14946534064336</v>
      </c>
      <c r="S61" s="11">
        <f>GDP!S61/Population!S61</f>
        <v>280.6790427260795</v>
      </c>
      <c r="T61" s="11">
        <f>GDP!T61/Population!T61</f>
        <v>294.93399135101504</v>
      </c>
      <c r="U61" s="11">
        <f>GDP!U61/Population!U61</f>
        <v>324.38449819919714</v>
      </c>
      <c r="V61" s="11">
        <f>GDP!V61/Population!V61</f>
        <v>408.93742095325536</v>
      </c>
      <c r="W61" s="11">
        <f>GDP!W61/Population!W61</f>
        <v>596.77467824723828</v>
      </c>
      <c r="X61" s="11">
        <f>GDP!X61/Population!X61</f>
        <v>530.50394205105249</v>
      </c>
      <c r="Y61" s="11">
        <f>GDP!Y61/Population!Y61</f>
        <v>518.18394653139455</v>
      </c>
      <c r="Z61" s="11">
        <f>GDP!Z61/Population!Z61</f>
        <v>493.08904397923419</v>
      </c>
      <c r="AA61" s="11">
        <f>GDP!AA61/Population!AA61</f>
        <v>399.34460158562547</v>
      </c>
      <c r="AB61" s="11">
        <f>GDP!AB61/Population!AB61</f>
        <v>377.85659475162458</v>
      </c>
      <c r="AC61" s="11">
        <f>GDP!AC61/Population!AC61</f>
        <v>420.0096227632601</v>
      </c>
      <c r="AD61" s="11">
        <f>GDP!AD61/Population!AD61</f>
        <v>301.74444375781036</v>
      </c>
      <c r="AE61" s="11">
        <f>GDP!AE61/Population!AE61</f>
        <v>291.21090829905239</v>
      </c>
      <c r="AF61" s="11">
        <f>GDP!AF61/Population!AF61</f>
        <v>281.81157614331715</v>
      </c>
      <c r="AG61" s="11">
        <f>GDP!AG61/Population!AG61</f>
        <v>338.94812535235832</v>
      </c>
      <c r="AH61" s="11">
        <f>GDP!AH61/Population!AH61</f>
        <v>272.52469354178442</v>
      </c>
      <c r="AI61" s="11">
        <f>GDP!AI61/Population!AI61</f>
        <v>301.99703837046644</v>
      </c>
      <c r="AJ61" s="11">
        <f>GDP!AJ61/Population!AJ61</f>
        <v>320.56420958292637</v>
      </c>
      <c r="AK61" s="11">
        <f>GDP!AK61/Population!AK61</f>
        <v>269.56073568961585</v>
      </c>
      <c r="AL61" s="11">
        <f>GDP!AL61/Population!AL61</f>
        <v>284.82278759814182</v>
      </c>
      <c r="AM61" s="11">
        <f>GDP!AM61/Population!AM61</f>
        <v>354.74154293040311</v>
      </c>
      <c r="AN61" s="11">
        <f>GDP!AN61/Population!AN61</f>
        <v>297.11518168501016</v>
      </c>
      <c r="AO61" s="11">
        <f>GDP!AO61/Population!AO61</f>
        <v>297.25367965555057</v>
      </c>
      <c r="AP61" s="11">
        <f>GDP!AP61/Population!AP61</f>
        <v>279.92134753160161</v>
      </c>
      <c r="AQ61" s="11">
        <f>GDP!AQ61/Population!AQ61</f>
        <v>293.60715011017453</v>
      </c>
      <c r="AR61" s="11">
        <f>GDP!AR61/Population!AR61</f>
        <v>334.44164996200709</v>
      </c>
      <c r="AS61" s="11">
        <f>GDP!AS61/Population!AS61</f>
        <v>319.21647215465305</v>
      </c>
      <c r="AT61" s="11">
        <f>GDP!AT61/Population!AT61</f>
        <v>368.79722856577354</v>
      </c>
      <c r="AU61" s="11">
        <f>GDP!AU61/Population!AU61</f>
        <v>284.48765994218053</v>
      </c>
      <c r="AV61" s="11">
        <f>GDP!AV61/Population!AV61</f>
        <v>319.53742838688089</v>
      </c>
      <c r="AW61" s="11">
        <f>GDP!AW61/Population!AW61</f>
        <v>338.75115077815633</v>
      </c>
      <c r="AX61" s="11">
        <f>GDP!AX61/Population!AX61</f>
        <v>438.65529319686129</v>
      </c>
      <c r="AY61" s="11">
        <f>GDP!AY61/Population!AY61</f>
        <v>536.35148280156625</v>
      </c>
      <c r="AZ61" s="11">
        <f>GDP!AZ61/Population!AZ61</f>
        <v>467.53976281722561</v>
      </c>
      <c r="BA61" s="11">
        <f>GDP!BA61/Population!BA61</f>
        <v>471.95918538704325</v>
      </c>
      <c r="BB61" s="11">
        <f>GDP!BB61/Population!BB61</f>
        <v>531.26553534295124</v>
      </c>
      <c r="BC61" s="11">
        <f>GDP!BC61/Population!BC61</f>
        <v>518.1529887267169</v>
      </c>
      <c r="BD61" s="11">
        <f>GDP!BD61/Population!BD61</f>
        <v>541.06623384473983</v>
      </c>
      <c r="BE61" s="11">
        <f>GDP!BE61/Population!BE61</f>
        <v>530.86131006641494</v>
      </c>
      <c r="BF61" s="11">
        <f>GDP!BF61/Population!BF61</f>
        <v>467.23538183075016</v>
      </c>
      <c r="BG61" s="11">
        <f>GDP!BG61/Population!BG61</f>
        <v>475.95541290845563</v>
      </c>
      <c r="BH61" s="11">
        <f>GDP!BH61/Population!BH61</f>
        <v>515.29270918799523</v>
      </c>
      <c r="BI61" s="11">
        <f>GDP!BI61/Population!BI61</f>
        <v>527.50132265300681</v>
      </c>
      <c r="BJ61" s="11">
        <f>GDP!BJ61/Population!BJ61</f>
        <v>522.21979740822417</v>
      </c>
      <c r="BK61" s="11"/>
    </row>
    <row r="62" spans="1:63" x14ac:dyDescent="0.45">
      <c r="A62" t="str">
        <f>GDP!A62</f>
        <v>South</v>
      </c>
      <c r="B62" t="str">
        <f>GDP!B62</f>
        <v>Malawi</v>
      </c>
      <c r="C62" s="11">
        <f>GDP!C62/Population!C62</f>
        <v>44.523893000625137</v>
      </c>
      <c r="D62" s="11">
        <f>GDP!D62/Population!D62</f>
        <v>46.581648256968911</v>
      </c>
      <c r="E62" s="11">
        <f>GDP!E62/Population!E62</f>
        <v>47.698433177226718</v>
      </c>
      <c r="F62" s="11">
        <f>GDP!F62/Population!F62</f>
        <v>48.505500382825424</v>
      </c>
      <c r="G62" s="11">
        <f>GDP!G62/Population!G62</f>
        <v>48.293203179965339</v>
      </c>
      <c r="H62" s="35">
        <f>GDP!H62/Population!H62</f>
        <v>55.498277405029917</v>
      </c>
      <c r="I62" s="35">
        <f>GDP!I62/Population!I62</f>
        <v>61.407654744366667</v>
      </c>
      <c r="J62" s="11">
        <f>GDP!J62/Population!J62</f>
        <v>62.019986888718691</v>
      </c>
      <c r="K62" s="11">
        <f>GDP!K62/Population!K62</f>
        <v>54.916348204460014</v>
      </c>
      <c r="L62" s="11">
        <f>GDP!L62/Population!L62</f>
        <v>58.009418187516125</v>
      </c>
      <c r="M62" s="11">
        <f>GDP!M62/Population!M62</f>
        <v>61.76553590281182</v>
      </c>
      <c r="N62" s="11">
        <f>GDP!N62/Population!N62</f>
        <v>75.663726292117147</v>
      </c>
      <c r="O62" s="11">
        <f>GDP!O62/Population!O62</f>
        <v>81.891472686868681</v>
      </c>
      <c r="P62" s="11">
        <f>GDP!P62/Population!P62</f>
        <v>87.227573609028056</v>
      </c>
      <c r="Q62" s="11">
        <f>GDP!Q62/Population!Q62</f>
        <v>104.79719996263663</v>
      </c>
      <c r="R62" s="11">
        <f>GDP!R62/Population!R62</f>
        <v>113.88004037293899</v>
      </c>
      <c r="S62" s="11">
        <f>GDP!S62/Population!S62</f>
        <v>120.87266796991011</v>
      </c>
      <c r="T62" s="11">
        <f>GDP!T62/Population!T62</f>
        <v>141.01039585320132</v>
      </c>
      <c r="U62" s="11">
        <f>GDP!U62/Population!U62</f>
        <v>160.93874423104481</v>
      </c>
      <c r="V62" s="11">
        <f>GDP!V62/Population!V62</f>
        <v>174.18647468230984</v>
      </c>
      <c r="W62" s="11">
        <f>GDP!W62/Population!W62</f>
        <v>198.0109278706779</v>
      </c>
      <c r="X62" s="11">
        <f>GDP!X62/Population!X62</f>
        <v>193.01489617589962</v>
      </c>
      <c r="Y62" s="11">
        <f>GDP!Y62/Population!Y62</f>
        <v>179.72995552076344</v>
      </c>
      <c r="Z62" s="11">
        <f>GDP!Z62/Population!Z62</f>
        <v>181.53763918975636</v>
      </c>
      <c r="AA62" s="11">
        <f>GDP!AA62/Population!AA62</f>
        <v>173.44969500791646</v>
      </c>
      <c r="AB62" s="11">
        <f>GDP!AB62/Population!AB62</f>
        <v>155.6557897501564</v>
      </c>
      <c r="AC62" s="11">
        <f>GDP!AC62/Population!AC62</f>
        <v>154.39530595295753</v>
      </c>
      <c r="AD62" s="11">
        <f>GDP!AD62/Population!AD62</f>
        <v>145.32280148273966</v>
      </c>
      <c r="AE62" s="11">
        <f>GDP!AE62/Population!AE62</f>
        <v>159.77466182067437</v>
      </c>
      <c r="AF62" s="11">
        <f>GDP!AF62/Population!AF62</f>
        <v>175.21931972992996</v>
      </c>
      <c r="AG62" s="11">
        <f>GDP!AG62/Population!AG62</f>
        <v>199.98634526024776</v>
      </c>
      <c r="AH62" s="11">
        <f>GDP!AH62/Population!AH62</f>
        <v>229.52753892954999</v>
      </c>
      <c r="AI62" s="11">
        <f>GDP!AI62/Population!AI62</f>
        <v>185.78588397882174</v>
      </c>
      <c r="AJ62" s="11">
        <f>GDP!AJ62/Population!AJ62</f>
        <v>213.24061229220715</v>
      </c>
      <c r="AK62" s="11">
        <f>GDP!AK62/Population!AK62</f>
        <v>121.26413050281714</v>
      </c>
      <c r="AL62" s="11">
        <f>GDP!AL62/Population!AL62</f>
        <v>141.95438936696593</v>
      </c>
      <c r="AM62" s="11">
        <f>GDP!AM62/Population!AM62</f>
        <v>227.58478104248229</v>
      </c>
      <c r="AN62" s="11">
        <f>GDP!AN62/Population!AN62</f>
        <v>259.4504826444587</v>
      </c>
      <c r="AO62" s="11">
        <f>GDP!AO62/Population!AO62</f>
        <v>165.89539872585581</v>
      </c>
      <c r="AP62" s="11">
        <f>GDP!AP62/Population!AP62</f>
        <v>163.61424177392195</v>
      </c>
      <c r="AQ62" s="11">
        <f>GDP!AQ62/Population!AQ62</f>
        <v>156.38572117181124</v>
      </c>
      <c r="AR62" s="11">
        <f>GDP!AR62/Population!AR62</f>
        <v>150.1489601119664</v>
      </c>
      <c r="AS62" s="11">
        <f>GDP!AS62/Population!AS62</f>
        <v>298.43338104968694</v>
      </c>
      <c r="AT62" s="11">
        <f>GDP!AT62/Population!AT62</f>
        <v>267.39906006417738</v>
      </c>
      <c r="AU62" s="11">
        <f>GDP!AU62/Population!AU62</f>
        <v>282.5670817645298</v>
      </c>
      <c r="AV62" s="11">
        <f>GDP!AV62/Population!AV62</f>
        <v>289.55516637478109</v>
      </c>
      <c r="AW62" s="11">
        <f>GDP!AW62/Population!AW62</f>
        <v>308.1634694931646</v>
      </c>
      <c r="AX62" s="11">
        <f>GDP!AX62/Population!AX62</f>
        <v>332.2591379308019</v>
      </c>
      <c r="AY62" s="11">
        <f>GDP!AY62/Population!AY62</f>
        <v>387.60597761200012</v>
      </c>
      <c r="AZ62" s="11">
        <f>GDP!AZ62/Population!AZ62</f>
        <v>438.21203490476995</v>
      </c>
      <c r="BA62" s="11">
        <f>GDP!BA62/Population!BA62</f>
        <v>478.66857960171154</v>
      </c>
      <c r="BB62" s="11">
        <f>GDP!BB62/Population!BB62</f>
        <v>534.95126677303313</v>
      </c>
      <c r="BC62" s="11">
        <f>GDP!BC62/Population!BC62</f>
        <v>391.56181619842289</v>
      </c>
      <c r="BD62" s="11">
        <f>GDP!BD62/Population!BD62</f>
        <v>348.43026960398237</v>
      </c>
      <c r="BE62" s="11">
        <f>GDP!BE62/Population!BE62</f>
        <v>371.2697615770611</v>
      </c>
      <c r="BF62" s="11">
        <f>GDP!BF62/Population!BF62</f>
        <v>380.5970350013971</v>
      </c>
      <c r="BG62" s="11">
        <f>GDP!BG62/Population!BG62</f>
        <v>315.77735775187256</v>
      </c>
      <c r="BH62" s="11">
        <f>GDP!BH62/Population!BH62</f>
        <v>356.7175817446942</v>
      </c>
      <c r="BI62" s="11">
        <f>GDP!BI62/Population!BI62</f>
        <v>381.25895839547741</v>
      </c>
      <c r="BJ62" s="11">
        <f>GDP!BJ62/Population!BJ62</f>
        <v>411.55231602252604</v>
      </c>
      <c r="BK62" s="11"/>
    </row>
    <row r="63" spans="1:63" x14ac:dyDescent="0.45">
      <c r="A63" t="str">
        <f>GDP!A63</f>
        <v>South</v>
      </c>
      <c r="B63" t="str">
        <f>GDP!B63</f>
        <v>Malaysia</v>
      </c>
      <c r="C63" s="11">
        <f>GDP!C63/Population!C63</f>
        <v>234.93875971681931</v>
      </c>
      <c r="D63" s="11">
        <f>GDP!D63/Population!D63</f>
        <v>225.93351250869583</v>
      </c>
      <c r="E63" s="11">
        <f>GDP!E63/Population!E63</f>
        <v>230.26046605161187</v>
      </c>
      <c r="F63" s="11">
        <f>GDP!F63/Population!F63</f>
        <v>279.71764521292459</v>
      </c>
      <c r="G63" s="11">
        <f>GDP!G63/Population!G63</f>
        <v>289.00876760160804</v>
      </c>
      <c r="H63" s="35">
        <f>GDP!H63/Population!H63</f>
        <v>310.32791318753323</v>
      </c>
      <c r="I63" s="35">
        <f>GDP!I63/Population!I63</f>
        <v>321.09412258362647</v>
      </c>
      <c r="J63" s="11">
        <f>GDP!J63/Population!J63</f>
        <v>317.42407377822241</v>
      </c>
      <c r="K63" s="11">
        <f>GDP!K63/Population!K63</f>
        <v>323.40248998274711</v>
      </c>
      <c r="L63" s="11">
        <f>GDP!L63/Population!L63</f>
        <v>347.37296409018182</v>
      </c>
      <c r="M63" s="11">
        <f>GDP!M63/Population!M63</f>
        <v>357.65680812274491</v>
      </c>
      <c r="N63" s="11">
        <f>GDP!N63/Population!N63</f>
        <v>383.67149649629516</v>
      </c>
      <c r="O63" s="11">
        <f>GDP!O63/Population!O63</f>
        <v>445.35016301702967</v>
      </c>
      <c r="P63" s="11">
        <f>GDP!P63/Population!P63</f>
        <v>661.02271044778593</v>
      </c>
      <c r="Q63" s="11">
        <f>GDP!Q63/Population!Q63</f>
        <v>799.93185469523303</v>
      </c>
      <c r="R63" s="11">
        <f>GDP!R63/Population!R63</f>
        <v>764.56649120754355</v>
      </c>
      <c r="S63" s="11">
        <f>GDP!S63/Population!S63</f>
        <v>886.23000669918065</v>
      </c>
      <c r="T63" s="11">
        <f>GDP!T63/Population!T63</f>
        <v>1027.2929723684613</v>
      </c>
      <c r="U63" s="11">
        <f>GDP!U63/Population!U63</f>
        <v>1246.5577340391053</v>
      </c>
      <c r="V63" s="11">
        <f>GDP!V63/Population!V63</f>
        <v>1576.0492248494822</v>
      </c>
      <c r="W63" s="11">
        <f>GDP!W63/Population!W63</f>
        <v>1774.7415169568822</v>
      </c>
      <c r="X63" s="11">
        <f>GDP!X63/Population!X63</f>
        <v>1769.0995953179192</v>
      </c>
      <c r="Y63" s="11">
        <f>GDP!Y63/Population!Y63</f>
        <v>1852.2570209224371</v>
      </c>
      <c r="Z63" s="11">
        <f>GDP!Z63/Population!Z63</f>
        <v>2047.7711457611308</v>
      </c>
      <c r="AA63" s="11">
        <f>GDP!AA63/Population!AA63</f>
        <v>2234.2574438705719</v>
      </c>
      <c r="AB63" s="11">
        <f>GDP!AB63/Population!AB63</f>
        <v>2000.1479455606145</v>
      </c>
      <c r="AC63" s="11">
        <f>GDP!AC63/Population!AC63</f>
        <v>1728.6853547968362</v>
      </c>
      <c r="AD63" s="11">
        <f>GDP!AD63/Population!AD63</f>
        <v>1947.8087708509865</v>
      </c>
      <c r="AE63" s="11">
        <f>GDP!AE63/Population!AE63</f>
        <v>2072.0784431678048</v>
      </c>
      <c r="AF63" s="11">
        <f>GDP!AF63/Population!AF63</f>
        <v>2216.2506699769979</v>
      </c>
      <c r="AG63" s="11">
        <f>GDP!AG63/Population!AG63</f>
        <v>2441.7418960939385</v>
      </c>
      <c r="AH63" s="11">
        <f>GDP!AH63/Population!AH63</f>
        <v>2653.5269098122153</v>
      </c>
      <c r="AI63" s="11">
        <f>GDP!AI63/Population!AI63</f>
        <v>3113.6464022713458</v>
      </c>
      <c r="AJ63" s="11">
        <f>GDP!AJ63/Population!AJ63</f>
        <v>3433.1632483783083</v>
      </c>
      <c r="AK63" s="11">
        <f>GDP!AK63/Population!AK63</f>
        <v>3728.1118474283571</v>
      </c>
      <c r="AL63" s="11">
        <f>GDP!AL63/Population!AL63</f>
        <v>4329.7071814337723</v>
      </c>
      <c r="AM63" s="11">
        <f>GDP!AM63/Population!AM63</f>
        <v>4798.613192022005</v>
      </c>
      <c r="AN63" s="11">
        <f>GDP!AN63/Population!AN63</f>
        <v>4637.8652055819121</v>
      </c>
      <c r="AO63" s="11">
        <f>GDP!AO63/Population!AO63</f>
        <v>3263.3337934204169</v>
      </c>
      <c r="AP63" s="11">
        <f>GDP!AP63/Population!AP63</f>
        <v>3492.6691764964212</v>
      </c>
      <c r="AQ63" s="11">
        <f>GDP!AQ63/Population!AQ63</f>
        <v>4043.6620542603305</v>
      </c>
      <c r="AR63" s="11">
        <f>GDP!AR63/Population!AR63</f>
        <v>3913.4284056093184</v>
      </c>
      <c r="AS63" s="11">
        <f>GDP!AS63/Population!AS63</f>
        <v>4165.7259614764998</v>
      </c>
      <c r="AT63" s="11">
        <f>GDP!AT63/Population!AT63</f>
        <v>4461.8476549082106</v>
      </c>
      <c r="AU63" s="11">
        <f>GDP!AU63/Population!AU63</f>
        <v>4952.2128980226471</v>
      </c>
      <c r="AV63" s="11">
        <f>GDP!AV63/Population!AV63</f>
        <v>5587.0251897463559</v>
      </c>
      <c r="AW63" s="11">
        <f>GDP!AW63/Population!AW63</f>
        <v>6209.1246547968167</v>
      </c>
      <c r="AX63" s="11">
        <f>GDP!AX63/Population!AX63</f>
        <v>7243.4561814825165</v>
      </c>
      <c r="AY63" s="11">
        <f>GDP!AY63/Population!AY63</f>
        <v>8474.5866412277919</v>
      </c>
      <c r="AZ63" s="11">
        <f>GDP!AZ63/Population!AZ63</f>
        <v>7292.4945911020859</v>
      </c>
      <c r="BA63" s="11">
        <f>GDP!BA63/Population!BA63</f>
        <v>9040.5661683074995</v>
      </c>
      <c r="BB63" s="11">
        <f>GDP!BB63/Population!BB63</f>
        <v>10399.372115052636</v>
      </c>
      <c r="BC63" s="11">
        <f>GDP!BC63/Population!BC63</f>
        <v>10817.442074902574</v>
      </c>
      <c r="BD63" s="11">
        <f>GDP!BD63/Population!BD63</f>
        <v>10970.123337194584</v>
      </c>
      <c r="BE63" s="11">
        <f>GDP!BE63/Population!BE63</f>
        <v>11319.078962424866</v>
      </c>
      <c r="BF63" s="11">
        <f>GDP!BF63/Population!BF63</f>
        <v>9955.2417876907912</v>
      </c>
      <c r="BG63" s="11">
        <f>GDP!BG63/Population!BG63</f>
        <v>9817.7410165631172</v>
      </c>
      <c r="BH63" s="11">
        <f>GDP!BH63/Population!BH63</f>
        <v>10254.234130379178</v>
      </c>
      <c r="BI63" s="11">
        <f>GDP!BI63/Population!BI63</f>
        <v>11373.232871352548</v>
      </c>
      <c r="BJ63" s="11">
        <f>GDP!BJ63/Population!BJ63</f>
        <v>11414.837956172212</v>
      </c>
      <c r="BK63" s="11"/>
    </row>
    <row r="64" spans="1:63" x14ac:dyDescent="0.45">
      <c r="A64" t="str">
        <f>GDP!A64</f>
        <v>South</v>
      </c>
      <c r="B64" t="str">
        <f>GDP!B64</f>
        <v>Mexico</v>
      </c>
      <c r="C64" s="11">
        <f>GDP!C64/Population!C64</f>
        <v>345.23054993849917</v>
      </c>
      <c r="D64" s="11">
        <f>GDP!D64/Population!D64</f>
        <v>363.39320561465087</v>
      </c>
      <c r="E64" s="11">
        <f>GDP!E64/Population!E64</f>
        <v>378.15347657388969</v>
      </c>
      <c r="F64" s="11">
        <f>GDP!F64/Population!F64</f>
        <v>409.04561939154075</v>
      </c>
      <c r="G64" s="11">
        <f>GDP!G64/Population!G64</f>
        <v>469.47612788828337</v>
      </c>
      <c r="H64" s="35">
        <f>GDP!H64/Population!H64</f>
        <v>494.97036151784755</v>
      </c>
      <c r="I64" s="35">
        <f>GDP!I64/Population!I64</f>
        <v>534.27374886356984</v>
      </c>
      <c r="J64" s="11">
        <f>GDP!J64/Population!J64</f>
        <v>565.63340889877645</v>
      </c>
      <c r="K64" s="11">
        <f>GDP!K64/Population!K64</f>
        <v>606.21114135100675</v>
      </c>
      <c r="L64" s="11">
        <f>GDP!L64/Population!L64</f>
        <v>650.31170112571203</v>
      </c>
      <c r="M64" s="11">
        <f>GDP!M64/Population!M64</f>
        <v>689.79494214073043</v>
      </c>
      <c r="N64" s="11">
        <f>GDP!N64/Population!N64</f>
        <v>738.55835421456459</v>
      </c>
      <c r="O64" s="11">
        <f>GDP!O64/Population!O64</f>
        <v>826.477331481634</v>
      </c>
      <c r="P64" s="11">
        <f>GDP!P64/Population!P64</f>
        <v>981.45910553994599</v>
      </c>
      <c r="Q64" s="11">
        <f>GDP!Q64/Population!Q64</f>
        <v>1242.0901435932194</v>
      </c>
      <c r="R64" s="11">
        <f>GDP!R64/Population!R64</f>
        <v>1476.3131619754358</v>
      </c>
      <c r="S64" s="11">
        <f>GDP!S64/Population!S64</f>
        <v>1453.6705377234048</v>
      </c>
      <c r="T64" s="11">
        <f>GDP!T64/Population!T64</f>
        <v>1301.324706333256</v>
      </c>
      <c r="U64" s="11">
        <f>GDP!U64/Population!U64</f>
        <v>1589.2737348342196</v>
      </c>
      <c r="V64" s="11">
        <f>GDP!V64/Population!V64</f>
        <v>2034.9890904189917</v>
      </c>
      <c r="W64" s="11">
        <f>GDP!W64/Population!W64</f>
        <v>3027.3748169458659</v>
      </c>
      <c r="X64" s="11">
        <f>GDP!X64/Population!X64</f>
        <v>3803.0307854364819</v>
      </c>
      <c r="Y64" s="11">
        <f>GDP!Y64/Population!Y64</f>
        <v>2597.9827315619368</v>
      </c>
      <c r="Z64" s="11">
        <f>GDP!Z64/Population!Z64</f>
        <v>2147.7198346687333</v>
      </c>
      <c r="AA64" s="11">
        <f>GDP!AA64/Population!AA64</f>
        <v>2478.2107610662661</v>
      </c>
      <c r="AB64" s="11">
        <f>GDP!AB64/Population!AB64</f>
        <v>2569.2395653118742</v>
      </c>
      <c r="AC64" s="11">
        <f>GDP!AC64/Population!AC64</f>
        <v>1733.9131608440387</v>
      </c>
      <c r="AD64" s="11">
        <f>GDP!AD64/Population!AD64</f>
        <v>1862.8862249634092</v>
      </c>
      <c r="AE64" s="11">
        <f>GDP!AE64/Population!AE64</f>
        <v>2247.9814580055236</v>
      </c>
      <c r="AF64" s="11">
        <f>GDP!AF64/Population!AF64</f>
        <v>2687.914816810533</v>
      </c>
      <c r="AG64" s="11">
        <f>GDP!AG64/Population!AG64</f>
        <v>3112.2685093871164</v>
      </c>
      <c r="AH64" s="11">
        <f>GDP!AH64/Population!AH64</f>
        <v>3661.9478746436316</v>
      </c>
      <c r="AI64" s="11">
        <f>GDP!AI64/Population!AI64</f>
        <v>4170.6232410593075</v>
      </c>
      <c r="AJ64" s="11">
        <f>GDP!AJ64/Population!AJ64</f>
        <v>5650.026285184028</v>
      </c>
      <c r="AK64" s="11">
        <f>GDP!AK64/Population!AK64</f>
        <v>5854.4179556415293</v>
      </c>
      <c r="AL64" s="11">
        <f>GDP!AL64/Population!AL64</f>
        <v>3928.2239200496497</v>
      </c>
      <c r="AM64" s="11">
        <f>GDP!AM64/Population!AM64</f>
        <v>4412.1165915739248</v>
      </c>
      <c r="AN64" s="11">
        <f>GDP!AN64/Population!AN64</f>
        <v>5289.1682504571354</v>
      </c>
      <c r="AO64" s="11">
        <f>GDP!AO64/Population!AO64</f>
        <v>5481.1816001279249</v>
      </c>
      <c r="AP64" s="11">
        <f>GDP!AP64/Population!AP64</f>
        <v>6157.1926007114625</v>
      </c>
      <c r="AQ64" s="11">
        <f>GDP!AQ64/Population!AQ64</f>
        <v>7157.8144872376342</v>
      </c>
      <c r="AR64" s="11">
        <f>GDP!AR64/Population!AR64</f>
        <v>7544.5688390350406</v>
      </c>
      <c r="AS64" s="11">
        <f>GDP!AS64/Population!AS64</f>
        <v>7593.1374051332768</v>
      </c>
      <c r="AT64" s="11">
        <f>GDP!AT64/Population!AT64</f>
        <v>7075.369331837449</v>
      </c>
      <c r="AU64" s="11">
        <f>GDP!AU64/Population!AU64</f>
        <v>7484.4866140461772</v>
      </c>
      <c r="AV64" s="11">
        <f>GDP!AV64/Population!AV64</f>
        <v>8277.6717519517915</v>
      </c>
      <c r="AW64" s="11">
        <f>GDP!AW64/Population!AW64</f>
        <v>9068.2941684202906</v>
      </c>
      <c r="AX64" s="11">
        <f>GDP!AX64/Population!AX64</f>
        <v>9642.6807176414604</v>
      </c>
      <c r="AY64" s="11">
        <f>GDP!AY64/Population!AY64</f>
        <v>10016.570632683191</v>
      </c>
      <c r="AZ64" s="11">
        <f>GDP!AZ64/Population!AZ64</f>
        <v>8002.9719466216566</v>
      </c>
      <c r="BA64" s="11">
        <f>GDP!BA64/Population!BA64</f>
        <v>9271.3985693069935</v>
      </c>
      <c r="BB64" s="11">
        <f>GDP!BB64/Population!BB64</f>
        <v>10203.421040643665</v>
      </c>
      <c r="BC64" s="11">
        <f>GDP!BC64/Population!BC64</f>
        <v>10241.727754364832</v>
      </c>
      <c r="BD64" s="11">
        <f>GDP!BD64/Population!BD64</f>
        <v>10725.183295536139</v>
      </c>
      <c r="BE64" s="11">
        <f>GDP!BE64/Population!BE64</f>
        <v>10922.375891985259</v>
      </c>
      <c r="BF64" s="11">
        <f>GDP!BF64/Population!BF64</f>
        <v>9605.9521755177593</v>
      </c>
      <c r="BG64" s="11">
        <f>GDP!BG64/Population!BG64</f>
        <v>8739.7560749816821</v>
      </c>
      <c r="BH64" s="11">
        <f>GDP!BH64/Population!BH64</f>
        <v>9278.4177063961488</v>
      </c>
      <c r="BI64" s="11">
        <f>GDP!BI64/Population!BI64</f>
        <v>9673.4440468806351</v>
      </c>
      <c r="BJ64" s="11">
        <f>GDP!BJ64/Population!BJ64</f>
        <v>9863.072983338936</v>
      </c>
      <c r="BK64" s="11"/>
    </row>
    <row r="65" spans="1:63" x14ac:dyDescent="0.45">
      <c r="A65" t="str">
        <f>GDP!A65</f>
        <v>South</v>
      </c>
      <c r="B65" t="str">
        <f>GDP!B65</f>
        <v>Nepal</v>
      </c>
      <c r="C65" s="11">
        <f>GDP!C65/Population!C65</f>
        <v>50.304986120800983</v>
      </c>
      <c r="D65" s="11">
        <f>GDP!D65/Population!D65</f>
        <v>51.811227606497702</v>
      </c>
      <c r="E65" s="11">
        <f>GDP!E65/Population!E65</f>
        <v>55.02569666193655</v>
      </c>
      <c r="F65" s="11">
        <f>GDP!F65/Population!F65</f>
        <v>46.86144879670853</v>
      </c>
      <c r="G65" s="11">
        <f>GDP!G65/Population!G65</f>
        <v>46.003366293683946</v>
      </c>
      <c r="H65" s="35">
        <f>GDP!H65/Population!H65</f>
        <v>67.00747003165614</v>
      </c>
      <c r="I65" s="35">
        <f>GDP!I65/Population!I65</f>
        <v>81.164431795164731</v>
      </c>
      <c r="J65" s="11">
        <f>GDP!J65/Population!J65</f>
        <v>73.967886931412522</v>
      </c>
      <c r="K65" s="11">
        <f>GDP!K65/Population!K65</f>
        <v>66.548902406150745</v>
      </c>
      <c r="L65" s="11">
        <f>GDP!L65/Population!L65</f>
        <v>66.638364247911255</v>
      </c>
      <c r="M65" s="11">
        <f>GDP!M65/Population!M65</f>
        <v>71.718601967464664</v>
      </c>
      <c r="N65" s="11">
        <f>GDP!N65/Population!N65</f>
        <v>71.629887158225316</v>
      </c>
      <c r="O65" s="11">
        <f>GDP!O65/Population!O65</f>
        <v>81.386586813784163</v>
      </c>
      <c r="P65" s="11">
        <f>GDP!P65/Population!P65</f>
        <v>75.636952597865303</v>
      </c>
      <c r="Q65" s="11">
        <f>GDP!Q65/Population!Q65</f>
        <v>92.75222149283465</v>
      </c>
      <c r="R65" s="11">
        <f>GDP!R65/Population!R65</f>
        <v>117.41773359584971</v>
      </c>
      <c r="S65" s="11">
        <f>GDP!S65/Population!S65</f>
        <v>105.89278260072855</v>
      </c>
      <c r="T65" s="11">
        <f>GDP!T65/Population!T65</f>
        <v>98.54200039120262</v>
      </c>
      <c r="U65" s="11">
        <f>GDP!U65/Population!U65</f>
        <v>111.80671163991349</v>
      </c>
      <c r="V65" s="11">
        <f>GDP!V65/Population!V65</f>
        <v>126.133338111808</v>
      </c>
      <c r="W65" s="11">
        <f>GDP!W65/Population!W65</f>
        <v>129.58607155029546</v>
      </c>
      <c r="X65" s="11">
        <f>GDP!X65/Population!X65</f>
        <v>148.08024816443822</v>
      </c>
      <c r="Y65" s="11">
        <f>GDP!Y65/Population!Y65</f>
        <v>152.28967201674365</v>
      </c>
      <c r="Z65" s="11">
        <f>GDP!Z65/Population!Z65</f>
        <v>151.99261692890403</v>
      </c>
      <c r="AA65" s="11">
        <f>GDP!AA65/Population!AA65</f>
        <v>156.65067671480935</v>
      </c>
      <c r="AB65" s="11">
        <f>GDP!AB65/Population!AB65</f>
        <v>155.40786615028435</v>
      </c>
      <c r="AC65" s="11">
        <f>GDP!AC65/Population!AC65</f>
        <v>165.3618764904576</v>
      </c>
      <c r="AD65" s="11">
        <f>GDP!AD65/Population!AD65</f>
        <v>167.79999468896756</v>
      </c>
      <c r="AE65" s="11">
        <f>GDP!AE65/Population!AE65</f>
        <v>193.49968258816281</v>
      </c>
      <c r="AF65" s="11">
        <f>GDP!AF65/Population!AF65</f>
        <v>191.12077422707085</v>
      </c>
      <c r="AG65" s="11">
        <f>GDP!AG65/Population!AG65</f>
        <v>191.87890917119367</v>
      </c>
      <c r="AH65" s="11">
        <f>GDP!AH65/Population!AH65</f>
        <v>202.08061053193981</v>
      </c>
      <c r="AI65" s="11">
        <f>GDP!AI65/Population!AI65</f>
        <v>170.58667169550895</v>
      </c>
      <c r="AJ65" s="11">
        <f>GDP!AJ65/Population!AJ65</f>
        <v>178.62596461801616</v>
      </c>
      <c r="AK65" s="11">
        <f>GDP!AK65/Population!AK65</f>
        <v>193.27950700217062</v>
      </c>
      <c r="AL65" s="11">
        <f>GDP!AL65/Population!AL65</f>
        <v>203.98079798769675</v>
      </c>
      <c r="AM65" s="11">
        <f>GDP!AM65/Population!AM65</f>
        <v>204.68576254466203</v>
      </c>
      <c r="AN65" s="11">
        <f>GDP!AN65/Population!AN65</f>
        <v>217.7879399822252</v>
      </c>
      <c r="AO65" s="11">
        <f>GDP!AO65/Population!AO65</f>
        <v>210.61147571043378</v>
      </c>
      <c r="AP65" s="11">
        <f>GDP!AP65/Population!AP65</f>
        <v>214.10677175005458</v>
      </c>
      <c r="AQ65" s="11">
        <f>GDP!AQ65/Population!AQ65</f>
        <v>229.49027977399544</v>
      </c>
      <c r="AR65" s="11">
        <f>GDP!AR65/Population!AR65</f>
        <v>246.72562102452753</v>
      </c>
      <c r="AS65" s="11">
        <f>GDP!AS65/Population!AS65</f>
        <v>244.72081776851127</v>
      </c>
      <c r="AT65" s="11">
        <f>GDP!AT65/Population!AT65</f>
        <v>252.40242683747201</v>
      </c>
      <c r="AU65" s="11">
        <f>GDP!AU65/Population!AU65</f>
        <v>286.15759840222472</v>
      </c>
      <c r="AV65" s="11">
        <f>GDP!AV65/Population!AV65</f>
        <v>315.80562527918585</v>
      </c>
      <c r="AW65" s="11">
        <f>GDP!AW65/Population!AW65</f>
        <v>346.94525381279681</v>
      </c>
      <c r="AX65" s="11">
        <f>GDP!AX65/Population!AX65</f>
        <v>391.38013279974894</v>
      </c>
      <c r="AY65" s="11">
        <f>GDP!AY65/Population!AY65</f>
        <v>470.45555154887529</v>
      </c>
      <c r="AZ65" s="11">
        <f>GDP!AZ65/Population!AZ65</f>
        <v>478.17317364799038</v>
      </c>
      <c r="BA65" s="11">
        <f>GDP!BA65/Population!BA65</f>
        <v>592.40109084399148</v>
      </c>
      <c r="BB65" s="11">
        <f>GDP!BB65/Population!BB65</f>
        <v>699.42938355788499</v>
      </c>
      <c r="BC65" s="11">
        <f>GDP!BC65/Population!BC65</f>
        <v>698.46649708694326</v>
      </c>
      <c r="BD65" s="11">
        <f>GDP!BD65/Population!BD65</f>
        <v>715.92374235945397</v>
      </c>
      <c r="BE65" s="11">
        <f>GDP!BE65/Population!BE65</f>
        <v>743.41340961802916</v>
      </c>
      <c r="BF65" s="11">
        <f>GDP!BF65/Population!BF65</f>
        <v>792.5528489472083</v>
      </c>
      <c r="BG65" s="11">
        <f>GDP!BG65/Population!BG65</f>
        <v>777.14759137661633</v>
      </c>
      <c r="BH65" s="11">
        <f>GDP!BH65/Population!BH65</f>
        <v>911.44427252000605</v>
      </c>
      <c r="BI65" s="11">
        <f>GDP!BI65/Population!BI65</f>
        <v>1038.6516372618046</v>
      </c>
      <c r="BJ65" s="11">
        <f>GDP!BJ65/Population!BJ65</f>
        <v>1071.0507875398787</v>
      </c>
      <c r="BK65" s="11"/>
    </row>
    <row r="66" spans="1:63" x14ac:dyDescent="0.45">
      <c r="A66" t="str">
        <f>GDP!A66</f>
        <v>South</v>
      </c>
      <c r="B66" t="str">
        <f>GDP!B66</f>
        <v>Nicaragua</v>
      </c>
      <c r="C66" s="11">
        <f>GDP!C66/Population!C66</f>
        <v>126.24838463529726</v>
      </c>
      <c r="D66" s="11">
        <f>GDP!D66/Population!D66</f>
        <v>131.45021964413169</v>
      </c>
      <c r="E66" s="11">
        <f>GDP!E66/Population!E66</f>
        <v>140.55741764573426</v>
      </c>
      <c r="F66" s="11">
        <f>GDP!F66/Population!F66</f>
        <v>150.50413054134293</v>
      </c>
      <c r="G66" s="11">
        <f>GDP!G66/Population!G66</f>
        <v>170.43458672172824</v>
      </c>
      <c r="H66" s="35">
        <f>GDP!H66/Population!H66</f>
        <v>273.90642633054546</v>
      </c>
      <c r="I66" s="35">
        <f>GDP!I66/Population!I66</f>
        <v>284.55828020578093</v>
      </c>
      <c r="J66" s="11">
        <f>GDP!J66/Population!J66</f>
        <v>299.08162479554437</v>
      </c>
      <c r="K66" s="11">
        <f>GDP!K66/Population!K66</f>
        <v>307.29175143059132</v>
      </c>
      <c r="L66" s="11">
        <f>GDP!L66/Population!L66</f>
        <v>320.42932999868481</v>
      </c>
      <c r="M66" s="11">
        <f>GDP!M66/Population!M66</f>
        <v>322.70162845577812</v>
      </c>
      <c r="N66" s="11">
        <f>GDP!N66/Population!N66</f>
        <v>333.11479236429011</v>
      </c>
      <c r="O66" s="11">
        <f>GDP!O66/Population!O66</f>
        <v>344.25420106077348</v>
      </c>
      <c r="P66" s="11">
        <f>GDP!P66/Population!P66</f>
        <v>414.43584736265865</v>
      </c>
      <c r="Q66" s="11">
        <f>GDP!Q66/Population!Q66</f>
        <v>558.86371464844581</v>
      </c>
      <c r="R66" s="11">
        <f>GDP!R66/Population!R66</f>
        <v>566.62257606996013</v>
      </c>
      <c r="S66" s="11">
        <f>GDP!S66/Population!S66</f>
        <v>638.3037072551997</v>
      </c>
      <c r="T66" s="11">
        <f>GDP!T66/Population!T66</f>
        <v>750.24800024384615</v>
      </c>
      <c r="U66" s="11">
        <f>GDP!U66/Population!U66</f>
        <v>695.97852538089705</v>
      </c>
      <c r="V66" s="11">
        <f>GDP!V66/Population!V66</f>
        <v>481.75847194684508</v>
      </c>
      <c r="W66" s="11">
        <f>GDP!W66/Population!W66</f>
        <v>670.44391044731333</v>
      </c>
      <c r="X66" s="11">
        <f>GDP!X66/Population!X66</f>
        <v>728.62739290624791</v>
      </c>
      <c r="Y66" s="11">
        <f>GDP!Y66/Population!Y66</f>
        <v>713.48112816823016</v>
      </c>
      <c r="Z66" s="11">
        <f>GDP!Z66/Population!Z66</f>
        <v>772.83526010990749</v>
      </c>
      <c r="AA66" s="11">
        <f>GDP!AA66/Population!AA66</f>
        <v>852.4670642902945</v>
      </c>
      <c r="AB66" s="11">
        <f>GDP!AB66/Population!AB66</f>
        <v>718.68535626500102</v>
      </c>
      <c r="AC66" s="11">
        <f>GDP!AC66/Population!AC66</f>
        <v>754.8031565758946</v>
      </c>
      <c r="AD66" s="11">
        <f>GDP!AD66/Population!AD66</f>
        <v>985.04805749639809</v>
      </c>
      <c r="AE66" s="11">
        <f>GDP!AE66/Population!AE66</f>
        <v>658.46141678719709</v>
      </c>
      <c r="AF66" s="11">
        <f>GDP!AF66/Population!AF66</f>
        <v>248.14969147368157</v>
      </c>
      <c r="AG66" s="11">
        <f>GDP!AG66/Population!AG66</f>
        <v>241.87647103081059</v>
      </c>
      <c r="AH66" s="11">
        <f>GDP!AH66/Population!AH66</f>
        <v>348.86476231896012</v>
      </c>
      <c r="AI66" s="11">
        <f>GDP!AI66/Population!AI66</f>
        <v>410.76757264042351</v>
      </c>
      <c r="AJ66" s="11">
        <f>GDP!AJ66/Population!AJ66</f>
        <v>393.60346281465286</v>
      </c>
      <c r="AK66" s="11">
        <f>GDP!AK66/Population!AK66</f>
        <v>847.37443907729005</v>
      </c>
      <c r="AL66" s="11">
        <f>GDP!AL66/Population!AL66</f>
        <v>890.00545249167862</v>
      </c>
      <c r="AM66" s="11">
        <f>GDP!AM66/Population!AM66</f>
        <v>908.63252697730582</v>
      </c>
      <c r="AN66" s="11">
        <f>GDP!AN66/Population!AN66</f>
        <v>909.33597533049647</v>
      </c>
      <c r="AO66" s="11">
        <f>GDP!AO66/Population!AO66</f>
        <v>943.92186447121935</v>
      </c>
      <c r="AP66" s="11">
        <f>GDP!AP66/Population!AP66</f>
        <v>972.88699108802973</v>
      </c>
      <c r="AQ66" s="11">
        <f>GDP!AQ66/Population!AQ66</f>
        <v>1007.5014319525646</v>
      </c>
      <c r="AR66" s="11">
        <f>GDP!AR66/Population!AR66</f>
        <v>1034.5516241215882</v>
      </c>
      <c r="AS66" s="11">
        <f>GDP!AS66/Population!AS66</f>
        <v>1000.9359427113989</v>
      </c>
      <c r="AT66" s="11">
        <f>GDP!AT66/Population!AT66</f>
        <v>1005.7324950048355</v>
      </c>
      <c r="AU66" s="11">
        <f>GDP!AU66/Population!AU66</f>
        <v>1080.2680979359488</v>
      </c>
      <c r="AV66" s="11">
        <f>GDP!AV66/Population!AV66</f>
        <v>1162.2901485468008</v>
      </c>
      <c r="AW66" s="11">
        <f>GDP!AW66/Population!AW66</f>
        <v>1226.6429703271613</v>
      </c>
      <c r="AX66" s="11">
        <f>GDP!AX66/Population!AX66</f>
        <v>1327.9596855487111</v>
      </c>
      <c r="AY66" s="11">
        <f>GDP!AY66/Population!AY66</f>
        <v>1499.2586921201701</v>
      </c>
      <c r="AZ66" s="11">
        <f>GDP!AZ66/Population!AZ66</f>
        <v>1444.3725096710032</v>
      </c>
      <c r="BA66" s="11">
        <f>GDP!BA66/Population!BA66</f>
        <v>1503.8703366119712</v>
      </c>
      <c r="BB66" s="11">
        <f>GDP!BB66/Population!BB66</f>
        <v>1655.8017441524612</v>
      </c>
      <c r="BC66" s="11">
        <f>GDP!BC66/Population!BC66</f>
        <v>1760.4543472105261</v>
      </c>
      <c r="BD66" s="11">
        <f>GDP!BD66/Population!BD66</f>
        <v>1811.6392444379785</v>
      </c>
      <c r="BE66" s="11">
        <f>GDP!BE66/Population!BE66</f>
        <v>1934.0695055441934</v>
      </c>
      <c r="BF66" s="11">
        <f>GDP!BF66/Population!BF66</f>
        <v>2049.8496448795163</v>
      </c>
      <c r="BG66" s="11">
        <f>GDP!BG66/Population!BG66</f>
        <v>2107.5671898392984</v>
      </c>
      <c r="BH66" s="11">
        <f>GDP!BH66/Population!BH66</f>
        <v>2159.163056952742</v>
      </c>
      <c r="BI66" s="11">
        <f>GDP!BI66/Population!BI66</f>
        <v>2020.5470990468971</v>
      </c>
      <c r="BJ66" s="11">
        <f>GDP!BJ66/Population!BJ66</f>
        <v>1912.9036923371195</v>
      </c>
      <c r="BK66" s="11"/>
    </row>
    <row r="67" spans="1:63" x14ac:dyDescent="0.45">
      <c r="A67" t="str">
        <f>GDP!A67</f>
        <v>South</v>
      </c>
      <c r="B67" t="str">
        <f>GDP!B67</f>
        <v>Niger</v>
      </c>
      <c r="C67" s="11">
        <f>GDP!C67/Population!C67</f>
        <v>132.65216462403401</v>
      </c>
      <c r="D67" s="11">
        <f>GDP!D67/Population!D67</f>
        <v>139.34016727064537</v>
      </c>
      <c r="E67" s="11">
        <f>GDP!E67/Population!E67</f>
        <v>148.18915631894072</v>
      </c>
      <c r="F67" s="11">
        <f>GDP!F67/Population!F67</f>
        <v>158.71628541573045</v>
      </c>
      <c r="G67" s="11">
        <f>GDP!G67/Population!G67</f>
        <v>153.25968344928728</v>
      </c>
      <c r="H67" s="35">
        <f>GDP!H67/Population!H67</f>
        <v>172.0397259458519</v>
      </c>
      <c r="I67" s="35">
        <f>GDP!I67/Population!I67</f>
        <v>174.35517456342077</v>
      </c>
      <c r="J67" s="11">
        <f>GDP!J67/Population!J67</f>
        <v>160.5916683716998</v>
      </c>
      <c r="K67" s="11">
        <f>GDP!K67/Population!K67</f>
        <v>150.38114114054954</v>
      </c>
      <c r="L67" s="11">
        <f>GDP!L67/Population!L67</f>
        <v>142.69911560315526</v>
      </c>
      <c r="M67" s="11">
        <f>GDP!M67/Population!M67</f>
        <v>144.08513196785205</v>
      </c>
      <c r="N67" s="11">
        <f>GDP!N67/Population!N67</f>
        <v>149.54190653360897</v>
      </c>
      <c r="O67" s="11">
        <f>GDP!O67/Population!O67</f>
        <v>155.77691917771531</v>
      </c>
      <c r="P67" s="11">
        <f>GDP!P67/Population!P67</f>
        <v>193.05505358770057</v>
      </c>
      <c r="Q67" s="11">
        <f>GDP!Q67/Population!Q67</f>
        <v>203.56637183239638</v>
      </c>
      <c r="R67" s="11">
        <f>GDP!R67/Population!R67</f>
        <v>202.25706406302405</v>
      </c>
      <c r="S67" s="11">
        <f>GDP!S67/Population!S67</f>
        <v>199.53151036956299</v>
      </c>
      <c r="T67" s="11">
        <f>GDP!T67/Population!T67</f>
        <v>235.18884285322227</v>
      </c>
      <c r="U67" s="11">
        <f>GDP!U67/Population!U67</f>
        <v>313.89961950603009</v>
      </c>
      <c r="V67" s="11">
        <f>GDP!V67/Population!V67</f>
        <v>362.49596005199044</v>
      </c>
      <c r="W67" s="11">
        <f>GDP!W67/Population!W67</f>
        <v>418.85500293537956</v>
      </c>
      <c r="X67" s="11">
        <f>GDP!X67/Population!X67</f>
        <v>352.20586579013758</v>
      </c>
      <c r="Y67" s="11">
        <f>GDP!Y67/Population!Y67</f>
        <v>318.05857785965304</v>
      </c>
      <c r="Z67" s="11">
        <f>GDP!Z67/Population!Z67</f>
        <v>276.18301818096597</v>
      </c>
      <c r="AA67" s="11">
        <f>GDP!AA67/Population!AA67</f>
        <v>217.46927608181139</v>
      </c>
      <c r="AB67" s="11">
        <f>GDP!AB67/Population!AB67</f>
        <v>208.29701111784752</v>
      </c>
      <c r="AC67" s="11">
        <f>GDP!AC67/Population!AC67</f>
        <v>267.47131874480868</v>
      </c>
      <c r="AD67" s="11">
        <f>GDP!AD67/Population!AD67</f>
        <v>304.68320247544563</v>
      </c>
      <c r="AE67" s="11">
        <f>GDP!AE67/Population!AE67</f>
        <v>302.09665396778377</v>
      </c>
      <c r="AF67" s="11">
        <f>GDP!AF67/Population!AF67</f>
        <v>280.14119144062943</v>
      </c>
      <c r="AG67" s="11">
        <f>GDP!AG67/Population!AG67</f>
        <v>440.57746358323226</v>
      </c>
      <c r="AH67" s="11">
        <f>GDP!AH67/Population!AH67</f>
        <v>399.23152953979104</v>
      </c>
      <c r="AI67" s="11">
        <f>GDP!AI67/Population!AI67</f>
        <v>398.1894207501777</v>
      </c>
      <c r="AJ67" s="11">
        <f>GDP!AJ67/Population!AJ67</f>
        <v>251.1510663255039</v>
      </c>
      <c r="AK67" s="11">
        <f>GDP!AK67/Population!AK67</f>
        <v>212.38988201972185</v>
      </c>
      <c r="AL67" s="11">
        <f>GDP!AL67/Population!AL67</f>
        <v>243.78142876169827</v>
      </c>
      <c r="AM67" s="11">
        <f>GDP!AM67/Population!AM67</f>
        <v>245.98000488063113</v>
      </c>
      <c r="AN67" s="11">
        <f>GDP!AN67/Population!AN67</f>
        <v>225.70079250743819</v>
      </c>
      <c r="AO67" s="11">
        <f>GDP!AO67/Population!AO67</f>
        <v>248.92094571862165</v>
      </c>
      <c r="AP67" s="11">
        <f>GDP!AP67/Population!AP67</f>
        <v>230.63929738539667</v>
      </c>
      <c r="AQ67" s="11">
        <f>GDP!AQ67/Population!AQ67</f>
        <v>197.52446305481232</v>
      </c>
      <c r="AR67" s="11">
        <f>GDP!AR67/Population!AR67</f>
        <v>208.0676619269336</v>
      </c>
      <c r="AS67" s="11">
        <f>GDP!AS67/Population!AS67</f>
        <v>227.13628525979075</v>
      </c>
      <c r="AT67" s="11">
        <f>GDP!AT67/Population!AT67</f>
        <v>267.8532926670369</v>
      </c>
      <c r="AU67" s="11">
        <f>GDP!AU67/Population!AU67</f>
        <v>285.09509522992528</v>
      </c>
      <c r="AV67" s="11">
        <f>GDP!AV67/Population!AV67</f>
        <v>321.08984637710967</v>
      </c>
      <c r="AW67" s="11">
        <f>GDP!AW67/Population!AW67</f>
        <v>335.34142964518242</v>
      </c>
      <c r="AX67" s="11">
        <f>GDP!AX67/Population!AX67</f>
        <v>387.78087868092655</v>
      </c>
      <c r="AY67" s="11">
        <f>GDP!AY67/Population!AY67</f>
        <v>473.41468717796999</v>
      </c>
      <c r="AZ67" s="11">
        <f>GDP!AZ67/Population!AZ67</f>
        <v>459.42418485030709</v>
      </c>
      <c r="BA67" s="11">
        <f>GDP!BA67/Population!BA67</f>
        <v>473.29986828858677</v>
      </c>
      <c r="BB67" s="11">
        <f>GDP!BB67/Population!BB67</f>
        <v>508.39659428469929</v>
      </c>
      <c r="BC67" s="11">
        <f>GDP!BC67/Population!BC67</f>
        <v>526.35092175459533</v>
      </c>
      <c r="BD67" s="11">
        <f>GDP!BD67/Population!BD67</f>
        <v>548.89293014536759</v>
      </c>
      <c r="BE67" s="11">
        <f>GDP!BE67/Population!BE67</f>
        <v>562.1218921509784</v>
      </c>
      <c r="BF67" s="11">
        <f>GDP!BF67/Population!BF67</f>
        <v>483.33924217505103</v>
      </c>
      <c r="BG67" s="11">
        <f>GDP!BG67/Population!BG67</f>
        <v>494.71870164171753</v>
      </c>
      <c r="BH67" s="11">
        <f>GDP!BH67/Population!BH67</f>
        <v>516.88823464277607</v>
      </c>
      <c r="BI67" s="11">
        <f>GDP!BI67/Population!BI67</f>
        <v>571.52701044443893</v>
      </c>
      <c r="BJ67" s="11">
        <f>GDP!BJ67/Population!BJ67</f>
        <v>554.60095725931365</v>
      </c>
      <c r="BK67" s="11"/>
    </row>
    <row r="68" spans="1:63" x14ac:dyDescent="0.45">
      <c r="A68" t="str">
        <f>GDP!A68</f>
        <v>South</v>
      </c>
      <c r="B68" t="str">
        <f>GDP!B68</f>
        <v>Nigeria</v>
      </c>
      <c r="C68" s="11">
        <f>GDP!C68/Population!C68</f>
        <v>92.960471665224887</v>
      </c>
      <c r="D68" s="11">
        <f>GDP!D68/Population!D68</f>
        <v>96.979046432447134</v>
      </c>
      <c r="E68" s="11">
        <f>GDP!E68/Population!E68</f>
        <v>104.38701161203581</v>
      </c>
      <c r="F68" s="11">
        <f>GDP!F68/Population!F68</f>
        <v>107.54056658123085</v>
      </c>
      <c r="G68" s="11">
        <f>GDP!G68/Population!G68</f>
        <v>113.16871690733197</v>
      </c>
      <c r="H68" s="35">
        <f>GDP!H68/Population!H68</f>
        <v>117.18863004888294</v>
      </c>
      <c r="I68" s="35">
        <f>GDP!I68/Population!I68</f>
        <v>124.30778602479614</v>
      </c>
      <c r="J68" s="11">
        <f>GDP!J68/Population!J68</f>
        <v>99.406078059491236</v>
      </c>
      <c r="K68" s="11">
        <f>GDP!K68/Population!K68</f>
        <v>97.2017521111013</v>
      </c>
      <c r="L68" s="11">
        <f>GDP!L68/Population!L68</f>
        <v>121.24536093326685</v>
      </c>
      <c r="M68" s="11">
        <f>GDP!M68/Population!M68</f>
        <v>224.10448131461345</v>
      </c>
      <c r="N68" s="11">
        <f>GDP!N68/Population!N68</f>
        <v>160.24874412237824</v>
      </c>
      <c r="O68" s="11">
        <f>GDP!O68/Population!O68</f>
        <v>209.2260557631798</v>
      </c>
      <c r="P68" s="11">
        <f>GDP!P68/Population!P68</f>
        <v>252.23264781627844</v>
      </c>
      <c r="Q68" s="11">
        <f>GDP!Q68/Population!Q68</f>
        <v>402.84985084271693</v>
      </c>
      <c r="R68" s="11">
        <f>GDP!R68/Population!R68</f>
        <v>438.33125631880785</v>
      </c>
      <c r="S68" s="11">
        <f>GDP!S68/Population!S68</f>
        <v>556.70216782914849</v>
      </c>
      <c r="T68" s="11">
        <f>GDP!T68/Population!T68</f>
        <v>536.21622898267469</v>
      </c>
      <c r="U68" s="11">
        <f>GDP!U68/Population!U68</f>
        <v>527.3112360679479</v>
      </c>
      <c r="V68" s="11">
        <f>GDP!V68/Population!V68</f>
        <v>662.26405703676653</v>
      </c>
      <c r="W68" s="11">
        <f>GDP!W68/Population!W68</f>
        <v>874.40225566613208</v>
      </c>
      <c r="X68" s="11">
        <f>GDP!X68/Population!X68</f>
        <v>2180.1976254029269</v>
      </c>
      <c r="Y68" s="11">
        <f>GDP!Y68/Population!Y68</f>
        <v>1843.9091494365364</v>
      </c>
      <c r="Z68" s="11">
        <f>GDP!Z68/Population!Z68</f>
        <v>1222.6292963884332</v>
      </c>
      <c r="AA68" s="11">
        <f>GDP!AA68/Population!AA68</f>
        <v>902.21593239390575</v>
      </c>
      <c r="AB68" s="11">
        <f>GDP!AB68/Population!AB68</f>
        <v>882.5198739189924</v>
      </c>
      <c r="AC68" s="11">
        <f>GDP!AC68/Population!AC68</f>
        <v>639.0130885754794</v>
      </c>
      <c r="AD68" s="11">
        <f>GDP!AD68/Population!AD68</f>
        <v>598.26485107583096</v>
      </c>
      <c r="AE68" s="11">
        <f>GDP!AE68/Population!AE68</f>
        <v>549.23748737655217</v>
      </c>
      <c r="AF68" s="11">
        <f>GDP!AF68/Population!AF68</f>
        <v>474.23212461125371</v>
      </c>
      <c r="AG68" s="11">
        <f>GDP!AG68/Population!AG68</f>
        <v>567.52869087033662</v>
      </c>
      <c r="AH68" s="11">
        <f>GDP!AH68/Population!AH68</f>
        <v>502.91414129913585</v>
      </c>
      <c r="AI68" s="11">
        <f>GDP!AI68/Population!AI68</f>
        <v>477.17760223587231</v>
      </c>
      <c r="AJ68" s="11">
        <f>GDP!AJ68/Population!AJ68</f>
        <v>270.2239637738972</v>
      </c>
      <c r="AK68" s="11">
        <f>GDP!AK68/Population!AK68</f>
        <v>321.32069870545718</v>
      </c>
      <c r="AL68" s="11">
        <f>GDP!AL68/Population!AL68</f>
        <v>408.18105846485673</v>
      </c>
      <c r="AM68" s="11">
        <f>GDP!AM68/Population!AM68</f>
        <v>461.51957072053341</v>
      </c>
      <c r="AN68" s="11">
        <f>GDP!AN68/Population!AN68</f>
        <v>479.98375429270254</v>
      </c>
      <c r="AO68" s="11">
        <f>GDP!AO68/Population!AO68</f>
        <v>469.43056306168444</v>
      </c>
      <c r="AP68" s="11">
        <f>GDP!AP68/Population!AP68</f>
        <v>497.84153756617138</v>
      </c>
      <c r="AQ68" s="11">
        <f>GDP!AQ68/Population!AQ68</f>
        <v>567.93071438183722</v>
      </c>
      <c r="AR68" s="11">
        <f>GDP!AR68/Population!AR68</f>
        <v>590.38182354556409</v>
      </c>
      <c r="AS68" s="11">
        <f>GDP!AS68/Population!AS68</f>
        <v>741.74750259883501</v>
      </c>
      <c r="AT68" s="11">
        <f>GDP!AT68/Population!AT68</f>
        <v>795.38622474530678</v>
      </c>
      <c r="AU68" s="11">
        <f>GDP!AU68/Population!AU68</f>
        <v>1007.8743651512275</v>
      </c>
      <c r="AV68" s="11">
        <f>GDP!AV68/Population!AV68</f>
        <v>1268.3834256781606</v>
      </c>
      <c r="AW68" s="11">
        <f>GDP!AW68/Population!AW68</f>
        <v>1656.4247524090085</v>
      </c>
      <c r="AX68" s="11">
        <f>GDP!AX68/Population!AX68</f>
        <v>1883.4611373471246</v>
      </c>
      <c r="AY68" s="11">
        <f>GDP!AY68/Population!AY68</f>
        <v>2242.8720796358461</v>
      </c>
      <c r="AZ68" s="11">
        <f>GDP!AZ68/Population!AZ68</f>
        <v>1891.3354447571814</v>
      </c>
      <c r="BA68" s="11">
        <f>GDP!BA68/Population!BA68</f>
        <v>2292.4451717820207</v>
      </c>
      <c r="BB68" s="11">
        <f>GDP!BB68/Population!BB68</f>
        <v>2520.4042354650965</v>
      </c>
      <c r="BC68" s="11">
        <f>GDP!BC68/Population!BC68</f>
        <v>2746.9916766474057</v>
      </c>
      <c r="BD68" s="11">
        <f>GDP!BD68/Population!BD68</f>
        <v>2998.0727384947745</v>
      </c>
      <c r="BE68" s="11">
        <f>GDP!BE68/Population!BE68</f>
        <v>3222.6935089148546</v>
      </c>
      <c r="BF68" s="11">
        <f>GDP!BF68/Population!BF68</f>
        <v>2730.4304698575843</v>
      </c>
      <c r="BG68" s="11">
        <f>GDP!BG68/Population!BG68</f>
        <v>2175.999757711711</v>
      </c>
      <c r="BH68" s="11">
        <f>GDP!BH68/Population!BH68</f>
        <v>1968.5595367884641</v>
      </c>
      <c r="BI68" s="11">
        <f>GDP!BI68/Population!BI68</f>
        <v>2032.7297150154168</v>
      </c>
      <c r="BJ68" s="11">
        <f>GDP!BJ68/Population!BJ68</f>
        <v>2229.8586530097987</v>
      </c>
      <c r="BK68" s="11"/>
    </row>
    <row r="69" spans="1:63" x14ac:dyDescent="0.45">
      <c r="A69" t="str">
        <f>GDP!A69</f>
        <v>South</v>
      </c>
      <c r="B69" t="str">
        <f>GDP!B69</f>
        <v>Pakistan</v>
      </c>
      <c r="C69" s="11">
        <f>GDP!C69/Population!C69</f>
        <v>83.337946996809507</v>
      </c>
      <c r="D69" s="11">
        <f>GDP!D69/Population!D69</f>
        <v>89.40902657344698</v>
      </c>
      <c r="E69" s="11">
        <f>GDP!E69/Population!E69</f>
        <v>91.319200116612933</v>
      </c>
      <c r="F69" s="11">
        <f>GDP!F69/Population!F69</f>
        <v>95.70336679252614</v>
      </c>
      <c r="G69" s="11">
        <f>GDP!G69/Population!G69</f>
        <v>104.88021042474247</v>
      </c>
      <c r="H69" s="35">
        <f>GDP!H69/Population!H69</f>
        <v>116.44672129151402</v>
      </c>
      <c r="I69" s="35">
        <f>GDP!I69/Population!I69</f>
        <v>125.54698410193244</v>
      </c>
      <c r="J69" s="11">
        <f>GDP!J69/Population!J69</f>
        <v>139.11845752782534</v>
      </c>
      <c r="K69" s="11">
        <f>GDP!K69/Population!K69</f>
        <v>145.94569222798657</v>
      </c>
      <c r="L69" s="11">
        <f>GDP!L69/Population!L69</f>
        <v>153.41698385021246</v>
      </c>
      <c r="M69" s="11">
        <f>GDP!M69/Population!M69</f>
        <v>172.46567734270164</v>
      </c>
      <c r="N69" s="11">
        <f>GDP!N69/Population!N69</f>
        <v>178.55511523662716</v>
      </c>
      <c r="O69" s="11">
        <f>GDP!O69/Population!O69</f>
        <v>153.38402607618377</v>
      </c>
      <c r="P69" s="11">
        <f>GDP!P69/Population!P69</f>
        <v>101.16465168738192</v>
      </c>
      <c r="Q69" s="11">
        <f>GDP!Q69/Population!Q69</f>
        <v>137.10892379749177</v>
      </c>
      <c r="R69" s="11">
        <f>GDP!R69/Population!R69</f>
        <v>168.08038639819077</v>
      </c>
      <c r="S69" s="11">
        <f>GDP!S69/Population!S69</f>
        <v>191.3010743128051</v>
      </c>
      <c r="T69" s="11">
        <f>GDP!T69/Population!T69</f>
        <v>213.1687088652007</v>
      </c>
      <c r="U69" s="11">
        <f>GDP!U69/Population!U69</f>
        <v>243.33583477500849</v>
      </c>
      <c r="V69" s="11">
        <f>GDP!V69/Population!V69</f>
        <v>260.56234247852944</v>
      </c>
      <c r="W69" s="11">
        <f>GDP!W69/Population!W69</f>
        <v>303.05097504887107</v>
      </c>
      <c r="X69" s="11">
        <f>GDP!X69/Population!X69</f>
        <v>348.2950809301326</v>
      </c>
      <c r="Y69" s="11">
        <f>GDP!Y69/Population!Y69</f>
        <v>368.27735560364601</v>
      </c>
      <c r="Z69" s="11">
        <f>GDP!Z69/Population!Z69</f>
        <v>332.5210515882913</v>
      </c>
      <c r="AA69" s="11">
        <f>GDP!AA69/Population!AA69</f>
        <v>349.18205947373286</v>
      </c>
      <c r="AB69" s="11">
        <f>GDP!AB69/Population!AB69</f>
        <v>337.82850950530025</v>
      </c>
      <c r="AC69" s="11">
        <f>GDP!AC69/Population!AC69</f>
        <v>335.02015960111316</v>
      </c>
      <c r="AD69" s="11">
        <f>GDP!AD69/Population!AD69</f>
        <v>339.33228132598509</v>
      </c>
      <c r="AE69" s="11">
        <f>GDP!AE69/Population!AE69</f>
        <v>379.454508785911</v>
      </c>
      <c r="AF69" s="11">
        <f>GDP!AF69/Population!AF69</f>
        <v>384.36426392613043</v>
      </c>
      <c r="AG69" s="11">
        <f>GDP!AG69/Population!AG69</f>
        <v>371.67856397039532</v>
      </c>
      <c r="AH69" s="11">
        <f>GDP!AH69/Population!AH69</f>
        <v>411.85945334880779</v>
      </c>
      <c r="AI69" s="11">
        <f>GDP!AI69/Population!AI69</f>
        <v>429.14687780108716</v>
      </c>
      <c r="AJ69" s="11">
        <f>GDP!AJ69/Population!AJ69</f>
        <v>442.49221267579111</v>
      </c>
      <c r="AK69" s="11">
        <f>GDP!AK69/Population!AK69</f>
        <v>434.46540999890664</v>
      </c>
      <c r="AL69" s="11">
        <f>GDP!AL69/Population!AL69</f>
        <v>489.88179643299992</v>
      </c>
      <c r="AM69" s="11">
        <f>GDP!AM69/Population!AM69</f>
        <v>497.21613947303734</v>
      </c>
      <c r="AN69" s="11">
        <f>GDP!AN69/Population!AN69</f>
        <v>476.38122865096273</v>
      </c>
      <c r="AO69" s="11">
        <f>GDP!AO69/Population!AO69</f>
        <v>461.2167406963369</v>
      </c>
      <c r="AP69" s="11">
        <f>GDP!AP69/Population!AP69</f>
        <v>454.27610101939752</v>
      </c>
      <c r="AQ69" s="11">
        <f>GDP!AQ69/Population!AQ69</f>
        <v>576.19560108870098</v>
      </c>
      <c r="AR69" s="11">
        <f>GDP!AR69/Population!AR69</f>
        <v>544.49427937283872</v>
      </c>
      <c r="AS69" s="11">
        <f>GDP!AS69/Population!AS69</f>
        <v>534.3039225168335</v>
      </c>
      <c r="AT69" s="11">
        <f>GDP!AT69/Population!AT69</f>
        <v>599.37630283886347</v>
      </c>
      <c r="AU69" s="11">
        <f>GDP!AU69/Population!AU69</f>
        <v>687.83637146501098</v>
      </c>
      <c r="AV69" s="11">
        <f>GDP!AV69/Population!AV69</f>
        <v>748.92262141930337</v>
      </c>
      <c r="AW69" s="11">
        <f>GDP!AW69/Population!AW69</f>
        <v>836.86054470144313</v>
      </c>
      <c r="AX69" s="11">
        <f>GDP!AX69/Population!AX69</f>
        <v>908.09505218675008</v>
      </c>
      <c r="AY69" s="11">
        <f>GDP!AY69/Population!AY69</f>
        <v>990.84656893295357</v>
      </c>
      <c r="AZ69" s="11">
        <f>GDP!AZ69/Population!AZ69</f>
        <v>957.99565064053104</v>
      </c>
      <c r="BA69" s="11">
        <f>GDP!BA69/Population!BA69</f>
        <v>987.40970854393242</v>
      </c>
      <c r="BB69" s="11">
        <f>GDP!BB69/Population!BB69</f>
        <v>1164.9761169310505</v>
      </c>
      <c r="BC69" s="11">
        <f>GDP!BC69/Population!BC69</f>
        <v>1198.1089884641658</v>
      </c>
      <c r="BD69" s="11">
        <f>GDP!BD69/Population!BD69</f>
        <v>1208.9043223602075</v>
      </c>
      <c r="BE69" s="11">
        <f>GDP!BE69/Population!BE69</f>
        <v>1251.1640571795256</v>
      </c>
      <c r="BF69" s="11">
        <f>GDP!BF69/Population!BF69</f>
        <v>1356.6678017054464</v>
      </c>
      <c r="BG69" s="11">
        <f>GDP!BG69/Population!BG69</f>
        <v>1368.4544051268572</v>
      </c>
      <c r="BH69" s="11">
        <f>GDP!BH69/Population!BH69</f>
        <v>1464.9933001337665</v>
      </c>
      <c r="BI69" s="11">
        <f>GDP!BI69/Population!BI69</f>
        <v>1482.3057820826107</v>
      </c>
      <c r="BJ69" s="11">
        <f>GDP!BJ69/Population!BJ69</f>
        <v>1284.7021138454527</v>
      </c>
      <c r="BK69" s="11"/>
    </row>
    <row r="70" spans="1:63" x14ac:dyDescent="0.45">
      <c r="A70" t="str">
        <f>GDP!A70</f>
        <v>South</v>
      </c>
      <c r="B70" t="str">
        <f>GDP!B70</f>
        <v>Panama</v>
      </c>
      <c r="C70" s="11">
        <f>GDP!C70/Population!C70</f>
        <v>474.09399318797841</v>
      </c>
      <c r="D70" s="11">
        <f>GDP!D70/Population!D70</f>
        <v>513.25476110710792</v>
      </c>
      <c r="E70" s="11">
        <f>GDP!E70/Population!E70</f>
        <v>542.32728040856614</v>
      </c>
      <c r="F70" s="11">
        <f>GDP!F70/Population!F70</f>
        <v>583.41345511986947</v>
      </c>
      <c r="G70" s="11">
        <f>GDP!G70/Population!G70</f>
        <v>608.10046296767848</v>
      </c>
      <c r="H70" s="35">
        <f>GDP!H70/Population!H70</f>
        <v>648.43707770045421</v>
      </c>
      <c r="I70" s="35">
        <f>GDP!I70/Population!I70</f>
        <v>686.07195226621718</v>
      </c>
      <c r="J70" s="11">
        <f>GDP!J70/Population!J70</f>
        <v>742.11352501210695</v>
      </c>
      <c r="K70" s="11">
        <f>GDP!K70/Population!K70</f>
        <v>775.64305076641369</v>
      </c>
      <c r="L70" s="11">
        <f>GDP!L70/Population!L70</f>
        <v>827.17334527162893</v>
      </c>
      <c r="M70" s="11">
        <f>GDP!M70/Population!M70</f>
        <v>889.23833513791021</v>
      </c>
      <c r="N70" s="11">
        <f>GDP!N70/Population!N70</f>
        <v>974.93698967367902</v>
      </c>
      <c r="O70" s="11">
        <f>GDP!O70/Population!O70</f>
        <v>1040.8109685557122</v>
      </c>
      <c r="P70" s="11">
        <f>GDP!P70/Population!P70</f>
        <v>1157.6212899495044</v>
      </c>
      <c r="Q70" s="11">
        <f>GDP!Q70/Population!Q70</f>
        <v>1287.956540521961</v>
      </c>
      <c r="R70" s="11">
        <f>GDP!R70/Population!R70</f>
        <v>1395.479436010218</v>
      </c>
      <c r="S70" s="11">
        <f>GDP!S70/Population!S70</f>
        <v>1444.7554310084963</v>
      </c>
      <c r="T70" s="11">
        <f>GDP!T70/Population!T70</f>
        <v>1489.9673609750789</v>
      </c>
      <c r="U70" s="11">
        <f>GDP!U70/Population!U70</f>
        <v>1721.7773664525605</v>
      </c>
      <c r="V70" s="11">
        <f>GDP!V70/Population!V70</f>
        <v>1918.1608281244175</v>
      </c>
      <c r="W70" s="11">
        <f>GDP!W70/Population!W70</f>
        <v>2332.1288722139698</v>
      </c>
      <c r="X70" s="11">
        <f>GDP!X70/Population!X70</f>
        <v>2577.7375411592761</v>
      </c>
      <c r="Y70" s="11">
        <f>GDP!Y70/Population!Y70</f>
        <v>2782.2777384235474</v>
      </c>
      <c r="Z70" s="11">
        <f>GDP!Z70/Population!Z70</f>
        <v>2791.7751557595693</v>
      </c>
      <c r="AA70" s="11">
        <f>GDP!AA70/Population!AA70</f>
        <v>2849.0604568440212</v>
      </c>
      <c r="AB70" s="11">
        <f>GDP!AB70/Population!AB70</f>
        <v>2947.6903227783332</v>
      </c>
      <c r="AC70" s="11">
        <f>GDP!AC70/Population!AC70</f>
        <v>2996.6207802512672</v>
      </c>
      <c r="AD70" s="11">
        <f>GDP!AD70/Population!AD70</f>
        <v>2945.1630219854169</v>
      </c>
      <c r="AE70" s="11">
        <f>GDP!AE70/Population!AE70</f>
        <v>2492.1496256572054</v>
      </c>
      <c r="AF70" s="11">
        <f>GDP!AF70/Population!AF70</f>
        <v>2446.2288294826953</v>
      </c>
      <c r="AG70" s="11">
        <f>GDP!AG70/Population!AG70</f>
        <v>2603.8466644569876</v>
      </c>
      <c r="AH70" s="11">
        <f>GDP!AH70/Population!AH70</f>
        <v>2803.9416753397977</v>
      </c>
      <c r="AI70" s="11">
        <f>GDP!AI70/Population!AI70</f>
        <v>3122.0812918243105</v>
      </c>
      <c r="AJ70" s="11">
        <f>GDP!AJ70/Population!AJ70</f>
        <v>3339.9196282296034</v>
      </c>
      <c r="AK70" s="11">
        <f>GDP!AK70/Population!AK70</f>
        <v>3489.1524747812687</v>
      </c>
      <c r="AL70" s="11">
        <f>GDP!AL70/Population!AL70</f>
        <v>3494.5158493656895</v>
      </c>
      <c r="AM70" s="11">
        <f>GDP!AM70/Population!AM70</f>
        <v>3529.8521133887712</v>
      </c>
      <c r="AN70" s="11">
        <f>GDP!AN70/Population!AN70</f>
        <v>3741.2793900865231</v>
      </c>
      <c r="AO70" s="11">
        <f>GDP!AO70/Population!AO70</f>
        <v>3974.667056734228</v>
      </c>
      <c r="AP70" s="11">
        <f>GDP!AP70/Population!AP70</f>
        <v>4082.6158139685162</v>
      </c>
      <c r="AQ70" s="11">
        <f>GDP!AQ70/Population!AQ70</f>
        <v>4060.3243899670265</v>
      </c>
      <c r="AR70" s="11">
        <f>GDP!AR70/Population!AR70</f>
        <v>4046.4198277603145</v>
      </c>
      <c r="AS70" s="11">
        <f>GDP!AS70/Population!AS70</f>
        <v>4126.2414768505405</v>
      </c>
      <c r="AT70" s="11">
        <f>GDP!AT70/Population!AT70</f>
        <v>4267.3034794119631</v>
      </c>
      <c r="AU70" s="11">
        <f>GDP!AU70/Population!AU70</f>
        <v>4592.1527493488011</v>
      </c>
      <c r="AV70" s="11">
        <f>GDP!AV70/Population!AV70</f>
        <v>4916.9149806153773</v>
      </c>
      <c r="AW70" s="11">
        <f>GDP!AW70/Population!AW70</f>
        <v>5348.8949914289906</v>
      </c>
      <c r="AX70" s="11">
        <f>GDP!AX70/Population!AX70</f>
        <v>6166.1808479373422</v>
      </c>
      <c r="AY70" s="11">
        <f>GDP!AY70/Population!AY70</f>
        <v>7154.2746530064805</v>
      </c>
      <c r="AZ70" s="11">
        <f>GDP!AZ70/Population!AZ70</f>
        <v>7576.1406230137054</v>
      </c>
      <c r="BA70" s="11">
        <f>GDP!BA70/Population!BA70</f>
        <v>8082.0281863360751</v>
      </c>
      <c r="BB70" s="11">
        <f>GDP!BB70/Population!BB70</f>
        <v>9358.2519752552489</v>
      </c>
      <c r="BC70" s="11">
        <f>GDP!BC70/Population!BC70</f>
        <v>10722.283386516396</v>
      </c>
      <c r="BD70" s="11">
        <f>GDP!BD70/Population!BD70</f>
        <v>11889.127093470704</v>
      </c>
      <c r="BE70" s="11">
        <f>GDP!BE70/Population!BE70</f>
        <v>12796.069821585799</v>
      </c>
      <c r="BF70" s="11">
        <f>GDP!BF70/Population!BF70</f>
        <v>13630.307514173537</v>
      </c>
      <c r="BG70" s="11">
        <f>GDP!BG70/Population!BG70</f>
        <v>14343.963557800964</v>
      </c>
      <c r="BH70" s="11">
        <f>GDP!BH70/Population!BH70</f>
        <v>15150.346064097559</v>
      </c>
      <c r="BI70" s="11">
        <f>GDP!BI70/Population!BI70</f>
        <v>15592.573234570455</v>
      </c>
      <c r="BJ70" s="11">
        <f>GDP!BJ70/Population!BJ70</f>
        <v>15731.015974561273</v>
      </c>
      <c r="BK70" s="11"/>
    </row>
    <row r="71" spans="1:63" x14ac:dyDescent="0.45">
      <c r="A71" t="str">
        <f>GDP!A71</f>
        <v>South</v>
      </c>
      <c r="B71" t="str">
        <f>GDP!B71</f>
        <v>Papua New Guinea</v>
      </c>
      <c r="C71" s="11">
        <f>GDP!C71/Population!C71</f>
        <v>102.17661298866641</v>
      </c>
      <c r="D71" s="11">
        <f>GDP!D71/Population!D71</f>
        <v>106.584999340461</v>
      </c>
      <c r="E71" s="11">
        <f>GDP!E71/Population!E71</f>
        <v>111.60031995187049</v>
      </c>
      <c r="F71" s="11">
        <f>GDP!F71/Population!F71</f>
        <v>115.66398904250138</v>
      </c>
      <c r="G71" s="11">
        <f>GDP!G71/Population!G71</f>
        <v>125.42484069865415</v>
      </c>
      <c r="H71" s="35">
        <f>GDP!H71/Population!H71</f>
        <v>138.47041305009944</v>
      </c>
      <c r="I71" s="35">
        <f>GDP!I71/Population!I71</f>
        <v>153.94623404421196</v>
      </c>
      <c r="J71" s="11">
        <f>GDP!J71/Population!J71</f>
        <v>170.09531349881777</v>
      </c>
      <c r="K71" s="11">
        <f>GDP!K71/Population!K71</f>
        <v>182.62245180271418</v>
      </c>
      <c r="L71" s="11">
        <f>GDP!L71/Population!L71</f>
        <v>202.74940479496368</v>
      </c>
      <c r="M71" s="11">
        <f>GDP!M71/Population!M71</f>
        <v>231.94721034407056</v>
      </c>
      <c r="N71" s="11">
        <f>GDP!N71/Population!N71</f>
        <v>251.87159154555906</v>
      </c>
      <c r="O71" s="11">
        <f>GDP!O71/Population!O71</f>
        <v>294.29785489998932</v>
      </c>
      <c r="P71" s="11">
        <f>GDP!P71/Population!P71</f>
        <v>434.59936130110981</v>
      </c>
      <c r="Q71" s="11">
        <f>GDP!Q71/Population!Q71</f>
        <v>479.04752682702758</v>
      </c>
      <c r="R71" s="11">
        <f>GDP!R71/Population!R71</f>
        <v>432.04299183584425</v>
      </c>
      <c r="S71" s="11">
        <f>GDP!S71/Population!S71</f>
        <v>469.54563114997723</v>
      </c>
      <c r="T71" s="11">
        <f>GDP!T71/Population!T71</f>
        <v>496.80459923945529</v>
      </c>
      <c r="U71" s="11">
        <f>GDP!U71/Population!U71</f>
        <v>574.85013654534089</v>
      </c>
      <c r="V71" s="11">
        <f>GDP!V71/Population!V71</f>
        <v>659.44682901584201</v>
      </c>
      <c r="W71" s="11">
        <f>GDP!W71/Population!W71</f>
        <v>712.91986206336514</v>
      </c>
      <c r="X71" s="11">
        <f>GDP!X71/Population!X71</f>
        <v>681.02437226425423</v>
      </c>
      <c r="Y71" s="11">
        <f>GDP!Y71/Population!Y71</f>
        <v>628.52478304930662</v>
      </c>
      <c r="Z71" s="11">
        <f>GDP!Z71/Population!Z71</f>
        <v>661.88756582733481</v>
      </c>
      <c r="AA71" s="11">
        <f>GDP!AA71/Population!AA71</f>
        <v>641.99058943308228</v>
      </c>
      <c r="AB71" s="11">
        <f>GDP!AB71/Population!AB71</f>
        <v>593.81407536822815</v>
      </c>
      <c r="AC71" s="11">
        <f>GDP!AC71/Population!AC71</f>
        <v>632.51747868565121</v>
      </c>
      <c r="AD71" s="11">
        <f>GDP!AD71/Population!AD71</f>
        <v>732.39424744610619</v>
      </c>
      <c r="AE71" s="11">
        <f>GDP!AE71/Population!AE71</f>
        <v>831.0321713063189</v>
      </c>
      <c r="AF71" s="11">
        <f>GDP!AF71/Population!AF71</f>
        <v>786.87979629868357</v>
      </c>
      <c r="AG71" s="11">
        <f>GDP!AG71/Population!AG71</f>
        <v>697.53958749427784</v>
      </c>
      <c r="AH71" s="11">
        <f>GDP!AH71/Population!AH71</f>
        <v>801.47231040131442</v>
      </c>
      <c r="AI71" s="11">
        <f>GDP!AI71/Population!AI71</f>
        <v>905.24896132659057</v>
      </c>
      <c r="AJ71" s="11">
        <f>GDP!AJ71/Population!AJ71</f>
        <v>1005.152407602993</v>
      </c>
      <c r="AK71" s="11">
        <f>GDP!AK71/Population!AK71</f>
        <v>1086.2918083148477</v>
      </c>
      <c r="AL71" s="11">
        <f>GDP!AL71/Population!AL71</f>
        <v>893.7736598381357</v>
      </c>
      <c r="AM71" s="11">
        <f>GDP!AM71/Population!AM71</f>
        <v>970.09230732175092</v>
      </c>
      <c r="AN71" s="11">
        <f>GDP!AN71/Population!AN71</f>
        <v>906.35961209853929</v>
      </c>
      <c r="AO71" s="11">
        <f>GDP!AO71/Population!AO71</f>
        <v>678.89728583913109</v>
      </c>
      <c r="AP71" s="11">
        <f>GDP!AP71/Population!AP71</f>
        <v>608.28204104118129</v>
      </c>
      <c r="AQ71" s="11">
        <f>GDP!AQ71/Population!AQ71</f>
        <v>602.18689353179241</v>
      </c>
      <c r="AR71" s="11">
        <f>GDP!AR71/Population!AR71</f>
        <v>515.684615061454</v>
      </c>
      <c r="AS71" s="11">
        <f>GDP!AS71/Population!AS71</f>
        <v>491.83430811653977</v>
      </c>
      <c r="AT71" s="11">
        <f>GDP!AT71/Population!AT71</f>
        <v>568.24645268959284</v>
      </c>
      <c r="AU71" s="11">
        <f>GDP!AU71/Population!AU71</f>
        <v>618.03688085681301</v>
      </c>
      <c r="AV71" s="11">
        <f>GDP!AV71/Population!AV71</f>
        <v>749.18637953484449</v>
      </c>
      <c r="AW71" s="11">
        <f>GDP!AW71/Population!AW71</f>
        <v>1256.978854638143</v>
      </c>
      <c r="AX71" s="11">
        <f>GDP!AX71/Population!AX71</f>
        <v>1401.9471925885737</v>
      </c>
      <c r="AY71" s="11">
        <f>GDP!AY71/Population!AY71</f>
        <v>1672.9508430161345</v>
      </c>
      <c r="AZ71" s="11">
        <f>GDP!AZ71/Population!AZ71</f>
        <v>1626.3124654992682</v>
      </c>
      <c r="BA71" s="11">
        <f>GDP!BA71/Population!BA71</f>
        <v>1949.3524966189075</v>
      </c>
      <c r="BB71" s="11">
        <f>GDP!BB71/Population!BB71</f>
        <v>2406.909793635074</v>
      </c>
      <c r="BC71" s="11">
        <f>GDP!BC71/Population!BC71</f>
        <v>2790.6766382710948</v>
      </c>
      <c r="BD71" s="11">
        <f>GDP!BD71/Population!BD71</f>
        <v>2729.8919110125485</v>
      </c>
      <c r="BE71" s="11">
        <f>GDP!BE71/Population!BE71</f>
        <v>2920.7836993601518</v>
      </c>
      <c r="BF71" s="11">
        <f>GDP!BF71/Population!BF71</f>
        <v>2679.3455990083594</v>
      </c>
      <c r="BG71" s="11">
        <f>GDP!BG71/Population!BG71</f>
        <v>2509.631405166494</v>
      </c>
      <c r="BH71" s="11">
        <f>GDP!BH71/Population!BH71</f>
        <v>2695.2519381007105</v>
      </c>
      <c r="BI71" s="11">
        <f>GDP!BI71/Population!BI71</f>
        <v>2720.3851608516352</v>
      </c>
      <c r="BJ71" s="11">
        <f>GDP!BJ71/Population!BJ71</f>
        <v>2845.1801662900953</v>
      </c>
      <c r="BK71" s="11"/>
    </row>
    <row r="72" spans="1:63" x14ac:dyDescent="0.45">
      <c r="A72" t="str">
        <f>GDP!A72</f>
        <v>South</v>
      </c>
      <c r="B72" t="str">
        <f>GDP!B72</f>
        <v>Peru</v>
      </c>
      <c r="C72" s="11">
        <f>GDP!C72/Population!C72</f>
        <v>253.26482491655599</v>
      </c>
      <c r="D72" s="11">
        <f>GDP!D72/Population!D72</f>
        <v>277.56871715444805</v>
      </c>
      <c r="E72" s="11">
        <f>GDP!E72/Population!E72</f>
        <v>305.76153717775378</v>
      </c>
      <c r="F72" s="11">
        <f>GDP!F72/Population!F72</f>
        <v>325.51618524176706</v>
      </c>
      <c r="G72" s="11">
        <f>GDP!G72/Population!G72</f>
        <v>382.74364408510553</v>
      </c>
      <c r="H72" s="35">
        <f>GDP!H72/Population!H72</f>
        <v>441.18250947453555</v>
      </c>
      <c r="I72" s="35">
        <f>GDP!I72/Population!I72</f>
        <v>507.53078067875515</v>
      </c>
      <c r="J72" s="11">
        <f>GDP!J72/Population!J72</f>
        <v>500.87303637986616</v>
      </c>
      <c r="K72" s="11">
        <f>GDP!K72/Population!K72</f>
        <v>450.40165471502229</v>
      </c>
      <c r="L72" s="11">
        <f>GDP!L72/Population!L72</f>
        <v>490.41336203907292</v>
      </c>
      <c r="M72" s="11">
        <f>GDP!M72/Population!M72</f>
        <v>552.17956768134786</v>
      </c>
      <c r="N72" s="11">
        <f>GDP!N72/Population!N72</f>
        <v>599.11558460396429</v>
      </c>
      <c r="O72" s="11">
        <f>GDP!O72/Population!O72</f>
        <v>646.14253182103369</v>
      </c>
      <c r="P72" s="11">
        <f>GDP!P72/Population!P72</f>
        <v>752.22348239188364</v>
      </c>
      <c r="Q72" s="11">
        <f>GDP!Q72/Population!Q72</f>
        <v>922.84680425023419</v>
      </c>
      <c r="R72" s="11">
        <f>GDP!R72/Population!R72</f>
        <v>1094.1616612891598</v>
      </c>
      <c r="S72" s="11">
        <f>GDP!S72/Population!S72</f>
        <v>1006.8906110980207</v>
      </c>
      <c r="T72" s="11">
        <f>GDP!T72/Population!T72</f>
        <v>899.2556060370564</v>
      </c>
      <c r="U72" s="11">
        <f>GDP!U72/Population!U72</f>
        <v>748.99228553124726</v>
      </c>
      <c r="V72" s="11">
        <f>GDP!V72/Population!V72</f>
        <v>932.74687256550249</v>
      </c>
      <c r="W72" s="11">
        <f>GDP!W72/Population!W72</f>
        <v>1033.4186985008214</v>
      </c>
      <c r="X72" s="11">
        <f>GDP!X72/Population!X72</f>
        <v>1203.7067451184828</v>
      </c>
      <c r="Y72" s="11">
        <f>GDP!Y72/Population!Y72</f>
        <v>1182.7311989482926</v>
      </c>
      <c r="Z72" s="11">
        <f>GDP!Z72/Population!Z72</f>
        <v>919.16864063108073</v>
      </c>
      <c r="AA72" s="11">
        <f>GDP!AA72/Population!AA72</f>
        <v>910.96746468612992</v>
      </c>
      <c r="AB72" s="11">
        <f>GDP!AB72/Population!AB72</f>
        <v>836.94605093281336</v>
      </c>
      <c r="AC72" s="11">
        <f>GDP!AC72/Population!AC72</f>
        <v>753.53155451720545</v>
      </c>
      <c r="AD72" s="11">
        <f>GDP!AD72/Population!AD72</f>
        <v>1000.5323068399235</v>
      </c>
      <c r="AE72" s="11">
        <f>GDP!AE72/Population!AE72</f>
        <v>729.87625324651378</v>
      </c>
      <c r="AF72" s="11">
        <f>GDP!AF72/Population!AF72</f>
        <v>1040.962318831997</v>
      </c>
      <c r="AG72" s="11">
        <f>GDP!AG72/Population!AG72</f>
        <v>1196.5869480512183</v>
      </c>
      <c r="AH72" s="11">
        <f>GDP!AH72/Population!AH72</f>
        <v>1524.7708795225797</v>
      </c>
      <c r="AI72" s="11">
        <f>GDP!AI72/Population!AI72</f>
        <v>1566.0116371366726</v>
      </c>
      <c r="AJ72" s="11">
        <f>GDP!AJ72/Population!AJ72</f>
        <v>1488.0331672770812</v>
      </c>
      <c r="AK72" s="11">
        <f>GDP!AK72/Population!AK72</f>
        <v>1881.7371177416444</v>
      </c>
      <c r="AL72" s="11">
        <f>GDP!AL72/Population!AL72</f>
        <v>2194.0180081945218</v>
      </c>
      <c r="AM72" s="11">
        <f>GDP!AM72/Population!AM72</f>
        <v>2232.0759194215811</v>
      </c>
      <c r="AN72" s="11">
        <f>GDP!AN72/Population!AN72</f>
        <v>2306.4387215176389</v>
      </c>
      <c r="AO72" s="11">
        <f>GDP!AO72/Population!AO72</f>
        <v>2163.1200223929618</v>
      </c>
      <c r="AP72" s="11">
        <f>GDP!AP72/Population!AP72</f>
        <v>1924.4866742039701</v>
      </c>
      <c r="AQ72" s="11">
        <f>GDP!AQ72/Population!AQ72</f>
        <v>1955.5879453108441</v>
      </c>
      <c r="AR72" s="11">
        <f>GDP!AR72/Population!AR72</f>
        <v>1941.4756304683365</v>
      </c>
      <c r="AS72" s="11">
        <f>GDP!AS72/Population!AS72</f>
        <v>2021.2397171938655</v>
      </c>
      <c r="AT72" s="11">
        <f>GDP!AT72/Population!AT72</f>
        <v>2145.6431230693479</v>
      </c>
      <c r="AU72" s="11">
        <f>GDP!AU72/Population!AU72</f>
        <v>2417.0355877662682</v>
      </c>
      <c r="AV72" s="11">
        <f>GDP!AV72/Population!AV72</f>
        <v>2729.4987948099315</v>
      </c>
      <c r="AW72" s="11">
        <f>GDP!AW72/Population!AW72</f>
        <v>3154.3311558414089</v>
      </c>
      <c r="AX72" s="11">
        <f>GDP!AX72/Population!AX72</f>
        <v>3606.0705513828866</v>
      </c>
      <c r="AY72" s="11">
        <f>GDP!AY72/Population!AY72</f>
        <v>4220.6170048675322</v>
      </c>
      <c r="AZ72" s="11">
        <f>GDP!AZ72/Population!AZ72</f>
        <v>4196.3127264119021</v>
      </c>
      <c r="BA72" s="11">
        <f>GDP!BA72/Population!BA72</f>
        <v>5082.3549130391912</v>
      </c>
      <c r="BB72" s="11">
        <f>GDP!BB72/Population!BB72</f>
        <v>5869.3228229682309</v>
      </c>
      <c r="BC72" s="11">
        <f>GDP!BC72/Population!BC72</f>
        <v>6528.972350633353</v>
      </c>
      <c r="BD72" s="11">
        <f>GDP!BD72/Population!BD72</f>
        <v>6756.7524371945065</v>
      </c>
      <c r="BE72" s="11">
        <f>GDP!BE72/Population!BE72</f>
        <v>6672.8799735197581</v>
      </c>
      <c r="BF72" s="11">
        <f>GDP!BF72/Population!BF72</f>
        <v>6229.1015918421917</v>
      </c>
      <c r="BG72" s="11">
        <f>GDP!BG72/Population!BG72</f>
        <v>6204.9973050535546</v>
      </c>
      <c r="BH72" s="11">
        <f>GDP!BH72/Population!BH72</f>
        <v>6710.5083056081139</v>
      </c>
      <c r="BI72" s="11">
        <f>GDP!BI72/Population!BI72</f>
        <v>6941.2356078553375</v>
      </c>
      <c r="BJ72" s="11">
        <f>GDP!BJ72/Population!BJ72</f>
        <v>6977.6958838960463</v>
      </c>
      <c r="BK72" s="11"/>
    </row>
    <row r="73" spans="1:63" x14ac:dyDescent="0.45">
      <c r="A73" t="str">
        <f>GDP!A73</f>
        <v>South</v>
      </c>
      <c r="B73" t="str">
        <f>GDP!B73</f>
        <v>Philippines</v>
      </c>
      <c r="C73" s="11">
        <f>GDP!C73/Population!C73</f>
        <v>254.45893650845494</v>
      </c>
      <c r="D73" s="11">
        <f>GDP!D73/Population!D73</f>
        <v>267.18288513756909</v>
      </c>
      <c r="E73" s="11">
        <f>GDP!E73/Population!E73</f>
        <v>156.7038746547928</v>
      </c>
      <c r="F73" s="11">
        <f>GDP!F73/Population!F73</f>
        <v>168.04099070804489</v>
      </c>
      <c r="G73" s="11">
        <f>GDP!G73/Population!G73</f>
        <v>175.95578764997987</v>
      </c>
      <c r="H73" s="35">
        <f>GDP!H73/Population!H73</f>
        <v>187.13688429772279</v>
      </c>
      <c r="I73" s="35">
        <f>GDP!I73/Population!I73</f>
        <v>199.95677503976094</v>
      </c>
      <c r="J73" s="11">
        <f>GDP!J73/Population!J73</f>
        <v>207.44396533654918</v>
      </c>
      <c r="K73" s="11">
        <f>GDP!K73/Population!K73</f>
        <v>224.63559905207816</v>
      </c>
      <c r="L73" s="11">
        <f>GDP!L73/Population!L73</f>
        <v>241.71092991080627</v>
      </c>
      <c r="M73" s="11">
        <f>GDP!M73/Population!M73</f>
        <v>186.77469188007728</v>
      </c>
      <c r="N73" s="11">
        <f>GDP!N73/Population!N73</f>
        <v>201.04127005078689</v>
      </c>
      <c r="O73" s="11">
        <f>GDP!O73/Population!O73</f>
        <v>211.41220918084446</v>
      </c>
      <c r="P73" s="11">
        <f>GDP!P73/Population!P73</f>
        <v>258.38468537137089</v>
      </c>
      <c r="Q73" s="11">
        <f>GDP!Q73/Population!Q73</f>
        <v>343.29053766307942</v>
      </c>
      <c r="R73" s="11">
        <f>GDP!R73/Population!R73</f>
        <v>360.75332463428538</v>
      </c>
      <c r="S73" s="11">
        <f>GDP!S73/Population!S73</f>
        <v>402.80121824449191</v>
      </c>
      <c r="T73" s="11">
        <f>GDP!T73/Population!T73</f>
        <v>450.34085025028531</v>
      </c>
      <c r="U73" s="11">
        <f>GDP!U73/Population!U73</f>
        <v>506.39882293968725</v>
      </c>
      <c r="V73" s="11">
        <f>GDP!V73/Population!V73</f>
        <v>596.83721317830737</v>
      </c>
      <c r="W73" s="11">
        <f>GDP!W73/Population!W73</f>
        <v>685.22144061592121</v>
      </c>
      <c r="X73" s="11">
        <f>GDP!X73/Population!X73</f>
        <v>732.36776288377666</v>
      </c>
      <c r="Y73" s="11">
        <f>GDP!Y73/Population!Y73</f>
        <v>742.45338872696072</v>
      </c>
      <c r="Z73" s="11">
        <f>GDP!Z73/Population!Z73</f>
        <v>646.03935753396217</v>
      </c>
      <c r="AA73" s="11">
        <f>GDP!AA73/Population!AA73</f>
        <v>594.55332996132279</v>
      </c>
      <c r="AB73" s="11">
        <f>GDP!AB73/Population!AB73</f>
        <v>566.2619880261974</v>
      </c>
      <c r="AC73" s="11">
        <f>GDP!AC73/Population!AC73</f>
        <v>535.70349725683752</v>
      </c>
      <c r="AD73" s="11">
        <f>GDP!AD73/Population!AD73</f>
        <v>579.70153616673531</v>
      </c>
      <c r="AE73" s="11">
        <f>GDP!AE73/Population!AE73</f>
        <v>644.36499702355638</v>
      </c>
      <c r="AF73" s="11">
        <f>GDP!AF73/Population!AF73</f>
        <v>705.5790849728661</v>
      </c>
      <c r="AG73" s="11">
        <f>GDP!AG73/Population!AG73</f>
        <v>715.91369922947126</v>
      </c>
      <c r="AH73" s="11">
        <f>GDP!AH73/Population!AH73</f>
        <v>715.74685546167802</v>
      </c>
      <c r="AI73" s="11">
        <f>GDP!AI73/Population!AI73</f>
        <v>814.76854160026414</v>
      </c>
      <c r="AJ73" s="11">
        <f>GDP!AJ73/Population!AJ73</f>
        <v>816.4123245875478</v>
      </c>
      <c r="AK73" s="11">
        <f>GDP!AK73/Population!AK73</f>
        <v>939.91867042561034</v>
      </c>
      <c r="AL73" s="11">
        <f>GDP!AL73/Population!AL73</f>
        <v>1062.1330639156595</v>
      </c>
      <c r="AM73" s="11">
        <f>GDP!AM73/Population!AM73</f>
        <v>1160.3095847844181</v>
      </c>
      <c r="AN73" s="11">
        <f>GDP!AN73/Population!AN73</f>
        <v>1127.5266528350746</v>
      </c>
      <c r="AO73" s="11">
        <f>GDP!AO73/Population!AO73</f>
        <v>966.9891907029803</v>
      </c>
      <c r="AP73" s="11">
        <f>GDP!AP73/Population!AP73</f>
        <v>1087.378101134912</v>
      </c>
      <c r="AQ73" s="11">
        <f>GDP!AQ73/Population!AQ73</f>
        <v>1072.8091062757508</v>
      </c>
      <c r="AR73" s="11">
        <f>GDP!AR73/Population!AR73</f>
        <v>990.56392293728288</v>
      </c>
      <c r="AS73" s="11">
        <f>GDP!AS73/Population!AS73</f>
        <v>1036.1593403454663</v>
      </c>
      <c r="AT73" s="11">
        <f>GDP!AT73/Population!AT73</f>
        <v>1048.008254686993</v>
      </c>
      <c r="AU73" s="11">
        <f>GDP!AU73/Population!AU73</f>
        <v>1121.4895894895917</v>
      </c>
      <c r="AV73" s="11">
        <f>GDP!AV73/Population!AV73</f>
        <v>1244.3490405374737</v>
      </c>
      <c r="AW73" s="11">
        <f>GDP!AW73/Population!AW73</f>
        <v>1452.4386596716356</v>
      </c>
      <c r="AX73" s="11">
        <f>GDP!AX73/Population!AX73</f>
        <v>1744.640428931202</v>
      </c>
      <c r="AY73" s="11">
        <f>GDP!AY73/Population!AY73</f>
        <v>1991.2314801369316</v>
      </c>
      <c r="AZ73" s="11">
        <f>GDP!AZ73/Population!AZ73</f>
        <v>1905.8946554510694</v>
      </c>
      <c r="BA73" s="11">
        <f>GDP!BA73/Population!BA73</f>
        <v>2217.473931554367</v>
      </c>
      <c r="BB73" s="11">
        <f>GDP!BB73/Population!BB73</f>
        <v>2450.733672541422</v>
      </c>
      <c r="BC73" s="11">
        <f>GDP!BC73/Population!BC73</f>
        <v>2694.3053765847735</v>
      </c>
      <c r="BD73" s="11">
        <f>GDP!BD73/Population!BD73</f>
        <v>2871.4309727433024</v>
      </c>
      <c r="BE73" s="11">
        <f>GDP!BE73/Population!BE73</f>
        <v>2959.6486483517933</v>
      </c>
      <c r="BF73" s="11">
        <f>GDP!BF73/Population!BF73</f>
        <v>3001.0403085140319</v>
      </c>
      <c r="BG73" s="11">
        <f>GDP!BG73/Population!BG73</f>
        <v>3073.6534316160582</v>
      </c>
      <c r="BH73" s="11">
        <f>GDP!BH73/Population!BH73</f>
        <v>3123.2343575074365</v>
      </c>
      <c r="BI73" s="11">
        <f>GDP!BI73/Population!BI73</f>
        <v>3252.0924817856067</v>
      </c>
      <c r="BJ73" s="11">
        <f>GDP!BJ73/Population!BJ73</f>
        <v>3485.084072997623</v>
      </c>
      <c r="BK73" s="11"/>
    </row>
    <row r="74" spans="1:63" x14ac:dyDescent="0.45">
      <c r="A74" t="str">
        <f>GDP!A74</f>
        <v>South</v>
      </c>
      <c r="B74" t="str">
        <f>GDP!B74</f>
        <v>Puerto Rico</v>
      </c>
      <c r="C74" s="11">
        <f>GDP!C74/Population!C74</f>
        <v>717.51485665818495</v>
      </c>
      <c r="D74" s="11">
        <f>GDP!D74/Population!D74</f>
        <v>777.21504074221934</v>
      </c>
      <c r="E74" s="11">
        <f>GDP!E74/Population!E74</f>
        <v>854.7448049684898</v>
      </c>
      <c r="F74" s="11">
        <f>GDP!F74/Population!F74</f>
        <v>931.75166598124201</v>
      </c>
      <c r="G74" s="11">
        <f>GDP!G74/Population!G74</f>
        <v>1006.4344836820975</v>
      </c>
      <c r="H74" s="35">
        <f>GDP!H74/Population!H74</f>
        <v>1110.8326538164997</v>
      </c>
      <c r="I74" s="35">
        <f>GDP!I74/Population!I74</f>
        <v>1207.8118609749733</v>
      </c>
      <c r="J74" s="11">
        <f>GDP!J74/Population!J74</f>
        <v>1335.2740753395922</v>
      </c>
      <c r="K74" s="11">
        <f>GDP!K74/Population!K74</f>
        <v>1480.6932124847488</v>
      </c>
      <c r="L74" s="11">
        <f>GDP!L74/Population!L74</f>
        <v>1661.8669448428739</v>
      </c>
      <c r="M74" s="11">
        <f>GDP!M74/Population!M74</f>
        <v>1852.3545901398086</v>
      </c>
      <c r="N74" s="11">
        <f>GDP!N74/Population!N74</f>
        <v>2044.3198592421231</v>
      </c>
      <c r="O74" s="11">
        <f>GDP!O74/Population!O74</f>
        <v>2246.476747587014</v>
      </c>
      <c r="P74" s="11">
        <f>GDP!P74/Population!P74</f>
        <v>2432.414130122906</v>
      </c>
      <c r="Q74" s="11">
        <f>GDP!Q74/Population!Q74</f>
        <v>2614.5009405303781</v>
      </c>
      <c r="R74" s="11">
        <f>GDP!R74/Population!R74</f>
        <v>2738.2432064128257</v>
      </c>
      <c r="S74" s="11">
        <f>GDP!S74/Population!S74</f>
        <v>2946.4618053296904</v>
      </c>
      <c r="T74" s="11">
        <f>GDP!T74/Population!T74</f>
        <v>3208.7712628978629</v>
      </c>
      <c r="U74" s="11">
        <f>GDP!U74/Population!U74</f>
        <v>3567.752526745363</v>
      </c>
      <c r="V74" s="11">
        <f>GDP!V74/Population!V74</f>
        <v>4024.5094605957916</v>
      </c>
      <c r="W74" s="11">
        <f>GDP!W74/Population!W74</f>
        <v>4502.8384578914538</v>
      </c>
      <c r="X74" s="11">
        <f>GDP!X74/Population!X74</f>
        <v>4920.7228479296555</v>
      </c>
      <c r="Y74" s="11">
        <f>GDP!Y74/Population!Y74</f>
        <v>5115.0084947061023</v>
      </c>
      <c r="Z74" s="11">
        <f>GDP!Z74/Population!Z74</f>
        <v>5217.7228252039031</v>
      </c>
      <c r="AA74" s="11">
        <f>GDP!AA74/Population!AA74</f>
        <v>5730.116836662989</v>
      </c>
      <c r="AB74" s="11">
        <f>GDP!AB74/Population!AB74</f>
        <v>6008.0545241338468</v>
      </c>
      <c r="AC74" s="11">
        <f>GDP!AC74/Population!AC74</f>
        <v>6455.184752023285</v>
      </c>
      <c r="AD74" s="11">
        <f>GDP!AD74/Population!AD74</f>
        <v>6980.4903479233553</v>
      </c>
      <c r="AE74" s="11">
        <f>GDP!AE74/Population!AE74</f>
        <v>7595.4444166178746</v>
      </c>
      <c r="AF74" s="11">
        <f>GDP!AF74/Population!AF74</f>
        <v>8033.089477842911</v>
      </c>
      <c r="AG74" s="11">
        <f>GDP!AG74/Population!AG74</f>
        <v>8652.5075940062197</v>
      </c>
      <c r="AH74" s="11">
        <f>GDP!AH74/Population!AH74</f>
        <v>9064.0186002116716</v>
      </c>
      <c r="AI74" s="11">
        <f>GDP!AI74/Population!AI74</f>
        <v>9659.3391007861264</v>
      </c>
      <c r="AJ74" s="11">
        <f>GDP!AJ74/Population!AJ74</f>
        <v>10212.276214307465</v>
      </c>
      <c r="AK74" s="11">
        <f>GDP!AK74/Population!AK74</f>
        <v>10876.418582843482</v>
      </c>
      <c r="AL74" s="11">
        <f>GDP!AL74/Population!AL74</f>
        <v>11579.18494704058</v>
      </c>
      <c r="AM74" s="11">
        <f>GDP!AM74/Population!AM74</f>
        <v>12173.163914510204</v>
      </c>
      <c r="AN74" s="11">
        <f>GDP!AN74/Population!AN74</f>
        <v>12817.645160037559</v>
      </c>
      <c r="AO74" s="11">
        <f>GDP!AO74/Population!AO74</f>
        <v>14304.405528442641</v>
      </c>
      <c r="AP74" s="11">
        <f>GDP!AP74/Population!AP74</f>
        <v>15220.991459918881</v>
      </c>
      <c r="AQ74" s="11">
        <f>GDP!AQ74/Population!AQ74</f>
        <v>16192.126955168536</v>
      </c>
      <c r="AR74" s="11">
        <f>GDP!AR74/Population!AR74</f>
        <v>18123.198668473182</v>
      </c>
      <c r="AS74" s="11">
        <f>GDP!AS74/Population!AS74</f>
        <v>18731.45933115586</v>
      </c>
      <c r="AT74" s="11">
        <f>GDP!AT74/Population!AT74</f>
        <v>19557.120031781753</v>
      </c>
      <c r="AU74" s="11">
        <f>GDP!AU74/Population!AU74</f>
        <v>20988.992656677321</v>
      </c>
      <c r="AV74" s="11">
        <f>GDP!AV74/Population!AV74</f>
        <v>21959.323043459375</v>
      </c>
      <c r="AW74" s="11">
        <f>GDP!AW74/Population!AW74</f>
        <v>22935.941886054239</v>
      </c>
      <c r="AX74" s="11">
        <f>GDP!AX74/Population!AX74</f>
        <v>23664.882953321376</v>
      </c>
      <c r="AY74" s="11">
        <f>GDP!AY74/Population!AY74</f>
        <v>24898.335428063641</v>
      </c>
      <c r="AZ74" s="11">
        <f>GDP!AZ74/Population!AZ74</f>
        <v>25768.725203921495</v>
      </c>
      <c r="BA74" s="11">
        <f>GDP!BA74/Population!BA74</f>
        <v>26435.748708392392</v>
      </c>
      <c r="BB74" s="11">
        <f>GDP!BB74/Population!BB74</f>
        <v>27278.882206151466</v>
      </c>
      <c r="BC74" s="11">
        <f>GDP!BC74/Population!BC74</f>
        <v>27944.734175487716</v>
      </c>
      <c r="BD74" s="11">
        <f>GDP!BD74/Population!BD74</f>
        <v>28513.166839452646</v>
      </c>
      <c r="BE74" s="11">
        <f>GDP!BE74/Population!BE74</f>
        <v>28981.457747008804</v>
      </c>
      <c r="BF74" s="11">
        <f>GDP!BF74/Population!BF74</f>
        <v>29763.489268784808</v>
      </c>
      <c r="BG74" s="11">
        <f>GDP!BG74/Population!BG74</f>
        <v>30627.164425574283</v>
      </c>
      <c r="BH74" s="11">
        <f>GDP!BH74/Population!BH74</f>
        <v>31108.753953795251</v>
      </c>
      <c r="BI74" s="11">
        <f>GDP!BI74/Population!BI74</f>
        <v>31621.893600271062</v>
      </c>
      <c r="BJ74" s="11">
        <f>GDP!BJ74/Population!BJ74</f>
        <v>32873.718731976202</v>
      </c>
      <c r="BK74" s="11"/>
    </row>
    <row r="75" spans="1:63" x14ac:dyDescent="0.45">
      <c r="A75" t="str">
        <f>GDP!A75</f>
        <v>South</v>
      </c>
      <c r="B75" t="str">
        <f>GDP!B75</f>
        <v>Rwanda</v>
      </c>
      <c r="C75" s="11">
        <f>GDP!C75/Population!C75</f>
        <v>40.537114616454247</v>
      </c>
      <c r="D75" s="11">
        <f>GDP!D75/Population!D75</f>
        <v>40.689390242885608</v>
      </c>
      <c r="E75" s="11">
        <f>GDP!E75/Population!E75</f>
        <v>40.944195358173246</v>
      </c>
      <c r="F75" s="11">
        <f>GDP!F75/Population!F75</f>
        <v>41.218270384769333</v>
      </c>
      <c r="G75" s="11">
        <f>GDP!G75/Population!G75</f>
        <v>41.083813829634259</v>
      </c>
      <c r="H75" s="35">
        <f>GDP!H75/Population!H75</f>
        <v>45.98935507031149</v>
      </c>
      <c r="I75" s="35">
        <f>GDP!I75/Population!I75</f>
        <v>37.4887832328169</v>
      </c>
      <c r="J75" s="11">
        <f>GDP!J75/Population!J75</f>
        <v>46.642769216827759</v>
      </c>
      <c r="K75" s="11">
        <f>GDP!K75/Population!K75</f>
        <v>48.784043936231726</v>
      </c>
      <c r="L75" s="11">
        <f>GDP!L75/Population!L75</f>
        <v>51.794607926961653</v>
      </c>
      <c r="M75" s="11">
        <f>GDP!M75/Population!M75</f>
        <v>58.525165821303162</v>
      </c>
      <c r="N75" s="11">
        <f>GDP!N75/Population!N75</f>
        <v>57.589071143830495</v>
      </c>
      <c r="O75" s="11">
        <f>GDP!O75/Population!O75</f>
        <v>61.811887167613357</v>
      </c>
      <c r="P75" s="11">
        <f>GDP!P75/Population!P75</f>
        <v>70.803050939665752</v>
      </c>
      <c r="Q75" s="11">
        <f>GDP!Q75/Population!Q75</f>
        <v>72.894421891785996</v>
      </c>
      <c r="R75" s="11">
        <f>GDP!R75/Population!R75</f>
        <v>131.01988908302187</v>
      </c>
      <c r="S75" s="11">
        <f>GDP!S75/Population!S75</f>
        <v>141.53101400787241</v>
      </c>
      <c r="T75" s="11">
        <f>GDP!T75/Population!T75</f>
        <v>160.38434646515657</v>
      </c>
      <c r="U75" s="11">
        <f>GDP!U75/Population!U75</f>
        <v>188.18475122546371</v>
      </c>
      <c r="V75" s="11">
        <f>GDP!V75/Population!V75</f>
        <v>222.81320562695919</v>
      </c>
      <c r="W75" s="11">
        <f>GDP!W75/Population!W75</f>
        <v>243.4871616544855</v>
      </c>
      <c r="X75" s="11">
        <f>GDP!X75/Population!X75</f>
        <v>264.02629412157654</v>
      </c>
      <c r="Y75" s="11">
        <f>GDP!Y75/Population!Y75</f>
        <v>255.63724154117412</v>
      </c>
      <c r="Z75" s="11">
        <f>GDP!Z75/Population!Z75</f>
        <v>260.00584503899154</v>
      </c>
      <c r="AA75" s="11">
        <f>GDP!AA75/Population!AA75</f>
        <v>268.92346484566843</v>
      </c>
      <c r="AB75" s="11">
        <f>GDP!AB75/Population!AB75</f>
        <v>279.10464916329249</v>
      </c>
      <c r="AC75" s="11">
        <f>GDP!AC75/Population!AC75</f>
        <v>301.79798071030365</v>
      </c>
      <c r="AD75" s="11">
        <f>GDP!AD75/Population!AD75</f>
        <v>318.20641910164079</v>
      </c>
      <c r="AE75" s="11">
        <f>GDP!AE75/Population!AE75</f>
        <v>337.95560644457805</v>
      </c>
      <c r="AF75" s="11">
        <f>GDP!AF75/Population!AF75</f>
        <v>330.49703304321775</v>
      </c>
      <c r="AG75" s="11">
        <f>GDP!AG75/Population!AG75</f>
        <v>349.87337262422415</v>
      </c>
      <c r="AH75" s="11">
        <f>GDP!AH75/Population!AH75</f>
        <v>269.85016435074573</v>
      </c>
      <c r="AI75" s="11">
        <f>GDP!AI75/Population!AI75</f>
        <v>302.73840940437265</v>
      </c>
      <c r="AJ75" s="11">
        <f>GDP!AJ75/Population!AJ75</f>
        <v>314.75135705296356</v>
      </c>
      <c r="AK75" s="11">
        <f>GDP!AK75/Population!AK75</f>
        <v>126.95471981437474</v>
      </c>
      <c r="AL75" s="11">
        <f>GDP!AL75/Population!AL75</f>
        <v>221.62873025677226</v>
      </c>
      <c r="AM75" s="11">
        <f>GDP!AM75/Population!AM75</f>
        <v>229.88695328388468</v>
      </c>
      <c r="AN75" s="11">
        <f>GDP!AN75/Population!AN75</f>
        <v>288.40916269581106</v>
      </c>
      <c r="AO75" s="11">
        <f>GDP!AO75/Population!AO75</f>
        <v>285.71019081111314</v>
      </c>
      <c r="AP75" s="11">
        <f>GDP!AP75/Population!AP75</f>
        <v>242.31406832529154</v>
      </c>
      <c r="AQ75" s="11">
        <f>GDP!AQ75/Population!AQ75</f>
        <v>218.68015918462061</v>
      </c>
      <c r="AR75" s="11">
        <f>GDP!AR75/Population!AR75</f>
        <v>203.45687920384452</v>
      </c>
      <c r="AS75" s="11">
        <f>GDP!AS75/Population!AS75</f>
        <v>199.06733593922436</v>
      </c>
      <c r="AT75" s="11">
        <f>GDP!AT75/Population!AT75</f>
        <v>215.74898310315768</v>
      </c>
      <c r="AU75" s="11">
        <f>GDP!AU75/Population!AU75</f>
        <v>240.6492879922917</v>
      </c>
      <c r="AV75" s="11">
        <f>GDP!AV75/Population!AV75</f>
        <v>291.99669193565995</v>
      </c>
      <c r="AW75" s="11">
        <f>GDP!AW75/Population!AW75</f>
        <v>368.24888688766106</v>
      </c>
      <c r="AX75" s="11">
        <f>GDP!AX75/Population!AX75</f>
        <v>440.33018505876311</v>
      </c>
      <c r="AY75" s="11">
        <f>GDP!AY75/Population!AY75</f>
        <v>545.75511032875727</v>
      </c>
      <c r="AZ75" s="11">
        <f>GDP!AZ75/Population!AZ75</f>
        <v>582.05725208708782</v>
      </c>
      <c r="BA75" s="11">
        <f>GDP!BA75/Population!BA75</f>
        <v>612.34367445343503</v>
      </c>
      <c r="BB75" s="11">
        <f>GDP!BB75/Population!BB75</f>
        <v>671.50995532932927</v>
      </c>
      <c r="BC75" s="11">
        <f>GDP!BC75/Population!BC75</f>
        <v>728.69729218275666</v>
      </c>
      <c r="BD75" s="11">
        <f>GDP!BD75/Population!BD75</f>
        <v>726.18013987457664</v>
      </c>
      <c r="BE75" s="11">
        <f>GDP!BE75/Population!BE75</f>
        <v>747.00049505419474</v>
      </c>
      <c r="BF75" s="11">
        <f>GDP!BF75/Population!BF75</f>
        <v>754.90679300006127</v>
      </c>
      <c r="BG75" s="11">
        <f>GDP!BG75/Population!BG75</f>
        <v>748.50442606954709</v>
      </c>
      <c r="BH75" s="11">
        <f>GDP!BH75/Population!BH75</f>
        <v>772.31843352485703</v>
      </c>
      <c r="BI75" s="11">
        <f>GDP!BI75/Population!BI75</f>
        <v>782.6181469441525</v>
      </c>
      <c r="BJ75" s="11">
        <f>GDP!BJ75/Population!BJ75</f>
        <v>801.65617571939379</v>
      </c>
      <c r="BK75" s="11"/>
    </row>
    <row r="76" spans="1:63" x14ac:dyDescent="0.45">
      <c r="A76" t="str">
        <f>GDP!A76</f>
        <v>South</v>
      </c>
      <c r="B76" t="str">
        <f>GDP!B76</f>
        <v>Senegal</v>
      </c>
      <c r="C76" s="11">
        <f>GDP!C76/Population!C76</f>
        <v>312.99373664730228</v>
      </c>
      <c r="D76" s="11">
        <f>GDP!D76/Population!D76</f>
        <v>321.36144385997176</v>
      </c>
      <c r="E76" s="11">
        <f>GDP!E76/Population!E76</f>
        <v>320.5012581175302</v>
      </c>
      <c r="F76" s="11">
        <f>GDP!F76/Population!F76</f>
        <v>322.30073637414858</v>
      </c>
      <c r="G76" s="11">
        <f>GDP!G76/Population!G76</f>
        <v>332.08133870392453</v>
      </c>
      <c r="H76" s="35">
        <f>GDP!H76/Population!H76</f>
        <v>328.56342923302333</v>
      </c>
      <c r="I76" s="35">
        <f>GDP!I76/Population!I76</f>
        <v>329.05315086915203</v>
      </c>
      <c r="J76" s="11">
        <f>GDP!J76/Population!J76</f>
        <v>319.6396635180032</v>
      </c>
      <c r="K76" s="11">
        <f>GDP!K76/Population!K76</f>
        <v>326.19612202277818</v>
      </c>
      <c r="L76" s="11">
        <f>GDP!L76/Population!L76</f>
        <v>301.26731379747332</v>
      </c>
      <c r="M76" s="11">
        <f>GDP!M76/Population!M76</f>
        <v>304.73431552047504</v>
      </c>
      <c r="N76" s="11">
        <f>GDP!N76/Population!N76</f>
        <v>305.30748437621082</v>
      </c>
      <c r="O76" s="11">
        <f>GDP!O76/Population!O76</f>
        <v>358.36735823730521</v>
      </c>
      <c r="P76" s="11">
        <f>GDP!P76/Population!P76</f>
        <v>399.80869929034645</v>
      </c>
      <c r="Q76" s="11">
        <f>GDP!Q76/Population!Q76</f>
        <v>437.61582110516019</v>
      </c>
      <c r="R76" s="11">
        <f>GDP!R76/Population!R76</f>
        <v>574.13324473015996</v>
      </c>
      <c r="S76" s="11">
        <f>GDP!S76/Population!S76</f>
        <v>567.44382563454815</v>
      </c>
      <c r="T76" s="11">
        <f>GDP!T76/Population!T76</f>
        <v>567.02465881593685</v>
      </c>
      <c r="U76" s="11">
        <f>GDP!U76/Population!U76</f>
        <v>618.15554844920962</v>
      </c>
      <c r="V76" s="11">
        <f>GDP!V76/Population!V76</f>
        <v>751.02574449363181</v>
      </c>
      <c r="W76" s="11">
        <f>GDP!W76/Population!W76</f>
        <v>794.36135167060263</v>
      </c>
      <c r="X76" s="11">
        <f>GDP!X76/Population!X76</f>
        <v>700.58993346159286</v>
      </c>
      <c r="Y76" s="11">
        <f>GDP!Y76/Population!Y76</f>
        <v>666.14765626705343</v>
      </c>
      <c r="Z76" s="11">
        <f>GDP!Z76/Population!Z76</f>
        <v>576.73236279988146</v>
      </c>
      <c r="AA76" s="11">
        <f>GDP!AA76/Population!AA76</f>
        <v>545.62626708025459</v>
      </c>
      <c r="AB76" s="11">
        <f>GDP!AB76/Population!AB76</f>
        <v>579.4880165999956</v>
      </c>
      <c r="AC76" s="11">
        <f>GDP!AC76/Population!AC76</f>
        <v>795.1590539051366</v>
      </c>
      <c r="AD76" s="11">
        <f>GDP!AD76/Population!AD76</f>
        <v>928.09977320305529</v>
      </c>
      <c r="AE76" s="11">
        <f>GDP!AE76/Population!AE76</f>
        <v>890.55834997383101</v>
      </c>
      <c r="AF76" s="11">
        <f>GDP!AF76/Population!AF76</f>
        <v>851.61620189286884</v>
      </c>
      <c r="AG76" s="11">
        <f>GDP!AG76/Population!AG76</f>
        <v>961.57392250940597</v>
      </c>
      <c r="AH76" s="11">
        <f>GDP!AH76/Population!AH76</f>
        <v>916.93077941114279</v>
      </c>
      <c r="AI76" s="11">
        <f>GDP!AI76/Population!AI76</f>
        <v>951.42855655301264</v>
      </c>
      <c r="AJ76" s="11">
        <f>GDP!AJ76/Population!AJ76</f>
        <v>873.88309565369593</v>
      </c>
      <c r="AK76" s="11">
        <f>GDP!AK76/Population!AK76</f>
        <v>580.1177213089411</v>
      </c>
      <c r="AL76" s="11">
        <f>GDP!AL76/Population!AL76</f>
        <v>710.72448345048497</v>
      </c>
      <c r="AM76" s="11">
        <f>GDP!AM76/Population!AM76</f>
        <v>719.54332419186164</v>
      </c>
      <c r="AN76" s="11">
        <f>GDP!AN76/Population!AN76</f>
        <v>647.82935702671273</v>
      </c>
      <c r="AO76" s="11">
        <f>GDP!AO76/Population!AO76</f>
        <v>681.26007496544094</v>
      </c>
      <c r="AP76" s="11">
        <f>GDP!AP76/Population!AP76</f>
        <v>680.57237654098424</v>
      </c>
      <c r="AQ76" s="11">
        <f>GDP!AQ76/Population!AQ76</f>
        <v>604.65408348501808</v>
      </c>
      <c r="AR76" s="11">
        <f>GDP!AR76/Population!AR76</f>
        <v>615.26845237952898</v>
      </c>
      <c r="AS76" s="11">
        <f>GDP!AS76/Population!AS76</f>
        <v>656.62272534425597</v>
      </c>
      <c r="AT76" s="11">
        <f>GDP!AT76/Population!AT76</f>
        <v>823.72113710549013</v>
      </c>
      <c r="AU76" s="11">
        <f>GDP!AU76/Population!AU76</f>
        <v>940.5516505284927</v>
      </c>
      <c r="AV76" s="11">
        <f>GDP!AV76/Population!AV76</f>
        <v>993.93201802397743</v>
      </c>
      <c r="AW76" s="11">
        <f>GDP!AW76/Population!AW76</f>
        <v>1040.9039688750959</v>
      </c>
      <c r="AX76" s="11">
        <f>GDP!AX76/Population!AX76</f>
        <v>1222.3729479048659</v>
      </c>
      <c r="AY76" s="11">
        <f>GDP!AY76/Population!AY76</f>
        <v>1411.9293513432779</v>
      </c>
      <c r="AZ76" s="11">
        <f>GDP!AZ76/Population!AZ76</f>
        <v>1317.2356572521112</v>
      </c>
      <c r="BA76" s="11">
        <f>GDP!BA76/Population!BA76</f>
        <v>1280.2255067538256</v>
      </c>
      <c r="BB76" s="11">
        <f>GDP!BB76/Population!BB76</f>
        <v>1373.5207394860552</v>
      </c>
      <c r="BC76" s="11">
        <f>GDP!BC76/Population!BC76</f>
        <v>1329.9814452942103</v>
      </c>
      <c r="BD76" s="11">
        <f>GDP!BD76/Population!BD76</f>
        <v>1376.0697746839814</v>
      </c>
      <c r="BE76" s="11">
        <f>GDP!BE76/Population!BE76</f>
        <v>1396.6581901272059</v>
      </c>
      <c r="BF76" s="11">
        <f>GDP!BF76/Population!BF76</f>
        <v>1219.2486242887537</v>
      </c>
      <c r="BG76" s="11">
        <f>GDP!BG76/Population!BG76</f>
        <v>1269.9021433781295</v>
      </c>
      <c r="BH76" s="11">
        <f>GDP!BH76/Population!BH76</f>
        <v>1361.6996033757775</v>
      </c>
      <c r="BI76" s="11">
        <f>GDP!BI76/Population!BI76</f>
        <v>1465.5910384272843</v>
      </c>
      <c r="BJ76" s="11">
        <f>GDP!BJ76/Population!BJ76</f>
        <v>1446.8309205660846</v>
      </c>
      <c r="BK76" s="11"/>
    </row>
    <row r="77" spans="1:63" x14ac:dyDescent="0.45">
      <c r="A77" t="str">
        <f>GDP!A77</f>
        <v>South</v>
      </c>
      <c r="B77" t="str">
        <f>GDP!B77</f>
        <v>Seychelles</v>
      </c>
      <c r="C77" s="11">
        <f>GDP!C77/Population!C77</f>
        <v>288.05815347721824</v>
      </c>
      <c r="D77" s="11">
        <f>GDP!D77/Population!D77</f>
        <v>270.27965212525356</v>
      </c>
      <c r="E77" s="11">
        <f>GDP!E77/Population!E77</f>
        <v>287.0447981472231</v>
      </c>
      <c r="F77" s="11">
        <f>GDP!F77/Population!F77</f>
        <v>308.19525854435983</v>
      </c>
      <c r="G77" s="11">
        <f>GDP!G77/Population!G77</f>
        <v>332.30499546651697</v>
      </c>
      <c r="H77" s="35">
        <f>GDP!H77/Population!H77</f>
        <v>328.48490526315788</v>
      </c>
      <c r="I77" s="35">
        <f>GDP!I77/Population!I77</f>
        <v>337.64625556992956</v>
      </c>
      <c r="J77" s="11">
        <f>GDP!J77/Population!J77</f>
        <v>333.23381619282321</v>
      </c>
      <c r="K77" s="11">
        <f>GDP!K77/Population!K77</f>
        <v>314.35105800445888</v>
      </c>
      <c r="L77" s="11">
        <f>GDP!L77/Population!L77</f>
        <v>314.17985295521817</v>
      </c>
      <c r="M77" s="11">
        <f>GDP!M77/Population!M77</f>
        <v>343.88119402985075</v>
      </c>
      <c r="N77" s="11">
        <f>GDP!N77/Population!N77</f>
        <v>401.60804461102475</v>
      </c>
      <c r="O77" s="11">
        <f>GDP!O77/Population!O77</f>
        <v>546.95104320976634</v>
      </c>
      <c r="P77" s="11">
        <f>GDP!P77/Population!P77</f>
        <v>648.53195528369542</v>
      </c>
      <c r="Q77" s="11">
        <f>GDP!Q77/Population!Q77</f>
        <v>744.50696446139773</v>
      </c>
      <c r="R77" s="11">
        <f>GDP!R77/Population!R77</f>
        <v>806.23261148215613</v>
      </c>
      <c r="S77" s="11">
        <f>GDP!S77/Population!S77</f>
        <v>814.47474547137381</v>
      </c>
      <c r="T77" s="11">
        <f>GDP!T77/Population!T77</f>
        <v>1044.353089696695</v>
      </c>
      <c r="U77" s="11">
        <f>GDP!U77/Population!U77</f>
        <v>1376.5465486725664</v>
      </c>
      <c r="V77" s="11">
        <f>GDP!V77/Population!V77</f>
        <v>2030.135851705325</v>
      </c>
      <c r="W77" s="11">
        <f>GDP!W77/Population!W77</f>
        <v>2329.3532508180397</v>
      </c>
      <c r="X77" s="11">
        <f>GDP!X77/Population!X77</f>
        <v>2419.034340594987</v>
      </c>
      <c r="Y77" s="11">
        <f>GDP!Y77/Population!Y77</f>
        <v>2296.3076397621599</v>
      </c>
      <c r="Z77" s="11">
        <f>GDP!Z77/Population!Z77</f>
        <v>2280.45151161887</v>
      </c>
      <c r="AA77" s="11">
        <f>GDP!AA77/Population!AA77</f>
        <v>2338.0757451674212</v>
      </c>
      <c r="AB77" s="11">
        <f>GDP!AB77/Population!AB77</f>
        <v>2588.5527558089634</v>
      </c>
      <c r="AC77" s="11">
        <f>GDP!AC77/Population!AC77</f>
        <v>3165.9450435630292</v>
      </c>
      <c r="AD77" s="11">
        <f>GDP!AD77/Population!AD77</f>
        <v>3638.9880144235681</v>
      </c>
      <c r="AE77" s="11">
        <f>GDP!AE77/Population!AE77</f>
        <v>4128.1182168569558</v>
      </c>
      <c r="AF77" s="11">
        <f>GDP!AF77/Population!AF77</f>
        <v>4407.2008905981174</v>
      </c>
      <c r="AG77" s="11">
        <f>GDP!AG77/Population!AG77</f>
        <v>5302.8438574532065</v>
      </c>
      <c r="AH77" s="11">
        <f>GDP!AH77/Population!AH77</f>
        <v>5314.6630701741933</v>
      </c>
      <c r="AI77" s="11">
        <f>GDP!AI77/Population!AI77</f>
        <v>6128.4456566284643</v>
      </c>
      <c r="AJ77" s="11">
        <f>GDP!AJ77/Population!AJ77</f>
        <v>6559.1301676054973</v>
      </c>
      <c r="AK77" s="11">
        <f>GDP!AK77/Population!AK77</f>
        <v>6555.5043460683246</v>
      </c>
      <c r="AL77" s="11">
        <f>GDP!AL77/Population!AL77</f>
        <v>6748.9310527993202</v>
      </c>
      <c r="AM77" s="11">
        <f>GDP!AM77/Population!AM77</f>
        <v>6583.2011201695959</v>
      </c>
      <c r="AN77" s="11">
        <f>GDP!AN77/Population!AN77</f>
        <v>7280.9897696555827</v>
      </c>
      <c r="AO77" s="11">
        <f>GDP!AO77/Population!AO77</f>
        <v>7715.9181188646226</v>
      </c>
      <c r="AP77" s="11">
        <f>GDP!AP77/Population!AP77</f>
        <v>7747.6118890685239</v>
      </c>
      <c r="AQ77" s="11">
        <f>GDP!AQ77/Population!AQ77</f>
        <v>7578.8507968594004</v>
      </c>
      <c r="AR77" s="11">
        <f>GDP!AR77/Population!AR77</f>
        <v>7663.1373611487397</v>
      </c>
      <c r="AS77" s="11">
        <f>GDP!AS77/Population!AS77</f>
        <v>8331.262281571373</v>
      </c>
      <c r="AT77" s="11">
        <f>GDP!AT77/Population!AT77</f>
        <v>8524.9614283470837</v>
      </c>
      <c r="AU77" s="11">
        <f>GDP!AU77/Population!AU77</f>
        <v>10176.658817823583</v>
      </c>
      <c r="AV77" s="11">
        <f>GDP!AV77/Population!AV77</f>
        <v>11092.510463684859</v>
      </c>
      <c r="AW77" s="11">
        <f>GDP!AW77/Population!AW77</f>
        <v>12014.4</v>
      </c>
      <c r="AX77" s="11">
        <f>GDP!AX77/Population!AX77</f>
        <v>12154.830054214246</v>
      </c>
      <c r="AY77" s="11">
        <f>GDP!AY77/Population!AY77</f>
        <v>11122.862321173927</v>
      </c>
      <c r="AZ77" s="11">
        <f>GDP!AZ77/Population!AZ77</f>
        <v>9706.955760727622</v>
      </c>
      <c r="BA77" s="11">
        <f>GDP!BA77/Population!BA77</f>
        <v>10804.684326612454</v>
      </c>
      <c r="BB77" s="11">
        <f>GDP!BB77/Population!BB77</f>
        <v>12189.095367161857</v>
      </c>
      <c r="BC77" s="11">
        <f>GDP!BC77/Population!BC77</f>
        <v>12006.682808058617</v>
      </c>
      <c r="BD77" s="11">
        <f>GDP!BD77/Population!BD77</f>
        <v>14765.67352610924</v>
      </c>
      <c r="BE77" s="11">
        <f>GDP!BE77/Population!BE77</f>
        <v>14700.334635886995</v>
      </c>
      <c r="BF77" s="11">
        <f>GDP!BF77/Population!BF77</f>
        <v>14745.341311724596</v>
      </c>
      <c r="BG77" s="11">
        <f>GDP!BG77/Population!BG77</f>
        <v>15068.620425235273</v>
      </c>
      <c r="BH77" s="11">
        <f>GDP!BH77/Population!BH77</f>
        <v>15906.083741118287</v>
      </c>
      <c r="BI77" s="11">
        <f>GDP!BI77/Population!BI77</f>
        <v>16390.824497219983</v>
      </c>
      <c r="BJ77" s="11">
        <f>GDP!BJ77/Population!BJ77</f>
        <v>17401.720952624841</v>
      </c>
      <c r="BK77" s="11"/>
    </row>
    <row r="78" spans="1:63" x14ac:dyDescent="0.45">
      <c r="A78" t="str">
        <f>GDP!A78</f>
        <v>South</v>
      </c>
      <c r="B78" t="str">
        <f>GDP!B78</f>
        <v>Sierra Leone</v>
      </c>
      <c r="C78" s="11">
        <f>GDP!C78/Population!C78</f>
        <v>138.93876001235742</v>
      </c>
      <c r="D78" s="11">
        <f>GDP!D78/Population!D78</f>
        <v>139.3639876158569</v>
      </c>
      <c r="E78" s="11">
        <f>GDP!E78/Population!E78</f>
        <v>143.47204271321337</v>
      </c>
      <c r="F78" s="11">
        <f>GDP!F78/Population!F78</f>
        <v>143.62071766074391</v>
      </c>
      <c r="G78" s="11">
        <f>GDP!G78/Population!G78</f>
        <v>150.74922070956478</v>
      </c>
      <c r="H78" s="35">
        <f>GDP!H78/Population!H78</f>
        <v>143.28089851803213</v>
      </c>
      <c r="I78" s="35">
        <f>GDP!I78/Population!I78</f>
        <v>147.15593252489245</v>
      </c>
      <c r="J78" s="11">
        <f>GDP!J78/Population!J78</f>
        <v>134.31709196493384</v>
      </c>
      <c r="K78" s="11">
        <f>GDP!K78/Population!K78</f>
        <v>124.75703512076308</v>
      </c>
      <c r="L78" s="11">
        <f>GDP!L78/Population!L78</f>
        <v>151.7405756701325</v>
      </c>
      <c r="M78" s="11">
        <f>GDP!M78/Population!M78</f>
        <v>158.26142750295003</v>
      </c>
      <c r="N78" s="11">
        <f>GDP!N78/Population!N78</f>
        <v>149.90740065829999</v>
      </c>
      <c r="O78" s="11">
        <f>GDP!O78/Population!O78</f>
        <v>163.01294348748385</v>
      </c>
      <c r="P78" s="11">
        <f>GDP!P78/Population!P78</f>
        <v>197.44671689989235</v>
      </c>
      <c r="Q78" s="11">
        <f>GDP!Q78/Population!Q78</f>
        <v>218.07934625016475</v>
      </c>
      <c r="R78" s="11">
        <f>GDP!R78/Population!R78</f>
        <v>223.67514851074395</v>
      </c>
      <c r="S78" s="11">
        <f>GDP!S78/Population!S78</f>
        <v>191.7415116135154</v>
      </c>
      <c r="T78" s="11">
        <f>GDP!T78/Population!T78</f>
        <v>218.19144692270135</v>
      </c>
      <c r="U78" s="11">
        <f>GDP!U78/Population!U78</f>
        <v>296.44432197958616</v>
      </c>
      <c r="V78" s="11">
        <f>GDP!V78/Population!V78</f>
        <v>334.80409862188185</v>
      </c>
      <c r="W78" s="11">
        <f>GDP!W78/Population!W78</f>
        <v>324.83029309472198</v>
      </c>
      <c r="X78" s="11">
        <f>GDP!X78/Population!X78</f>
        <v>321.82342688127903</v>
      </c>
      <c r="Y78" s="11">
        <f>GDP!Y78/Population!Y78</f>
        <v>365.90387467268522</v>
      </c>
      <c r="Z78" s="11">
        <f>GDP!Z78/Population!Z78</f>
        <v>274.90231493209518</v>
      </c>
      <c r="AA78" s="11">
        <f>GDP!AA78/Population!AA78</f>
        <v>293.31596462315679</v>
      </c>
      <c r="AB78" s="11">
        <f>GDP!AB78/Population!AB78</f>
        <v>225.18277638805344</v>
      </c>
      <c r="AC78" s="11">
        <f>GDP!AC78/Population!AC78</f>
        <v>125.15213043683626</v>
      </c>
      <c r="AD78" s="11">
        <f>GDP!AD78/Population!AD78</f>
        <v>173.67077152275897</v>
      </c>
      <c r="AE78" s="11">
        <f>GDP!AE78/Population!AE78</f>
        <v>253.83133756784937</v>
      </c>
      <c r="AF78" s="11">
        <f>GDP!AF78/Population!AF78</f>
        <v>219.29408402131983</v>
      </c>
      <c r="AG78" s="11">
        <f>GDP!AG78/Population!AG78</f>
        <v>150.38902606208399</v>
      </c>
      <c r="AH78" s="11">
        <f>GDP!AH78/Population!AH78</f>
        <v>179.36132969696413</v>
      </c>
      <c r="AI78" s="11">
        <f>GDP!AI78/Population!AI78</f>
        <v>156.40321602751231</v>
      </c>
      <c r="AJ78" s="11">
        <f>GDP!AJ78/Population!AJ78</f>
        <v>177.59759498650598</v>
      </c>
      <c r="AK78" s="11">
        <f>GDP!AK78/Population!AK78</f>
        <v>211.59247710147281</v>
      </c>
      <c r="AL78" s="11">
        <f>GDP!AL78/Population!AL78</f>
        <v>202.31585027452644</v>
      </c>
      <c r="AM78" s="11">
        <f>GDP!AM78/Population!AM78</f>
        <v>218.36658438191134</v>
      </c>
      <c r="AN78" s="11">
        <f>GDP!AN78/Population!AN78</f>
        <v>196.11511357573556</v>
      </c>
      <c r="AO78" s="11">
        <f>GDP!AO78/Population!AO78</f>
        <v>153.45852899577608</v>
      </c>
      <c r="AP78" s="11">
        <f>GDP!AP78/Population!AP78</f>
        <v>150.00628991985889</v>
      </c>
      <c r="AQ78" s="11">
        <f>GDP!AQ78/Population!AQ78</f>
        <v>138.69868827421365</v>
      </c>
      <c r="AR78" s="11">
        <f>GDP!AR78/Population!AR78</f>
        <v>229.37551471664713</v>
      </c>
      <c r="AS78" s="11">
        <f>GDP!AS78/Population!AS78</f>
        <v>252.39621520627432</v>
      </c>
      <c r="AT78" s="11">
        <f>GDP!AT78/Population!AT78</f>
        <v>266.44710569171343</v>
      </c>
      <c r="AU78" s="11">
        <f>GDP!AU78/Population!AU78</f>
        <v>266.56955743945838</v>
      </c>
      <c r="AV78" s="11">
        <f>GDP!AV78/Population!AV78</f>
        <v>292.3493197563281</v>
      </c>
      <c r="AW78" s="11">
        <f>GDP!AW78/Population!AW78</f>
        <v>323.38918318126366</v>
      </c>
      <c r="AX78" s="11">
        <f>GDP!AX78/Population!AX78</f>
        <v>360.37212430210667</v>
      </c>
      <c r="AY78" s="11">
        <f>GDP!AY78/Population!AY78</f>
        <v>408.4807392979298</v>
      </c>
      <c r="AZ78" s="11">
        <f>GDP!AZ78/Population!AZ78</f>
        <v>391.20099401632524</v>
      </c>
      <c r="BA78" s="11">
        <f>GDP!BA78/Population!BA78</f>
        <v>401.83499245748743</v>
      </c>
      <c r="BB78" s="11">
        <f>GDP!BB78/Population!BB78</f>
        <v>448.337511351101</v>
      </c>
      <c r="BC78" s="11">
        <f>GDP!BC78/Population!BC78</f>
        <v>566.37866358707629</v>
      </c>
      <c r="BD78" s="11">
        <f>GDP!BD78/Population!BD78</f>
        <v>716.83528215408558</v>
      </c>
      <c r="BE78" s="11">
        <f>GDP!BE78/Population!BE78</f>
        <v>714.7007044461393</v>
      </c>
      <c r="BF78" s="11">
        <f>GDP!BF78/Population!BF78</f>
        <v>588.22844780347339</v>
      </c>
      <c r="BG78" s="11">
        <f>GDP!BG78/Population!BG78</f>
        <v>501.41570819275853</v>
      </c>
      <c r="BH78" s="11">
        <f>GDP!BH78/Population!BH78</f>
        <v>499.38069216368558</v>
      </c>
      <c r="BI78" s="11">
        <f>GDP!BI78/Population!BI78</f>
        <v>533.99119547135911</v>
      </c>
      <c r="BJ78" s="11">
        <f>GDP!BJ78/Population!BJ78</f>
        <v>504.46254250011037</v>
      </c>
      <c r="BK78" s="11"/>
    </row>
    <row r="79" spans="1:63" x14ac:dyDescent="0.45">
      <c r="A79" t="str">
        <f>GDP!A79</f>
        <v>South</v>
      </c>
      <c r="B79" t="str">
        <f>GDP!B79</f>
        <v>South Africa</v>
      </c>
      <c r="C79" s="11">
        <f>GDP!C79/Population!C79</f>
        <v>443.00980968242976</v>
      </c>
      <c r="D79" s="11">
        <f>GDP!D79/Population!D79</f>
        <v>454.96202740250067</v>
      </c>
      <c r="E79" s="11">
        <f>GDP!E79/Population!E79</f>
        <v>473.0116526336484</v>
      </c>
      <c r="F79" s="11">
        <f>GDP!F79/Population!F79</f>
        <v>511.49725888501212</v>
      </c>
      <c r="G79" s="11">
        <f>GDP!G79/Population!G79</f>
        <v>548.99589485946149</v>
      </c>
      <c r="H79" s="35">
        <f>GDP!H79/Population!H79</f>
        <v>584.70412466649191</v>
      </c>
      <c r="I79" s="35">
        <f>GDP!I79/Population!I79</f>
        <v>621.2208313954219</v>
      </c>
      <c r="J79" s="11">
        <f>GDP!J79/Population!J79</f>
        <v>675.13532152710968</v>
      </c>
      <c r="K79" s="11">
        <f>GDP!K79/Population!K79</f>
        <v>711.22584430705854</v>
      </c>
      <c r="L79" s="11">
        <f>GDP!L79/Population!L79</f>
        <v>780.6258906044061</v>
      </c>
      <c r="M79" s="11">
        <f>GDP!M79/Population!M79</f>
        <v>834.55278784886627</v>
      </c>
      <c r="N79" s="11">
        <f>GDP!N79/Population!N79</f>
        <v>897.12979751577654</v>
      </c>
      <c r="O79" s="11">
        <f>GDP!O79/Population!O79</f>
        <v>917.35625235272562</v>
      </c>
      <c r="P79" s="11">
        <f>GDP!P79/Population!P79</f>
        <v>1225.0889843642187</v>
      </c>
      <c r="Q79" s="11">
        <f>GDP!Q79/Population!Q79</f>
        <v>1499.1410648348399</v>
      </c>
      <c r="R79" s="11">
        <f>GDP!R79/Population!R79</f>
        <v>1512.7706754162739</v>
      </c>
      <c r="S79" s="11">
        <f>GDP!S79/Population!S79</f>
        <v>1416.7089720712495</v>
      </c>
      <c r="T79" s="11">
        <f>GDP!T79/Population!T79</f>
        <v>1535.1189572322887</v>
      </c>
      <c r="U79" s="11">
        <f>GDP!U79/Population!U79</f>
        <v>1722.2268287028201</v>
      </c>
      <c r="V79" s="11">
        <f>GDP!V79/Population!V79</f>
        <v>2071.5512507851995</v>
      </c>
      <c r="W79" s="11">
        <f>GDP!W79/Population!W79</f>
        <v>2905.8080791215589</v>
      </c>
      <c r="X79" s="11">
        <f>GDP!X79/Population!X79</f>
        <v>2913.2417086169949</v>
      </c>
      <c r="Y79" s="11">
        <f>GDP!Y79/Population!Y79</f>
        <v>2601.0577482629778</v>
      </c>
      <c r="Z79" s="11">
        <f>GDP!Z79/Population!Z79</f>
        <v>2820.4340035177406</v>
      </c>
      <c r="AA79" s="11">
        <f>GDP!AA79/Population!AA79</f>
        <v>2429.0273003937741</v>
      </c>
      <c r="AB79" s="11">
        <f>GDP!AB79/Population!AB79</f>
        <v>1807.9765328511626</v>
      </c>
      <c r="AC79" s="11">
        <f>GDP!AC79/Population!AC79</f>
        <v>2015.8137776170686</v>
      </c>
      <c r="AD79" s="11">
        <f>GDP!AD79/Population!AD79</f>
        <v>2582.494620285052</v>
      </c>
      <c r="AE79" s="11">
        <f>GDP!AE79/Population!AE79</f>
        <v>2711.514997389811</v>
      </c>
      <c r="AF79" s="11">
        <f>GDP!AF79/Population!AF79</f>
        <v>2756.2128438013774</v>
      </c>
      <c r="AG79" s="11">
        <f>GDP!AG79/Population!AG79</f>
        <v>3139.9660600337365</v>
      </c>
      <c r="AH79" s="11">
        <f>GDP!AH79/Population!AH79</f>
        <v>3285.9544017023591</v>
      </c>
      <c r="AI79" s="11">
        <f>GDP!AI79/Population!AI79</f>
        <v>3479.0662223763134</v>
      </c>
      <c r="AJ79" s="11">
        <f>GDP!AJ79/Population!AJ79</f>
        <v>3388.7292071666593</v>
      </c>
      <c r="AK79" s="11">
        <f>GDP!AK79/Population!AK79</f>
        <v>3445.2301305145493</v>
      </c>
      <c r="AL79" s="11">
        <f>GDP!AL79/Population!AL79</f>
        <v>3751.8541348825265</v>
      </c>
      <c r="AM79" s="11">
        <f>GDP!AM79/Population!AM79</f>
        <v>3494.3833834284083</v>
      </c>
      <c r="AN79" s="11">
        <f>GDP!AN79/Population!AN79</f>
        <v>3549.5797995043204</v>
      </c>
      <c r="AO79" s="11">
        <f>GDP!AO79/Population!AO79</f>
        <v>3154.0208756598217</v>
      </c>
      <c r="AP79" s="11">
        <f>GDP!AP79/Population!AP79</f>
        <v>3081.5698413551877</v>
      </c>
      <c r="AQ79" s="11">
        <f>GDP!AQ79/Population!AQ79</f>
        <v>3032.4270890568851</v>
      </c>
      <c r="AR79" s="11">
        <f>GDP!AR79/Population!AR79</f>
        <v>2666.4749613309018</v>
      </c>
      <c r="AS79" s="11">
        <f>GDP!AS79/Population!AS79</f>
        <v>2502.2770958025703</v>
      </c>
      <c r="AT79" s="11">
        <f>GDP!AT79/Population!AT79</f>
        <v>3751.2827034095362</v>
      </c>
      <c r="AU79" s="11">
        <f>GDP!AU79/Population!AU79</f>
        <v>4833.6277073090851</v>
      </c>
      <c r="AV79" s="11">
        <f>GDP!AV79/Population!AV79</f>
        <v>5383.656763532621</v>
      </c>
      <c r="AW79" s="11">
        <f>GDP!AW79/Population!AW79</f>
        <v>5602.0108049873106</v>
      </c>
      <c r="AX79" s="11">
        <f>GDP!AX79/Population!AX79</f>
        <v>6095.6222678612439</v>
      </c>
      <c r="AY79" s="11">
        <f>GDP!AY79/Population!AY79</f>
        <v>5760.8051794522853</v>
      </c>
      <c r="AZ79" s="11">
        <f>GDP!AZ79/Population!AZ79</f>
        <v>5862.7973367361765</v>
      </c>
      <c r="BA79" s="11">
        <f>GDP!BA79/Population!BA79</f>
        <v>7328.6156635133621</v>
      </c>
      <c r="BB79" s="11">
        <f>GDP!BB79/Population!BB79</f>
        <v>8007.4131307772768</v>
      </c>
      <c r="BC79" s="11">
        <f>GDP!BC79/Population!BC79</f>
        <v>7501.4699917878643</v>
      </c>
      <c r="BD79" s="11">
        <f>GDP!BD79/Population!BD79</f>
        <v>6832.4571457861684</v>
      </c>
      <c r="BE79" s="11">
        <f>GDP!BE79/Population!BE79</f>
        <v>6433.1872843012916</v>
      </c>
      <c r="BF79" s="11">
        <f>GDP!BF79/Population!BF79</f>
        <v>5734.6334555102076</v>
      </c>
      <c r="BG79" s="11">
        <f>GDP!BG79/Population!BG79</f>
        <v>5272.9185122049712</v>
      </c>
      <c r="BH79" s="11">
        <f>GDP!BH79/Population!BH79</f>
        <v>6132.4796961259181</v>
      </c>
      <c r="BI79" s="11">
        <f>GDP!BI79/Population!BI79</f>
        <v>6374.0276961303871</v>
      </c>
      <c r="BJ79" s="11">
        <f>GDP!BJ79/Population!BJ79</f>
        <v>6001.4007145566047</v>
      </c>
      <c r="BK79" s="11"/>
    </row>
    <row r="80" spans="1:63" x14ac:dyDescent="0.45">
      <c r="A80" t="str">
        <f>GDP!A80</f>
        <v>South</v>
      </c>
      <c r="B80" t="str">
        <f>GDP!B80</f>
        <v>Sudan (Former)</v>
      </c>
      <c r="C80" s="11">
        <f>GDP!C80/Population!C80</f>
        <v>173.28317788436621</v>
      </c>
      <c r="D80" s="11">
        <f>GDP!D80/Population!D80</f>
        <v>182.68056686404577</v>
      </c>
      <c r="E80" s="11">
        <f>GDP!E80/Population!E80</f>
        <v>192.60911822797283</v>
      </c>
      <c r="F80" s="11">
        <f>GDP!F80/Population!F80</f>
        <v>190.12838600273591</v>
      </c>
      <c r="G80" s="11">
        <f>GDP!G80/Population!G80</f>
        <v>189.47959935061101</v>
      </c>
      <c r="H80" s="35">
        <f>GDP!H80/Population!H80</f>
        <v>191.48401391683581</v>
      </c>
      <c r="I80" s="35">
        <f>GDP!I80/Population!I80</f>
        <v>190.43308261302917</v>
      </c>
      <c r="J80" s="11">
        <f>GDP!J80/Population!J80</f>
        <v>199.80030193869834</v>
      </c>
      <c r="K80" s="11">
        <f>GDP!K80/Population!K80</f>
        <v>202.00888977410415</v>
      </c>
      <c r="L80" s="11">
        <f>GDP!L80/Population!L80</f>
        <v>215.41541005443818</v>
      </c>
      <c r="M80" s="11">
        <f>GDP!M80/Population!M80</f>
        <v>237.08789013489988</v>
      </c>
      <c r="N80" s="11">
        <f>GDP!N80/Population!N80</f>
        <v>250.05950211044194</v>
      </c>
      <c r="O80" s="11">
        <f>GDP!O80/Population!O80</f>
        <v>262.60584391881559</v>
      </c>
      <c r="P80" s="11">
        <f>GDP!P80/Population!P80</f>
        <v>314.8527844769086</v>
      </c>
      <c r="Q80" s="11">
        <f>GDP!Q80/Population!Q80</f>
        <v>391.63182958636691</v>
      </c>
      <c r="R80" s="11">
        <f>GDP!R80/Population!R80</f>
        <v>460.96326564222153</v>
      </c>
      <c r="S80" s="11">
        <f>GDP!S80/Population!S80</f>
        <v>554.86621795589861</v>
      </c>
      <c r="T80" s="11">
        <f>GDP!T80/Population!T80</f>
        <v>667.75990870470002</v>
      </c>
      <c r="U80" s="11">
        <f>GDP!U80/Population!U80</f>
        <v>567.74691477045758</v>
      </c>
      <c r="V80" s="11">
        <f>GDP!V80/Population!V80</f>
        <v>645.05462908494405</v>
      </c>
      <c r="W80" s="11">
        <f>GDP!W80/Population!W80</f>
        <v>514.206431060196</v>
      </c>
      <c r="X80" s="11">
        <f>GDP!X80/Population!X80</f>
        <v>666.55582658914</v>
      </c>
      <c r="Y80" s="11">
        <f>GDP!Y80/Population!Y80</f>
        <v>593.74927987019771</v>
      </c>
      <c r="Z80" s="11">
        <f>GDP!Z80/Population!Z80</f>
        <v>510.94784505718411</v>
      </c>
      <c r="AA80" s="11">
        <f>GDP!AA80/Population!AA80</f>
        <v>582.38572732709929</v>
      </c>
      <c r="AB80" s="11">
        <f>GDP!AB80/Population!AB80</f>
        <v>720.7203956168288</v>
      </c>
      <c r="AC80" s="11">
        <f>GDP!AC80/Population!AC80</f>
        <v>888.0230609142327</v>
      </c>
      <c r="AD80" s="11">
        <f>GDP!AD80/Population!AD80</f>
        <v>1101.1897350858058</v>
      </c>
      <c r="AE80" s="11">
        <f>GDP!AE80/Population!AE80</f>
        <v>816.17161816366297</v>
      </c>
      <c r="AF80" s="11">
        <f>GDP!AF80/Population!AF80</f>
        <v>785.12009417636955</v>
      </c>
      <c r="AG80" s="11">
        <f>GDP!AG80/Population!AG80</f>
        <v>615.88744261720637</v>
      </c>
      <c r="AH80" s="11">
        <f>GDP!AH80/Population!AH80</f>
        <v>544.68349371800127</v>
      </c>
      <c r="AI80" s="11">
        <f>GDP!AI80/Population!AI80</f>
        <v>324.21369892410871</v>
      </c>
      <c r="AJ80" s="11">
        <f>GDP!AJ80/Population!AJ80</f>
        <v>394.25831422585946</v>
      </c>
      <c r="AK80" s="11">
        <f>GDP!AK80/Population!AK80</f>
        <v>548.20196701890916</v>
      </c>
      <c r="AL80" s="11">
        <f>GDP!AL80/Population!AL80</f>
        <v>573.97340864490468</v>
      </c>
      <c r="AM80" s="11">
        <f>GDP!AM80/Population!AM80</f>
        <v>363.89731803042031</v>
      </c>
      <c r="AN80" s="11">
        <f>GDP!AN80/Population!AN80</f>
        <v>459.649549483047</v>
      </c>
      <c r="AO80" s="11">
        <f>GDP!AO80/Population!AO80</f>
        <v>432.44676839056069</v>
      </c>
      <c r="AP80" s="11">
        <f>GDP!AP80/Population!AP80</f>
        <v>401.18068151602239</v>
      </c>
      <c r="AQ80" s="11">
        <f>GDP!AQ80/Population!AQ80</f>
        <v>449.40095507185038</v>
      </c>
      <c r="AR80" s="11">
        <f>GDP!AR80/Population!AR80</f>
        <v>471.30747734392253</v>
      </c>
      <c r="AS80" s="11">
        <f>GDP!AS80/Population!AS80</f>
        <v>515.70469334408369</v>
      </c>
      <c r="AT80" s="11">
        <f>GDP!AT80/Population!AT80</f>
        <v>598.98820305955223</v>
      </c>
      <c r="AU80" s="11">
        <f>GDP!AU80/Population!AU80</f>
        <v>710.17849625103327</v>
      </c>
      <c r="AV80" s="11">
        <f>GDP!AV80/Population!AV80</f>
        <v>857.02596706197278</v>
      </c>
      <c r="AW80" s="11">
        <f>GDP!AW80/Population!AW80</f>
        <v>1131.4069486331553</v>
      </c>
      <c r="AX80" s="11">
        <f>GDP!AX80/Population!AX80</f>
        <v>1418.35813430027</v>
      </c>
      <c r="AY80" s="11">
        <f>GDP!AY80/Population!AY80</f>
        <v>1649.2800934616414</v>
      </c>
      <c r="AZ80" s="11">
        <f>GDP!AZ80/Population!AZ80</f>
        <v>1478.733052906915</v>
      </c>
      <c r="BA80" s="11">
        <f>GDP!BA80/Population!BA80</f>
        <v>1787.2280638374073</v>
      </c>
      <c r="BB80" s="11">
        <f>GDP!BB80/Population!BB80</f>
        <v>1637.6946937001976</v>
      </c>
      <c r="BC80" s="11">
        <f>GDP!BC80/Population!BC80</f>
        <v>1457.8945379129191</v>
      </c>
      <c r="BD80" s="11">
        <f>GDP!BD80/Population!BD80</f>
        <v>1557.2282380775944</v>
      </c>
      <c r="BE80" s="11">
        <f>GDP!BE80/Population!BE80</f>
        <v>1709.9996086119691</v>
      </c>
      <c r="BF80" s="11">
        <f>GDP!BF80/Population!BF80</f>
        <v>1909.7385876526798</v>
      </c>
      <c r="BG80" s="11">
        <f>GDP!BG80/Population!BG80</f>
        <v>1299.2611741180863</v>
      </c>
      <c r="BH80" s="11">
        <f>GDP!BH80/Population!BH80</f>
        <v>1111.8684988624814</v>
      </c>
      <c r="BI80" s="11">
        <f>GDP!BI80/Population!BI80</f>
        <v>623.86726304672277</v>
      </c>
      <c r="BJ80" s="11">
        <f>GDP!BJ80/Population!BJ80</f>
        <v>441.50557836781331</v>
      </c>
      <c r="BK80" s="11"/>
    </row>
    <row r="81" spans="1:63" x14ac:dyDescent="0.45">
      <c r="A81" t="str">
        <f>GDP!A81</f>
        <v>South</v>
      </c>
      <c r="B81" t="str">
        <f>GDP!B81</f>
        <v>Suriname</v>
      </c>
      <c r="C81" s="11">
        <f>GDP!C81/Population!C81</f>
        <v>346.16199617189642</v>
      </c>
      <c r="D81" s="11">
        <f>GDP!D81/Population!D81</f>
        <v>363.95463577501721</v>
      </c>
      <c r="E81" s="11">
        <f>GDP!E81/Population!E81</f>
        <v>382.20437980223431</v>
      </c>
      <c r="F81" s="11">
        <f>GDP!F81/Population!F81</f>
        <v>403.75448393477097</v>
      </c>
      <c r="G81" s="11">
        <f>GDP!G81/Population!G81</f>
        <v>419.6459237518344</v>
      </c>
      <c r="H81" s="35">
        <f>GDP!H81/Population!H81</f>
        <v>468.63219592869132</v>
      </c>
      <c r="I81" s="35">
        <f>GDP!I81/Population!I81</f>
        <v>562.90254851282532</v>
      </c>
      <c r="J81" s="11">
        <f>GDP!J81/Population!J81</f>
        <v>634.81562446067994</v>
      </c>
      <c r="K81" s="11">
        <f>GDP!K81/Population!K81</f>
        <v>676.90366007572572</v>
      </c>
      <c r="L81" s="11">
        <f>GDP!L81/Population!L81</f>
        <v>714.15801416489035</v>
      </c>
      <c r="M81" s="11">
        <f>GDP!M81/Population!M81</f>
        <v>747.15096037028684</v>
      </c>
      <c r="N81" s="11">
        <f>GDP!N81/Population!N81</f>
        <v>815.19678471221653</v>
      </c>
      <c r="O81" s="11">
        <f>GDP!O81/Population!O81</f>
        <v>847.90454109326538</v>
      </c>
      <c r="P81" s="11">
        <f>GDP!P81/Population!P81</f>
        <v>930.21658194374038</v>
      </c>
      <c r="Q81" s="11">
        <f>GDP!Q81/Population!Q81</f>
        <v>1133.2247177652371</v>
      </c>
      <c r="R81" s="11">
        <f>GDP!R81/Population!R81</f>
        <v>1295.8416150278654</v>
      </c>
      <c r="S81" s="11">
        <f>GDP!S81/Population!S81</f>
        <v>1412.1965732931419</v>
      </c>
      <c r="T81" s="11">
        <f>GDP!T81/Population!T81</f>
        <v>1793.6079673655634</v>
      </c>
      <c r="U81" s="11">
        <f>GDP!U81/Population!U81</f>
        <v>2053.9013848125796</v>
      </c>
      <c r="V81" s="11">
        <f>GDP!V81/Population!V81</f>
        <v>2180.7712210647182</v>
      </c>
      <c r="W81" s="11">
        <f>GDP!W81/Population!W81</f>
        <v>2211.2878596124265</v>
      </c>
      <c r="X81" s="11">
        <f>GDP!X81/Population!X81</f>
        <v>2468.463915722366</v>
      </c>
      <c r="Y81" s="11">
        <f>GDP!Y81/Population!Y81</f>
        <v>2535.1878532638812</v>
      </c>
      <c r="Z81" s="11">
        <f>GDP!Z81/Population!Z81</f>
        <v>2438.7484459362477</v>
      </c>
      <c r="AA81" s="11">
        <f>GDP!AA81/Population!AA81</f>
        <v>2368.8561221496275</v>
      </c>
      <c r="AB81" s="11">
        <f>GDP!AB81/Population!AB81</f>
        <v>2368.1769106820243</v>
      </c>
      <c r="AC81" s="11">
        <f>GDP!AC81/Population!AC81</f>
        <v>2381.4614850056128</v>
      </c>
      <c r="AD81" s="11">
        <f>GDP!AD81/Population!AD81</f>
        <v>2571.9287103352167</v>
      </c>
      <c r="AE81" s="11">
        <f>GDP!AE81/Population!AE81</f>
        <v>2985.4889696333839</v>
      </c>
      <c r="AF81" s="11">
        <f>GDP!AF81/Population!AF81</f>
        <v>1366.4580631350971</v>
      </c>
      <c r="AG81" s="11">
        <f>GDP!AG81/Population!AG81</f>
        <v>958.61469810054098</v>
      </c>
      <c r="AH81" s="11">
        <f>GDP!AH81/Population!AH81</f>
        <v>1084.9747581748404</v>
      </c>
      <c r="AI81" s="11">
        <f>GDP!AI81/Population!AI81</f>
        <v>961.83333135229577</v>
      </c>
      <c r="AJ81" s="11">
        <f>GDP!AJ81/Population!AJ81</f>
        <v>1001.7164778169755</v>
      </c>
      <c r="AK81" s="11">
        <f>GDP!AK81/Population!AK81</f>
        <v>1391.6009790740165</v>
      </c>
      <c r="AL81" s="11">
        <f>GDP!AL81/Population!AL81</f>
        <v>1565.2120918590203</v>
      </c>
      <c r="AM81" s="11">
        <f>GDP!AM81/Population!AM81</f>
        <v>1921.8796777425018</v>
      </c>
      <c r="AN81" s="11">
        <f>GDP!AN81/Population!AN81</f>
        <v>2039.8548708497647</v>
      </c>
      <c r="AO81" s="11">
        <f>GDP!AO81/Population!AO81</f>
        <v>2415.7789448732251</v>
      </c>
      <c r="AP81" s="11">
        <f>GDP!AP81/Population!AP81</f>
        <v>1904.4246978308283</v>
      </c>
      <c r="AQ81" s="11">
        <f>GDP!AQ81/Population!AQ81</f>
        <v>2012.2603509084847</v>
      </c>
      <c r="AR81" s="11">
        <f>GDP!AR81/Population!AR81</f>
        <v>1750.5583754214936</v>
      </c>
      <c r="AS81" s="11">
        <f>GDP!AS81/Population!AS81</f>
        <v>2267.7211898763053</v>
      </c>
      <c r="AT81" s="11">
        <f>GDP!AT81/Population!AT81</f>
        <v>2611.3561365900046</v>
      </c>
      <c r="AU81" s="11">
        <f>GDP!AU81/Population!AU81</f>
        <v>3006.1893335547998</v>
      </c>
      <c r="AV81" s="11">
        <f>GDP!AV81/Population!AV81</f>
        <v>3590.6264956032869</v>
      </c>
      <c r="AW81" s="11">
        <f>GDP!AW81/Population!AW81</f>
        <v>5197.7172621933723</v>
      </c>
      <c r="AX81" s="11">
        <f>GDP!AX81/Population!AX81</f>
        <v>5744.7598717479723</v>
      </c>
      <c r="AY81" s="11">
        <f>GDP!AY81/Population!AY81</f>
        <v>6831.9702662616055</v>
      </c>
      <c r="AZ81" s="11">
        <f>GDP!AZ81/Population!AZ81</f>
        <v>7408.3892711107201</v>
      </c>
      <c r="BA81" s="11">
        <f>GDP!BA81/Population!BA81</f>
        <v>8255.7964360432488</v>
      </c>
      <c r="BB81" s="11">
        <f>GDP!BB81/Population!BB81</f>
        <v>8263.1728972923083</v>
      </c>
      <c r="BC81" s="11">
        <f>GDP!BC81/Population!BC81</f>
        <v>9201.0083123169734</v>
      </c>
      <c r="BD81" s="11">
        <f>GDP!BD81/Population!BD81</f>
        <v>9402.2333566603502</v>
      </c>
      <c r="BE81" s="11">
        <f>GDP!BE81/Population!BE81</f>
        <v>9472.0078659179107</v>
      </c>
      <c r="BF81" s="11">
        <f>GDP!BF81/Population!BF81</f>
        <v>8561.974192648393</v>
      </c>
      <c r="BG81" s="11">
        <f>GDP!BG81/Population!BG81</f>
        <v>5539.0689835861267</v>
      </c>
      <c r="BH81" s="11">
        <f>GDP!BH81/Population!BH81</f>
        <v>5626.7956024231544</v>
      </c>
      <c r="BI81" s="11">
        <f>GDP!BI81/Population!BI81</f>
        <v>6003.7231415074193</v>
      </c>
      <c r="BJ81" s="11">
        <f>GDP!BJ81/Population!BJ81</f>
        <v>6854.9066965729344</v>
      </c>
      <c r="BK81" s="11"/>
    </row>
    <row r="82" spans="1:63" x14ac:dyDescent="0.45">
      <c r="A82" t="str">
        <f>GDP!A82</f>
        <v>South</v>
      </c>
      <c r="B82" t="str">
        <f>GDP!B82</f>
        <v>Thailand</v>
      </c>
      <c r="C82" s="11">
        <f>GDP!C82/Population!C82</f>
        <v>100.76747674434563</v>
      </c>
      <c r="D82" s="11">
        <f>GDP!D82/Population!D82</f>
        <v>107.49799597423316</v>
      </c>
      <c r="E82" s="11">
        <f>GDP!E82/Population!E82</f>
        <v>113.78288059346642</v>
      </c>
      <c r="F82" s="11">
        <f>GDP!F82/Population!F82</f>
        <v>118.14394245590729</v>
      </c>
      <c r="G82" s="11">
        <f>GDP!G82/Population!G82</f>
        <v>125.93868736314057</v>
      </c>
      <c r="H82" s="35">
        <f>GDP!H82/Population!H82</f>
        <v>137.91863181770475</v>
      </c>
      <c r="I82" s="35">
        <f>GDP!I82/Population!I82</f>
        <v>161.0055215249688</v>
      </c>
      <c r="J82" s="11">
        <f>GDP!J82/Population!J82</f>
        <v>166.92308311722147</v>
      </c>
      <c r="K82" s="11">
        <f>GDP!K82/Population!K82</f>
        <v>174.78481077856924</v>
      </c>
      <c r="L82" s="11">
        <f>GDP!L82/Population!L82</f>
        <v>186.879148550488</v>
      </c>
      <c r="M82" s="11">
        <f>GDP!M82/Population!M82</f>
        <v>192.12762334871178</v>
      </c>
      <c r="N82" s="11">
        <f>GDP!N82/Population!N82</f>
        <v>194.26667200515868</v>
      </c>
      <c r="O82" s="11">
        <f>GDP!O82/Population!O82</f>
        <v>209.37473013628443</v>
      </c>
      <c r="P82" s="11">
        <f>GDP!P82/Population!P82</f>
        <v>269.88793987507438</v>
      </c>
      <c r="Q82" s="11">
        <f>GDP!Q82/Population!Q82</f>
        <v>332.17522639451778</v>
      </c>
      <c r="R82" s="11">
        <f>GDP!R82/Population!R82</f>
        <v>351.61930517357621</v>
      </c>
      <c r="S82" s="11">
        <f>GDP!S82/Population!S82</f>
        <v>391.56936563461159</v>
      </c>
      <c r="T82" s="11">
        <f>GDP!T82/Population!T82</f>
        <v>445.42085466833419</v>
      </c>
      <c r="U82" s="11">
        <f>GDP!U82/Population!U82</f>
        <v>528.62677413643826</v>
      </c>
      <c r="V82" s="11">
        <f>GDP!V82/Population!V82</f>
        <v>589.88501503132898</v>
      </c>
      <c r="W82" s="11">
        <f>GDP!W82/Population!W82</f>
        <v>682.92982228910114</v>
      </c>
      <c r="X82" s="11">
        <f>GDP!X82/Population!X82</f>
        <v>721.05933799321417</v>
      </c>
      <c r="Y82" s="11">
        <f>GDP!Y82/Population!Y82</f>
        <v>742.85105694952279</v>
      </c>
      <c r="Z82" s="11">
        <f>GDP!Z82/Population!Z82</f>
        <v>798.08044864101123</v>
      </c>
      <c r="AA82" s="11">
        <f>GDP!AA82/Population!AA82</f>
        <v>818.03892790172199</v>
      </c>
      <c r="AB82" s="11">
        <f>GDP!AB82/Population!AB82</f>
        <v>747.70341773198095</v>
      </c>
      <c r="AC82" s="11">
        <f>GDP!AC82/Population!AC82</f>
        <v>813.45167875875495</v>
      </c>
      <c r="AD82" s="11">
        <f>GDP!AD82/Population!AD82</f>
        <v>936.78035067738256</v>
      </c>
      <c r="AE82" s="11">
        <f>GDP!AE82/Population!AE82</f>
        <v>1123.4376643969779</v>
      </c>
      <c r="AF82" s="11">
        <f>GDP!AF82/Population!AF82</f>
        <v>1295.4647182444119</v>
      </c>
      <c r="AG82" s="11">
        <f>GDP!AG82/Population!AG82</f>
        <v>1508.9427193772699</v>
      </c>
      <c r="AH82" s="11">
        <f>GDP!AH82/Population!AH82</f>
        <v>1716.4156287242849</v>
      </c>
      <c r="AI82" s="11">
        <f>GDP!AI82/Population!AI82</f>
        <v>1927.8828275993055</v>
      </c>
      <c r="AJ82" s="11">
        <f>GDP!AJ82/Population!AJ82</f>
        <v>2209.3630063211876</v>
      </c>
      <c r="AK82" s="11">
        <f>GDP!AK82/Population!AK82</f>
        <v>2491.4280543062664</v>
      </c>
      <c r="AL82" s="11">
        <f>GDP!AL82/Population!AL82</f>
        <v>2846.5867867623051</v>
      </c>
      <c r="AM82" s="11">
        <f>GDP!AM82/Population!AM82</f>
        <v>3043.9806664819121</v>
      </c>
      <c r="AN82" s="11">
        <f>GDP!AN82/Population!AN82</f>
        <v>2468.1850082496003</v>
      </c>
      <c r="AO82" s="11">
        <f>GDP!AO82/Population!AO82</f>
        <v>1845.8288048356628</v>
      </c>
      <c r="AP82" s="11">
        <f>GDP!AP82/Population!AP82</f>
        <v>2033.2578753811565</v>
      </c>
      <c r="AQ82" s="11">
        <f>GDP!AQ82/Population!AQ82</f>
        <v>2007.7351781910972</v>
      </c>
      <c r="AR82" s="11">
        <f>GDP!AR82/Population!AR82</f>
        <v>1893.2640031516924</v>
      </c>
      <c r="AS82" s="11">
        <f>GDP!AS82/Population!AS82</f>
        <v>2096.1879810744304</v>
      </c>
      <c r="AT82" s="11">
        <f>GDP!AT82/Population!AT82</f>
        <v>2359.1169518188294</v>
      </c>
      <c r="AU82" s="11">
        <f>GDP!AU82/Population!AU82</f>
        <v>2660.1269337321314</v>
      </c>
      <c r="AV82" s="11">
        <f>GDP!AV82/Population!AV82</f>
        <v>2894.0626348939809</v>
      </c>
      <c r="AW82" s="11">
        <f>GDP!AW82/Population!AW82</f>
        <v>3369.5433597027777</v>
      </c>
      <c r="AX82" s="11">
        <f>GDP!AX82/Population!AX82</f>
        <v>3973.0168939417244</v>
      </c>
      <c r="AY82" s="11">
        <f>GDP!AY82/Population!AY82</f>
        <v>4379.6584265761048</v>
      </c>
      <c r="AZ82" s="11">
        <f>GDP!AZ82/Population!AZ82</f>
        <v>4213.006449235525</v>
      </c>
      <c r="BA82" s="11">
        <f>GDP!BA82/Population!BA82</f>
        <v>5076.3404775925073</v>
      </c>
      <c r="BB82" s="11">
        <f>GDP!BB82/Population!BB82</f>
        <v>5492.1210427074202</v>
      </c>
      <c r="BC82" s="11">
        <f>GDP!BC82/Population!BC82</f>
        <v>5860.5821860853739</v>
      </c>
      <c r="BD82" s="11">
        <f>GDP!BD82/Population!BD82</f>
        <v>6168.2625376215228</v>
      </c>
      <c r="BE82" s="11">
        <f>GDP!BE82/Population!BE82</f>
        <v>5951.8839749330236</v>
      </c>
      <c r="BF82" s="11">
        <f>GDP!BF82/Population!BF82</f>
        <v>5840.0463273318455</v>
      </c>
      <c r="BG82" s="11">
        <f>GDP!BG82/Population!BG82</f>
        <v>5994.2316965101791</v>
      </c>
      <c r="BH82" s="11">
        <f>GDP!BH82/Population!BH82</f>
        <v>6592.9149587018355</v>
      </c>
      <c r="BI82" s="11">
        <f>GDP!BI82/Population!BI82</f>
        <v>7295.4753197705704</v>
      </c>
      <c r="BJ82" s="11">
        <f>GDP!BJ82/Population!BJ82</f>
        <v>7808.1928707125817</v>
      </c>
      <c r="BK82" s="11"/>
    </row>
    <row r="83" spans="1:63" x14ac:dyDescent="0.45">
      <c r="A83" t="str">
        <f>GDP!A83</f>
        <v>South</v>
      </c>
      <c r="B83" t="str">
        <f>GDP!B83</f>
        <v>Togo</v>
      </c>
      <c r="C83" s="11">
        <f>GDP!C83/Population!C83</f>
        <v>76.638453464160051</v>
      </c>
      <c r="D83" s="11">
        <f>GDP!D83/Population!D83</f>
        <v>79.120134507982968</v>
      </c>
      <c r="E83" s="11">
        <f>GDP!E83/Population!E83</f>
        <v>81.994748117351989</v>
      </c>
      <c r="F83" s="11">
        <f>GDP!F83/Population!F83</f>
        <v>87.791979722557926</v>
      </c>
      <c r="G83" s="11">
        <f>GDP!G83/Population!G83</f>
        <v>99.937887204713633</v>
      </c>
      <c r="H83" s="35">
        <f>GDP!H83/Population!H83</f>
        <v>109.62018459233421</v>
      </c>
      <c r="I83" s="35">
        <f>GDP!I83/Population!I83</f>
        <v>121.83355289005986</v>
      </c>
      <c r="J83" s="11">
        <f>GDP!J83/Population!J83</f>
        <v>124.87939800866856</v>
      </c>
      <c r="K83" s="11">
        <f>GDP!K83/Population!K83</f>
        <v>124.34957292191307</v>
      </c>
      <c r="L83" s="11">
        <f>GDP!L83/Population!L83</f>
        <v>131.56986928640964</v>
      </c>
      <c r="M83" s="11">
        <f>GDP!M83/Population!M83</f>
        <v>120.05387984620344</v>
      </c>
      <c r="N83" s="11">
        <f>GDP!N83/Population!N83</f>
        <v>131.09874079340722</v>
      </c>
      <c r="O83" s="11">
        <f>GDP!O83/Population!O83</f>
        <v>149.35056073593756</v>
      </c>
      <c r="P83" s="11">
        <f>GDP!P83/Population!P83</f>
        <v>176.47373884502755</v>
      </c>
      <c r="Q83" s="11">
        <f>GDP!Q83/Population!Q83</f>
        <v>237.81402363213107</v>
      </c>
      <c r="R83" s="11">
        <f>GDP!R83/Population!R83</f>
        <v>256.10267311526582</v>
      </c>
      <c r="S83" s="11">
        <f>GDP!S83/Population!S83</f>
        <v>251.3266204705929</v>
      </c>
      <c r="T83" s="11">
        <f>GDP!T83/Population!T83</f>
        <v>308.6949699756637</v>
      </c>
      <c r="U83" s="11">
        <f>GDP!U83/Population!U83</f>
        <v>319.94194446902759</v>
      </c>
      <c r="V83" s="11">
        <f>GDP!V83/Population!V83</f>
        <v>337.44930782806648</v>
      </c>
      <c r="W83" s="11">
        <f>GDP!W83/Population!W83</f>
        <v>417.66853239019287</v>
      </c>
      <c r="X83" s="11">
        <f>GDP!X83/Population!X83</f>
        <v>342.19130699457776</v>
      </c>
      <c r="Y83" s="11">
        <f>GDP!Y83/Population!Y83</f>
        <v>281.8103538869949</v>
      </c>
      <c r="Z83" s="11">
        <f>GDP!Z83/Population!Z83</f>
        <v>252.97436085488704</v>
      </c>
      <c r="AA83" s="11">
        <f>GDP!AA83/Population!AA83</f>
        <v>228.64824572742504</v>
      </c>
      <c r="AB83" s="11">
        <f>GDP!AB83/Population!AB83</f>
        <v>234.35633265846786</v>
      </c>
      <c r="AC83" s="11">
        <f>GDP!AC83/Population!AC83</f>
        <v>315.46193713905444</v>
      </c>
      <c r="AD83" s="11">
        <f>GDP!AD83/Population!AD83</f>
        <v>359.7906225093534</v>
      </c>
      <c r="AE83" s="11">
        <f>GDP!AE83/Population!AE83</f>
        <v>385.42552665740129</v>
      </c>
      <c r="AF83" s="11">
        <f>GDP!AF83/Population!AF83</f>
        <v>367.79257575028538</v>
      </c>
      <c r="AG83" s="11">
        <f>GDP!AG83/Population!AG83</f>
        <v>431.4501609829818</v>
      </c>
      <c r="AH83" s="11">
        <f>GDP!AH83/Population!AH83</f>
        <v>414.78209222281589</v>
      </c>
      <c r="AI83" s="11">
        <f>GDP!AI83/Population!AI83</f>
        <v>429.04203319644034</v>
      </c>
      <c r="AJ83" s="11">
        <f>GDP!AJ83/Population!AJ83</f>
        <v>306.150559945476</v>
      </c>
      <c r="AK83" s="11">
        <f>GDP!AK83/Population!AK83</f>
        <v>238.46539449441539</v>
      </c>
      <c r="AL83" s="11">
        <f>GDP!AL83/Population!AL83</f>
        <v>309.81844648179691</v>
      </c>
      <c r="AM83" s="11">
        <f>GDP!AM83/Population!AM83</f>
        <v>336.97724317369943</v>
      </c>
      <c r="AN83" s="11">
        <f>GDP!AN83/Population!AN83</f>
        <v>334.14339835633513</v>
      </c>
      <c r="AO83" s="11">
        <f>GDP!AO83/Population!AO83</f>
        <v>342.65826736026713</v>
      </c>
      <c r="AP83" s="11">
        <f>GDP!AP83/Population!AP83</f>
        <v>329.69600171364692</v>
      </c>
      <c r="AQ83" s="11">
        <f>GDP!AQ83/Population!AQ83</f>
        <v>302.20638526261666</v>
      </c>
      <c r="AR83" s="11">
        <f>GDP!AR83/Population!AR83</f>
        <v>292.56736513314291</v>
      </c>
      <c r="AS83" s="11">
        <f>GDP!AS83/Population!AS83</f>
        <v>326.85559428065756</v>
      </c>
      <c r="AT83" s="11">
        <f>GDP!AT83/Population!AT83</f>
        <v>396.0300534326185</v>
      </c>
      <c r="AU83" s="11">
        <f>GDP!AU83/Population!AU83</f>
        <v>412.58937269810008</v>
      </c>
      <c r="AV83" s="11">
        <f>GDP!AV83/Population!AV83</f>
        <v>406.40093519897925</v>
      </c>
      <c r="AW83" s="11">
        <f>GDP!AW83/Population!AW83</f>
        <v>407.69468599033814</v>
      </c>
      <c r="AX83" s="11">
        <f>GDP!AX83/Population!AX83</f>
        <v>449.14422250407449</v>
      </c>
      <c r="AY83" s="11">
        <f>GDP!AY83/Population!AY83</f>
        <v>544.1475170216753</v>
      </c>
      <c r="AZ83" s="11">
        <f>GDP!AZ83/Population!AZ83</f>
        <v>538.44196367365316</v>
      </c>
      <c r="BA83" s="11">
        <f>GDP!BA83/Population!BA83</f>
        <v>534.04436814733344</v>
      </c>
      <c r="BB83" s="11">
        <f>GDP!BB83/Population!BB83</f>
        <v>587.09713895344453</v>
      </c>
      <c r="BC83" s="11">
        <f>GDP!BC83/Population!BC83</f>
        <v>571.80672788581069</v>
      </c>
      <c r="BD83" s="11">
        <f>GDP!BD83/Population!BD83</f>
        <v>621.39887538263577</v>
      </c>
      <c r="BE83" s="11">
        <f>GDP!BE83/Population!BE83</f>
        <v>640.9342497622232</v>
      </c>
      <c r="BF83" s="11">
        <f>GDP!BF83/Population!BF83</f>
        <v>570.91029635029042</v>
      </c>
      <c r="BG83" s="11">
        <f>GDP!BG83/Population!BG83</f>
        <v>597.4710719855467</v>
      </c>
      <c r="BH83" s="11">
        <f>GDP!BH83/Population!BH83</f>
        <v>626.09154150659708</v>
      </c>
      <c r="BI83" s="11">
        <f>GDP!BI83/Population!BI83</f>
        <v>678.95563571685159</v>
      </c>
      <c r="BJ83" s="11">
        <f>GDP!BJ83/Population!BJ83</f>
        <v>675.54219445147623</v>
      </c>
      <c r="BK83" s="11"/>
    </row>
    <row r="84" spans="1:63" x14ac:dyDescent="0.45">
      <c r="A84" t="str">
        <f>GDP!A84</f>
        <v>South</v>
      </c>
      <c r="B84" t="str">
        <f>GDP!B84</f>
        <v>Trinidad and Tobago</v>
      </c>
      <c r="C84" s="11">
        <f>GDP!C84/Population!C84</f>
        <v>631.70209639625511</v>
      </c>
      <c r="D84" s="11">
        <f>GDP!D84/Population!D84</f>
        <v>676.39805831978515</v>
      </c>
      <c r="E84" s="11">
        <f>GDP!E84/Population!E84</f>
        <v>704.21912100982331</v>
      </c>
      <c r="F84" s="11">
        <f>GDP!F84/Population!F84</f>
        <v>760.40131667458945</v>
      </c>
      <c r="G84" s="11">
        <f>GDP!G84/Population!G84</f>
        <v>788.70277294920413</v>
      </c>
      <c r="H84" s="35">
        <f>GDP!H84/Population!H84</f>
        <v>807.87423566225789</v>
      </c>
      <c r="I84" s="35">
        <f>GDP!I84/Population!I84</f>
        <v>787.33924198529837</v>
      </c>
      <c r="J84" s="11">
        <f>GDP!J84/Population!J84</f>
        <v>823.55456073321909</v>
      </c>
      <c r="K84" s="11">
        <f>GDP!K84/Population!K84</f>
        <v>815.32450002417283</v>
      </c>
      <c r="L84" s="11">
        <f>GDP!L84/Population!L84</f>
        <v>831.42513865977514</v>
      </c>
      <c r="M84" s="11">
        <f>GDP!M84/Population!M84</f>
        <v>869.35134128797495</v>
      </c>
      <c r="N84" s="11">
        <f>GDP!N84/Population!N84</f>
        <v>938.28171439751986</v>
      </c>
      <c r="O84" s="11">
        <f>GDP!O84/Population!O84</f>
        <v>1119.0380194518125</v>
      </c>
      <c r="P84" s="11">
        <f>GDP!P84/Population!P84</f>
        <v>1332.7761305893016</v>
      </c>
      <c r="Q84" s="11">
        <f>GDP!Q84/Population!Q84</f>
        <v>2049.2184812136161</v>
      </c>
      <c r="R84" s="11">
        <f>GDP!R84/Population!R84</f>
        <v>2416.2434812886277</v>
      </c>
      <c r="S84" s="11">
        <f>GDP!S84/Population!S84</f>
        <v>2439.1703734341877</v>
      </c>
      <c r="T84" s="11">
        <f>GDP!T84/Population!T84</f>
        <v>3020.2372105018035</v>
      </c>
      <c r="U84" s="11">
        <f>GDP!U84/Population!U84</f>
        <v>3381.2409378505977</v>
      </c>
      <c r="V84" s="11">
        <f>GDP!V84/Population!V84</f>
        <v>4306.7980236562362</v>
      </c>
      <c r="W84" s="11">
        <f>GDP!W84/Population!W84</f>
        <v>5748.6682055858337</v>
      </c>
      <c r="X84" s="11">
        <f>GDP!X84/Population!X84</f>
        <v>6345.0011987480748</v>
      </c>
      <c r="Y84" s="11">
        <f>GDP!Y84/Population!Y84</f>
        <v>7268.0992410849803</v>
      </c>
      <c r="Z84" s="11">
        <f>GDP!Z84/Population!Z84</f>
        <v>6821.8502079395748</v>
      </c>
      <c r="AA84" s="11">
        <f>GDP!AA84/Population!AA84</f>
        <v>6715.6590279064376</v>
      </c>
      <c r="AB84" s="11">
        <f>GDP!AB84/Population!AB84</f>
        <v>6302.6686593436643</v>
      </c>
      <c r="AC84" s="11">
        <f>GDP!AC84/Population!AC84</f>
        <v>4051.4798598253647</v>
      </c>
      <c r="AD84" s="11">
        <f>GDP!AD84/Population!AD84</f>
        <v>4016.4196289620868</v>
      </c>
      <c r="AE84" s="11">
        <f>GDP!AE84/Population!AE84</f>
        <v>3734.4523229190977</v>
      </c>
      <c r="AF84" s="11">
        <f>GDP!AF84/Population!AF84</f>
        <v>3564.3597621154017</v>
      </c>
      <c r="AG84" s="11">
        <f>GDP!AG84/Population!AG84</f>
        <v>4150.3020646687128</v>
      </c>
      <c r="AH84" s="11">
        <f>GDP!AH84/Population!AH84</f>
        <v>4318.5201305342189</v>
      </c>
      <c r="AI84" s="11">
        <f>GDP!AI84/Population!AI84</f>
        <v>4398.5023033388507</v>
      </c>
      <c r="AJ84" s="11">
        <f>GDP!AJ84/Population!AJ84</f>
        <v>3754.7672593469365</v>
      </c>
      <c r="AK84" s="11">
        <f>GDP!AK84/Population!AK84</f>
        <v>3959.2848709904601</v>
      </c>
      <c r="AL84" s="11">
        <f>GDP!AL84/Population!AL84</f>
        <v>4249.0942050709618</v>
      </c>
      <c r="AM84" s="11">
        <f>GDP!AM84/Population!AM84</f>
        <v>4579.9707717154561</v>
      </c>
      <c r="AN84" s="11">
        <f>GDP!AN84/Population!AN84</f>
        <v>4554.3204831058983</v>
      </c>
      <c r="AO84" s="11">
        <f>GDP!AO84/Population!AO84</f>
        <v>4790.1387260788069</v>
      </c>
      <c r="AP84" s="11">
        <f>GDP!AP84/Population!AP84</f>
        <v>5387.1388182759683</v>
      </c>
      <c r="AQ84" s="11">
        <f>GDP!AQ84/Population!AQ84</f>
        <v>6435.1647385911565</v>
      </c>
      <c r="AR84" s="11">
        <f>GDP!AR84/Population!AR84</f>
        <v>6939.80094870214</v>
      </c>
      <c r="AS84" s="11">
        <f>GDP!AS84/Population!AS84</f>
        <v>7053.0705591001661</v>
      </c>
      <c r="AT84" s="11">
        <f>GDP!AT84/Population!AT84</f>
        <v>8807.9003084392698</v>
      </c>
      <c r="AU84" s="11">
        <f>GDP!AU84/Population!AU84</f>
        <v>10293.80567279244</v>
      </c>
      <c r="AV84" s="11">
        <f>GDP!AV84/Population!AV84</f>
        <v>12327.233395706293</v>
      </c>
      <c r="AW84" s="11">
        <f>GDP!AW84/Population!AW84</f>
        <v>14102.496481930597</v>
      </c>
      <c r="AX84" s="11">
        <f>GDP!AX84/Population!AX84</f>
        <v>16539.877653805914</v>
      </c>
      <c r="AY84" s="11">
        <f>GDP!AY84/Population!AY84</f>
        <v>21204.105732998691</v>
      </c>
      <c r="AZ84" s="11">
        <f>GDP!AZ84/Population!AZ84</f>
        <v>14514.142030236273</v>
      </c>
      <c r="BA84" s="11">
        <f>GDP!BA84/Population!BA84</f>
        <v>16683.355779141919</v>
      </c>
      <c r="BB84" s="11">
        <f>GDP!BB84/Population!BB84</f>
        <v>19034.149809381684</v>
      </c>
      <c r="BC84" s="11">
        <f>GDP!BC84/Population!BC84</f>
        <v>19157.41655258671</v>
      </c>
      <c r="BD84" s="11">
        <f>GDP!BD84/Population!BD84</f>
        <v>20143.664752899462</v>
      </c>
      <c r="BE84" s="11">
        <f>GDP!BE84/Population!BE84</f>
        <v>20270.858788762293</v>
      </c>
      <c r="BF84" s="11">
        <f>GDP!BF84/Population!BF84</f>
        <v>18289.704047498119</v>
      </c>
      <c r="BG84" s="11">
        <f>GDP!BG84/Population!BG84</f>
        <v>16176.946784323633</v>
      </c>
      <c r="BH84" s="11">
        <f>GDP!BH84/Population!BH84</f>
        <v>16238.192648937338</v>
      </c>
      <c r="BI84" s="11">
        <f>GDP!BI84/Population!BI84</f>
        <v>17129.913599806598</v>
      </c>
      <c r="BJ84" s="11">
        <f>GDP!BJ84/Population!BJ84</f>
        <v>17276.465204702887</v>
      </c>
      <c r="BK84" s="11"/>
    </row>
    <row r="85" spans="1:63" x14ac:dyDescent="0.45">
      <c r="A85" t="str">
        <f>GDP!A85</f>
        <v>South</v>
      </c>
      <c r="B85" t="str">
        <f>GDP!B85</f>
        <v>Turkey</v>
      </c>
      <c r="C85" s="11">
        <f>GDP!C85/Population!C85</f>
        <v>509.42385520507457</v>
      </c>
      <c r="D85" s="11">
        <f>GDP!D85/Population!D85</f>
        <v>283.82828125716111</v>
      </c>
      <c r="E85" s="11">
        <f>GDP!E85/Population!E85</f>
        <v>309.44666933122204</v>
      </c>
      <c r="F85" s="11">
        <f>GDP!F85/Population!F85</f>
        <v>350.66295373285163</v>
      </c>
      <c r="G85" s="11">
        <f>GDP!G85/Population!G85</f>
        <v>369.58345735686703</v>
      </c>
      <c r="H85" s="35">
        <f>GDP!H85/Population!H85</f>
        <v>386.35808833979689</v>
      </c>
      <c r="I85" s="35">
        <f>GDP!I85/Population!I85</f>
        <v>444.54941869960277</v>
      </c>
      <c r="J85" s="11">
        <f>GDP!J85/Population!J85</f>
        <v>481.69371653272162</v>
      </c>
      <c r="K85" s="11">
        <f>GDP!K85/Population!K85</f>
        <v>526.21349810370702</v>
      </c>
      <c r="L85" s="11">
        <f>GDP!L85/Population!L85</f>
        <v>571.61773336803753</v>
      </c>
      <c r="M85" s="11">
        <f>GDP!M85/Population!M85</f>
        <v>489.93025591243844</v>
      </c>
      <c r="N85" s="11">
        <f>GDP!N85/Population!N85</f>
        <v>455.10488401650588</v>
      </c>
      <c r="O85" s="11">
        <f>GDP!O85/Population!O85</f>
        <v>558.42104076664941</v>
      </c>
      <c r="P85" s="11">
        <f>GDP!P85/Population!P85</f>
        <v>686.48992643533086</v>
      </c>
      <c r="Q85" s="11">
        <f>GDP!Q85/Population!Q85</f>
        <v>927.79904782565586</v>
      </c>
      <c r="R85" s="11">
        <f>GDP!R85/Population!R85</f>
        <v>1136.3753744915377</v>
      </c>
      <c r="S85" s="11">
        <f>GDP!S85/Population!S85</f>
        <v>1275.9563413072765</v>
      </c>
      <c r="T85" s="11">
        <f>GDP!T85/Population!T85</f>
        <v>1427.371590007039</v>
      </c>
      <c r="U85" s="11">
        <f>GDP!U85/Population!U85</f>
        <v>1549.6440475060033</v>
      </c>
      <c r="V85" s="11">
        <f>GDP!V85/Population!V85</f>
        <v>2079.2204195744339</v>
      </c>
      <c r="W85" s="11">
        <f>GDP!W85/Population!W85</f>
        <v>1564.2471520584013</v>
      </c>
      <c r="X85" s="11">
        <f>GDP!X85/Population!X85</f>
        <v>1579.0735193699641</v>
      </c>
      <c r="Y85" s="11">
        <f>GDP!Y85/Population!Y85</f>
        <v>1402.4064069649176</v>
      </c>
      <c r="Z85" s="11">
        <f>GDP!Z85/Population!Z85</f>
        <v>1310.2556085941569</v>
      </c>
      <c r="AA85" s="11">
        <f>GDP!AA85/Population!AA85</f>
        <v>1246.8245209164638</v>
      </c>
      <c r="AB85" s="11">
        <f>GDP!AB85/Population!AB85</f>
        <v>1368.4014053341868</v>
      </c>
      <c r="AC85" s="11">
        <f>GDP!AC85/Population!AC85</f>
        <v>1510.6765779334487</v>
      </c>
      <c r="AD85" s="11">
        <f>GDP!AD85/Population!AD85</f>
        <v>1705.8946394002583</v>
      </c>
      <c r="AE85" s="11">
        <f>GDP!AE85/Population!AE85</f>
        <v>1745.3648645273759</v>
      </c>
      <c r="AF85" s="11">
        <f>GDP!AF85/Population!AF85</f>
        <v>2021.8591779272565</v>
      </c>
      <c r="AG85" s="11">
        <f>GDP!AG85/Population!AG85</f>
        <v>2794.3503992451283</v>
      </c>
      <c r="AH85" s="11">
        <f>GDP!AH85/Population!AH85</f>
        <v>2735.7076898075788</v>
      </c>
      <c r="AI85" s="11">
        <f>GDP!AI85/Population!AI85</f>
        <v>2842.3699394650462</v>
      </c>
      <c r="AJ85" s="11">
        <f>GDP!AJ85/Population!AJ85</f>
        <v>3180.1877980161757</v>
      </c>
      <c r="AK85" s="11">
        <f>GDP!AK85/Population!AK85</f>
        <v>2270.3374979353489</v>
      </c>
      <c r="AL85" s="11">
        <f>GDP!AL85/Population!AL85</f>
        <v>2897.8665211651737</v>
      </c>
      <c r="AM85" s="11">
        <f>GDP!AM85/Population!AM85</f>
        <v>3053.9471630647113</v>
      </c>
      <c r="AN85" s="11">
        <f>GDP!AN85/Population!AN85</f>
        <v>3144.385731744921</v>
      </c>
      <c r="AO85" s="11">
        <f>GDP!AO85/Population!AO85</f>
        <v>4496.4970143328328</v>
      </c>
      <c r="AP85" s="11">
        <f>GDP!AP85/Population!AP85</f>
        <v>4108.1231938480778</v>
      </c>
      <c r="AQ85" s="11">
        <f>GDP!AQ85/Population!AQ85</f>
        <v>4316.5491110463417</v>
      </c>
      <c r="AR85" s="11">
        <f>GDP!AR85/Population!AR85</f>
        <v>3119.5658570839182</v>
      </c>
      <c r="AS85" s="11">
        <f>GDP!AS85/Population!AS85</f>
        <v>3659.9398322840084</v>
      </c>
      <c r="AT85" s="11">
        <f>GDP!AT85/Population!AT85</f>
        <v>4718.2000100469968</v>
      </c>
      <c r="AU85" s="11">
        <f>GDP!AU85/Population!AU85</f>
        <v>6040.6079027587857</v>
      </c>
      <c r="AV85" s="11">
        <f>GDP!AV85/Population!AV85</f>
        <v>7384.2512272126523</v>
      </c>
      <c r="AW85" s="11">
        <f>GDP!AW85/Population!AW85</f>
        <v>8035.3773202502362</v>
      </c>
      <c r="AX85" s="11">
        <f>GDP!AX85/Population!AX85</f>
        <v>9711.8739735685085</v>
      </c>
      <c r="AY85" s="11">
        <f>GDP!AY85/Population!AY85</f>
        <v>10854.172034073721</v>
      </c>
      <c r="AZ85" s="11">
        <f>GDP!AZ85/Population!AZ85</f>
        <v>9038.5197607450227</v>
      </c>
      <c r="BA85" s="11">
        <f>GDP!BA85/Population!BA85</f>
        <v>10672.388412005299</v>
      </c>
      <c r="BB85" s="11">
        <f>GDP!BB85/Population!BB85</f>
        <v>11335.510144291973</v>
      </c>
      <c r="BC85" s="11">
        <f>GDP!BC85/Population!BC85</f>
        <v>11707.259935700387</v>
      </c>
      <c r="BD85" s="11">
        <f>GDP!BD85/Population!BD85</f>
        <v>12519.392299498371</v>
      </c>
      <c r="BE85" s="11">
        <f>GDP!BE85/Population!BE85</f>
        <v>12095.855187721385</v>
      </c>
      <c r="BF85" s="11">
        <f>GDP!BF85/Population!BF85</f>
        <v>10948.724648783804</v>
      </c>
      <c r="BG85" s="11">
        <f>GDP!BG85/Population!BG85</f>
        <v>10820.632941647167</v>
      </c>
      <c r="BH85" s="11">
        <f>GDP!BH85/Population!BH85</f>
        <v>10513.648854142582</v>
      </c>
      <c r="BI85" s="11">
        <f>GDP!BI85/Population!BI85</f>
        <v>9370.1758999009326</v>
      </c>
      <c r="BJ85" s="11">
        <f>GDP!BJ85/Population!BJ85</f>
        <v>9042.4927788712339</v>
      </c>
      <c r="BK85" s="11"/>
    </row>
    <row r="86" spans="1:63" x14ac:dyDescent="0.45">
      <c r="A86" t="str">
        <f>GDP!A86</f>
        <v>South</v>
      </c>
      <c r="B86" t="str">
        <f>GDP!B86</f>
        <v>Uruguay</v>
      </c>
      <c r="C86" s="11">
        <f>GDP!C86/Population!C86</f>
        <v>489.35170482813061</v>
      </c>
      <c r="D86" s="11">
        <f>GDP!D86/Population!D86</f>
        <v>601.70324390933399</v>
      </c>
      <c r="E86" s="11">
        <f>GDP!E86/Population!E86</f>
        <v>656.7134578295022</v>
      </c>
      <c r="F86" s="11">
        <f>GDP!F86/Population!F86</f>
        <v>584.2914289487486</v>
      </c>
      <c r="G86" s="11">
        <f>GDP!G86/Population!G86</f>
        <v>741.24358629963069</v>
      </c>
      <c r="H86" s="35">
        <f>GDP!H86/Population!H86</f>
        <v>701.70496144790786</v>
      </c>
      <c r="I86" s="35">
        <f>GDP!I86/Population!I86</f>
        <v>664.43887435155852</v>
      </c>
      <c r="J86" s="11">
        <f>GDP!J86/Population!J86</f>
        <v>580.97131798787382</v>
      </c>
      <c r="K86" s="11">
        <f>GDP!K86/Population!K86</f>
        <v>574.34731881219238</v>
      </c>
      <c r="L86" s="11">
        <f>GDP!L86/Population!L86</f>
        <v>717.1396551465059</v>
      </c>
      <c r="M86" s="11">
        <f>GDP!M86/Population!M86</f>
        <v>760.58870955974339</v>
      </c>
      <c r="N86" s="11">
        <f>GDP!N86/Population!N86</f>
        <v>996.08879029450929</v>
      </c>
      <c r="O86" s="11">
        <f>GDP!O86/Population!O86</f>
        <v>775.98732855070477</v>
      </c>
      <c r="P86" s="11">
        <f>GDP!P86/Population!P86</f>
        <v>1404.7240706179084</v>
      </c>
      <c r="Q86" s="11">
        <f>GDP!Q86/Population!Q86</f>
        <v>1448.3258502281262</v>
      </c>
      <c r="R86" s="11">
        <f>GDP!R86/Population!R86</f>
        <v>1250.1990208382799</v>
      </c>
      <c r="S86" s="11">
        <f>GDP!S86/Population!S86</f>
        <v>1290.6304925930149</v>
      </c>
      <c r="T86" s="11">
        <f>GDP!T86/Population!T86</f>
        <v>1440.2266354633146</v>
      </c>
      <c r="U86" s="11">
        <f>GDP!U86/Population!U86</f>
        <v>1707.4831666972675</v>
      </c>
      <c r="V86" s="11">
        <f>GDP!V86/Population!V86</f>
        <v>2479.9581391365368</v>
      </c>
      <c r="W86" s="11">
        <f>GDP!W86/Population!W86</f>
        <v>3485.9909864515507</v>
      </c>
      <c r="X86" s="11">
        <f>GDP!X86/Population!X86</f>
        <v>3764.8355541258761</v>
      </c>
      <c r="Y86" s="11">
        <f>GDP!Y86/Population!Y86</f>
        <v>3107.4008366025109</v>
      </c>
      <c r="Z86" s="11">
        <f>GDP!Z86/Population!Z86</f>
        <v>1716.1854804314512</v>
      </c>
      <c r="AA86" s="11">
        <f>GDP!AA86/Population!AA86</f>
        <v>1620.9367598786998</v>
      </c>
      <c r="AB86" s="11">
        <f>GDP!AB86/Population!AB86</f>
        <v>1571.3059303295115</v>
      </c>
      <c r="AC86" s="11">
        <f>GDP!AC86/Population!AC86</f>
        <v>1940.2156567784657</v>
      </c>
      <c r="AD86" s="11">
        <f>GDP!AD86/Population!AD86</f>
        <v>2415.9037402187382</v>
      </c>
      <c r="AE86" s="11">
        <f>GDP!AE86/Population!AE86</f>
        <v>2676.5411676912572</v>
      </c>
      <c r="AF86" s="11">
        <f>GDP!AF86/Population!AF86</f>
        <v>2732.2945947914827</v>
      </c>
      <c r="AG86" s="11">
        <f>GDP!AG86/Population!AG86</f>
        <v>2990.3642145728663</v>
      </c>
      <c r="AH86" s="11">
        <f>GDP!AH86/Population!AH86</f>
        <v>3578.2846618087533</v>
      </c>
      <c r="AI86" s="11">
        <f>GDP!AI86/Population!AI86</f>
        <v>4082.5318684885929</v>
      </c>
      <c r="AJ86" s="11">
        <f>GDP!AJ86/Population!AJ86</f>
        <v>4720.9914200163948</v>
      </c>
      <c r="AK86" s="11">
        <f>GDP!AK86/Population!AK86</f>
        <v>5458.8640348424678</v>
      </c>
      <c r="AL86" s="11">
        <f>GDP!AL86/Population!AL86</f>
        <v>5985.1058192508654</v>
      </c>
      <c r="AM86" s="11">
        <f>GDP!AM86/Population!AM86</f>
        <v>6317.5657676139635</v>
      </c>
      <c r="AN86" s="11">
        <f>GDP!AN86/Population!AN86</f>
        <v>7329.8534018477358</v>
      </c>
      <c r="AO86" s="11">
        <f>GDP!AO86/Population!AO86</f>
        <v>7713.6189250066773</v>
      </c>
      <c r="AP86" s="11">
        <f>GDP!AP86/Population!AP86</f>
        <v>7250.2595903521515</v>
      </c>
      <c r="AQ86" s="11">
        <f>GDP!AQ86/Population!AQ86</f>
        <v>6875.0214065214823</v>
      </c>
      <c r="AR86" s="11">
        <f>GDP!AR86/Population!AR86</f>
        <v>6284.4561889391371</v>
      </c>
      <c r="AS86" s="11">
        <f>GDP!AS86/Population!AS86</f>
        <v>4090.8991497396305</v>
      </c>
      <c r="AT86" s="11">
        <f>GDP!AT86/Population!AT86</f>
        <v>3624.1981714178432</v>
      </c>
      <c r="AU86" s="11">
        <f>GDP!AU86/Population!AU86</f>
        <v>4120.5567548884892</v>
      </c>
      <c r="AV86" s="11">
        <f>GDP!AV86/Population!AV86</f>
        <v>5226.9378960763179</v>
      </c>
      <c r="AW86" s="11">
        <f>GDP!AW86/Population!AW86</f>
        <v>5887.8485740516708</v>
      </c>
      <c r="AX86" s="11">
        <f>GDP!AX86/Population!AX86</f>
        <v>7026.5116946084472</v>
      </c>
      <c r="AY86" s="11">
        <f>GDP!AY86/Population!AY86</f>
        <v>9091.0787328143851</v>
      </c>
      <c r="AZ86" s="11">
        <f>GDP!AZ86/Population!AZ86</f>
        <v>9451.932244193169</v>
      </c>
      <c r="BA86" s="11">
        <f>GDP!BA86/Population!BA86</f>
        <v>11992.017201330644</v>
      </c>
      <c r="BB86" s="11">
        <f>GDP!BB86/Population!BB86</f>
        <v>14236.681300375727</v>
      </c>
      <c r="BC86" s="11">
        <f>GDP!BC86/Population!BC86</f>
        <v>15171.584368509495</v>
      </c>
      <c r="BD86" s="11">
        <f>GDP!BD86/Population!BD86</f>
        <v>16973.673889985923</v>
      </c>
      <c r="BE86" s="11">
        <f>GDP!BE86/Population!BE86</f>
        <v>16831.972935219444</v>
      </c>
      <c r="BF86" s="11">
        <f>GDP!BF86/Population!BF86</f>
        <v>15613.764357596947</v>
      </c>
      <c r="BG86" s="11">
        <f>GDP!BG86/Population!BG86</f>
        <v>15387.144523634019</v>
      </c>
      <c r="BH86" s="11">
        <f>GDP!BH86/Population!BH86</f>
        <v>17322.147363446802</v>
      </c>
      <c r="BI86" s="11">
        <f>GDP!BI86/Population!BI86</f>
        <v>17277.970398043195</v>
      </c>
      <c r="BJ86" s="11">
        <f>GDP!BJ86/Population!BJ86</f>
        <v>16190.126700665043</v>
      </c>
      <c r="BK86" s="11"/>
    </row>
    <row r="87" spans="1:63" x14ac:dyDescent="0.45">
      <c r="A87" t="str">
        <f>GDP!A87</f>
        <v>South</v>
      </c>
      <c r="B87" t="str">
        <f>GDP!B87</f>
        <v>Zambia</v>
      </c>
      <c r="C87" s="11">
        <f>GDP!C87/Population!C87</f>
        <v>232.18886691832944</v>
      </c>
      <c r="D87" s="11">
        <f>GDP!D87/Population!D87</f>
        <v>220.04213089094085</v>
      </c>
      <c r="E87" s="11">
        <f>GDP!E87/Population!E87</f>
        <v>212.57812031343443</v>
      </c>
      <c r="F87" s="11">
        <f>GDP!F87/Population!F87</f>
        <v>213.89644606238377</v>
      </c>
      <c r="G87" s="11">
        <f>GDP!G87/Population!G87</f>
        <v>242.3843246141661</v>
      </c>
      <c r="H87" s="35">
        <f>GDP!H87/Population!H87</f>
        <v>303.28189501420542</v>
      </c>
      <c r="I87" s="35">
        <f>GDP!I87/Population!I87</f>
        <v>343.37347849172517</v>
      </c>
      <c r="J87" s="11">
        <f>GDP!J87/Population!J87</f>
        <v>360.20161811624558</v>
      </c>
      <c r="K87" s="11">
        <f>GDP!K87/Population!K87</f>
        <v>409.77535168283117</v>
      </c>
      <c r="L87" s="11">
        <f>GDP!L87/Population!L87</f>
        <v>485.87262256101479</v>
      </c>
      <c r="M87" s="11">
        <f>GDP!M87/Population!M87</f>
        <v>436.7687237366618</v>
      </c>
      <c r="N87" s="11">
        <f>GDP!N87/Population!N87</f>
        <v>390.5794337130929</v>
      </c>
      <c r="O87" s="11">
        <f>GDP!O87/Population!O87</f>
        <v>427.81903257687674</v>
      </c>
      <c r="P87" s="11">
        <f>GDP!P87/Population!P87</f>
        <v>491.11194909629648</v>
      </c>
      <c r="Q87" s="11">
        <f>GDP!Q87/Population!Q87</f>
        <v>653.27757284162044</v>
      </c>
      <c r="R87" s="11">
        <f>GDP!R87/Population!R87</f>
        <v>529.74243068826934</v>
      </c>
      <c r="S87" s="11">
        <f>GDP!S87/Population!S87</f>
        <v>537.22070331791258</v>
      </c>
      <c r="T87" s="11">
        <f>GDP!T87/Population!T87</f>
        <v>469.59385787136119</v>
      </c>
      <c r="U87" s="11">
        <f>GDP!U87/Population!U87</f>
        <v>514.49162018937648</v>
      </c>
      <c r="V87" s="11">
        <f>GDP!V87/Population!V87</f>
        <v>587.94522270403888</v>
      </c>
      <c r="W87" s="11">
        <f>GDP!W87/Population!W87</f>
        <v>654.41121427930602</v>
      </c>
      <c r="X87" s="11">
        <f>GDP!X87/Population!X87</f>
        <v>639.54294818843323</v>
      </c>
      <c r="Y87" s="11">
        <f>GDP!Y87/Population!Y87</f>
        <v>637.54621166370669</v>
      </c>
      <c r="Z87" s="11">
        <f>GDP!Z87/Population!Z87</f>
        <v>496.19706765715569</v>
      </c>
      <c r="AA87" s="11">
        <f>GDP!AA87/Population!AA87</f>
        <v>408.77835243839473</v>
      </c>
      <c r="AB87" s="11">
        <f>GDP!AB87/Population!AB87</f>
        <v>329.51161155133309</v>
      </c>
      <c r="AC87" s="11">
        <f>GDP!AC87/Population!AC87</f>
        <v>232.53895070763565</v>
      </c>
      <c r="AD87" s="11">
        <f>GDP!AD87/Population!AD87</f>
        <v>307.87262162448457</v>
      </c>
      <c r="AE87" s="11">
        <f>GDP!AE87/Population!AE87</f>
        <v>488.74439737966838</v>
      </c>
      <c r="AF87" s="11">
        <f>GDP!AF87/Population!AF87</f>
        <v>511.32132316224448</v>
      </c>
      <c r="AG87" s="11">
        <f>GDP!AG87/Population!AG87</f>
        <v>408.76952087541815</v>
      </c>
      <c r="AH87" s="11">
        <f>GDP!AH87/Population!AH87</f>
        <v>409.72756763468732</v>
      </c>
      <c r="AI87" s="11">
        <f>GDP!AI87/Population!AI87</f>
        <v>376.49877492901425</v>
      </c>
      <c r="AJ87" s="11">
        <f>GDP!AJ87/Population!AJ87</f>
        <v>378.12546107046205</v>
      </c>
      <c r="AK87" s="11">
        <f>GDP!AK87/Population!AK87</f>
        <v>412.26097721015498</v>
      </c>
      <c r="AL87" s="11">
        <f>GDP!AL87/Population!AL87</f>
        <v>418.51507226815448</v>
      </c>
      <c r="AM87" s="11">
        <f>GDP!AM87/Population!AM87</f>
        <v>385.15243037461562</v>
      </c>
      <c r="AN87" s="11">
        <f>GDP!AN87/Population!AN87</f>
        <v>448.37023221096007</v>
      </c>
      <c r="AO87" s="11">
        <f>GDP!AO87/Population!AO87</f>
        <v>358.55587587706088</v>
      </c>
      <c r="AP87" s="11">
        <f>GDP!AP87/Population!AP87</f>
        <v>335.71239934358664</v>
      </c>
      <c r="AQ87" s="11">
        <f>GDP!AQ87/Population!AQ87</f>
        <v>345.68955132631282</v>
      </c>
      <c r="AR87" s="11">
        <f>GDP!AR87/Population!AR87</f>
        <v>382.94116987974309</v>
      </c>
      <c r="AS87" s="11">
        <f>GDP!AS87/Population!AS87</f>
        <v>382.2421798339692</v>
      </c>
      <c r="AT87" s="11">
        <f>GDP!AT87/Population!AT87</f>
        <v>435.45809582754089</v>
      </c>
      <c r="AU87" s="11">
        <f>GDP!AU87/Population!AU87</f>
        <v>538.59149162444828</v>
      </c>
      <c r="AV87" s="11">
        <f>GDP!AV87/Population!AV87</f>
        <v>702.74094390914763</v>
      </c>
      <c r="AW87" s="11">
        <f>GDP!AW87/Population!AW87</f>
        <v>1047.9191858653139</v>
      </c>
      <c r="AX87" s="11">
        <f>GDP!AX87/Population!AX87</f>
        <v>1124.2905840361936</v>
      </c>
      <c r="AY87" s="11">
        <f>GDP!AY87/Population!AY87</f>
        <v>1394.000537649054</v>
      </c>
      <c r="AZ87" s="11">
        <f>GDP!AZ87/Population!AZ87</f>
        <v>1159.9077403574795</v>
      </c>
      <c r="BA87" s="11">
        <f>GDP!BA87/Population!BA87</f>
        <v>1489.4593484749064</v>
      </c>
      <c r="BB87" s="11">
        <f>GDP!BB87/Population!BB87</f>
        <v>1672.9081863167683</v>
      </c>
      <c r="BC87" s="11">
        <f>GDP!BC87/Population!BC87</f>
        <v>1763.0727021225748</v>
      </c>
      <c r="BD87" s="11">
        <f>GDP!BD87/Population!BD87</f>
        <v>1878.9069901431708</v>
      </c>
      <c r="BE87" s="11">
        <f>GDP!BE87/Population!BE87</f>
        <v>1763.057322802515</v>
      </c>
      <c r="BF87" s="11">
        <f>GDP!BF87/Population!BF87</f>
        <v>1337.7960828524524</v>
      </c>
      <c r="BG87" s="11">
        <f>GDP!BG87/Population!BG87</f>
        <v>1280.5788646651356</v>
      </c>
      <c r="BH87" s="11">
        <f>GDP!BH87/Population!BH87</f>
        <v>1534.8654010920341</v>
      </c>
      <c r="BI87" s="11">
        <f>GDP!BI87/Population!BI87</f>
        <v>1556.3345045840142</v>
      </c>
      <c r="BJ87" s="11">
        <f>GDP!BJ87/Population!BJ87</f>
        <v>1291.343413901662</v>
      </c>
      <c r="BK87" s="11"/>
    </row>
    <row r="88" spans="1:63" x14ac:dyDescent="0.45">
      <c r="A88" t="str">
        <f>GDP!A88</f>
        <v>South</v>
      </c>
      <c r="B88" t="str">
        <f>GDP!B88</f>
        <v>Zimbabwe</v>
      </c>
      <c r="C88" s="11">
        <f>GDP!C88/Population!C88</f>
        <v>278.81369911835287</v>
      </c>
      <c r="D88" s="11">
        <f>GDP!D88/Population!D88</f>
        <v>280.82896486944799</v>
      </c>
      <c r="E88" s="11">
        <f>GDP!E88/Population!E88</f>
        <v>276.68876493148025</v>
      </c>
      <c r="F88" s="11">
        <f>GDP!F88/Population!F88</f>
        <v>277.47971032319418</v>
      </c>
      <c r="G88" s="11">
        <f>GDP!G88/Population!G88</f>
        <v>281.55845122015256</v>
      </c>
      <c r="H88" s="35">
        <f>GDP!H88/Population!H88</f>
        <v>293.30884820708286</v>
      </c>
      <c r="I88" s="35">
        <f>GDP!I88/Population!I88</f>
        <v>277.23387300682987</v>
      </c>
      <c r="J88" s="11">
        <f>GDP!J88/Population!J88</f>
        <v>292.2704072762466</v>
      </c>
      <c r="K88" s="11">
        <f>GDP!K88/Population!K88</f>
        <v>299.39862716935528</v>
      </c>
      <c r="L88" s="11">
        <f>GDP!L88/Population!L88</f>
        <v>341.98466037359697</v>
      </c>
      <c r="M88" s="11">
        <f>GDP!M88/Population!M88</f>
        <v>356.22960832457511</v>
      </c>
      <c r="N88" s="11">
        <f>GDP!N88/Population!N88</f>
        <v>397.79506596881276</v>
      </c>
      <c r="O88" s="11">
        <f>GDP!O88/Population!O88</f>
        <v>471.93713119574841</v>
      </c>
      <c r="P88" s="11">
        <f>GDP!P88/Population!P88</f>
        <v>563.0329607062323</v>
      </c>
      <c r="Q88" s="11">
        <f>GDP!Q88/Population!Q88</f>
        <v>654.41462305963739</v>
      </c>
      <c r="R88" s="11">
        <f>GDP!R88/Population!R88</f>
        <v>694.53251994995139</v>
      </c>
      <c r="S88" s="11">
        <f>GDP!S88/Population!S88</f>
        <v>664.10242474935671</v>
      </c>
      <c r="T88" s="11">
        <f>GDP!T88/Population!T88</f>
        <v>650.15562117122931</v>
      </c>
      <c r="U88" s="11">
        <f>GDP!U88/Population!U88</f>
        <v>627.96704717573607</v>
      </c>
      <c r="V88" s="11">
        <f>GDP!V88/Population!V88</f>
        <v>723.10650398748714</v>
      </c>
      <c r="W88" s="11">
        <f>GDP!W88/Population!W88</f>
        <v>901.49911346560441</v>
      </c>
      <c r="X88" s="11">
        <f>GDP!X88/Population!X88</f>
        <v>1043.7468030800494</v>
      </c>
      <c r="Y88" s="11">
        <f>GDP!Y88/Population!Y88</f>
        <v>1073.0638511701266</v>
      </c>
      <c r="Z88" s="11">
        <f>GDP!Z88/Population!Z88</f>
        <v>940.55781673260242</v>
      </c>
      <c r="AA88" s="11">
        <f>GDP!AA88/Population!AA88</f>
        <v>741.87587303289126</v>
      </c>
      <c r="AB88" s="11">
        <f>GDP!AB88/Population!AB88</f>
        <v>635.00605452735567</v>
      </c>
      <c r="AC88" s="11">
        <f>GDP!AC88/Population!AC88</f>
        <v>675.80684964993497</v>
      </c>
      <c r="AD88" s="11">
        <f>GDP!AD88/Population!AD88</f>
        <v>707.5754796029853</v>
      </c>
      <c r="AE88" s="11">
        <f>GDP!AE88/Population!AE88</f>
        <v>793.44957039330905</v>
      </c>
      <c r="AF88" s="11">
        <f>GDP!AF88/Population!AF88</f>
        <v>816.07676456186277</v>
      </c>
      <c r="AG88" s="11">
        <f>GDP!AG88/Population!AG88</f>
        <v>841.97299016211093</v>
      </c>
      <c r="AH88" s="11">
        <f>GDP!AH88/Population!AH88</f>
        <v>809.0521274469279</v>
      </c>
      <c r="AI88" s="11">
        <f>GDP!AI88/Population!AI88</f>
        <v>619.37258742762492</v>
      </c>
      <c r="AJ88" s="11">
        <f>GDP!AJ88/Population!AJ88</f>
        <v>591.72016934279509</v>
      </c>
      <c r="AK88" s="11">
        <f>GDP!AK88/Population!AK88</f>
        <v>611.86572878943082</v>
      </c>
      <c r="AL88" s="11">
        <f>GDP!AL88/Population!AL88</f>
        <v>623.20998598334859</v>
      </c>
      <c r="AM88" s="11">
        <f>GDP!AM88/Population!AM88</f>
        <v>741.09570663128511</v>
      </c>
      <c r="AN88" s="11">
        <f>GDP!AN88/Population!AN88</f>
        <v>731.94840028208455</v>
      </c>
      <c r="AO88" s="11">
        <f>GDP!AO88/Population!AO88</f>
        <v>544.98415673284376</v>
      </c>
      <c r="AP88" s="11">
        <f>GDP!AP88/Population!AP88</f>
        <v>580.07072518597454</v>
      </c>
      <c r="AQ88" s="11">
        <f>GDP!AQ88/Population!AQ88</f>
        <v>563.05772220069946</v>
      </c>
      <c r="AR88" s="11">
        <f>GDP!AR88/Population!AR88</f>
        <v>568.38588805655593</v>
      </c>
      <c r="AS88" s="11">
        <f>GDP!AS88/Population!AS88</f>
        <v>530.53057538339795</v>
      </c>
      <c r="AT88" s="11">
        <f>GDP!AT88/Population!AT88</f>
        <v>478.00741631937444</v>
      </c>
      <c r="AU88" s="11">
        <f>GDP!AU88/Population!AU88</f>
        <v>482.99839532935016</v>
      </c>
      <c r="AV88" s="11">
        <f>GDP!AV88/Population!AV88</f>
        <v>476.55533685156848</v>
      </c>
      <c r="AW88" s="11">
        <f>GDP!AW88/Population!AW88</f>
        <v>447.85490935742536</v>
      </c>
      <c r="AX88" s="11">
        <f>GDP!AX88/Population!AX88</f>
        <v>431.78718663516298</v>
      </c>
      <c r="AY88" s="11">
        <f>GDP!AY88/Population!AY88</f>
        <v>356.6933690395345</v>
      </c>
      <c r="AZ88" s="11">
        <f>GDP!AZ88/Population!AZ88</f>
        <v>771.59876388284863</v>
      </c>
      <c r="BA88" s="11">
        <f>GDP!BA88/Population!BA88</f>
        <v>948.33186201967078</v>
      </c>
      <c r="BB88" s="11">
        <f>GDP!BB88/Population!BB88</f>
        <v>1093.654038570173</v>
      </c>
      <c r="BC88" s="11">
        <f>GDP!BC88/Population!BC88</f>
        <v>1304.9698324782269</v>
      </c>
      <c r="BD88" s="11">
        <f>GDP!BD88/Population!BD88</f>
        <v>1430.0008011771372</v>
      </c>
      <c r="BE88" s="11">
        <f>GDP!BE88/Population!BE88</f>
        <v>1434.8993883053558</v>
      </c>
      <c r="BF88" s="11">
        <f>GDP!BF88/Population!BF88</f>
        <v>1445.0709907591438</v>
      </c>
      <c r="BG88" s="11">
        <f>GDP!BG88/Population!BG88</f>
        <v>1464.5834956832989</v>
      </c>
      <c r="BH88" s="11">
        <f>GDP!BH88/Population!BH88</f>
        <v>1548.1700088046812</v>
      </c>
      <c r="BI88" s="11">
        <f>GDP!BI88/Population!BI88</f>
        <v>1683.7405557635568</v>
      </c>
      <c r="BJ88" s="11">
        <f>GDP!BJ88/Population!BJ88</f>
        <v>1463.9859790072942</v>
      </c>
      <c r="BK88" s="11"/>
    </row>
    <row r="90" spans="1:63" x14ac:dyDescent="0.45">
      <c r="H90" t="str">
        <f>B31</f>
        <v>Bahamas</v>
      </c>
      <c r="I90" s="36">
        <f>I31/H31-1</f>
        <v>8.2963122131481715E-2</v>
      </c>
    </row>
    <row r="91" spans="1:63" x14ac:dyDescent="0.45">
      <c r="H91" t="str">
        <f t="shared" ref="H91:H130" si="0">B32</f>
        <v>Bangladesh</v>
      </c>
      <c r="I91" s="36">
        <f t="shared" ref="I91:I147" si="1">I32/H32-1</f>
        <v>5.643593637524047E-2</v>
      </c>
    </row>
    <row r="92" spans="1:63" x14ac:dyDescent="0.45">
      <c r="H92" t="str">
        <f t="shared" si="0"/>
        <v>Belize</v>
      </c>
      <c r="I92" s="36">
        <f t="shared" si="1"/>
        <v>7.5487518052651525E-2</v>
      </c>
    </row>
    <row r="93" spans="1:63" x14ac:dyDescent="0.45">
      <c r="H93" t="str">
        <f t="shared" si="0"/>
        <v>Benin</v>
      </c>
      <c r="I93" s="36">
        <f t="shared" si="1"/>
        <v>2.5496822351554371E-2</v>
      </c>
    </row>
    <row r="94" spans="1:63" x14ac:dyDescent="0.45">
      <c r="H94" t="str">
        <f t="shared" si="0"/>
        <v>Bolivia</v>
      </c>
      <c r="I94" s="36">
        <f t="shared" si="1"/>
        <v>8.4776683048031209E-2</v>
      </c>
    </row>
    <row r="95" spans="1:63" x14ac:dyDescent="0.45">
      <c r="H95" t="str">
        <f t="shared" si="0"/>
        <v>Botswana</v>
      </c>
      <c r="I95" s="36">
        <f t="shared" si="1"/>
        <v>0.10038084264581637</v>
      </c>
    </row>
    <row r="96" spans="1:63" x14ac:dyDescent="0.45">
      <c r="H96" t="str">
        <f t="shared" si="0"/>
        <v>Brazil</v>
      </c>
      <c r="I96" s="36">
        <f t="shared" si="1"/>
        <v>0.20831040055529537</v>
      </c>
    </row>
    <row r="97" spans="8:9" x14ac:dyDescent="0.45">
      <c r="H97" t="str">
        <f t="shared" si="0"/>
        <v>Burkina Faso</v>
      </c>
      <c r="I97" s="36">
        <f t="shared" si="1"/>
        <v>1.0039960312700158E-2</v>
      </c>
    </row>
    <row r="98" spans="8:9" x14ac:dyDescent="0.45">
      <c r="H98" t="str">
        <f t="shared" si="0"/>
        <v>Burundi</v>
      </c>
      <c r="I98" s="36">
        <f t="shared" si="1"/>
        <v>1.558503603999517E-2</v>
      </c>
    </row>
    <row r="99" spans="8:9" x14ac:dyDescent="0.45">
      <c r="H99" t="str">
        <f t="shared" si="0"/>
        <v>Cameroon</v>
      </c>
      <c r="I99" s="36">
        <f t="shared" si="1"/>
        <v>2.3883285616035588E-2</v>
      </c>
    </row>
    <row r="100" spans="8:9" x14ac:dyDescent="0.45">
      <c r="H100" t="str">
        <f t="shared" si="0"/>
        <v>Central African Republic</v>
      </c>
      <c r="I100" s="36">
        <f t="shared" si="1"/>
        <v>2.7963131978959055E-2</v>
      </c>
    </row>
    <row r="101" spans="8:9" x14ac:dyDescent="0.45">
      <c r="H101" t="str">
        <f t="shared" si="0"/>
        <v>Chad</v>
      </c>
      <c r="I101" s="36">
        <f t="shared" si="1"/>
        <v>1.8789860765132449E-2</v>
      </c>
    </row>
    <row r="102" spans="8:9" x14ac:dyDescent="0.45">
      <c r="H102" t="str">
        <f t="shared" si="0"/>
        <v>Chile</v>
      </c>
      <c r="I102" s="36">
        <f t="shared" si="1"/>
        <v>0.1526435328298652</v>
      </c>
    </row>
    <row r="103" spans="8:9" x14ac:dyDescent="0.45">
      <c r="H103" t="str">
        <f t="shared" si="0"/>
        <v>Colombia</v>
      </c>
      <c r="I103" s="36">
        <f t="shared" si="1"/>
        <v>-8.4775358509914134E-2</v>
      </c>
    </row>
    <row r="104" spans="8:9" x14ac:dyDescent="0.45">
      <c r="H104" t="str">
        <f t="shared" si="0"/>
        <v>Congo DR</v>
      </c>
      <c r="I104" s="36">
        <f t="shared" si="1"/>
        <v>8.997927719761778E-2</v>
      </c>
    </row>
    <row r="105" spans="8:9" x14ac:dyDescent="0.45">
      <c r="H105" t="str">
        <f t="shared" si="0"/>
        <v>Congo R</v>
      </c>
      <c r="I105" s="36">
        <f t="shared" si="1"/>
        <v>8.2997074548944116E-2</v>
      </c>
    </row>
    <row r="106" spans="8:9" x14ac:dyDescent="0.45">
      <c r="H106" t="str">
        <f t="shared" si="0"/>
        <v>Costa Rica</v>
      </c>
      <c r="I106" s="36">
        <f t="shared" si="1"/>
        <v>5.6946640854751873E-2</v>
      </c>
    </row>
    <row r="107" spans="8:9" x14ac:dyDescent="0.45">
      <c r="H107" t="str">
        <f t="shared" si="0"/>
        <v>Cote d'Ivoire</v>
      </c>
      <c r="I107" s="36">
        <f t="shared" si="1"/>
        <v>7.3584934327662443E-2</v>
      </c>
    </row>
    <row r="108" spans="8:9" x14ac:dyDescent="0.45">
      <c r="H108" t="str">
        <f t="shared" si="0"/>
        <v>Dominican Republic</v>
      </c>
      <c r="I108" s="36">
        <f t="shared" si="1"/>
        <v>7.407044166821608E-2</v>
      </c>
    </row>
    <row r="109" spans="8:9" x14ac:dyDescent="0.45">
      <c r="H109" t="str">
        <f t="shared" si="0"/>
        <v>Ecuador</v>
      </c>
      <c r="I109" s="36">
        <f t="shared" si="1"/>
        <v>-1.1594491262011508E-2</v>
      </c>
    </row>
    <row r="110" spans="8:9" x14ac:dyDescent="0.45">
      <c r="H110" t="str">
        <f t="shared" si="0"/>
        <v>Fiji</v>
      </c>
      <c r="I110" s="36">
        <f t="shared" si="1"/>
        <v>-2.8023361408525682E-3</v>
      </c>
    </row>
    <row r="111" spans="8:9" x14ac:dyDescent="0.45">
      <c r="H111" t="str">
        <f t="shared" si="0"/>
        <v>Gabon</v>
      </c>
      <c r="I111" s="36">
        <f t="shared" si="1"/>
        <v>6.60627576007915E-2</v>
      </c>
    </row>
    <row r="112" spans="8:9" x14ac:dyDescent="0.45">
      <c r="H112" t="str">
        <f t="shared" si="0"/>
        <v>Ghana</v>
      </c>
      <c r="I112" s="36">
        <f t="shared" si="1"/>
        <v>9.1400643181718255E-3</v>
      </c>
    </row>
    <row r="113" spans="8:9" x14ac:dyDescent="0.45">
      <c r="H113" t="str">
        <f t="shared" si="0"/>
        <v>Guatemala</v>
      </c>
      <c r="I113" s="36">
        <f t="shared" si="1"/>
        <v>1.5653316028916731E-2</v>
      </c>
    </row>
    <row r="114" spans="8:9" x14ac:dyDescent="0.45">
      <c r="H114" t="str">
        <f t="shared" si="0"/>
        <v>Guyana</v>
      </c>
      <c r="I114" s="36">
        <f t="shared" si="1"/>
        <v>5.2129516451238533E-2</v>
      </c>
    </row>
    <row r="115" spans="8:9" x14ac:dyDescent="0.45">
      <c r="H115" t="str">
        <f t="shared" si="0"/>
        <v>Haiti</v>
      </c>
      <c r="I115" s="36">
        <f t="shared" si="1"/>
        <v>2.456660177345249E-2</v>
      </c>
    </row>
    <row r="116" spans="8:9" x14ac:dyDescent="0.45">
      <c r="H116" t="str">
        <f t="shared" si="0"/>
        <v>Honduras</v>
      </c>
      <c r="I116" s="36">
        <f t="shared" si="1"/>
        <v>5.0396489674894074E-2</v>
      </c>
    </row>
    <row r="117" spans="8:9" x14ac:dyDescent="0.45">
      <c r="H117" s="34" t="str">
        <f t="shared" si="0"/>
        <v>India</v>
      </c>
      <c r="I117" s="37">
        <f t="shared" si="1"/>
        <v>-0.24574143838282592</v>
      </c>
    </row>
    <row r="118" spans="8:9" x14ac:dyDescent="0.45">
      <c r="H118" t="str">
        <f t="shared" si="0"/>
        <v>Kenya</v>
      </c>
      <c r="I118" s="36">
        <f t="shared" si="1"/>
        <v>0.128891761115425</v>
      </c>
    </row>
    <row r="119" spans="8:9" x14ac:dyDescent="0.45">
      <c r="H119" t="str">
        <f t="shared" si="0"/>
        <v>Lesotho</v>
      </c>
      <c r="I119" s="36">
        <f t="shared" si="1"/>
        <v>1.1784548613964496E-2</v>
      </c>
    </row>
    <row r="120" spans="8:9" x14ac:dyDescent="0.45">
      <c r="H120" t="str">
        <f t="shared" si="0"/>
        <v>Madagascar</v>
      </c>
      <c r="I120" s="36">
        <f t="shared" si="1"/>
        <v>5.2761082590371933E-2</v>
      </c>
    </row>
    <row r="121" spans="8:9" x14ac:dyDescent="0.45">
      <c r="H121" t="str">
        <f t="shared" si="0"/>
        <v>Malawi</v>
      </c>
      <c r="I121" s="36">
        <f t="shared" si="1"/>
        <v>0.10647857223044488</v>
      </c>
    </row>
    <row r="122" spans="8:9" x14ac:dyDescent="0.45">
      <c r="H122" t="str">
        <f t="shared" si="0"/>
        <v>Malaysia</v>
      </c>
      <c r="I122" s="36">
        <f t="shared" si="1"/>
        <v>3.4693010001930258E-2</v>
      </c>
    </row>
    <row r="123" spans="8:9" x14ac:dyDescent="0.45">
      <c r="H123" t="str">
        <f t="shared" si="0"/>
        <v>Mexico</v>
      </c>
      <c r="I123" s="36">
        <f t="shared" si="1"/>
        <v>7.9405536980430069E-2</v>
      </c>
    </row>
    <row r="124" spans="8:9" x14ac:dyDescent="0.45">
      <c r="H124" t="str">
        <f t="shared" si="0"/>
        <v>Nepal</v>
      </c>
      <c r="I124" s="36">
        <f t="shared" si="1"/>
        <v>0.21127438115213804</v>
      </c>
    </row>
    <row r="125" spans="8:9" x14ac:dyDescent="0.45">
      <c r="H125" t="str">
        <f t="shared" si="0"/>
        <v>Nicaragua</v>
      </c>
      <c r="I125" s="36">
        <f t="shared" si="1"/>
        <v>3.8888659962950323E-2</v>
      </c>
    </row>
    <row r="126" spans="8:9" x14ac:dyDescent="0.45">
      <c r="H126" t="str">
        <f t="shared" si="0"/>
        <v>Niger</v>
      </c>
      <c r="I126" s="36">
        <f t="shared" si="1"/>
        <v>1.3458802057715769E-2</v>
      </c>
    </row>
    <row r="127" spans="8:9" x14ac:dyDescent="0.45">
      <c r="H127" t="str">
        <f t="shared" si="0"/>
        <v>Nigeria</v>
      </c>
      <c r="I127" s="36">
        <f t="shared" si="1"/>
        <v>6.0749545181504327E-2</v>
      </c>
    </row>
    <row r="128" spans="8:9" x14ac:dyDescent="0.45">
      <c r="H128" t="str">
        <f t="shared" si="0"/>
        <v>Pakistan</v>
      </c>
      <c r="I128" s="36">
        <f t="shared" si="1"/>
        <v>7.8149583856781391E-2</v>
      </c>
    </row>
    <row r="129" spans="8:9" x14ac:dyDescent="0.45">
      <c r="H129" t="str">
        <f t="shared" si="0"/>
        <v>Panama</v>
      </c>
      <c r="I129" s="36">
        <f t="shared" si="1"/>
        <v>5.8039362430086783E-2</v>
      </c>
    </row>
    <row r="130" spans="8:9" x14ac:dyDescent="0.45">
      <c r="H130" t="str">
        <f t="shared" si="0"/>
        <v>Papua New Guinea</v>
      </c>
      <c r="I130" s="36">
        <f t="shared" si="1"/>
        <v>0.11176265494718551</v>
      </c>
    </row>
    <row r="131" spans="8:9" x14ac:dyDescent="0.45">
      <c r="H131" t="str">
        <f t="shared" ref="H131:H147" si="2">B72</f>
        <v>Peru</v>
      </c>
      <c r="I131" s="36">
        <f t="shared" si="1"/>
        <v>0.15038735620603538</v>
      </c>
    </row>
    <row r="132" spans="8:9" x14ac:dyDescent="0.45">
      <c r="H132" t="str">
        <f t="shared" si="2"/>
        <v>Philippines</v>
      </c>
      <c r="I132" s="36">
        <f t="shared" si="1"/>
        <v>6.8505419389384148E-2</v>
      </c>
    </row>
    <row r="133" spans="8:9" x14ac:dyDescent="0.45">
      <c r="H133" t="str">
        <f t="shared" si="2"/>
        <v>Puerto Rico</v>
      </c>
      <c r="I133" s="36">
        <f t="shared" si="1"/>
        <v>8.7303165625606249E-2</v>
      </c>
    </row>
    <row r="134" spans="8:9" x14ac:dyDescent="0.45">
      <c r="H134" t="str">
        <f t="shared" si="2"/>
        <v>Rwanda</v>
      </c>
      <c r="I134" s="36">
        <f t="shared" si="1"/>
        <v>-0.18483781354399009</v>
      </c>
    </row>
    <row r="135" spans="8:9" x14ac:dyDescent="0.45">
      <c r="H135" t="str">
        <f t="shared" si="2"/>
        <v>Senegal</v>
      </c>
      <c r="I135" s="36">
        <f t="shared" si="1"/>
        <v>1.490493440709173E-3</v>
      </c>
    </row>
    <row r="136" spans="8:9" x14ac:dyDescent="0.45">
      <c r="H136" t="str">
        <f t="shared" si="2"/>
        <v>Seychelles</v>
      </c>
      <c r="I136" s="36">
        <f t="shared" si="1"/>
        <v>2.7889714747873384E-2</v>
      </c>
    </row>
    <row r="137" spans="8:9" x14ac:dyDescent="0.45">
      <c r="H137" t="str">
        <f t="shared" si="2"/>
        <v>Sierra Leone</v>
      </c>
      <c r="I137" s="36">
        <f t="shared" si="1"/>
        <v>2.7045014701472248E-2</v>
      </c>
    </row>
    <row r="138" spans="8:9" x14ac:dyDescent="0.45">
      <c r="H138" t="str">
        <f t="shared" si="2"/>
        <v>South Africa</v>
      </c>
      <c r="I138" s="36">
        <f t="shared" si="1"/>
        <v>6.2453307901254584E-2</v>
      </c>
    </row>
    <row r="139" spans="8:9" x14ac:dyDescent="0.45">
      <c r="H139" t="str">
        <f t="shared" si="2"/>
        <v>Sudan (Former)</v>
      </c>
      <c r="I139" s="36">
        <f t="shared" si="1"/>
        <v>-5.4883500836945265E-3</v>
      </c>
    </row>
    <row r="140" spans="8:9" x14ac:dyDescent="0.45">
      <c r="H140" t="str">
        <f t="shared" si="2"/>
        <v>Suriname</v>
      </c>
      <c r="I140" s="36">
        <f t="shared" si="1"/>
        <v>0.20116064026996239</v>
      </c>
    </row>
    <row r="141" spans="8:9" x14ac:dyDescent="0.45">
      <c r="H141" t="str">
        <f t="shared" si="2"/>
        <v>Thailand</v>
      </c>
      <c r="I141" s="36">
        <f t="shared" si="1"/>
        <v>0.1673950024227282</v>
      </c>
    </row>
    <row r="142" spans="8:9" x14ac:dyDescent="0.45">
      <c r="H142" t="str">
        <f t="shared" si="2"/>
        <v>Togo</v>
      </c>
      <c r="I142" s="36">
        <f t="shared" si="1"/>
        <v>0.11141532321940395</v>
      </c>
    </row>
    <row r="143" spans="8:9" x14ac:dyDescent="0.45">
      <c r="H143" t="str">
        <f t="shared" si="2"/>
        <v>Trinidad and Tobago</v>
      </c>
      <c r="I143" s="36">
        <f t="shared" si="1"/>
        <v>-2.5418552505422909E-2</v>
      </c>
    </row>
    <row r="144" spans="8:9" x14ac:dyDescent="0.45">
      <c r="H144" t="str">
        <f t="shared" si="2"/>
        <v>Turkey</v>
      </c>
      <c r="I144" s="36">
        <f t="shared" si="1"/>
        <v>0.1506150178189809</v>
      </c>
    </row>
    <row r="145" spans="8:9" x14ac:dyDescent="0.45">
      <c r="H145" t="str">
        <f t="shared" si="2"/>
        <v>Uruguay</v>
      </c>
      <c r="I145" s="36">
        <f t="shared" si="1"/>
        <v>-5.3107914499355924E-2</v>
      </c>
    </row>
    <row r="146" spans="8:9" x14ac:dyDescent="0.45">
      <c r="H146" t="str">
        <f t="shared" si="2"/>
        <v>Zambia</v>
      </c>
      <c r="I146" s="36">
        <f t="shared" si="1"/>
        <v>0.13219247220689478</v>
      </c>
    </row>
    <row r="147" spans="8:9" x14ac:dyDescent="0.45">
      <c r="H147" t="str">
        <f t="shared" si="2"/>
        <v>Zimbabwe</v>
      </c>
      <c r="I147" s="36">
        <f t="shared" si="1"/>
        <v>-5.4805626555471942E-2</v>
      </c>
    </row>
    <row r="148" spans="8:9" x14ac:dyDescent="0.45">
      <c r="I148" s="36"/>
    </row>
    <row r="149" spans="8:9" x14ac:dyDescent="0.45">
      <c r="I149" s="36"/>
    </row>
    <row r="150" spans="8:9" x14ac:dyDescent="0.45">
      <c r="I150" s="36"/>
    </row>
    <row r="151" spans="8:9" x14ac:dyDescent="0.45">
      <c r="I151" s="36"/>
    </row>
    <row r="152" spans="8:9" x14ac:dyDescent="0.45">
      <c r="I152" s="36"/>
    </row>
    <row r="153" spans="8:9" x14ac:dyDescent="0.45">
      <c r="I153" s="36"/>
    </row>
    <row r="154" spans="8:9" x14ac:dyDescent="0.45">
      <c r="I154" s="36"/>
    </row>
    <row r="155" spans="8:9" x14ac:dyDescent="0.45">
      <c r="I155" s="36"/>
    </row>
    <row r="156" spans="8:9" x14ac:dyDescent="0.45">
      <c r="I156" s="36"/>
    </row>
    <row r="157" spans="8:9" x14ac:dyDescent="0.45">
      <c r="I157" s="36"/>
    </row>
    <row r="158" spans="8:9" x14ac:dyDescent="0.45">
      <c r="I158" s="36"/>
    </row>
    <row r="159" spans="8:9" x14ac:dyDescent="0.45">
      <c r="I159" s="36"/>
    </row>
    <row r="160" spans="8:9" x14ac:dyDescent="0.45">
      <c r="I160" s="36"/>
    </row>
    <row r="161" spans="9:9" x14ac:dyDescent="0.45">
      <c r="I161" s="36"/>
    </row>
    <row r="162" spans="9:9" x14ac:dyDescent="0.45">
      <c r="I162" s="36"/>
    </row>
    <row r="163" spans="9:9" x14ac:dyDescent="0.45">
      <c r="I163" s="36"/>
    </row>
    <row r="164" spans="9:9" x14ac:dyDescent="0.45">
      <c r="I164" s="36"/>
    </row>
    <row r="165" spans="9:9" x14ac:dyDescent="0.45">
      <c r="I165" s="36"/>
    </row>
    <row r="166" spans="9:9" x14ac:dyDescent="0.45">
      <c r="I166" s="36"/>
    </row>
    <row r="167" spans="9:9" x14ac:dyDescent="0.45">
      <c r="I167" s="36"/>
    </row>
    <row r="168" spans="9:9" x14ac:dyDescent="0.45">
      <c r="I168" s="36"/>
    </row>
    <row r="169" spans="9:9" x14ac:dyDescent="0.45">
      <c r="I169" s="36"/>
    </row>
    <row r="170" spans="9:9" x14ac:dyDescent="0.45">
      <c r="I170" s="3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3EB-A44F-4F40-830A-296B566B3DFF}">
  <sheetPr codeName="Sheet4"/>
  <dimension ref="A1:BR75"/>
  <sheetViews>
    <sheetView topLeftCell="A52" workbookViewId="0">
      <selection activeCell="D68" sqref="D68"/>
    </sheetView>
  </sheetViews>
  <sheetFormatPr defaultRowHeight="14.25" x14ac:dyDescent="0.45"/>
  <cols>
    <col min="1" max="1" width="21.3984375" bestFit="1" customWidth="1"/>
    <col min="2" max="2" width="17.19921875" bestFit="1" customWidth="1"/>
    <col min="3" max="3" width="19.3984375" bestFit="1" customWidth="1"/>
    <col min="4" max="28" width="16.9296875" bestFit="1" customWidth="1"/>
    <col min="29" max="62" width="17.9296875" bestFit="1" customWidth="1"/>
  </cols>
  <sheetData>
    <row r="1" spans="1:70" x14ac:dyDescent="0.45">
      <c r="C1" t="str">
        <f>GDP!C11</f>
        <v>1960</v>
      </c>
      <c r="D1" t="str">
        <f>GDP!D11</f>
        <v>1961</v>
      </c>
      <c r="E1" t="str">
        <f>GDP!E11</f>
        <v>1962</v>
      </c>
      <c r="F1" t="str">
        <f>GDP!F11</f>
        <v>1963</v>
      </c>
      <c r="G1" t="str">
        <f>GDP!G11</f>
        <v>1964</v>
      </c>
      <c r="H1" t="str">
        <f>GDP!H11</f>
        <v>1965</v>
      </c>
      <c r="I1" t="str">
        <f>GDP!I11</f>
        <v>1966</v>
      </c>
      <c r="J1" t="str">
        <f>GDP!J11</f>
        <v>1967</v>
      </c>
      <c r="K1" t="str">
        <f>GDP!K11</f>
        <v>1968</v>
      </c>
      <c r="L1" t="str">
        <f>GDP!L11</f>
        <v>1969</v>
      </c>
      <c r="M1" t="str">
        <f>GDP!M11</f>
        <v>1970</v>
      </c>
      <c r="N1" t="str">
        <f>GDP!N11</f>
        <v>1971</v>
      </c>
      <c r="O1" t="str">
        <f>GDP!O11</f>
        <v>1972</v>
      </c>
      <c r="P1" t="str">
        <f>GDP!P11</f>
        <v>1973</v>
      </c>
      <c r="Q1" t="str">
        <f>GDP!Q11</f>
        <v>1974</v>
      </c>
      <c r="R1" t="str">
        <f>GDP!R11</f>
        <v>1975</v>
      </c>
      <c r="S1" t="str">
        <f>GDP!S11</f>
        <v>1976</v>
      </c>
      <c r="T1" t="str">
        <f>GDP!T11</f>
        <v>1977</v>
      </c>
      <c r="U1" t="str">
        <f>GDP!U11</f>
        <v>1978</v>
      </c>
      <c r="V1" t="str">
        <f>GDP!V11</f>
        <v>1979</v>
      </c>
      <c r="W1" t="str">
        <f>GDP!W11</f>
        <v>1980</v>
      </c>
      <c r="X1" t="str">
        <f>GDP!X11</f>
        <v>1981</v>
      </c>
      <c r="Y1" t="str">
        <f>GDP!Y11</f>
        <v>1982</v>
      </c>
      <c r="Z1" t="str">
        <f>GDP!Z11</f>
        <v>1983</v>
      </c>
      <c r="AA1" t="str">
        <f>GDP!AA11</f>
        <v>1984</v>
      </c>
      <c r="AB1" t="str">
        <f>GDP!AB11</f>
        <v>1985</v>
      </c>
      <c r="AC1" t="str">
        <f>GDP!AC11</f>
        <v>1986</v>
      </c>
      <c r="AD1" t="str">
        <f>GDP!AD11</f>
        <v>1987</v>
      </c>
      <c r="AE1" t="str">
        <f>GDP!AE11</f>
        <v>1988</v>
      </c>
      <c r="AF1" t="str">
        <f>GDP!AF11</f>
        <v>1989</v>
      </c>
      <c r="AG1" t="str">
        <f>GDP!AG11</f>
        <v>1990</v>
      </c>
      <c r="AH1" t="str">
        <f>GDP!AH11</f>
        <v>1991</v>
      </c>
      <c r="AI1" t="str">
        <f>GDP!AI11</f>
        <v>1992</v>
      </c>
      <c r="AJ1" t="str">
        <f>GDP!AJ11</f>
        <v>1993</v>
      </c>
      <c r="AK1" t="str">
        <f>GDP!AK11</f>
        <v>1994</v>
      </c>
      <c r="AL1" t="str">
        <f>GDP!AL11</f>
        <v>1995</v>
      </c>
      <c r="AM1" t="str">
        <f>GDP!AM11</f>
        <v>1996</v>
      </c>
      <c r="AN1" t="str">
        <f>GDP!AN11</f>
        <v>1997</v>
      </c>
      <c r="AO1" t="str">
        <f>GDP!AO11</f>
        <v>1998</v>
      </c>
      <c r="AP1" t="str">
        <f>GDP!AP11</f>
        <v>1999</v>
      </c>
      <c r="AQ1" t="str">
        <f>GDP!AQ11</f>
        <v>2000</v>
      </c>
      <c r="AR1" t="str">
        <f>GDP!AR11</f>
        <v>2001</v>
      </c>
      <c r="AS1" t="str">
        <f>GDP!AS11</f>
        <v>2002</v>
      </c>
      <c r="AT1" t="str">
        <f>GDP!AT11</f>
        <v>2003</v>
      </c>
      <c r="AU1" t="str">
        <f>GDP!AU11</f>
        <v>2004</v>
      </c>
      <c r="AV1" t="str">
        <f>GDP!AV11</f>
        <v>2005</v>
      </c>
      <c r="AW1" t="str">
        <f>GDP!AW11</f>
        <v>2006</v>
      </c>
      <c r="AX1" t="str">
        <f>GDP!AX11</f>
        <v>2007</v>
      </c>
      <c r="AY1" t="str">
        <f>GDP!AY11</f>
        <v>2008</v>
      </c>
      <c r="AZ1" t="str">
        <f>GDP!AZ11</f>
        <v>2009</v>
      </c>
      <c r="BA1" t="str">
        <f>GDP!BA11</f>
        <v>2010</v>
      </c>
      <c r="BB1" t="str">
        <f>GDP!BB11</f>
        <v>2011</v>
      </c>
      <c r="BC1" t="str">
        <f>GDP!BC11</f>
        <v>2012</v>
      </c>
      <c r="BD1" t="str">
        <f>GDP!BD11</f>
        <v>2013</v>
      </c>
      <c r="BE1" t="str">
        <f>GDP!BE11</f>
        <v>2014</v>
      </c>
      <c r="BF1" t="str">
        <f>GDP!BF11</f>
        <v>2015</v>
      </c>
      <c r="BG1" t="str">
        <f>GDP!BG11</f>
        <v>2016</v>
      </c>
      <c r="BH1" t="str">
        <f>GDP!BH11</f>
        <v>2017</v>
      </c>
      <c r="BI1" t="str">
        <f>GDP!BI11</f>
        <v>2018</v>
      </c>
      <c r="BJ1" t="str">
        <f>GDP!BJ11</f>
        <v>2019</v>
      </c>
    </row>
    <row r="2" spans="1:70" x14ac:dyDescent="0.45">
      <c r="B2" t="s">
        <v>26</v>
      </c>
      <c r="C2" cm="1">
        <f t="array" ref="C2">_xll.Theil(Population!C31:C88,GDP!C31:C88)</f>
        <v>0.24239200483180226</v>
      </c>
      <c r="D2" cm="1">
        <f t="array" ref="D2">_xll.Theil(Population!D31:D88,GDP!D31:D88)</f>
        <v>0.20786622866128671</v>
      </c>
      <c r="E2" cm="1">
        <f t="array" ref="E2">_xll.Theil(Population!E31:E88,GDP!E31:E88)</f>
        <v>0.21323833068078604</v>
      </c>
      <c r="F2" cm="1">
        <f t="array" ref="F2">_xll.Theil(Population!F31:F88,GDP!F31:F88)</f>
        <v>0.21248076508079033</v>
      </c>
      <c r="G2" cm="1">
        <f t="array" ref="G2">_xll.Theil(Population!G31:G88,GDP!G31:G88)</f>
        <v>0.20014748564549906</v>
      </c>
      <c r="H2" cm="1">
        <f t="array" ref="H2">_xll.Theil(Population!H31:H88,GDP!H31:H88)</f>
        <v>0.198496418317018</v>
      </c>
      <c r="I2" cm="1">
        <f t="array" ref="I2">_xll.Theil(Population!I31:I88,GDP!I31:I88)</f>
        <v>0.27612605445251959</v>
      </c>
      <c r="J2" cm="1">
        <f t="array" ref="J2">_xll.Theil(Population!J31:J88,GDP!J31:J88)</f>
        <v>0.27932463863591706</v>
      </c>
      <c r="K2" cm="1">
        <f t="array" ref="K2">_xll.Theil(Population!K31:K88,GDP!K31:K88)</f>
        <v>0.28756554294252773</v>
      </c>
      <c r="L2" cm="1">
        <f t="array" ref="L2">_xll.Theil(Population!L31:L88,GDP!L31:L88)</f>
        <v>0.29047013174464553</v>
      </c>
      <c r="M2" cm="1">
        <f t="array" ref="M2">_xll.Theil(Population!M31:M88,GDP!M31:M88)</f>
        <v>0.28225720777686092</v>
      </c>
      <c r="N2" cm="1">
        <f t="array" ref="N2">_xll.Theil(Population!N31:N88,GDP!N31:N88)</f>
        <v>0.30368111779267026</v>
      </c>
      <c r="O2" cm="1">
        <f t="array" ref="O2">_xll.Theil(Population!O31:O88,GDP!O31:O88)</f>
        <v>0.33079110289224806</v>
      </c>
      <c r="P2" cm="1">
        <f t="array" ref="P2">_xll.Theil(Population!P31:P88,GDP!P31:P88)</f>
        <v>0.37001920899769286</v>
      </c>
      <c r="Q2" cm="1">
        <f t="array" ref="Q2">_xll.Theil(Population!Q31:Q88,GDP!Q31:Q88)</f>
        <v>0.37366059247153027</v>
      </c>
      <c r="R2" cm="1">
        <f t="array" ref="R2">_xll.Theil(Population!R31:R88,GDP!R31:R88)</f>
        <v>0.39283086146977414</v>
      </c>
      <c r="S2" cm="1">
        <f t="array" ref="S2">_xll.Theil(Population!S31:S88,GDP!S31:S88)</f>
        <v>0.42429541845998342</v>
      </c>
      <c r="T2" cm="1">
        <f t="array" ref="T2">_xll.Theil(Population!T31:T88,GDP!T31:T88)</f>
        <v>0.40558359663678301</v>
      </c>
      <c r="U2" cm="1">
        <f t="array" ref="U2">_xll.Theil(Population!U31:U88,GDP!U31:U88)</f>
        <v>0.40604149960298747</v>
      </c>
      <c r="V2" cm="1">
        <f t="array" ref="V2">_xll.Theil(Population!V31:V88,GDP!V31:V88)</f>
        <v>0.435269801395124</v>
      </c>
      <c r="W2" cm="1">
        <f t="array" ref="W2">_xll.Theil(Population!W31:W88,GDP!W31:W88)</f>
        <v>0.44610075283405176</v>
      </c>
      <c r="X2" cm="1">
        <f t="array" ref="X2">_xll.Theil(Population!X31:X88,GDP!X31:X88)</f>
        <v>0.49280324929338798</v>
      </c>
      <c r="Y2" cm="1">
        <f t="array" ref="Y2">_xll.Theil(Population!Y31:Y88,GDP!Y31:Y88)</f>
        <v>0.43010372784301315</v>
      </c>
      <c r="Z2" cm="1">
        <f t="array" ref="Z2">_xll.Theil(Population!Z31:Z88,GDP!Z31:Z88)</f>
        <v>0.36630077670911576</v>
      </c>
      <c r="AA2" cm="1">
        <f t="array" ref="AA2">_xll.Theil(Population!AA31:AA88,GDP!AA31:AA88)</f>
        <v>0.39096198124974008</v>
      </c>
      <c r="AB2" cm="1">
        <f t="array" ref="AB2">_xll.Theil(Population!AB31:AB88,GDP!AB31:AB88)</f>
        <v>0.36970983872359547</v>
      </c>
      <c r="AC2" cm="1">
        <f t="array" ref="AC2">_xll.Theil(Population!AC31:AC88,GDP!AC31:AC88)</f>
        <v>0.34216614429000902</v>
      </c>
      <c r="AD2" cm="1">
        <f t="array" ref="AD2">_xll.Theil(Population!AD31:AD88,GDP!AD31:AD88)</f>
        <v>0.35321200651823531</v>
      </c>
      <c r="AE2" cm="1">
        <f t="array" ref="AE2">_xll.Theil(Population!AE31:AE88,GDP!AE31:AE88)</f>
        <v>0.3718716360208556</v>
      </c>
      <c r="AF2" cm="1">
        <f t="array" ref="AF2">_xll.Theil(Population!AF31:AF88,GDP!AF31:AF88)</f>
        <v>0.44112399685217862</v>
      </c>
      <c r="AG2" cm="1">
        <f t="array" ref="AG2">_xll.Theil(Population!AG31:AG88,GDP!AG31:AG88)</f>
        <v>0.46612117689063282</v>
      </c>
      <c r="AH2" cm="1">
        <f t="array" ref="AH2">_xll.Theil(Population!AH31:AH88,GDP!AH31:AH88)</f>
        <v>0.57934368709099782</v>
      </c>
      <c r="AI2" cm="1">
        <f t="array" ref="AI2">_xll.Theil(Population!AI31:AI88,GDP!AI31:AI88)</f>
        <v>0.54035626661761538</v>
      </c>
      <c r="AJ2" cm="1">
        <f t="array" ref="AJ2">_xll.Theil(Population!AJ31:AJ88,GDP!AJ31:AJ88)</f>
        <v>0.63749656074381877</v>
      </c>
      <c r="AK2" cm="1">
        <f t="array" ref="AK2">_xll.Theil(Population!AK31:AK88,GDP!AK31:AK88)</f>
        <v>0.6339486863733077</v>
      </c>
      <c r="AL2" cm="1">
        <f t="array" ref="AL2">_xll.Theil(Population!AL31:AL88,GDP!AL31:AL88)</f>
        <v>0.60396257961492306</v>
      </c>
      <c r="AM2" cm="1">
        <f t="array" ref="AM2">_xll.Theil(Population!AM31:AM88,GDP!AM31:AM88)</f>
        <v>0.60704920663152284</v>
      </c>
      <c r="AN2" cm="1">
        <f t="array" ref="AN2">_xll.Theil(Population!AN31:AN88,GDP!AN31:AN88)</f>
        <v>0.62337811843718738</v>
      </c>
      <c r="AO2" cm="1">
        <f t="array" ref="AO2">_xll.Theil(Population!AO31:AO88,GDP!AO31:AO88)</f>
        <v>0.63760803167604518</v>
      </c>
      <c r="AP2" cm="1">
        <f t="array" ref="AP2">_xll.Theil(Population!AP31:AP88,GDP!AP31:AP88)</f>
        <v>0.58564599288866104</v>
      </c>
      <c r="AQ2" cm="1">
        <f t="array" ref="AQ2">_xll.Theil(Population!AQ31:AQ88,GDP!AQ31:AQ88)</f>
        <v>0.61123537579785236</v>
      </c>
      <c r="AR2" cm="1">
        <f t="array" ref="AR2">_xll.Theil(Population!AR31:AR88,GDP!AR31:AR88)</f>
        <v>0.60891005115225494</v>
      </c>
      <c r="AS2" cm="1">
        <f t="array" ref="AS2">_xll.Theil(Population!AS31:AS88,GDP!AS31:AS88)</f>
        <v>0.58779984347071845</v>
      </c>
      <c r="AT2" cm="1">
        <f t="array" ref="AT2">_xll.Theil(Population!AT31:AT88,GDP!AT31:AT88)</f>
        <v>0.54113595067453513</v>
      </c>
      <c r="AU2" cm="1">
        <f t="array" ref="AU2">_xll.Theil(Population!AU31:AU88,GDP!AU31:AU88)</f>
        <v>0.53726901020930651</v>
      </c>
      <c r="AV2" cm="1">
        <f t="array" ref="AV2">_xll.Theil(Population!AV31:AV88,GDP!AV31:AV88)</f>
        <v>0.54658063192480777</v>
      </c>
      <c r="AW2" cm="1">
        <f t="array" ref="AW2">_xll.Theil(Population!AW31:AW88,GDP!AW31:AW88)</f>
        <v>0.53672089104177234</v>
      </c>
      <c r="AX2" cm="1">
        <f t="array" ref="AX2">_xll.Theil(Population!AX31:AX88,GDP!AX31:AX88)</f>
        <v>0.51161485979276766</v>
      </c>
      <c r="AY2" cm="1">
        <f t="array" ref="AY2">_xll.Theil(Population!AY31:AY88,GDP!AY31:AY88)</f>
        <v>0.5383561323214856</v>
      </c>
      <c r="AZ2" cm="1">
        <f t="array" ref="AZ2">_xll.Theil(Population!AZ31:AZ88,GDP!AZ31:AZ88)</f>
        <v>0.47700347679418054</v>
      </c>
      <c r="BA2" cm="1">
        <f t="array" ref="BA2">_xll.Theil(Population!BA31:BA88,GDP!BA31:BA88)</f>
        <v>0.49522497788103631</v>
      </c>
      <c r="BB2" cm="1">
        <f t="array" ref="BB2">_xll.Theil(Population!BB31:BB88,GDP!BB31:BB88)</f>
        <v>0.51172024469855282</v>
      </c>
      <c r="BC2" cm="1">
        <f t="array" ref="BC2">_xll.Theil(Population!BC31:BC88,GDP!BC31:BC88)</f>
        <v>0.49784526612231289</v>
      </c>
      <c r="BD2" cm="1">
        <f t="array" ref="BD2">_xll.Theil(Population!BD31:BD88,GDP!BD31:BD88)</f>
        <v>0.49339967234125848</v>
      </c>
      <c r="BE2" cm="1">
        <f t="array" ref="BE2">_xll.Theil(Population!BE31:BE88,GDP!BE31:BE88)</f>
        <v>0.45977014108275926</v>
      </c>
      <c r="BF2" cm="1">
        <f t="array" ref="BF2">_xll.Theil(Population!BF31:BF88,GDP!BF31:BF88)</f>
        <v>0.38633930566578395</v>
      </c>
      <c r="BG2" cm="1">
        <f t="array" ref="BG2">_xll.Theil(Population!BG31:BG88,GDP!BG31:BG88)</f>
        <v>0.36560379438920892</v>
      </c>
      <c r="BH2" cm="1">
        <f t="array" ref="BH2">_xll.Theil(Population!BH31:BH88,GDP!BH31:BH88)</f>
        <v>0.35817896459949056</v>
      </c>
      <c r="BI2" cm="1">
        <f t="array" ref="BI2">_xll.Theil(Population!BI31:BI88,GDP!BI31:BI88)</f>
        <v>0.34272434270845853</v>
      </c>
      <c r="BJ2" cm="1">
        <f t="array" ref="BJ2">_xll.Theil(Population!BJ31:BJ88,GDP!BJ31:BJ88)</f>
        <v>0.33063296702408401</v>
      </c>
    </row>
    <row r="3" spans="1:70" x14ac:dyDescent="0.45">
      <c r="B3" t="s">
        <v>25</v>
      </c>
      <c r="C3" cm="1">
        <f t="array" ref="C3">_xll.Theil(Population!C12:C30,GDP!C12:C30)</f>
        <v>0.24751014765127183</v>
      </c>
      <c r="D3" cm="1">
        <f t="array" ref="D3">_xll.Theil(Population!D12:D30,GDP!D12:D30)</f>
        <v>0.23225728713974053</v>
      </c>
      <c r="E3" cm="1">
        <f t="array" ref="E3">_xll.Theil(Population!E12:E30,GDP!E12:E30)</f>
        <v>0.22322886857938609</v>
      </c>
      <c r="F3" cm="1">
        <f t="array" ref="F3">_xll.Theil(Population!F12:F30,GDP!F12:F30)</f>
        <v>0.20486230463118457</v>
      </c>
      <c r="G3" cm="1">
        <f t="array" ref="G3">_xll.Theil(Population!G12:G30,GDP!G12:G30)</f>
        <v>0.19534307528767003</v>
      </c>
      <c r="H3" cm="1">
        <f t="array" ref="H3">_xll.Theil(Population!H12:H30,GDP!H12:H30)</f>
        <v>0.1929320108333242</v>
      </c>
      <c r="I3" cm="1">
        <f t="array" ref="I3">_xll.Theil(Population!I12:I30,GDP!I12:I30)</f>
        <v>0.1876033130603636</v>
      </c>
      <c r="J3" cm="1">
        <f t="array" ref="J3">_xll.Theil(Population!J12:J30,GDP!J12:J30)</f>
        <v>0.17542033864736126</v>
      </c>
      <c r="K3" cm="1">
        <f t="array" ref="K3">_xll.Theil(Population!K12:K30,GDP!K12:K30)</f>
        <v>0.17509325101944226</v>
      </c>
      <c r="L3" cm="1">
        <f t="array" ref="L3">_xll.Theil(Population!L12:L30,GDP!L12:L30)</f>
        <v>0.16461986817046373</v>
      </c>
      <c r="M3" cm="1">
        <f t="array" ref="M3">_xll.Theil(Population!M12:M30,GDP!M12:M30)</f>
        <v>0.1428498557736031</v>
      </c>
      <c r="N3" cm="1">
        <f t="array" ref="N3">_xll.Theil(Population!N12:N30,GDP!N12:N30)</f>
        <v>0.13566695384950214</v>
      </c>
      <c r="O3" cm="1">
        <f t="array" ref="O3">_xll.Theil(Population!O12:O30,GDP!O12:O30)</f>
        <v>0.11541656373584917</v>
      </c>
      <c r="P3" cm="1">
        <f t="array" ref="P3">_xll.Theil(Population!P12:P30,GDP!P12:P30)</f>
        <v>9.4766918085226359E-2</v>
      </c>
      <c r="Q3" cm="1">
        <f t="array" ref="Q3">_xll.Theil(Population!Q12:Q30,GDP!Q12:Q30)</f>
        <v>8.6562623135920322E-2</v>
      </c>
      <c r="R3" cm="1">
        <f t="array" ref="R3">_xll.Theil(Population!R12:R30,GDP!R12:R30)</f>
        <v>8.4230429500342277E-2</v>
      </c>
      <c r="S3" cm="1">
        <f t="array" ref="S3">_xll.Theil(Population!S12:S30,GDP!S12:S30)</f>
        <v>8.9136969768421712E-2</v>
      </c>
      <c r="T3" cm="1">
        <f t="array" ref="T3">_xll.Theil(Population!T12:T30,GDP!T12:T30)</f>
        <v>8.2011059139624781E-2</v>
      </c>
      <c r="U3" cm="1">
        <f t="array" ref="U3">_xll.Theil(Population!U12:U30,GDP!U12:U30)</f>
        <v>7.0324330554189324E-2</v>
      </c>
      <c r="V3" cm="1">
        <f t="array" ref="V3">_xll.Theil(Population!V12:V30,GDP!V12:V30)</f>
        <v>5.9372237078321573E-2</v>
      </c>
      <c r="W3" cm="1">
        <f t="array" ref="W3">_xll.Theil(Population!W12:W30,GDP!W12:W30)</f>
        <v>5.8868682838364467E-2</v>
      </c>
      <c r="X3" cm="1">
        <f t="array" ref="X3">_xll.Theil(Population!X12:X30,GDP!X12:X30)</f>
        <v>6.7553280703203045E-2</v>
      </c>
      <c r="Y3" cm="1">
        <f t="array" ref="Y3">_xll.Theil(Population!Y12:Y30,GDP!Y12:Y30)</f>
        <v>7.3248123736114029E-2</v>
      </c>
      <c r="Z3" cm="1">
        <f t="array" ref="Z3">_xll.Theil(Population!Z12:Z30,GDP!Z12:Z30)</f>
        <v>8.3399837735782301E-2</v>
      </c>
      <c r="AA3" cm="1">
        <f t="array" ref="AA3">_xll.Theil(Population!AA12:AA30,GDP!AA12:AA30)</f>
        <v>9.8632377145429717E-2</v>
      </c>
      <c r="AB3" cm="1">
        <f t="array" ref="AB3">_xll.Theil(Population!AB12:AB30,GDP!AB12:AB30)</f>
        <v>0.1031480143902412</v>
      </c>
      <c r="AC3" cm="1">
        <f t="array" ref="AC3">_xll.Theil(Population!AC12:AC30,GDP!AC12:AC30)</f>
        <v>7.4897792479270184E-2</v>
      </c>
      <c r="AD3" cm="1">
        <f t="array" ref="AD3">_xll.Theil(Population!AD12:AD30,GDP!AD12:AD30)</f>
        <v>6.2589288377732907E-2</v>
      </c>
      <c r="AE3" cm="1">
        <f t="array" ref="AE3">_xll.Theil(Population!AE12:AE30,GDP!AE12:AE30)</f>
        <v>5.7298446531876879E-2</v>
      </c>
      <c r="AF3" cm="1">
        <f t="array" ref="AF3">_xll.Theil(Population!AF12:AF30,GDP!AF12:AF30)</f>
        <v>5.1177722637423428E-2</v>
      </c>
      <c r="AG3" cm="1">
        <f t="array" ref="AG3">_xll.Theil(Population!AG12:AG30,GDP!AG12:AG30)</f>
        <v>3.870721847074679E-2</v>
      </c>
      <c r="AH3" cm="1">
        <f t="array" ref="AH3">_xll.Theil(Population!AH12:AH30,GDP!AH12:AH30)</f>
        <v>3.7949930290087273E-2</v>
      </c>
      <c r="AI3" cm="1">
        <f t="array" ref="AI3">_xll.Theil(Population!AI12:AI30,GDP!AI12:AI30)</f>
        <v>3.7960720265014673E-2</v>
      </c>
      <c r="AJ3" cm="1">
        <f t="array" ref="AJ3">_xll.Theil(Population!AJ12:AJ30,GDP!AJ12:AJ30)</f>
        <v>5.4536572807869235E-2</v>
      </c>
      <c r="AK3" cm="1">
        <f t="array" ref="AK3">_xll.Theil(Population!AK12:AK30,GDP!AK12:AK30)</f>
        <v>5.663141479896594E-2</v>
      </c>
      <c r="AL3" cm="1">
        <f t="array" ref="AL3">_xll.Theil(Population!AL12:AL30,GDP!AL12:AL30)</f>
        <v>5.1816975185750569E-2</v>
      </c>
      <c r="AM3" cm="1">
        <f t="array" ref="AM3">_xll.Theil(Population!AM12:AM30,GDP!AM12:AM30)</f>
        <v>3.597466301099693E-2</v>
      </c>
      <c r="AN3" cm="1">
        <f t="array" ref="AN3">_xll.Theil(Population!AN12:AN30,GDP!AN12:AN30)</f>
        <v>3.6439134700754404E-2</v>
      </c>
      <c r="AO3" cm="1">
        <f t="array" ref="AO3">_xll.Theil(Population!AO12:AO30,GDP!AO12:AO30)</f>
        <v>4.3427544912709053E-2</v>
      </c>
      <c r="AP3" cm="1">
        <f t="array" ref="AP3">_xll.Theil(Population!AP12:AP30,GDP!AP12:AP30)</f>
        <v>4.4585816048702098E-2</v>
      </c>
      <c r="AQ3" cm="1">
        <f t="array" ref="AQ3">_xll.Theil(Population!AQ12:AQ30,GDP!AQ12:AQ30)</f>
        <v>5.330140912194678E-2</v>
      </c>
      <c r="AR3" cm="1">
        <f t="array" ref="AR3">_xll.Theil(Population!AR12:AR30,GDP!AR12:AR30)</f>
        <v>5.1543814324237186E-2</v>
      </c>
      <c r="AS3" cm="1">
        <f t="array" ref="AS3">_xll.Theil(Population!AS12:AS30,GDP!AS12:AS30)</f>
        <v>4.3586711503730557E-2</v>
      </c>
      <c r="AT3" cm="1">
        <f t="array" ref="AT3">_xll.Theil(Population!AT12:AT30,GDP!AT12:AT30)</f>
        <v>3.1398660243602196E-2</v>
      </c>
      <c r="AU3" cm="1">
        <f t="array" ref="AU3">_xll.Theil(Population!AU12:AU30,GDP!AU12:AU30)</f>
        <v>2.6087623879924582E-2</v>
      </c>
      <c r="AV3" cm="1">
        <f t="array" ref="AV3">_xll.Theil(Population!AV12:AV30,GDP!AV12:AV30)</f>
        <v>2.4581379886806524E-2</v>
      </c>
      <c r="AW3" cm="1">
        <f t="array" ref="AW3">_xll.Theil(Population!AW12:AW30,GDP!AW12:AW30)</f>
        <v>2.431845941180602E-2</v>
      </c>
      <c r="AX3" cm="1">
        <f t="array" ref="AX3">_xll.Theil(Population!AX12:AX30,GDP!AX12:AX30)</f>
        <v>2.2610451248951446E-2</v>
      </c>
      <c r="AY3" cm="1">
        <f t="array" ref="AY3">_xll.Theil(Population!AY12:AY30,GDP!AY12:AY30)</f>
        <v>2.218537240270689E-2</v>
      </c>
      <c r="AZ3" cm="1">
        <f t="array" ref="AZ3">_xll.Theil(Population!AZ12:AZ30,GDP!AZ12:AZ30)</f>
        <v>2.2433333815242519E-2</v>
      </c>
      <c r="BA3" cm="1">
        <f t="array" ref="BA3">_xll.Theil(Population!BA12:BA30,GDP!BA12:BA30)</f>
        <v>2.2145685619337403E-2</v>
      </c>
      <c r="BB3" cm="1">
        <f t="array" ref="BB3">_xll.Theil(Population!BB12:BB30,GDP!BB12:BB30)</f>
        <v>2.341849187455965E-2</v>
      </c>
      <c r="BC3" cm="1">
        <f t="array" ref="BC3">_xll.Theil(Population!BC12:BC30,GDP!BC12:BC30)</f>
        <v>2.9935724157291246E-2</v>
      </c>
      <c r="BD3" cm="1">
        <f t="array" ref="BD3">_xll.Theil(Population!BD12:BD30,GDP!BD12:BD30)</f>
        <v>3.045006981712433E-2</v>
      </c>
      <c r="BE3" cm="1">
        <f t="array" ref="BE3">_xll.Theil(Population!BE12:BE30,GDP!BE12:BE30)</f>
        <v>3.0343844864544368E-2</v>
      </c>
      <c r="BF3" cm="1">
        <f t="array" ref="BF3">_xll.Theil(Population!BF12:BF30,GDP!BF12:BF30)</f>
        <v>4.1505007515458686E-2</v>
      </c>
      <c r="BG3" cm="1">
        <f t="array" ref="BG3">_xll.Theil(Population!BG12:BG30,GDP!BG12:BG30)</f>
        <v>3.8049683473195942E-2</v>
      </c>
      <c r="BH3" cm="1">
        <f t="array" ref="BH3">_xll.Theil(Population!BH12:BH30,GDP!BH12:BH30)</f>
        <v>3.8043551745226778E-2</v>
      </c>
      <c r="BI3" cm="1">
        <f t="array" ref="BI3">_xll.Theil(Population!BI12:BI30,GDP!BI12:BI30)</f>
        <v>3.7407344990651889E-2</v>
      </c>
      <c r="BJ3" cm="1">
        <f t="array" ref="BJ3">_xll.Theil(Population!BJ12:BJ30,GDP!BJ12:BJ30)</f>
        <v>4.280584132603682E-2</v>
      </c>
    </row>
    <row r="4" spans="1:70" x14ac:dyDescent="0.45">
      <c r="B4" t="s">
        <v>168</v>
      </c>
      <c r="C4" cm="1">
        <f t="array" ref="C4">_xll.Theil(Population!C1:C2,GDP!C1:C2)</f>
        <v>0.52188436896577417</v>
      </c>
      <c r="D4" cm="1">
        <f t="array" ref="D4">_xll.Theil(Population!D1:D2,GDP!D1:D2)</f>
        <v>0.53872500127167378</v>
      </c>
      <c r="E4" cm="1">
        <f t="array" ref="E4">_xll.Theil(Population!E1:E2,GDP!E1:E2)</f>
        <v>0.54390683680953389</v>
      </c>
      <c r="F4" cm="1">
        <f t="array" ref="F4">_xll.Theil(Population!F1:F2,GDP!F1:F2)</f>
        <v>0.53744725389844605</v>
      </c>
      <c r="G4" cm="1">
        <f t="array" ref="G4">_xll.Theil(Population!G1:G2,GDP!G1:G2)</f>
        <v>0.54604484608430759</v>
      </c>
      <c r="H4" cm="1">
        <f t="array" ref="H4">_xll.Theil(Population!H1:H2,GDP!H1:H2)</f>
        <v>0.5569166407936279</v>
      </c>
      <c r="I4" cm="1">
        <f t="array" ref="I4">_xll.Theil(Population!I1:I2,GDP!I1:I2)</f>
        <v>0.58453262738379863</v>
      </c>
      <c r="J4" cm="1">
        <f t="array" ref="J4">_xll.Theil(Population!J1:J2,GDP!J1:J2)</f>
        <v>0.59282487927412952</v>
      </c>
      <c r="K4" cm="1">
        <f t="array" ref="K4">_xll.Theil(Population!K1:K2,GDP!K1:K2)</f>
        <v>0.60482723940430816</v>
      </c>
      <c r="L4" cm="1">
        <f t="array" ref="L4">_xll.Theil(Population!L1:L2,GDP!L1:L2)</f>
        <v>0.6076741759093458</v>
      </c>
      <c r="M4" cm="1">
        <f t="array" ref="M4">_xll.Theil(Population!M1:M2,GDP!M1:M2)</f>
        <v>0.6174306618266725</v>
      </c>
      <c r="N4" cm="1">
        <f t="array" ref="N4">_xll.Theil(Population!N1:N2,GDP!N1:N2)</f>
        <v>0.63130534357879331</v>
      </c>
      <c r="O4" cm="1">
        <f t="array" ref="O4">_xll.Theil(Population!O1:O2,GDP!O1:O2)</f>
        <v>0.65145362014031483</v>
      </c>
      <c r="P4" cm="1">
        <f t="array" ref="P4">_xll.Theil(Population!P1:P2,GDP!P1:P2)</f>
        <v>0.64596999584933212</v>
      </c>
      <c r="Q4" cm="1">
        <f t="array" ref="Q4">_xll.Theil(Population!Q1:Q2,GDP!Q1:Q2)</f>
        <v>0.61276537217491833</v>
      </c>
      <c r="R4" cm="1">
        <f t="array" ref="R4">_xll.Theil(Population!R1:R2,GDP!R1:R2)</f>
        <v>0.62343080164301412</v>
      </c>
      <c r="S4" cm="1">
        <f t="array" ref="S4">_xll.Theil(Population!S1:S2,GDP!S1:S2)</f>
        <v>0.62901679982855452</v>
      </c>
      <c r="T4" cm="1">
        <f t="array" ref="T4">_xll.Theil(Population!T1:T2,GDP!T1:T2)</f>
        <v>0.64306384415820417</v>
      </c>
      <c r="U4" cm="1">
        <f t="array" ref="U4">_xll.Theil(Population!U1:U2,GDP!U1:U2)</f>
        <v>0.66780747171783617</v>
      </c>
      <c r="V4" cm="1">
        <f t="array" ref="V4">_xll.Theil(Population!V1:V2,GDP!V1:V2)</f>
        <v>0.66342517490136965</v>
      </c>
      <c r="W4" cm="1">
        <f t="array" ref="W4">_xll.Theil(Population!W1:W2,GDP!W1:W2)</f>
        <v>0.65139086504995869</v>
      </c>
      <c r="X4" cm="1">
        <f t="array" ref="X4">_xll.Theil(Population!X1:X2,GDP!X1:X2)</f>
        <v>0.61363337667730777</v>
      </c>
      <c r="Y4" cm="1">
        <f t="array" ref="Y4">_xll.Theil(Population!Y1:Y2,GDP!Y1:Y2)</f>
        <v>0.64427504539373459</v>
      </c>
      <c r="Z4" cm="1">
        <f t="array" ref="Z4">_xll.Theil(Population!Z1:Z2,GDP!Z1:Z2)</f>
        <v>0.70710100569404577</v>
      </c>
      <c r="AA4" cm="1">
        <f t="array" ref="AA4">_xll.Theil(Population!AA1:AA2,GDP!AA1:AA2)</f>
        <v>0.73518203948961425</v>
      </c>
      <c r="AB4" cm="1">
        <f t="array" ref="AB4">_xll.Theil(Population!AB1:AB2,GDP!AB1:AB2)</f>
        <v>0.75843691039919492</v>
      </c>
      <c r="AC4" cm="1">
        <f t="array" ref="AC4">_xll.Theil(Population!AC1:AC2,GDP!AC1:AC2)</f>
        <v>0.82487053329540738</v>
      </c>
      <c r="AD4" cm="1">
        <f t="array" ref="AD4">_xll.Theil(Population!AD1:AD2,GDP!AD1:AD2)</f>
        <v>0.84504998972305068</v>
      </c>
      <c r="AE4" cm="1">
        <f t="array" ref="AE4">_xll.Theil(Population!AE1:AE2,GDP!AE1:AE2)</f>
        <v>0.86677122977275711</v>
      </c>
      <c r="AF4" cm="1">
        <f t="array" ref="AF4">_xll.Theil(Population!AF1:AF2,GDP!AF1:AF2)</f>
        <v>0.85694562027981391</v>
      </c>
      <c r="AG4" cm="1">
        <f t="array" ref="AG4">_xll.Theil(Population!AG1:AG2,GDP!AG1:AG2)</f>
        <v>0.86098544809133637</v>
      </c>
      <c r="AH4" cm="1">
        <f t="array" ref="AH4">_xll.Theil(Population!AH1:AH2,GDP!AH1:AH2)</f>
        <v>0.85790150161326428</v>
      </c>
      <c r="AI4" cm="1">
        <f t="array" ref="AI4">_xll.Theil(Population!AI1:AI2,GDP!AI1:AI2)</f>
        <v>0.89612723230145797</v>
      </c>
      <c r="AJ4" cm="1">
        <f t="array" ref="AJ4">_xll.Theil(Population!AJ1:AJ2,GDP!AJ1:AJ2)</f>
        <v>0.87713177481857219</v>
      </c>
      <c r="AK4" cm="1">
        <f t="array" ref="AK4">_xll.Theil(Population!AK1:AK2,GDP!AK1:AK2)</f>
        <v>0.87768115168187044</v>
      </c>
      <c r="AL4" cm="1">
        <f t="array" ref="AL4">_xll.Theil(Population!AL1:AL2,GDP!AL1:AL2)</f>
        <v>0.88566286342460754</v>
      </c>
      <c r="AM4" cm="1">
        <f t="array" ref="AM4">_xll.Theil(Population!AM1:AM2,GDP!AM1:AM2)</f>
        <v>0.86896119690139462</v>
      </c>
      <c r="AN4" cm="1">
        <f t="array" ref="AN4">_xll.Theil(Population!AN1:AN2,GDP!AN1:AN2)</f>
        <v>0.85578644164162565</v>
      </c>
      <c r="AO4" cm="1">
        <f t="array" ref="AO4">_xll.Theil(Population!AO1:AO2,GDP!AO1:AO2)</f>
        <v>0.86491904823118926</v>
      </c>
      <c r="AP4" cm="1">
        <f t="array" ref="AP4">_xll.Theil(Population!AP1:AP2,GDP!AP1:AP2)</f>
        <v>0.91050161838959331</v>
      </c>
      <c r="AQ4" cm="1">
        <f t="array" ref="AQ4">_xll.Theil(Population!AQ1:AQ2,GDP!AQ1:AQ2)</f>
        <v>0.89945427930882649</v>
      </c>
      <c r="AR4" cm="1">
        <f t="array" ref="AR4">_xll.Theil(Population!AR1:AR2,GDP!AR1:AR2)</f>
        <v>0.91632141292669123</v>
      </c>
      <c r="AS4" cm="1">
        <f t="array" ref="AS4">_xll.Theil(Population!AS1:AS2,GDP!AS1:AS2)</f>
        <v>0.92678368954487289</v>
      </c>
      <c r="AT4" cm="1">
        <f t="array" ref="AT4">_xll.Theil(Population!AT1:AT2,GDP!AT1:AT2)</f>
        <v>0.93714302196230137</v>
      </c>
      <c r="AU4" cm="1">
        <f t="array" ref="AU4">_xll.Theil(Population!AU1:AU2,GDP!AU1:AU2)</f>
        <v>0.92553226292164914</v>
      </c>
      <c r="AV4" cm="1">
        <f t="array" ref="AV4">_xll.Theil(Population!AV1:AV2,GDP!AV1:AV2)</f>
        <v>0.88920843170525821</v>
      </c>
      <c r="AW4" cm="1">
        <f t="array" ref="AW4">_xll.Theil(Population!AW1:AW2,GDP!AW1:AW2)</f>
        <v>0.85851054160078022</v>
      </c>
      <c r="AX4" cm="1">
        <f t="array" ref="AX4">_xll.Theil(Population!AX1:AX2,GDP!AX1:AX2)</f>
        <v>0.82630955579936027</v>
      </c>
      <c r="AY4" cm="1">
        <f t="array" ref="AY4">_xll.Theil(Population!AY1:AY2,GDP!AY1:AY2)</f>
        <v>0.80900975272426601</v>
      </c>
      <c r="AZ4" cm="1">
        <f t="array" ref="AZ4">_xll.Theil(Population!AZ1:AZ2,GDP!AZ1:AZ2)</f>
        <v>0.81130963037499537</v>
      </c>
      <c r="BA4" cm="1">
        <f t="array" ref="BA4">_xll.Theil(Population!BA1:BA2,GDP!BA1:BA2)</f>
        <v>0.74800316726279104</v>
      </c>
      <c r="BB4" cm="1">
        <f t="array" ref="BB4">_xll.Theil(Population!BB1:BB2,GDP!BB1:BB2)</f>
        <v>0.7291864839501585</v>
      </c>
      <c r="BC4" cm="1">
        <f t="array" ref="BC4">_xll.Theil(Population!BC1:BC2,GDP!BC1:BC2)</f>
        <v>0.73068206447403328</v>
      </c>
      <c r="BD4" cm="1">
        <f t="array" ref="BD4">_xll.Theil(Population!BD1:BD2,GDP!BD1:BD2)</f>
        <v>0.72137225527590387</v>
      </c>
      <c r="BE4" cm="1">
        <f t="array" ref="BE4">_xll.Theil(Population!BE1:BE2,GDP!BE1:BE2)</f>
        <v>0.7238677633493823</v>
      </c>
      <c r="BF4" cm="1">
        <f t="array" ref="BF4">_xll.Theil(Population!BF1:BF2,GDP!BF1:BF2)</f>
        <v>0.75441239998863896</v>
      </c>
      <c r="BG4" cm="1">
        <f t="array" ref="BG4">_xll.Theil(Population!BG1:BG2,GDP!BG1:BG2)</f>
        <v>0.76826991354103336</v>
      </c>
      <c r="BH4" cm="1">
        <f t="array" ref="BH4">_xll.Theil(Population!BH1:BH2,GDP!BH1:BH2)</f>
        <v>0.75014791265022684</v>
      </c>
      <c r="BI4" cm="1">
        <f t="array" ref="BI4">_xll.Theil(Population!BI1:BI2,GDP!BI1:BI2)</f>
        <v>0.77452096225647604</v>
      </c>
      <c r="BJ4" cm="1">
        <f t="array" ref="BJ4">_xll.Theil(Population!BJ1:BJ2,GDP!BJ1:BJ2)</f>
        <v>0.77794794595525807</v>
      </c>
    </row>
    <row r="5" spans="1:70" x14ac:dyDescent="0.45">
      <c r="B5" t="s">
        <v>169</v>
      </c>
      <c r="C5" cm="1">
        <f t="array" ref="C5">_xll.Theil(Population!C12:C88,GDP!C12:C88)</f>
        <v>0.77057014761386911</v>
      </c>
      <c r="D5" cm="1">
        <f t="array" ref="D5">_xll.Theil(Population!D12:D88,GDP!D12:D88)</f>
        <v>0.76955987919014768</v>
      </c>
      <c r="E5" cm="1">
        <f t="array" ref="E5">_xll.Theil(Population!E12:E88,GDP!E12:E88)</f>
        <v>0.76773837878051454</v>
      </c>
      <c r="F5" cm="1">
        <f t="array" ref="F5">_xll.Theil(Population!F12:F88,GDP!F12:F88)</f>
        <v>0.74540741491173879</v>
      </c>
      <c r="G5" cm="1">
        <f t="array" ref="G5">_xll.Theil(Population!G12:G88,GDP!G12:G88)</f>
        <v>0.74411052213239481</v>
      </c>
      <c r="H5" cm="1">
        <f t="array" ref="H5">_xll.Theil(Population!H12:H88,GDP!H12:H88)</f>
        <v>0.75270858825578169</v>
      </c>
      <c r="I5" cm="1">
        <f t="array" ref="I5">_xll.Theil(Population!I12:I88,GDP!I12:I88)</f>
        <v>0.78603488278257516</v>
      </c>
      <c r="J5" cm="1">
        <f t="array" ref="J5">_xll.Theil(Population!J12:J88,GDP!J12:J88)</f>
        <v>0.78418531506052258</v>
      </c>
      <c r="K5" cm="1">
        <f t="array" ref="K5">_xll.Theil(Population!K12:K88,GDP!K12:K88)</f>
        <v>0.79687347407393028</v>
      </c>
      <c r="L5" cm="1">
        <f t="array" ref="L5">_xll.Theil(Population!L12:L88,GDP!L12:L88)</f>
        <v>0.79123464248385633</v>
      </c>
      <c r="M5" cm="1">
        <f t="array" ref="M5">_xll.Theil(Population!M12:M88,GDP!M12:M88)</f>
        <v>0.78094286819448122</v>
      </c>
      <c r="N5" cm="1">
        <f t="array" ref="N5">_xll.Theil(Population!N12:N88,GDP!N12:N88)</f>
        <v>0.79101910345103144</v>
      </c>
      <c r="O5" cm="1">
        <f t="array" ref="O5">_xll.Theil(Population!O12:O88,GDP!O12:O88)</f>
        <v>0.79607988556076159</v>
      </c>
      <c r="P5" cm="1">
        <f t="array" ref="P5">_xll.Theil(Population!P12:P88,GDP!P12:P88)</f>
        <v>0.77887483145046343</v>
      </c>
      <c r="Q5" cm="1">
        <f t="array" ref="Q5">_xll.Theil(Population!Q12:Q88,GDP!Q12:Q88)</f>
        <v>0.7435066987114114</v>
      </c>
      <c r="R5" cm="1">
        <f t="array" ref="R5">_xll.Theil(Population!R12:R88,GDP!R12:R88)</f>
        <v>0.75465728728719605</v>
      </c>
      <c r="S5" cm="1">
        <f t="array" ref="S5">_xll.Theil(Population!S12:S88,GDP!S12:S88)</f>
        <v>0.76945640497257717</v>
      </c>
      <c r="T5" cm="1">
        <f t="array" ref="T5">_xll.Theil(Population!T12:T88,GDP!T12:T88)</f>
        <v>0.7740923472155482</v>
      </c>
      <c r="U5" cm="1">
        <f t="array" ref="U5">_xll.Theil(Population!U12:U88,GDP!U12:U88)</f>
        <v>0.78695762509903788</v>
      </c>
      <c r="V5" cm="1">
        <f t="array" ref="V5">_xll.Theil(Population!V12:V88,GDP!V12:V88)</f>
        <v>0.77911991708552908</v>
      </c>
      <c r="W5" cm="1">
        <f t="array" ref="W5">_xll.Theil(Population!W12:W88,GDP!W12:W88)</f>
        <v>0.77142064885917772</v>
      </c>
      <c r="X5" cm="1">
        <f t="array" ref="X5">_xll.Theil(Population!X12:X88,GDP!X12:X88)</f>
        <v>0.75603691358227332</v>
      </c>
      <c r="Y5" cm="1">
        <f t="array" ref="Y5">_xll.Theil(Population!Y12:Y88,GDP!Y12:Y88)</f>
        <v>0.77780599168366638</v>
      </c>
      <c r="Z5" cm="1">
        <f t="array" ref="Z5">_xll.Theil(Population!Z12:Z88,GDP!Z12:Z88)</f>
        <v>0.83327148873984003</v>
      </c>
      <c r="AA5" cm="1">
        <f t="array" ref="AA5">_xll.Theil(Population!AA12:AA88,GDP!AA12:AA88)</f>
        <v>0.87612172516244646</v>
      </c>
      <c r="AB5" cm="1">
        <f t="array" ref="AB5">_xll.Theil(Population!AB12:AB88,GDP!AB12:AB88)</f>
        <v>0.89927739171891619</v>
      </c>
      <c r="AC5" cm="1">
        <f t="array" ref="AC5">_xll.Theil(Population!AC12:AC88,GDP!AC12:AC88)</f>
        <v>0.93260550266320119</v>
      </c>
      <c r="AD5" cm="1">
        <f t="array" ref="AD5">_xll.Theil(Population!AD12:AD88,GDP!AD12:AD88)</f>
        <v>0.94225453778621493</v>
      </c>
      <c r="AE5" cm="1">
        <f t="array" ref="AE5">_xll.Theil(Population!AE12:AE88,GDP!AE12:AE88)</f>
        <v>0.9602257853043521</v>
      </c>
      <c r="AF5" cm="1">
        <f t="array" ref="AF5">_xll.Theil(Population!AF12:AF88,GDP!AF12:AF88)</f>
        <v>0.95470380503425167</v>
      </c>
      <c r="AG5" cm="1">
        <f t="array" ref="AG5">_xll.Theil(Population!AG12:AG88,GDP!AG12:AG88)</f>
        <v>0.95121844954329826</v>
      </c>
      <c r="AH5" cm="1">
        <f t="array" ref="AH5">_xll.Theil(Population!AH12:AH88,GDP!AH12:AH88)</f>
        <v>0.96230861057657702</v>
      </c>
      <c r="AI5" cm="1">
        <f t="array" ref="AI5">_xll.Theil(Population!AI12:AI88,GDP!AI12:AI88)</f>
        <v>0.9912269533863276</v>
      </c>
      <c r="AJ5" cm="1">
        <f t="array" ref="AJ5">_xll.Theil(Population!AJ12:AJ88,GDP!AJ12:AJ88)</f>
        <v>1.0025071124905582</v>
      </c>
      <c r="AK5" cm="1">
        <f t="array" ref="AK5">_xll.Theil(Population!AK12:AK88,GDP!AK12:AK88)</f>
        <v>1.0059459207076873</v>
      </c>
      <c r="AL5" cm="1">
        <f t="array" ref="AL5">_xll.Theil(Population!AL12:AL88,GDP!AL12:AL88)</f>
        <v>1.0061900759307627</v>
      </c>
      <c r="AM5" cm="1">
        <f t="array" ref="AM5">_xll.Theil(Population!AM12:AM88,GDP!AM12:AM88)</f>
        <v>0.98052763950877564</v>
      </c>
      <c r="AN5" cm="1">
        <f t="array" ref="AN5">_xll.Theil(Population!AN12:AN88,GDP!AN12:AN88)</f>
        <v>0.97395214355092563</v>
      </c>
      <c r="AO5" cm="1">
        <f t="array" ref="AO5">_xll.Theil(Population!AO12:AO88,GDP!AO12:AO88)</f>
        <v>0.99082713856716498</v>
      </c>
      <c r="AP5" cm="1">
        <f t="array" ref="AP5">_xll.Theil(Population!AP12:AP88,GDP!AP12:AP88)</f>
        <v>1.0238761839891251</v>
      </c>
      <c r="AQ5" cm="1">
        <f t="array" ref="AQ5">_xll.Theil(Population!AQ12:AQ88,GDP!AQ12:AQ88)</f>
        <v>1.0269188989693199</v>
      </c>
      <c r="AR5" cm="1">
        <f t="array" ref="AR5">_xll.Theil(Population!AR12:AR88,GDP!AR12:AR88)</f>
        <v>1.0402533667881746</v>
      </c>
      <c r="AS5" cm="1">
        <f t="array" ref="AS5">_xll.Theil(Population!AS12:AS88,GDP!AS12:AS88)</f>
        <v>1.040546570840053</v>
      </c>
      <c r="AT5" cm="1">
        <f t="array" ref="AT5">_xll.Theil(Population!AT12:AT88,GDP!AT12:AT88)</f>
        <v>1.033916051196019</v>
      </c>
      <c r="AU5" cm="1">
        <f t="array" ref="AU5">_xll.Theil(Population!AU12:AU88,GDP!AU12:AU88)</f>
        <v>1.0201209525998296</v>
      </c>
      <c r="AV5" cm="1">
        <f t="array" ref="AV5">_xll.Theil(Population!AV12:AV88,GDP!AV12:AV88)</f>
        <v>0.99092007359080025</v>
      </c>
      <c r="AW5" cm="1">
        <f t="array" ref="AW5">_xll.Theil(Population!AW12:AW88,GDP!AW12:AW88)</f>
        <v>0.96488818171568036</v>
      </c>
      <c r="AX5" cm="1">
        <f t="array" ref="AX5">_xll.Theil(Population!AX12:AX88,GDP!AX12:AX88)</f>
        <v>0.93374824894351205</v>
      </c>
      <c r="AY5" cm="1">
        <f t="array" ref="AY5">_xll.Theil(Population!AY12:AY88,GDP!AY12:AY88)</f>
        <v>0.92469356163340544</v>
      </c>
      <c r="AZ5" cm="1">
        <f t="array" ref="AZ5">_xll.Theil(Population!AZ12:AZ88,GDP!AZ12:AZ88)</f>
        <v>0.91694532022833208</v>
      </c>
      <c r="BA5" cm="1">
        <f t="array" ref="BA5">_xll.Theil(Population!BA12:BA88,GDP!BA12:BA88)</f>
        <v>0.8686370739492556</v>
      </c>
      <c r="BB5" cm="1">
        <f t="array" ref="BB5">_xll.Theil(Population!BB12:BB88,GDP!BB12:BB88)</f>
        <v>0.8588023314654285</v>
      </c>
      <c r="BC5" cm="1">
        <f t="array" ref="BC5">_xll.Theil(Population!BC12:BC88,GDP!BC12:BC88)</f>
        <v>0.86329504449456507</v>
      </c>
      <c r="BD5" cm="1">
        <f t="array" ref="BD5">_xll.Theil(Population!BD12:BD88,GDP!BD12:BD88)</f>
        <v>0.85613758448592847</v>
      </c>
      <c r="BE5" cm="1">
        <f t="array" ref="BE5">_xll.Theil(Population!BE12:BE88,GDP!BE12:BE88)</f>
        <v>0.85167144048369636</v>
      </c>
      <c r="BF5" cm="1">
        <f t="array" ref="BF5">_xll.Theil(Population!BF12:BF88,GDP!BF12:BF88)</f>
        <v>0.87143105838885149</v>
      </c>
      <c r="BG5" cm="1">
        <f t="array" ref="BG5">_xll.Theil(Population!BG12:BG88,GDP!BG12:BG88)</f>
        <v>0.87721585516003564</v>
      </c>
      <c r="BH5" cm="1">
        <f t="array" ref="BH5">_xll.Theil(Population!BH12:BH88,GDP!BH12:BH88)</f>
        <v>0.86046369896942054</v>
      </c>
      <c r="BI5" cm="1">
        <f t="array" ref="BI5">_xll.Theil(Population!BI12:BI88,GDP!BI12:BI88)</f>
        <v>0.87891161983420041</v>
      </c>
      <c r="BJ5" cm="1">
        <f t="array" ref="BJ5">_xll.Theil(Population!BJ12:BJ88,GDP!BJ12:BJ88)</f>
        <v>0.88436908916203549</v>
      </c>
    </row>
    <row r="6" spans="1:70" x14ac:dyDescent="0.45">
      <c r="A6" s="12" t="s">
        <v>202</v>
      </c>
    </row>
    <row r="7" spans="1:70" x14ac:dyDescent="0.45">
      <c r="C7" t="str">
        <f>Population!C11</f>
        <v>1960</v>
      </c>
      <c r="D7" t="str">
        <f>Population!D11</f>
        <v>1961</v>
      </c>
      <c r="E7" t="str">
        <f>Population!E11</f>
        <v>1962</v>
      </c>
      <c r="F7" t="str">
        <f>Population!F11</f>
        <v>1963</v>
      </c>
      <c r="G7" t="str">
        <f>Population!G11</f>
        <v>1964</v>
      </c>
      <c r="H7" t="str">
        <f>Population!H11</f>
        <v>1965</v>
      </c>
      <c r="I7" t="str">
        <f>Population!I11</f>
        <v>1966</v>
      </c>
      <c r="J7" t="str">
        <f>Population!J11</f>
        <v>1967</v>
      </c>
      <c r="K7" t="str">
        <f>Population!K11</f>
        <v>1968</v>
      </c>
      <c r="L7" t="str">
        <f>Population!L11</f>
        <v>1969</v>
      </c>
      <c r="M7" t="str">
        <f>Population!M11</f>
        <v>1970</v>
      </c>
      <c r="N7" t="str">
        <f>Population!N11</f>
        <v>1971</v>
      </c>
      <c r="O7" t="str">
        <f>Population!O11</f>
        <v>1972</v>
      </c>
      <c r="P7" t="str">
        <f>Population!P11</f>
        <v>1973</v>
      </c>
      <c r="Q7" t="str">
        <f>Population!Q11</f>
        <v>1974</v>
      </c>
      <c r="R7" t="str">
        <f>Population!R11</f>
        <v>1975</v>
      </c>
      <c r="S7" t="str">
        <f>Population!S11</f>
        <v>1976</v>
      </c>
      <c r="T7" t="str">
        <f>Population!T11</f>
        <v>1977</v>
      </c>
      <c r="U7" t="str">
        <f>Population!U11</f>
        <v>1978</v>
      </c>
      <c r="V7" t="str">
        <f>Population!V11</f>
        <v>1979</v>
      </c>
      <c r="W7" t="str">
        <f>Population!W11</f>
        <v>1980</v>
      </c>
      <c r="X7" t="str">
        <f>Population!X11</f>
        <v>1981</v>
      </c>
      <c r="Y7" t="str">
        <f>Population!Y11</f>
        <v>1982</v>
      </c>
      <c r="Z7" t="str">
        <f>Population!Z11</f>
        <v>1983</v>
      </c>
      <c r="AA7" t="str">
        <f>Population!AA11</f>
        <v>1984</v>
      </c>
      <c r="AB7" t="str">
        <f>Population!AB11</f>
        <v>1985</v>
      </c>
      <c r="AC7" t="str">
        <f>Population!AC11</f>
        <v>1986</v>
      </c>
      <c r="AD7" t="str">
        <f>Population!AD11</f>
        <v>1987</v>
      </c>
      <c r="AE7" t="str">
        <f>Population!AE11</f>
        <v>1988</v>
      </c>
      <c r="AF7" t="str">
        <f>Population!AF11</f>
        <v>1989</v>
      </c>
      <c r="AG7" t="str">
        <f>Population!AG11</f>
        <v>1990</v>
      </c>
      <c r="AH7" t="str">
        <f>Population!AH11</f>
        <v>1991</v>
      </c>
      <c r="AI7" t="str">
        <f>Population!AI11</f>
        <v>1992</v>
      </c>
      <c r="AJ7" t="str">
        <f>Population!AJ11</f>
        <v>1993</v>
      </c>
      <c r="AK7" t="str">
        <f>Population!AK11</f>
        <v>1994</v>
      </c>
      <c r="AL7" t="str">
        <f>Population!AL11</f>
        <v>1995</v>
      </c>
      <c r="AM7" t="str">
        <f>Population!AM11</f>
        <v>1996</v>
      </c>
      <c r="AN7" t="str">
        <f>Population!AN11</f>
        <v>1997</v>
      </c>
      <c r="AO7" t="str">
        <f>Population!AO11</f>
        <v>1998</v>
      </c>
      <c r="AP7" t="str">
        <f>Population!AP11</f>
        <v>1999</v>
      </c>
      <c r="AQ7" t="str">
        <f>Population!AQ11</f>
        <v>2000</v>
      </c>
      <c r="AR7" t="str">
        <f>Population!AR11</f>
        <v>2001</v>
      </c>
      <c r="AS7" t="str">
        <f>Population!AS11</f>
        <v>2002</v>
      </c>
      <c r="AT7" t="str">
        <f>Population!AT11</f>
        <v>2003</v>
      </c>
      <c r="AU7" t="str">
        <f>Population!AU11</f>
        <v>2004</v>
      </c>
      <c r="AV7" t="str">
        <f>Population!AV11</f>
        <v>2005</v>
      </c>
      <c r="AW7" t="str">
        <f>Population!AW11</f>
        <v>2006</v>
      </c>
      <c r="AX7" t="str">
        <f>Population!AX11</f>
        <v>2007</v>
      </c>
      <c r="AY7" t="str">
        <f>Population!AY11</f>
        <v>2008</v>
      </c>
      <c r="AZ7" t="str">
        <f>Population!AZ11</f>
        <v>2009</v>
      </c>
      <c r="BA7" t="str">
        <f>Population!BA11</f>
        <v>2010</v>
      </c>
      <c r="BB7" t="str">
        <f>Population!BB11</f>
        <v>2011</v>
      </c>
      <c r="BC7" t="str">
        <f>Population!BC11</f>
        <v>2012</v>
      </c>
      <c r="BD7" t="str">
        <f>Population!BD11</f>
        <v>2013</v>
      </c>
      <c r="BE7" t="str">
        <f>Population!BE11</f>
        <v>2014</v>
      </c>
      <c r="BF7" t="str">
        <f>Population!BF11</f>
        <v>2015</v>
      </c>
      <c r="BG7" t="str">
        <f>Population!BG11</f>
        <v>2016</v>
      </c>
      <c r="BH7" t="str">
        <f>Population!BH11</f>
        <v>2017</v>
      </c>
      <c r="BI7" t="str">
        <f>Population!BI11</f>
        <v>2018</v>
      </c>
      <c r="BJ7" t="str">
        <f>Population!BJ11</f>
        <v>2019</v>
      </c>
    </row>
    <row r="8" spans="1:70" x14ac:dyDescent="0.45">
      <c r="A8" t="s">
        <v>185</v>
      </c>
      <c r="B8" t="s">
        <v>26</v>
      </c>
      <c r="C8" s="11">
        <f>GDP!C1</f>
        <v>145912389081</v>
      </c>
      <c r="D8" s="11">
        <f>GDP!D1</f>
        <v>147801382010</v>
      </c>
      <c r="E8" s="11">
        <f>GDP!E1</f>
        <v>159929834849</v>
      </c>
      <c r="F8" s="11">
        <f>GDP!F1</f>
        <v>179793640645</v>
      </c>
      <c r="G8" s="11">
        <f>GDP!G1</f>
        <v>194403622468</v>
      </c>
      <c r="H8" s="11">
        <f>GDP!H1</f>
        <v>208333333521</v>
      </c>
      <c r="I8" s="11">
        <f>GDP!I1</f>
        <v>212889788243</v>
      </c>
      <c r="J8" s="11">
        <f>GDP!J1</f>
        <v>227794355293</v>
      </c>
      <c r="K8" s="11">
        <f>GDP!K1</f>
        <v>244289214435</v>
      </c>
      <c r="L8" s="11">
        <f>GDP!L1</f>
        <v>272444783232</v>
      </c>
      <c r="M8" s="11">
        <f>GDP!M1</f>
        <v>295223471860</v>
      </c>
      <c r="N8" s="11">
        <f>GDP!N1</f>
        <v>317764298740</v>
      </c>
      <c r="O8" s="11">
        <f>GDP!O1</f>
        <v>351949334284</v>
      </c>
      <c r="P8" s="11">
        <f>GDP!P1</f>
        <v>440314169304</v>
      </c>
      <c r="Q8" s="11">
        <f>GDP!Q1</f>
        <v>559962613852</v>
      </c>
      <c r="R8" s="11">
        <f>GDP!R1</f>
        <v>623649340032</v>
      </c>
      <c r="S8" s="11">
        <f>GDP!S1</f>
        <v>682456611452</v>
      </c>
      <c r="T8" s="11">
        <f>GDP!T1</f>
        <v>761029115088</v>
      </c>
      <c r="U8" s="11">
        <f>GDP!U1</f>
        <v>872425263616</v>
      </c>
      <c r="V8" s="11">
        <f>GDP!V1</f>
        <v>1043591392424</v>
      </c>
      <c r="W8" s="11">
        <f>GDP!W1</f>
        <v>1239186689072</v>
      </c>
      <c r="X8" s="11">
        <f>GDP!X1</f>
        <v>1471517764368</v>
      </c>
      <c r="Y8" s="11">
        <f>GDP!Y1</f>
        <v>1380037286256</v>
      </c>
      <c r="Z8" s="11">
        <f>GDP!Z1</f>
        <v>1229984960672</v>
      </c>
      <c r="AA8" s="11">
        <f>GDP!AA1</f>
        <v>1232251851040</v>
      </c>
      <c r="AB8" s="11">
        <f>GDP!AB1</f>
        <v>1253749786800</v>
      </c>
      <c r="AC8" s="11">
        <f>GDP!AC1</f>
        <v>1266139345008</v>
      </c>
      <c r="AD8" s="11">
        <f>GDP!AD1</f>
        <v>1409411657216</v>
      </c>
      <c r="AE8" s="11">
        <f>GDP!AE1</f>
        <v>1537029355936</v>
      </c>
      <c r="AF8" s="11">
        <f>GDP!AF1</f>
        <v>1722601083072</v>
      </c>
      <c r="AG8" s="11">
        <f>GDP!AG1</f>
        <v>1945157529696</v>
      </c>
      <c r="AH8" s="11">
        <f>GDP!AH1</f>
        <v>2141065382240</v>
      </c>
      <c r="AI8" s="11">
        <f>GDP!AI1</f>
        <v>2080614294368</v>
      </c>
      <c r="AJ8" s="11">
        <f>GDP!AJ1</f>
        <v>2300464285440</v>
      </c>
      <c r="AK8" s="11">
        <f>GDP!AK1</f>
        <v>2530590690816</v>
      </c>
      <c r="AL8" s="11">
        <f>GDP!AL1</f>
        <v>2793225049472</v>
      </c>
      <c r="AM8" s="11">
        <f>GDP!AM1</f>
        <v>3042474791296</v>
      </c>
      <c r="AN8" s="11">
        <f>GDP!AN1</f>
        <v>3213334508032</v>
      </c>
      <c r="AO8" s="11">
        <f>GDP!AO1</f>
        <v>3221335171840</v>
      </c>
      <c r="AP8" s="11">
        <f>GDP!AP1</f>
        <v>3057572145600</v>
      </c>
      <c r="AQ8" s="11">
        <f>GDP!AQ1</f>
        <v>3330665685248</v>
      </c>
      <c r="AR8" s="11">
        <f>GDP!AR1</f>
        <v>3202739511232</v>
      </c>
      <c r="AS8" s="11">
        <f>GDP!AS1</f>
        <v>3295317594368</v>
      </c>
      <c r="AT8" s="11">
        <f>GDP!AT1</f>
        <v>3622123760704</v>
      </c>
      <c r="AU8" s="11">
        <f>GDP!AU1</f>
        <v>4229233275264</v>
      </c>
      <c r="AV8" s="11">
        <f>GDP!AV1</f>
        <v>5015567037504</v>
      </c>
      <c r="AW8" s="11">
        <f>GDP!AW1</f>
        <v>5801783146560</v>
      </c>
      <c r="AX8" s="11">
        <f>GDP!AX1</f>
        <v>6919243241792</v>
      </c>
      <c r="AY8" s="11">
        <f>GDP!AY1</f>
        <v>7684460041984</v>
      </c>
      <c r="AZ8" s="11">
        <f>GDP!AZ1</f>
        <v>7367048989632</v>
      </c>
      <c r="BA8" s="11">
        <f>GDP!BA1</f>
        <v>9066043917824</v>
      </c>
      <c r="BB8" s="11">
        <f>GDP!BB1</f>
        <v>10245588401792</v>
      </c>
      <c r="BC8" s="11">
        <f>GDP!BC1</f>
        <v>10400885893440</v>
      </c>
      <c r="BD8" s="11">
        <f>GDP!BD1</f>
        <v>10810007105280</v>
      </c>
      <c r="BE8" s="11">
        <f>GDP!BE1</f>
        <v>11121052034944</v>
      </c>
      <c r="BF8" s="11">
        <f>GDP!BF1</f>
        <v>10103201765120</v>
      </c>
      <c r="BG8" s="11">
        <f>GDP!BG1</f>
        <v>10152431583872</v>
      </c>
      <c r="BH8" s="11">
        <f>GDP!BH1</f>
        <v>11140912240000</v>
      </c>
      <c r="BI8" s="11">
        <f>GDP!BI1</f>
        <v>11302836297600</v>
      </c>
      <c r="BJ8" s="11">
        <f>GDP!BJ1</f>
        <v>11529196083200</v>
      </c>
      <c r="BK8" s="11"/>
      <c r="BL8" s="11"/>
      <c r="BM8" s="11"/>
      <c r="BN8" s="11"/>
      <c r="BO8" s="11"/>
      <c r="BP8" s="11"/>
      <c r="BQ8" s="11"/>
      <c r="BR8" s="11"/>
    </row>
    <row r="9" spans="1:70" x14ac:dyDescent="0.45">
      <c r="B9" t="s">
        <v>184</v>
      </c>
      <c r="C9" s="11">
        <f>GDP!C2</f>
        <v>866333730560</v>
      </c>
      <c r="D9" s="11">
        <f>GDP!D2</f>
        <v>917718404224</v>
      </c>
      <c r="E9" s="11">
        <f>GDP!E2</f>
        <v>991608361344</v>
      </c>
      <c r="F9" s="11">
        <f>GDP!F2</f>
        <v>1068329762752</v>
      </c>
      <c r="G9" s="11">
        <f>GDP!G2</f>
        <v>1165102469696</v>
      </c>
      <c r="H9" s="11">
        <f>GDP!H2</f>
        <v>1267550881344</v>
      </c>
      <c r="I9" s="11">
        <f>GDP!I2</f>
        <v>1389874987712</v>
      </c>
      <c r="J9" s="11">
        <f>GDP!J2</f>
        <v>1491682598400</v>
      </c>
      <c r="K9" s="11">
        <f>GDP!K2</f>
        <v>1620089447936</v>
      </c>
      <c r="L9" s="11">
        <f>GDP!L2</f>
        <v>1780913526912</v>
      </c>
      <c r="M9" s="11">
        <f>GDP!M2</f>
        <v>1943939481344</v>
      </c>
      <c r="N9" s="11">
        <f>GDP!N2</f>
        <v>2140704497920</v>
      </c>
      <c r="O9" s="11">
        <f>GDP!O2</f>
        <v>2474444143744</v>
      </c>
      <c r="P9" s="11">
        <f>GDP!P2</f>
        <v>2951846527744</v>
      </c>
      <c r="Q9" s="11">
        <f>GDP!Q2</f>
        <v>3285962257664</v>
      </c>
      <c r="R9" s="11">
        <f>GDP!R2</f>
        <v>3693785925120</v>
      </c>
      <c r="S9" s="11">
        <f>GDP!S2</f>
        <v>3999492140288</v>
      </c>
      <c r="T9" s="11">
        <f>GDP!T2</f>
        <v>4531686935552</v>
      </c>
      <c r="U9" s="11">
        <f>GDP!U2</f>
        <v>5457153799680</v>
      </c>
      <c r="V9" s="11">
        <f>GDP!V2</f>
        <v>6253764610560</v>
      </c>
      <c r="W9" s="11">
        <f>GDP!W2</f>
        <v>6950362182656</v>
      </c>
      <c r="X9" s="11">
        <f>GDP!X2</f>
        <v>7180375587840</v>
      </c>
      <c r="Y9" s="11">
        <f>GDP!Y2</f>
        <v>7159140354560</v>
      </c>
      <c r="Z9" s="11">
        <f>GDP!Z2</f>
        <v>7466227553792</v>
      </c>
      <c r="AA9" s="11">
        <f>GDP!AA2</f>
        <v>7895046888448</v>
      </c>
      <c r="AB9" s="11">
        <f>GDP!AB2</f>
        <v>8356090895872</v>
      </c>
      <c r="AC9" s="11">
        <f>GDP!AC2</f>
        <v>10099459888128</v>
      </c>
      <c r="AD9" s="11">
        <f>GDP!AD2</f>
        <v>11600605321216</v>
      </c>
      <c r="AE9" s="11">
        <f>GDP!AE2</f>
        <v>13133434789888</v>
      </c>
      <c r="AF9" s="11">
        <f>GDP!AF2</f>
        <v>13763984291840</v>
      </c>
      <c r="AG9" s="11">
        <f>GDP!AG2</f>
        <v>15268428614656</v>
      </c>
      <c r="AH9" s="11">
        <f>GDP!AH2</f>
        <v>16191372101632</v>
      </c>
      <c r="AI9" s="11">
        <f>GDP!AI2</f>
        <v>17329877905408</v>
      </c>
      <c r="AJ9" s="11">
        <f>GDP!AJ2</f>
        <v>17539444568064</v>
      </c>
      <c r="AK9" s="11">
        <f>GDP!AK2</f>
        <v>18826020831232</v>
      </c>
      <c r="AL9" s="11">
        <f>GDP!AL2</f>
        <v>20754290759680</v>
      </c>
      <c r="AM9" s="11">
        <f>GDP!AM2</f>
        <v>20944252014592</v>
      </c>
      <c r="AN9" s="11">
        <f>GDP!AN2</f>
        <v>20773978986496</v>
      </c>
      <c r="AO9" s="11">
        <f>GDP!AO2</f>
        <v>20884158953472</v>
      </c>
      <c r="AP9" s="11">
        <f>GDP!AP2</f>
        <v>22130045769728</v>
      </c>
      <c r="AQ9" s="11">
        <f>GDP!AQ2</f>
        <v>22799401328640</v>
      </c>
      <c r="AR9" s="11">
        <f>GDP!AR2</f>
        <v>22532806506496</v>
      </c>
      <c r="AS9" s="11">
        <f>GDP!AS2</f>
        <v>23397823830016</v>
      </c>
      <c r="AT9" s="11">
        <f>GDP!AT2</f>
        <v>25959540056064</v>
      </c>
      <c r="AU9" s="11">
        <f>GDP!AU2</f>
        <v>28725651619840</v>
      </c>
      <c r="AV9" s="11">
        <f>GDP!AV2</f>
        <v>30211172564992</v>
      </c>
      <c r="AW9" s="11">
        <f>GDP!AW2</f>
        <v>31673685147648</v>
      </c>
      <c r="AX9" s="11">
        <f>GDP!AX2</f>
        <v>34257573187584</v>
      </c>
      <c r="AY9" s="11">
        <f>GDP!AY2</f>
        <v>35957617364992</v>
      </c>
      <c r="AZ9" s="11">
        <f>GDP!AZ2</f>
        <v>34181532553216</v>
      </c>
      <c r="BA9" s="11">
        <f>GDP!BA2</f>
        <v>35612360290304</v>
      </c>
      <c r="BB9" s="11">
        <f>GDP!BB2</f>
        <v>37980287795200</v>
      </c>
      <c r="BC9" s="11">
        <f>GDP!BC2</f>
        <v>38161135423488</v>
      </c>
      <c r="BD9" s="11">
        <f>GDP!BD2</f>
        <v>38318426832896</v>
      </c>
      <c r="BE9" s="11">
        <f>GDP!BE2</f>
        <v>39148130385920</v>
      </c>
      <c r="BF9" s="11">
        <f>GDP!BF2</f>
        <v>37620102266880</v>
      </c>
      <c r="BG9" s="11">
        <f>GDP!BG2</f>
        <v>38491668172800</v>
      </c>
      <c r="BH9" s="11">
        <f>GDP!BH2</f>
        <v>39976778661888</v>
      </c>
      <c r="BI9" s="11">
        <f>GDP!BI2</f>
        <v>42244322041856</v>
      </c>
      <c r="BJ9" s="11">
        <f>GDP!BJ2</f>
        <v>42802971230208</v>
      </c>
      <c r="BK9" s="11"/>
      <c r="BL9" s="11"/>
      <c r="BM9" s="11"/>
      <c r="BN9" s="11"/>
      <c r="BO9" s="11"/>
      <c r="BP9" s="11"/>
      <c r="BQ9" s="11"/>
      <c r="BR9" s="11"/>
    </row>
    <row r="10" spans="1:70" x14ac:dyDescent="0.45">
      <c r="B10" t="s">
        <v>187</v>
      </c>
      <c r="C10" s="11">
        <f t="shared" ref="C10:AH10" si="0">SUM(C8:C9)</f>
        <v>1012246119641</v>
      </c>
      <c r="D10" s="11">
        <f t="shared" si="0"/>
        <v>1065519786234</v>
      </c>
      <c r="E10" s="11">
        <f t="shared" si="0"/>
        <v>1151538196193</v>
      </c>
      <c r="F10" s="11">
        <f t="shared" si="0"/>
        <v>1248123403397</v>
      </c>
      <c r="G10" s="11">
        <f t="shared" si="0"/>
        <v>1359506092164</v>
      </c>
      <c r="H10" s="11">
        <f t="shared" si="0"/>
        <v>1475884214865</v>
      </c>
      <c r="I10" s="11">
        <f t="shared" si="0"/>
        <v>1602764775955</v>
      </c>
      <c r="J10" s="11">
        <f t="shared" si="0"/>
        <v>1719476953693</v>
      </c>
      <c r="K10" s="11">
        <f t="shared" si="0"/>
        <v>1864378662371</v>
      </c>
      <c r="L10" s="11">
        <f t="shared" si="0"/>
        <v>2053358310144</v>
      </c>
      <c r="M10" s="11">
        <f t="shared" si="0"/>
        <v>2239162953204</v>
      </c>
      <c r="N10" s="11">
        <f t="shared" si="0"/>
        <v>2458468796660</v>
      </c>
      <c r="O10" s="11">
        <f t="shared" si="0"/>
        <v>2826393478028</v>
      </c>
      <c r="P10" s="11">
        <f t="shared" si="0"/>
        <v>3392160697048</v>
      </c>
      <c r="Q10" s="11">
        <f t="shared" si="0"/>
        <v>3845924871516</v>
      </c>
      <c r="R10" s="11">
        <f t="shared" si="0"/>
        <v>4317435265152</v>
      </c>
      <c r="S10" s="11">
        <f t="shared" si="0"/>
        <v>4681948751740</v>
      </c>
      <c r="T10" s="11">
        <f t="shared" si="0"/>
        <v>5292716050640</v>
      </c>
      <c r="U10" s="11">
        <f t="shared" si="0"/>
        <v>6329579063296</v>
      </c>
      <c r="V10" s="11">
        <f t="shared" si="0"/>
        <v>7297356002984</v>
      </c>
      <c r="W10" s="11">
        <f t="shared" si="0"/>
        <v>8189548871728</v>
      </c>
      <c r="X10" s="11">
        <f t="shared" si="0"/>
        <v>8651893352208</v>
      </c>
      <c r="Y10" s="11">
        <f t="shared" si="0"/>
        <v>8539177640816</v>
      </c>
      <c r="Z10" s="11">
        <f t="shared" si="0"/>
        <v>8696212514464</v>
      </c>
      <c r="AA10" s="11">
        <f t="shared" si="0"/>
        <v>9127298739488</v>
      </c>
      <c r="AB10" s="11">
        <f t="shared" si="0"/>
        <v>9609840682672</v>
      </c>
      <c r="AC10" s="11">
        <f t="shared" si="0"/>
        <v>11365599233136</v>
      </c>
      <c r="AD10" s="11">
        <f t="shared" si="0"/>
        <v>13010016978432</v>
      </c>
      <c r="AE10" s="11">
        <f t="shared" si="0"/>
        <v>14670464145824</v>
      </c>
      <c r="AF10" s="11">
        <f t="shared" si="0"/>
        <v>15486585374912</v>
      </c>
      <c r="AG10" s="11">
        <f t="shared" si="0"/>
        <v>17213586144352</v>
      </c>
      <c r="AH10" s="11">
        <f t="shared" si="0"/>
        <v>18332437483872</v>
      </c>
      <c r="AI10" s="11">
        <f t="shared" ref="AI10:BJ10" si="1">SUM(AI8:AI9)</f>
        <v>19410492199776</v>
      </c>
      <c r="AJ10" s="11">
        <f t="shared" si="1"/>
        <v>19839908853504</v>
      </c>
      <c r="AK10" s="11">
        <f t="shared" si="1"/>
        <v>21356611522048</v>
      </c>
      <c r="AL10" s="11">
        <f t="shared" si="1"/>
        <v>23547515809152</v>
      </c>
      <c r="AM10" s="11">
        <f t="shared" si="1"/>
        <v>23986726805888</v>
      </c>
      <c r="AN10" s="11">
        <f t="shared" si="1"/>
        <v>23987313494528</v>
      </c>
      <c r="AO10" s="11">
        <f t="shared" si="1"/>
        <v>24105494125312</v>
      </c>
      <c r="AP10" s="11">
        <f t="shared" si="1"/>
        <v>25187617915328</v>
      </c>
      <c r="AQ10" s="11">
        <f t="shared" si="1"/>
        <v>26130067013888</v>
      </c>
      <c r="AR10" s="11">
        <f t="shared" si="1"/>
        <v>25735546017728</v>
      </c>
      <c r="AS10" s="11">
        <f t="shared" si="1"/>
        <v>26693141424384</v>
      </c>
      <c r="AT10" s="11">
        <f t="shared" si="1"/>
        <v>29581663816768</v>
      </c>
      <c r="AU10" s="11">
        <f t="shared" si="1"/>
        <v>32954884895104</v>
      </c>
      <c r="AV10" s="11">
        <f t="shared" si="1"/>
        <v>35226739602496</v>
      </c>
      <c r="AW10" s="11">
        <f t="shared" si="1"/>
        <v>37475468294208</v>
      </c>
      <c r="AX10" s="11">
        <f t="shared" si="1"/>
        <v>41176816429376</v>
      </c>
      <c r="AY10" s="11">
        <f t="shared" si="1"/>
        <v>43642077406976</v>
      </c>
      <c r="AZ10" s="11">
        <f t="shared" si="1"/>
        <v>41548581542848</v>
      </c>
      <c r="BA10" s="11">
        <f t="shared" si="1"/>
        <v>44678404208128</v>
      </c>
      <c r="BB10" s="11">
        <f t="shared" si="1"/>
        <v>48225876196992</v>
      </c>
      <c r="BC10" s="11">
        <f t="shared" si="1"/>
        <v>48562021316928</v>
      </c>
      <c r="BD10" s="11">
        <f t="shared" si="1"/>
        <v>49128433938176</v>
      </c>
      <c r="BE10" s="11">
        <f t="shared" si="1"/>
        <v>50269182420864</v>
      </c>
      <c r="BF10" s="11">
        <f t="shared" si="1"/>
        <v>47723304032000</v>
      </c>
      <c r="BG10" s="11">
        <f t="shared" si="1"/>
        <v>48644099756672</v>
      </c>
      <c r="BH10" s="11">
        <f t="shared" si="1"/>
        <v>51117690901888</v>
      </c>
      <c r="BI10" s="11">
        <f t="shared" si="1"/>
        <v>53547158339456</v>
      </c>
      <c r="BJ10" s="11">
        <f t="shared" si="1"/>
        <v>54332167313408</v>
      </c>
      <c r="BK10" s="11"/>
      <c r="BL10" s="11"/>
      <c r="BM10" s="11"/>
      <c r="BN10" s="11"/>
      <c r="BO10" s="11"/>
      <c r="BP10" s="11"/>
      <c r="BQ10" s="11"/>
      <c r="BR10" s="11"/>
    </row>
    <row r="11" spans="1:70" x14ac:dyDescent="0.45">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row>
    <row r="12" spans="1:70" x14ac:dyDescent="0.45">
      <c r="A12" t="s">
        <v>186</v>
      </c>
      <c r="B12" t="s">
        <v>26</v>
      </c>
      <c r="C12" s="11">
        <f>Population!C1</f>
        <v>973657253</v>
      </c>
      <c r="D12" s="11">
        <f>Population!D1</f>
        <v>996756429</v>
      </c>
      <c r="E12" s="11">
        <f>Population!E1</f>
        <v>1020680097</v>
      </c>
      <c r="F12" s="11">
        <f>Population!F1</f>
        <v>1045389877</v>
      </c>
      <c r="G12" s="11">
        <f>Population!G1</f>
        <v>1070830914</v>
      </c>
      <c r="H12" s="11">
        <f>Population!H1</f>
        <v>1096963808</v>
      </c>
      <c r="I12" s="11">
        <f>Population!I1</f>
        <v>1123793215</v>
      </c>
      <c r="J12" s="11">
        <f>Population!J1</f>
        <v>1151328617</v>
      </c>
      <c r="K12" s="11">
        <f>Population!K1</f>
        <v>1179560882</v>
      </c>
      <c r="L12" s="11">
        <f>Population!L1</f>
        <v>1208482967</v>
      </c>
      <c r="M12" s="11">
        <f>Population!M1</f>
        <v>1238098589</v>
      </c>
      <c r="N12" s="11">
        <f>Population!N1</f>
        <v>1268394045</v>
      </c>
      <c r="O12" s="11">
        <f>Population!O1</f>
        <v>1299401039</v>
      </c>
      <c r="P12" s="11">
        <f>Population!P1</f>
        <v>1331209772</v>
      </c>
      <c r="Q12" s="11">
        <f>Population!Q1</f>
        <v>1363939299</v>
      </c>
      <c r="R12" s="11">
        <f>Population!R1</f>
        <v>1397675995</v>
      </c>
      <c r="S12" s="11">
        <f>Population!S1</f>
        <v>1432436188</v>
      </c>
      <c r="T12" s="11">
        <f>Population!T1</f>
        <v>1468197547</v>
      </c>
      <c r="U12" s="11">
        <f>Population!U1</f>
        <v>1504962503</v>
      </c>
      <c r="V12" s="11">
        <f>Population!V1</f>
        <v>1542725106</v>
      </c>
      <c r="W12" s="11">
        <f>Population!W1</f>
        <v>1581463595</v>
      </c>
      <c r="X12" s="11">
        <f>Population!X1</f>
        <v>1621157796</v>
      </c>
      <c r="Y12" s="11">
        <f>Population!Y1</f>
        <v>1661759949</v>
      </c>
      <c r="Z12" s="11">
        <f>Population!Z1</f>
        <v>1703177201</v>
      </c>
      <c r="AA12" s="11">
        <f>Population!AA1</f>
        <v>1745295235</v>
      </c>
      <c r="AB12" s="11">
        <f>Population!AB1</f>
        <v>1788008566</v>
      </c>
      <c r="AC12" s="11">
        <f>Population!AC1</f>
        <v>1831292415</v>
      </c>
      <c r="AD12" s="11">
        <f>Population!AD1</f>
        <v>1875099107</v>
      </c>
      <c r="AE12" s="11">
        <f>Population!AE1</f>
        <v>1919263555</v>
      </c>
      <c r="AF12" s="11">
        <f>Population!AF1</f>
        <v>1963595488</v>
      </c>
      <c r="AG12" s="11">
        <f>Population!AG1</f>
        <v>2007959817</v>
      </c>
      <c r="AH12" s="11">
        <f>Population!AH1</f>
        <v>2052238231</v>
      </c>
      <c r="AI12" s="11">
        <f>Population!AI1</f>
        <v>2096460642</v>
      </c>
      <c r="AJ12" s="11">
        <f>Population!AJ1</f>
        <v>2140816578</v>
      </c>
      <c r="AK12" s="11">
        <f>Population!AK1</f>
        <v>2185569675</v>
      </c>
      <c r="AL12" s="11">
        <f>Population!AL1</f>
        <v>2230895953</v>
      </c>
      <c r="AM12" s="11">
        <f>Population!AM1</f>
        <v>2276863414</v>
      </c>
      <c r="AN12" s="11">
        <f>Population!AN1</f>
        <v>2323351379</v>
      </c>
      <c r="AO12" s="11">
        <f>Population!AO1</f>
        <v>2370168787</v>
      </c>
      <c r="AP12" s="11">
        <f>Population!AP1</f>
        <v>2417054177</v>
      </c>
      <c r="AQ12" s="11">
        <f>Population!AQ1</f>
        <v>2463809052</v>
      </c>
      <c r="AR12" s="11">
        <f>Population!AR1</f>
        <v>2510359310</v>
      </c>
      <c r="AS12" s="11">
        <f>Population!AS1</f>
        <v>2556746881</v>
      </c>
      <c r="AT12" s="11">
        <f>Population!AT1</f>
        <v>2603028022</v>
      </c>
      <c r="AU12" s="11">
        <f>Population!AU1</f>
        <v>2649326103</v>
      </c>
      <c r="AV12" s="11">
        <f>Population!AV1</f>
        <v>2695717142</v>
      </c>
      <c r="AW12" s="11">
        <f>Population!AW1</f>
        <v>2742218806</v>
      </c>
      <c r="AX12" s="11">
        <f>Population!AX1</f>
        <v>2788798211</v>
      </c>
      <c r="AY12" s="11">
        <f>Population!AY1</f>
        <v>2835423375</v>
      </c>
      <c r="AZ12" s="11">
        <f>Population!AZ1</f>
        <v>2882031411</v>
      </c>
      <c r="BA12" s="11">
        <f>Population!BA1</f>
        <v>2928590399</v>
      </c>
      <c r="BB12" s="11">
        <f>Population!BB1</f>
        <v>2975022816</v>
      </c>
      <c r="BC12" s="11">
        <f>Population!BC1</f>
        <v>3021388110</v>
      </c>
      <c r="BD12" s="11">
        <f>Population!BD1</f>
        <v>3067831299</v>
      </c>
      <c r="BE12" s="11">
        <f>Population!BE1</f>
        <v>3114523133</v>
      </c>
      <c r="BF12" s="11">
        <f>Population!BF1</f>
        <v>3161596181</v>
      </c>
      <c r="BG12" s="11">
        <f>Population!BG1</f>
        <v>3209109014</v>
      </c>
      <c r="BH12" s="11">
        <f>Population!BH1</f>
        <v>3256959458</v>
      </c>
      <c r="BI12" s="11">
        <f>Population!BI1</f>
        <v>3304886707</v>
      </c>
      <c r="BJ12" s="11">
        <f>Population!BJ1</f>
        <v>3352849402</v>
      </c>
      <c r="BK12" s="11"/>
      <c r="BL12" s="11"/>
      <c r="BM12" s="11"/>
      <c r="BN12" s="11"/>
      <c r="BO12" s="11"/>
      <c r="BP12" s="11"/>
      <c r="BQ12" s="11"/>
      <c r="BR12" s="11"/>
    </row>
    <row r="13" spans="1:70" x14ac:dyDescent="0.45">
      <c r="B13" t="s">
        <v>25</v>
      </c>
      <c r="C13" s="11">
        <f>Population!C2</f>
        <v>552583822</v>
      </c>
      <c r="D13" s="11">
        <f>Population!D2</f>
        <v>561230199</v>
      </c>
      <c r="E13" s="11">
        <f>Population!E2</f>
        <v>568336968</v>
      </c>
      <c r="F13" s="11">
        <f>Population!F2</f>
        <v>575280813</v>
      </c>
      <c r="G13" s="11">
        <f>Population!G2</f>
        <v>582204706</v>
      </c>
      <c r="H13" s="11">
        <f>Population!H2</f>
        <v>588891771</v>
      </c>
      <c r="I13" s="11">
        <f>Population!I2</f>
        <v>595107268</v>
      </c>
      <c r="J13" s="11">
        <f>Population!J2</f>
        <v>601100431</v>
      </c>
      <c r="K13" s="11">
        <f>Population!K2</f>
        <v>606197769</v>
      </c>
      <c r="L13" s="11">
        <f>Population!L2</f>
        <v>612830956</v>
      </c>
      <c r="M13" s="11">
        <f>Population!M2</f>
        <v>618949139</v>
      </c>
      <c r="N13" s="11">
        <f>Population!N2</f>
        <v>625723991</v>
      </c>
      <c r="O13" s="11">
        <f>Population!O2</f>
        <v>632076346</v>
      </c>
      <c r="P13" s="11">
        <f>Population!P2</f>
        <v>637527558</v>
      </c>
      <c r="Q13" s="11">
        <f>Population!Q2</f>
        <v>644168213</v>
      </c>
      <c r="R13" s="11">
        <f>Population!R2</f>
        <v>650616497</v>
      </c>
      <c r="S13" s="11">
        <f>Population!S2</f>
        <v>655838478</v>
      </c>
      <c r="T13" s="11">
        <f>Population!T2</f>
        <v>661186484</v>
      </c>
      <c r="U13" s="11">
        <f>Population!U2</f>
        <v>666542725</v>
      </c>
      <c r="V13" s="11">
        <f>Population!V2</f>
        <v>671955233</v>
      </c>
      <c r="W13" s="11">
        <f>Population!W2</f>
        <v>677022633</v>
      </c>
      <c r="X13" s="11">
        <f>Population!X2</f>
        <v>682118521</v>
      </c>
      <c r="Y13" s="11">
        <f>Population!Y2</f>
        <v>686933875</v>
      </c>
      <c r="Z13" s="11">
        <f>Population!Z2</f>
        <v>691476543</v>
      </c>
      <c r="AA13" s="11">
        <f>Population!AA2</f>
        <v>695808544</v>
      </c>
      <c r="AB13" s="11">
        <f>Population!AB2</f>
        <v>700122901</v>
      </c>
      <c r="AC13" s="11">
        <f>Population!AC2</f>
        <v>704555271</v>
      </c>
      <c r="AD13" s="11">
        <f>Population!AD2</f>
        <v>708828894</v>
      </c>
      <c r="AE13" s="11">
        <f>Population!AE2</f>
        <v>713184800</v>
      </c>
      <c r="AF13" s="11">
        <f>Population!AF2</f>
        <v>717725822</v>
      </c>
      <c r="AG13" s="11">
        <f>Population!AG2</f>
        <v>722816702</v>
      </c>
      <c r="AH13" s="11">
        <f>Population!AH2</f>
        <v>728664067</v>
      </c>
      <c r="AI13" s="11">
        <f>Population!AI2</f>
        <v>734536269</v>
      </c>
      <c r="AJ13" s="11">
        <f>Population!AJ2</f>
        <v>740109615</v>
      </c>
      <c r="AK13" s="11">
        <f>Population!AK2</f>
        <v>745534654</v>
      </c>
      <c r="AL13" s="11">
        <f>Population!AL2</f>
        <v>750915744</v>
      </c>
      <c r="AM13" s="11">
        <f>Population!AM2</f>
        <v>756099581</v>
      </c>
      <c r="AN13" s="11">
        <f>Population!AN2</f>
        <v>761386850</v>
      </c>
      <c r="AO13" s="11">
        <f>Population!AO2</f>
        <v>766581760</v>
      </c>
      <c r="AP13" s="11">
        <f>Population!AP2</f>
        <v>771705868</v>
      </c>
      <c r="AQ13" s="11">
        <f>Population!AQ2</f>
        <v>777058003</v>
      </c>
      <c r="AR13" s="11">
        <f>Population!AR2</f>
        <v>782418893</v>
      </c>
      <c r="AS13" s="11">
        <f>Population!AS2</f>
        <v>787773800</v>
      </c>
      <c r="AT13" s="11">
        <f>Population!AT2</f>
        <v>793108979</v>
      </c>
      <c r="AU13" s="11">
        <f>Population!AU2</f>
        <v>798637512</v>
      </c>
      <c r="AV13" s="11">
        <f>Population!AV2</f>
        <v>804149105</v>
      </c>
      <c r="AW13" s="11">
        <f>Population!AW2</f>
        <v>810020098</v>
      </c>
      <c r="AX13" s="11">
        <f>Population!AX2</f>
        <v>816036221</v>
      </c>
      <c r="AY13" s="11">
        <f>Population!AY2</f>
        <v>822474850</v>
      </c>
      <c r="AZ13" s="11">
        <f>Population!AZ2</f>
        <v>828042212</v>
      </c>
      <c r="BA13" s="11">
        <f>Population!BA2</f>
        <v>833032550</v>
      </c>
      <c r="BB13" s="11">
        <f>Population!BB2</f>
        <v>837434108</v>
      </c>
      <c r="BC13" s="11">
        <f>Population!BC2</f>
        <v>841623629</v>
      </c>
      <c r="BD13" s="11">
        <f>Population!BD2</f>
        <v>845963864</v>
      </c>
      <c r="BE13" s="11">
        <f>Population!BE2</f>
        <v>850434215</v>
      </c>
      <c r="BF13" s="11">
        <f>Population!BF2</f>
        <v>854434828</v>
      </c>
      <c r="BG13" s="11">
        <f>Population!BG2</f>
        <v>858379823</v>
      </c>
      <c r="BH13" s="11">
        <f>Population!BH2</f>
        <v>861912060</v>
      </c>
      <c r="BI13" s="11">
        <f>Population!BI2</f>
        <v>865099664</v>
      </c>
      <c r="BJ13" s="11">
        <f>Population!BJ2</f>
        <v>868056459</v>
      </c>
      <c r="BK13" s="11"/>
      <c r="BL13" s="11"/>
      <c r="BM13" s="11"/>
      <c r="BN13" s="11"/>
      <c r="BO13" s="11"/>
      <c r="BP13" s="11"/>
      <c r="BQ13" s="11"/>
      <c r="BR13" s="11"/>
    </row>
    <row r="14" spans="1:70" x14ac:dyDescent="0.45">
      <c r="B14" t="s">
        <v>170</v>
      </c>
      <c r="C14" s="11">
        <f>Population!C3</f>
        <v>1526241075</v>
      </c>
      <c r="D14" s="11">
        <f>Population!D3</f>
        <v>1557986628</v>
      </c>
      <c r="E14" s="11">
        <f>Population!E3</f>
        <v>1589017065</v>
      </c>
      <c r="F14" s="11">
        <f>Population!F3</f>
        <v>1620670690</v>
      </c>
      <c r="G14" s="11">
        <f>Population!G3</f>
        <v>1653035620</v>
      </c>
      <c r="H14" s="11">
        <f>Population!H3</f>
        <v>1685855579</v>
      </c>
      <c r="I14" s="11">
        <f>Population!I3</f>
        <v>1718900483</v>
      </c>
      <c r="J14" s="11">
        <f>Population!J3</f>
        <v>1752429048</v>
      </c>
      <c r="K14" s="11">
        <f>Population!K3</f>
        <v>1785758651</v>
      </c>
      <c r="L14" s="11">
        <f>Population!L3</f>
        <v>1821313923</v>
      </c>
      <c r="M14" s="11">
        <f>Population!M3</f>
        <v>1857047728</v>
      </c>
      <c r="N14" s="11">
        <f>Population!N3</f>
        <v>1894118036</v>
      </c>
      <c r="O14" s="11">
        <f>Population!O3</f>
        <v>1931477385</v>
      </c>
      <c r="P14" s="11">
        <f>Population!P3</f>
        <v>1968737330</v>
      </c>
      <c r="Q14" s="11">
        <f>Population!Q3</f>
        <v>2008107512</v>
      </c>
      <c r="R14" s="11">
        <f>Population!R3</f>
        <v>2048292492</v>
      </c>
      <c r="S14" s="11">
        <f>Population!S3</f>
        <v>2088274666</v>
      </c>
      <c r="T14" s="11">
        <f>Population!T3</f>
        <v>2129384031</v>
      </c>
      <c r="U14" s="11">
        <f>Population!U3</f>
        <v>2171505228</v>
      </c>
      <c r="V14" s="11">
        <f>Population!V3</f>
        <v>2214680339</v>
      </c>
      <c r="W14" s="11">
        <f>Population!W3</f>
        <v>2258486228</v>
      </c>
      <c r="X14" s="11">
        <f>Population!X3</f>
        <v>2303276317</v>
      </c>
      <c r="Y14" s="11">
        <f>Population!Y3</f>
        <v>2348693824</v>
      </c>
      <c r="Z14" s="11">
        <f>Population!Z3</f>
        <v>2394653744</v>
      </c>
      <c r="AA14" s="11">
        <f>Population!AA3</f>
        <v>2441103779</v>
      </c>
      <c r="AB14" s="11">
        <f>Population!AB3</f>
        <v>2488131467</v>
      </c>
      <c r="AC14" s="11">
        <f>Population!AC3</f>
        <v>2535847686</v>
      </c>
      <c r="AD14" s="11">
        <f>Population!AD3</f>
        <v>2583928001</v>
      </c>
      <c r="AE14" s="11">
        <f>Population!AE3</f>
        <v>2632448355</v>
      </c>
      <c r="AF14" s="11">
        <f>Population!AF3</f>
        <v>2681321310</v>
      </c>
      <c r="AG14" s="11">
        <f>Population!AG3</f>
        <v>2730776519</v>
      </c>
      <c r="AH14" s="11">
        <f>Population!AH3</f>
        <v>2780902298</v>
      </c>
      <c r="AI14" s="11">
        <f>Population!AI3</f>
        <v>2830996911</v>
      </c>
      <c r="AJ14" s="11">
        <f>Population!AJ3</f>
        <v>2880926193</v>
      </c>
      <c r="AK14" s="11">
        <f>Population!AK3</f>
        <v>2931104329</v>
      </c>
      <c r="AL14" s="11">
        <f>Population!AL3</f>
        <v>2981811697</v>
      </c>
      <c r="AM14" s="11">
        <f>Population!AM3</f>
        <v>3032962995</v>
      </c>
      <c r="AN14" s="11">
        <f>Population!AN3</f>
        <v>3084738229</v>
      </c>
      <c r="AO14" s="11">
        <f>Population!AO3</f>
        <v>3136750547</v>
      </c>
      <c r="AP14" s="11">
        <f>Population!AP3</f>
        <v>3188760045</v>
      </c>
      <c r="AQ14" s="11">
        <f>Population!AQ3</f>
        <v>3240867055</v>
      </c>
      <c r="AR14" s="11">
        <f>Population!AR3</f>
        <v>3292778203</v>
      </c>
      <c r="AS14" s="11">
        <f>Population!AS3</f>
        <v>3344520681</v>
      </c>
      <c r="AT14" s="11">
        <f>Population!AT3</f>
        <v>3396137001</v>
      </c>
      <c r="AU14" s="11">
        <f>Population!AU3</f>
        <v>3447963615</v>
      </c>
      <c r="AV14" s="11">
        <f>Population!AV3</f>
        <v>3499866247</v>
      </c>
      <c r="AW14" s="11">
        <f>Population!AW3</f>
        <v>3552238904</v>
      </c>
      <c r="AX14" s="11">
        <f>Population!AX3</f>
        <v>3604834432</v>
      </c>
      <c r="AY14" s="11">
        <f>Population!AY3</f>
        <v>3657898225</v>
      </c>
      <c r="AZ14" s="11">
        <f>Population!AZ3</f>
        <v>3710073623</v>
      </c>
      <c r="BA14" s="11">
        <f>Population!BA3</f>
        <v>3761622949</v>
      </c>
      <c r="BB14" s="11">
        <f>Population!BB3</f>
        <v>3812456924</v>
      </c>
      <c r="BC14" s="11">
        <f>Population!BC3</f>
        <v>3863011739</v>
      </c>
      <c r="BD14" s="11">
        <f>Population!BD3</f>
        <v>3913795163</v>
      </c>
      <c r="BE14" s="11">
        <f>Population!BE3</f>
        <v>3964957348</v>
      </c>
      <c r="BF14" s="11">
        <f>Population!BF3</f>
        <v>4016031009</v>
      </c>
      <c r="BG14" s="11">
        <f>Population!BG3</f>
        <v>4067488837</v>
      </c>
      <c r="BH14" s="11">
        <f>Population!BH3</f>
        <v>4118871518</v>
      </c>
      <c r="BI14" s="11">
        <f>Population!BI3</f>
        <v>4169986371</v>
      </c>
      <c r="BJ14" s="11">
        <f>Population!BJ3</f>
        <v>4220905861</v>
      </c>
      <c r="BK14" s="11"/>
      <c r="BL14" s="11"/>
      <c r="BM14" s="11"/>
      <c r="BN14" s="11"/>
      <c r="BO14" s="11"/>
      <c r="BP14" s="11"/>
      <c r="BQ14" s="11"/>
      <c r="BR14" s="11"/>
    </row>
    <row r="16" spans="1:70" x14ac:dyDescent="0.45">
      <c r="A16" t="s">
        <v>188</v>
      </c>
      <c r="B16" t="s">
        <v>171</v>
      </c>
      <c r="C16" s="13">
        <f>'Dispersion Measures'!C2</f>
        <v>0.24239200483180226</v>
      </c>
      <c r="D16" s="13">
        <f>'Dispersion Measures'!D2</f>
        <v>0.20786622866128671</v>
      </c>
      <c r="E16" s="13">
        <f>'Dispersion Measures'!E2</f>
        <v>0.21323833068078604</v>
      </c>
      <c r="F16" s="13">
        <f>'Dispersion Measures'!F2</f>
        <v>0.21248076508079033</v>
      </c>
      <c r="G16" s="13">
        <f>'Dispersion Measures'!G2</f>
        <v>0.20014748564549906</v>
      </c>
      <c r="H16" s="13">
        <f>'Dispersion Measures'!H2</f>
        <v>0.198496418317018</v>
      </c>
      <c r="I16" s="13">
        <f>'Dispersion Measures'!I2</f>
        <v>0.27612605445251959</v>
      </c>
      <c r="J16" s="13">
        <f>'Dispersion Measures'!J2</f>
        <v>0.27932463863591706</v>
      </c>
      <c r="K16" s="13">
        <f>'Dispersion Measures'!K2</f>
        <v>0.28756554294252773</v>
      </c>
      <c r="L16" s="13">
        <f>'Dispersion Measures'!L2</f>
        <v>0.29047013174464553</v>
      </c>
      <c r="M16" s="13">
        <f>'Dispersion Measures'!M2</f>
        <v>0.28225720777686092</v>
      </c>
      <c r="N16" s="13">
        <f>'Dispersion Measures'!N2</f>
        <v>0.30368111779267026</v>
      </c>
      <c r="O16" s="13">
        <f>'Dispersion Measures'!O2</f>
        <v>0.33079110289224806</v>
      </c>
      <c r="P16" s="13">
        <f>'Dispersion Measures'!P2</f>
        <v>0.37001920899769286</v>
      </c>
      <c r="Q16" s="13">
        <f>'Dispersion Measures'!Q2</f>
        <v>0.37366059247153027</v>
      </c>
      <c r="R16" s="13">
        <f>'Dispersion Measures'!R2</f>
        <v>0.39283086146977414</v>
      </c>
      <c r="S16" s="13">
        <f>'Dispersion Measures'!S2</f>
        <v>0.42429541845998342</v>
      </c>
      <c r="T16" s="13">
        <f>'Dispersion Measures'!T2</f>
        <v>0.40558359663678301</v>
      </c>
      <c r="U16" s="13">
        <f>'Dispersion Measures'!U2</f>
        <v>0.40604149960298747</v>
      </c>
      <c r="V16" s="13">
        <f>'Dispersion Measures'!V2</f>
        <v>0.435269801395124</v>
      </c>
      <c r="W16" s="13">
        <f>'Dispersion Measures'!W2</f>
        <v>0.44610075283405176</v>
      </c>
      <c r="X16" s="13">
        <f>'Dispersion Measures'!X2</f>
        <v>0.49280324929338798</v>
      </c>
      <c r="Y16" s="13">
        <f>'Dispersion Measures'!Y2</f>
        <v>0.43010372784301315</v>
      </c>
      <c r="Z16" s="13">
        <f>'Dispersion Measures'!Z2</f>
        <v>0.36630077670911576</v>
      </c>
      <c r="AA16" s="13">
        <f>'Dispersion Measures'!AA2</f>
        <v>0.39096198124974008</v>
      </c>
      <c r="AB16" s="13">
        <f>'Dispersion Measures'!AB2</f>
        <v>0.36970983872359547</v>
      </c>
      <c r="AC16" s="13">
        <f>'Dispersion Measures'!AC2</f>
        <v>0.34216614429000902</v>
      </c>
      <c r="AD16" s="13">
        <f>'Dispersion Measures'!AD2</f>
        <v>0.35321200651823531</v>
      </c>
      <c r="AE16" s="13">
        <f>'Dispersion Measures'!AE2</f>
        <v>0.3718716360208556</v>
      </c>
      <c r="AF16" s="13">
        <f>'Dispersion Measures'!AF2</f>
        <v>0.44112399685217862</v>
      </c>
      <c r="AG16" s="13">
        <f>'Dispersion Measures'!AG2</f>
        <v>0.46612117689063282</v>
      </c>
      <c r="AH16" s="13">
        <f>'Dispersion Measures'!AH2</f>
        <v>0.57934368709099782</v>
      </c>
      <c r="AI16" s="13">
        <f>'Dispersion Measures'!AI2</f>
        <v>0.54035626661761538</v>
      </c>
      <c r="AJ16" s="13">
        <f>'Dispersion Measures'!AJ2</f>
        <v>0.63749656074381877</v>
      </c>
      <c r="AK16" s="13">
        <f>'Dispersion Measures'!AK2</f>
        <v>0.6339486863733077</v>
      </c>
      <c r="AL16" s="13">
        <f>'Dispersion Measures'!AL2</f>
        <v>0.60396257961492306</v>
      </c>
      <c r="AM16" s="13">
        <f>'Dispersion Measures'!AM2</f>
        <v>0.60704920663152284</v>
      </c>
      <c r="AN16" s="13">
        <f>'Dispersion Measures'!AN2</f>
        <v>0.62337811843718738</v>
      </c>
      <c r="AO16" s="13">
        <f>'Dispersion Measures'!AO2</f>
        <v>0.63760803167604518</v>
      </c>
      <c r="AP16" s="13">
        <f>'Dispersion Measures'!AP2</f>
        <v>0.58564599288866104</v>
      </c>
      <c r="AQ16" s="13">
        <f>'Dispersion Measures'!AQ2</f>
        <v>0.61123537579785236</v>
      </c>
      <c r="AR16" s="13">
        <f>'Dispersion Measures'!AR2</f>
        <v>0.60891005115225494</v>
      </c>
      <c r="AS16" s="13">
        <f>'Dispersion Measures'!AS2</f>
        <v>0.58779984347071845</v>
      </c>
      <c r="AT16" s="13">
        <f>'Dispersion Measures'!AT2</f>
        <v>0.54113595067453513</v>
      </c>
      <c r="AU16" s="13">
        <f>'Dispersion Measures'!AU2</f>
        <v>0.53726901020930651</v>
      </c>
      <c r="AV16" s="13">
        <f>'Dispersion Measures'!AV2</f>
        <v>0.54658063192480777</v>
      </c>
      <c r="AW16" s="13">
        <f>'Dispersion Measures'!AW2</f>
        <v>0.53672089104177234</v>
      </c>
      <c r="AX16" s="13">
        <f>'Dispersion Measures'!AX2</f>
        <v>0.51161485979276766</v>
      </c>
      <c r="AY16" s="13">
        <f>'Dispersion Measures'!AY2</f>
        <v>0.5383561323214856</v>
      </c>
      <c r="AZ16" s="13">
        <f>'Dispersion Measures'!AZ2</f>
        <v>0.47700347679418054</v>
      </c>
      <c r="BA16" s="13">
        <f>'Dispersion Measures'!BA2</f>
        <v>0.49522497788103631</v>
      </c>
      <c r="BB16" s="13">
        <f>'Dispersion Measures'!BB2</f>
        <v>0.51172024469855282</v>
      </c>
      <c r="BC16" s="13">
        <f>'Dispersion Measures'!BC2</f>
        <v>0.49784526612231289</v>
      </c>
      <c r="BD16" s="13">
        <f>'Dispersion Measures'!BD2</f>
        <v>0.49339967234125848</v>
      </c>
      <c r="BE16" s="13">
        <f>'Dispersion Measures'!BE2</f>
        <v>0.45977014108275926</v>
      </c>
      <c r="BF16" s="13">
        <f>'Dispersion Measures'!BF2</f>
        <v>0.38633930566578395</v>
      </c>
      <c r="BG16" s="13">
        <f>'Dispersion Measures'!BG2</f>
        <v>0.36560379438920892</v>
      </c>
      <c r="BH16" s="13">
        <f>'Dispersion Measures'!BH2</f>
        <v>0.35817896459949056</v>
      </c>
      <c r="BI16" s="13">
        <f>'Dispersion Measures'!BI2</f>
        <v>0.34272434270845853</v>
      </c>
      <c r="BJ16" s="13">
        <f>'Dispersion Measures'!BJ2</f>
        <v>0.33063296702408401</v>
      </c>
      <c r="BK16" s="13"/>
      <c r="BL16" s="13"/>
      <c r="BM16" s="13"/>
      <c r="BN16" s="13"/>
      <c r="BO16" s="13"/>
      <c r="BP16" s="13"/>
      <c r="BQ16" s="13"/>
      <c r="BR16" s="13"/>
    </row>
    <row r="17" spans="1:70" x14ac:dyDescent="0.45">
      <c r="B17" t="s">
        <v>189</v>
      </c>
      <c r="C17" s="13">
        <f>'Dispersion Measures'!C3</f>
        <v>0.24751014765127183</v>
      </c>
      <c r="D17" s="13">
        <f>'Dispersion Measures'!D3</f>
        <v>0.23225728713974053</v>
      </c>
      <c r="E17" s="13">
        <f>'Dispersion Measures'!E3</f>
        <v>0.22322886857938609</v>
      </c>
      <c r="F17" s="13">
        <f>'Dispersion Measures'!F3</f>
        <v>0.20486230463118457</v>
      </c>
      <c r="G17" s="13">
        <f>'Dispersion Measures'!G3</f>
        <v>0.19534307528767003</v>
      </c>
      <c r="H17" s="13">
        <f>'Dispersion Measures'!H3</f>
        <v>0.1929320108333242</v>
      </c>
      <c r="I17" s="13">
        <f>'Dispersion Measures'!I3</f>
        <v>0.1876033130603636</v>
      </c>
      <c r="J17" s="13">
        <f>'Dispersion Measures'!J3</f>
        <v>0.17542033864736126</v>
      </c>
      <c r="K17" s="13">
        <f>'Dispersion Measures'!K3</f>
        <v>0.17509325101944226</v>
      </c>
      <c r="L17" s="13">
        <f>'Dispersion Measures'!L3</f>
        <v>0.16461986817046373</v>
      </c>
      <c r="M17" s="13">
        <f>'Dispersion Measures'!M3</f>
        <v>0.1428498557736031</v>
      </c>
      <c r="N17" s="13">
        <f>'Dispersion Measures'!N3</f>
        <v>0.13566695384950214</v>
      </c>
      <c r="O17" s="13">
        <f>'Dispersion Measures'!O3</f>
        <v>0.11541656373584917</v>
      </c>
      <c r="P17" s="13">
        <f>'Dispersion Measures'!P3</f>
        <v>9.4766918085226359E-2</v>
      </c>
      <c r="Q17" s="13">
        <f>'Dispersion Measures'!Q3</f>
        <v>8.6562623135920322E-2</v>
      </c>
      <c r="R17" s="13">
        <f>'Dispersion Measures'!R3</f>
        <v>8.4230429500342277E-2</v>
      </c>
      <c r="S17" s="13">
        <f>'Dispersion Measures'!S3</f>
        <v>8.9136969768421712E-2</v>
      </c>
      <c r="T17" s="13">
        <f>'Dispersion Measures'!T3</f>
        <v>8.2011059139624781E-2</v>
      </c>
      <c r="U17" s="13">
        <f>'Dispersion Measures'!U3</f>
        <v>7.0324330554189324E-2</v>
      </c>
      <c r="V17" s="13">
        <f>'Dispersion Measures'!V3</f>
        <v>5.9372237078321573E-2</v>
      </c>
      <c r="W17" s="13">
        <f>'Dispersion Measures'!W3</f>
        <v>5.8868682838364467E-2</v>
      </c>
      <c r="X17" s="13">
        <f>'Dispersion Measures'!X3</f>
        <v>6.7553280703203045E-2</v>
      </c>
      <c r="Y17" s="13">
        <f>'Dispersion Measures'!Y3</f>
        <v>7.3248123736114029E-2</v>
      </c>
      <c r="Z17" s="13">
        <f>'Dispersion Measures'!Z3</f>
        <v>8.3399837735782301E-2</v>
      </c>
      <c r="AA17" s="13">
        <f>'Dispersion Measures'!AA3</f>
        <v>9.8632377145429717E-2</v>
      </c>
      <c r="AB17" s="13">
        <f>'Dispersion Measures'!AB3</f>
        <v>0.1031480143902412</v>
      </c>
      <c r="AC17" s="13">
        <f>'Dispersion Measures'!AC3</f>
        <v>7.4897792479270184E-2</v>
      </c>
      <c r="AD17" s="13">
        <f>'Dispersion Measures'!AD3</f>
        <v>6.2589288377732907E-2</v>
      </c>
      <c r="AE17" s="13">
        <f>'Dispersion Measures'!AE3</f>
        <v>5.7298446531876879E-2</v>
      </c>
      <c r="AF17" s="13">
        <f>'Dispersion Measures'!AF3</f>
        <v>5.1177722637423428E-2</v>
      </c>
      <c r="AG17" s="13">
        <f>'Dispersion Measures'!AG3</f>
        <v>3.870721847074679E-2</v>
      </c>
      <c r="AH17" s="13">
        <f>'Dispersion Measures'!AH3</f>
        <v>3.7949930290087273E-2</v>
      </c>
      <c r="AI17" s="13">
        <f>'Dispersion Measures'!AI3</f>
        <v>3.7960720265014673E-2</v>
      </c>
      <c r="AJ17" s="13">
        <f>'Dispersion Measures'!AJ3</f>
        <v>5.4536572807869235E-2</v>
      </c>
      <c r="AK17" s="13">
        <f>'Dispersion Measures'!AK3</f>
        <v>5.663141479896594E-2</v>
      </c>
      <c r="AL17" s="13">
        <f>'Dispersion Measures'!AL3</f>
        <v>5.1816975185750569E-2</v>
      </c>
      <c r="AM17" s="13">
        <f>'Dispersion Measures'!AM3</f>
        <v>3.597466301099693E-2</v>
      </c>
      <c r="AN17" s="13">
        <f>'Dispersion Measures'!AN3</f>
        <v>3.6439134700754404E-2</v>
      </c>
      <c r="AO17" s="13">
        <f>'Dispersion Measures'!AO3</f>
        <v>4.3427544912709053E-2</v>
      </c>
      <c r="AP17" s="13">
        <f>'Dispersion Measures'!AP3</f>
        <v>4.4585816048702098E-2</v>
      </c>
      <c r="AQ17" s="13">
        <f>'Dispersion Measures'!AQ3</f>
        <v>5.330140912194678E-2</v>
      </c>
      <c r="AR17" s="13">
        <f>'Dispersion Measures'!AR3</f>
        <v>5.1543814324237186E-2</v>
      </c>
      <c r="AS17" s="13">
        <f>'Dispersion Measures'!AS3</f>
        <v>4.3586711503730557E-2</v>
      </c>
      <c r="AT17" s="13">
        <f>'Dispersion Measures'!AT3</f>
        <v>3.1398660243602196E-2</v>
      </c>
      <c r="AU17" s="13">
        <f>'Dispersion Measures'!AU3</f>
        <v>2.6087623879924582E-2</v>
      </c>
      <c r="AV17" s="13">
        <f>'Dispersion Measures'!AV3</f>
        <v>2.4581379886806524E-2</v>
      </c>
      <c r="AW17" s="13">
        <f>'Dispersion Measures'!AW3</f>
        <v>2.431845941180602E-2</v>
      </c>
      <c r="AX17" s="13">
        <f>'Dispersion Measures'!AX3</f>
        <v>2.2610451248951446E-2</v>
      </c>
      <c r="AY17" s="13">
        <f>'Dispersion Measures'!AY3</f>
        <v>2.218537240270689E-2</v>
      </c>
      <c r="AZ17" s="13">
        <f>'Dispersion Measures'!AZ3</f>
        <v>2.2433333815242519E-2</v>
      </c>
      <c r="BA17" s="13">
        <f>'Dispersion Measures'!BA3</f>
        <v>2.2145685619337403E-2</v>
      </c>
      <c r="BB17" s="13">
        <f>'Dispersion Measures'!BB3</f>
        <v>2.341849187455965E-2</v>
      </c>
      <c r="BC17" s="13">
        <f>'Dispersion Measures'!BC3</f>
        <v>2.9935724157291246E-2</v>
      </c>
      <c r="BD17" s="13">
        <f>'Dispersion Measures'!BD3</f>
        <v>3.045006981712433E-2</v>
      </c>
      <c r="BE17" s="13">
        <f>'Dispersion Measures'!BE3</f>
        <v>3.0343844864544368E-2</v>
      </c>
      <c r="BF17" s="13">
        <f>'Dispersion Measures'!BF3</f>
        <v>4.1505007515458686E-2</v>
      </c>
      <c r="BG17" s="13">
        <f>'Dispersion Measures'!BG3</f>
        <v>3.8049683473195942E-2</v>
      </c>
      <c r="BH17" s="13">
        <f>'Dispersion Measures'!BH3</f>
        <v>3.8043551745226778E-2</v>
      </c>
      <c r="BI17" s="13">
        <f>'Dispersion Measures'!BI3</f>
        <v>3.7407344990651889E-2</v>
      </c>
      <c r="BJ17" s="13">
        <f>'Dispersion Measures'!BJ3</f>
        <v>4.280584132603682E-2</v>
      </c>
      <c r="BK17" s="13"/>
      <c r="BL17" s="13"/>
      <c r="BM17" s="13"/>
      <c r="BN17" s="13"/>
      <c r="BO17" s="13"/>
      <c r="BP17" s="13"/>
      <c r="BQ17" s="13"/>
      <c r="BR17" s="13"/>
    </row>
    <row r="18" spans="1:70" x14ac:dyDescent="0.45">
      <c r="B18" t="s">
        <v>168</v>
      </c>
      <c r="C18" s="13">
        <f>'Dispersion Measures'!C4</f>
        <v>0.52188436896577417</v>
      </c>
      <c r="D18" s="13">
        <f>'Dispersion Measures'!D4</f>
        <v>0.53872500127167378</v>
      </c>
      <c r="E18" s="13">
        <f>'Dispersion Measures'!E4</f>
        <v>0.54390683680953389</v>
      </c>
      <c r="F18" s="13">
        <f>'Dispersion Measures'!F4</f>
        <v>0.53744725389844605</v>
      </c>
      <c r="G18" s="13">
        <f>'Dispersion Measures'!G4</f>
        <v>0.54604484608430759</v>
      </c>
      <c r="H18" s="13">
        <f>'Dispersion Measures'!H4</f>
        <v>0.5569166407936279</v>
      </c>
      <c r="I18" s="13">
        <f>'Dispersion Measures'!I4</f>
        <v>0.58453262738379863</v>
      </c>
      <c r="J18" s="13">
        <f>'Dispersion Measures'!J4</f>
        <v>0.59282487927412952</v>
      </c>
      <c r="K18" s="13">
        <f>'Dispersion Measures'!K4</f>
        <v>0.60482723940430816</v>
      </c>
      <c r="L18" s="13">
        <f>'Dispersion Measures'!L4</f>
        <v>0.6076741759093458</v>
      </c>
      <c r="M18" s="13">
        <f>'Dispersion Measures'!M4</f>
        <v>0.6174306618266725</v>
      </c>
      <c r="N18" s="13">
        <f>'Dispersion Measures'!N4</f>
        <v>0.63130534357879331</v>
      </c>
      <c r="O18" s="13">
        <f>'Dispersion Measures'!O4</f>
        <v>0.65145362014031483</v>
      </c>
      <c r="P18" s="13">
        <f>'Dispersion Measures'!P4</f>
        <v>0.64596999584933212</v>
      </c>
      <c r="Q18" s="13">
        <f>'Dispersion Measures'!Q4</f>
        <v>0.61276537217491833</v>
      </c>
      <c r="R18" s="13">
        <f>'Dispersion Measures'!R4</f>
        <v>0.62343080164301412</v>
      </c>
      <c r="S18" s="13">
        <f>'Dispersion Measures'!S4</f>
        <v>0.62901679982855452</v>
      </c>
      <c r="T18" s="13">
        <f>'Dispersion Measures'!T4</f>
        <v>0.64306384415820417</v>
      </c>
      <c r="U18" s="13">
        <f>'Dispersion Measures'!U4</f>
        <v>0.66780747171783617</v>
      </c>
      <c r="V18" s="13">
        <f>'Dispersion Measures'!V4</f>
        <v>0.66342517490136965</v>
      </c>
      <c r="W18" s="13">
        <f>'Dispersion Measures'!W4</f>
        <v>0.65139086504995869</v>
      </c>
      <c r="X18" s="13">
        <f>'Dispersion Measures'!X4</f>
        <v>0.61363337667730777</v>
      </c>
      <c r="Y18" s="13">
        <f>'Dispersion Measures'!Y4</f>
        <v>0.64427504539373459</v>
      </c>
      <c r="Z18" s="13">
        <f>'Dispersion Measures'!Z4</f>
        <v>0.70710100569404577</v>
      </c>
      <c r="AA18" s="13">
        <f>'Dispersion Measures'!AA4</f>
        <v>0.73518203948961425</v>
      </c>
      <c r="AB18" s="13">
        <f>'Dispersion Measures'!AB4</f>
        <v>0.75843691039919492</v>
      </c>
      <c r="AC18" s="13">
        <f>'Dispersion Measures'!AC4</f>
        <v>0.82487053329540738</v>
      </c>
      <c r="AD18" s="13">
        <f>'Dispersion Measures'!AD4</f>
        <v>0.84504998972305068</v>
      </c>
      <c r="AE18" s="13">
        <f>'Dispersion Measures'!AE4</f>
        <v>0.86677122977275711</v>
      </c>
      <c r="AF18" s="13">
        <f>'Dispersion Measures'!AF4</f>
        <v>0.85694562027981391</v>
      </c>
      <c r="AG18" s="13">
        <f>'Dispersion Measures'!AG4</f>
        <v>0.86098544809133637</v>
      </c>
      <c r="AH18" s="13">
        <f>'Dispersion Measures'!AH4</f>
        <v>0.85790150161326428</v>
      </c>
      <c r="AI18" s="13">
        <f>'Dispersion Measures'!AI4</f>
        <v>0.89612723230145797</v>
      </c>
      <c r="AJ18" s="13">
        <f>'Dispersion Measures'!AJ4</f>
        <v>0.87713177481857219</v>
      </c>
      <c r="AK18" s="13">
        <f>'Dispersion Measures'!AK4</f>
        <v>0.87768115168187044</v>
      </c>
      <c r="AL18" s="13">
        <f>'Dispersion Measures'!AL4</f>
        <v>0.88566286342460754</v>
      </c>
      <c r="AM18" s="13">
        <f>'Dispersion Measures'!AM4</f>
        <v>0.86896119690139462</v>
      </c>
      <c r="AN18" s="13">
        <f>'Dispersion Measures'!AN4</f>
        <v>0.85578644164162565</v>
      </c>
      <c r="AO18" s="13">
        <f>'Dispersion Measures'!AO4</f>
        <v>0.86491904823118926</v>
      </c>
      <c r="AP18" s="13">
        <f>'Dispersion Measures'!AP4</f>
        <v>0.91050161838959331</v>
      </c>
      <c r="AQ18" s="13">
        <f>'Dispersion Measures'!AQ4</f>
        <v>0.89945427930882649</v>
      </c>
      <c r="AR18" s="13">
        <f>'Dispersion Measures'!AR4</f>
        <v>0.91632141292669123</v>
      </c>
      <c r="AS18" s="13">
        <f>'Dispersion Measures'!AS4</f>
        <v>0.92678368954487289</v>
      </c>
      <c r="AT18" s="13">
        <f>'Dispersion Measures'!AT4</f>
        <v>0.93714302196230137</v>
      </c>
      <c r="AU18" s="13">
        <f>'Dispersion Measures'!AU4</f>
        <v>0.92553226292164914</v>
      </c>
      <c r="AV18" s="13">
        <f>'Dispersion Measures'!AV4</f>
        <v>0.88920843170525821</v>
      </c>
      <c r="AW18" s="13">
        <f>'Dispersion Measures'!AW4</f>
        <v>0.85851054160078022</v>
      </c>
      <c r="AX18" s="13">
        <f>'Dispersion Measures'!AX4</f>
        <v>0.82630955579936027</v>
      </c>
      <c r="AY18" s="13">
        <f>'Dispersion Measures'!AY4</f>
        <v>0.80900975272426601</v>
      </c>
      <c r="AZ18" s="13">
        <f>'Dispersion Measures'!AZ4</f>
        <v>0.81130963037499537</v>
      </c>
      <c r="BA18" s="13">
        <f>'Dispersion Measures'!BA4</f>
        <v>0.74800316726279104</v>
      </c>
      <c r="BB18" s="13">
        <f>'Dispersion Measures'!BB4</f>
        <v>0.7291864839501585</v>
      </c>
      <c r="BC18" s="13">
        <f>'Dispersion Measures'!BC4</f>
        <v>0.73068206447403328</v>
      </c>
      <c r="BD18" s="13">
        <f>'Dispersion Measures'!BD4</f>
        <v>0.72137225527590387</v>
      </c>
      <c r="BE18" s="13">
        <f>'Dispersion Measures'!BE4</f>
        <v>0.7238677633493823</v>
      </c>
      <c r="BF18" s="13">
        <f>'Dispersion Measures'!BF4</f>
        <v>0.75441239998863896</v>
      </c>
      <c r="BG18" s="13">
        <f>'Dispersion Measures'!BG4</f>
        <v>0.76826991354103336</v>
      </c>
      <c r="BH18" s="13">
        <f>'Dispersion Measures'!BH4</f>
        <v>0.75014791265022684</v>
      </c>
      <c r="BI18" s="13">
        <f>'Dispersion Measures'!BI4</f>
        <v>0.77452096225647604</v>
      </c>
      <c r="BJ18" s="13">
        <f>'Dispersion Measures'!BJ4</f>
        <v>0.77794794595525807</v>
      </c>
      <c r="BK18" s="13"/>
      <c r="BL18" s="13"/>
      <c r="BM18" s="13"/>
      <c r="BN18" s="13"/>
      <c r="BO18" s="13"/>
      <c r="BP18" s="13"/>
      <c r="BQ18" s="13"/>
      <c r="BR18" s="13"/>
    </row>
    <row r="19" spans="1:70" x14ac:dyDescent="0.45">
      <c r="B19" t="s">
        <v>190</v>
      </c>
      <c r="C19" s="13">
        <f>'Dispersion Measures'!C5</f>
        <v>0.77057014761386911</v>
      </c>
      <c r="D19" s="13">
        <f>'Dispersion Measures'!D5</f>
        <v>0.76955987919014768</v>
      </c>
      <c r="E19" s="13">
        <f>'Dispersion Measures'!E5</f>
        <v>0.76773837878051454</v>
      </c>
      <c r="F19" s="13">
        <f>'Dispersion Measures'!F5</f>
        <v>0.74540741491173879</v>
      </c>
      <c r="G19" s="13">
        <f>'Dispersion Measures'!G5</f>
        <v>0.74411052213239481</v>
      </c>
      <c r="H19" s="13">
        <f>'Dispersion Measures'!H5</f>
        <v>0.75270858825578169</v>
      </c>
      <c r="I19" s="13">
        <f>'Dispersion Measures'!I5</f>
        <v>0.78603488278257516</v>
      </c>
      <c r="J19" s="13">
        <f>'Dispersion Measures'!J5</f>
        <v>0.78418531506052258</v>
      </c>
      <c r="K19" s="13">
        <f>'Dispersion Measures'!K5</f>
        <v>0.79687347407393028</v>
      </c>
      <c r="L19" s="13">
        <f>'Dispersion Measures'!L5</f>
        <v>0.79123464248385633</v>
      </c>
      <c r="M19" s="13">
        <f>'Dispersion Measures'!M5</f>
        <v>0.78094286819448122</v>
      </c>
      <c r="N19" s="13">
        <f>'Dispersion Measures'!N5</f>
        <v>0.79101910345103144</v>
      </c>
      <c r="O19" s="13">
        <f>'Dispersion Measures'!O5</f>
        <v>0.79607988556076159</v>
      </c>
      <c r="P19" s="13">
        <f>'Dispersion Measures'!P5</f>
        <v>0.77887483145046343</v>
      </c>
      <c r="Q19" s="13">
        <f>'Dispersion Measures'!Q5</f>
        <v>0.7435066987114114</v>
      </c>
      <c r="R19" s="13">
        <f>'Dispersion Measures'!R5</f>
        <v>0.75465728728719605</v>
      </c>
      <c r="S19" s="13">
        <f>'Dispersion Measures'!S5</f>
        <v>0.76945640497257717</v>
      </c>
      <c r="T19" s="13">
        <f>'Dispersion Measures'!T5</f>
        <v>0.7740923472155482</v>
      </c>
      <c r="U19" s="13">
        <f>'Dispersion Measures'!U5</f>
        <v>0.78695762509903788</v>
      </c>
      <c r="V19" s="13">
        <f>'Dispersion Measures'!V5</f>
        <v>0.77911991708552908</v>
      </c>
      <c r="W19" s="13">
        <f>'Dispersion Measures'!W5</f>
        <v>0.77142064885917772</v>
      </c>
      <c r="X19" s="13">
        <f>'Dispersion Measures'!X5</f>
        <v>0.75603691358227332</v>
      </c>
      <c r="Y19" s="13">
        <f>'Dispersion Measures'!Y5</f>
        <v>0.77780599168366638</v>
      </c>
      <c r="Z19" s="13">
        <f>'Dispersion Measures'!Z5</f>
        <v>0.83327148873984003</v>
      </c>
      <c r="AA19" s="13">
        <f>'Dispersion Measures'!AA5</f>
        <v>0.87612172516244646</v>
      </c>
      <c r="AB19" s="13">
        <f>'Dispersion Measures'!AB5</f>
        <v>0.89927739171891619</v>
      </c>
      <c r="AC19" s="13">
        <f>'Dispersion Measures'!AC5</f>
        <v>0.93260550266320119</v>
      </c>
      <c r="AD19" s="13">
        <f>'Dispersion Measures'!AD5</f>
        <v>0.94225453778621493</v>
      </c>
      <c r="AE19" s="13">
        <f>'Dispersion Measures'!AE5</f>
        <v>0.9602257853043521</v>
      </c>
      <c r="AF19" s="13">
        <f>'Dispersion Measures'!AF5</f>
        <v>0.95470380503425167</v>
      </c>
      <c r="AG19" s="13">
        <f>'Dispersion Measures'!AG5</f>
        <v>0.95121844954329826</v>
      </c>
      <c r="AH19" s="13">
        <f>'Dispersion Measures'!AH5</f>
        <v>0.96230861057657702</v>
      </c>
      <c r="AI19" s="13">
        <f>'Dispersion Measures'!AI5</f>
        <v>0.9912269533863276</v>
      </c>
      <c r="AJ19" s="13">
        <f>'Dispersion Measures'!AJ5</f>
        <v>1.0025071124905582</v>
      </c>
      <c r="AK19" s="13">
        <f>'Dispersion Measures'!AK5</f>
        <v>1.0059459207076873</v>
      </c>
      <c r="AL19" s="13">
        <f>'Dispersion Measures'!AL5</f>
        <v>1.0061900759307627</v>
      </c>
      <c r="AM19" s="13">
        <f>'Dispersion Measures'!AM5</f>
        <v>0.98052763950877564</v>
      </c>
      <c r="AN19" s="13">
        <f>'Dispersion Measures'!AN5</f>
        <v>0.97395214355092563</v>
      </c>
      <c r="AO19" s="13">
        <f>'Dispersion Measures'!AO5</f>
        <v>0.99082713856716498</v>
      </c>
      <c r="AP19" s="13">
        <f>'Dispersion Measures'!AP5</f>
        <v>1.0238761839891251</v>
      </c>
      <c r="AQ19" s="13">
        <f>'Dispersion Measures'!AQ5</f>
        <v>1.0269188989693199</v>
      </c>
      <c r="AR19" s="13">
        <f>'Dispersion Measures'!AR5</f>
        <v>1.0402533667881746</v>
      </c>
      <c r="AS19" s="13">
        <f>'Dispersion Measures'!AS5</f>
        <v>1.040546570840053</v>
      </c>
      <c r="AT19" s="13">
        <f>'Dispersion Measures'!AT5</f>
        <v>1.033916051196019</v>
      </c>
      <c r="AU19" s="13">
        <f>'Dispersion Measures'!AU5</f>
        <v>1.0201209525998296</v>
      </c>
      <c r="AV19" s="13">
        <f>'Dispersion Measures'!AV5</f>
        <v>0.99092007359080025</v>
      </c>
      <c r="AW19" s="13">
        <f>'Dispersion Measures'!AW5</f>
        <v>0.96488818171568036</v>
      </c>
      <c r="AX19" s="13">
        <f>'Dispersion Measures'!AX5</f>
        <v>0.93374824894351205</v>
      </c>
      <c r="AY19" s="13">
        <f>'Dispersion Measures'!AY5</f>
        <v>0.92469356163340544</v>
      </c>
      <c r="AZ19" s="13">
        <f>'Dispersion Measures'!AZ5</f>
        <v>0.91694532022833208</v>
      </c>
      <c r="BA19" s="13">
        <f>'Dispersion Measures'!BA5</f>
        <v>0.8686370739492556</v>
      </c>
      <c r="BB19" s="13">
        <f>'Dispersion Measures'!BB5</f>
        <v>0.8588023314654285</v>
      </c>
      <c r="BC19" s="13">
        <f>'Dispersion Measures'!BC5</f>
        <v>0.86329504449456507</v>
      </c>
      <c r="BD19" s="13">
        <f>'Dispersion Measures'!BD5</f>
        <v>0.85613758448592847</v>
      </c>
      <c r="BE19" s="13">
        <f>'Dispersion Measures'!BE5</f>
        <v>0.85167144048369636</v>
      </c>
      <c r="BF19" s="13">
        <f>'Dispersion Measures'!BF5</f>
        <v>0.87143105838885149</v>
      </c>
      <c r="BG19" s="13">
        <f>'Dispersion Measures'!BG5</f>
        <v>0.87721585516003564</v>
      </c>
      <c r="BH19" s="13">
        <f>'Dispersion Measures'!BH5</f>
        <v>0.86046369896942054</v>
      </c>
      <c r="BI19" s="13">
        <f>'Dispersion Measures'!BI5</f>
        <v>0.87891161983420041</v>
      </c>
      <c r="BJ19" s="13">
        <f>'Dispersion Measures'!BJ5</f>
        <v>0.88436908916203549</v>
      </c>
      <c r="BK19" s="13"/>
      <c r="BL19" s="13"/>
      <c r="BM19" s="13"/>
      <c r="BN19" s="13"/>
      <c r="BO19" s="13"/>
      <c r="BP19" s="13"/>
      <c r="BQ19" s="13"/>
      <c r="BR19" s="13"/>
    </row>
    <row r="21" spans="1:70" x14ac:dyDescent="0.45">
      <c r="A21" t="s">
        <v>172</v>
      </c>
      <c r="B21" t="s">
        <v>26</v>
      </c>
      <c r="C21">
        <f>COUNT(Population!C41:C115)</f>
        <v>74</v>
      </c>
      <c r="D21">
        <f>COUNT(Population!D41:D115)</f>
        <v>50</v>
      </c>
      <c r="E21">
        <f>COUNT(Population!E41:E115)</f>
        <v>50</v>
      </c>
      <c r="F21">
        <f>COUNT(Population!F41:F115)</f>
        <v>48</v>
      </c>
      <c r="G21">
        <f>COUNT(Population!G41:G115)</f>
        <v>48</v>
      </c>
      <c r="H21">
        <f>COUNT(Population!H41:H115)</f>
        <v>48</v>
      </c>
      <c r="I21">
        <f>COUNT(Population!I41:I115)</f>
        <v>48</v>
      </c>
      <c r="J21">
        <f>COUNT(Population!J41:J115)</f>
        <v>48</v>
      </c>
      <c r="K21">
        <f>COUNT(Population!K41:K115)</f>
        <v>48</v>
      </c>
      <c r="L21">
        <f>COUNT(Population!L41:L115)</f>
        <v>48</v>
      </c>
      <c r="M21">
        <f>COUNT(Population!M41:M115)</f>
        <v>48</v>
      </c>
      <c r="N21">
        <f>COUNT(Population!N41:N115)</f>
        <v>48</v>
      </c>
      <c r="O21">
        <f>COUNT(Population!O41:O115)</f>
        <v>48</v>
      </c>
      <c r="P21">
        <f>COUNT(Population!P41:P115)</f>
        <v>48</v>
      </c>
      <c r="Q21">
        <f>COUNT(Population!Q41:Q115)</f>
        <v>48</v>
      </c>
      <c r="R21">
        <f>COUNT(Population!R41:R115)</f>
        <v>48</v>
      </c>
      <c r="S21">
        <f>COUNT(Population!S41:S115)</f>
        <v>48</v>
      </c>
      <c r="T21">
        <f>COUNT(Population!T41:T115)</f>
        <v>48</v>
      </c>
      <c r="U21">
        <f>COUNT(Population!U41:U115)</f>
        <v>48</v>
      </c>
      <c r="V21">
        <f>COUNT(Population!V41:V115)</f>
        <v>48</v>
      </c>
      <c r="W21">
        <f>COUNT(Population!W41:W115)</f>
        <v>48</v>
      </c>
      <c r="X21">
        <f>COUNT(Population!X41:X115)</f>
        <v>48</v>
      </c>
      <c r="Y21">
        <f>COUNT(Population!Y41:Y115)</f>
        <v>48</v>
      </c>
      <c r="Z21">
        <f>COUNT(Population!Z41:Z115)</f>
        <v>48</v>
      </c>
      <c r="AA21">
        <f>COUNT(Population!AA41:AA115)</f>
        <v>48</v>
      </c>
      <c r="AB21">
        <f>COUNT(Population!AB41:AB115)</f>
        <v>48</v>
      </c>
      <c r="AC21">
        <f>COUNT(Population!AC41:AC115)</f>
        <v>48</v>
      </c>
      <c r="AD21">
        <f>COUNT(Population!AD41:AD115)</f>
        <v>48</v>
      </c>
      <c r="AE21">
        <f>COUNT(Population!AE41:AE115)</f>
        <v>48</v>
      </c>
      <c r="AF21">
        <f>COUNT(Population!AF41:AF115)</f>
        <v>48</v>
      </c>
      <c r="AG21">
        <f>COUNT(Population!AG41:AG115)</f>
        <v>48</v>
      </c>
      <c r="AH21">
        <f>COUNT(Population!AH41:AH115)</f>
        <v>48</v>
      </c>
      <c r="AI21">
        <f>COUNT(Population!AI41:AI115)</f>
        <v>48</v>
      </c>
      <c r="AJ21">
        <f>COUNT(Population!AJ41:AJ115)</f>
        <v>48</v>
      </c>
      <c r="AK21">
        <f>COUNT(Population!AK41:AK115)</f>
        <v>48</v>
      </c>
      <c r="AL21">
        <f>COUNT(Population!AL41:AL115)</f>
        <v>48</v>
      </c>
      <c r="AM21">
        <f>COUNT(Population!AM41:AM115)</f>
        <v>48</v>
      </c>
      <c r="AN21">
        <f>COUNT(Population!AN41:AN115)</f>
        <v>48</v>
      </c>
      <c r="AO21">
        <f>COUNT(Population!AO41:AO115)</f>
        <v>48</v>
      </c>
      <c r="AP21">
        <f>COUNT(Population!AP41:AP115)</f>
        <v>48</v>
      </c>
      <c r="AQ21">
        <f>COUNT(Population!AQ41:AQ115)</f>
        <v>48</v>
      </c>
      <c r="AR21">
        <f>COUNT(Population!AR41:AR115)</f>
        <v>48</v>
      </c>
      <c r="AS21">
        <f>COUNT(Population!AS41:AS115)</f>
        <v>48</v>
      </c>
      <c r="AT21">
        <f>COUNT(Population!AT41:AT115)</f>
        <v>48</v>
      </c>
      <c r="AU21">
        <f>COUNT(Population!AU41:AU115)</f>
        <v>48</v>
      </c>
      <c r="AV21">
        <f>COUNT(Population!AV41:AV115)</f>
        <v>48</v>
      </c>
      <c r="AW21">
        <f>COUNT(Population!AW41:AW115)</f>
        <v>48</v>
      </c>
      <c r="AX21">
        <f>COUNT(Population!AX41:AX115)</f>
        <v>48</v>
      </c>
      <c r="AY21">
        <f>COUNT(Population!AY41:AY115)</f>
        <v>48</v>
      </c>
      <c r="AZ21">
        <f>COUNT(Population!AZ41:AZ115)</f>
        <v>48</v>
      </c>
      <c r="BA21">
        <f>COUNT(Population!BA41:BA115)</f>
        <v>48</v>
      </c>
      <c r="BB21">
        <f>COUNT(Population!BB41:BB115)</f>
        <v>48</v>
      </c>
      <c r="BC21">
        <f>COUNT(Population!BC41:BC115)</f>
        <v>48</v>
      </c>
      <c r="BD21">
        <f>COUNT(Population!BD41:BD115)</f>
        <v>48</v>
      </c>
      <c r="BE21">
        <f>COUNT(Population!BE41:BE115)</f>
        <v>48</v>
      </c>
      <c r="BF21">
        <f>COUNT(Population!BF41:BF115)</f>
        <v>48</v>
      </c>
      <c r="BG21">
        <f>COUNT(Population!BG41:BG115)</f>
        <v>48</v>
      </c>
      <c r="BH21">
        <f>COUNT(Population!BH41:BH115)</f>
        <v>48</v>
      </c>
      <c r="BI21">
        <f>COUNT(Population!BI41:BI115)</f>
        <v>48</v>
      </c>
      <c r="BJ21">
        <f>COUNT(Population!BJ41:BJ115)</f>
        <v>48</v>
      </c>
    </row>
    <row r="22" spans="1:70" x14ac:dyDescent="0.45">
      <c r="B22" t="s">
        <v>25</v>
      </c>
      <c r="C22">
        <f>COUNT(Population!C13:C40)</f>
        <v>28</v>
      </c>
      <c r="D22">
        <f>COUNT(Population!D13:D40)</f>
        <v>28</v>
      </c>
      <c r="E22">
        <f>COUNT(Population!E13:E40)</f>
        <v>28</v>
      </c>
      <c r="F22">
        <f>COUNT(Population!F13:F40)</f>
        <v>28</v>
      </c>
      <c r="G22">
        <f>COUNT(Population!G13:G40)</f>
        <v>28</v>
      </c>
      <c r="H22">
        <f>COUNT(Population!H13:H40)</f>
        <v>28</v>
      </c>
      <c r="I22">
        <f>COUNT(Population!I13:I40)</f>
        <v>28</v>
      </c>
      <c r="J22">
        <f>COUNT(Population!J13:J40)</f>
        <v>28</v>
      </c>
      <c r="K22">
        <f>COUNT(Population!K13:K40)</f>
        <v>28</v>
      </c>
      <c r="L22">
        <f>COUNT(Population!L13:L40)</f>
        <v>28</v>
      </c>
      <c r="M22">
        <f>COUNT(Population!M13:M40)</f>
        <v>28</v>
      </c>
      <c r="N22">
        <f>COUNT(Population!N13:N40)</f>
        <v>28</v>
      </c>
      <c r="O22">
        <f>COUNT(Population!O13:O40)</f>
        <v>28</v>
      </c>
      <c r="P22">
        <f>COUNT(Population!P13:P40)</f>
        <v>28</v>
      </c>
      <c r="Q22">
        <f>COUNT(Population!Q13:Q40)</f>
        <v>28</v>
      </c>
      <c r="R22">
        <f>COUNT(Population!R13:R40)</f>
        <v>28</v>
      </c>
      <c r="S22">
        <f>COUNT(Population!S13:S40)</f>
        <v>28</v>
      </c>
      <c r="T22">
        <f>COUNT(Population!T13:T40)</f>
        <v>28</v>
      </c>
      <c r="U22">
        <f>COUNT(Population!U13:U40)</f>
        <v>28</v>
      </c>
      <c r="V22">
        <f>COUNT(Population!V13:V40)</f>
        <v>28</v>
      </c>
      <c r="W22">
        <f>COUNT(Population!W13:W40)</f>
        <v>28</v>
      </c>
      <c r="X22">
        <f>COUNT(Population!X13:X40)</f>
        <v>28</v>
      </c>
      <c r="Y22">
        <f>COUNT(Population!Y13:Y40)</f>
        <v>28</v>
      </c>
      <c r="Z22">
        <f>COUNT(Population!Z13:Z40)</f>
        <v>28</v>
      </c>
      <c r="AA22">
        <f>COUNT(Population!AA13:AA40)</f>
        <v>28</v>
      </c>
      <c r="AB22">
        <f>COUNT(Population!AB13:AB40)</f>
        <v>28</v>
      </c>
      <c r="AC22">
        <f>COUNT(Population!AC13:AC40)</f>
        <v>28</v>
      </c>
      <c r="AD22">
        <f>COUNT(Population!AD13:AD40)</f>
        <v>28</v>
      </c>
      <c r="AE22">
        <f>COUNT(Population!AE13:AE40)</f>
        <v>28</v>
      </c>
      <c r="AF22">
        <f>COUNT(Population!AF13:AF40)</f>
        <v>28</v>
      </c>
      <c r="AG22">
        <f>COUNT(Population!AG13:AG40)</f>
        <v>28</v>
      </c>
      <c r="AH22">
        <f>COUNT(Population!AH13:AH40)</f>
        <v>28</v>
      </c>
      <c r="AI22">
        <f>COUNT(Population!AI13:AI40)</f>
        <v>28</v>
      </c>
      <c r="AJ22">
        <f>COUNT(Population!AJ13:AJ40)</f>
        <v>28</v>
      </c>
      <c r="AK22">
        <f>COUNT(Population!AK13:AK40)</f>
        <v>28</v>
      </c>
      <c r="AL22">
        <f>COUNT(Population!AL13:AL40)</f>
        <v>28</v>
      </c>
      <c r="AM22">
        <f>COUNT(Population!AM13:AM40)</f>
        <v>28</v>
      </c>
      <c r="AN22">
        <f>COUNT(Population!AN13:AN40)</f>
        <v>28</v>
      </c>
      <c r="AO22">
        <f>COUNT(Population!AO13:AO40)</f>
        <v>28</v>
      </c>
      <c r="AP22">
        <f>COUNT(Population!AP13:AP40)</f>
        <v>28</v>
      </c>
      <c r="AQ22">
        <f>COUNT(Population!AQ13:AQ40)</f>
        <v>28</v>
      </c>
      <c r="AR22">
        <f>COUNT(Population!AR13:AR40)</f>
        <v>28</v>
      </c>
      <c r="AS22">
        <f>COUNT(Population!AS13:AS40)</f>
        <v>28</v>
      </c>
      <c r="AT22">
        <f>COUNT(Population!AT13:AT40)</f>
        <v>28</v>
      </c>
      <c r="AU22">
        <f>COUNT(Population!AU13:AU40)</f>
        <v>28</v>
      </c>
      <c r="AV22">
        <f>COUNT(Population!AV13:AV40)</f>
        <v>28</v>
      </c>
      <c r="AW22">
        <f>COUNT(Population!AW13:AW40)</f>
        <v>28</v>
      </c>
      <c r="AX22">
        <f>COUNT(Population!AX13:AX40)</f>
        <v>28</v>
      </c>
      <c r="AY22">
        <f>COUNT(Population!AY13:AY40)</f>
        <v>28</v>
      </c>
      <c r="AZ22">
        <f>COUNT(Population!AZ13:AZ40)</f>
        <v>28</v>
      </c>
      <c r="BA22">
        <f>COUNT(Population!BA13:BA40)</f>
        <v>28</v>
      </c>
      <c r="BB22">
        <f>COUNT(Population!BB13:BB40)</f>
        <v>28</v>
      </c>
      <c r="BC22">
        <f>COUNT(Population!BC13:BC40)</f>
        <v>28</v>
      </c>
      <c r="BD22">
        <f>COUNT(Population!BD13:BD40)</f>
        <v>28</v>
      </c>
      <c r="BE22">
        <f>COUNT(Population!BE13:BE40)</f>
        <v>28</v>
      </c>
      <c r="BF22">
        <f>COUNT(Population!BF13:BF40)</f>
        <v>28</v>
      </c>
      <c r="BG22">
        <f>COUNT(Population!BG13:BG40)</f>
        <v>28</v>
      </c>
      <c r="BH22">
        <f>COUNT(Population!BH13:BH40)</f>
        <v>28</v>
      </c>
      <c r="BI22">
        <f>COUNT(Population!BI13:BI40)</f>
        <v>28</v>
      </c>
      <c r="BJ22">
        <f>COUNT(Population!BJ13:BJ40)</f>
        <v>28</v>
      </c>
    </row>
    <row r="23" spans="1:70" x14ac:dyDescent="0.45">
      <c r="B23" t="s">
        <v>81</v>
      </c>
      <c r="C23">
        <f>C21+C22</f>
        <v>102</v>
      </c>
      <c r="D23">
        <f t="shared" ref="D23:BJ23" si="2">D21+D22</f>
        <v>78</v>
      </c>
      <c r="E23">
        <f t="shared" si="2"/>
        <v>78</v>
      </c>
      <c r="F23">
        <f t="shared" si="2"/>
        <v>76</v>
      </c>
      <c r="G23">
        <f t="shared" si="2"/>
        <v>76</v>
      </c>
      <c r="H23">
        <f t="shared" si="2"/>
        <v>76</v>
      </c>
      <c r="I23">
        <f t="shared" si="2"/>
        <v>76</v>
      </c>
      <c r="J23">
        <f t="shared" si="2"/>
        <v>76</v>
      </c>
      <c r="K23">
        <f t="shared" si="2"/>
        <v>76</v>
      </c>
      <c r="L23">
        <f t="shared" si="2"/>
        <v>76</v>
      </c>
      <c r="M23">
        <f t="shared" si="2"/>
        <v>76</v>
      </c>
      <c r="N23">
        <f t="shared" si="2"/>
        <v>76</v>
      </c>
      <c r="O23">
        <f t="shared" si="2"/>
        <v>76</v>
      </c>
      <c r="P23">
        <f t="shared" si="2"/>
        <v>76</v>
      </c>
      <c r="Q23">
        <f t="shared" si="2"/>
        <v>76</v>
      </c>
      <c r="R23">
        <f t="shared" si="2"/>
        <v>76</v>
      </c>
      <c r="S23">
        <f t="shared" si="2"/>
        <v>76</v>
      </c>
      <c r="T23">
        <f t="shared" si="2"/>
        <v>76</v>
      </c>
      <c r="U23">
        <f t="shared" si="2"/>
        <v>76</v>
      </c>
      <c r="V23">
        <f t="shared" si="2"/>
        <v>76</v>
      </c>
      <c r="W23">
        <f t="shared" si="2"/>
        <v>76</v>
      </c>
      <c r="X23">
        <f t="shared" si="2"/>
        <v>76</v>
      </c>
      <c r="Y23">
        <f t="shared" si="2"/>
        <v>76</v>
      </c>
      <c r="Z23">
        <f t="shared" si="2"/>
        <v>76</v>
      </c>
      <c r="AA23">
        <f t="shared" si="2"/>
        <v>76</v>
      </c>
      <c r="AB23">
        <f t="shared" si="2"/>
        <v>76</v>
      </c>
      <c r="AC23">
        <f t="shared" si="2"/>
        <v>76</v>
      </c>
      <c r="AD23">
        <f t="shared" si="2"/>
        <v>76</v>
      </c>
      <c r="AE23">
        <f t="shared" si="2"/>
        <v>76</v>
      </c>
      <c r="AF23">
        <f t="shared" si="2"/>
        <v>76</v>
      </c>
      <c r="AG23">
        <f t="shared" si="2"/>
        <v>76</v>
      </c>
      <c r="AH23">
        <f t="shared" si="2"/>
        <v>76</v>
      </c>
      <c r="AI23">
        <f t="shared" si="2"/>
        <v>76</v>
      </c>
      <c r="AJ23">
        <f t="shared" si="2"/>
        <v>76</v>
      </c>
      <c r="AK23">
        <f t="shared" si="2"/>
        <v>76</v>
      </c>
      <c r="AL23">
        <f t="shared" si="2"/>
        <v>76</v>
      </c>
      <c r="AM23">
        <f t="shared" si="2"/>
        <v>76</v>
      </c>
      <c r="AN23">
        <f t="shared" si="2"/>
        <v>76</v>
      </c>
      <c r="AO23">
        <f t="shared" si="2"/>
        <v>76</v>
      </c>
      <c r="AP23">
        <f t="shared" si="2"/>
        <v>76</v>
      </c>
      <c r="AQ23">
        <f t="shared" si="2"/>
        <v>76</v>
      </c>
      <c r="AR23">
        <f t="shared" si="2"/>
        <v>76</v>
      </c>
      <c r="AS23">
        <f t="shared" si="2"/>
        <v>76</v>
      </c>
      <c r="AT23">
        <f t="shared" si="2"/>
        <v>76</v>
      </c>
      <c r="AU23">
        <f t="shared" si="2"/>
        <v>76</v>
      </c>
      <c r="AV23">
        <f t="shared" si="2"/>
        <v>76</v>
      </c>
      <c r="AW23">
        <f t="shared" si="2"/>
        <v>76</v>
      </c>
      <c r="AX23">
        <f t="shared" si="2"/>
        <v>76</v>
      </c>
      <c r="AY23">
        <f t="shared" si="2"/>
        <v>76</v>
      </c>
      <c r="AZ23">
        <f t="shared" si="2"/>
        <v>76</v>
      </c>
      <c r="BA23">
        <f t="shared" si="2"/>
        <v>76</v>
      </c>
      <c r="BB23">
        <f t="shared" si="2"/>
        <v>76</v>
      </c>
      <c r="BC23">
        <f t="shared" si="2"/>
        <v>76</v>
      </c>
      <c r="BD23">
        <f t="shared" si="2"/>
        <v>76</v>
      </c>
      <c r="BE23">
        <f t="shared" si="2"/>
        <v>76</v>
      </c>
      <c r="BF23">
        <f t="shared" si="2"/>
        <v>76</v>
      </c>
      <c r="BG23">
        <f t="shared" si="2"/>
        <v>76</v>
      </c>
      <c r="BH23">
        <f t="shared" si="2"/>
        <v>76</v>
      </c>
      <c r="BI23">
        <f t="shared" si="2"/>
        <v>76</v>
      </c>
      <c r="BJ23">
        <f t="shared" si="2"/>
        <v>76</v>
      </c>
    </row>
    <row r="25" spans="1:70" x14ac:dyDescent="0.45">
      <c r="A25" t="s">
        <v>173</v>
      </c>
      <c r="B25" t="s">
        <v>26</v>
      </c>
      <c r="C25" s="13">
        <f t="shared" ref="C25:AH25" si="3">C21/C23</f>
        <v>0.72549019607843135</v>
      </c>
      <c r="D25" s="13">
        <f t="shared" si="3"/>
        <v>0.64102564102564108</v>
      </c>
      <c r="E25" s="13">
        <f t="shared" si="3"/>
        <v>0.64102564102564108</v>
      </c>
      <c r="F25" s="13">
        <f t="shared" si="3"/>
        <v>0.63157894736842102</v>
      </c>
      <c r="G25" s="13">
        <f t="shared" si="3"/>
        <v>0.63157894736842102</v>
      </c>
      <c r="H25" s="13">
        <f t="shared" si="3"/>
        <v>0.63157894736842102</v>
      </c>
      <c r="I25" s="13">
        <f t="shared" si="3"/>
        <v>0.63157894736842102</v>
      </c>
      <c r="J25" s="13">
        <f t="shared" si="3"/>
        <v>0.63157894736842102</v>
      </c>
      <c r="K25" s="13">
        <f t="shared" si="3"/>
        <v>0.63157894736842102</v>
      </c>
      <c r="L25" s="13">
        <f t="shared" si="3"/>
        <v>0.63157894736842102</v>
      </c>
      <c r="M25" s="13">
        <f t="shared" si="3"/>
        <v>0.63157894736842102</v>
      </c>
      <c r="N25" s="13">
        <f t="shared" si="3"/>
        <v>0.63157894736842102</v>
      </c>
      <c r="O25" s="13">
        <f t="shared" si="3"/>
        <v>0.63157894736842102</v>
      </c>
      <c r="P25" s="13">
        <f t="shared" si="3"/>
        <v>0.63157894736842102</v>
      </c>
      <c r="Q25" s="13">
        <f t="shared" si="3"/>
        <v>0.63157894736842102</v>
      </c>
      <c r="R25" s="13">
        <f t="shared" si="3"/>
        <v>0.63157894736842102</v>
      </c>
      <c r="S25" s="13">
        <f t="shared" si="3"/>
        <v>0.63157894736842102</v>
      </c>
      <c r="T25" s="13">
        <f t="shared" si="3"/>
        <v>0.63157894736842102</v>
      </c>
      <c r="U25" s="13">
        <f t="shared" si="3"/>
        <v>0.63157894736842102</v>
      </c>
      <c r="V25" s="13">
        <f t="shared" si="3"/>
        <v>0.63157894736842102</v>
      </c>
      <c r="W25" s="13">
        <f t="shared" si="3"/>
        <v>0.63157894736842102</v>
      </c>
      <c r="X25" s="13">
        <f t="shared" si="3"/>
        <v>0.63157894736842102</v>
      </c>
      <c r="Y25" s="13">
        <f t="shared" si="3"/>
        <v>0.63157894736842102</v>
      </c>
      <c r="Z25" s="13">
        <f t="shared" si="3"/>
        <v>0.63157894736842102</v>
      </c>
      <c r="AA25" s="13">
        <f t="shared" si="3"/>
        <v>0.63157894736842102</v>
      </c>
      <c r="AB25" s="13">
        <f t="shared" si="3"/>
        <v>0.63157894736842102</v>
      </c>
      <c r="AC25" s="13">
        <f t="shared" si="3"/>
        <v>0.63157894736842102</v>
      </c>
      <c r="AD25" s="13">
        <f t="shared" si="3"/>
        <v>0.63157894736842102</v>
      </c>
      <c r="AE25" s="13">
        <f t="shared" si="3"/>
        <v>0.63157894736842102</v>
      </c>
      <c r="AF25" s="13">
        <f t="shared" si="3"/>
        <v>0.63157894736842102</v>
      </c>
      <c r="AG25" s="13">
        <f t="shared" si="3"/>
        <v>0.63157894736842102</v>
      </c>
      <c r="AH25" s="13">
        <f t="shared" si="3"/>
        <v>0.63157894736842102</v>
      </c>
      <c r="AI25" s="13">
        <f t="shared" ref="AI25:BJ25" si="4">AI21/AI23</f>
        <v>0.63157894736842102</v>
      </c>
      <c r="AJ25" s="13">
        <f t="shared" si="4"/>
        <v>0.63157894736842102</v>
      </c>
      <c r="AK25" s="13">
        <f t="shared" si="4"/>
        <v>0.63157894736842102</v>
      </c>
      <c r="AL25" s="13">
        <f t="shared" si="4"/>
        <v>0.63157894736842102</v>
      </c>
      <c r="AM25" s="13">
        <f t="shared" si="4"/>
        <v>0.63157894736842102</v>
      </c>
      <c r="AN25" s="13">
        <f t="shared" si="4"/>
        <v>0.63157894736842102</v>
      </c>
      <c r="AO25" s="13">
        <f t="shared" si="4"/>
        <v>0.63157894736842102</v>
      </c>
      <c r="AP25" s="13">
        <f t="shared" si="4"/>
        <v>0.63157894736842102</v>
      </c>
      <c r="AQ25" s="13">
        <f t="shared" si="4"/>
        <v>0.63157894736842102</v>
      </c>
      <c r="AR25" s="13">
        <f t="shared" si="4"/>
        <v>0.63157894736842102</v>
      </c>
      <c r="AS25" s="13">
        <f t="shared" si="4"/>
        <v>0.63157894736842102</v>
      </c>
      <c r="AT25" s="13">
        <f t="shared" si="4"/>
        <v>0.63157894736842102</v>
      </c>
      <c r="AU25" s="13">
        <f t="shared" si="4"/>
        <v>0.63157894736842102</v>
      </c>
      <c r="AV25" s="13">
        <f t="shared" si="4"/>
        <v>0.63157894736842102</v>
      </c>
      <c r="AW25" s="13">
        <f t="shared" si="4"/>
        <v>0.63157894736842102</v>
      </c>
      <c r="AX25" s="13">
        <f t="shared" si="4"/>
        <v>0.63157894736842102</v>
      </c>
      <c r="AY25" s="13">
        <f t="shared" si="4"/>
        <v>0.63157894736842102</v>
      </c>
      <c r="AZ25" s="13">
        <f t="shared" si="4"/>
        <v>0.63157894736842102</v>
      </c>
      <c r="BA25" s="13">
        <f t="shared" si="4"/>
        <v>0.63157894736842102</v>
      </c>
      <c r="BB25" s="13">
        <f t="shared" si="4"/>
        <v>0.63157894736842102</v>
      </c>
      <c r="BC25" s="13">
        <f t="shared" si="4"/>
        <v>0.63157894736842102</v>
      </c>
      <c r="BD25" s="13">
        <f t="shared" si="4"/>
        <v>0.63157894736842102</v>
      </c>
      <c r="BE25" s="13">
        <f t="shared" si="4"/>
        <v>0.63157894736842102</v>
      </c>
      <c r="BF25" s="13">
        <f t="shared" si="4"/>
        <v>0.63157894736842102</v>
      </c>
      <c r="BG25" s="13">
        <f t="shared" si="4"/>
        <v>0.63157894736842102</v>
      </c>
      <c r="BH25" s="13">
        <f t="shared" si="4"/>
        <v>0.63157894736842102</v>
      </c>
      <c r="BI25" s="13">
        <f t="shared" si="4"/>
        <v>0.63157894736842102</v>
      </c>
      <c r="BJ25" s="13">
        <f t="shared" si="4"/>
        <v>0.63157894736842102</v>
      </c>
      <c r="BK25" s="13"/>
      <c r="BL25" s="13"/>
      <c r="BM25" s="13"/>
      <c r="BN25" s="13"/>
      <c r="BO25" s="13"/>
      <c r="BP25" s="13"/>
      <c r="BQ25" s="13"/>
      <c r="BR25" s="13"/>
    </row>
    <row r="26" spans="1:70" x14ac:dyDescent="0.45">
      <c r="B26" t="s">
        <v>25</v>
      </c>
      <c r="C26" s="13">
        <f t="shared" ref="C26:AH26" si="5">C22/C23</f>
        <v>0.27450980392156865</v>
      </c>
      <c r="D26" s="13">
        <f t="shared" si="5"/>
        <v>0.35897435897435898</v>
      </c>
      <c r="E26" s="13">
        <f t="shared" si="5"/>
        <v>0.35897435897435898</v>
      </c>
      <c r="F26" s="13">
        <f t="shared" si="5"/>
        <v>0.36842105263157893</v>
      </c>
      <c r="G26" s="13">
        <f t="shared" si="5"/>
        <v>0.36842105263157893</v>
      </c>
      <c r="H26" s="13">
        <f t="shared" si="5"/>
        <v>0.36842105263157893</v>
      </c>
      <c r="I26" s="13">
        <f t="shared" si="5"/>
        <v>0.36842105263157893</v>
      </c>
      <c r="J26" s="13">
        <f t="shared" si="5"/>
        <v>0.36842105263157893</v>
      </c>
      <c r="K26" s="13">
        <f t="shared" si="5"/>
        <v>0.36842105263157893</v>
      </c>
      <c r="L26" s="13">
        <f t="shared" si="5"/>
        <v>0.36842105263157893</v>
      </c>
      <c r="M26" s="13">
        <f t="shared" si="5"/>
        <v>0.36842105263157893</v>
      </c>
      <c r="N26" s="13">
        <f t="shared" si="5"/>
        <v>0.36842105263157893</v>
      </c>
      <c r="O26" s="13">
        <f t="shared" si="5"/>
        <v>0.36842105263157893</v>
      </c>
      <c r="P26" s="13">
        <f t="shared" si="5"/>
        <v>0.36842105263157893</v>
      </c>
      <c r="Q26" s="13">
        <f t="shared" si="5"/>
        <v>0.36842105263157893</v>
      </c>
      <c r="R26" s="13">
        <f t="shared" si="5"/>
        <v>0.36842105263157893</v>
      </c>
      <c r="S26" s="13">
        <f t="shared" si="5"/>
        <v>0.36842105263157893</v>
      </c>
      <c r="T26" s="13">
        <f t="shared" si="5"/>
        <v>0.36842105263157893</v>
      </c>
      <c r="U26" s="13">
        <f t="shared" si="5"/>
        <v>0.36842105263157893</v>
      </c>
      <c r="V26" s="13">
        <f t="shared" si="5"/>
        <v>0.36842105263157893</v>
      </c>
      <c r="W26" s="13">
        <f t="shared" si="5"/>
        <v>0.36842105263157893</v>
      </c>
      <c r="X26" s="13">
        <f t="shared" si="5"/>
        <v>0.36842105263157893</v>
      </c>
      <c r="Y26" s="13">
        <f t="shared" si="5"/>
        <v>0.36842105263157893</v>
      </c>
      <c r="Z26" s="13">
        <f t="shared" si="5"/>
        <v>0.36842105263157893</v>
      </c>
      <c r="AA26" s="13">
        <f t="shared" si="5"/>
        <v>0.36842105263157893</v>
      </c>
      <c r="AB26" s="13">
        <f t="shared" si="5"/>
        <v>0.36842105263157893</v>
      </c>
      <c r="AC26" s="13">
        <f t="shared" si="5"/>
        <v>0.36842105263157893</v>
      </c>
      <c r="AD26" s="13">
        <f t="shared" si="5"/>
        <v>0.36842105263157893</v>
      </c>
      <c r="AE26" s="13">
        <f t="shared" si="5"/>
        <v>0.36842105263157893</v>
      </c>
      <c r="AF26" s="13">
        <f t="shared" si="5"/>
        <v>0.36842105263157893</v>
      </c>
      <c r="AG26" s="13">
        <f t="shared" si="5"/>
        <v>0.36842105263157893</v>
      </c>
      <c r="AH26" s="13">
        <f t="shared" si="5"/>
        <v>0.36842105263157893</v>
      </c>
      <c r="AI26" s="13">
        <f t="shared" ref="AI26:BJ26" si="6">AI22/AI23</f>
        <v>0.36842105263157893</v>
      </c>
      <c r="AJ26" s="13">
        <f t="shared" si="6"/>
        <v>0.36842105263157893</v>
      </c>
      <c r="AK26" s="13">
        <f t="shared" si="6"/>
        <v>0.36842105263157893</v>
      </c>
      <c r="AL26" s="13">
        <f t="shared" si="6"/>
        <v>0.36842105263157893</v>
      </c>
      <c r="AM26" s="13">
        <f t="shared" si="6"/>
        <v>0.36842105263157893</v>
      </c>
      <c r="AN26" s="13">
        <f t="shared" si="6"/>
        <v>0.36842105263157893</v>
      </c>
      <c r="AO26" s="13">
        <f t="shared" si="6"/>
        <v>0.36842105263157893</v>
      </c>
      <c r="AP26" s="13">
        <f t="shared" si="6"/>
        <v>0.36842105263157893</v>
      </c>
      <c r="AQ26" s="13">
        <f t="shared" si="6"/>
        <v>0.36842105263157893</v>
      </c>
      <c r="AR26" s="13">
        <f t="shared" si="6"/>
        <v>0.36842105263157893</v>
      </c>
      <c r="AS26" s="13">
        <f t="shared" si="6"/>
        <v>0.36842105263157893</v>
      </c>
      <c r="AT26" s="13">
        <f t="shared" si="6"/>
        <v>0.36842105263157893</v>
      </c>
      <c r="AU26" s="13">
        <f t="shared" si="6"/>
        <v>0.36842105263157893</v>
      </c>
      <c r="AV26" s="13">
        <f t="shared" si="6"/>
        <v>0.36842105263157893</v>
      </c>
      <c r="AW26" s="13">
        <f t="shared" si="6"/>
        <v>0.36842105263157893</v>
      </c>
      <c r="AX26" s="13">
        <f t="shared" si="6"/>
        <v>0.36842105263157893</v>
      </c>
      <c r="AY26" s="13">
        <f t="shared" si="6"/>
        <v>0.36842105263157893</v>
      </c>
      <c r="AZ26" s="13">
        <f t="shared" si="6"/>
        <v>0.36842105263157893</v>
      </c>
      <c r="BA26" s="13">
        <f t="shared" si="6"/>
        <v>0.36842105263157893</v>
      </c>
      <c r="BB26" s="13">
        <f t="shared" si="6"/>
        <v>0.36842105263157893</v>
      </c>
      <c r="BC26" s="13">
        <f t="shared" si="6"/>
        <v>0.36842105263157893</v>
      </c>
      <c r="BD26" s="13">
        <f t="shared" si="6"/>
        <v>0.36842105263157893</v>
      </c>
      <c r="BE26" s="13">
        <f t="shared" si="6"/>
        <v>0.36842105263157893</v>
      </c>
      <c r="BF26" s="13">
        <f t="shared" si="6"/>
        <v>0.36842105263157893</v>
      </c>
      <c r="BG26" s="13">
        <f t="shared" si="6"/>
        <v>0.36842105263157893</v>
      </c>
      <c r="BH26" s="13">
        <f t="shared" si="6"/>
        <v>0.36842105263157893</v>
      </c>
      <c r="BI26" s="13">
        <f t="shared" si="6"/>
        <v>0.36842105263157893</v>
      </c>
      <c r="BJ26" s="13">
        <f t="shared" si="6"/>
        <v>0.36842105263157893</v>
      </c>
      <c r="BK26" s="13"/>
      <c r="BL26" s="13"/>
      <c r="BM26" s="13"/>
      <c r="BN26" s="13"/>
      <c r="BO26" s="13"/>
      <c r="BP26" s="13"/>
      <c r="BQ26" s="13"/>
      <c r="BR26" s="13"/>
    </row>
    <row r="28" spans="1:70" x14ac:dyDescent="0.45">
      <c r="A28" t="s">
        <v>174</v>
      </c>
      <c r="B28" t="s">
        <v>26</v>
      </c>
      <c r="C28" s="11">
        <f t="shared" ref="C28:AH28" si="7">C8/C12</f>
        <v>149.8601162076487</v>
      </c>
      <c r="D28" s="11">
        <f t="shared" si="7"/>
        <v>148.28234632836262</v>
      </c>
      <c r="E28" s="11">
        <f t="shared" si="7"/>
        <v>156.68948117933175</v>
      </c>
      <c r="F28" s="11">
        <f t="shared" si="7"/>
        <v>171.98716440698803</v>
      </c>
      <c r="G28" s="11">
        <f t="shared" si="7"/>
        <v>181.54464904437751</v>
      </c>
      <c r="H28" s="11">
        <f t="shared" si="7"/>
        <v>189.91814679906011</v>
      </c>
      <c r="I28" s="11">
        <f t="shared" si="7"/>
        <v>189.43857766840139</v>
      </c>
      <c r="J28" s="11">
        <f t="shared" si="7"/>
        <v>197.85346418866959</v>
      </c>
      <c r="K28" s="11">
        <f t="shared" si="7"/>
        <v>207.10182760621592</v>
      </c>
      <c r="L28" s="11">
        <f t="shared" si="7"/>
        <v>225.44362698659367</v>
      </c>
      <c r="M28" s="11">
        <f t="shared" si="7"/>
        <v>238.44908190909828</v>
      </c>
      <c r="N28" s="11">
        <f t="shared" si="7"/>
        <v>250.52490587812559</v>
      </c>
      <c r="O28" s="11">
        <f t="shared" si="7"/>
        <v>270.855050689243</v>
      </c>
      <c r="P28" s="11">
        <f t="shared" si="7"/>
        <v>330.76242269651851</v>
      </c>
      <c r="Q28" s="11">
        <f t="shared" si="7"/>
        <v>410.54804584232454</v>
      </c>
      <c r="R28" s="11">
        <f t="shared" si="7"/>
        <v>446.20451539771921</v>
      </c>
      <c r="S28" s="11">
        <f t="shared" si="7"/>
        <v>476.43072492106018</v>
      </c>
      <c r="T28" s="11">
        <f t="shared" si="7"/>
        <v>518.3424510162323</v>
      </c>
      <c r="U28" s="11">
        <f t="shared" si="7"/>
        <v>579.6990037139816</v>
      </c>
      <c r="V28" s="11">
        <f t="shared" si="7"/>
        <v>676.45971946994428</v>
      </c>
      <c r="W28" s="11">
        <f t="shared" si="7"/>
        <v>783.56953203971796</v>
      </c>
      <c r="X28" s="11">
        <f t="shared" si="7"/>
        <v>907.69557904775354</v>
      </c>
      <c r="Y28" s="11">
        <f t="shared" si="7"/>
        <v>830.46729287612652</v>
      </c>
      <c r="Z28" s="11">
        <f t="shared" si="7"/>
        <v>722.1708698013507</v>
      </c>
      <c r="AA28" s="11">
        <f t="shared" si="7"/>
        <v>706.04206459086561</v>
      </c>
      <c r="AB28" s="11">
        <f t="shared" si="7"/>
        <v>701.19898228720228</v>
      </c>
      <c r="AC28" s="11">
        <f t="shared" si="7"/>
        <v>691.39113701183544</v>
      </c>
      <c r="AD28" s="11">
        <f t="shared" si="7"/>
        <v>751.64648735337482</v>
      </c>
      <c r="AE28" s="11">
        <f t="shared" si="7"/>
        <v>800.8432984265155</v>
      </c>
      <c r="AF28" s="11">
        <f t="shared" si="7"/>
        <v>877.26881305198845</v>
      </c>
      <c r="AG28" s="11">
        <f t="shared" si="7"/>
        <v>968.72333461441974</v>
      </c>
      <c r="AH28" s="11">
        <f t="shared" si="7"/>
        <v>1043.2830603670789</v>
      </c>
      <c r="AI28" s="11">
        <f t="shared" ref="AI28:BJ28" si="8">AI8/AI12</f>
        <v>992.44138081367328</v>
      </c>
      <c r="AJ28" s="11">
        <f t="shared" si="8"/>
        <v>1074.5732768891141</v>
      </c>
      <c r="AK28" s="11">
        <f t="shared" si="8"/>
        <v>1157.8631968418028</v>
      </c>
      <c r="AL28" s="11">
        <f t="shared" si="8"/>
        <v>1252.064241595762</v>
      </c>
      <c r="AM28" s="11">
        <f t="shared" si="8"/>
        <v>1336.2570510766705</v>
      </c>
      <c r="AN28" s="11">
        <f t="shared" si="8"/>
        <v>1383.060064472495</v>
      </c>
      <c r="AO28" s="11">
        <f t="shared" si="8"/>
        <v>1359.1163589312764</v>
      </c>
      <c r="AP28" s="11">
        <f t="shared" si="8"/>
        <v>1264.9994256210666</v>
      </c>
      <c r="AQ28" s="11">
        <f t="shared" si="8"/>
        <v>1351.8359641321749</v>
      </c>
      <c r="AR28" s="11">
        <f t="shared" si="8"/>
        <v>1275.809203277757</v>
      </c>
      <c r="AS28" s="11">
        <f t="shared" si="8"/>
        <v>1288.8712679602952</v>
      </c>
      <c r="AT28" s="11">
        <f t="shared" si="8"/>
        <v>1391.5039446717105</v>
      </c>
      <c r="AU28" s="11">
        <f t="shared" si="8"/>
        <v>1596.343036244187</v>
      </c>
      <c r="AV28" s="11">
        <f t="shared" si="8"/>
        <v>1860.5687367417422</v>
      </c>
      <c r="AW28" s="11">
        <f t="shared" si="8"/>
        <v>2115.7258253300738</v>
      </c>
      <c r="AX28" s="11">
        <f t="shared" si="8"/>
        <v>2481.0842227666649</v>
      </c>
      <c r="AY28" s="11">
        <f t="shared" si="8"/>
        <v>2710.1631840021068</v>
      </c>
      <c r="AZ28" s="11">
        <f t="shared" si="8"/>
        <v>2556.2001029946441</v>
      </c>
      <c r="BA28" s="11">
        <f t="shared" si="8"/>
        <v>3095.7022603501337</v>
      </c>
      <c r="BB28" s="11">
        <f t="shared" si="8"/>
        <v>3443.8688492370875</v>
      </c>
      <c r="BC28" s="11">
        <f t="shared" si="8"/>
        <v>3442.4196808797265</v>
      </c>
      <c r="BD28" s="11">
        <f t="shared" si="8"/>
        <v>3523.6641300333772</v>
      </c>
      <c r="BE28" s="11">
        <f t="shared" si="8"/>
        <v>3570.7077970012947</v>
      </c>
      <c r="BF28" s="11">
        <f t="shared" si="8"/>
        <v>3195.6015843631235</v>
      </c>
      <c r="BG28" s="11">
        <f t="shared" si="8"/>
        <v>3163.6293873412178</v>
      </c>
      <c r="BH28" s="11">
        <f t="shared" si="8"/>
        <v>3420.6481178741155</v>
      </c>
      <c r="BI28" s="11">
        <f t="shared" si="8"/>
        <v>3420.0374474742925</v>
      </c>
      <c r="BJ28" s="11">
        <f t="shared" si="8"/>
        <v>3438.6262849511663</v>
      </c>
      <c r="BK28" s="11"/>
      <c r="BL28" s="11"/>
      <c r="BM28" s="11"/>
      <c r="BN28" s="11"/>
      <c r="BO28" s="11"/>
      <c r="BP28" s="11"/>
      <c r="BQ28" s="11"/>
      <c r="BR28" s="11"/>
    </row>
    <row r="29" spans="1:70" x14ac:dyDescent="0.45">
      <c r="B29" t="s">
        <v>25</v>
      </c>
      <c r="C29" s="11">
        <f t="shared" ref="C29:AH29" si="9">C9/C13</f>
        <v>1567.7869964133695</v>
      </c>
      <c r="D29" s="11">
        <f t="shared" si="9"/>
        <v>1635.1907040269584</v>
      </c>
      <c r="E29" s="11">
        <f t="shared" si="9"/>
        <v>1744.7542869391525</v>
      </c>
      <c r="F29" s="11">
        <f t="shared" si="9"/>
        <v>1857.0578726254164</v>
      </c>
      <c r="G29" s="11">
        <f t="shared" si="9"/>
        <v>2001.1904020851387</v>
      </c>
      <c r="H29" s="11">
        <f t="shared" si="9"/>
        <v>2152.4343585096558</v>
      </c>
      <c r="I29" s="11">
        <f t="shared" si="9"/>
        <v>2335.503299065741</v>
      </c>
      <c r="J29" s="11">
        <f t="shared" si="9"/>
        <v>2481.5863064985892</v>
      </c>
      <c r="K29" s="11">
        <f t="shared" si="9"/>
        <v>2672.5427422943881</v>
      </c>
      <c r="L29" s="11">
        <f t="shared" si="9"/>
        <v>2906.0436805219088</v>
      </c>
      <c r="M29" s="11">
        <f t="shared" si="9"/>
        <v>3140.7095653848223</v>
      </c>
      <c r="N29" s="11">
        <f t="shared" si="9"/>
        <v>3421.164169362974</v>
      </c>
      <c r="O29" s="11">
        <f t="shared" si="9"/>
        <v>3914.7868123892745</v>
      </c>
      <c r="P29" s="11">
        <f t="shared" si="9"/>
        <v>4630.1473414016718</v>
      </c>
      <c r="Q29" s="11">
        <f t="shared" si="9"/>
        <v>5101.0934587422744</v>
      </c>
      <c r="R29" s="11">
        <f t="shared" si="9"/>
        <v>5677.3628430144154</v>
      </c>
      <c r="S29" s="11">
        <f t="shared" si="9"/>
        <v>6098.2883353910202</v>
      </c>
      <c r="T29" s="11">
        <f t="shared" si="9"/>
        <v>6853.871101745026</v>
      </c>
      <c r="U29" s="11">
        <f t="shared" si="9"/>
        <v>8187.2528121584401</v>
      </c>
      <c r="V29" s="11">
        <f t="shared" si="9"/>
        <v>9306.8173346006224</v>
      </c>
      <c r="W29" s="11">
        <f t="shared" si="9"/>
        <v>10266.070650929036</v>
      </c>
      <c r="X29" s="11">
        <f t="shared" si="9"/>
        <v>10526.580596746471</v>
      </c>
      <c r="Y29" s="11">
        <f t="shared" si="9"/>
        <v>10421.877003168609</v>
      </c>
      <c r="Z29" s="11">
        <f t="shared" si="9"/>
        <v>10797.51385549459</v>
      </c>
      <c r="AA29" s="11">
        <f t="shared" si="9"/>
        <v>11346.579395334358</v>
      </c>
      <c r="AB29" s="11">
        <f t="shared" si="9"/>
        <v>11935.177215224388</v>
      </c>
      <c r="AC29" s="11">
        <f t="shared" si="9"/>
        <v>14334.517537273523</v>
      </c>
      <c r="AD29" s="11">
        <f t="shared" si="9"/>
        <v>16365.87534652051</v>
      </c>
      <c r="AE29" s="11">
        <f t="shared" si="9"/>
        <v>18415.191672464134</v>
      </c>
      <c r="AF29" s="11">
        <f t="shared" si="9"/>
        <v>19177.217636514128</v>
      </c>
      <c r="AG29" s="11">
        <f t="shared" si="9"/>
        <v>21123.513848544135</v>
      </c>
      <c r="AH29" s="11">
        <f t="shared" si="9"/>
        <v>22220.626534109029</v>
      </c>
      <c r="AI29" s="11">
        <f t="shared" ref="AI29:BJ29" si="10">AI9/AI13</f>
        <v>23592.950595892224</v>
      </c>
      <c r="AJ29" s="11">
        <f t="shared" si="10"/>
        <v>23698.441707265214</v>
      </c>
      <c r="AK29" s="11">
        <f t="shared" si="10"/>
        <v>25251.704572316234</v>
      </c>
      <c r="AL29" s="11">
        <f t="shared" si="10"/>
        <v>27638.641119875094</v>
      </c>
      <c r="AM29" s="11">
        <f t="shared" si="10"/>
        <v>27700.388336271277</v>
      </c>
      <c r="AN29" s="11">
        <f t="shared" si="10"/>
        <v>27284.394242553572</v>
      </c>
      <c r="AO29" s="11">
        <f t="shared" si="10"/>
        <v>27243.22445850003</v>
      </c>
      <c r="AP29" s="11">
        <f t="shared" si="10"/>
        <v>28676.788252344868</v>
      </c>
      <c r="AQ29" s="11">
        <f t="shared" si="10"/>
        <v>29340.668573797571</v>
      </c>
      <c r="AR29" s="11">
        <f t="shared" si="10"/>
        <v>28798.903896733998</v>
      </c>
      <c r="AS29" s="11">
        <f t="shared" si="10"/>
        <v>29701.195736664511</v>
      </c>
      <c r="AT29" s="11">
        <f t="shared" si="10"/>
        <v>32731.365730842394</v>
      </c>
      <c r="AU29" s="11">
        <f t="shared" si="10"/>
        <v>35968.322534591891</v>
      </c>
      <c r="AV29" s="11">
        <f t="shared" si="10"/>
        <v>37569.117937390482</v>
      </c>
      <c r="AW29" s="11">
        <f t="shared" si="10"/>
        <v>39102.344776200851</v>
      </c>
      <c r="AX29" s="11">
        <f t="shared" si="10"/>
        <v>41980.456634147369</v>
      </c>
      <c r="AY29" s="11">
        <f t="shared" si="10"/>
        <v>43718.804733046854</v>
      </c>
      <c r="AZ29" s="11">
        <f t="shared" si="10"/>
        <v>41279.939667153107</v>
      </c>
      <c r="BA29" s="11">
        <f t="shared" si="10"/>
        <v>42750.262628157805</v>
      </c>
      <c r="BB29" s="11">
        <f t="shared" si="10"/>
        <v>45353.165619091313</v>
      </c>
      <c r="BC29" s="11">
        <f t="shared" si="10"/>
        <v>45342.281405323993</v>
      </c>
      <c r="BD29" s="11">
        <f t="shared" si="10"/>
        <v>45295.583491845224</v>
      </c>
      <c r="BE29" s="11">
        <f t="shared" si="10"/>
        <v>46033.1083761958</v>
      </c>
      <c r="BF29" s="11">
        <f t="shared" si="10"/>
        <v>44029.223802754444</v>
      </c>
      <c r="BG29" s="11">
        <f t="shared" si="10"/>
        <v>44842.233171643413</v>
      </c>
      <c r="BH29" s="11">
        <f t="shared" si="10"/>
        <v>46381.505164097602</v>
      </c>
      <c r="BI29" s="11">
        <f t="shared" si="10"/>
        <v>48831.740202659472</v>
      </c>
      <c r="BJ29" s="11">
        <f t="shared" si="10"/>
        <v>49308.971537999925</v>
      </c>
      <c r="BK29" s="11"/>
      <c r="BL29" s="11"/>
      <c r="BM29" s="11"/>
      <c r="BN29" s="11"/>
      <c r="BO29" s="11"/>
      <c r="BP29" s="11"/>
      <c r="BQ29" s="11"/>
      <c r="BR29" s="11"/>
    </row>
    <row r="30" spans="1:70" x14ac:dyDescent="0.45">
      <c r="B30" t="s">
        <v>81</v>
      </c>
      <c r="C30" s="11">
        <f t="shared" ref="C30:AH30" si="11">C10/C14</f>
        <v>663.22819914999343</v>
      </c>
      <c r="D30" s="11">
        <f t="shared" si="11"/>
        <v>683.90817166500096</v>
      </c>
      <c r="E30" s="11">
        <f t="shared" si="11"/>
        <v>724.68585867137938</v>
      </c>
      <c r="F30" s="11">
        <f t="shared" si="11"/>
        <v>770.12770768193502</v>
      </c>
      <c r="G30" s="11">
        <f t="shared" si="11"/>
        <v>822.43000436009959</v>
      </c>
      <c r="H30" s="11">
        <f t="shared" si="11"/>
        <v>875.45115563247191</v>
      </c>
      <c r="I30" s="11">
        <f t="shared" si="11"/>
        <v>932.43604955982778</v>
      </c>
      <c r="J30" s="11">
        <f t="shared" si="11"/>
        <v>981.19633183174676</v>
      </c>
      <c r="K30" s="11">
        <f t="shared" si="11"/>
        <v>1044.026112558365</v>
      </c>
      <c r="L30" s="11">
        <f t="shared" si="11"/>
        <v>1127.404937838385</v>
      </c>
      <c r="M30" s="11">
        <f t="shared" si="11"/>
        <v>1205.7648920071267</v>
      </c>
      <c r="N30" s="11">
        <f t="shared" si="11"/>
        <v>1297.9490981733095</v>
      </c>
      <c r="O30" s="11">
        <f t="shared" si="11"/>
        <v>1463.3324210668923</v>
      </c>
      <c r="P30" s="11">
        <f t="shared" si="11"/>
        <v>1723.0133473661517</v>
      </c>
      <c r="Q30" s="11">
        <f t="shared" si="11"/>
        <v>1915.198687587002</v>
      </c>
      <c r="R30" s="11">
        <f t="shared" si="11"/>
        <v>2107.8216524322447</v>
      </c>
      <c r="S30" s="11">
        <f t="shared" si="11"/>
        <v>2242.0176943045863</v>
      </c>
      <c r="T30" s="11">
        <f t="shared" si="11"/>
        <v>2485.562009288873</v>
      </c>
      <c r="U30" s="11">
        <f t="shared" si="11"/>
        <v>2914.8348259449826</v>
      </c>
      <c r="V30" s="11">
        <f t="shared" si="11"/>
        <v>3294.9929046098782</v>
      </c>
      <c r="W30" s="11">
        <f t="shared" si="11"/>
        <v>3626.1230067274955</v>
      </c>
      <c r="X30" s="11">
        <f t="shared" si="11"/>
        <v>3756.3419066788415</v>
      </c>
      <c r="Y30" s="11">
        <f t="shared" si="11"/>
        <v>3635.7134137957355</v>
      </c>
      <c r="Z30" s="11">
        <f t="shared" si="11"/>
        <v>3631.5114601654077</v>
      </c>
      <c r="AA30" s="11">
        <f t="shared" si="11"/>
        <v>3739.0047969312491</v>
      </c>
      <c r="AB30" s="11">
        <f t="shared" si="11"/>
        <v>3862.2720744972598</v>
      </c>
      <c r="AC30" s="11">
        <f t="shared" si="11"/>
        <v>4481.972358152113</v>
      </c>
      <c r="AD30" s="11">
        <f t="shared" si="11"/>
        <v>5034.9765834795026</v>
      </c>
      <c r="AE30" s="11">
        <f t="shared" si="11"/>
        <v>5572.9352174979331</v>
      </c>
      <c r="AF30" s="11">
        <f t="shared" si="11"/>
        <v>5775.7290471510105</v>
      </c>
      <c r="AG30" s="11">
        <f t="shared" si="11"/>
        <v>6303.5499333557873</v>
      </c>
      <c r="AH30" s="11">
        <f t="shared" si="11"/>
        <v>6592.2623376795818</v>
      </c>
      <c r="AI30" s="11">
        <f t="shared" ref="AI30:BJ30" si="12">AI10/AI14</f>
        <v>6856.415888111861</v>
      </c>
      <c r="AJ30" s="11">
        <f t="shared" si="12"/>
        <v>6886.6425324295005</v>
      </c>
      <c r="AK30" s="11">
        <f t="shared" si="12"/>
        <v>7286.1997134486846</v>
      </c>
      <c r="AL30" s="11">
        <f t="shared" si="12"/>
        <v>7897.049915272366</v>
      </c>
      <c r="AM30" s="11">
        <f t="shared" si="12"/>
        <v>7908.6777007933788</v>
      </c>
      <c r="AN30" s="11">
        <f t="shared" si="12"/>
        <v>7776.12611307512</v>
      </c>
      <c r="AO30" s="11">
        <f t="shared" si="12"/>
        <v>7684.8616949685675</v>
      </c>
      <c r="AP30" s="11">
        <f t="shared" si="12"/>
        <v>7898.8752869073287</v>
      </c>
      <c r="AQ30" s="11">
        <f t="shared" si="12"/>
        <v>8062.6778483784492</v>
      </c>
      <c r="AR30" s="11">
        <f t="shared" si="12"/>
        <v>7815.7544878913304</v>
      </c>
      <c r="AS30" s="11">
        <f t="shared" si="12"/>
        <v>7981.1560371044989</v>
      </c>
      <c r="AT30" s="11">
        <f t="shared" si="12"/>
        <v>8710.3858908099446</v>
      </c>
      <c r="AU30" s="11">
        <f t="shared" si="12"/>
        <v>9557.7820925189772</v>
      </c>
      <c r="AV30" s="11">
        <f t="shared" si="12"/>
        <v>10065.167385379798</v>
      </c>
      <c r="AW30" s="11">
        <f t="shared" si="12"/>
        <v>10549.816413532528</v>
      </c>
      <c r="AX30" s="11">
        <f t="shared" si="12"/>
        <v>11422.665092147012</v>
      </c>
      <c r="AY30" s="11">
        <f t="shared" si="12"/>
        <v>11930.916259152071</v>
      </c>
      <c r="AZ30" s="11">
        <f t="shared" si="12"/>
        <v>11198.856347559871</v>
      </c>
      <c r="BA30" s="11">
        <f t="shared" si="12"/>
        <v>11877.42759279088</v>
      </c>
      <c r="BB30" s="11">
        <f t="shared" si="12"/>
        <v>12649.553072561352</v>
      </c>
      <c r="BC30" s="11">
        <f t="shared" si="12"/>
        <v>12571.026079640915</v>
      </c>
      <c r="BD30" s="11">
        <f t="shared" si="12"/>
        <v>12552.632902872234</v>
      </c>
      <c r="BE30" s="11">
        <f t="shared" si="12"/>
        <v>12678.366501526361</v>
      </c>
      <c r="BF30" s="11">
        <f t="shared" si="12"/>
        <v>11883.201082125908</v>
      </c>
      <c r="BG30" s="11">
        <f t="shared" si="12"/>
        <v>11959.24603755022</v>
      </c>
      <c r="BH30" s="11">
        <f t="shared" si="12"/>
        <v>12410.605836695098</v>
      </c>
      <c r="BI30" s="11">
        <f t="shared" si="12"/>
        <v>12841.087134444258</v>
      </c>
      <c r="BJ30" s="11">
        <f t="shared" si="12"/>
        <v>12872.158039681046</v>
      </c>
      <c r="BK30" s="11"/>
      <c r="BL30" s="11"/>
      <c r="BM30" s="11"/>
      <c r="BN30" s="11"/>
      <c r="BO30" s="11"/>
      <c r="BP30" s="11"/>
      <c r="BQ30" s="11"/>
      <c r="BR30" s="11"/>
    </row>
    <row r="32" spans="1:70" x14ac:dyDescent="0.45">
      <c r="A32" t="s">
        <v>175</v>
      </c>
      <c r="B32" t="s">
        <v>26</v>
      </c>
      <c r="C32" s="13">
        <f t="shared" ref="C32:AH32" si="13">C28/C$30</f>
        <v>0.22595558572405763</v>
      </c>
      <c r="D32" s="13">
        <f t="shared" si="13"/>
        <v>0.21681616402881032</v>
      </c>
      <c r="E32" s="13">
        <f t="shared" si="13"/>
        <v>0.21621710884023909</v>
      </c>
      <c r="F32" s="13">
        <f t="shared" si="13"/>
        <v>0.22332291474704249</v>
      </c>
      <c r="G32" s="13">
        <f t="shared" si="13"/>
        <v>0.2207417629244087</v>
      </c>
      <c r="H32" s="13">
        <f t="shared" si="13"/>
        <v>0.2169374562785896</v>
      </c>
      <c r="I32" s="13">
        <f t="shared" si="13"/>
        <v>0.20316522270651063</v>
      </c>
      <c r="J32" s="13">
        <f t="shared" si="13"/>
        <v>0.20164513234502904</v>
      </c>
      <c r="K32" s="13">
        <f t="shared" si="13"/>
        <v>0.19836843649314198</v>
      </c>
      <c r="L32" s="13">
        <f t="shared" si="13"/>
        <v>0.19996686143564799</v>
      </c>
      <c r="M32" s="13">
        <f t="shared" si="13"/>
        <v>0.19775752594037954</v>
      </c>
      <c r="N32" s="13">
        <f t="shared" si="13"/>
        <v>0.19301597129710713</v>
      </c>
      <c r="O32" s="13">
        <f t="shared" si="13"/>
        <v>0.18509468306030349</v>
      </c>
      <c r="P32" s="13">
        <f t="shared" si="13"/>
        <v>0.19196741754910462</v>
      </c>
      <c r="Q32" s="13">
        <f t="shared" si="13"/>
        <v>0.21436316164125113</v>
      </c>
      <c r="R32" s="13">
        <f t="shared" si="13"/>
        <v>0.21168988129656871</v>
      </c>
      <c r="S32" s="13">
        <f t="shared" si="13"/>
        <v>0.21250087638975401</v>
      </c>
      <c r="T32" s="13">
        <f t="shared" si="13"/>
        <v>0.20854134762243637</v>
      </c>
      <c r="U32" s="13">
        <f t="shared" si="13"/>
        <v>0.19887885191780791</v>
      </c>
      <c r="V32" s="13">
        <f t="shared" si="13"/>
        <v>0.20529929473400066</v>
      </c>
      <c r="W32" s="13">
        <f t="shared" si="13"/>
        <v>0.21609016864181727</v>
      </c>
      <c r="X32" s="13">
        <f t="shared" si="13"/>
        <v>0.24164349295090923</v>
      </c>
      <c r="Y32" s="13">
        <f t="shared" si="13"/>
        <v>0.22841934948032858</v>
      </c>
      <c r="Z32" s="13">
        <f t="shared" si="13"/>
        <v>0.19886234085254886</v>
      </c>
      <c r="AA32" s="13">
        <f t="shared" si="13"/>
        <v>0.18883154821580936</v>
      </c>
      <c r="AB32" s="13">
        <f t="shared" si="13"/>
        <v>0.18155090287845016</v>
      </c>
      <c r="AC32" s="13">
        <f t="shared" si="13"/>
        <v>0.15426046431417337</v>
      </c>
      <c r="AD32" s="13">
        <f t="shared" si="13"/>
        <v>0.14928500160648955</v>
      </c>
      <c r="AE32" s="13">
        <f t="shared" si="13"/>
        <v>0.14370224435985246</v>
      </c>
      <c r="AF32" s="13">
        <f t="shared" si="13"/>
        <v>0.15188884483504608</v>
      </c>
      <c r="AG32" s="13">
        <f t="shared" si="13"/>
        <v>0.15367901339027001</v>
      </c>
      <c r="AH32" s="13">
        <f t="shared" si="13"/>
        <v>0.15825872923836118</v>
      </c>
      <c r="AI32" s="13">
        <f t="shared" ref="AI32:BJ32" si="14">AI28/AI$30</f>
        <v>0.14474638018012273</v>
      </c>
      <c r="AJ32" s="13">
        <f t="shared" si="14"/>
        <v>0.15603732469471177</v>
      </c>
      <c r="AK32" s="13">
        <f t="shared" si="14"/>
        <v>0.15891181169583479</v>
      </c>
      <c r="AL32" s="13">
        <f t="shared" si="14"/>
        <v>0.15854835097019629</v>
      </c>
      <c r="AM32" s="13">
        <f t="shared" si="14"/>
        <v>0.16896086825521042</v>
      </c>
      <c r="AN32" s="13">
        <f t="shared" si="14"/>
        <v>0.17785977803870195</v>
      </c>
      <c r="AO32" s="13">
        <f t="shared" si="14"/>
        <v>0.17685631998050363</v>
      </c>
      <c r="AP32" s="13">
        <f t="shared" si="14"/>
        <v>0.16014930982868522</v>
      </c>
      <c r="AQ32" s="13">
        <f t="shared" si="14"/>
        <v>0.16766587845303205</v>
      </c>
      <c r="AR32" s="13">
        <f t="shared" si="14"/>
        <v>0.16323557824830892</v>
      </c>
      <c r="AS32" s="13">
        <f t="shared" si="14"/>
        <v>0.16148929578225457</v>
      </c>
      <c r="AT32" s="13">
        <f t="shared" si="14"/>
        <v>0.15975227298940253</v>
      </c>
      <c r="AU32" s="13">
        <f t="shared" si="14"/>
        <v>0.16702023762329435</v>
      </c>
      <c r="AV32" s="13">
        <f t="shared" si="14"/>
        <v>0.18485223995820668</v>
      </c>
      <c r="AW32" s="13">
        <f t="shared" si="14"/>
        <v>0.20054622207607106</v>
      </c>
      <c r="AX32" s="13">
        <f t="shared" si="14"/>
        <v>0.2172071230970774</v>
      </c>
      <c r="AY32" s="13">
        <f t="shared" si="14"/>
        <v>0.22715465645173491</v>
      </c>
      <c r="AZ32" s="13">
        <f t="shared" si="14"/>
        <v>0.22825545963464536</v>
      </c>
      <c r="BA32" s="13">
        <f t="shared" si="14"/>
        <v>0.26063743484566476</v>
      </c>
      <c r="BB32" s="13">
        <f t="shared" si="14"/>
        <v>0.27225221551165474</v>
      </c>
      <c r="BC32" s="13">
        <f t="shared" si="14"/>
        <v>0.27383760554397463</v>
      </c>
      <c r="BD32" s="13">
        <f t="shared" si="14"/>
        <v>0.28071115894953869</v>
      </c>
      <c r="BE32" s="13">
        <f t="shared" si="14"/>
        <v>0.28163784321674357</v>
      </c>
      <c r="BF32" s="13">
        <f t="shared" si="14"/>
        <v>0.26891757214895412</v>
      </c>
      <c r="BG32" s="13">
        <f t="shared" si="14"/>
        <v>0.26453418362728731</v>
      </c>
      <c r="BH32" s="13">
        <f t="shared" si="14"/>
        <v>0.27562297625794407</v>
      </c>
      <c r="BI32" s="13">
        <f t="shared" si="14"/>
        <v>0.266335506617704</v>
      </c>
      <c r="BJ32" s="13">
        <f t="shared" si="14"/>
        <v>0.26713673607416111</v>
      </c>
      <c r="BK32" s="13"/>
      <c r="BL32" s="13"/>
      <c r="BM32" s="13"/>
      <c r="BN32" s="13"/>
      <c r="BO32" s="13"/>
      <c r="BP32" s="13"/>
      <c r="BQ32" s="13"/>
      <c r="BR32" s="13"/>
    </row>
    <row r="33" spans="1:70" x14ac:dyDescent="0.45">
      <c r="B33" t="s">
        <v>25</v>
      </c>
      <c r="C33" s="13">
        <f t="shared" ref="C33:AH33" si="15">C29/C$30</f>
        <v>2.3638726435677446</v>
      </c>
      <c r="D33" s="13">
        <f t="shared" si="15"/>
        <v>2.3909506740444746</v>
      </c>
      <c r="E33" s="13">
        <f t="shared" si="15"/>
        <v>2.4076008467143826</v>
      </c>
      <c r="F33" s="13">
        <f t="shared" si="15"/>
        <v>2.4113635363349202</v>
      </c>
      <c r="G33" s="13">
        <f t="shared" si="15"/>
        <v>2.4332653131279982</v>
      </c>
      <c r="H33" s="13">
        <f t="shared" si="15"/>
        <v>2.4586572816328331</v>
      </c>
      <c r="I33" s="13">
        <f t="shared" si="15"/>
        <v>2.5047329521078199</v>
      </c>
      <c r="J33" s="13">
        <f t="shared" si="15"/>
        <v>2.5291434812702969</v>
      </c>
      <c r="K33" s="13">
        <f t="shared" si="15"/>
        <v>2.5598428144152217</v>
      </c>
      <c r="L33" s="13">
        <f t="shared" si="15"/>
        <v>2.5776396598845603</v>
      </c>
      <c r="M33" s="13">
        <f t="shared" si="15"/>
        <v>2.6047445784864163</v>
      </c>
      <c r="N33" s="13">
        <f t="shared" si="15"/>
        <v>2.6358230643850415</v>
      </c>
      <c r="O33" s="13">
        <f t="shared" si="15"/>
        <v>2.6752546147614678</v>
      </c>
      <c r="P33" s="13">
        <f t="shared" si="15"/>
        <v>2.6872382320656132</v>
      </c>
      <c r="Q33" s="13">
        <f t="shared" si="15"/>
        <v>2.6634800304553501</v>
      </c>
      <c r="R33" s="13">
        <f t="shared" si="15"/>
        <v>2.6934740121220537</v>
      </c>
      <c r="S33" s="13">
        <f t="shared" si="15"/>
        <v>2.7200000922751619</v>
      </c>
      <c r="T33" s="13">
        <f t="shared" si="15"/>
        <v>2.7574733907789089</v>
      </c>
      <c r="U33" s="13">
        <f t="shared" si="15"/>
        <v>2.8088222149960598</v>
      </c>
      <c r="V33" s="13">
        <f t="shared" si="15"/>
        <v>2.8245333462114188</v>
      </c>
      <c r="W33" s="13">
        <f t="shared" si="15"/>
        <v>2.8311424162618142</v>
      </c>
      <c r="X33" s="13">
        <f t="shared" si="15"/>
        <v>2.802348896417024</v>
      </c>
      <c r="Y33" s="13">
        <f t="shared" si="15"/>
        <v>2.8665287433334918</v>
      </c>
      <c r="Z33" s="13">
        <f t="shared" si="15"/>
        <v>2.9732837067799824</v>
      </c>
      <c r="AA33" s="13">
        <f t="shared" si="15"/>
        <v>3.034652270210231</v>
      </c>
      <c r="AB33" s="13">
        <f t="shared" si="15"/>
        <v>3.0901958704651729</v>
      </c>
      <c r="AC33" s="13">
        <f t="shared" si="15"/>
        <v>3.1982610314855999</v>
      </c>
      <c r="AD33" s="13">
        <f t="shared" si="15"/>
        <v>3.2504372314698244</v>
      </c>
      <c r="AE33" s="13">
        <f t="shared" si="15"/>
        <v>3.3043972258360395</v>
      </c>
      <c r="AF33" s="13">
        <f t="shared" si="15"/>
        <v>3.3203111641765224</v>
      </c>
      <c r="AG33" s="13">
        <f t="shared" si="15"/>
        <v>3.3510504512333927</v>
      </c>
      <c r="AH33" s="13">
        <f t="shared" si="15"/>
        <v>3.3707133296413221</v>
      </c>
      <c r="AI33" s="13">
        <f t="shared" ref="AI33:BJ33" si="16">AI29/AI$30</f>
        <v>3.4410034310782329</v>
      </c>
      <c r="AJ33" s="13">
        <f t="shared" si="16"/>
        <v>3.4412185031629297</v>
      </c>
      <c r="AK33" s="13">
        <f t="shared" si="16"/>
        <v>3.4656893257684485</v>
      </c>
      <c r="AL33" s="13">
        <f t="shared" si="16"/>
        <v>3.4998691177605212</v>
      </c>
      <c r="AM33" s="13">
        <f t="shared" si="16"/>
        <v>3.502530939336729</v>
      </c>
      <c r="AN33" s="13">
        <f t="shared" si="16"/>
        <v>3.5087386502999731</v>
      </c>
      <c r="AO33" s="13">
        <f t="shared" si="16"/>
        <v>3.5450507165713487</v>
      </c>
      <c r="AP33" s="13">
        <f t="shared" si="16"/>
        <v>3.6304900648169087</v>
      </c>
      <c r="AQ33" s="13">
        <f t="shared" si="16"/>
        <v>3.6390724180674678</v>
      </c>
      <c r="AR33" s="13">
        <f t="shared" si="16"/>
        <v>3.6847247366010683</v>
      </c>
      <c r="AS33" s="13">
        <f t="shared" si="16"/>
        <v>3.7214152434288046</v>
      </c>
      <c r="AT33" s="13">
        <f t="shared" si="16"/>
        <v>3.757740029104363</v>
      </c>
      <c r="AU33" s="13">
        <f t="shared" si="16"/>
        <v>3.7632499032118392</v>
      </c>
      <c r="AV33" s="13">
        <f t="shared" si="16"/>
        <v>3.7325874969512842</v>
      </c>
      <c r="AW33" s="13">
        <f t="shared" si="16"/>
        <v>3.7064478890877419</v>
      </c>
      <c r="AX33" s="13">
        <f t="shared" si="16"/>
        <v>3.6751893096304284</v>
      </c>
      <c r="AY33" s="13">
        <f t="shared" si="16"/>
        <v>3.6643291917760847</v>
      </c>
      <c r="AZ33" s="13">
        <f t="shared" si="16"/>
        <v>3.6860852917492446</v>
      </c>
      <c r="BA33" s="13">
        <f t="shared" si="16"/>
        <v>3.5992863180328283</v>
      </c>
      <c r="BB33" s="13">
        <f t="shared" si="16"/>
        <v>3.585357155223821</v>
      </c>
      <c r="BC33" s="13">
        <f t="shared" si="16"/>
        <v>3.6068878640508855</v>
      </c>
      <c r="BD33" s="13">
        <f t="shared" si="16"/>
        <v>3.6084528116392938</v>
      </c>
      <c r="BE33" s="13">
        <f t="shared" si="16"/>
        <v>3.6308390651629945</v>
      </c>
      <c r="BF33" s="13">
        <f t="shared" si="16"/>
        <v>3.7051652579523298</v>
      </c>
      <c r="BG33" s="13">
        <f t="shared" si="16"/>
        <v>3.7495869748682815</v>
      </c>
      <c r="BH33" s="13">
        <f t="shared" si="16"/>
        <v>3.7372474619215557</v>
      </c>
      <c r="BI33" s="13">
        <f t="shared" si="16"/>
        <v>3.8027730589628796</v>
      </c>
      <c r="BJ33" s="13">
        <f t="shared" si="16"/>
        <v>3.8306685938748566</v>
      </c>
      <c r="BK33" s="13"/>
      <c r="BL33" s="13"/>
      <c r="BM33" s="13"/>
      <c r="BN33" s="13"/>
      <c r="BO33" s="13"/>
      <c r="BP33" s="13"/>
      <c r="BQ33" s="13"/>
      <c r="BR33" s="13"/>
    </row>
    <row r="34" spans="1:70" x14ac:dyDescent="0.45">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row>
    <row r="35" spans="1:70" x14ac:dyDescent="0.45">
      <c r="A35" t="s">
        <v>176</v>
      </c>
      <c r="B35" t="s">
        <v>26</v>
      </c>
      <c r="C35" s="13">
        <f t="shared" ref="C35:AH35" si="17">C25*C32</f>
        <v>0.16392856219196339</v>
      </c>
      <c r="D35" s="13">
        <f t="shared" si="17"/>
        <v>0.13898472053128869</v>
      </c>
      <c r="E35" s="13">
        <f t="shared" si="17"/>
        <v>0.13860071079502506</v>
      </c>
      <c r="F35" s="13">
        <f t="shared" si="17"/>
        <v>0.14104605141918472</v>
      </c>
      <c r="G35" s="13">
        <f t="shared" si="17"/>
        <v>0.13941585026804759</v>
      </c>
      <c r="H35" s="13">
        <f t="shared" si="17"/>
        <v>0.13701313028121448</v>
      </c>
      <c r="I35" s="13">
        <f t="shared" si="17"/>
        <v>0.12831487749884882</v>
      </c>
      <c r="J35" s="13">
        <f t="shared" si="17"/>
        <v>0.12735482042843937</v>
      </c>
      <c r="K35" s="13">
        <f t="shared" si="17"/>
        <v>0.12528532831145808</v>
      </c>
      <c r="L35" s="13">
        <f t="shared" si="17"/>
        <v>0.12629485985409344</v>
      </c>
      <c r="M35" s="13">
        <f t="shared" si="17"/>
        <v>0.12489949006760813</v>
      </c>
      <c r="N35" s="13">
        <f t="shared" si="17"/>
        <v>0.12190482397712028</v>
      </c>
      <c r="O35" s="13">
        <f t="shared" si="17"/>
        <v>0.11690190509071799</v>
      </c>
      <c r="P35" s="13">
        <f t="shared" si="17"/>
        <v>0.12124257950469765</v>
      </c>
      <c r="Q35" s="13">
        <f t="shared" si="17"/>
        <v>0.13538725998394807</v>
      </c>
      <c r="R35" s="13">
        <f t="shared" si="17"/>
        <v>0.13369887239783287</v>
      </c>
      <c r="S35" s="13">
        <f t="shared" si="17"/>
        <v>0.1342110798251078</v>
      </c>
      <c r="T35" s="13">
        <f t="shared" si="17"/>
        <v>0.13171032481417033</v>
      </c>
      <c r="U35" s="13">
        <f t="shared" si="17"/>
        <v>0.12560769594808921</v>
      </c>
      <c r="V35" s="13">
        <f t="shared" si="17"/>
        <v>0.12966271246357935</v>
      </c>
      <c r="W35" s="13">
        <f t="shared" si="17"/>
        <v>0.13647800124746354</v>
      </c>
      <c r="X35" s="13">
        <f t="shared" si="17"/>
        <v>0.15261694291636371</v>
      </c>
      <c r="Y35" s="13">
        <f t="shared" si="17"/>
        <v>0.14426485230336542</v>
      </c>
      <c r="Z35" s="13">
        <f t="shared" si="17"/>
        <v>0.12559726790687295</v>
      </c>
      <c r="AA35" s="13">
        <f t="shared" si="17"/>
        <v>0.11926203045209012</v>
      </c>
      <c r="AB35" s="13">
        <f t="shared" si="17"/>
        <v>0.11466372813375798</v>
      </c>
      <c r="AC35" s="13">
        <f t="shared" si="17"/>
        <v>9.7427661672109492E-2</v>
      </c>
      <c r="AD35" s="13">
        <f t="shared" si="17"/>
        <v>9.4285264172519714E-2</v>
      </c>
      <c r="AE35" s="13">
        <f t="shared" si="17"/>
        <v>9.0759312227275235E-2</v>
      </c>
      <c r="AF35" s="13">
        <f t="shared" si="17"/>
        <v>9.5929796737923831E-2</v>
      </c>
      <c r="AG35" s="13">
        <f t="shared" si="17"/>
        <v>9.7060429509644219E-2</v>
      </c>
      <c r="AH35" s="13">
        <f t="shared" si="17"/>
        <v>9.9952881624228107E-2</v>
      </c>
      <c r="AI35" s="13">
        <f t="shared" ref="AI35:BJ35" si="18">AI25*AI32</f>
        <v>9.1418766429551199E-2</v>
      </c>
      <c r="AJ35" s="13">
        <f t="shared" si="18"/>
        <v>9.8549889280870578E-2</v>
      </c>
      <c r="AK35" s="13">
        <f t="shared" si="18"/>
        <v>0.10036535475526408</v>
      </c>
      <c r="AL35" s="13">
        <f t="shared" si="18"/>
        <v>0.10013580061275555</v>
      </c>
      <c r="AM35" s="13">
        <f t="shared" si="18"/>
        <v>0.10671212731908027</v>
      </c>
      <c r="AN35" s="13">
        <f t="shared" si="18"/>
        <v>0.11233249139286439</v>
      </c>
      <c r="AO35" s="13">
        <f t="shared" si="18"/>
        <v>0.11169872840873914</v>
      </c>
      <c r="AP35" s="13">
        <f t="shared" si="18"/>
        <v>0.10114693252338014</v>
      </c>
      <c r="AQ35" s="13">
        <f t="shared" si="18"/>
        <v>0.1058942390229676</v>
      </c>
      <c r="AR35" s="13">
        <f t="shared" si="18"/>
        <v>0.10309615468314247</v>
      </c>
      <c r="AS35" s="13">
        <f t="shared" si="18"/>
        <v>0.10199323944142394</v>
      </c>
      <c r="AT35" s="13">
        <f t="shared" si="18"/>
        <v>0.10089617241435948</v>
      </c>
      <c r="AU35" s="13">
        <f t="shared" si="18"/>
        <v>0.1054864658673438</v>
      </c>
      <c r="AV35" s="13">
        <f t="shared" si="18"/>
        <v>0.11674878313149895</v>
      </c>
      <c r="AW35" s="13">
        <f t="shared" si="18"/>
        <v>0.12666077183751856</v>
      </c>
      <c r="AX35" s="13">
        <f t="shared" si="18"/>
        <v>0.13718344616657518</v>
      </c>
      <c r="AY35" s="13">
        <f t="shared" si="18"/>
        <v>0.14346609881162203</v>
      </c>
      <c r="AZ35" s="13">
        <f t="shared" si="18"/>
        <v>0.14416134292714444</v>
      </c>
      <c r="BA35" s="13">
        <f t="shared" si="18"/>
        <v>0.16461311674463036</v>
      </c>
      <c r="BB35" s="13">
        <f t="shared" si="18"/>
        <v>0.17194876769157141</v>
      </c>
      <c r="BC35" s="13">
        <f t="shared" si="18"/>
        <v>0.17295006665935239</v>
      </c>
      <c r="BD35" s="13">
        <f t="shared" si="18"/>
        <v>0.17729125828391917</v>
      </c>
      <c r="BE35" s="13">
        <f t="shared" si="18"/>
        <v>0.17787653255794331</v>
      </c>
      <c r="BF35" s="13">
        <f t="shared" si="18"/>
        <v>0.16984267714670787</v>
      </c>
      <c r="BG35" s="13">
        <f t="shared" si="18"/>
        <v>0.16707422123828672</v>
      </c>
      <c r="BH35" s="13">
        <f t="shared" si="18"/>
        <v>0.17407766921554363</v>
      </c>
      <c r="BI35" s="13">
        <f t="shared" si="18"/>
        <v>0.16821189891644461</v>
      </c>
      <c r="BJ35" s="13">
        <f t="shared" si="18"/>
        <v>0.16871793857315437</v>
      </c>
      <c r="BK35" s="13"/>
      <c r="BL35" s="13"/>
      <c r="BM35" s="13"/>
      <c r="BN35" s="13"/>
      <c r="BO35" s="13"/>
      <c r="BP35" s="13"/>
      <c r="BQ35" s="13"/>
      <c r="BR35" s="13"/>
    </row>
    <row r="36" spans="1:70" x14ac:dyDescent="0.45">
      <c r="B36" t="s">
        <v>25</v>
      </c>
      <c r="C36" s="13">
        <f t="shared" ref="C36:AH36" si="19">C26*C33</f>
        <v>0.64890621588134167</v>
      </c>
      <c r="D36" s="13">
        <f t="shared" si="19"/>
        <v>0.85828998555442682</v>
      </c>
      <c r="E36" s="13">
        <f t="shared" si="19"/>
        <v>0.86426697061541935</v>
      </c>
      <c r="F36" s="13">
        <f t="shared" si="19"/>
        <v>0.88839709233391795</v>
      </c>
      <c r="G36" s="13">
        <f t="shared" si="19"/>
        <v>0.89646616799452561</v>
      </c>
      <c r="H36" s="13">
        <f t="shared" si="19"/>
        <v>0.90582110375946479</v>
      </c>
      <c r="I36" s="13">
        <f t="shared" si="19"/>
        <v>0.92279635077656519</v>
      </c>
      <c r="J36" s="13">
        <f t="shared" si="19"/>
        <v>0.93178970362589875</v>
      </c>
      <c r="K36" s="13">
        <f t="shared" si="19"/>
        <v>0.94309998425823949</v>
      </c>
      <c r="L36" s="13">
        <f t="shared" si="19"/>
        <v>0.94965671679957486</v>
      </c>
      <c r="M36" s="13">
        <f t="shared" si="19"/>
        <v>0.95964273944236389</v>
      </c>
      <c r="N36" s="13">
        <f t="shared" si="19"/>
        <v>0.97109270793133107</v>
      </c>
      <c r="O36" s="13">
        <f t="shared" si="19"/>
        <v>0.9856201212279091</v>
      </c>
      <c r="P36" s="13">
        <f t="shared" si="19"/>
        <v>0.99003513812943633</v>
      </c>
      <c r="Q36" s="13">
        <f t="shared" si="19"/>
        <v>0.98128211648355002</v>
      </c>
      <c r="R36" s="13">
        <f t="shared" si="19"/>
        <v>0.99233253078180916</v>
      </c>
      <c r="S36" s="13">
        <f t="shared" si="19"/>
        <v>1.002105297154007</v>
      </c>
      <c r="T36" s="13">
        <f t="shared" si="19"/>
        <v>1.0159112492343347</v>
      </c>
      <c r="U36" s="13">
        <f t="shared" si="19"/>
        <v>1.0348292371038115</v>
      </c>
      <c r="V36" s="13">
        <f t="shared" si="19"/>
        <v>1.0406175486042069</v>
      </c>
      <c r="W36" s="13">
        <f t="shared" si="19"/>
        <v>1.0430524691490894</v>
      </c>
      <c r="X36" s="13">
        <f t="shared" si="19"/>
        <v>1.0324443302589035</v>
      </c>
      <c r="Y36" s="13">
        <f t="shared" si="19"/>
        <v>1.0560895370176022</v>
      </c>
      <c r="Z36" s="13">
        <f t="shared" si="19"/>
        <v>1.095420313024204</v>
      </c>
      <c r="AA36" s="13">
        <f t="shared" si="19"/>
        <v>1.118029783761664</v>
      </c>
      <c r="AB36" s="13">
        <f t="shared" si="19"/>
        <v>1.1384932154345373</v>
      </c>
      <c r="AC36" s="13">
        <f t="shared" si="19"/>
        <v>1.1783066958104842</v>
      </c>
      <c r="AD36" s="13">
        <f t="shared" si="19"/>
        <v>1.1975295063309879</v>
      </c>
      <c r="AE36" s="13">
        <f t="shared" si="19"/>
        <v>1.217409504255383</v>
      </c>
      <c r="AF36" s="13">
        <f t="shared" si="19"/>
        <v>1.2232725341702977</v>
      </c>
      <c r="AG36" s="13">
        <f t="shared" si="19"/>
        <v>1.234597534664934</v>
      </c>
      <c r="AH36" s="13">
        <f t="shared" si="19"/>
        <v>1.2418417530257502</v>
      </c>
      <c r="AI36" s="13">
        <f t="shared" ref="AI36:BJ36" si="20">AI26*AI33</f>
        <v>1.2677381061867172</v>
      </c>
      <c r="AJ36" s="13">
        <f t="shared" si="20"/>
        <v>1.2678173432705531</v>
      </c>
      <c r="AK36" s="13">
        <f t="shared" si="20"/>
        <v>1.2768329094936388</v>
      </c>
      <c r="AL36" s="13">
        <f t="shared" si="20"/>
        <v>1.2894254644380867</v>
      </c>
      <c r="AM36" s="13">
        <f t="shared" si="20"/>
        <v>1.2904061355451106</v>
      </c>
      <c r="AN36" s="13">
        <f t="shared" si="20"/>
        <v>1.2926931869526217</v>
      </c>
      <c r="AO36" s="13">
        <f t="shared" si="20"/>
        <v>1.3060713166315494</v>
      </c>
      <c r="AP36" s="13">
        <f t="shared" si="20"/>
        <v>1.3375489712483348</v>
      </c>
      <c r="AQ36" s="13">
        <f t="shared" si="20"/>
        <v>1.3407108908669618</v>
      </c>
      <c r="AR36" s="13">
        <f t="shared" si="20"/>
        <v>1.3575301661161829</v>
      </c>
      <c r="AS36" s="13">
        <f t="shared" si="20"/>
        <v>1.3710477212632437</v>
      </c>
      <c r="AT36" s="13">
        <f t="shared" si="20"/>
        <v>1.3844305370384495</v>
      </c>
      <c r="AU36" s="13">
        <f t="shared" si="20"/>
        <v>1.3864604906569933</v>
      </c>
      <c r="AV36" s="13">
        <f t="shared" si="20"/>
        <v>1.3751638146662626</v>
      </c>
      <c r="AW36" s="13">
        <f t="shared" si="20"/>
        <v>1.3655334328217996</v>
      </c>
      <c r="AX36" s="13">
        <f t="shared" si="20"/>
        <v>1.3540171140743682</v>
      </c>
      <c r="AY36" s="13">
        <f t="shared" si="20"/>
        <v>1.350016018022768</v>
      </c>
      <c r="AZ36" s="13">
        <f t="shared" si="20"/>
        <v>1.3580314232760373</v>
      </c>
      <c r="BA36" s="13">
        <f t="shared" si="20"/>
        <v>1.3260528540120946</v>
      </c>
      <c r="BB36" s="13">
        <f t="shared" si="20"/>
        <v>1.3209210571877235</v>
      </c>
      <c r="BC36" s="13">
        <f t="shared" si="20"/>
        <v>1.3288534235976945</v>
      </c>
      <c r="BD36" s="13">
        <f t="shared" si="20"/>
        <v>1.3294299832355292</v>
      </c>
      <c r="BE36" s="13">
        <f t="shared" si="20"/>
        <v>1.3376775503232083</v>
      </c>
      <c r="BF36" s="13">
        <f t="shared" si="20"/>
        <v>1.3650608845087531</v>
      </c>
      <c r="BG36" s="13">
        <f t="shared" si="20"/>
        <v>1.3814267802146301</v>
      </c>
      <c r="BH36" s="13">
        <f t="shared" si="20"/>
        <v>1.3768806438658363</v>
      </c>
      <c r="BI36" s="13">
        <f t="shared" si="20"/>
        <v>1.4010216533021134</v>
      </c>
      <c r="BJ36" s="13">
        <f t="shared" si="20"/>
        <v>1.411298955638105</v>
      </c>
      <c r="BK36" s="13"/>
      <c r="BL36" s="13"/>
      <c r="BM36" s="13"/>
      <c r="BN36" s="13"/>
      <c r="BO36" s="13"/>
      <c r="BP36" s="13"/>
      <c r="BQ36" s="13"/>
      <c r="BR36" s="13"/>
    </row>
    <row r="37" spans="1:70" x14ac:dyDescent="0.45">
      <c r="A37" t="s">
        <v>177</v>
      </c>
      <c r="C37" t="str">
        <f t="shared" ref="C37:AH37" si="21">C7</f>
        <v>1960</v>
      </c>
      <c r="D37" t="str">
        <f t="shared" si="21"/>
        <v>1961</v>
      </c>
      <c r="E37" t="str">
        <f t="shared" si="21"/>
        <v>1962</v>
      </c>
      <c r="F37" t="str">
        <f t="shared" si="21"/>
        <v>1963</v>
      </c>
      <c r="G37" t="str">
        <f t="shared" si="21"/>
        <v>1964</v>
      </c>
      <c r="H37" t="str">
        <f t="shared" si="21"/>
        <v>1965</v>
      </c>
      <c r="I37" t="str">
        <f t="shared" si="21"/>
        <v>1966</v>
      </c>
      <c r="J37" t="str">
        <f t="shared" si="21"/>
        <v>1967</v>
      </c>
      <c r="K37" t="str">
        <f t="shared" si="21"/>
        <v>1968</v>
      </c>
      <c r="L37" t="str">
        <f t="shared" si="21"/>
        <v>1969</v>
      </c>
      <c r="M37" t="str">
        <f t="shared" si="21"/>
        <v>1970</v>
      </c>
      <c r="N37" t="str">
        <f t="shared" si="21"/>
        <v>1971</v>
      </c>
      <c r="O37" t="str">
        <f t="shared" si="21"/>
        <v>1972</v>
      </c>
      <c r="P37" t="str">
        <f t="shared" si="21"/>
        <v>1973</v>
      </c>
      <c r="Q37" t="str">
        <f t="shared" si="21"/>
        <v>1974</v>
      </c>
      <c r="R37" t="str">
        <f t="shared" si="21"/>
        <v>1975</v>
      </c>
      <c r="S37" t="str">
        <f t="shared" si="21"/>
        <v>1976</v>
      </c>
      <c r="T37" t="str">
        <f t="shared" si="21"/>
        <v>1977</v>
      </c>
      <c r="U37" t="str">
        <f t="shared" si="21"/>
        <v>1978</v>
      </c>
      <c r="V37" t="str">
        <f t="shared" si="21"/>
        <v>1979</v>
      </c>
      <c r="W37" t="str">
        <f t="shared" si="21"/>
        <v>1980</v>
      </c>
      <c r="X37" t="str">
        <f t="shared" si="21"/>
        <v>1981</v>
      </c>
      <c r="Y37" t="str">
        <f t="shared" si="21"/>
        <v>1982</v>
      </c>
      <c r="Z37" t="str">
        <f t="shared" si="21"/>
        <v>1983</v>
      </c>
      <c r="AA37" t="str">
        <f t="shared" si="21"/>
        <v>1984</v>
      </c>
      <c r="AB37" t="str">
        <f t="shared" si="21"/>
        <v>1985</v>
      </c>
      <c r="AC37" t="str">
        <f t="shared" si="21"/>
        <v>1986</v>
      </c>
      <c r="AD37" t="str">
        <f t="shared" si="21"/>
        <v>1987</v>
      </c>
      <c r="AE37" t="str">
        <f t="shared" si="21"/>
        <v>1988</v>
      </c>
      <c r="AF37" t="str">
        <f t="shared" si="21"/>
        <v>1989</v>
      </c>
      <c r="AG37" t="str">
        <f t="shared" si="21"/>
        <v>1990</v>
      </c>
      <c r="AH37" t="str">
        <f t="shared" si="21"/>
        <v>1991</v>
      </c>
      <c r="AI37" t="str">
        <f t="shared" ref="AI37:BJ37" si="22">AI7</f>
        <v>1992</v>
      </c>
      <c r="AJ37" t="str">
        <f t="shared" si="22"/>
        <v>1993</v>
      </c>
      <c r="AK37" t="str">
        <f t="shared" si="22"/>
        <v>1994</v>
      </c>
      <c r="AL37" t="str">
        <f t="shared" si="22"/>
        <v>1995</v>
      </c>
      <c r="AM37" t="str">
        <f t="shared" si="22"/>
        <v>1996</v>
      </c>
      <c r="AN37" t="str">
        <f t="shared" si="22"/>
        <v>1997</v>
      </c>
      <c r="AO37" t="str">
        <f t="shared" si="22"/>
        <v>1998</v>
      </c>
      <c r="AP37" t="str">
        <f t="shared" si="22"/>
        <v>1999</v>
      </c>
      <c r="AQ37" t="str">
        <f t="shared" si="22"/>
        <v>2000</v>
      </c>
      <c r="AR37" t="str">
        <f t="shared" si="22"/>
        <v>2001</v>
      </c>
      <c r="AS37" t="str">
        <f t="shared" si="22"/>
        <v>2002</v>
      </c>
      <c r="AT37" t="str">
        <f t="shared" si="22"/>
        <v>2003</v>
      </c>
      <c r="AU37" t="str">
        <f t="shared" si="22"/>
        <v>2004</v>
      </c>
      <c r="AV37" t="str">
        <f t="shared" si="22"/>
        <v>2005</v>
      </c>
      <c r="AW37" t="str">
        <f t="shared" si="22"/>
        <v>2006</v>
      </c>
      <c r="AX37" t="str">
        <f t="shared" si="22"/>
        <v>2007</v>
      </c>
      <c r="AY37" t="str">
        <f t="shared" si="22"/>
        <v>2008</v>
      </c>
      <c r="AZ37" t="str">
        <f t="shared" si="22"/>
        <v>2009</v>
      </c>
      <c r="BA37" t="str">
        <f t="shared" si="22"/>
        <v>2010</v>
      </c>
      <c r="BB37" t="str">
        <f t="shared" si="22"/>
        <v>2011</v>
      </c>
      <c r="BC37" t="str">
        <f t="shared" si="22"/>
        <v>2012</v>
      </c>
      <c r="BD37" t="str">
        <f t="shared" si="22"/>
        <v>2013</v>
      </c>
      <c r="BE37" t="str">
        <f t="shared" si="22"/>
        <v>2014</v>
      </c>
      <c r="BF37" t="str">
        <f t="shared" si="22"/>
        <v>2015</v>
      </c>
      <c r="BG37" t="str">
        <f t="shared" si="22"/>
        <v>2016</v>
      </c>
      <c r="BH37" t="str">
        <f t="shared" si="22"/>
        <v>2017</v>
      </c>
      <c r="BI37" t="str">
        <f t="shared" si="22"/>
        <v>2018</v>
      </c>
      <c r="BJ37" t="str">
        <f t="shared" si="22"/>
        <v>2019</v>
      </c>
    </row>
    <row r="38" spans="1:70" x14ac:dyDescent="0.45">
      <c r="B38" t="s">
        <v>26</v>
      </c>
      <c r="C38" s="13">
        <f t="shared" ref="C38:AH38" si="23">C16*C35</f>
        <v>3.9734972838904786E-2</v>
      </c>
      <c r="D38" s="13">
        <f t="shared" si="23"/>
        <v>2.8890229698381883E-2</v>
      </c>
      <c r="E38" s="13">
        <f t="shared" si="23"/>
        <v>2.9554984201101545E-2</v>
      </c>
      <c r="F38" s="13">
        <f t="shared" si="23"/>
        <v>2.9969572917172862E-2</v>
      </c>
      <c r="G38" s="13">
        <f t="shared" si="23"/>
        <v>2.7903731890279102E-2</v>
      </c>
      <c r="H38" s="13">
        <f t="shared" si="23"/>
        <v>2.7196615623224035E-2</v>
      </c>
      <c r="I38" s="13">
        <f t="shared" si="23"/>
        <v>3.5431080851315508E-2</v>
      </c>
      <c r="J38" s="13">
        <f t="shared" si="23"/>
        <v>3.5573339194715933E-2</v>
      </c>
      <c r="K38" s="13">
        <f t="shared" si="23"/>
        <v>3.6027743458617284E-2</v>
      </c>
      <c r="L38" s="13">
        <f t="shared" si="23"/>
        <v>3.6684884580490067E-2</v>
      </c>
      <c r="M38" s="13">
        <f t="shared" si="23"/>
        <v>3.5253781319236843E-2</v>
      </c>
      <c r="N38" s="13">
        <f t="shared" si="23"/>
        <v>3.7020193209690598E-2</v>
      </c>
      <c r="O38" s="13">
        <f t="shared" si="23"/>
        <v>3.8670110115163511E-2</v>
      </c>
      <c r="P38" s="13">
        <f t="shared" si="23"/>
        <v>4.4862083365168115E-2</v>
      </c>
      <c r="Q38" s="13">
        <f t="shared" si="23"/>
        <v>5.0588883778699141E-2</v>
      </c>
      <c r="R38" s="13">
        <f t="shared" si="23"/>
        <v>5.2521043221578093E-2</v>
      </c>
      <c r="S38" s="13">
        <f t="shared" si="23"/>
        <v>5.6945146276360353E-2</v>
      </c>
      <c r="T38" s="13">
        <f t="shared" si="23"/>
        <v>5.3419547252330134E-2</v>
      </c>
      <c r="U38" s="13">
        <f t="shared" si="23"/>
        <v>5.1001937224438236E-2</v>
      </c>
      <c r="V38" s="13">
        <f t="shared" si="23"/>
        <v>5.6438263102375257E-2</v>
      </c>
      <c r="W38" s="13">
        <f t="shared" si="23"/>
        <v>6.0882939101780137E-2</v>
      </c>
      <c r="X38" s="13">
        <f t="shared" si="23"/>
        <v>7.5210125366407546E-2</v>
      </c>
      <c r="Y38" s="13">
        <f t="shared" si="23"/>
        <v>6.2048850772399168E-2</v>
      </c>
      <c r="Z38" s="13">
        <f t="shared" si="23"/>
        <v>4.6006376786830457E-2</v>
      </c>
      <c r="AA38" s="13">
        <f t="shared" si="23"/>
        <v>4.6626919713415989E-2</v>
      </c>
      <c r="AB38" s="13">
        <f t="shared" si="23"/>
        <v>4.2392308435777862E-2</v>
      </c>
      <c r="AC38" s="13">
        <f t="shared" si="23"/>
        <v>3.33364473415372E-2</v>
      </c>
      <c r="AD38" s="13">
        <f t="shared" si="23"/>
        <v>3.330268734347757E-2</v>
      </c>
      <c r="AE38" s="13">
        <f t="shared" si="23"/>
        <v>3.3750813922084483E-2</v>
      </c>
      <c r="AF38" s="13">
        <f t="shared" si="23"/>
        <v>4.2316935354250046E-2</v>
      </c>
      <c r="AG38" s="13">
        <f t="shared" si="23"/>
        <v>4.5241921632545673E-2</v>
      </c>
      <c r="AH38" s="13">
        <f t="shared" si="23"/>
        <v>5.7907070975550354E-2</v>
      </c>
      <c r="AI38" s="13">
        <f t="shared" ref="AI38:BJ38" si="24">AI16*AI35</f>
        <v>4.9398703326660076E-2</v>
      </c>
      <c r="AJ38" s="13">
        <f t="shared" si="24"/>
        <v>6.2825215478239119E-2</v>
      </c>
      <c r="AK38" s="13">
        <f t="shared" si="24"/>
        <v>6.3626484804490679E-2</v>
      </c>
      <c r="AL38" s="13">
        <f t="shared" si="24"/>
        <v>6.0478276449885439E-2</v>
      </c>
      <c r="AM38" s="13">
        <f t="shared" si="24"/>
        <v>6.4779512227009728E-2</v>
      </c>
      <c r="AN38" s="13">
        <f t="shared" si="24"/>
        <v>7.0025617123845349E-2</v>
      </c>
      <c r="AO38" s="13">
        <f t="shared" si="24"/>
        <v>7.1220006361413318E-2</v>
      </c>
      <c r="AP38" s="13">
        <f t="shared" si="24"/>
        <v>5.9236295725297365E-2</v>
      </c>
      <c r="AQ38" s="13">
        <f t="shared" si="24"/>
        <v>6.4726304984031202E-2</v>
      </c>
      <c r="AR38" s="13">
        <f t="shared" si="24"/>
        <v>6.2776284821713074E-2</v>
      </c>
      <c r="AS38" s="13">
        <f t="shared" si="24"/>
        <v>5.9951610178740497E-2</v>
      </c>
      <c r="AT38" s="13">
        <f t="shared" si="24"/>
        <v>5.4598546178866225E-2</v>
      </c>
      <c r="AU38" s="13">
        <f t="shared" si="24"/>
        <v>5.6674609107025598E-2</v>
      </c>
      <c r="AV38" s="13">
        <f t="shared" si="24"/>
        <v>6.3812623660467027E-2</v>
      </c>
      <c r="AW38" s="13">
        <f t="shared" si="24"/>
        <v>6.7981482320671582E-2</v>
      </c>
      <c r="AX38" s="13">
        <f t="shared" si="24"/>
        <v>7.0185089576401058E-2</v>
      </c>
      <c r="AY38" s="13">
        <f t="shared" si="24"/>
        <v>7.7235854075476923E-2</v>
      </c>
      <c r="AZ38" s="13">
        <f t="shared" si="24"/>
        <v>6.8765461795566044E-2</v>
      </c>
      <c r="BA38" s="13">
        <f t="shared" si="24"/>
        <v>8.1520527098788015E-2</v>
      </c>
      <c r="BB38" s="13">
        <f t="shared" si="24"/>
        <v>8.7989665478745538E-2</v>
      </c>
      <c r="BC38" s="13">
        <f t="shared" si="24"/>
        <v>8.6102371961897045E-2</v>
      </c>
      <c r="BD38" s="13">
        <f t="shared" si="24"/>
        <v>8.7475448746255152E-2</v>
      </c>
      <c r="BE38" s="13">
        <f t="shared" si="24"/>
        <v>8.1782318469477616E-2</v>
      </c>
      <c r="BF38" s="13">
        <f t="shared" si="24"/>
        <v>6.5616901961277022E-2</v>
      </c>
      <c r="BG38" s="13">
        <f t="shared" si="24"/>
        <v>6.1082969229339777E-2</v>
      </c>
      <c r="BH38" s="13">
        <f t="shared" si="24"/>
        <v>6.2350959319516029E-2</v>
      </c>
      <c r="BI38" s="13">
        <f t="shared" si="24"/>
        <v>5.765031249188015E-2</v>
      </c>
      <c r="BJ38" s="13">
        <f t="shared" si="24"/>
        <v>5.5783712620629179E-2</v>
      </c>
      <c r="BK38" s="13"/>
      <c r="BL38" s="13"/>
      <c r="BM38" s="13"/>
      <c r="BN38" s="13"/>
      <c r="BO38" s="13"/>
      <c r="BP38" s="13"/>
      <c r="BQ38" s="13"/>
      <c r="BR38" s="13"/>
    </row>
    <row r="39" spans="1:70" x14ac:dyDescent="0.45">
      <c r="B39" t="s">
        <v>25</v>
      </c>
      <c r="C39" s="13">
        <f t="shared" ref="C39:AH39" si="25">C17*C36</f>
        <v>0.16061087330461896</v>
      </c>
      <c r="D39" s="13">
        <f t="shared" si="25"/>
        <v>0.19934410362407826</v>
      </c>
      <c r="E39" s="13">
        <f t="shared" si="25"/>
        <v>0.19292933800101358</v>
      </c>
      <c r="F39" s="13">
        <f t="shared" si="25"/>
        <v>0.1819990757631697</v>
      </c>
      <c r="G39" s="13">
        <f t="shared" si="25"/>
        <v>0.17511845814740368</v>
      </c>
      <c r="H39" s="13">
        <f t="shared" si="25"/>
        <v>0.17476188700357476</v>
      </c>
      <c r="I39" s="13">
        <f t="shared" si="25"/>
        <v>0.17311965268569707</v>
      </c>
      <c r="J39" s="13">
        <f t="shared" si="25"/>
        <v>0.16345486535817955</v>
      </c>
      <c r="K39" s="13">
        <f t="shared" si="25"/>
        <v>0.16513044228015997</v>
      </c>
      <c r="L39" s="13">
        <f t="shared" si="25"/>
        <v>0.15633236352674143</v>
      </c>
      <c r="M39" s="13">
        <f t="shared" si="25"/>
        <v>0.13708482692352705</v>
      </c>
      <c r="N39" s="13">
        <f t="shared" si="25"/>
        <v>0.13174518959050796</v>
      </c>
      <c r="O39" s="13">
        <f t="shared" si="25"/>
        <v>0.11375688754103636</v>
      </c>
      <c r="P39" s="13">
        <f t="shared" si="25"/>
        <v>9.382257883660805E-2</v>
      </c>
      <c r="Q39" s="13">
        <f t="shared" si="25"/>
        <v>8.4942354039183807E-2</v>
      </c>
      <c r="R39" s="13">
        <f t="shared" si="25"/>
        <v>8.3584595274913409E-2</v>
      </c>
      <c r="S39" s="13">
        <f t="shared" si="25"/>
        <v>8.9324629577191977E-2</v>
      </c>
      <c r="T39" s="13">
        <f t="shared" si="25"/>
        <v>8.3315957541567121E-2</v>
      </c>
      <c r="U39" s="13">
        <f t="shared" si="25"/>
        <v>7.2773673337227993E-2</v>
      </c>
      <c r="V39" s="13">
        <f t="shared" si="25"/>
        <v>6.1783791803590789E-2</v>
      </c>
      <c r="W39" s="13">
        <f t="shared" si="25"/>
        <v>6.1403124990110684E-2</v>
      </c>
      <c r="X39" s="13">
        <f t="shared" si="25"/>
        <v>6.9745001652410182E-2</v>
      </c>
      <c r="Y39" s="13">
        <f t="shared" si="25"/>
        <v>7.7356577083880704E-2</v>
      </c>
      <c r="Z39" s="13">
        <f t="shared" si="25"/>
        <v>9.1357876358698464E-2</v>
      </c>
      <c r="AA39" s="13">
        <f t="shared" si="25"/>
        <v>0.11027393529180367</v>
      </c>
      <c r="AB39" s="13">
        <f t="shared" si="25"/>
        <v>0.11743331456883363</v>
      </c>
      <c r="AC39" s="13">
        <f t="shared" si="25"/>
        <v>8.825257037974818E-2</v>
      </c>
      <c r="AD39" s="13">
        <f t="shared" si="25"/>
        <v>7.4952519612594332E-2</v>
      </c>
      <c r="AE39" s="13">
        <f t="shared" si="25"/>
        <v>6.9755673386975803E-2</v>
      </c>
      <c r="AF39" s="13">
        <f t="shared" si="25"/>
        <v>6.260430246374557E-2</v>
      </c>
      <c r="AG39" s="13">
        <f t="shared" si="25"/>
        <v>4.7787836497720983E-2</v>
      </c>
      <c r="AH39" s="13">
        <f t="shared" si="25"/>
        <v>4.7127807958646996E-2</v>
      </c>
      <c r="AI39" s="13">
        <f t="shared" ref="AI39:BJ39" si="26">AI17*AI36</f>
        <v>4.8124251618253441E-2</v>
      </c>
      <c r="AJ39" s="13">
        <f t="shared" si="26"/>
        <v>6.914241284835386E-2</v>
      </c>
      <c r="AK39" s="13">
        <f t="shared" si="26"/>
        <v>7.2308854126504798E-2</v>
      </c>
      <c r="AL39" s="13">
        <f t="shared" si="26"/>
        <v>6.6814127294663239E-2</v>
      </c>
      <c r="AM39" s="13">
        <f t="shared" si="26"/>
        <v>4.642192587355818E-2</v>
      </c>
      <c r="AN39" s="13">
        <f t="shared" si="26"/>
        <v>4.710462116611408E-2</v>
      </c>
      <c r="AO39" s="13">
        <f t="shared" si="26"/>
        <v>5.6719470762217658E-2</v>
      </c>
      <c r="AP39" s="13">
        <f t="shared" si="26"/>
        <v>5.9635712388208986E-2</v>
      </c>
      <c r="AQ39" s="13">
        <f t="shared" si="26"/>
        <v>7.1461779708349674E-2</v>
      </c>
      <c r="AR39" s="13">
        <f t="shared" si="26"/>
        <v>6.9972282821843396E-2</v>
      </c>
      <c r="AS39" s="13">
        <f t="shared" si="26"/>
        <v>5.9759461484548193E-2</v>
      </c>
      <c r="AT39" s="13">
        <f t="shared" si="26"/>
        <v>4.3469264063338002E-2</v>
      </c>
      <c r="AU39" s="13">
        <f t="shared" si="26"/>
        <v>3.6169459804635332E-2</v>
      </c>
      <c r="AV39" s="13">
        <f t="shared" si="26"/>
        <v>3.3803424134901401E-2</v>
      </c>
      <c r="AW39" s="13">
        <f t="shared" si="26"/>
        <v>3.3207669361541077E-2</v>
      </c>
      <c r="AX39" s="13">
        <f t="shared" si="26"/>
        <v>3.0614937948024432E-2</v>
      </c>
      <c r="AY39" s="13">
        <f t="shared" si="26"/>
        <v>2.9950608109454567E-2</v>
      </c>
      <c r="AZ39" s="13">
        <f t="shared" si="26"/>
        <v>3.0465172249940255E-2</v>
      </c>
      <c r="BA39" s="13">
        <f t="shared" si="26"/>
        <v>2.9366349619576963E-2</v>
      </c>
      <c r="BB39" s="13">
        <f t="shared" si="26"/>
        <v>3.0933979044685443E-2</v>
      </c>
      <c r="BC39" s="13">
        <f t="shared" si="26"/>
        <v>3.978018953429268E-2</v>
      </c>
      <c r="BD39" s="13">
        <f t="shared" si="26"/>
        <v>4.0481235806500294E-2</v>
      </c>
      <c r="BE39" s="13">
        <f t="shared" si="26"/>
        <v>4.0590280065791177E-2</v>
      </c>
      <c r="BF39" s="13">
        <f t="shared" si="26"/>
        <v>5.665686227059448E-2</v>
      </c>
      <c r="BG39" s="13">
        <f t="shared" si="26"/>
        <v>5.2562851728562891E-2</v>
      </c>
      <c r="BH39" s="13">
        <f t="shared" si="26"/>
        <v>5.2381430021911105E-2</v>
      </c>
      <c r="BI39" s="13">
        <f t="shared" si="26"/>
        <v>5.2408500324445641E-2</v>
      </c>
      <c r="BJ39" s="13">
        <f t="shared" si="26"/>
        <v>6.0411839158646202E-2</v>
      </c>
      <c r="BK39" s="13"/>
      <c r="BL39" s="13"/>
      <c r="BM39" s="13"/>
      <c r="BN39" s="13"/>
      <c r="BO39" s="13"/>
      <c r="BP39" s="13"/>
      <c r="BQ39" s="13"/>
      <c r="BR39" s="13"/>
    </row>
    <row r="40" spans="1:70" x14ac:dyDescent="0.45">
      <c r="B40" s="13" t="str">
        <f>'Dispersion Measures'!B4</f>
        <v>Interbloc</v>
      </c>
      <c r="C40" s="13">
        <f>'Dispersion Measures'!C4</f>
        <v>0.52188436896577417</v>
      </c>
      <c r="D40" s="13">
        <f>'Dispersion Measures'!D4</f>
        <v>0.53872500127167378</v>
      </c>
      <c r="E40" s="13">
        <f>'Dispersion Measures'!E4</f>
        <v>0.54390683680953389</v>
      </c>
      <c r="F40" s="13">
        <f>'Dispersion Measures'!F4</f>
        <v>0.53744725389844605</v>
      </c>
      <c r="G40" s="13">
        <f>'Dispersion Measures'!G4</f>
        <v>0.54604484608430759</v>
      </c>
      <c r="H40" s="13">
        <f>'Dispersion Measures'!H4</f>
        <v>0.5569166407936279</v>
      </c>
      <c r="I40" s="13">
        <f>'Dispersion Measures'!I4</f>
        <v>0.58453262738379863</v>
      </c>
      <c r="J40" s="13">
        <f>'Dispersion Measures'!J4</f>
        <v>0.59282487927412952</v>
      </c>
      <c r="K40" s="13">
        <f>'Dispersion Measures'!K4</f>
        <v>0.60482723940430816</v>
      </c>
      <c r="L40" s="13">
        <f>'Dispersion Measures'!L4</f>
        <v>0.6076741759093458</v>
      </c>
      <c r="M40" s="13">
        <f>'Dispersion Measures'!M4</f>
        <v>0.6174306618266725</v>
      </c>
      <c r="N40" s="13">
        <f>'Dispersion Measures'!N4</f>
        <v>0.63130534357879331</v>
      </c>
      <c r="O40" s="13">
        <f>'Dispersion Measures'!O4</f>
        <v>0.65145362014031483</v>
      </c>
      <c r="P40" s="13">
        <f>'Dispersion Measures'!P4</f>
        <v>0.64596999584933212</v>
      </c>
      <c r="Q40" s="13">
        <f>'Dispersion Measures'!Q4</f>
        <v>0.61276537217491833</v>
      </c>
      <c r="R40" s="13">
        <f>'Dispersion Measures'!R4</f>
        <v>0.62343080164301412</v>
      </c>
      <c r="S40" s="13">
        <f>'Dispersion Measures'!S4</f>
        <v>0.62901679982855452</v>
      </c>
      <c r="T40" s="13">
        <f>'Dispersion Measures'!T4</f>
        <v>0.64306384415820417</v>
      </c>
      <c r="U40" s="13">
        <f>'Dispersion Measures'!U4</f>
        <v>0.66780747171783617</v>
      </c>
      <c r="V40" s="13">
        <f>'Dispersion Measures'!V4</f>
        <v>0.66342517490136965</v>
      </c>
      <c r="W40" s="13">
        <f>'Dispersion Measures'!W4</f>
        <v>0.65139086504995869</v>
      </c>
      <c r="X40" s="13">
        <f>'Dispersion Measures'!X4</f>
        <v>0.61363337667730777</v>
      </c>
      <c r="Y40" s="13">
        <f>'Dispersion Measures'!Y4</f>
        <v>0.64427504539373459</v>
      </c>
      <c r="Z40" s="13">
        <f>'Dispersion Measures'!Z4</f>
        <v>0.70710100569404577</v>
      </c>
      <c r="AA40" s="13">
        <f>'Dispersion Measures'!AA4</f>
        <v>0.73518203948961425</v>
      </c>
      <c r="AB40" s="13">
        <f>'Dispersion Measures'!AB4</f>
        <v>0.75843691039919492</v>
      </c>
      <c r="AC40" s="13">
        <f>'Dispersion Measures'!AC4</f>
        <v>0.82487053329540738</v>
      </c>
      <c r="AD40" s="13">
        <f>'Dispersion Measures'!AD4</f>
        <v>0.84504998972305068</v>
      </c>
      <c r="AE40" s="13">
        <f>'Dispersion Measures'!AE4</f>
        <v>0.86677122977275711</v>
      </c>
      <c r="AF40" s="13">
        <f>'Dispersion Measures'!AF4</f>
        <v>0.85694562027981391</v>
      </c>
      <c r="AG40" s="13">
        <f>'Dispersion Measures'!AG4</f>
        <v>0.86098544809133637</v>
      </c>
      <c r="AH40" s="13">
        <f>'Dispersion Measures'!AH4</f>
        <v>0.85790150161326428</v>
      </c>
      <c r="AI40" s="13">
        <f>'Dispersion Measures'!AI4</f>
        <v>0.89612723230145797</v>
      </c>
      <c r="AJ40" s="13">
        <f>'Dispersion Measures'!AJ4</f>
        <v>0.87713177481857219</v>
      </c>
      <c r="AK40" s="13">
        <f>'Dispersion Measures'!AK4</f>
        <v>0.87768115168187044</v>
      </c>
      <c r="AL40" s="13">
        <f>'Dispersion Measures'!AL4</f>
        <v>0.88566286342460754</v>
      </c>
      <c r="AM40" s="13">
        <f>'Dispersion Measures'!AM4</f>
        <v>0.86896119690139462</v>
      </c>
      <c r="AN40" s="13">
        <f>'Dispersion Measures'!AN4</f>
        <v>0.85578644164162565</v>
      </c>
      <c r="AO40" s="13">
        <f>'Dispersion Measures'!AO4</f>
        <v>0.86491904823118926</v>
      </c>
      <c r="AP40" s="13">
        <f>'Dispersion Measures'!AP4</f>
        <v>0.91050161838959331</v>
      </c>
      <c r="AQ40" s="13">
        <f>'Dispersion Measures'!AQ4</f>
        <v>0.89945427930882649</v>
      </c>
      <c r="AR40" s="13">
        <f>'Dispersion Measures'!AR4</f>
        <v>0.91632141292669123</v>
      </c>
      <c r="AS40" s="13">
        <f>'Dispersion Measures'!AS4</f>
        <v>0.92678368954487289</v>
      </c>
      <c r="AT40" s="13">
        <f>'Dispersion Measures'!AT4</f>
        <v>0.93714302196230137</v>
      </c>
      <c r="AU40" s="13">
        <f>'Dispersion Measures'!AU4</f>
        <v>0.92553226292164914</v>
      </c>
      <c r="AV40" s="13">
        <f>'Dispersion Measures'!AV4</f>
        <v>0.88920843170525821</v>
      </c>
      <c r="AW40" s="13">
        <f>'Dispersion Measures'!AW4</f>
        <v>0.85851054160078022</v>
      </c>
      <c r="AX40" s="13">
        <f>'Dispersion Measures'!AX4</f>
        <v>0.82630955579936027</v>
      </c>
      <c r="AY40" s="13">
        <f>'Dispersion Measures'!AY4</f>
        <v>0.80900975272426601</v>
      </c>
      <c r="AZ40" s="13">
        <f>'Dispersion Measures'!AZ4</f>
        <v>0.81130963037499537</v>
      </c>
      <c r="BA40" s="13">
        <f>'Dispersion Measures'!BA4</f>
        <v>0.74800316726279104</v>
      </c>
      <c r="BB40" s="13">
        <f>'Dispersion Measures'!BB4</f>
        <v>0.7291864839501585</v>
      </c>
      <c r="BC40" s="13">
        <f>'Dispersion Measures'!BC4</f>
        <v>0.73068206447403328</v>
      </c>
      <c r="BD40" s="13">
        <f>'Dispersion Measures'!BD4</f>
        <v>0.72137225527590387</v>
      </c>
      <c r="BE40" s="13">
        <f>'Dispersion Measures'!BE4</f>
        <v>0.7238677633493823</v>
      </c>
      <c r="BF40" s="13">
        <f>'Dispersion Measures'!BF4</f>
        <v>0.75441239998863896</v>
      </c>
      <c r="BG40" s="13">
        <f>'Dispersion Measures'!BG4</f>
        <v>0.76826991354103336</v>
      </c>
      <c r="BH40" s="13">
        <f>'Dispersion Measures'!BH4</f>
        <v>0.75014791265022684</v>
      </c>
      <c r="BI40" s="13">
        <f>'Dispersion Measures'!BI4</f>
        <v>0.77452096225647604</v>
      </c>
      <c r="BJ40" s="13">
        <f>'Dispersion Measures'!BJ4</f>
        <v>0.77794794595525807</v>
      </c>
      <c r="BK40" s="13"/>
      <c r="BL40" s="13"/>
      <c r="BM40" s="13"/>
      <c r="BN40" s="13"/>
      <c r="BO40" s="13"/>
      <c r="BP40" s="13"/>
      <c r="BQ40" s="13"/>
      <c r="BR40" s="13"/>
    </row>
    <row r="41" spans="1:70" x14ac:dyDescent="0.45">
      <c r="B41" t="s">
        <v>178</v>
      </c>
      <c r="C41" s="13">
        <f t="shared" ref="C41:AH41" si="27">SUM(C38:C40)</f>
        <v>0.72223021510929786</v>
      </c>
      <c r="D41" s="13">
        <f t="shared" si="27"/>
        <v>0.7669593345941339</v>
      </c>
      <c r="E41" s="13">
        <f t="shared" si="27"/>
        <v>0.766391159011649</v>
      </c>
      <c r="F41" s="13">
        <f t="shared" si="27"/>
        <v>0.74941590257878865</v>
      </c>
      <c r="G41" s="13">
        <f t="shared" si="27"/>
        <v>0.74906703612199044</v>
      </c>
      <c r="H41" s="13">
        <f t="shared" si="27"/>
        <v>0.75887514342042672</v>
      </c>
      <c r="I41" s="13">
        <f t="shared" si="27"/>
        <v>0.79308336092081122</v>
      </c>
      <c r="J41" s="13">
        <f t="shared" si="27"/>
        <v>0.79185308382702502</v>
      </c>
      <c r="K41" s="13">
        <f t="shared" si="27"/>
        <v>0.80598542514308535</v>
      </c>
      <c r="L41" s="13">
        <f t="shared" si="27"/>
        <v>0.80069142401657734</v>
      </c>
      <c r="M41" s="13">
        <f t="shared" si="27"/>
        <v>0.78976927006943642</v>
      </c>
      <c r="N41" s="13">
        <f t="shared" si="27"/>
        <v>0.8000707263789919</v>
      </c>
      <c r="O41" s="13">
        <f t="shared" si="27"/>
        <v>0.80388061779651476</v>
      </c>
      <c r="P41" s="13">
        <f t="shared" si="27"/>
        <v>0.78465465805110823</v>
      </c>
      <c r="Q41" s="13">
        <f t="shared" si="27"/>
        <v>0.74829660999280123</v>
      </c>
      <c r="R41" s="13">
        <f t="shared" si="27"/>
        <v>0.75953644013950561</v>
      </c>
      <c r="S41" s="13">
        <f t="shared" si="27"/>
        <v>0.77528657568210679</v>
      </c>
      <c r="T41" s="13">
        <f t="shared" si="27"/>
        <v>0.77979934895210146</v>
      </c>
      <c r="U41" s="13">
        <f t="shared" si="27"/>
        <v>0.79158308227950236</v>
      </c>
      <c r="V41" s="13">
        <f t="shared" si="27"/>
        <v>0.7816472298073357</v>
      </c>
      <c r="W41" s="13">
        <f t="shared" si="27"/>
        <v>0.77367692914184949</v>
      </c>
      <c r="X41" s="13">
        <f t="shared" si="27"/>
        <v>0.75858850369612552</v>
      </c>
      <c r="Y41" s="13">
        <f t="shared" si="27"/>
        <v>0.78368047325001444</v>
      </c>
      <c r="Z41" s="13">
        <f t="shared" si="27"/>
        <v>0.84446525883957468</v>
      </c>
      <c r="AA41" s="13">
        <f t="shared" si="27"/>
        <v>0.89208289449483391</v>
      </c>
      <c r="AB41" s="13">
        <f t="shared" si="27"/>
        <v>0.91826253340380637</v>
      </c>
      <c r="AC41" s="13">
        <f t="shared" si="27"/>
        <v>0.94645955101669277</v>
      </c>
      <c r="AD41" s="13">
        <f t="shared" si="27"/>
        <v>0.95330519667912261</v>
      </c>
      <c r="AE41" s="13">
        <f t="shared" si="27"/>
        <v>0.97027771708181743</v>
      </c>
      <c r="AF41" s="13">
        <f t="shared" si="27"/>
        <v>0.96186685809780959</v>
      </c>
      <c r="AG41" s="13">
        <f t="shared" si="27"/>
        <v>0.95401520622160296</v>
      </c>
      <c r="AH41" s="13">
        <f t="shared" si="27"/>
        <v>0.96293638054746167</v>
      </c>
      <c r="AI41" s="13">
        <f t="shared" ref="AI41:BJ41" si="28">SUM(AI38:AI40)</f>
        <v>0.99365018724637144</v>
      </c>
      <c r="AJ41" s="13">
        <f t="shared" si="28"/>
        <v>1.0090994031451652</v>
      </c>
      <c r="AK41" s="13">
        <f t="shared" si="28"/>
        <v>1.013616490612866</v>
      </c>
      <c r="AL41" s="13">
        <f t="shared" si="28"/>
        <v>1.0129552671691562</v>
      </c>
      <c r="AM41" s="13">
        <f t="shared" si="28"/>
        <v>0.98016263500196255</v>
      </c>
      <c r="AN41" s="13">
        <f t="shared" si="28"/>
        <v>0.97291667993158504</v>
      </c>
      <c r="AO41" s="13">
        <f t="shared" si="28"/>
        <v>0.99285852535482022</v>
      </c>
      <c r="AP41" s="13">
        <f t="shared" si="28"/>
        <v>1.0293736265030997</v>
      </c>
      <c r="AQ41" s="13">
        <f t="shared" si="28"/>
        <v>1.0356423640012073</v>
      </c>
      <c r="AR41" s="13">
        <f t="shared" si="28"/>
        <v>1.0490699805702477</v>
      </c>
      <c r="AS41" s="13">
        <f t="shared" si="28"/>
        <v>1.0464947612081617</v>
      </c>
      <c r="AT41" s="13">
        <f t="shared" si="28"/>
        <v>1.0352108322045055</v>
      </c>
      <c r="AU41" s="13">
        <f t="shared" si="28"/>
        <v>1.0183763318333101</v>
      </c>
      <c r="AV41" s="13">
        <f t="shared" si="28"/>
        <v>0.98682447950062668</v>
      </c>
      <c r="AW41" s="13">
        <f t="shared" si="28"/>
        <v>0.95969969328299287</v>
      </c>
      <c r="AX41" s="13">
        <f t="shared" si="28"/>
        <v>0.92710958332378579</v>
      </c>
      <c r="AY41" s="13">
        <f t="shared" si="28"/>
        <v>0.91619621490919756</v>
      </c>
      <c r="AZ41" s="13">
        <f t="shared" si="28"/>
        <v>0.91054026442050162</v>
      </c>
      <c r="BA41" s="13">
        <f t="shared" si="28"/>
        <v>0.85889004398115598</v>
      </c>
      <c r="BB41" s="13">
        <f t="shared" si="28"/>
        <v>0.84811012847358946</v>
      </c>
      <c r="BC41" s="13">
        <f t="shared" si="28"/>
        <v>0.85656462597022298</v>
      </c>
      <c r="BD41" s="13">
        <f t="shared" si="28"/>
        <v>0.84932893982865931</v>
      </c>
      <c r="BE41" s="13">
        <f t="shared" si="28"/>
        <v>0.84624036188465113</v>
      </c>
      <c r="BF41" s="13">
        <f t="shared" si="28"/>
        <v>0.87668616422051049</v>
      </c>
      <c r="BG41" s="13">
        <f t="shared" si="28"/>
        <v>0.88191573449893601</v>
      </c>
      <c r="BH41" s="13">
        <f t="shared" si="28"/>
        <v>0.864880301991654</v>
      </c>
      <c r="BI41" s="13">
        <f t="shared" si="28"/>
        <v>0.88457977507280183</v>
      </c>
      <c r="BJ41" s="13">
        <f t="shared" si="28"/>
        <v>0.8941434977345335</v>
      </c>
      <c r="BK41" s="13"/>
      <c r="BL41" s="13"/>
      <c r="BM41" s="13"/>
      <c r="BN41" s="13"/>
      <c r="BO41" s="13"/>
      <c r="BP41" s="13"/>
      <c r="BQ41" s="13"/>
      <c r="BR41" s="13"/>
    </row>
    <row r="42" spans="1:70" x14ac:dyDescent="0.45">
      <c r="B42" t="s">
        <v>179</v>
      </c>
      <c r="C42" s="13">
        <f>'Dispersion Measures'!C5</f>
        <v>0.77057014761386911</v>
      </c>
      <c r="D42" s="13">
        <f>'Dispersion Measures'!D5</f>
        <v>0.76955987919014768</v>
      </c>
      <c r="E42" s="13">
        <f>'Dispersion Measures'!E5</f>
        <v>0.76773837878051454</v>
      </c>
      <c r="F42" s="13">
        <f>'Dispersion Measures'!F5</f>
        <v>0.74540741491173879</v>
      </c>
      <c r="G42" s="13">
        <f>'Dispersion Measures'!G5</f>
        <v>0.74411052213239481</v>
      </c>
      <c r="H42" s="13">
        <f>'Dispersion Measures'!H5</f>
        <v>0.75270858825578169</v>
      </c>
      <c r="I42" s="13">
        <f>'Dispersion Measures'!I5</f>
        <v>0.78603488278257516</v>
      </c>
      <c r="J42" s="13">
        <f>'Dispersion Measures'!J5</f>
        <v>0.78418531506052258</v>
      </c>
      <c r="K42" s="13">
        <f>'Dispersion Measures'!K5</f>
        <v>0.79687347407393028</v>
      </c>
      <c r="L42" s="13">
        <f>'Dispersion Measures'!L5</f>
        <v>0.79123464248385633</v>
      </c>
      <c r="M42" s="13">
        <f>'Dispersion Measures'!M5</f>
        <v>0.78094286819448122</v>
      </c>
      <c r="N42" s="13">
        <f>'Dispersion Measures'!N5</f>
        <v>0.79101910345103144</v>
      </c>
      <c r="O42" s="13">
        <f>'Dispersion Measures'!O5</f>
        <v>0.79607988556076159</v>
      </c>
      <c r="P42" s="13">
        <f>'Dispersion Measures'!P5</f>
        <v>0.77887483145046343</v>
      </c>
      <c r="Q42" s="13">
        <f>'Dispersion Measures'!Q5</f>
        <v>0.7435066987114114</v>
      </c>
      <c r="R42" s="13">
        <f>'Dispersion Measures'!R5</f>
        <v>0.75465728728719605</v>
      </c>
      <c r="S42" s="13">
        <f>'Dispersion Measures'!S5</f>
        <v>0.76945640497257717</v>
      </c>
      <c r="T42" s="13">
        <f>'Dispersion Measures'!T5</f>
        <v>0.7740923472155482</v>
      </c>
      <c r="U42" s="13">
        <f>'Dispersion Measures'!U5</f>
        <v>0.78695762509903788</v>
      </c>
      <c r="V42" s="13">
        <f>'Dispersion Measures'!V5</f>
        <v>0.77911991708552908</v>
      </c>
      <c r="W42" s="13">
        <f>'Dispersion Measures'!W5</f>
        <v>0.77142064885917772</v>
      </c>
      <c r="X42" s="13">
        <f>'Dispersion Measures'!X5</f>
        <v>0.75603691358227332</v>
      </c>
      <c r="Y42" s="13">
        <f>'Dispersion Measures'!Y5</f>
        <v>0.77780599168366638</v>
      </c>
      <c r="Z42" s="13">
        <f>'Dispersion Measures'!Z5</f>
        <v>0.83327148873984003</v>
      </c>
      <c r="AA42" s="13">
        <f>'Dispersion Measures'!AA5</f>
        <v>0.87612172516244646</v>
      </c>
      <c r="AB42" s="13">
        <f>'Dispersion Measures'!AB5</f>
        <v>0.89927739171891619</v>
      </c>
      <c r="AC42" s="13">
        <f>'Dispersion Measures'!AC5</f>
        <v>0.93260550266320119</v>
      </c>
      <c r="AD42" s="13">
        <f>'Dispersion Measures'!AD5</f>
        <v>0.94225453778621493</v>
      </c>
      <c r="AE42" s="13">
        <f>'Dispersion Measures'!AE5</f>
        <v>0.9602257853043521</v>
      </c>
      <c r="AF42" s="13">
        <f>'Dispersion Measures'!AF5</f>
        <v>0.95470380503425167</v>
      </c>
      <c r="AG42" s="13">
        <f>'Dispersion Measures'!AG5</f>
        <v>0.95121844954329826</v>
      </c>
      <c r="AH42" s="13">
        <f>'Dispersion Measures'!AH5</f>
        <v>0.96230861057657702</v>
      </c>
      <c r="AI42" s="13">
        <f>'Dispersion Measures'!AI5</f>
        <v>0.9912269533863276</v>
      </c>
      <c r="AJ42" s="13">
        <f>'Dispersion Measures'!AJ5</f>
        <v>1.0025071124905582</v>
      </c>
      <c r="AK42" s="13">
        <f>'Dispersion Measures'!AK5</f>
        <v>1.0059459207076873</v>
      </c>
      <c r="AL42" s="13">
        <f>'Dispersion Measures'!AL5</f>
        <v>1.0061900759307627</v>
      </c>
      <c r="AM42" s="13">
        <f>'Dispersion Measures'!AM5</f>
        <v>0.98052763950877564</v>
      </c>
      <c r="AN42" s="13">
        <f>'Dispersion Measures'!AN5</f>
        <v>0.97395214355092563</v>
      </c>
      <c r="AO42" s="13">
        <f>'Dispersion Measures'!AO5</f>
        <v>0.99082713856716498</v>
      </c>
      <c r="AP42" s="13">
        <f>'Dispersion Measures'!AP5</f>
        <v>1.0238761839891251</v>
      </c>
      <c r="AQ42" s="13">
        <f>'Dispersion Measures'!AQ5</f>
        <v>1.0269188989693199</v>
      </c>
      <c r="AR42" s="13">
        <f>'Dispersion Measures'!AR5</f>
        <v>1.0402533667881746</v>
      </c>
      <c r="AS42" s="13">
        <f>'Dispersion Measures'!AS5</f>
        <v>1.040546570840053</v>
      </c>
      <c r="AT42" s="13">
        <f>'Dispersion Measures'!AT5</f>
        <v>1.033916051196019</v>
      </c>
      <c r="AU42" s="13">
        <f>'Dispersion Measures'!AU5</f>
        <v>1.0201209525998296</v>
      </c>
      <c r="AV42" s="13">
        <f>'Dispersion Measures'!AV5</f>
        <v>0.99092007359080025</v>
      </c>
      <c r="AW42" s="13">
        <f>'Dispersion Measures'!AW5</f>
        <v>0.96488818171568036</v>
      </c>
      <c r="AX42" s="13">
        <f>'Dispersion Measures'!AX5</f>
        <v>0.93374824894351205</v>
      </c>
      <c r="AY42" s="13">
        <f>'Dispersion Measures'!AY5</f>
        <v>0.92469356163340544</v>
      </c>
      <c r="AZ42" s="13">
        <f>'Dispersion Measures'!AZ5</f>
        <v>0.91694532022833208</v>
      </c>
      <c r="BA42" s="13">
        <f>'Dispersion Measures'!BA5</f>
        <v>0.8686370739492556</v>
      </c>
      <c r="BB42" s="13">
        <f>'Dispersion Measures'!BB5</f>
        <v>0.8588023314654285</v>
      </c>
      <c r="BC42" s="13">
        <f>'Dispersion Measures'!BC5</f>
        <v>0.86329504449456507</v>
      </c>
      <c r="BD42" s="13">
        <f>'Dispersion Measures'!BD5</f>
        <v>0.85613758448592847</v>
      </c>
      <c r="BE42" s="13">
        <f>'Dispersion Measures'!BE5</f>
        <v>0.85167144048369636</v>
      </c>
      <c r="BF42" s="13">
        <f>'Dispersion Measures'!BF5</f>
        <v>0.87143105838885149</v>
      </c>
      <c r="BG42" s="13">
        <f>'Dispersion Measures'!BG5</f>
        <v>0.87721585516003564</v>
      </c>
      <c r="BH42" s="13">
        <f>'Dispersion Measures'!BH5</f>
        <v>0.86046369896942054</v>
      </c>
      <c r="BI42" s="13">
        <f>'Dispersion Measures'!BI5</f>
        <v>0.87891161983420041</v>
      </c>
      <c r="BJ42" s="13">
        <f>'Dispersion Measures'!BJ5</f>
        <v>0.88436908916203549</v>
      </c>
      <c r="BK42" s="13"/>
      <c r="BL42" s="13"/>
      <c r="BM42" s="13"/>
      <c r="BN42" s="13"/>
      <c r="BO42" s="13"/>
      <c r="BP42" s="13"/>
      <c r="BQ42" s="13"/>
      <c r="BR42" s="13"/>
    </row>
    <row r="43" spans="1:70" x14ac:dyDescent="0.45">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row>
    <row r="44" spans="1:70" x14ac:dyDescent="0.45">
      <c r="B44" t="s">
        <v>180</v>
      </c>
      <c r="C44" s="13">
        <f t="shared" ref="C44:AX44" si="29">C41/C42</f>
        <v>0.93726731738277214</v>
      </c>
      <c r="D44" s="13">
        <f t="shared" si="29"/>
        <v>0.99662073781867311</v>
      </c>
      <c r="E44" s="13">
        <f t="shared" si="29"/>
        <v>0.99824520981873344</v>
      </c>
      <c r="F44" s="13">
        <f t="shared" si="29"/>
        <v>1.0053775795449049</v>
      </c>
      <c r="G44" s="13">
        <f t="shared" si="29"/>
        <v>1.006660991670151</v>
      </c>
      <c r="H44" s="13">
        <f t="shared" si="29"/>
        <v>1.0081924867881933</v>
      </c>
      <c r="I44" s="13">
        <f t="shared" si="29"/>
        <v>1.0089671314754942</v>
      </c>
      <c r="J44" s="13">
        <f t="shared" si="29"/>
        <v>1.0097780060646897</v>
      </c>
      <c r="K44" s="13">
        <f t="shared" si="29"/>
        <v>1.0114346271592793</v>
      </c>
      <c r="L44" s="13">
        <f t="shared" si="29"/>
        <v>1.0119519305967621</v>
      </c>
      <c r="M44" s="13">
        <f t="shared" si="29"/>
        <v>1.0113022376340559</v>
      </c>
      <c r="N44" s="13">
        <f t="shared" si="29"/>
        <v>1.0114429890358783</v>
      </c>
      <c r="O44" s="13">
        <f t="shared" si="29"/>
        <v>1.0097989314605762</v>
      </c>
      <c r="P44" s="13">
        <f t="shared" si="29"/>
        <v>1.0074207386954348</v>
      </c>
      <c r="Q44" s="13">
        <f t="shared" si="29"/>
        <v>1.0064423243121969</v>
      </c>
      <c r="R44" s="13">
        <f t="shared" si="29"/>
        <v>1.0064653889050073</v>
      </c>
      <c r="S44" s="13">
        <f t="shared" si="29"/>
        <v>1.0075769993879478</v>
      </c>
      <c r="T44" s="13">
        <f t="shared" si="29"/>
        <v>1.0073725076304936</v>
      </c>
      <c r="U44" s="13">
        <f t="shared" si="29"/>
        <v>1.0058776445299482</v>
      </c>
      <c r="V44" s="13">
        <f t="shared" si="29"/>
        <v>1.0032438045368686</v>
      </c>
      <c r="W44" s="13">
        <f t="shared" si="29"/>
        <v>1.0029248378119104</v>
      </c>
      <c r="X44" s="13">
        <f t="shared" si="29"/>
        <v>1.0033749544076653</v>
      </c>
      <c r="Y44" s="13">
        <f t="shared" si="29"/>
        <v>1.007552630899168</v>
      </c>
      <c r="Z44" s="13">
        <f t="shared" si="29"/>
        <v>1.0134335210684611</v>
      </c>
      <c r="AA44" s="13">
        <f t="shared" si="29"/>
        <v>1.0182179814447907</v>
      </c>
      <c r="AB44" s="13">
        <f t="shared" si="29"/>
        <v>1.0211115522971184</v>
      </c>
      <c r="AC44" s="13">
        <f t="shared" si="29"/>
        <v>1.01485520760271</v>
      </c>
      <c r="AD44" s="13">
        <f t="shared" si="29"/>
        <v>1.0117278914027528</v>
      </c>
      <c r="AE44" s="13">
        <f t="shared" si="29"/>
        <v>1.0104683001969992</v>
      </c>
      <c r="AF44" s="13">
        <f t="shared" si="29"/>
        <v>1.0075029061639709</v>
      </c>
      <c r="AG44" s="13">
        <f t="shared" si="29"/>
        <v>1.0029401833823213</v>
      </c>
      <c r="AH44" s="13">
        <f t="shared" si="29"/>
        <v>1.0006523582601101</v>
      </c>
      <c r="AI44" s="13">
        <f t="shared" si="29"/>
        <v>1.0024446811618322</v>
      </c>
      <c r="AJ44" s="13">
        <f t="shared" si="29"/>
        <v>1.0065758043733271</v>
      </c>
      <c r="AK44" s="13">
        <f t="shared" si="29"/>
        <v>1.0076252308869471</v>
      </c>
      <c r="AL44" s="13">
        <f t="shared" si="29"/>
        <v>1.0067235718183123</v>
      </c>
      <c r="AM44" s="13">
        <f t="shared" si="29"/>
        <v>0.99962774684556988</v>
      </c>
      <c r="AN44" s="13">
        <f t="shared" si="29"/>
        <v>0.99893684343096634</v>
      </c>
      <c r="AO44" s="13">
        <f t="shared" si="29"/>
        <v>1.0020501929232508</v>
      </c>
      <c r="AP44" s="13">
        <f t="shared" si="29"/>
        <v>1.005369245422387</v>
      </c>
      <c r="AQ44" s="13">
        <f t="shared" si="29"/>
        <v>1.0084947945165319</v>
      </c>
      <c r="AR44" s="13">
        <f t="shared" si="29"/>
        <v>1.0084754484470402</v>
      </c>
      <c r="AS44" s="13">
        <f t="shared" si="29"/>
        <v>1.005716409562819</v>
      </c>
      <c r="AT44" s="13">
        <f t="shared" si="29"/>
        <v>1.0012523076771935</v>
      </c>
      <c r="AU44" s="13">
        <f t="shared" si="29"/>
        <v>0.99828979028214915</v>
      </c>
      <c r="AV44" s="13">
        <f t="shared" si="29"/>
        <v>0.99586687746133518</v>
      </c>
      <c r="AW44" s="13">
        <f t="shared" si="29"/>
        <v>0.99462270496104355</v>
      </c>
      <c r="AX44" s="13">
        <f t="shared" si="29"/>
        <v>0.99289030461129368</v>
      </c>
      <c r="AY44" s="13">
        <f t="shared" ref="AY44:BJ44" si="30">AY41/AY42</f>
        <v>0.99081063492082944</v>
      </c>
      <c r="AZ44" s="13">
        <f t="shared" si="30"/>
        <v>0.99301478979549673</v>
      </c>
      <c r="BA44" s="13">
        <f t="shared" si="30"/>
        <v>0.9887789385689183</v>
      </c>
      <c r="BB44" s="13">
        <f t="shared" si="30"/>
        <v>0.98754986729764194</v>
      </c>
      <c r="BC44" s="13">
        <f t="shared" si="30"/>
        <v>0.99220380266600217</v>
      </c>
      <c r="BD44" s="13">
        <f t="shared" si="30"/>
        <v>0.99204725410886219</v>
      </c>
      <c r="BE44" s="13">
        <f t="shared" si="30"/>
        <v>0.99362303543258335</v>
      </c>
      <c r="BF44" s="13">
        <f t="shared" si="30"/>
        <v>1.0060304321048357</v>
      </c>
      <c r="BG44" s="13">
        <f t="shared" si="30"/>
        <v>1.0053577227443558</v>
      </c>
      <c r="BH44" s="13">
        <f t="shared" si="30"/>
        <v>1.0051328173722183</v>
      </c>
      <c r="BI44" s="13">
        <f t="shared" si="30"/>
        <v>1.006449061669785</v>
      </c>
      <c r="BJ44" s="13">
        <f t="shared" si="30"/>
        <v>1.0110524086518669</v>
      </c>
      <c r="BK44" s="13"/>
      <c r="BL44" s="13"/>
      <c r="BM44" s="13"/>
      <c r="BN44" s="13"/>
      <c r="BO44" s="13"/>
      <c r="BP44" s="13"/>
      <c r="BQ44" s="13"/>
      <c r="BR44" s="13"/>
    </row>
    <row r="46" spans="1:70" x14ac:dyDescent="0.45">
      <c r="A46" t="s">
        <v>181</v>
      </c>
      <c r="C46" t="str">
        <f t="shared" ref="C46:AH46" si="31">C37</f>
        <v>1960</v>
      </c>
      <c r="D46" t="str">
        <f t="shared" si="31"/>
        <v>1961</v>
      </c>
      <c r="E46" t="str">
        <f t="shared" si="31"/>
        <v>1962</v>
      </c>
      <c r="F46" t="str">
        <f t="shared" si="31"/>
        <v>1963</v>
      </c>
      <c r="G46" t="str">
        <f t="shared" si="31"/>
        <v>1964</v>
      </c>
      <c r="H46" t="str">
        <f t="shared" si="31"/>
        <v>1965</v>
      </c>
      <c r="I46" t="str">
        <f t="shared" si="31"/>
        <v>1966</v>
      </c>
      <c r="J46" t="str">
        <f t="shared" si="31"/>
        <v>1967</v>
      </c>
      <c r="K46" t="str">
        <f t="shared" si="31"/>
        <v>1968</v>
      </c>
      <c r="L46" t="str">
        <f t="shared" si="31"/>
        <v>1969</v>
      </c>
      <c r="M46" t="str">
        <f t="shared" si="31"/>
        <v>1970</v>
      </c>
      <c r="N46" t="str">
        <f t="shared" si="31"/>
        <v>1971</v>
      </c>
      <c r="O46" t="str">
        <f t="shared" si="31"/>
        <v>1972</v>
      </c>
      <c r="P46" t="str">
        <f t="shared" si="31"/>
        <v>1973</v>
      </c>
      <c r="Q46" t="str">
        <f t="shared" si="31"/>
        <v>1974</v>
      </c>
      <c r="R46" t="str">
        <f t="shared" si="31"/>
        <v>1975</v>
      </c>
      <c r="S46" t="str">
        <f t="shared" si="31"/>
        <v>1976</v>
      </c>
      <c r="T46" t="str">
        <f t="shared" si="31"/>
        <v>1977</v>
      </c>
      <c r="U46" t="str">
        <f t="shared" si="31"/>
        <v>1978</v>
      </c>
      <c r="V46" t="str">
        <f t="shared" si="31"/>
        <v>1979</v>
      </c>
      <c r="W46" t="str">
        <f t="shared" si="31"/>
        <v>1980</v>
      </c>
      <c r="X46" t="str">
        <f t="shared" si="31"/>
        <v>1981</v>
      </c>
      <c r="Y46" t="str">
        <f t="shared" si="31"/>
        <v>1982</v>
      </c>
      <c r="Z46" t="str">
        <f t="shared" si="31"/>
        <v>1983</v>
      </c>
      <c r="AA46" t="str">
        <f t="shared" si="31"/>
        <v>1984</v>
      </c>
      <c r="AB46" t="str">
        <f t="shared" si="31"/>
        <v>1985</v>
      </c>
      <c r="AC46" t="str">
        <f t="shared" si="31"/>
        <v>1986</v>
      </c>
      <c r="AD46" t="str">
        <f t="shared" si="31"/>
        <v>1987</v>
      </c>
      <c r="AE46" t="str">
        <f t="shared" si="31"/>
        <v>1988</v>
      </c>
      <c r="AF46" t="str">
        <f t="shared" si="31"/>
        <v>1989</v>
      </c>
      <c r="AG46" t="str">
        <f t="shared" si="31"/>
        <v>1990</v>
      </c>
      <c r="AH46" t="str">
        <f t="shared" si="31"/>
        <v>1991</v>
      </c>
      <c r="AI46" t="str">
        <f t="shared" ref="AI46:BJ46" si="32">AI37</f>
        <v>1992</v>
      </c>
      <c r="AJ46" t="str">
        <f t="shared" si="32"/>
        <v>1993</v>
      </c>
      <c r="AK46" t="str">
        <f t="shared" si="32"/>
        <v>1994</v>
      </c>
      <c r="AL46" t="str">
        <f t="shared" si="32"/>
        <v>1995</v>
      </c>
      <c r="AM46" t="str">
        <f t="shared" si="32"/>
        <v>1996</v>
      </c>
      <c r="AN46" t="str">
        <f t="shared" si="32"/>
        <v>1997</v>
      </c>
      <c r="AO46" t="str">
        <f t="shared" si="32"/>
        <v>1998</v>
      </c>
      <c r="AP46" t="str">
        <f t="shared" si="32"/>
        <v>1999</v>
      </c>
      <c r="AQ46" t="str">
        <f t="shared" si="32"/>
        <v>2000</v>
      </c>
      <c r="AR46" t="str">
        <f t="shared" si="32"/>
        <v>2001</v>
      </c>
      <c r="AS46" t="str">
        <f t="shared" si="32"/>
        <v>2002</v>
      </c>
      <c r="AT46" t="str">
        <f t="shared" si="32"/>
        <v>2003</v>
      </c>
      <c r="AU46" t="str">
        <f t="shared" si="32"/>
        <v>2004</v>
      </c>
      <c r="AV46" t="str">
        <f t="shared" si="32"/>
        <v>2005</v>
      </c>
      <c r="AW46" t="str">
        <f t="shared" si="32"/>
        <v>2006</v>
      </c>
      <c r="AX46" t="str">
        <f t="shared" si="32"/>
        <v>2007</v>
      </c>
      <c r="AY46" t="str">
        <f t="shared" si="32"/>
        <v>2008</v>
      </c>
      <c r="AZ46" t="str">
        <f t="shared" si="32"/>
        <v>2009</v>
      </c>
      <c r="BA46" t="str">
        <f t="shared" si="32"/>
        <v>2010</v>
      </c>
      <c r="BB46" t="str">
        <f t="shared" si="32"/>
        <v>2011</v>
      </c>
      <c r="BC46" t="str">
        <f t="shared" si="32"/>
        <v>2012</v>
      </c>
      <c r="BD46" t="str">
        <f t="shared" si="32"/>
        <v>2013</v>
      </c>
      <c r="BE46" t="str">
        <f t="shared" si="32"/>
        <v>2014</v>
      </c>
      <c r="BF46" t="str">
        <f t="shared" si="32"/>
        <v>2015</v>
      </c>
      <c r="BG46" t="str">
        <f t="shared" si="32"/>
        <v>2016</v>
      </c>
      <c r="BH46" t="str">
        <f t="shared" si="32"/>
        <v>2017</v>
      </c>
      <c r="BI46" t="str">
        <f t="shared" si="32"/>
        <v>2018</v>
      </c>
      <c r="BJ46" t="str">
        <f t="shared" si="32"/>
        <v>2019</v>
      </c>
    </row>
    <row r="47" spans="1:70" x14ac:dyDescent="0.45">
      <c r="B47" t="s">
        <v>182</v>
      </c>
      <c r="C47" s="14">
        <f t="shared" ref="C47:AX47" si="33">C41</f>
        <v>0.72223021510929786</v>
      </c>
      <c r="D47" s="14">
        <f t="shared" si="33"/>
        <v>0.7669593345941339</v>
      </c>
      <c r="E47" s="14">
        <f t="shared" si="33"/>
        <v>0.766391159011649</v>
      </c>
      <c r="F47" s="14">
        <f t="shared" si="33"/>
        <v>0.74941590257878865</v>
      </c>
      <c r="G47" s="14">
        <f t="shared" si="33"/>
        <v>0.74906703612199044</v>
      </c>
      <c r="H47" s="14">
        <f t="shared" si="33"/>
        <v>0.75887514342042672</v>
      </c>
      <c r="I47" s="14">
        <f t="shared" si="33"/>
        <v>0.79308336092081122</v>
      </c>
      <c r="J47" s="14">
        <f t="shared" si="33"/>
        <v>0.79185308382702502</v>
      </c>
      <c r="K47" s="14">
        <f t="shared" si="33"/>
        <v>0.80598542514308535</v>
      </c>
      <c r="L47" s="14">
        <f t="shared" si="33"/>
        <v>0.80069142401657734</v>
      </c>
      <c r="M47" s="14">
        <f t="shared" si="33"/>
        <v>0.78976927006943642</v>
      </c>
      <c r="N47" s="14">
        <f t="shared" si="33"/>
        <v>0.8000707263789919</v>
      </c>
      <c r="O47" s="14">
        <f t="shared" si="33"/>
        <v>0.80388061779651476</v>
      </c>
      <c r="P47" s="14">
        <f t="shared" si="33"/>
        <v>0.78465465805110823</v>
      </c>
      <c r="Q47" s="14">
        <f t="shared" si="33"/>
        <v>0.74829660999280123</v>
      </c>
      <c r="R47" s="14">
        <f t="shared" si="33"/>
        <v>0.75953644013950561</v>
      </c>
      <c r="S47" s="14">
        <f t="shared" si="33"/>
        <v>0.77528657568210679</v>
      </c>
      <c r="T47" s="14">
        <f t="shared" si="33"/>
        <v>0.77979934895210146</v>
      </c>
      <c r="U47" s="14">
        <f t="shared" si="33"/>
        <v>0.79158308227950236</v>
      </c>
      <c r="V47" s="14">
        <f t="shared" si="33"/>
        <v>0.7816472298073357</v>
      </c>
      <c r="W47" s="14">
        <f t="shared" si="33"/>
        <v>0.77367692914184949</v>
      </c>
      <c r="X47" s="14">
        <f t="shared" si="33"/>
        <v>0.75858850369612552</v>
      </c>
      <c r="Y47" s="14">
        <f t="shared" si="33"/>
        <v>0.78368047325001444</v>
      </c>
      <c r="Z47" s="14">
        <f t="shared" si="33"/>
        <v>0.84446525883957468</v>
      </c>
      <c r="AA47" s="14">
        <f t="shared" si="33"/>
        <v>0.89208289449483391</v>
      </c>
      <c r="AB47" s="14">
        <f t="shared" si="33"/>
        <v>0.91826253340380637</v>
      </c>
      <c r="AC47" s="14">
        <f t="shared" si="33"/>
        <v>0.94645955101669277</v>
      </c>
      <c r="AD47" s="14">
        <f t="shared" si="33"/>
        <v>0.95330519667912261</v>
      </c>
      <c r="AE47" s="14">
        <f t="shared" si="33"/>
        <v>0.97027771708181743</v>
      </c>
      <c r="AF47" s="14">
        <f t="shared" si="33"/>
        <v>0.96186685809780959</v>
      </c>
      <c r="AG47" s="14">
        <f t="shared" si="33"/>
        <v>0.95401520622160296</v>
      </c>
      <c r="AH47" s="14">
        <f t="shared" si="33"/>
        <v>0.96293638054746167</v>
      </c>
      <c r="AI47" s="14">
        <f t="shared" si="33"/>
        <v>0.99365018724637144</v>
      </c>
      <c r="AJ47" s="14">
        <f t="shared" si="33"/>
        <v>1.0090994031451652</v>
      </c>
      <c r="AK47" s="14">
        <f t="shared" si="33"/>
        <v>1.013616490612866</v>
      </c>
      <c r="AL47" s="14">
        <f t="shared" si="33"/>
        <v>1.0129552671691562</v>
      </c>
      <c r="AM47" s="14">
        <f t="shared" si="33"/>
        <v>0.98016263500196255</v>
      </c>
      <c r="AN47" s="14">
        <f t="shared" si="33"/>
        <v>0.97291667993158504</v>
      </c>
      <c r="AO47" s="14">
        <f t="shared" si="33"/>
        <v>0.99285852535482022</v>
      </c>
      <c r="AP47" s="14">
        <f t="shared" si="33"/>
        <v>1.0293736265030997</v>
      </c>
      <c r="AQ47" s="14">
        <f t="shared" si="33"/>
        <v>1.0356423640012073</v>
      </c>
      <c r="AR47" s="14">
        <f t="shared" si="33"/>
        <v>1.0490699805702477</v>
      </c>
      <c r="AS47" s="14">
        <f t="shared" si="33"/>
        <v>1.0464947612081617</v>
      </c>
      <c r="AT47" s="14">
        <f t="shared" si="33"/>
        <v>1.0352108322045055</v>
      </c>
      <c r="AU47" s="14">
        <f t="shared" si="33"/>
        <v>1.0183763318333101</v>
      </c>
      <c r="AV47" s="14">
        <f t="shared" si="33"/>
        <v>0.98682447950062668</v>
      </c>
      <c r="AW47" s="14">
        <f t="shared" si="33"/>
        <v>0.95969969328299287</v>
      </c>
      <c r="AX47" s="14">
        <f t="shared" si="33"/>
        <v>0.92710958332378579</v>
      </c>
      <c r="AY47" s="14">
        <f t="shared" ref="AY47:BJ47" si="34">AY41</f>
        <v>0.91619621490919756</v>
      </c>
      <c r="AZ47" s="14">
        <f t="shared" si="34"/>
        <v>0.91054026442050162</v>
      </c>
      <c r="BA47" s="14">
        <f t="shared" si="34"/>
        <v>0.85889004398115598</v>
      </c>
      <c r="BB47" s="14">
        <f t="shared" si="34"/>
        <v>0.84811012847358946</v>
      </c>
      <c r="BC47" s="14">
        <f t="shared" si="34"/>
        <v>0.85656462597022298</v>
      </c>
      <c r="BD47" s="14">
        <f t="shared" si="34"/>
        <v>0.84932893982865931</v>
      </c>
      <c r="BE47" s="14">
        <f t="shared" si="34"/>
        <v>0.84624036188465113</v>
      </c>
      <c r="BF47" s="14">
        <f t="shared" si="34"/>
        <v>0.87668616422051049</v>
      </c>
      <c r="BG47" s="14">
        <f t="shared" si="34"/>
        <v>0.88191573449893601</v>
      </c>
      <c r="BH47" s="14">
        <f t="shared" si="34"/>
        <v>0.864880301991654</v>
      </c>
      <c r="BI47" s="14">
        <f t="shared" si="34"/>
        <v>0.88457977507280183</v>
      </c>
      <c r="BJ47" s="14">
        <f t="shared" si="34"/>
        <v>0.8941434977345335</v>
      </c>
      <c r="BK47" s="14"/>
      <c r="BL47" s="14"/>
      <c r="BM47" s="14"/>
      <c r="BN47" s="14"/>
      <c r="BO47" s="14"/>
      <c r="BP47" s="14"/>
      <c r="BQ47" s="14"/>
      <c r="BR47" s="14"/>
    </row>
    <row r="48" spans="1:70" x14ac:dyDescent="0.45">
      <c r="B48" t="s">
        <v>183</v>
      </c>
      <c r="C48" s="14">
        <f t="shared" ref="C48:AX48" si="35">C42</f>
        <v>0.77057014761386911</v>
      </c>
      <c r="D48" s="14">
        <f t="shared" si="35"/>
        <v>0.76955987919014768</v>
      </c>
      <c r="E48" s="14">
        <f t="shared" si="35"/>
        <v>0.76773837878051454</v>
      </c>
      <c r="F48" s="14">
        <f t="shared" si="35"/>
        <v>0.74540741491173879</v>
      </c>
      <c r="G48" s="14">
        <f t="shared" si="35"/>
        <v>0.74411052213239481</v>
      </c>
      <c r="H48" s="14">
        <f t="shared" si="35"/>
        <v>0.75270858825578169</v>
      </c>
      <c r="I48" s="14">
        <f t="shared" si="35"/>
        <v>0.78603488278257516</v>
      </c>
      <c r="J48" s="14">
        <f t="shared" si="35"/>
        <v>0.78418531506052258</v>
      </c>
      <c r="K48" s="14">
        <f t="shared" si="35"/>
        <v>0.79687347407393028</v>
      </c>
      <c r="L48" s="14">
        <f t="shared" si="35"/>
        <v>0.79123464248385633</v>
      </c>
      <c r="M48" s="14">
        <f t="shared" si="35"/>
        <v>0.78094286819448122</v>
      </c>
      <c r="N48" s="14">
        <f t="shared" si="35"/>
        <v>0.79101910345103144</v>
      </c>
      <c r="O48" s="14">
        <f t="shared" si="35"/>
        <v>0.79607988556076159</v>
      </c>
      <c r="P48" s="14">
        <f t="shared" si="35"/>
        <v>0.77887483145046343</v>
      </c>
      <c r="Q48" s="14">
        <f t="shared" si="35"/>
        <v>0.7435066987114114</v>
      </c>
      <c r="R48" s="14">
        <f t="shared" si="35"/>
        <v>0.75465728728719605</v>
      </c>
      <c r="S48" s="14">
        <f t="shared" si="35"/>
        <v>0.76945640497257717</v>
      </c>
      <c r="T48" s="14">
        <f t="shared" si="35"/>
        <v>0.7740923472155482</v>
      </c>
      <c r="U48" s="14">
        <f t="shared" si="35"/>
        <v>0.78695762509903788</v>
      </c>
      <c r="V48" s="14">
        <f t="shared" si="35"/>
        <v>0.77911991708552908</v>
      </c>
      <c r="W48" s="14">
        <f t="shared" si="35"/>
        <v>0.77142064885917772</v>
      </c>
      <c r="X48" s="14">
        <f t="shared" si="35"/>
        <v>0.75603691358227332</v>
      </c>
      <c r="Y48" s="14">
        <f t="shared" si="35"/>
        <v>0.77780599168366638</v>
      </c>
      <c r="Z48" s="14">
        <f t="shared" si="35"/>
        <v>0.83327148873984003</v>
      </c>
      <c r="AA48" s="14">
        <f t="shared" si="35"/>
        <v>0.87612172516244646</v>
      </c>
      <c r="AB48" s="14">
        <f t="shared" si="35"/>
        <v>0.89927739171891619</v>
      </c>
      <c r="AC48" s="14">
        <f t="shared" si="35"/>
        <v>0.93260550266320119</v>
      </c>
      <c r="AD48" s="14">
        <f t="shared" si="35"/>
        <v>0.94225453778621493</v>
      </c>
      <c r="AE48" s="14">
        <f t="shared" si="35"/>
        <v>0.9602257853043521</v>
      </c>
      <c r="AF48" s="14">
        <f t="shared" si="35"/>
        <v>0.95470380503425167</v>
      </c>
      <c r="AG48" s="14">
        <f t="shared" si="35"/>
        <v>0.95121844954329826</v>
      </c>
      <c r="AH48" s="14">
        <f t="shared" si="35"/>
        <v>0.96230861057657702</v>
      </c>
      <c r="AI48" s="14">
        <f t="shared" si="35"/>
        <v>0.9912269533863276</v>
      </c>
      <c r="AJ48" s="14">
        <f t="shared" si="35"/>
        <v>1.0025071124905582</v>
      </c>
      <c r="AK48" s="14">
        <f t="shared" si="35"/>
        <v>1.0059459207076873</v>
      </c>
      <c r="AL48" s="14">
        <f t="shared" si="35"/>
        <v>1.0061900759307627</v>
      </c>
      <c r="AM48" s="14">
        <f t="shared" si="35"/>
        <v>0.98052763950877564</v>
      </c>
      <c r="AN48" s="14">
        <f t="shared" si="35"/>
        <v>0.97395214355092563</v>
      </c>
      <c r="AO48" s="14">
        <f t="shared" si="35"/>
        <v>0.99082713856716498</v>
      </c>
      <c r="AP48" s="14">
        <f t="shared" si="35"/>
        <v>1.0238761839891251</v>
      </c>
      <c r="AQ48" s="14">
        <f t="shared" si="35"/>
        <v>1.0269188989693199</v>
      </c>
      <c r="AR48" s="14">
        <f t="shared" si="35"/>
        <v>1.0402533667881746</v>
      </c>
      <c r="AS48" s="14">
        <f t="shared" si="35"/>
        <v>1.040546570840053</v>
      </c>
      <c r="AT48" s="14">
        <f t="shared" si="35"/>
        <v>1.033916051196019</v>
      </c>
      <c r="AU48" s="14">
        <f t="shared" si="35"/>
        <v>1.0201209525998296</v>
      </c>
      <c r="AV48" s="14">
        <f t="shared" si="35"/>
        <v>0.99092007359080025</v>
      </c>
      <c r="AW48" s="14">
        <f t="shared" si="35"/>
        <v>0.96488818171568036</v>
      </c>
      <c r="AX48" s="14">
        <f t="shared" si="35"/>
        <v>0.93374824894351205</v>
      </c>
      <c r="AY48" s="14">
        <f t="shared" ref="AY48:BJ48" si="36">AY42</f>
        <v>0.92469356163340544</v>
      </c>
      <c r="AZ48" s="14">
        <f t="shared" si="36"/>
        <v>0.91694532022833208</v>
      </c>
      <c r="BA48" s="14">
        <f t="shared" si="36"/>
        <v>0.8686370739492556</v>
      </c>
      <c r="BB48" s="14">
        <f t="shared" si="36"/>
        <v>0.8588023314654285</v>
      </c>
      <c r="BC48" s="14">
        <f t="shared" si="36"/>
        <v>0.86329504449456507</v>
      </c>
      <c r="BD48" s="14">
        <f t="shared" si="36"/>
        <v>0.85613758448592847</v>
      </c>
      <c r="BE48" s="14">
        <f t="shared" si="36"/>
        <v>0.85167144048369636</v>
      </c>
      <c r="BF48" s="14">
        <f t="shared" si="36"/>
        <v>0.87143105838885149</v>
      </c>
      <c r="BG48" s="14">
        <f t="shared" si="36"/>
        <v>0.87721585516003564</v>
      </c>
      <c r="BH48" s="14">
        <f t="shared" si="36"/>
        <v>0.86046369896942054</v>
      </c>
      <c r="BI48" s="14">
        <f t="shared" si="36"/>
        <v>0.87891161983420041</v>
      </c>
      <c r="BJ48" s="14">
        <f t="shared" si="36"/>
        <v>0.88436908916203549</v>
      </c>
      <c r="BK48" s="14"/>
      <c r="BL48" s="14"/>
      <c r="BM48" s="14"/>
      <c r="BN48" s="14"/>
      <c r="BO48" s="14"/>
      <c r="BP48" s="14"/>
      <c r="BQ48" s="14"/>
      <c r="BR48" s="14"/>
    </row>
    <row r="50" spans="1:70" x14ac:dyDescent="0.45">
      <c r="A50" t="s">
        <v>204</v>
      </c>
      <c r="C50" t="str">
        <f>C46</f>
        <v>1960</v>
      </c>
      <c r="D50" t="str">
        <f t="shared" ref="D50:AX50" si="37">D46</f>
        <v>1961</v>
      </c>
      <c r="E50" t="str">
        <f t="shared" si="37"/>
        <v>1962</v>
      </c>
      <c r="F50" t="str">
        <f t="shared" si="37"/>
        <v>1963</v>
      </c>
      <c r="G50" t="str">
        <f t="shared" si="37"/>
        <v>1964</v>
      </c>
      <c r="H50" t="str">
        <f t="shared" si="37"/>
        <v>1965</v>
      </c>
      <c r="I50" t="str">
        <f t="shared" si="37"/>
        <v>1966</v>
      </c>
      <c r="J50" t="str">
        <f t="shared" si="37"/>
        <v>1967</v>
      </c>
      <c r="K50" t="str">
        <f t="shared" si="37"/>
        <v>1968</v>
      </c>
      <c r="L50" t="str">
        <f t="shared" si="37"/>
        <v>1969</v>
      </c>
      <c r="M50" t="str">
        <f t="shared" si="37"/>
        <v>1970</v>
      </c>
      <c r="N50" t="str">
        <f t="shared" si="37"/>
        <v>1971</v>
      </c>
      <c r="O50" t="str">
        <f t="shared" si="37"/>
        <v>1972</v>
      </c>
      <c r="P50" t="str">
        <f t="shared" si="37"/>
        <v>1973</v>
      </c>
      <c r="Q50" t="str">
        <f t="shared" si="37"/>
        <v>1974</v>
      </c>
      <c r="R50" t="str">
        <f t="shared" si="37"/>
        <v>1975</v>
      </c>
      <c r="S50" t="str">
        <f t="shared" si="37"/>
        <v>1976</v>
      </c>
      <c r="T50" t="str">
        <f t="shared" si="37"/>
        <v>1977</v>
      </c>
      <c r="U50" t="str">
        <f t="shared" si="37"/>
        <v>1978</v>
      </c>
      <c r="V50" t="str">
        <f t="shared" si="37"/>
        <v>1979</v>
      </c>
      <c r="W50" t="str">
        <f t="shared" si="37"/>
        <v>1980</v>
      </c>
      <c r="X50" t="str">
        <f t="shared" si="37"/>
        <v>1981</v>
      </c>
      <c r="Y50" t="str">
        <f t="shared" si="37"/>
        <v>1982</v>
      </c>
      <c r="Z50" t="str">
        <f t="shared" si="37"/>
        <v>1983</v>
      </c>
      <c r="AA50" t="str">
        <f t="shared" si="37"/>
        <v>1984</v>
      </c>
      <c r="AB50" t="str">
        <f t="shared" si="37"/>
        <v>1985</v>
      </c>
      <c r="AC50" t="str">
        <f t="shared" si="37"/>
        <v>1986</v>
      </c>
      <c r="AD50" t="str">
        <f t="shared" si="37"/>
        <v>1987</v>
      </c>
      <c r="AE50" t="str">
        <f t="shared" si="37"/>
        <v>1988</v>
      </c>
      <c r="AF50" t="str">
        <f t="shared" si="37"/>
        <v>1989</v>
      </c>
      <c r="AG50" t="str">
        <f t="shared" si="37"/>
        <v>1990</v>
      </c>
      <c r="AH50" t="str">
        <f t="shared" si="37"/>
        <v>1991</v>
      </c>
      <c r="AI50" t="str">
        <f t="shared" si="37"/>
        <v>1992</v>
      </c>
      <c r="AJ50" t="str">
        <f t="shared" si="37"/>
        <v>1993</v>
      </c>
      <c r="AK50" t="str">
        <f t="shared" si="37"/>
        <v>1994</v>
      </c>
      <c r="AL50" t="str">
        <f t="shared" si="37"/>
        <v>1995</v>
      </c>
      <c r="AM50" t="str">
        <f t="shared" si="37"/>
        <v>1996</v>
      </c>
      <c r="AN50" t="str">
        <f t="shared" si="37"/>
        <v>1997</v>
      </c>
      <c r="AO50" t="str">
        <f t="shared" si="37"/>
        <v>1998</v>
      </c>
      <c r="AP50" t="str">
        <f t="shared" si="37"/>
        <v>1999</v>
      </c>
      <c r="AQ50" t="str">
        <f t="shared" si="37"/>
        <v>2000</v>
      </c>
      <c r="AR50" t="str">
        <f t="shared" si="37"/>
        <v>2001</v>
      </c>
      <c r="AS50" t="str">
        <f t="shared" si="37"/>
        <v>2002</v>
      </c>
      <c r="AT50" t="str">
        <f t="shared" si="37"/>
        <v>2003</v>
      </c>
      <c r="AU50" t="str">
        <f t="shared" si="37"/>
        <v>2004</v>
      </c>
      <c r="AV50" t="str">
        <f t="shared" si="37"/>
        <v>2005</v>
      </c>
      <c r="AW50" t="str">
        <f t="shared" si="37"/>
        <v>2006</v>
      </c>
      <c r="AX50" t="str">
        <f t="shared" si="37"/>
        <v>2007</v>
      </c>
      <c r="AY50" t="str">
        <f t="shared" ref="AY50:BJ50" si="38">AY46</f>
        <v>2008</v>
      </c>
      <c r="AZ50" t="str">
        <f t="shared" si="38"/>
        <v>2009</v>
      </c>
      <c r="BA50" t="str">
        <f t="shared" si="38"/>
        <v>2010</v>
      </c>
      <c r="BB50" t="str">
        <f t="shared" si="38"/>
        <v>2011</v>
      </c>
      <c r="BC50" t="str">
        <f t="shared" si="38"/>
        <v>2012</v>
      </c>
      <c r="BD50" t="str">
        <f t="shared" si="38"/>
        <v>2013</v>
      </c>
      <c r="BE50" t="str">
        <f t="shared" si="38"/>
        <v>2014</v>
      </c>
      <c r="BF50" t="str">
        <f t="shared" si="38"/>
        <v>2015</v>
      </c>
      <c r="BG50" t="str">
        <f t="shared" si="38"/>
        <v>2016</v>
      </c>
      <c r="BH50" t="str">
        <f t="shared" si="38"/>
        <v>2017</v>
      </c>
      <c r="BI50" t="str">
        <f t="shared" si="38"/>
        <v>2018</v>
      </c>
      <c r="BJ50" t="str">
        <f t="shared" si="38"/>
        <v>2019</v>
      </c>
    </row>
    <row r="51" spans="1:70" x14ac:dyDescent="0.45">
      <c r="B51" t="str">
        <f>B38</f>
        <v>South</v>
      </c>
      <c r="C51" s="16">
        <f t="shared" ref="C51:AH51" si="39">C38/C$41</f>
        <v>5.5017045822281944E-2</v>
      </c>
      <c r="D51" s="16">
        <f t="shared" si="39"/>
        <v>3.7668528688904038E-2</v>
      </c>
      <c r="E51" s="16">
        <f t="shared" si="39"/>
        <v>3.8563837609003934E-2</v>
      </c>
      <c r="F51" s="16">
        <f t="shared" si="39"/>
        <v>3.9990575078598704E-2</v>
      </c>
      <c r="G51" s="16">
        <f t="shared" si="39"/>
        <v>3.7251314695063951E-2</v>
      </c>
      <c r="H51" s="16">
        <f t="shared" si="39"/>
        <v>3.5838063558970408E-2</v>
      </c>
      <c r="I51" s="16">
        <f t="shared" si="39"/>
        <v>4.4675103018399193E-2</v>
      </c>
      <c r="J51" s="16">
        <f t="shared" si="39"/>
        <v>4.49241657591204E-2</v>
      </c>
      <c r="K51" s="16">
        <f t="shared" si="39"/>
        <v>4.470024188368088E-2</v>
      </c>
      <c r="L51" s="16">
        <f t="shared" si="39"/>
        <v>4.581650743361846E-2</v>
      </c>
      <c r="M51" s="16">
        <f t="shared" si="39"/>
        <v>4.4638076784295919E-2</v>
      </c>
      <c r="N51" s="16">
        <f t="shared" si="39"/>
        <v>4.6271150773430754E-2</v>
      </c>
      <c r="O51" s="16">
        <f t="shared" si="39"/>
        <v>4.8104294666489925E-2</v>
      </c>
      <c r="P51" s="16">
        <f t="shared" si="39"/>
        <v>5.71743032490174E-2</v>
      </c>
      <c r="Q51" s="16">
        <f t="shared" si="39"/>
        <v>6.7605389498137394E-2</v>
      </c>
      <c r="R51" s="16">
        <f t="shared" si="39"/>
        <v>6.914881294165616E-2</v>
      </c>
      <c r="S51" s="16">
        <f t="shared" si="39"/>
        <v>7.3450447953725115E-2</v>
      </c>
      <c r="T51" s="16">
        <f t="shared" si="39"/>
        <v>6.8504221405308444E-2</v>
      </c>
      <c r="U51" s="16">
        <f t="shared" si="39"/>
        <v>6.4430302221175836E-2</v>
      </c>
      <c r="V51" s="16">
        <f t="shared" si="39"/>
        <v>7.2204264213008781E-2</v>
      </c>
      <c r="W51" s="16">
        <f t="shared" si="39"/>
        <v>7.869297481742224E-2</v>
      </c>
      <c r="X51" s="16">
        <f t="shared" si="39"/>
        <v>9.9144826213363138E-2</v>
      </c>
      <c r="Y51" s="16">
        <f t="shared" si="39"/>
        <v>7.9176211339138436E-2</v>
      </c>
      <c r="Z51" s="16">
        <f t="shared" si="39"/>
        <v>5.4479892814122757E-2</v>
      </c>
      <c r="AA51" s="16">
        <f t="shared" si="39"/>
        <v>5.2267474246123442E-2</v>
      </c>
      <c r="AB51" s="16">
        <f t="shared" si="39"/>
        <v>4.6165782544386816E-2</v>
      </c>
      <c r="AC51" s="16">
        <f t="shared" si="39"/>
        <v>3.5222263123370651E-2</v>
      </c>
      <c r="AD51" s="16">
        <f t="shared" si="39"/>
        <v>3.4933919860595367E-2</v>
      </c>
      <c r="AE51" s="16">
        <f t="shared" si="39"/>
        <v>3.4784694451803523E-2</v>
      </c>
      <c r="AF51" s="16">
        <f t="shared" si="39"/>
        <v>4.399458719051421E-2</v>
      </c>
      <c r="AG51" s="16">
        <f t="shared" si="39"/>
        <v>4.7422642047527989E-2</v>
      </c>
      <c r="AH51" s="16">
        <f t="shared" si="39"/>
        <v>6.0135926054251103E-2</v>
      </c>
      <c r="AI51" s="16">
        <f t="shared" ref="AI51:BJ51" si="40">AI38/AI$41</f>
        <v>4.9714380332936903E-2</v>
      </c>
      <c r="AJ51" s="16">
        <f t="shared" si="40"/>
        <v>6.2258698481463003E-2</v>
      </c>
      <c r="AK51" s="16">
        <f t="shared" si="40"/>
        <v>6.2771753808010769E-2</v>
      </c>
      <c r="AL51" s="16">
        <f t="shared" si="40"/>
        <v>5.9704785008819157E-2</v>
      </c>
      <c r="AM51" s="16">
        <f t="shared" si="40"/>
        <v>6.6090575087959791E-2</v>
      </c>
      <c r="AN51" s="16">
        <f t="shared" si="40"/>
        <v>7.1974937390085147E-2</v>
      </c>
      <c r="AO51" s="16">
        <f t="shared" si="40"/>
        <v>7.1732280624735786E-2</v>
      </c>
      <c r="AP51" s="16">
        <f t="shared" si="40"/>
        <v>5.7545962127016848E-2</v>
      </c>
      <c r="AQ51" s="16">
        <f t="shared" si="40"/>
        <v>6.2498703446198289E-2</v>
      </c>
      <c r="AR51" s="16">
        <f t="shared" si="40"/>
        <v>5.9839940122573605E-2</v>
      </c>
      <c r="AS51" s="16">
        <f t="shared" si="40"/>
        <v>5.7288017485655936E-2</v>
      </c>
      <c r="AT51" s="16">
        <f t="shared" si="40"/>
        <v>5.2741474954041349E-2</v>
      </c>
      <c r="AU51" s="16">
        <f t="shared" si="40"/>
        <v>5.5651930760211549E-2</v>
      </c>
      <c r="AV51" s="16">
        <f t="shared" si="40"/>
        <v>6.4664613602571766E-2</v>
      </c>
      <c r="AW51" s="16">
        <f t="shared" si="40"/>
        <v>7.0836203029425629E-2</v>
      </c>
      <c r="AX51" s="16">
        <f t="shared" si="40"/>
        <v>7.5703121657722597E-2</v>
      </c>
      <c r="AY51" s="16">
        <f t="shared" si="40"/>
        <v>8.4300560096869231E-2</v>
      </c>
      <c r="AZ51" s="16">
        <f t="shared" si="40"/>
        <v>7.5521604571029813E-2</v>
      </c>
      <c r="BA51" s="16">
        <f t="shared" si="40"/>
        <v>9.4913810760829553E-2</v>
      </c>
      <c r="BB51" s="16">
        <f t="shared" si="40"/>
        <v>0.10374792438466389</v>
      </c>
      <c r="BC51" s="16">
        <f t="shared" si="40"/>
        <v>0.10052057877637624</v>
      </c>
      <c r="BD51" s="16">
        <f t="shared" si="40"/>
        <v>0.10299360429647217</v>
      </c>
      <c r="BE51" s="16">
        <f t="shared" si="40"/>
        <v>9.6641949678861042E-2</v>
      </c>
      <c r="BF51" s="16">
        <f t="shared" si="40"/>
        <v>7.4846512514109412E-2</v>
      </c>
      <c r="BG51" s="16">
        <f t="shared" si="40"/>
        <v>6.9261684353601319E-2</v>
      </c>
      <c r="BH51" s="16">
        <f t="shared" si="40"/>
        <v>7.2092009930083606E-2</v>
      </c>
      <c r="BI51" s="16">
        <f t="shared" si="40"/>
        <v>6.51725419418904E-2</v>
      </c>
      <c r="BJ51" s="16">
        <f t="shared" si="40"/>
        <v>6.2387874834371464E-2</v>
      </c>
      <c r="BK51" s="16"/>
      <c r="BL51" s="16"/>
      <c r="BM51" s="16"/>
      <c r="BN51" s="16"/>
      <c r="BO51" s="16"/>
      <c r="BP51" s="16"/>
      <c r="BQ51" s="16"/>
      <c r="BR51" s="16"/>
    </row>
    <row r="52" spans="1:70" x14ac:dyDescent="0.45">
      <c r="B52" t="str">
        <f>B39</f>
        <v>North</v>
      </c>
      <c r="C52" s="16">
        <f t="shared" ref="C52:AH52" si="41">C39/C$41</f>
        <v>0.22238182499788256</v>
      </c>
      <c r="D52" s="16">
        <f t="shared" si="41"/>
        <v>0.25991482811741107</v>
      </c>
      <c r="E52" s="16">
        <f t="shared" si="41"/>
        <v>0.2517374264204959</v>
      </c>
      <c r="F52" s="16">
        <f t="shared" si="41"/>
        <v>0.24285456865393315</v>
      </c>
      <c r="G52" s="16">
        <f t="shared" si="41"/>
        <v>0.23378209119174814</v>
      </c>
      <c r="H52" s="16">
        <f t="shared" si="41"/>
        <v>0.23029069869897478</v>
      </c>
      <c r="I52" s="16">
        <f t="shared" si="41"/>
        <v>0.21828682987964354</v>
      </c>
      <c r="J52" s="16">
        <f t="shared" si="41"/>
        <v>0.2064206968396238</v>
      </c>
      <c r="K52" s="16">
        <f t="shared" si="41"/>
        <v>0.20488018409370692</v>
      </c>
      <c r="L52" s="16">
        <f t="shared" si="41"/>
        <v>0.19524670658081728</v>
      </c>
      <c r="M52" s="16">
        <f t="shared" si="41"/>
        <v>0.17357579247350885</v>
      </c>
      <c r="N52" s="16">
        <f t="shared" si="41"/>
        <v>0.1646669291185896</v>
      </c>
      <c r="O52" s="16">
        <f t="shared" si="41"/>
        <v>0.14150967820676016</v>
      </c>
      <c r="P52" s="16">
        <f t="shared" si="41"/>
        <v>0.11957181146370885</v>
      </c>
      <c r="Q52" s="16">
        <f t="shared" si="41"/>
        <v>0.11351428418204509</v>
      </c>
      <c r="R52" s="16">
        <f t="shared" si="41"/>
        <v>0.11004685339331613</v>
      </c>
      <c r="S52" s="16">
        <f t="shared" si="41"/>
        <v>0.11521498292241557</v>
      </c>
      <c r="T52" s="16">
        <f t="shared" si="41"/>
        <v>0.10684281495429247</v>
      </c>
      <c r="U52" s="16">
        <f t="shared" si="41"/>
        <v>9.1934346458824548E-2</v>
      </c>
      <c r="V52" s="16">
        <f t="shared" si="41"/>
        <v>7.9043063734543728E-2</v>
      </c>
      <c r="W52" s="16">
        <f t="shared" si="41"/>
        <v>7.9365330252535879E-2</v>
      </c>
      <c r="X52" s="16">
        <f t="shared" si="41"/>
        <v>9.1940493841636911E-2</v>
      </c>
      <c r="Y52" s="16">
        <f t="shared" si="41"/>
        <v>9.8709333362708332E-2</v>
      </c>
      <c r="Z52" s="16">
        <f t="shared" si="41"/>
        <v>0.10818429225168867</v>
      </c>
      <c r="AA52" s="16">
        <f t="shared" si="41"/>
        <v>0.12361400041668691</v>
      </c>
      <c r="AB52" s="16">
        <f t="shared" si="41"/>
        <v>0.12788642713487722</v>
      </c>
      <c r="AC52" s="16">
        <f t="shared" si="41"/>
        <v>9.324494669100937E-2</v>
      </c>
      <c r="AD52" s="16">
        <f t="shared" si="41"/>
        <v>7.862384457117666E-2</v>
      </c>
      <c r="AE52" s="16">
        <f t="shared" si="41"/>
        <v>7.1892482079018771E-2</v>
      </c>
      <c r="AF52" s="16">
        <f t="shared" si="41"/>
        <v>6.508624549924924E-2</v>
      </c>
      <c r="AG52" s="16">
        <f t="shared" si="41"/>
        <v>5.0091273373917909E-2</v>
      </c>
      <c r="AH52" s="16">
        <f t="shared" si="41"/>
        <v>4.8941766985533618E-2</v>
      </c>
      <c r="AI52" s="16">
        <f t="shared" ref="AI52:BJ52" si="42">AI39/AI$41</f>
        <v>4.8431784380393049E-2</v>
      </c>
      <c r="AJ52" s="16">
        <f t="shared" si="42"/>
        <v>6.8518931467851929E-2</v>
      </c>
      <c r="AK52" s="16">
        <f t="shared" si="42"/>
        <v>7.1337487892274204E-2</v>
      </c>
      <c r="AL52" s="16">
        <f t="shared" si="42"/>
        <v>6.5959603015229462E-2</v>
      </c>
      <c r="AM52" s="16">
        <f t="shared" si="42"/>
        <v>4.7361452289461363E-2</v>
      </c>
      <c r="AN52" s="16">
        <f t="shared" si="42"/>
        <v>4.8415884050242053E-2</v>
      </c>
      <c r="AO52" s="16">
        <f t="shared" si="42"/>
        <v>5.7127444961957381E-2</v>
      </c>
      <c r="AP52" s="16">
        <f t="shared" si="42"/>
        <v>5.7933981260816191E-2</v>
      </c>
      <c r="AQ52" s="16">
        <f t="shared" si="42"/>
        <v>6.9002372046907082E-2</v>
      </c>
      <c r="AR52" s="16">
        <f t="shared" si="42"/>
        <v>6.6699347152997593E-2</v>
      </c>
      <c r="AS52" s="16">
        <f t="shared" si="42"/>
        <v>5.7104405774145335E-2</v>
      </c>
      <c r="AT52" s="16">
        <f t="shared" si="42"/>
        <v>4.1990735327574961E-2</v>
      </c>
      <c r="AU52" s="16">
        <f t="shared" si="42"/>
        <v>3.5516791459127922E-2</v>
      </c>
      <c r="AV52" s="16">
        <f t="shared" si="42"/>
        <v>3.4254748272972826E-2</v>
      </c>
      <c r="AW52" s="16">
        <f t="shared" si="42"/>
        <v>3.4602146477657483E-2</v>
      </c>
      <c r="AX52" s="16">
        <f t="shared" si="42"/>
        <v>3.3021919413524607E-2</v>
      </c>
      <c r="AY52" s="16">
        <f t="shared" si="42"/>
        <v>3.269016791607561E-2</v>
      </c>
      <c r="AZ52" s="16">
        <f t="shared" si="42"/>
        <v>3.3458347137816376E-2</v>
      </c>
      <c r="BA52" s="16">
        <f t="shared" si="42"/>
        <v>3.4191046718223761E-2</v>
      </c>
      <c r="BB52" s="16">
        <f t="shared" si="42"/>
        <v>3.6474012048835873E-2</v>
      </c>
      <c r="BC52" s="16">
        <f t="shared" si="42"/>
        <v>4.6441550734404917E-2</v>
      </c>
      <c r="BD52" s="16">
        <f t="shared" si="42"/>
        <v>4.7662612102522775E-2</v>
      </c>
      <c r="BE52" s="16">
        <f t="shared" si="42"/>
        <v>4.7965426720362379E-2</v>
      </c>
      <c r="BF52" s="16">
        <f t="shared" si="42"/>
        <v>6.4626162226444961E-2</v>
      </c>
      <c r="BG52" s="16">
        <f t="shared" si="42"/>
        <v>5.9600764191407342E-2</v>
      </c>
      <c r="BH52" s="16">
        <f t="shared" si="42"/>
        <v>6.0564947428316591E-2</v>
      </c>
      <c r="BI52" s="16">
        <f t="shared" si="42"/>
        <v>5.9246776606589682E-2</v>
      </c>
      <c r="BJ52" s="16">
        <f t="shared" si="42"/>
        <v>6.7563919339244757E-2</v>
      </c>
      <c r="BK52" s="16"/>
      <c r="BL52" s="16"/>
      <c r="BM52" s="16"/>
      <c r="BN52" s="16"/>
      <c r="BO52" s="16"/>
      <c r="BP52" s="16"/>
      <c r="BQ52" s="16"/>
      <c r="BR52" s="16"/>
    </row>
    <row r="53" spans="1:70" x14ac:dyDescent="0.45">
      <c r="B53" s="14" t="str">
        <f>B40</f>
        <v>Interbloc</v>
      </c>
      <c r="C53" s="16">
        <f>C40/C41</f>
        <v>0.72260112917983554</v>
      </c>
      <c r="D53" s="16">
        <f t="shared" ref="D53:AX53" si="43">D40/D41</f>
        <v>0.70241664319368491</v>
      </c>
      <c r="E53" s="16">
        <f t="shared" si="43"/>
        <v>0.70969873597050015</v>
      </c>
      <c r="F53" s="16">
        <f t="shared" si="43"/>
        <v>0.71715485626746811</v>
      </c>
      <c r="G53" s="16">
        <f t="shared" si="43"/>
        <v>0.72896659411318776</v>
      </c>
      <c r="H53" s="16">
        <f t="shared" si="43"/>
        <v>0.73387123774205476</v>
      </c>
      <c r="I53" s="16">
        <f t="shared" si="43"/>
        <v>0.73703806710195718</v>
      </c>
      <c r="J53" s="16">
        <f t="shared" si="43"/>
        <v>0.74865513740125578</v>
      </c>
      <c r="K53" s="16">
        <f t="shared" si="43"/>
        <v>0.75041957402261228</v>
      </c>
      <c r="L53" s="16">
        <f t="shared" si="43"/>
        <v>0.75893678598556424</v>
      </c>
      <c r="M53" s="16">
        <f t="shared" si="43"/>
        <v>0.78178613074219516</v>
      </c>
      <c r="N53" s="16">
        <f t="shared" si="43"/>
        <v>0.7890619201079796</v>
      </c>
      <c r="O53" s="16">
        <f t="shared" si="43"/>
        <v>0.81038602712674979</v>
      </c>
      <c r="P53" s="16">
        <f t="shared" si="43"/>
        <v>0.82325388528727383</v>
      </c>
      <c r="Q53" s="16">
        <f t="shared" si="43"/>
        <v>0.81888032631981755</v>
      </c>
      <c r="R53" s="16">
        <f t="shared" si="43"/>
        <v>0.8208043336650277</v>
      </c>
      <c r="S53" s="16">
        <f t="shared" si="43"/>
        <v>0.81133456912385937</v>
      </c>
      <c r="T53" s="16">
        <f t="shared" si="43"/>
        <v>0.82465296364039908</v>
      </c>
      <c r="U53" s="16">
        <f t="shared" si="43"/>
        <v>0.84363535131999967</v>
      </c>
      <c r="V53" s="16">
        <f t="shared" si="43"/>
        <v>0.84875267205244753</v>
      </c>
      <c r="W53" s="16">
        <f t="shared" si="43"/>
        <v>0.8419416949300419</v>
      </c>
      <c r="X53" s="16">
        <f t="shared" si="43"/>
        <v>0.80891467994499999</v>
      </c>
      <c r="Y53" s="16">
        <f t="shared" si="43"/>
        <v>0.8221144552981533</v>
      </c>
      <c r="Z53" s="16">
        <f t="shared" si="43"/>
        <v>0.83733581493418863</v>
      </c>
      <c r="AA53" s="16">
        <f t="shared" si="43"/>
        <v>0.82411852533718966</v>
      </c>
      <c r="AB53" s="16">
        <f t="shared" si="43"/>
        <v>0.82594779032073606</v>
      </c>
      <c r="AC53" s="16">
        <f t="shared" si="43"/>
        <v>0.87153279018562002</v>
      </c>
      <c r="AD53" s="16">
        <f t="shared" si="43"/>
        <v>0.88644223556822799</v>
      </c>
      <c r="AE53" s="16">
        <f t="shared" si="43"/>
        <v>0.89332282346917768</v>
      </c>
      <c r="AF53" s="16">
        <f t="shared" si="43"/>
        <v>0.89091916731023646</v>
      </c>
      <c r="AG53" s="16">
        <f t="shared" si="43"/>
        <v>0.90248608457855417</v>
      </c>
      <c r="AH53" s="16">
        <f t="shared" si="43"/>
        <v>0.89092230696021524</v>
      </c>
      <c r="AI53" s="16">
        <f t="shared" si="43"/>
        <v>0.90185383528667007</v>
      </c>
      <c r="AJ53" s="16">
        <f t="shared" si="43"/>
        <v>0.86922237005068503</v>
      </c>
      <c r="AK53" s="16">
        <f t="shared" si="43"/>
        <v>0.86589075829971496</v>
      </c>
      <c r="AL53" s="16">
        <f t="shared" si="43"/>
        <v>0.87433561197595144</v>
      </c>
      <c r="AM53" s="16">
        <f t="shared" si="43"/>
        <v>0.88654797262257878</v>
      </c>
      <c r="AN53" s="16">
        <f t="shared" si="43"/>
        <v>0.8796091785596728</v>
      </c>
      <c r="AO53" s="16">
        <f t="shared" si="43"/>
        <v>0.87114027441330688</v>
      </c>
      <c r="AP53" s="16">
        <f t="shared" si="43"/>
        <v>0.88452005661216693</v>
      </c>
      <c r="AQ53" s="16">
        <f t="shared" si="43"/>
        <v>0.8684989245068947</v>
      </c>
      <c r="AR53" s="16">
        <f t="shared" si="43"/>
        <v>0.87346071272442882</v>
      </c>
      <c r="AS53" s="16">
        <f t="shared" si="43"/>
        <v>0.88560757674019863</v>
      </c>
      <c r="AT53" s="16">
        <f t="shared" si="43"/>
        <v>0.90526778971838384</v>
      </c>
      <c r="AU53" s="16">
        <f t="shared" si="43"/>
        <v>0.90883127778066053</v>
      </c>
      <c r="AV53" s="16">
        <f t="shared" si="43"/>
        <v>0.90108063812445538</v>
      </c>
      <c r="AW53" s="16">
        <f t="shared" si="43"/>
        <v>0.89456165049291692</v>
      </c>
      <c r="AX53" s="16">
        <f t="shared" si="43"/>
        <v>0.89127495892875275</v>
      </c>
      <c r="AY53" s="16">
        <f t="shared" ref="AY53:BJ53" si="44">AY40/AY41</f>
        <v>0.88300927198705514</v>
      </c>
      <c r="AZ53" s="16">
        <f t="shared" si="44"/>
        <v>0.89102004829115389</v>
      </c>
      <c r="BA53" s="16">
        <f t="shared" si="44"/>
        <v>0.87089514252094669</v>
      </c>
      <c r="BB53" s="16">
        <f t="shared" si="44"/>
        <v>0.85977806356650022</v>
      </c>
      <c r="BC53" s="16">
        <f t="shared" si="44"/>
        <v>0.85303787048921886</v>
      </c>
      <c r="BD53" s="16">
        <f t="shared" si="44"/>
        <v>0.84934378360100504</v>
      </c>
      <c r="BE53" s="16">
        <f t="shared" si="44"/>
        <v>0.8553926236007765</v>
      </c>
      <c r="BF53" s="16">
        <f t="shared" si="44"/>
        <v>0.86052732525944564</v>
      </c>
      <c r="BG53" s="16">
        <f t="shared" si="44"/>
        <v>0.87113755145499139</v>
      </c>
      <c r="BH53" s="16">
        <f t="shared" si="44"/>
        <v>0.86734304264159978</v>
      </c>
      <c r="BI53" s="16">
        <f t="shared" si="44"/>
        <v>0.8755806814515199</v>
      </c>
      <c r="BJ53" s="16">
        <f t="shared" si="44"/>
        <v>0.87004820582638376</v>
      </c>
      <c r="BK53" s="16"/>
      <c r="BL53" s="16"/>
      <c r="BM53" s="16"/>
      <c r="BN53" s="16"/>
      <c r="BO53" s="16"/>
      <c r="BP53" s="16"/>
      <c r="BQ53" s="16"/>
      <c r="BR53" s="16"/>
    </row>
    <row r="54" spans="1:70" x14ac:dyDescent="0.45">
      <c r="B54" s="14"/>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row>
    <row r="55" spans="1:70" x14ac:dyDescent="0.45">
      <c r="C55" t="str">
        <f>C50</f>
        <v>1960</v>
      </c>
      <c r="D55" t="str">
        <f t="shared" ref="D55:BJ55" si="45">D50</f>
        <v>1961</v>
      </c>
      <c r="E55" t="str">
        <f t="shared" si="45"/>
        <v>1962</v>
      </c>
      <c r="F55" t="str">
        <f t="shared" si="45"/>
        <v>1963</v>
      </c>
      <c r="G55" t="str">
        <f t="shared" si="45"/>
        <v>1964</v>
      </c>
      <c r="H55" t="str">
        <f t="shared" si="45"/>
        <v>1965</v>
      </c>
      <c r="I55" t="str">
        <f t="shared" si="45"/>
        <v>1966</v>
      </c>
      <c r="J55" t="str">
        <f t="shared" si="45"/>
        <v>1967</v>
      </c>
      <c r="K55" t="str">
        <f t="shared" si="45"/>
        <v>1968</v>
      </c>
      <c r="L55" t="str">
        <f t="shared" si="45"/>
        <v>1969</v>
      </c>
      <c r="M55" t="str">
        <f t="shared" si="45"/>
        <v>1970</v>
      </c>
      <c r="N55" t="str">
        <f t="shared" si="45"/>
        <v>1971</v>
      </c>
      <c r="O55" t="str">
        <f t="shared" si="45"/>
        <v>1972</v>
      </c>
      <c r="P55" t="str">
        <f t="shared" si="45"/>
        <v>1973</v>
      </c>
      <c r="Q55" t="str">
        <f t="shared" si="45"/>
        <v>1974</v>
      </c>
      <c r="R55" t="str">
        <f t="shared" si="45"/>
        <v>1975</v>
      </c>
      <c r="S55" t="str">
        <f t="shared" si="45"/>
        <v>1976</v>
      </c>
      <c r="T55" t="str">
        <f t="shared" si="45"/>
        <v>1977</v>
      </c>
      <c r="U55" t="str">
        <f t="shared" si="45"/>
        <v>1978</v>
      </c>
      <c r="V55" t="str">
        <f t="shared" si="45"/>
        <v>1979</v>
      </c>
      <c r="W55" t="str">
        <f t="shared" si="45"/>
        <v>1980</v>
      </c>
      <c r="X55" t="str">
        <f t="shared" si="45"/>
        <v>1981</v>
      </c>
      <c r="Y55" t="str">
        <f t="shared" si="45"/>
        <v>1982</v>
      </c>
      <c r="Z55" t="str">
        <f t="shared" si="45"/>
        <v>1983</v>
      </c>
      <c r="AA55" t="str">
        <f t="shared" si="45"/>
        <v>1984</v>
      </c>
      <c r="AB55" t="str">
        <f t="shared" si="45"/>
        <v>1985</v>
      </c>
      <c r="AC55" t="str">
        <f t="shared" si="45"/>
        <v>1986</v>
      </c>
      <c r="AD55" t="str">
        <f t="shared" si="45"/>
        <v>1987</v>
      </c>
      <c r="AE55" t="str">
        <f t="shared" si="45"/>
        <v>1988</v>
      </c>
      <c r="AF55" t="str">
        <f t="shared" si="45"/>
        <v>1989</v>
      </c>
      <c r="AG55" t="str">
        <f t="shared" si="45"/>
        <v>1990</v>
      </c>
      <c r="AH55" t="str">
        <f t="shared" si="45"/>
        <v>1991</v>
      </c>
      <c r="AI55" t="str">
        <f t="shared" si="45"/>
        <v>1992</v>
      </c>
      <c r="AJ55" t="str">
        <f t="shared" si="45"/>
        <v>1993</v>
      </c>
      <c r="AK55" t="str">
        <f t="shared" si="45"/>
        <v>1994</v>
      </c>
      <c r="AL55" t="str">
        <f t="shared" si="45"/>
        <v>1995</v>
      </c>
      <c r="AM55" t="str">
        <f t="shared" si="45"/>
        <v>1996</v>
      </c>
      <c r="AN55" t="str">
        <f t="shared" si="45"/>
        <v>1997</v>
      </c>
      <c r="AO55" t="str">
        <f t="shared" si="45"/>
        <v>1998</v>
      </c>
      <c r="AP55" t="str">
        <f t="shared" si="45"/>
        <v>1999</v>
      </c>
      <c r="AQ55" t="str">
        <f t="shared" si="45"/>
        <v>2000</v>
      </c>
      <c r="AR55" t="str">
        <f t="shared" si="45"/>
        <v>2001</v>
      </c>
      <c r="AS55" t="str">
        <f t="shared" si="45"/>
        <v>2002</v>
      </c>
      <c r="AT55" t="str">
        <f t="shared" si="45"/>
        <v>2003</v>
      </c>
      <c r="AU55" t="str">
        <f t="shared" si="45"/>
        <v>2004</v>
      </c>
      <c r="AV55" t="str">
        <f t="shared" si="45"/>
        <v>2005</v>
      </c>
      <c r="AW55" t="str">
        <f t="shared" si="45"/>
        <v>2006</v>
      </c>
      <c r="AX55" t="str">
        <f t="shared" si="45"/>
        <v>2007</v>
      </c>
      <c r="AY55" t="str">
        <f t="shared" si="45"/>
        <v>2008</v>
      </c>
      <c r="AZ55" t="str">
        <f t="shared" si="45"/>
        <v>2009</v>
      </c>
      <c r="BA55" t="str">
        <f t="shared" si="45"/>
        <v>2010</v>
      </c>
      <c r="BB55" t="str">
        <f t="shared" si="45"/>
        <v>2011</v>
      </c>
      <c r="BC55" t="str">
        <f t="shared" si="45"/>
        <v>2012</v>
      </c>
      <c r="BD55" t="str">
        <f t="shared" si="45"/>
        <v>2013</v>
      </c>
      <c r="BE55" t="str">
        <f t="shared" si="45"/>
        <v>2014</v>
      </c>
      <c r="BF55" t="str">
        <f t="shared" si="45"/>
        <v>2015</v>
      </c>
      <c r="BG55" t="str">
        <f t="shared" si="45"/>
        <v>2016</v>
      </c>
      <c r="BH55" t="str">
        <f t="shared" si="45"/>
        <v>2017</v>
      </c>
      <c r="BI55" t="str">
        <f t="shared" si="45"/>
        <v>2018</v>
      </c>
      <c r="BJ55" t="str">
        <f t="shared" si="45"/>
        <v>2019</v>
      </c>
    </row>
    <row r="56" spans="1:70" x14ac:dyDescent="0.45">
      <c r="A56" t="s">
        <v>208</v>
      </c>
      <c r="B56" t="s">
        <v>205</v>
      </c>
      <c r="C56" cm="1">
        <f t="array" ref="C56">_xll.Gini1(Population!C$31:C$88,GDP!C$31:C$88)</f>
        <v>0.42953433339748093</v>
      </c>
      <c r="D56" cm="1">
        <f t="array" ref="D56">_xll.Gini1(Population!D$31:D$88,GDP!D$31:D$88)</f>
        <v>0.43199544716227922</v>
      </c>
      <c r="E56" cm="1">
        <f t="array" ref="E56">_xll.Gini1(Population!E$31:E$88,GDP!E$31:E$88)</f>
        <v>0.4366476788215139</v>
      </c>
      <c r="F56" cm="1">
        <f t="array" ref="F56">_xll.Gini1(Population!F$31:F$88,GDP!F$31:F$88)</f>
        <v>0.43838035602541636</v>
      </c>
      <c r="G56" cm="1">
        <f t="array" ref="G56">_xll.Gini1(Population!G$31:G$88,GDP!G$31:G$88)</f>
        <v>0.44622018653824436</v>
      </c>
      <c r="H56" cm="1">
        <f t="array" ref="H56">_xll.Gini1(Population!H$31:H$88,GDP!H$31:H$88)</f>
        <v>0.44486762755922221</v>
      </c>
      <c r="I56" cm="1">
        <f t="array" ref="I56">_xll.Gini1(Population!I$31:I$88,GDP!I$31:I$88)</f>
        <v>0.44994655785988324</v>
      </c>
      <c r="J56" cm="1">
        <f t="array" ref="J56">_xll.Gini1(Population!J$31:J$88,GDP!J$31:J$88)</f>
        <v>0.46111214847151061</v>
      </c>
      <c r="K56" cm="1">
        <f t="array" ref="K56">_xll.Gini1(Population!K$31:K$88,GDP!K$31:K$88)</f>
        <v>0.46845188172799085</v>
      </c>
      <c r="L56" cm="1">
        <f t="array" ref="L56">_xll.Gini1(Population!L$31:L$88,GDP!L$31:L$88)</f>
        <v>0.47891830438009175</v>
      </c>
      <c r="M56" cm="1">
        <f t="array" ref="M56">_xll.Gini1(Population!M$31:M$88,GDP!M$31:M$88)</f>
        <v>0.47657412687740491</v>
      </c>
      <c r="N56" cm="1">
        <f t="array" ref="N56">_xll.Gini1(Population!N$31:N$88,GDP!N$31:N$88)</f>
        <v>0.48625551067211031</v>
      </c>
      <c r="O56" cm="1">
        <f t="array" ref="O56">_xll.Gini1(Population!O$31:O$88,GDP!O$31:O$88)</f>
        <v>0.47963902761488414</v>
      </c>
      <c r="P56" cm="1">
        <f t="array" ref="P56">_xll.Gini1(Population!P$31:P$88,GDP!P$31:P$88)</f>
        <v>0.48510233770774036</v>
      </c>
      <c r="Q56" cm="1">
        <f t="array" ref="Q56">_xll.Gini1(Population!Q$31:Q$88,GDP!Q$31:Q$88)</f>
        <v>0.47729328235732649</v>
      </c>
      <c r="R56" cm="1">
        <f t="array" ref="R56">_xll.Gini1(Population!R$31:R$88,GDP!R$31:R$88)</f>
        <v>0.46823528895095889</v>
      </c>
      <c r="S56" cm="1">
        <f t="array" ref="S56">_xll.Gini1(Population!S$31:S$88,GDP!S$31:S$88)</f>
        <v>0.48311368957378581</v>
      </c>
      <c r="T56" cm="1">
        <f t="array" ref="T56">_xll.Gini1(Population!T$31:T$88,GDP!T$31:T$88)</f>
        <v>0.476187645483785</v>
      </c>
      <c r="U56" cm="1">
        <f t="array" ref="U56">_xll.Gini1(Population!U$31:U$88,GDP!U$31:U$88)</f>
        <v>0.46287306126899153</v>
      </c>
      <c r="V56" cm="1">
        <f t="array" ref="V56">_xll.Gini1(Population!V$31:V$88,GDP!V$31:V$88)</f>
        <v>0.48205252693023232</v>
      </c>
      <c r="W56" cm="1">
        <f t="array" ref="W56">_xll.Gini1(Population!W$31:W$88,GDP!W$31:W$88)</f>
        <v>0.50057009121316831</v>
      </c>
      <c r="X56" cm="1">
        <f t="array" ref="X56">_xll.Gini1(Population!X$31:X$88,GDP!X$31:X$88)</f>
        <v>0.51051278321913507</v>
      </c>
      <c r="Y56" cm="1">
        <f t="array" ref="Y56">_xll.Gini1(Population!Y$31:Y$88,GDP!Y$31:Y$88)</f>
        <v>0.51523555410873478</v>
      </c>
      <c r="Z56" cm="1">
        <f t="array" ref="Z56">_xll.Gini1(Population!Z$31:Z$88,GDP!Z$31:Z$88)</f>
        <v>0.52007359835680622</v>
      </c>
      <c r="AA56" cm="1">
        <f t="array" ref="AA56">_xll.Gini1(Population!AA$31:AA$88,GDP!AA$31:AA$88)</f>
        <v>0.53700584042900124</v>
      </c>
      <c r="AB56" cm="1">
        <f t="array" ref="AB56">_xll.Gini1(Population!AB$31:AB$88,GDP!AB$31:AB$88)</f>
        <v>0.54731739354741915</v>
      </c>
      <c r="AC56" cm="1">
        <f t="array" ref="AC56">_xll.Gini1(Population!AC$31:AC$88,GDP!AC$31:AC$88)</f>
        <v>0.53288636270870449</v>
      </c>
      <c r="AD56" cm="1">
        <f t="array" ref="AD56">_xll.Gini1(Population!AD$31:AD$88,GDP!AD$31:AD$88)</f>
        <v>0.53373655759524807</v>
      </c>
      <c r="AE56" cm="1">
        <f t="array" ref="AE56">_xll.Gini1(Population!AE$31:AE$88,GDP!AE$31:AE$88)</f>
        <v>0.53777996815512741</v>
      </c>
      <c r="AF56" cm="1">
        <f t="array" ref="AF56">_xll.Gini1(Population!AF$31:AF$88,GDP!AF$31:AF$88)</f>
        <v>0.55177345550671253</v>
      </c>
      <c r="AG56" cm="1">
        <f t="array" ref="AG56">_xll.Gini1(Population!AG$31:AG$88,GDP!AG$31:AG$88)</f>
        <v>0.56384833303407533</v>
      </c>
      <c r="AH56" cm="1">
        <f t="array" ref="AH56">_xll.Gini1(Population!AH$31:AH$88,GDP!AH$31:AH$88)</f>
        <v>0.56291518665100015</v>
      </c>
      <c r="AI56" cm="1">
        <f t="array" ref="AI56">_xll.Gini1(Population!AI$31:AI$88,GDP!AI$31:AI$88)</f>
        <v>0.57292623097915285</v>
      </c>
      <c r="AJ56" cm="1">
        <f t="array" ref="AJ56">_xll.Gini1(Population!AJ$31:AJ$88,GDP!AJ$31:AJ$88)</f>
        <v>0.5803966227829076</v>
      </c>
      <c r="AK56" cm="1">
        <f t="array" ref="AK56">_xll.Gini1(Population!AK$31:AK$88,GDP!AK$31:AK$88)</f>
        <v>0.59059075502183667</v>
      </c>
      <c r="AL56" cm="1">
        <f t="array" ref="AL56">_xll.Gini1(Population!AL$31:AL$88,GDP!AL$31:AL$88)</f>
        <v>0.58045292570596574</v>
      </c>
      <c r="AM56" cm="1">
        <f t="array" ref="AM56">_xll.Gini1(Population!AM$31:AM$88,GDP!AM$31:AM$88)</f>
        <v>0.57938335956070586</v>
      </c>
      <c r="AN56" cm="1">
        <f t="array" ref="AN56">_xll.Gini1(Population!AN$31:AN$88,GDP!AN$31:AN$88)</f>
        <v>0.61254928160404598</v>
      </c>
      <c r="AO56" cm="1">
        <f t="array" ref="AO56">_xll.Gini1(Population!AO$31:AO$88,GDP!AO$31:AO$88)</f>
        <v>0.62783731852420155</v>
      </c>
      <c r="AP56" cm="1">
        <f t="array" ref="AP56">_xll.Gini1(Population!AP$31:AP$88,GDP!AP$31:AP$88)</f>
        <v>0.63893209977150345</v>
      </c>
      <c r="AQ56" cm="1">
        <f t="array" ref="AQ56">_xll.Gini1(Population!AQ$31:AQ$88,GDP!AQ$31:AQ$88)</f>
        <v>0.64362921746297175</v>
      </c>
      <c r="AR56" cm="1">
        <f t="array" ref="AR56">_xll.Gini1(Population!AR$31:AR$88,GDP!AR$31:AR$88)</f>
        <v>0.65205365925508307</v>
      </c>
      <c r="AS56" cm="1">
        <f t="array" ref="AS56">_xll.Gini1(Population!AS$31:AS$88,GDP!AS$31:AS$88)</f>
        <v>0.64762661504043195</v>
      </c>
      <c r="AT56" cm="1">
        <f t="array" ref="AT56">_xll.Gini1(Population!AT$31:AT$88,GDP!AT$31:AT$88)</f>
        <v>0.63701143599981136</v>
      </c>
      <c r="AU56" cm="1">
        <f t="array" ref="AU56">_xll.Gini1(Population!AU$31:AU$88,GDP!AU$31:AU$88)</f>
        <v>0.63125281690209156</v>
      </c>
      <c r="AV56" cm="1">
        <f t="array" ref="AV56">_xll.Gini1(Population!AV$31:AV$88,GDP!AV$31:AV$88)</f>
        <v>0.62585364183565118</v>
      </c>
      <c r="AW56" cm="1">
        <f t="array" ref="AW56">_xll.Gini1(Population!AW$31:AW$88,GDP!AW$31:AW$88)</f>
        <v>0.61255926996328092</v>
      </c>
      <c r="AX56" cm="1">
        <f t="array" ref="AX56">_xll.Gini1(Population!AX$31:AX$88,GDP!AX$31:AX$88)</f>
        <v>0.60393371353741565</v>
      </c>
      <c r="AY56" cm="1">
        <f t="array" ref="AY56">_xll.Gini1(Population!AY$31:AY$88,GDP!AY$31:AY$88)</f>
        <v>0.59336517601892669</v>
      </c>
      <c r="AZ56" cm="1">
        <f t="array" ref="AZ56">_xll.Gini1(Population!AZ$31:AZ$88,GDP!AZ$31:AZ$88)</f>
        <v>0.58073647865206801</v>
      </c>
      <c r="BA56" cm="1">
        <f t="array" ref="BA56">_xll.Gini1(Population!BA$31:BA$88,GDP!BA$31:BA$88)</f>
        <v>0.57858020590703241</v>
      </c>
      <c r="BB56" cm="1">
        <f t="array" ref="BB56">_xll.Gini1(Population!BB$31:BB$88,GDP!BB$31:BB$88)</f>
        <v>0.57341954011299368</v>
      </c>
      <c r="BC56" cm="1">
        <f t="array" ref="BC56">_xll.Gini1(Population!BC$31:BC$88,GDP!BC$31:BC$88)</f>
        <v>0.57199446920060248</v>
      </c>
      <c r="BD56" cm="1">
        <f t="array" ref="BD56">_xll.Gini1(Population!BD$31:BD$88,GDP!BD$31:BD$88)</f>
        <v>0.57096257425851982</v>
      </c>
      <c r="BE56" cm="1">
        <f t="array" ref="BE56">_xll.Gini1(Population!BE$31:BE$88,GDP!BE$31:BE$88)</f>
        <v>0.56618341473583744</v>
      </c>
      <c r="BF56" cm="1">
        <f t="array" ref="BF56">_xll.Gini1(Population!BF$31:BF$88,GDP!BF$31:BF$88)</f>
        <v>0.57317253935617485</v>
      </c>
      <c r="BG56" cm="1">
        <f t="array" ref="BG56">_xll.Gini1(Population!BG$31:BG$88,GDP!BG$31:BG$88)</f>
        <v>0.57526073434530711</v>
      </c>
      <c r="BH56" cm="1">
        <f t="array" ref="BH56">_xll.Gini1(Population!BH$31:BH$88,GDP!BH$31:BH$88)</f>
        <v>0.572313524510077</v>
      </c>
      <c r="BI56" cm="1">
        <f t="array" ref="BI56">_xll.Gini1(Population!BI$31:BI$88,GDP!BI$31:BI$88)</f>
        <v>0.56847568226529432</v>
      </c>
      <c r="BJ56" cm="1">
        <f t="array" ref="BJ56">_xll.Gini1(Population!BJ$31:BJ$88,GDP!BJ$31:BJ$88)</f>
        <v>0.57228748699430942</v>
      </c>
    </row>
    <row r="57" spans="1:70" x14ac:dyDescent="0.45">
      <c r="B57" t="s">
        <v>206</v>
      </c>
      <c r="C57" cm="1">
        <f t="array" ref="C57">_xll.Gini1(Population!C$12:C$30,GDP!C$12:C$30)</f>
        <v>0.34051067157340253</v>
      </c>
      <c r="D57" cm="1">
        <f t="array" ref="D57">_xll.Gini1(Population!D$12:D$30,GDP!D$12:D$30)</f>
        <v>0.33002812130813103</v>
      </c>
      <c r="E57" cm="1">
        <f t="array" ref="E57">_xll.Gini1(Population!E$12:E$30,GDP!E$12:E$30)</f>
        <v>0.32963207516331017</v>
      </c>
      <c r="F57" cm="1">
        <f t="array" ref="F57">_xll.Gini1(Population!F$12:F$30,GDP!F$12:F$30)</f>
        <v>0.31816503287405351</v>
      </c>
      <c r="G57" cm="1">
        <f t="array" ref="G57">_xll.Gini1(Population!G$12:G$30,GDP!G$12:G$30)</f>
        <v>0.3184093617375966</v>
      </c>
      <c r="H57" cm="1">
        <f t="array" ref="H57">_xll.Gini1(Population!H$12:H$30,GDP!H$12:H$30)</f>
        <v>0.31387753344869646</v>
      </c>
      <c r="I57" cm="1">
        <f t="array" ref="I57">_xll.Gini1(Population!I$12:I$30,GDP!I$12:I$30)</f>
        <v>0.30736139972643056</v>
      </c>
      <c r="J57" cm="1">
        <f t="array" ref="J57">_xll.Gini1(Population!J$12:J$30,GDP!J$12:J$30)</f>
        <v>0.30214549725206208</v>
      </c>
      <c r="K57" cm="1">
        <f t="array" ref="K57">_xll.Gini1(Population!K$12:K$30,GDP!K$12:K$30)</f>
        <v>0.30075015090447355</v>
      </c>
      <c r="L57" cm="1">
        <f t="array" ref="L57">_xll.Gini1(Population!L$12:L$30,GDP!L$12:L$30)</f>
        <v>0.29379148468811472</v>
      </c>
      <c r="M57" cm="1">
        <f t="array" ref="M57">_xll.Gini1(Population!M$12:M$30,GDP!M$12:M$30)</f>
        <v>0.28329353198437712</v>
      </c>
      <c r="N57" cm="1">
        <f t="array" ref="N57">_xll.Gini1(Population!N$12:N$30,GDP!N$12:N$30)</f>
        <v>0.27800732158765873</v>
      </c>
      <c r="O57" cm="1">
        <f t="array" ref="O57">_xll.Gini1(Population!O$12:O$30,GDP!O$12:O$30)</f>
        <v>0.26863970819426281</v>
      </c>
      <c r="P57" cm="1">
        <f t="array" ref="P57">_xll.Gini1(Population!P$12:P$30,GDP!P$12:P$30)</f>
        <v>0.2623259715574785</v>
      </c>
      <c r="Q57" cm="1">
        <f t="array" ref="Q57">_xll.Gini1(Population!Q$12:Q$30,GDP!Q$12:Q$30)</f>
        <v>0.25559896163903234</v>
      </c>
      <c r="R57" cm="1">
        <f t="array" ref="R57">_xll.Gini1(Population!R$12:R$30,GDP!R$12:R$30)</f>
        <v>0.25821683238148513</v>
      </c>
      <c r="S57" cm="1">
        <f t="array" ref="S57">_xll.Gini1(Population!S$12:S$30,GDP!S$12:S$30)</f>
        <v>0.26641226230761972</v>
      </c>
      <c r="T57" cm="1">
        <f t="array" ref="T57">_xll.Gini1(Population!T$12:T$30,GDP!T$12:T$30)</f>
        <v>0.26229459854472775</v>
      </c>
      <c r="U57" cm="1">
        <f t="array" ref="U57">_xll.Gini1(Population!U$12:U$30,GDP!U$12:U$30)</f>
        <v>0.26204693490061365</v>
      </c>
      <c r="V57" cm="1">
        <f t="array" ref="V57">_xll.Gini1(Population!V$12:V$30,GDP!V$12:V$30)</f>
        <v>0.24922717155560384</v>
      </c>
      <c r="W57" cm="1">
        <f t="array" ref="W57">_xll.Gini1(Population!W$12:W$30,GDP!W$12:W$30)</f>
        <v>0.24732539135642279</v>
      </c>
      <c r="X57" cm="1">
        <f t="array" ref="X57">_xll.Gini1(Population!X$12:X$30,GDP!X$12:X$30)</f>
        <v>0.23447513546998389</v>
      </c>
      <c r="Y57" cm="1">
        <f t="array" ref="Y57">_xll.Gini1(Population!Y$12:Y$30,GDP!Y$12:Y$30)</f>
        <v>0.22661511131510328</v>
      </c>
      <c r="Z57" cm="1">
        <f t="array" ref="Z57">_xll.Gini1(Population!Z$12:Z$30,GDP!Z$12:Z$30)</f>
        <v>0.22629438532232449</v>
      </c>
      <c r="AA57" cm="1">
        <f t="array" ref="AA57">_xll.Gini1(Population!AA$12:AA$30,GDP!AA$12:AA$30)</f>
        <v>0.23965493033769833</v>
      </c>
      <c r="AB57" cm="1">
        <f t="array" ref="AB57">_xll.Gini1(Population!AB$12:AB$30,GDP!AB$12:AB$30)</f>
        <v>0.24590760013805973</v>
      </c>
      <c r="AC57" cm="1">
        <f t="array" ref="AC57">_xll.Gini1(Population!AC$12:AC$30,GDP!AC$12:AC$30)</f>
        <v>0.24302449129609399</v>
      </c>
      <c r="AD57" cm="1">
        <f t="array" ref="AD57">_xll.Gini1(Population!AD$12:AD$30,GDP!AD$12:AD$30)</f>
        <v>0.24292283462001391</v>
      </c>
      <c r="AE57" cm="1">
        <f t="array" ref="AE57">_xll.Gini1(Population!AE$12:AE$30,GDP!AE$12:AE$30)</f>
        <v>0.23214010736520385</v>
      </c>
      <c r="AF57" cm="1">
        <f t="array" ref="AF57">_xll.Gini1(Population!AF$12:AF$30,GDP!AF$12:AF$30)</f>
        <v>0.22219782797291038</v>
      </c>
      <c r="AG57" cm="1">
        <f t="array" ref="AG57">_xll.Gini1(Population!AG$12:AG$30,GDP!AG$12:AG$30)</f>
        <v>0.21890654785641203</v>
      </c>
      <c r="AH57" cm="1">
        <f t="array" ref="AH57">_xll.Gini1(Population!AH$12:AH$30,GDP!AH$12:AH$30)</f>
        <v>0.20778337471584868</v>
      </c>
      <c r="AI57" cm="1">
        <f t="array" ref="AI57">_xll.Gini1(Population!AI$12:AI$30,GDP!AI$12:AI$30)</f>
        <v>0.20437888627602355</v>
      </c>
      <c r="AJ57" cm="1">
        <f t="array" ref="AJ57">_xll.Gini1(Population!AJ$12:AJ$30,GDP!AJ$12:AJ$30)</f>
        <v>0.21543965009814944</v>
      </c>
      <c r="AK57" cm="1">
        <f t="array" ref="AK57">_xll.Gini1(Population!AK$12:AK$30,GDP!AK$12:AK$30)</f>
        <v>0.21585112548347668</v>
      </c>
      <c r="AL57" cm="1">
        <f t="array" ref="AL57">_xll.Gini1(Population!AL$12:AL$30,GDP!AL$12:AL$30)</f>
        <v>0.21265030023531331</v>
      </c>
      <c r="AM57" cm="1">
        <f t="array" ref="AM57">_xll.Gini1(Population!AM$12:AM$30,GDP!AM$12:AM$30)</f>
        <v>0.19774198796290193</v>
      </c>
      <c r="AN57" cm="1">
        <f t="array" ref="AN57">_xll.Gini1(Population!AN$12:AN$30,GDP!AN$12:AN$30)</f>
        <v>0.18810345314673751</v>
      </c>
      <c r="AO57" cm="1">
        <f t="array" ref="AO57">_xll.Gini1(Population!AO$12:AO$30,GDP!AO$12:AO$30)</f>
        <v>0.19679354610166339</v>
      </c>
      <c r="AP57" cm="1">
        <f t="array" ref="AP57">_xll.Gini1(Population!AP$12:AP$30,GDP!AP$12:AP$30)</f>
        <v>0.2072044736233197</v>
      </c>
      <c r="AQ57" cm="1">
        <f t="array" ref="AQ57">_xll.Gini1(Population!AQ$12:AQ$30,GDP!AQ$12:AQ$30)</f>
        <v>0.21028385750448197</v>
      </c>
      <c r="AR57" cm="1">
        <f t="array" ref="AR57">_xll.Gini1(Population!AR$12:AR$30,GDP!AR$12:AR$30)</f>
        <v>0.20799073521152683</v>
      </c>
      <c r="AS57" cm="1">
        <f t="array" ref="AS57">_xll.Gini1(Population!AS$12:AS$30,GDP!AS$12:AS$30)</f>
        <v>0.20901620699017501</v>
      </c>
      <c r="AT57" cm="1">
        <f t="array" ref="AT57">_xll.Gini1(Population!AT$12:AT$30,GDP!AT$12:AT$30)</f>
        <v>0.206586222821911</v>
      </c>
      <c r="AU57" cm="1">
        <f t="array" ref="AU57">_xll.Gini1(Population!AU$12:AU$30,GDP!AU$12:AU$30)</f>
        <v>0.20327836860045931</v>
      </c>
      <c r="AV57" cm="1">
        <f t="array" ref="AV57">_xll.Gini1(Population!AV$12:AV$30,GDP!AV$12:AV$30)</f>
        <v>0.20521609057021278</v>
      </c>
      <c r="AW57" cm="1">
        <f t="array" ref="AW57">_xll.Gini1(Population!AW$12:AW$30,GDP!AW$12:AW$30)</f>
        <v>0.20996191398164823</v>
      </c>
      <c r="AX57" cm="1">
        <f t="array" ref="AX57">_xll.Gini1(Population!AX$12:AX$30,GDP!AX$12:AX$30)</f>
        <v>0.21564995426890224</v>
      </c>
      <c r="AY57" cm="1">
        <f t="array" ref="AY57">_xll.Gini1(Population!AY$12:AY$30,GDP!AY$12:AY$30)</f>
        <v>0.21926374030206169</v>
      </c>
      <c r="AZ57" cm="1">
        <f t="array" ref="AZ57">_xll.Gini1(Population!AZ$12:AZ$30,GDP!AZ$12:AZ$30)</f>
        <v>0.20637931581690222</v>
      </c>
      <c r="BA57" cm="1">
        <f t="array" ref="BA57">_xll.Gini1(Population!BA$12:BA$30,GDP!BA$12:BA$30)</f>
        <v>0.21139688881235422</v>
      </c>
      <c r="BB57" cm="1">
        <f t="array" ref="BB57">_xll.Gini1(Population!BB$12:BB$30,GDP!BB$12:BB$30)</f>
        <v>0.22785148239418895</v>
      </c>
      <c r="BC57" cm="1">
        <f t="array" ref="BC57">_xll.Gini1(Population!BC$12:BC$30,GDP!BC$12:BC$30)</f>
        <v>0.23931455261973444</v>
      </c>
      <c r="BD57" cm="1">
        <f t="array" ref="BD57">_xll.Gini1(Population!BD$12:BD$30,GDP!BD$12:BD$30)</f>
        <v>0.24148005920487237</v>
      </c>
      <c r="BE57" cm="1">
        <f t="array" ref="BE57">_xll.Gini1(Population!BE$12:BE$30,GDP!BE$12:BE$30)</f>
        <v>0.23446805324152881</v>
      </c>
      <c r="BF57" cm="1">
        <f t="array" ref="BF57">_xll.Gini1(Population!BF$12:BF$30,GDP!BF$12:BF$30)</f>
        <v>0.22693082177954355</v>
      </c>
      <c r="BG57" cm="1">
        <f t="array" ref="BG57">_xll.Gini1(Population!BG$12:BG$30,GDP!BG$12:BG$30)</f>
        <v>0.21899051448141549</v>
      </c>
      <c r="BH57" cm="1">
        <f t="array" ref="BH57">_xll.Gini1(Population!BH$12:BH$30,GDP!BH$12:BH$30)</f>
        <v>0.21886199313072155</v>
      </c>
      <c r="BI57" cm="1">
        <f t="array" ref="BI57">_xll.Gini1(Population!BI$12:BI$30,GDP!BI$12:BI$30)</f>
        <v>0.22161747906757709</v>
      </c>
      <c r="BJ57" cm="1">
        <f t="array" ref="BJ57">_xll.Gini1(Population!BJ$12:BJ$30,GDP!BJ$12:BJ$30)</f>
        <v>0.21942778445989167</v>
      </c>
    </row>
    <row r="58" spans="1:70" x14ac:dyDescent="0.45">
      <c r="B58" t="s">
        <v>210</v>
      </c>
      <c r="C58" cm="1">
        <f t="array" ref="C58">_xll.Gini1(Population!C$12:C$88,GDP!C$12:C$88)</f>
        <v>0.5567817796748088</v>
      </c>
      <c r="D58" cm="1">
        <f t="array" ref="D58">_xll.Gini1(Population!D$12:D$88,GDP!D$12:D$88)</f>
        <v>0.56418972145934976</v>
      </c>
      <c r="E58" cm="1">
        <f t="array" ref="E58">_xll.Gini1(Population!E$12:E$88,GDP!E$12:E$88)</f>
        <v>0.56537808288819047</v>
      </c>
      <c r="F58" cm="1">
        <f t="array" ref="F58">_xll.Gini1(Population!F$12:F$88,GDP!F$12:F$88)</f>
        <v>0.5669336889034694</v>
      </c>
      <c r="G58" cm="1">
        <f t="array" ref="G58">_xll.Gini1(Population!G$12:G$88,GDP!G$12:G$88)</f>
        <v>0.57469597577612397</v>
      </c>
      <c r="H58" cm="1">
        <f t="array" ref="H58">_xll.Gini1(Population!H$12:H$88,GDP!H$12:H$88)</f>
        <v>0.57727425365491547</v>
      </c>
      <c r="I58" cm="1">
        <f t="array" ref="I58">_xll.Gini1(Population!I$12:I$88,GDP!I$12:I$88)</f>
        <v>0.57938806130803722</v>
      </c>
      <c r="J58" cm="1">
        <f t="array" ref="J58">_xll.Gini1(Population!J$12:J$88,GDP!J$12:J$88)</f>
        <v>0.58512827180728944</v>
      </c>
      <c r="K58" cm="1">
        <f t="array" ref="K58">_xll.Gini1(Population!K$12:K$88,GDP!K$12:K$88)</f>
        <v>0.59057652829496454</v>
      </c>
      <c r="L58" cm="1">
        <f t="array" ref="L58">_xll.Gini1(Population!L$12:L$88,GDP!L$12:L$88)</f>
        <v>0.59500189194418418</v>
      </c>
      <c r="M58" cm="1">
        <f t="array" ref="M58">_xll.Gini1(Population!M$12:M$88,GDP!M$12:M$88)</f>
        <v>0.60231239400968195</v>
      </c>
      <c r="N58" cm="1">
        <f t="array" ref="N58">_xll.Gini1(Population!N$12:N$88,GDP!N$12:N$88)</f>
        <v>0.60573449162837534</v>
      </c>
      <c r="O58" cm="1">
        <f t="array" ref="O58">_xll.Gini1(Population!O$12:O$88,GDP!O$12:O$88)</f>
        <v>0.61481222735554975</v>
      </c>
      <c r="P58" cm="1">
        <f t="array" ref="P58">_xll.Gini1(Population!P$12:P$88,GDP!P$12:P$88)</f>
        <v>0.61837208137927613</v>
      </c>
      <c r="Q58" cm="1">
        <f t="array" ref="Q58">_xll.Gini1(Population!Q$12:Q$88,GDP!Q$12:Q$88)</f>
        <v>0.6111808949019194</v>
      </c>
      <c r="R58" cm="1">
        <f t="array" ref="R58">_xll.Gini1(Population!R$12:R$88,GDP!R$12:R$88)</f>
        <v>0.61521921015242576</v>
      </c>
      <c r="S58" cm="1">
        <f t="array" ref="S58">_xll.Gini1(Population!S$12:S$88,GDP!S$12:S$88)</f>
        <v>0.61897344902900431</v>
      </c>
      <c r="T58" cm="1">
        <f t="array" ref="T58">_xll.Gini1(Population!T$12:T$88,GDP!T$12:T$88)</f>
        <v>0.61783647357531213</v>
      </c>
      <c r="U58" cm="1">
        <f t="array" ref="U58">_xll.Gini1(Population!U$12:U$88,GDP!U$12:U$88)</f>
        <v>0.62214995848840915</v>
      </c>
      <c r="V58" cm="1">
        <f t="array" ref="V58">_xll.Gini1(Population!V$12:V$88,GDP!V$12:V$88)</f>
        <v>0.6210073399936028</v>
      </c>
      <c r="W58" cm="1">
        <f t="array" ref="W58">_xll.Gini1(Population!W$12:W$88,GDP!W$12:W$88)</f>
        <v>0.61802781106720972</v>
      </c>
      <c r="X58" cm="1">
        <f t="array" ref="X58">_xll.Gini1(Population!X$12:X$88,GDP!X$12:X$88)</f>
        <v>0.6036874062864056</v>
      </c>
      <c r="Y58" cm="1">
        <f t="array" ref="Y58">_xll.Gini1(Population!Y$12:Y$88,GDP!Y$12:Y$88)</f>
        <v>0.60546045803176807</v>
      </c>
      <c r="Z58" cm="1">
        <f t="array" ref="Z58">_xll.Gini1(Population!Z$12:Z$88,GDP!Z$12:Z$88)</f>
        <v>0.61332153017608959</v>
      </c>
      <c r="AA58" cm="1">
        <f t="array" ref="AA58">_xll.Gini1(Population!AA$12:AA$88,GDP!AA$12:AA$88)</f>
        <v>0.61847708554068848</v>
      </c>
      <c r="AB58" cm="1">
        <f t="array" ref="AB58">_xll.Gini1(Population!AB$12:AB$88,GDP!AB$12:AB$88)</f>
        <v>0.62929486128263135</v>
      </c>
      <c r="AC58" cm="1">
        <f t="array" ref="AC58">_xll.Gini1(Population!AC$12:AC$88,GDP!AC$12:AC$88)</f>
        <v>0.65400094318431745</v>
      </c>
      <c r="AD58" cm="1">
        <f t="array" ref="AD58">_xll.Gini1(Population!AD$12:AD$88,GDP!AD$12:AD$88)</f>
        <v>0.66608620358927029</v>
      </c>
      <c r="AE58" cm="1">
        <f t="array" ref="AE58">_xll.Gini1(Population!AE$12:AE$88,GDP!AE$12:AE$88)</f>
        <v>0.67322478560947008</v>
      </c>
      <c r="AF58" cm="1">
        <f t="array" ref="AF58">_xll.Gini1(Population!AF$12:AF$88,GDP!AF$12:AF$88)</f>
        <v>0.67535567418585951</v>
      </c>
      <c r="AG58" cm="1">
        <f t="array" ref="AG58">_xll.Gini1(Population!AG$12:AG$88,GDP!AG$12:AG$88)</f>
        <v>0.68288611412859979</v>
      </c>
      <c r="AH58" cm="1">
        <f t="array" ref="AH58">_xll.Gini1(Population!AH$12:AH$88,GDP!AH$12:AH$88)</f>
        <v>0.68036415931591032</v>
      </c>
      <c r="AI58" cm="1">
        <f t="array" ref="AI58">_xll.Gini1(Population!AI$12:AI$88,GDP!AI$12:AI$88)</f>
        <v>0.68344148661816462</v>
      </c>
      <c r="AJ58" cm="1">
        <f t="array" ref="AJ58">_xll.Gini1(Population!AJ$12:AJ$88,GDP!AJ$12:AJ$88)</f>
        <v>0.67855320154834886</v>
      </c>
      <c r="AK58" cm="1">
        <f t="array" ref="AK58">_xll.Gini1(Population!AK$12:AK$88,GDP!AK$12:AK$88)</f>
        <v>0.68339787977069266</v>
      </c>
      <c r="AL58" cm="1">
        <f t="array" ref="AL58">_xll.Gini1(Population!AL$12:AL$88,GDP!AL$12:AL$88)</f>
        <v>0.68754597656297856</v>
      </c>
      <c r="AM58" cm="1">
        <f t="array" ref="AM58">_xll.Gini1(Population!AM$12:AM$88,GDP!AM$12:AM$88)</f>
        <v>0.68176000560317684</v>
      </c>
      <c r="AN58" cm="1">
        <f t="array" ref="AN58">_xll.Gini1(Population!AN$12:AN$88,GDP!AN$12:AN$88)</f>
        <v>0.67200495046414865</v>
      </c>
      <c r="AO58" cm="1">
        <f t="array" ref="AO58">_xll.Gini1(Population!AO$12:AO$88,GDP!AO$12:AO$88)</f>
        <v>0.67521038319705284</v>
      </c>
      <c r="AP58" cm="1">
        <f t="array" ref="AP58">_xll.Gini1(Population!AP$12:AP$88,GDP!AP$12:AP$88)</f>
        <v>0.68169566347639754</v>
      </c>
      <c r="AQ58" cm="1">
        <f t="array" ref="AQ58">_xll.Gini1(Population!AQ$12:AQ$88,GDP!AQ$12:AQ$88)</f>
        <v>0.67836557001680697</v>
      </c>
      <c r="AR58" cm="1">
        <f t="array" ref="AR58">_xll.Gini1(Population!AR$12:AR$88,GDP!AR$12:AR$88)</f>
        <v>0.67858377824680127</v>
      </c>
      <c r="AS58" cm="1">
        <f t="array" ref="AS58">_xll.Gini1(Population!AS$12:AS$88,GDP!AS$12:AS$88)</f>
        <v>0.68163936788575719</v>
      </c>
      <c r="AT58" cm="1">
        <f t="array" ref="AT58">_xll.Gini1(Population!AT$12:AT$88,GDP!AT$12:AT$88)</f>
        <v>0.68695354562221622</v>
      </c>
      <c r="AU58" cm="1">
        <f t="array" ref="AU58">_xll.Gini1(Population!AU$12:AU$88,GDP!AU$12:AU$88)</f>
        <v>0.68697347487827198</v>
      </c>
      <c r="AV58" cm="1">
        <f t="array" ref="AV58">_xll.Gini1(Population!AV$12:AV$88,GDP!AV$12:AV$88)</f>
        <v>0.68045752292701323</v>
      </c>
      <c r="AW58" cm="1">
        <f t="array" ref="AW58">_xll.Gini1(Population!AW$12:AW$88,GDP!AW$12:AW$88)</f>
        <v>0.67595893612599678</v>
      </c>
      <c r="AX58" cm="1">
        <f t="array" ref="AX58">_xll.Gini1(Population!AX$12:AX$88,GDP!AX$12:AX$88)</f>
        <v>0.67807235868703475</v>
      </c>
      <c r="AY58" cm="1">
        <f t="array" ref="AY58">_xll.Gini1(Population!AY$12:AY$88,GDP!AY$12:AY$88)</f>
        <v>0.67522903634144626</v>
      </c>
      <c r="AZ58" cm="1">
        <f t="array" ref="AZ58">_xll.Gini1(Population!AZ$12:AZ$88,GDP!AZ$12:AZ$88)</f>
        <v>0.66828482040688486</v>
      </c>
      <c r="BA58" cm="1">
        <f t="array" ref="BA58">_xll.Gini1(Population!BA$12:BA$88,GDP!BA$12:BA$88)</f>
        <v>0.65978756692499951</v>
      </c>
      <c r="BB58" cm="1">
        <f t="array" ref="BB58">_xll.Gini1(Population!BB$12:BB$88,GDP!BB$12:BB$88)</f>
        <v>0.66101383789666002</v>
      </c>
      <c r="BC58" cm="1">
        <f t="array" ref="BC58">_xll.Gini1(Population!BC$12:BC$88,GDP!BC$12:BC$88)</f>
        <v>0.65599008726316022</v>
      </c>
      <c r="BD58" cm="1">
        <f t="array" ref="BD58">_xll.Gini1(Population!BD$12:BD$88,GDP!BD$12:BD$88)</f>
        <v>0.65436008300316695</v>
      </c>
      <c r="BE58" cm="1">
        <f t="array" ref="BE58">_xll.Gini1(Population!BE$12:BE$88,GDP!BE$12:BE$88)</f>
        <v>0.65117963486240737</v>
      </c>
      <c r="BF58" cm="1">
        <f t="array" ref="BF58">_xll.Gini1(Population!BF$12:BF$88,GDP!BF$12:BF$88)</f>
        <v>0.64309648562317634</v>
      </c>
      <c r="BG58" cm="1">
        <f t="array" ref="BG58">_xll.Gini1(Population!BG$12:BG$88,GDP!BG$12:BG$88)</f>
        <v>0.64428589583600271</v>
      </c>
      <c r="BH58" cm="1">
        <f t="array" ref="BH58">_xll.Gini1(Population!BH$12:BH$88,GDP!BH$12:BH$88)</f>
        <v>0.64360777974553163</v>
      </c>
      <c r="BI58" cm="1">
        <f t="array" ref="BI58">_xll.Gini1(Population!BI$12:BI$88,GDP!BI$12:BI$88)</f>
        <v>0.64736553446364808</v>
      </c>
      <c r="BJ58" cm="1">
        <f t="array" ref="BJ58">_xll.Gini1(Population!BJ$12:BJ$88,GDP!BJ$12:BJ$88)</f>
        <v>0.64492513620408853</v>
      </c>
    </row>
    <row r="59" spans="1:70" x14ac:dyDescent="0.45">
      <c r="B59" t="s">
        <v>207</v>
      </c>
      <c r="C59" cm="1">
        <f t="array" ref="C59">_xll.Gini1(C$12:C$13,C$8:C$9)</f>
        <v>0.41275267480351552</v>
      </c>
      <c r="D59" cm="1">
        <f t="array" ref="D59">_xll.Gini1(D$12:D$13,D$8:D$9)</f>
        <v>0.41685753462951386</v>
      </c>
      <c r="E59" cm="1">
        <f t="array" ref="E59">_xll.Gini1(E$12:E$13,E$8:E$9)</f>
        <v>0.41759447015654894</v>
      </c>
      <c r="F59" cm="1">
        <f t="array" ref="F59">_xll.Gini1(F$12:F$13,F$8:F$9)</f>
        <v>0.41523738445030811</v>
      </c>
      <c r="G59" cm="1">
        <f t="array" ref="G59">_xll.Gini1(G$12:G$13,G$8:G$9)</f>
        <v>0.41682698779660304</v>
      </c>
      <c r="H59" cm="1">
        <f t="array" ref="H59">_xll.Gini1(H$12:H$13,H$8:H$9)</f>
        <v>0.41891991219569685</v>
      </c>
      <c r="I59" cm="1">
        <f t="array" ref="I59">_xll.Gini1(I$12:I$13,I$8:I$9)</f>
        <v>0.42497309367238645</v>
      </c>
      <c r="J59" cm="1">
        <f t="array" ref="J59">_xll.Gini1(J$12:J$13,J$8:J$9)</f>
        <v>0.42615864467148618</v>
      </c>
      <c r="K59" cm="1">
        <f t="array" ref="K59">_xll.Gini1(K$12:K$13,K$8:K$9)</f>
        <v>0.42808076740756779</v>
      </c>
      <c r="L59" cm="1">
        <f t="array" ref="L59">_xll.Gini1(L$12:L$13,L$8:L$9)</f>
        <v>0.42800749137764738</v>
      </c>
      <c r="M59" cm="1">
        <f t="array" ref="M59">_xll.Gini1(M$12:M$13,M$8:M$9)</f>
        <v>0.42943536933370918</v>
      </c>
      <c r="N59" cm="1">
        <f t="array" ref="N59">_xll.Gini1(N$12:N$13,N$8:N$9)</f>
        <v>0.43176848563581738</v>
      </c>
      <c r="O59" cm="1">
        <f t="array" ref="O59">_xll.Gini1(O$12:O$13,O$8:O$9)</f>
        <v>0.43528948258128553</v>
      </c>
      <c r="P59" cm="1">
        <f t="array" ref="P59">_xll.Gini1(P$12:P$13,P$8:P$9)</f>
        <v>0.43332625699216981</v>
      </c>
      <c r="Q59" cm="1">
        <f t="array" ref="Q59">_xll.Gini1(Q$12:Q$13,Q$8:Q$9)</f>
        <v>0.42551256363447632</v>
      </c>
      <c r="R59" cm="1">
        <f t="array" ref="R59">_xll.Gini1(R$12:R$13,R$8:R$9)</f>
        <v>0.42713323961648697</v>
      </c>
      <c r="S59" cm="1">
        <f t="array" ref="S59">_xll.Gini1(S$12:S$13,S$8:S$9)</f>
        <v>0.42753595696628199</v>
      </c>
      <c r="T59" cm="1">
        <f t="array" ref="T59">_xll.Gini1(T$12:T$13,T$8:T$9)</f>
        <v>0.42968971295980873</v>
      </c>
      <c r="U59" cm="1">
        <f t="array" ref="U59">_xll.Gini1(U$12:U$13,U$8:U$9)</f>
        <v>0.43387678911791827</v>
      </c>
      <c r="V59" cm="1">
        <f t="array" ref="V59">_xll.Gini1(V$12:V$13,V$8:V$9)</f>
        <v>0.43224071456635327</v>
      </c>
      <c r="W59" cm="1">
        <f t="array" ref="W59">_xll.Gini1(W$12:W$13,W$8:W$9)</f>
        <v>0.4290864209997115</v>
      </c>
      <c r="X59" cm="1">
        <f t="array" ref="X59">_xll.Gini1(X$12:X$13,X$8:X$9)</f>
        <v>0.4206162624470014</v>
      </c>
      <c r="Y59" cm="1">
        <f t="array" ref="Y59">_xll.Gini1(Y$12:Y$13,Y$8:Y$9)</f>
        <v>0.42619606447982217</v>
      </c>
      <c r="Z59" cm="1">
        <f t="array" ref="Z59">_xll.Gini1(Z$12:Z$13,Z$8:Z$9)</f>
        <v>0.43730984076191398</v>
      </c>
      <c r="AA59" cm="1">
        <f t="array" ref="AA59">_xll.Gini1(AA$12:AA$13,AA$8:AA$9)</f>
        <v>0.44142004152885378</v>
      </c>
      <c r="AB59" cm="1">
        <f t="array" ref="AB59">_xll.Gini1(AB$12:AB$13,AB$8:AB$9)</f>
        <v>0.44450948821662295</v>
      </c>
      <c r="AC59" cm="1">
        <f t="array" ref="AC59">_xll.Gini1(AC$12:AC$13,AC$8:AC$9)</f>
        <v>0.45398673371447745</v>
      </c>
      <c r="AD59" cm="1">
        <f t="array" ref="AD59">_xll.Gini1(AD$12:AD$13,AD$8:AD$9)</f>
        <v>0.45608905923134618</v>
      </c>
      <c r="AE59" cm="1">
        <f t="array" ref="AE59">_xll.Gini1(AE$12:AE$13,AE$8:AE$9)</f>
        <v>0.45832421726752315</v>
      </c>
      <c r="AF59" cm="1">
        <f t="array" ref="AF59">_xll.Gini1(AF$12:AF$13,AF$8:AF$9)</f>
        <v>0.45625573283772775</v>
      </c>
      <c r="AG59" cm="1">
        <f t="array" ref="AG59">_xll.Gini1(AG$12:AG$13,AG$8:AG$9)</f>
        <v>0.45615096259454874</v>
      </c>
      <c r="AH59" cm="1">
        <f t="array" ref="AH59">_xll.Gini1(AH$12:AH$13,AH$8:AH$9)</f>
        <v>0.45515443970712477</v>
      </c>
      <c r="AI59" cm="1">
        <f t="array" ref="AI59">_xll.Gini1(AI$12:AI$13,AI$8:AI$9)</f>
        <v>0.45963288355320958</v>
      </c>
      <c r="AJ59" cm="1">
        <f t="array" ref="AJ59">_xll.Gini1(AJ$12:AJ$13,AJ$8:AJ$9)</f>
        <v>0.4566232338866929</v>
      </c>
      <c r="AK59" cm="1">
        <f t="array" ref="AK59">_xll.Gini1(AK$12:AK$13,AK$8:AK$9)</f>
        <v>0.45615743479929299</v>
      </c>
      <c r="AL59" cm="1">
        <f t="array" ref="AL59">_xll.Gini1(AL$12:AL$13,AL$8:AL$9)</f>
        <v>0.45666203971379887</v>
      </c>
      <c r="AM59" cm="1">
        <f t="array" ref="AM59">_xll.Gini1(AM$12:AM$13,AM$8:AM$9)</f>
        <v>0.45398032268359367</v>
      </c>
      <c r="AN59" cm="1">
        <f t="array" ref="AN59">_xll.Gini1(AN$12:AN$13,AN$8:AN$9)</f>
        <v>0.45175504425122526</v>
      </c>
      <c r="AO59" cm="1">
        <f t="array" ref="AO59">_xll.Gini1(AO$12:AO$13,AO$8:AO$9)</f>
        <v>0.45248233815523997</v>
      </c>
      <c r="AP59" cm="1">
        <f t="array" ref="AP59">_xll.Gini1(AP$12:AP$13,AP$8:AP$9)</f>
        <v>0.45775137278954203</v>
      </c>
      <c r="AQ59" cm="1">
        <f t="array" ref="AQ59">_xll.Gini1(AQ$12:AQ$13,AQ$8:AQ$9)</f>
        <v>0.45595550169385568</v>
      </c>
      <c r="AR59" cm="1">
        <f t="array" ref="AR59">_xll.Gini1(AR$12:AR$13,AR$8:AR$9)</f>
        <v>0.45757867418268877</v>
      </c>
      <c r="AS59" cm="1">
        <f t="array" ref="AS59">_xll.Gini1(AS$12:AS$13,AS$8:AS$9)</f>
        <v>0.45841018130848349</v>
      </c>
      <c r="AT59" cm="1">
        <f t="array" ref="AT59">_xll.Gini1(AT$12:AT$13,AT$8:AT$9)</f>
        <v>0.45922078190070204</v>
      </c>
      <c r="AU59" cm="1">
        <f t="array" ref="AU59">_xll.Gini1(AU$12:AU$13,AU$8:AU$9)</f>
        <v>0.45750413288695607</v>
      </c>
      <c r="AV59" cm="1">
        <f t="array" ref="AV59">_xll.Gini1(AV$12:AV$13,AV$8:AV$9)</f>
        <v>0.4528129971683908</v>
      </c>
      <c r="AW59" cm="1">
        <f t="array" ref="AW59">_xll.Gini1(AW$12:AW$13,AW$8:AW$9)</f>
        <v>0.44866994513684266</v>
      </c>
      <c r="AX59" cm="1">
        <f t="array" ref="AX59">_xll.Gini1(AX$12:AX$13,AX$8:AX$9)</f>
        <v>0.44419707066043257</v>
      </c>
      <c r="AY59" cm="1">
        <f t="array" ref="AY59">_xll.Gini1(AY$12:AY$13,AY$8:AY$9)</f>
        <v>0.44162775298291906</v>
      </c>
      <c r="AZ59" cm="1">
        <f t="array" ref="AZ59">_xll.Gini1(AZ$12:AZ$13,AZ$8:AZ$9)</f>
        <v>0.44168738131601154</v>
      </c>
      <c r="BA59" cm="1">
        <f t="array" ref="BA59">_xll.Gini1(BA$12:BA$13,BA$8:BA$9)</f>
        <v>0.43247601467482427</v>
      </c>
      <c r="BB59" cm="1">
        <f t="array" ref="BB59">_xll.Gini1(BB$12:BB$13,BB$8:BB$9)</f>
        <v>0.42942462822259575</v>
      </c>
      <c r="BC59" cm="1">
        <f t="array" ref="BC59">_xll.Gini1(BC$12:BC$13,BC$8:BC$9)</f>
        <v>0.4294364912721943</v>
      </c>
      <c r="BD59" cm="1">
        <f t="array" ref="BD59">_xll.Gini1(BD$12:BD$13,BD$8:BD$9)</f>
        <v>0.42782223607120418</v>
      </c>
      <c r="BE59" cm="1">
        <f t="array" ref="BE59">_xll.Gini1(BE$12:BE$13,BE$8:BE$9)</f>
        <v>0.42801546186418832</v>
      </c>
      <c r="BF59" cm="1">
        <f t="array" ref="BF59">_xll.Gini1(BF$12:BF$13,BF$8:BF$9)</f>
        <v>0.43233216728346335</v>
      </c>
      <c r="BG59" cm="1">
        <f t="array" ref="BG59">_xll.Gini1(BG$12:BG$13,BG$8:BG$9)</f>
        <v>0.43409910334484497</v>
      </c>
      <c r="BH59" cm="1">
        <f t="array" ref="BH59">_xll.Gini1(BH$12:BH$13,BH$8:BH$9)</f>
        <v>0.43131525662139625</v>
      </c>
      <c r="BI59" cm="1">
        <f t="array" ref="BI59">_xll.Gini1(BI$12:BI$13,BI$8:BI$9)</f>
        <v>0.43454696469134313</v>
      </c>
      <c r="BJ59" cm="1">
        <f t="array" ref="BJ59">_xll.Gini1(BJ$12:BJ$13,BJ$8:BJ$9)</f>
        <v>0.43480980315932066</v>
      </c>
    </row>
    <row r="60" spans="1:70" x14ac:dyDescent="0.45">
      <c r="A60" t="s">
        <v>209</v>
      </c>
      <c r="C60" t="str">
        <f>C55</f>
        <v>1960</v>
      </c>
      <c r="D60" t="str">
        <f t="shared" ref="D60:BJ60" si="46">D55</f>
        <v>1961</v>
      </c>
      <c r="E60" t="str">
        <f t="shared" si="46"/>
        <v>1962</v>
      </c>
      <c r="F60" t="str">
        <f t="shared" si="46"/>
        <v>1963</v>
      </c>
      <c r="G60" t="str">
        <f t="shared" si="46"/>
        <v>1964</v>
      </c>
      <c r="H60" t="str">
        <f t="shared" si="46"/>
        <v>1965</v>
      </c>
      <c r="I60" t="str">
        <f t="shared" si="46"/>
        <v>1966</v>
      </c>
      <c r="J60" t="str">
        <f t="shared" si="46"/>
        <v>1967</v>
      </c>
      <c r="K60" t="str">
        <f t="shared" si="46"/>
        <v>1968</v>
      </c>
      <c r="L60" t="str">
        <f t="shared" si="46"/>
        <v>1969</v>
      </c>
      <c r="M60" t="str">
        <f t="shared" si="46"/>
        <v>1970</v>
      </c>
      <c r="N60" t="str">
        <f t="shared" si="46"/>
        <v>1971</v>
      </c>
      <c r="O60" t="str">
        <f t="shared" si="46"/>
        <v>1972</v>
      </c>
      <c r="P60" t="str">
        <f t="shared" si="46"/>
        <v>1973</v>
      </c>
      <c r="Q60" t="str">
        <f t="shared" si="46"/>
        <v>1974</v>
      </c>
      <c r="R60" t="str">
        <f t="shared" si="46"/>
        <v>1975</v>
      </c>
      <c r="S60" t="str">
        <f t="shared" si="46"/>
        <v>1976</v>
      </c>
      <c r="T60" t="str">
        <f t="shared" si="46"/>
        <v>1977</v>
      </c>
      <c r="U60" t="str">
        <f t="shared" si="46"/>
        <v>1978</v>
      </c>
      <c r="V60" t="str">
        <f t="shared" si="46"/>
        <v>1979</v>
      </c>
      <c r="W60" t="str">
        <f t="shared" si="46"/>
        <v>1980</v>
      </c>
      <c r="X60" t="str">
        <f t="shared" si="46"/>
        <v>1981</v>
      </c>
      <c r="Y60" t="str">
        <f t="shared" si="46"/>
        <v>1982</v>
      </c>
      <c r="Z60" t="str">
        <f t="shared" si="46"/>
        <v>1983</v>
      </c>
      <c r="AA60" t="str">
        <f t="shared" si="46"/>
        <v>1984</v>
      </c>
      <c r="AB60" t="str">
        <f t="shared" si="46"/>
        <v>1985</v>
      </c>
      <c r="AC60" t="str">
        <f t="shared" si="46"/>
        <v>1986</v>
      </c>
      <c r="AD60" t="str">
        <f t="shared" si="46"/>
        <v>1987</v>
      </c>
      <c r="AE60" t="str">
        <f t="shared" si="46"/>
        <v>1988</v>
      </c>
      <c r="AF60" t="str">
        <f t="shared" si="46"/>
        <v>1989</v>
      </c>
      <c r="AG60" t="str">
        <f t="shared" si="46"/>
        <v>1990</v>
      </c>
      <c r="AH60" t="str">
        <f t="shared" si="46"/>
        <v>1991</v>
      </c>
      <c r="AI60" t="str">
        <f t="shared" si="46"/>
        <v>1992</v>
      </c>
      <c r="AJ60" t="str">
        <f t="shared" si="46"/>
        <v>1993</v>
      </c>
      <c r="AK60" t="str">
        <f t="shared" si="46"/>
        <v>1994</v>
      </c>
      <c r="AL60" t="str">
        <f t="shared" si="46"/>
        <v>1995</v>
      </c>
      <c r="AM60" t="str">
        <f t="shared" si="46"/>
        <v>1996</v>
      </c>
      <c r="AN60" t="str">
        <f t="shared" si="46"/>
        <v>1997</v>
      </c>
      <c r="AO60" t="str">
        <f t="shared" si="46"/>
        <v>1998</v>
      </c>
      <c r="AP60" t="str">
        <f t="shared" si="46"/>
        <v>1999</v>
      </c>
      <c r="AQ60" t="str">
        <f t="shared" si="46"/>
        <v>2000</v>
      </c>
      <c r="AR60" t="str">
        <f t="shared" si="46"/>
        <v>2001</v>
      </c>
      <c r="AS60" t="str">
        <f t="shared" si="46"/>
        <v>2002</v>
      </c>
      <c r="AT60" t="str">
        <f t="shared" si="46"/>
        <v>2003</v>
      </c>
      <c r="AU60" t="str">
        <f t="shared" si="46"/>
        <v>2004</v>
      </c>
      <c r="AV60" t="str">
        <f t="shared" si="46"/>
        <v>2005</v>
      </c>
      <c r="AW60" t="str">
        <f t="shared" si="46"/>
        <v>2006</v>
      </c>
      <c r="AX60" t="str">
        <f t="shared" si="46"/>
        <v>2007</v>
      </c>
      <c r="AY60" t="str">
        <f t="shared" si="46"/>
        <v>2008</v>
      </c>
      <c r="AZ60" t="str">
        <f t="shared" si="46"/>
        <v>2009</v>
      </c>
      <c r="BA60" t="str">
        <f t="shared" si="46"/>
        <v>2010</v>
      </c>
      <c r="BB60" t="str">
        <f t="shared" si="46"/>
        <v>2011</v>
      </c>
      <c r="BC60" t="str">
        <f t="shared" si="46"/>
        <v>2012</v>
      </c>
      <c r="BD60" t="str">
        <f t="shared" si="46"/>
        <v>2013</v>
      </c>
      <c r="BE60" t="str">
        <f t="shared" si="46"/>
        <v>2014</v>
      </c>
      <c r="BF60" t="str">
        <f t="shared" si="46"/>
        <v>2015</v>
      </c>
      <c r="BG60" t="str">
        <f t="shared" si="46"/>
        <v>2016</v>
      </c>
      <c r="BH60" t="str">
        <f t="shared" si="46"/>
        <v>2017</v>
      </c>
      <c r="BI60" t="str">
        <f t="shared" si="46"/>
        <v>2018</v>
      </c>
      <c r="BJ60" t="str">
        <f t="shared" si="46"/>
        <v>2019</v>
      </c>
    </row>
    <row r="61" spans="1:70" x14ac:dyDescent="0.45">
      <c r="B61" t="s">
        <v>205</v>
      </c>
      <c r="C61" cm="1">
        <f t="array" ref="C61">_xll.Gini2(Population!C$31:C$88,GDP!C$31:C$88)</f>
        <v>0.35418143944748232</v>
      </c>
      <c r="D61" cm="1">
        <f t="array" ref="D61">_xll.Gini2(Population!D$31:D$88,GDP!D$31:D$88)</f>
        <v>0.32880575154610253</v>
      </c>
      <c r="E61" cm="1">
        <f t="array" ref="E61">_xll.Gini2(Population!E$31:E$88,GDP!E$31:E$88)</f>
        <v>0.33176245471105431</v>
      </c>
      <c r="F61" cm="1">
        <f t="array" ref="F61">_xll.Gini2(Population!F$31:F$88,GDP!F$31:F$88)</f>
        <v>0.33011547528678331</v>
      </c>
      <c r="G61" cm="1">
        <f t="array" ref="G61">_xll.Gini2(Population!G$31:G$88,GDP!G$31:G$88)</f>
        <v>0.31624869360761543</v>
      </c>
      <c r="H61" s="34" cm="1">
        <f t="array" ref="H61">_xll.Gini2(Population!H$31:H$88,GDP!H$31:H$88)</f>
        <v>0.31490965974308688</v>
      </c>
      <c r="I61" s="34" cm="1">
        <f t="array" ref="I61">_xll.Gini2(Population!I$31:I$88,GDP!I$31:I$88)</f>
        <v>0.38827000720011645</v>
      </c>
      <c r="J61" cm="1">
        <f t="array" ref="J61">_xll.Gini2(Population!J$31:J$88,GDP!J$31:J$88)</f>
        <v>0.38795177248294155</v>
      </c>
      <c r="K61" cm="1">
        <f t="array" ref="K61">_xll.Gini2(Population!K$31:K$88,GDP!K$31:K$88)</f>
        <v>0.39432907062402178</v>
      </c>
      <c r="L61" cm="1">
        <f t="array" ref="L61">_xll.Gini2(Population!L$31:L$88,GDP!L$31:L$88)</f>
        <v>0.39637597123489671</v>
      </c>
      <c r="M61" cm="1">
        <f t="array" ref="M61">_xll.Gini2(Population!M$31:M$88,GDP!M$31:M$88)</f>
        <v>0.39286625252752277</v>
      </c>
      <c r="N61" cm="1">
        <f t="array" ref="N61">_xll.Gini2(Population!N$31:N$88,GDP!N$31:N$88)</f>
        <v>0.40227731719885296</v>
      </c>
      <c r="O61" cm="1">
        <f t="array" ref="O61">_xll.Gini2(Population!O$31:O$88,GDP!O$31:O$88)</f>
        <v>0.42388363361692621</v>
      </c>
      <c r="P61" cm="1">
        <f t="array" ref="P61">_xll.Gini2(Population!P$31:P$88,GDP!P$31:P$88)</f>
        <v>0.44993730516640779</v>
      </c>
      <c r="Q61" cm="1">
        <f t="array" ref="Q61">_xll.Gini2(Population!Q$31:Q$88,GDP!Q$31:Q$88)</f>
        <v>0.4554359562626959</v>
      </c>
      <c r="R61" cm="1">
        <f t="array" ref="R61">_xll.Gini2(Population!R$31:R$88,GDP!R$31:R$88)</f>
        <v>0.46854338728902672</v>
      </c>
      <c r="S61" cm="1">
        <f t="array" ref="S61">_xll.Gini2(Population!S$31:S$88,GDP!S$31:S$88)</f>
        <v>0.48459075677584262</v>
      </c>
      <c r="T61" cm="1">
        <f t="array" ref="T61">_xll.Gini2(Population!T$31:T$88,GDP!T$31:T$88)</f>
        <v>0.47622878955662662</v>
      </c>
      <c r="U61" cm="1">
        <f t="array" ref="U61">_xll.Gini2(Population!U$31:U$88,GDP!U$31:U$88)</f>
        <v>0.47411589809519938</v>
      </c>
      <c r="V61" cm="1">
        <f t="array" ref="V61">_xll.Gini2(Population!V$31:V$88,GDP!V$31:V$88)</f>
        <v>0.4894672523264344</v>
      </c>
      <c r="W61" cm="1">
        <f t="array" ref="W61">_xll.Gini2(Population!W$31:W$88,GDP!W$31:W$88)</f>
        <v>0.49774031610940478</v>
      </c>
      <c r="X61" cm="1">
        <f t="array" ref="X61">_xll.Gini2(Population!X$31:X$88,GDP!X$31:X$88)</f>
        <v>0.52259658097173312</v>
      </c>
      <c r="Y61" cm="1">
        <f t="array" ref="Y61">_xll.Gini2(Population!Y$31:Y$88,GDP!Y$31:Y$88)</f>
        <v>0.49083997987802608</v>
      </c>
      <c r="Z61" cm="1">
        <f t="array" ref="Z61">_xll.Gini2(Population!Z$31:Z$88,GDP!Z$31:Z$88)</f>
        <v>0.45153498815812315</v>
      </c>
      <c r="AA61" cm="1">
        <f t="array" ref="AA61">_xll.Gini2(Population!AA$31:AA$88,GDP!AA$31:AA$88)</f>
        <v>0.46422863612139409</v>
      </c>
      <c r="AB61" cm="1">
        <f t="array" ref="AB61">_xll.Gini2(Population!AB$31:AB$88,GDP!AB$31:AB$88)</f>
        <v>0.44855072321462508</v>
      </c>
      <c r="AC61" cm="1">
        <f t="array" ref="AC61">_xll.Gini2(Population!AC$31:AC$88,GDP!AC$31:AC$88)</f>
        <v>0.42996592245613863</v>
      </c>
      <c r="AD61" cm="1">
        <f t="array" ref="AD61">_xll.Gini2(Population!AD$31:AD$88,GDP!AD$31:AD$88)</f>
        <v>0.43565126308518981</v>
      </c>
      <c r="AE61" cm="1">
        <f t="array" ref="AE61">_xll.Gini2(Population!AE$31:AE$88,GDP!AE$31:AE$88)</f>
        <v>0.44415415693521848</v>
      </c>
      <c r="AF61" cm="1">
        <f t="array" ref="AF61">_xll.Gini2(Population!AF$31:AF$88,GDP!AF$31:AF$88)</f>
        <v>0.48174572044848485</v>
      </c>
      <c r="AG61" cm="1">
        <f t="array" ref="AG61">_xll.Gini2(Population!AG$31:AG$88,GDP!AG$31:AG$88)</f>
        <v>0.49187942874446638</v>
      </c>
      <c r="AH61" cm="1">
        <f t="array" ref="AH61">_xll.Gini2(Population!AH$31:AH$88,GDP!AH$31:AH$88)</f>
        <v>0.55132814791195039</v>
      </c>
      <c r="AI61" cm="1">
        <f t="array" ref="AI61">_xll.Gini2(Population!AI$31:AI$88,GDP!AI$31:AI$88)</f>
        <v>0.53453183064404253</v>
      </c>
      <c r="AJ61" cm="1">
        <f t="array" ref="AJ61">_xll.Gini2(Population!AJ$31:AJ$88,GDP!AJ$31:AJ$88)</f>
        <v>0.57486121448697325</v>
      </c>
      <c r="AK61" cm="1">
        <f t="array" ref="AK61">_xll.Gini2(Population!AK$31:AK$88,GDP!AK$31:AK$88)</f>
        <v>0.57441435171010502</v>
      </c>
      <c r="AL61" cm="1">
        <f t="array" ref="AL61">_xll.Gini2(Population!AL$31:AL$88,GDP!AL$31:AL$88)</f>
        <v>0.56161526116578631</v>
      </c>
      <c r="AM61" cm="1">
        <f t="array" ref="AM61">_xll.Gini2(Population!AM$31:AM$88,GDP!AM$31:AM$88)</f>
        <v>0.56126919444855905</v>
      </c>
      <c r="AN61" cm="1">
        <f t="array" ref="AN61">_xll.Gini2(Population!AN$31:AN$88,GDP!AN$31:AN$88)</f>
        <v>0.5657189780531896</v>
      </c>
      <c r="AO61" cm="1">
        <f t="array" ref="AO61">_xll.Gini2(Population!AO$31:AO$88,GDP!AO$31:AO$88)</f>
        <v>0.56862556952257481</v>
      </c>
      <c r="AP61" cm="1">
        <f t="array" ref="AP61">_xll.Gini2(Population!AP$31:AP$88,GDP!AP$31:AP$88)</f>
        <v>0.5461475165343489</v>
      </c>
      <c r="AQ61" cm="1">
        <f t="array" ref="AQ61">_xll.Gini2(Population!AQ$31:AQ$88,GDP!AQ$31:AQ$88)</f>
        <v>0.55690658426232498</v>
      </c>
      <c r="AR61" cm="1">
        <f t="array" ref="AR61">_xll.Gini2(Population!AR$31:AR$88,GDP!AR$31:AR$88)</f>
        <v>0.54994473239722108</v>
      </c>
      <c r="AS61" cm="1">
        <f t="array" ref="AS61">_xll.Gini2(Population!AS$31:AS$88,GDP!AS$31:AS$88)</f>
        <v>0.54165002962243736</v>
      </c>
      <c r="AT61" cm="1">
        <f t="array" ref="AT61">_xll.Gini2(Population!AT$31:AT$88,GDP!AT$31:AT$88)</f>
        <v>0.52438447670434885</v>
      </c>
      <c r="AU61" cm="1">
        <f t="array" ref="AU61">_xll.Gini2(Population!AU$31:AU$88,GDP!AU$31:AU$88)</f>
        <v>0.52618501860957412</v>
      </c>
      <c r="AV61" cm="1">
        <f t="array" ref="AV61">_xll.Gini2(Population!AV$31:AV$88,GDP!AV$31:AV$88)</f>
        <v>0.53242613116029502</v>
      </c>
      <c r="AW61" cm="1">
        <f t="array" ref="AW61">_xll.Gini2(Population!AW$31:AW$88,GDP!AW$31:AW$88)</f>
        <v>0.53086130807436538</v>
      </c>
      <c r="AX61" cm="1">
        <f t="array" ref="AX61">_xll.Gini2(Population!AX$31:AX$88,GDP!AX$31:AX$88)</f>
        <v>0.51950471892156824</v>
      </c>
      <c r="AY61" cm="1">
        <f t="array" ref="AY61">_xll.Gini2(Population!AY$31:AY$88,GDP!AY$31:AY$88)</f>
        <v>0.53346008256242938</v>
      </c>
      <c r="AZ61" cm="1">
        <f t="array" ref="AZ61">_xll.Gini2(Population!AZ$31:AZ$88,GDP!AZ$31:AZ$88)</f>
        <v>0.50034700903699625</v>
      </c>
      <c r="BA61" cm="1">
        <f t="array" ref="BA61">_xll.Gini2(Population!BA$31:BA$88,GDP!BA$31:BA$88)</f>
        <v>0.51230577162187485</v>
      </c>
      <c r="BB61" cm="1">
        <f t="array" ref="BB61">_xll.Gini2(Population!BB$31:BB$88,GDP!BB$31:BB$88)</f>
        <v>0.51990353534354827</v>
      </c>
      <c r="BC61" cm="1">
        <f t="array" ref="BC61">_xll.Gini2(Population!BC$31:BC$88,GDP!BC$31:BC$88)</f>
        <v>0.51408721490969234</v>
      </c>
      <c r="BD61" cm="1">
        <f t="array" ref="BD61">_xll.Gini2(Population!BD$31:BD$88,GDP!BD$31:BD$88)</f>
        <v>0.51252107770489141</v>
      </c>
      <c r="BE61" cm="1">
        <f t="array" ref="BE61">_xll.Gini2(Population!BE$31:BE$88,GDP!BE$31:BE$88)</f>
        <v>0.49526852476247935</v>
      </c>
      <c r="BF61" cm="1">
        <f t="array" ref="BF61">_xll.Gini2(Population!BF$31:BF$88,GDP!BF$31:BF$88)</f>
        <v>0.45488591224801717</v>
      </c>
      <c r="BG61" cm="1">
        <f t="array" ref="BG61">_xll.Gini2(Population!BG$31:BG$88,GDP!BG$31:BG$88)</f>
        <v>0.4390396274322782</v>
      </c>
      <c r="BH61" cm="1">
        <f t="array" ref="BH61">_xll.Gini2(Population!BH$31:BH$88,GDP!BH$31:BH$88)</f>
        <v>0.43198579535851672</v>
      </c>
      <c r="BI61" cm="1">
        <f t="array" ref="BI61">_xll.Gini2(Population!BI$31:BI$88,GDP!BI$31:BI$88)</f>
        <v>0.4227811395587811</v>
      </c>
      <c r="BJ61" cm="1">
        <f t="array" ref="BJ61">_xll.Gini2(Population!BJ$31:BJ$88,GDP!BJ$31:BJ$88)</f>
        <v>0.41869333512847962</v>
      </c>
    </row>
    <row r="62" spans="1:70" x14ac:dyDescent="0.45">
      <c r="B62" t="s">
        <v>206</v>
      </c>
      <c r="C62" cm="1">
        <f t="array" ref="C62">_xll.Gini2(Population!C$12:C$30,GDP!C$12:C$30)</f>
        <v>0.3776369298915192</v>
      </c>
      <c r="D62" cm="1">
        <f t="array" ref="D62">_xll.Gini2(Population!D$12:D$30,GDP!D$12:D$30)</f>
        <v>0.36464572970672471</v>
      </c>
      <c r="E62" cm="1">
        <f t="array" ref="E62">_xll.Gini2(Population!E$12:E$30,GDP!E$12:E$30)</f>
        <v>0.3576949102845281</v>
      </c>
      <c r="F62" cm="1">
        <f t="array" ref="F62">_xll.Gini2(Population!F$12:F$30,GDP!F$12:F$30)</f>
        <v>0.34365461952900311</v>
      </c>
      <c r="G62" cm="1">
        <f t="array" ref="G62">_xll.Gini2(Population!G$12:G$30,GDP!G$12:G$30)</f>
        <v>0.33446528965881056</v>
      </c>
      <c r="H62" cm="1">
        <f t="array" ref="H62">_xll.Gini2(Population!H$12:H$30,GDP!H$12:H$30)</f>
        <v>0.33133310394481807</v>
      </c>
      <c r="I62" cm="1">
        <f t="array" ref="I62">_xll.Gini2(Population!I$12:I$30,GDP!I$12:I$30)</f>
        <v>0.32686294859665727</v>
      </c>
      <c r="J62" cm="1">
        <f t="array" ref="J62">_xll.Gini2(Population!J$12:J$30,GDP!J$12:J$30)</f>
        <v>0.31608546906818652</v>
      </c>
      <c r="K62" cm="1">
        <f t="array" ref="K62">_xll.Gini2(Population!K$12:K$30,GDP!K$12:K$30)</f>
        <v>0.31557356543280934</v>
      </c>
      <c r="L62" cm="1">
        <f t="array" ref="L62">_xll.Gini2(Population!L$12:L$30,GDP!L$12:L$30)</f>
        <v>0.3056028450049636</v>
      </c>
      <c r="M62" cm="1">
        <f t="array" ref="M62">_xll.Gini2(Population!M$12:M$30,GDP!M$12:M$30)</f>
        <v>0.28164647117604413</v>
      </c>
      <c r="N62" cm="1">
        <f t="array" ref="N62">_xll.Gini2(Population!N$12:N$30,GDP!N$12:N$30)</f>
        <v>0.27381528188937526</v>
      </c>
      <c r="O62" cm="1">
        <f t="array" ref="O62">_xll.Gini2(Population!O$12:O$30,GDP!O$12:O$30)</f>
        <v>0.24815360696054181</v>
      </c>
      <c r="P62" cm="1">
        <f t="array" ref="P62">_xll.Gini2(Population!P$12:P$30,GDP!P$12:P$30)</f>
        <v>0.22190065129468156</v>
      </c>
      <c r="Q62" cm="1">
        <f t="array" ref="Q62">_xll.Gini2(Population!Q$12:Q$30,GDP!Q$12:Q$30)</f>
        <v>0.21204853640682539</v>
      </c>
      <c r="R62" cm="1">
        <f t="array" ref="R62">_xll.Gini2(Population!R$12:R$30,GDP!R$12:R$30)</f>
        <v>0.20550637101037025</v>
      </c>
      <c r="S62" cm="1">
        <f t="array" ref="S62">_xll.Gini2(Population!S$12:S$30,GDP!S$12:S$30)</f>
        <v>0.21836113108423327</v>
      </c>
      <c r="T62" cm="1">
        <f t="array" ref="T62">_xll.Gini2(Population!T$12:T$30,GDP!T$12:T$30)</f>
        <v>0.20751556894836762</v>
      </c>
      <c r="U62" cm="1">
        <f t="array" ref="U62">_xll.Gini2(Population!U$12:U$30,GDP!U$12:U$30)</f>
        <v>0.18187279707791171</v>
      </c>
      <c r="V62" cm="1">
        <f t="array" ref="V62">_xll.Gini2(Population!V$12:V$30,GDP!V$12:V$30)</f>
        <v>0.16595176833706457</v>
      </c>
      <c r="W62" cm="1">
        <f t="array" ref="W62">_xll.Gini2(Population!W$12:W$30,GDP!W$12:W$30)</f>
        <v>0.15898734047888671</v>
      </c>
      <c r="X62" cm="1">
        <f t="array" ref="X62">_xll.Gini2(Population!X$12:X$30,GDP!X$12:X$30)</f>
        <v>0.18014941724634853</v>
      </c>
      <c r="Y62" cm="1">
        <f t="array" ref="Y62">_xll.Gini2(Population!Y$12:Y$30,GDP!Y$12:Y$30)</f>
        <v>0.1938314397520112</v>
      </c>
      <c r="Z62" cm="1">
        <f t="array" ref="Z62">_xll.Gini2(Population!Z$12:Z$30,GDP!Z$12:Z$30)</f>
        <v>0.21016192104133133</v>
      </c>
      <c r="AA62" cm="1">
        <f t="array" ref="AA62">_xll.Gini2(Population!AA$12:AA$30,GDP!AA$12:AA$30)</f>
        <v>0.23526421419488894</v>
      </c>
      <c r="AB62" cm="1">
        <f t="array" ref="AB62">_xll.Gini2(Population!AB$12:AB$30,GDP!AB$12:AB$30)</f>
        <v>0.24093205837749701</v>
      </c>
      <c r="AC62" cm="1">
        <f t="array" ref="AC62">_xll.Gini2(Population!AC$12:AC$30,GDP!AC$12:AC$30)</f>
        <v>0.1903878922843828</v>
      </c>
      <c r="AD62" cm="1">
        <f t="array" ref="AD62">_xll.Gini2(Population!AD$12:AD$30,GDP!AD$12:AD$30)</f>
        <v>0.16541892118469925</v>
      </c>
      <c r="AE62" cm="1">
        <f t="array" ref="AE62">_xll.Gini2(Population!AE$12:AE$30,GDP!AE$12:AE$30)</f>
        <v>0.16607333558056417</v>
      </c>
      <c r="AF62" cm="1">
        <f t="array" ref="AF62">_xll.Gini2(Population!AF$12:AF$30,GDP!AF$12:AF$30)</f>
        <v>0.15569653087262184</v>
      </c>
      <c r="AG62" cm="1">
        <f t="array" ref="AG62">_xll.Gini2(Population!AG$12:AG$30,GDP!AG$12:AG$30)</f>
        <v>0.12479592338205239</v>
      </c>
      <c r="AH62" cm="1">
        <f t="array" ref="AH62">_xll.Gini2(Population!AH$12:AH$30,GDP!AH$12:AH$30)</f>
        <v>0.13253979410265096</v>
      </c>
      <c r="AI62" cm="1">
        <f t="array" ref="AI62">_xll.Gini2(Population!AI$12:AI$30,GDP!AI$12:AI$30)</f>
        <v>0.13397530079087602</v>
      </c>
      <c r="AJ62" cm="1">
        <f t="array" ref="AJ62">_xll.Gini2(Population!AJ$12:AJ$30,GDP!AJ$12:AJ$30)</f>
        <v>0.17623380532948543</v>
      </c>
      <c r="AK62" cm="1">
        <f t="array" ref="AK62">_xll.Gini2(Population!AK$12:AK$30,GDP!AK$12:AK$30)</f>
        <v>0.18096571822388285</v>
      </c>
      <c r="AL62" cm="1">
        <f t="array" ref="AL62">_xll.Gini2(Population!AL$12:AL$30,GDP!AL$12:AL$30)</f>
        <v>0.17099031789303057</v>
      </c>
      <c r="AM62" cm="1">
        <f t="array" ref="AM62">_xll.Gini2(Population!AM$12:AM$30,GDP!AM$12:AM$30)</f>
        <v>0.14070307422779579</v>
      </c>
      <c r="AN62" cm="1">
        <f t="array" ref="AN62">_xll.Gini2(Population!AN$12:AN$30,GDP!AN$12:AN$30)</f>
        <v>0.13703851971855058</v>
      </c>
      <c r="AO62" cm="1">
        <f t="array" ref="AO62">_xll.Gini2(Population!AO$12:AO$30,GDP!AO$12:AO$30)</f>
        <v>0.13675724923042878</v>
      </c>
      <c r="AP62" cm="1">
        <f t="array" ref="AP62">_xll.Gini2(Population!AP$12:AP$30,GDP!AP$12:AP$30)</f>
        <v>0.14787353779228854</v>
      </c>
      <c r="AQ62" cm="1">
        <f t="array" ref="AQ62">_xll.Gini2(Population!AQ$12:AQ$30,GDP!AQ$12:AQ$30)</f>
        <v>0.1680038693805545</v>
      </c>
      <c r="AR62" cm="1">
        <f t="array" ref="AR62">_xll.Gini2(Population!AR$12:AR$30,GDP!AR$12:AR$30)</f>
        <v>0.16679431225734648</v>
      </c>
      <c r="AS62" cm="1">
        <f t="array" ref="AS62">_xll.Gini2(Population!AS$12:AS$30,GDP!AS$12:AS$30)</f>
        <v>0.15580376399366924</v>
      </c>
      <c r="AT62" cm="1">
        <f t="array" ref="AT62">_xll.Gini2(Population!AT$12:AT$30,GDP!AT$12:AT$30)</f>
        <v>0.12573883794698415</v>
      </c>
      <c r="AU62" cm="1">
        <f t="array" ref="AU62">_xll.Gini2(Population!AU$12:AU$30,GDP!AU$12:AU$30)</f>
        <v>0.10903505353692054</v>
      </c>
      <c r="AV62" cm="1">
        <f t="array" ref="AV62">_xll.Gini2(Population!AV$12:AV$30,GDP!AV$12:AV$30)</f>
        <v>0.11095716554655766</v>
      </c>
      <c r="AW62" cm="1">
        <f t="array" ref="AW62">_xll.Gini2(Population!AW$12:AW$30,GDP!AW$12:AW$30)</f>
        <v>0.11310156410688572</v>
      </c>
      <c r="AX62" cm="1">
        <f t="array" ref="AX62">_xll.Gini2(Population!AX$12:AX$30,GDP!AX$12:AX$30)</f>
        <v>0.10987907122783819</v>
      </c>
      <c r="AY62" cm="1">
        <f t="array" ref="AY62">_xll.Gini2(Population!AY$12:AY$30,GDP!AY$12:AY$30)</f>
        <v>9.8422564887121422E-2</v>
      </c>
      <c r="AZ62" cm="1">
        <f t="array" ref="AZ62">_xll.Gini2(Population!AZ$12:AZ$30,GDP!AZ$12:AZ$30)</f>
        <v>0.10016281045869263</v>
      </c>
      <c r="BA62" cm="1">
        <f t="array" ref="BA62">_xll.Gini2(Population!BA$12:BA$30,GDP!BA$12:BA$30)</f>
        <v>0.10342083377282714</v>
      </c>
      <c r="BB62" cm="1">
        <f t="array" ref="BB62">_xll.Gini2(Population!BB$12:BB$30,GDP!BB$12:BB$30)</f>
        <v>0.10383311194404965</v>
      </c>
      <c r="BC62" cm="1">
        <f t="array" ref="BC62">_xll.Gini2(Population!BC$12:BC$30,GDP!BC$12:BC$30)</f>
        <v>0.12186880530634829</v>
      </c>
      <c r="BD62" cm="1">
        <f t="array" ref="BD62">_xll.Gini2(Population!BD$12:BD$30,GDP!BD$12:BD$30)</f>
        <v>0.12908421054920044</v>
      </c>
      <c r="BE62" cm="1">
        <f t="array" ref="BE62">_xll.Gini2(Population!BE$12:BE$30,GDP!BE$12:BE$30)</f>
        <v>0.13102633586676307</v>
      </c>
      <c r="BF62" cm="1">
        <f t="array" ref="BF62">_xll.Gini2(Population!BF$12:BF$30,GDP!BF$12:BF$30)</f>
        <v>0.15581595300824239</v>
      </c>
      <c r="BG62" cm="1">
        <f t="array" ref="BG62">_xll.Gini2(Population!BG$12:BG$30,GDP!BG$12:BG$30)</f>
        <v>0.14977387376873233</v>
      </c>
      <c r="BH62" cm="1">
        <f t="array" ref="BH62">_xll.Gini2(Population!BH$12:BH$30,GDP!BH$12:BH$30)</f>
        <v>0.14930559443132363</v>
      </c>
      <c r="BI62" cm="1">
        <f t="array" ref="BI62">_xll.Gini2(Population!BI$12:BI$30,GDP!BI$12:BI$30)</f>
        <v>0.14867132069621442</v>
      </c>
      <c r="BJ62" cm="1">
        <f t="array" ref="BJ62">_xll.Gini2(Population!BJ$12:BJ$30,GDP!BJ$12:BJ$30)</f>
        <v>0.15894273672570194</v>
      </c>
    </row>
    <row r="63" spans="1:70" x14ac:dyDescent="0.45">
      <c r="B63" t="s">
        <v>210</v>
      </c>
      <c r="C63" cm="1">
        <f t="array" ref="C63">_xll.Gini2(Population!C$12:C$88,GDP!C$12:C$88)</f>
        <v>0.64598817804045583</v>
      </c>
      <c r="D63" cm="1">
        <f t="array" ref="D63">_xll.Gini2(Population!D$12:D$88,GDP!D$12:D$88)</f>
        <v>0.64612655739441238</v>
      </c>
      <c r="E63" cm="1">
        <f t="array" ref="E63">_xll.Gini2(Population!E$12:E$88,GDP!E$12:E$88)</f>
        <v>0.64591297241212775</v>
      </c>
      <c r="F63" cm="1">
        <f t="array" ref="F63">_xll.Gini2(Population!F$12:F$88,GDP!F$12:F$88)</f>
        <v>0.63853637022316367</v>
      </c>
      <c r="G63" cm="1">
        <f t="array" ref="G63">_xll.Gini2(Population!G$12:G$88,GDP!G$12:G$88)</f>
        <v>0.63765899457399211</v>
      </c>
      <c r="H63" cm="1">
        <f t="array" ref="H63">_xll.Gini2(Population!H$12:H$88,GDP!H$12:H$88)</f>
        <v>0.64077161663102289</v>
      </c>
      <c r="I63" cm="1">
        <f t="array" ref="I63">_xll.Gini2(Population!I$12:I$88,GDP!I$12:I$88)</f>
        <v>0.65553933747610282</v>
      </c>
      <c r="J63" cm="1">
        <f t="array" ref="J63">_xll.Gini2(Population!J$12:J$88,GDP!J$12:J$88)</f>
        <v>0.65487802187927613</v>
      </c>
      <c r="K63" cm="1">
        <f t="array" ref="K63">_xll.Gini2(Population!K$12:K$88,GDP!K$12:K$88)</f>
        <v>0.65906394364602228</v>
      </c>
      <c r="L63" cm="1">
        <f t="array" ref="L63">_xll.Gini2(Population!L$12:L$88,GDP!L$12:L$88)</f>
        <v>0.65713775309927125</v>
      </c>
      <c r="M63" cm="1">
        <f t="array" ref="M63">_xll.Gini2(Population!M$12:M$88,GDP!M$12:M$88)</f>
        <v>0.65296662693645435</v>
      </c>
      <c r="N63" cm="1">
        <f t="array" ref="N63">_xll.Gini2(Population!N$12:N$88,GDP!N$12:N$88)</f>
        <v>0.65607164852470445</v>
      </c>
      <c r="O63" cm="1">
        <f t="array" ref="O63">_xll.Gini2(Population!O$12:O$88,GDP!O$12:O$88)</f>
        <v>0.65697224338496285</v>
      </c>
      <c r="P63" cm="1">
        <f t="array" ref="P63">_xll.Gini2(Population!P$12:P$88,GDP!P$12:P$88)</f>
        <v>0.65064958784143112</v>
      </c>
      <c r="Q63" cm="1">
        <f t="array" ref="Q63">_xll.Gini2(Population!Q$12:Q$88,GDP!Q$12:Q$88)</f>
        <v>0.63906241072439074</v>
      </c>
      <c r="R63" cm="1">
        <f t="array" ref="R63">_xll.Gini2(Population!R$12:R$88,GDP!R$12:R$88)</f>
        <v>0.64225874951875539</v>
      </c>
      <c r="S63" cm="1">
        <f t="array" ref="S63">_xll.Gini2(Population!S$12:S$88,GDP!S$12:S$88)</f>
        <v>0.64922563448522097</v>
      </c>
      <c r="T63" cm="1">
        <f t="array" ref="T63">_xll.Gini2(Population!T$12:T$88,GDP!T$12:T$88)</f>
        <v>0.64974930055494728</v>
      </c>
      <c r="U63" cm="1">
        <f t="array" ref="U63">_xll.Gini2(Population!U$12:U$88,GDP!U$12:U$88)</f>
        <v>0.64996243794280206</v>
      </c>
      <c r="V63" cm="1">
        <f t="array" ref="V63">_xll.Gini2(Population!V$12:V$88,GDP!V$12:V$88)</f>
        <v>0.64672687007779017</v>
      </c>
      <c r="W63" cm="1">
        <f t="array" ref="W63">_xll.Gini2(Population!W$12:W$88,GDP!W$12:W$88)</f>
        <v>0.64381701812174397</v>
      </c>
      <c r="X63" cm="1">
        <f t="array" ref="X63">_xll.Gini2(Population!X$12:X$88,GDP!X$12:X$88)</f>
        <v>0.64259875160186164</v>
      </c>
      <c r="Y63" cm="1">
        <f t="array" ref="Y63">_xll.Gini2(Population!Y$12:Y$88,GDP!Y$12:Y$88)</f>
        <v>0.65097035965609329</v>
      </c>
      <c r="Z63" cm="1">
        <f t="array" ref="Z63">_xll.Gini2(Population!Z$12:Z$88,GDP!Z$12:Z$88)</f>
        <v>0.66839445077305726</v>
      </c>
      <c r="AA63" cm="1">
        <f t="array" ref="AA63">_xll.Gini2(Population!AA$12:AA$88,GDP!AA$12:AA$88)</f>
        <v>0.68376920628848947</v>
      </c>
      <c r="AB63" cm="1">
        <f t="array" ref="AB63">_xll.Gini2(Population!AB$12:AB$88,GDP!AB$12:AB$88)</f>
        <v>0.69014432493472744</v>
      </c>
      <c r="AC63" cm="1">
        <f t="array" ref="AC63">_xll.Gini2(Population!AC$12:AC$88,GDP!AC$12:AC$88)</f>
        <v>0.69329938155319104</v>
      </c>
      <c r="AD63" cm="1">
        <f t="array" ref="AD63">_xll.Gini2(Population!AD$12:AD$88,GDP!AD$12:AD$88)</f>
        <v>0.69300659878054471</v>
      </c>
      <c r="AE63" cm="1">
        <f t="array" ref="AE63">_xll.Gini2(Population!AE$12:AE$88,GDP!AE$12:AE$88)</f>
        <v>0.69945227324017278</v>
      </c>
      <c r="AF63" cm="1">
        <f t="array" ref="AF63">_xll.Gini2(Population!AF$12:AF$88,GDP!AF$12:AF$88)</f>
        <v>0.69832345009123464</v>
      </c>
      <c r="AG63" cm="1">
        <f t="array" ref="AG63">_xll.Gini2(Population!AG$12:AG$88,GDP!AG$12:AG$88)</f>
        <v>0.69344601636136671</v>
      </c>
      <c r="AH63" cm="1">
        <f t="array" ref="AH63">_xll.Gini2(Population!AH$12:AH$88,GDP!AH$12:AH$88)</f>
        <v>0.70033650272383419</v>
      </c>
      <c r="AI63" cm="1">
        <f t="array" ref="AI63">_xll.Gini2(Population!AI$12:AI$88,GDP!AI$12:AI$88)</f>
        <v>0.7077569943332721</v>
      </c>
      <c r="AJ63" cm="1">
        <f t="array" ref="AJ63">_xll.Gini2(Population!AJ$12:AJ$88,GDP!AJ$12:AJ$88)</f>
        <v>0.71761271406520521</v>
      </c>
      <c r="AK63" cm="1">
        <f t="array" ref="AK63">_xll.Gini2(Population!AK$12:AK$88,GDP!AK$12:AK$88)</f>
        <v>0.71937036859890802</v>
      </c>
      <c r="AL63" cm="1">
        <f t="array" ref="AL63">_xll.Gini2(Population!AL$12:AL$88,GDP!AL$12:AL$88)</f>
        <v>0.71822181460138013</v>
      </c>
      <c r="AM63" cm="1">
        <f t="array" ref="AM63">_xll.Gini2(Population!AM$12:AM$88,GDP!AM$12:AM$88)</f>
        <v>0.70883339520302047</v>
      </c>
      <c r="AN63" cm="1">
        <f t="array" ref="AN63">_xll.Gini2(Population!AN$12:AN$88,GDP!AN$12:AN$88)</f>
        <v>0.70648779704799647</v>
      </c>
      <c r="AO63" cm="1">
        <f t="array" ref="AO63">_xll.Gini2(Population!AO$12:AO$88,GDP!AO$12:AO$88)</f>
        <v>0.7092655056332291</v>
      </c>
      <c r="AP63" cm="1">
        <f t="array" ref="AP63">_xll.Gini2(Population!AP$12:AP$88,GDP!AP$12:AP$88)</f>
        <v>0.7191713530724736</v>
      </c>
      <c r="AQ63" cm="1">
        <f t="array" ref="AQ63">_xll.Gini2(Population!AQ$12:AQ$88,GDP!AQ$12:AQ$88)</f>
        <v>0.72273703526427524</v>
      </c>
      <c r="AR63" cm="1">
        <f t="array" ref="AR63">_xll.Gini2(Population!AR$12:AR$88,GDP!AR$12:AR$88)</f>
        <v>0.72567214020711879</v>
      </c>
      <c r="AS63" cm="1">
        <f t="array" ref="AS63">_xll.Gini2(Population!AS$12:AS$88,GDP!AS$12:AS$88)</f>
        <v>0.72512834983997299</v>
      </c>
      <c r="AT63" cm="1">
        <f t="array" ref="AT63">_xll.Gini2(Population!AT$12:AT$88,GDP!AT$12:AT$88)</f>
        <v>0.71981844161324593</v>
      </c>
      <c r="AU63" cm="1">
        <f t="array" ref="AU63">_xll.Gini2(Population!AU$12:AU$88,GDP!AU$12:AU$88)</f>
        <v>0.71474567454291416</v>
      </c>
      <c r="AV63" cm="1">
        <f t="array" ref="AV63">_xll.Gini2(Population!AV$12:AV$88,GDP!AV$12:AV$88)</f>
        <v>0.70889809896922484</v>
      </c>
      <c r="AW63" cm="1">
        <f t="array" ref="AW63">_xll.Gini2(Population!AW$12:AW$88,GDP!AW$12:AW$88)</f>
        <v>0.70317290041325076</v>
      </c>
      <c r="AX63" cm="1">
        <f t="array" ref="AX63">_xll.Gini2(Population!AX$12:AX$88,GDP!AX$12:AX$88)</f>
        <v>0.69458529069115504</v>
      </c>
      <c r="AY63" cm="1">
        <f t="array" ref="AY63">_xll.Gini2(Population!AY$12:AY$88,GDP!AY$12:AY$88)</f>
        <v>0.69089481046019663</v>
      </c>
      <c r="AZ63" cm="1">
        <f t="array" ref="AZ63">_xll.Gini2(Population!AZ$12:AZ$88,GDP!AZ$12:AZ$88)</f>
        <v>0.68758417071166789</v>
      </c>
      <c r="BA63" cm="1">
        <f t="array" ref="BA63">_xll.Gini2(Population!BA$12:BA$88,GDP!BA$12:BA$88)</f>
        <v>0.67558825213576668</v>
      </c>
      <c r="BB63" cm="1">
        <f t="array" ref="BB63">_xll.Gini2(Population!BB$12:BB$88,GDP!BB$12:BB$88)</f>
        <v>0.67281562267317063</v>
      </c>
      <c r="BC63" cm="1">
        <f t="array" ref="BC63">_xll.Gini2(Population!BC$12:BC$88,GDP!BC$12:BC$88)</f>
        <v>0.67569698287270175</v>
      </c>
      <c r="BD63" cm="1">
        <f t="array" ref="BD63">_xll.Gini2(Population!BD$12:BD$88,GDP!BD$12:BD$88)</f>
        <v>0.67472681887144126</v>
      </c>
      <c r="BE63" cm="1">
        <f t="array" ref="BE63">_xll.Gini2(Population!BE$12:BE$88,GDP!BE$12:BE$88)</f>
        <v>0.67297972559834518</v>
      </c>
      <c r="BF63" cm="1">
        <f t="array" ref="BF63">_xll.Gini2(Population!BF$12:BF$88,GDP!BF$12:BF$88)</f>
        <v>0.67821531683289094</v>
      </c>
      <c r="BG63" cm="1">
        <f t="array" ref="BG63">_xll.Gini2(Population!BG$12:BG$88,GDP!BG$12:BG$88)</f>
        <v>0.67828765017685078</v>
      </c>
      <c r="BH63" cm="1">
        <f t="array" ref="BH63">_xll.Gini2(Population!BH$12:BH$88,GDP!BH$12:BH$88)</f>
        <v>0.67239417947983415</v>
      </c>
      <c r="BI63" cm="1">
        <f t="array" ref="BI63">_xll.Gini2(Population!BI$12:BI$88,GDP!BI$12:BI$88)</f>
        <v>0.67722412378352048</v>
      </c>
      <c r="BJ63" cm="1">
        <f t="array" ref="BJ63">_xll.Gini2(Population!BJ$12:BJ$88,GDP!BJ$12:BJ$88)</f>
        <v>0.67917022016772133</v>
      </c>
    </row>
    <row r="64" spans="1:70" x14ac:dyDescent="0.45">
      <c r="B64" t="s">
        <v>207</v>
      </c>
      <c r="C64" cm="1">
        <f t="array" ref="C64">_xll.Gini2(C$12:C$13,C$8:C$9)</f>
        <v>0.49379745470675918</v>
      </c>
      <c r="D64" cm="1">
        <f t="array" ref="D64">_xll.Gini2(D$12:D$13,D$8:D$9)</f>
        <v>0.50105919368209417</v>
      </c>
      <c r="E64" cm="1">
        <f t="array" ref="E64">_xll.Gini2(E$12:E$13,E$8:E$9)</f>
        <v>0.50345060163081712</v>
      </c>
      <c r="F64" cm="1">
        <f t="array" ref="F64">_xll.Gini2(F$12:F$13,F$8:F$9)</f>
        <v>0.50098417132558104</v>
      </c>
      <c r="G64" cm="1">
        <f t="array" ref="G64">_xll.Gini2(G$12:G$13,G$8:G$9)</f>
        <v>0.50480086463574458</v>
      </c>
      <c r="H64" cm="1">
        <f t="array" ref="H64">_xll.Gini2(H$12:H$13,H$8:H$9)</f>
        <v>0.50952838461544447</v>
      </c>
      <c r="I64" cm="1">
        <f t="array" ref="I64">_xll.Gini2(I$12:I$13,I$8:I$9)</f>
        <v>0.52095948837921147</v>
      </c>
      <c r="J64" cm="1">
        <f t="array" ref="J64">_xll.Gini2(J$12:J$13,J$8:J$9)</f>
        <v>0.52451128147039028</v>
      </c>
      <c r="K64" cm="1">
        <f t="array" ref="K64">_xll.Gini2(K$12:K$13,K$8:K$9)</f>
        <v>0.52950785570025416</v>
      </c>
      <c r="L64" cm="1">
        <f t="array" ref="L64">_xll.Gini2(L$12:L$13,L$8:L$9)</f>
        <v>0.53084007582726311</v>
      </c>
      <c r="M64" cm="1">
        <f t="array" ref="M64">_xll.Gini2(M$12:M$13,M$8:M$9)</f>
        <v>0.53485716074664358</v>
      </c>
      <c r="N64" cm="1">
        <f t="array" ref="N64">_xll.Gini2(N$12:N$13,N$8:N$9)</f>
        <v>0.54039596105554355</v>
      </c>
      <c r="O64" cm="1">
        <f t="array" ref="O64">_xll.Gini2(O$12:O$13,O$8:O$9)</f>
        <v>0.54822739512327556</v>
      </c>
      <c r="P64" cm="1">
        <f t="array" ref="P64">_xll.Gini2(P$12:P$13,P$8:P$9)</f>
        <v>0.54637094215764559</v>
      </c>
      <c r="Q64" cm="1">
        <f t="array" ref="Q64">_xll.Gini2(Q$12:Q$13,Q$8:Q$9)</f>
        <v>0.53361732485745927</v>
      </c>
      <c r="R64" cm="1">
        <f t="array" ref="R64">_xll.Gini2(R$12:R$13,R$8:R$9)</f>
        <v>0.53791249727794566</v>
      </c>
      <c r="S64" cm="1">
        <f t="array" ref="S64">_xll.Gini2(S$12:S$13,S$8:S$9)</f>
        <v>0.54017905836032476</v>
      </c>
      <c r="T64" cm="1">
        <f t="array" ref="T64">_xll.Gini2(T$12:T$13,T$8:T$9)</f>
        <v>0.54570600467354802</v>
      </c>
      <c r="U64" cm="1">
        <f t="array" ref="U64">_xll.Gini2(U$12:U$13,U$8:U$9)</f>
        <v>0.55521730856454998</v>
      </c>
      <c r="V64" cm="1">
        <f t="array" ref="V64">_xll.Gini2(V$12:V$13,V$8:V$9)</f>
        <v>0.55358089751378958</v>
      </c>
      <c r="W64" cm="1">
        <f t="array" ref="W64">_xll.Gini2(W$12:W$13,W$8:W$9)</f>
        <v>0.54891849447025076</v>
      </c>
      <c r="X64" cm="1">
        <f t="array" ref="X64">_xll.Gini2(X$12:X$13,X$8:X$9)</f>
        <v>0.53376816080463463</v>
      </c>
      <c r="Y64" cm="1">
        <f t="array" ref="Y64">_xll.Gini2(Y$12:Y$13,Y$8:Y$9)</f>
        <v>0.54591271512491368</v>
      </c>
      <c r="Z64" cm="1">
        <f t="array" ref="Z64">_xll.Gini2(Z$12:Z$13,Z$8:Z$9)</f>
        <v>0.56980237720850557</v>
      </c>
      <c r="AA64" cm="1">
        <f t="array" ref="AA64">_xll.Gini2(AA$12:AA$13,AA$8:AA$9)</f>
        <v>0.57995421819437332</v>
      </c>
      <c r="AB64" cm="1">
        <f t="array" ref="AB64">_xll.Gini2(AB$12:AB$13,AB$8:AB$9)</f>
        <v>0.58814978866560719</v>
      </c>
      <c r="AC64" cm="1">
        <f t="array" ref="AC64">_xll.Gini2(AC$12:AC$13,AC$8:AC$9)</f>
        <v>0.61076081395492621</v>
      </c>
      <c r="AD64" cm="1">
        <f t="array" ref="AD64">_xll.Gini2(AD$12:AD$13,AD$8:AD$9)</f>
        <v>0.61734496208169609</v>
      </c>
      <c r="AE64" cm="1">
        <f t="array" ref="AE64">_xll.Gini2(AE$12:AE$13,AE$8:AE$9)</f>
        <v>0.62430895235110151</v>
      </c>
      <c r="AF64" cm="1">
        <f t="array" ref="AF64">_xll.Gini2(AF$12:AF$13,AF$8:AF$9)</f>
        <v>0.62109200840401002</v>
      </c>
      <c r="AG64" cm="1">
        <f t="array" ref="AG64">_xll.Gini2(AG$12:AG$13,AG$8:AG$9)</f>
        <v>0.6223059710570672</v>
      </c>
      <c r="AH64" cm="1">
        <f t="array" ref="AH64">_xll.Gini2(AH$12:AH$13,AH$8:AH$9)</f>
        <v>0.62118457657067883</v>
      </c>
      <c r="AI64" cm="1">
        <f t="array" ref="AI64">_xll.Gini2(AI$12:AI$13,AI$8:AI$9)</f>
        <v>0.63334776025843698</v>
      </c>
      <c r="AJ64" cm="1">
        <f t="array" ref="AJ64">_xll.Gini2(AJ$12:AJ$13,AJ$8:AJ$9)</f>
        <v>0.62714875892927546</v>
      </c>
      <c r="AK64" cm="1">
        <f t="array" ref="AK64">_xll.Gini2(AK$12:AK$13,AK$8:AK$9)</f>
        <v>0.62715503510768189</v>
      </c>
      <c r="AL64" cm="1">
        <f t="array" ref="AL64">_xll.Gini2(AL$12:AL$13,AL$8:AL$9)</f>
        <v>0.62954715764057356</v>
      </c>
      <c r="AM64" cm="1">
        <f t="array" ref="AM64">_xll.Gini2(AM$12:AM$13,AM$8:AM$9)</f>
        <v>0.62386603390524964</v>
      </c>
      <c r="AN64" cm="1">
        <f t="array" ref="AN64">_xll.Gini2(AN$12:AN$13,AN$8:AN$9)</f>
        <v>0.61921643803285198</v>
      </c>
      <c r="AO64" cm="1">
        <f t="array" ref="AO64">_xll.Gini2(AO$12:AO$13,AO$8:AO$9)</f>
        <v>0.62197788072897897</v>
      </c>
      <c r="AP64" cm="1">
        <f t="array" ref="AP64">_xll.Gini2(AP$12:AP$13,AP$8:AP$9)</f>
        <v>0.63659999187392891</v>
      </c>
      <c r="AQ64" cm="1">
        <f t="array" ref="AQ64">_xll.Gini2(AQ$12:AQ$13,AQ$8:AQ$9)</f>
        <v>0.63276657393028668</v>
      </c>
      <c r="AR64" cm="1">
        <f t="array" ref="AR64">_xll.Gini2(AR$12:AR$13,AR$8:AR$9)</f>
        <v>0.63793527134846739</v>
      </c>
      <c r="AS64" cm="1">
        <f t="array" ref="AS64">_xll.Gini2(AS$12:AS$13,AS$8:AS$9)</f>
        <v>0.64100653940427355</v>
      </c>
      <c r="AT64" cm="1">
        <f t="array" ref="AT64">_xll.Gini2(AT$12:AT$13,AT$8:AT$9)</f>
        <v>0.64402242258965681</v>
      </c>
      <c r="AU64" cm="1">
        <f t="array" ref="AU64">_xll.Gini2(AU$12:AU$13,AU$8:AU$9)</f>
        <v>0.64004011473170486</v>
      </c>
      <c r="AV64" cm="1">
        <f t="array" ref="AV64">_xll.Gini2(AV$12:AV$13,AV$8:AV$9)</f>
        <v>0.62785479070553896</v>
      </c>
      <c r="AW64" cm="1">
        <f t="array" ref="AW64">_xll.Gini2(AW$12:AW$13,AW$8:AW$9)</f>
        <v>0.61715364410939011</v>
      </c>
      <c r="AX64" cm="1">
        <f t="array" ref="AX64">_xll.Gini2(AX$12:AX$13,AX$8:AX$9)</f>
        <v>0.60558991428608655</v>
      </c>
      <c r="AY64" cm="1">
        <f t="array" ref="AY64">_xll.Gini2(AY$12:AY$13,AY$8:AY$9)</f>
        <v>0.59907182145743176</v>
      </c>
      <c r="AZ64" cm="1">
        <f t="array" ref="AZ64">_xll.Gini2(AZ$12:AZ$13,AZ$8:AZ$9)</f>
        <v>0.59950077346503083</v>
      </c>
      <c r="BA64" cm="1">
        <f t="array" ref="BA64">_xll.Gini2(BA$12:BA$13,BA$8:BA$9)</f>
        <v>0.57562656838496384</v>
      </c>
      <c r="BB64" cm="1">
        <f t="array" ref="BB64">_xll.Gini2(BB$12:BB$13,BB$8:BB$9)</f>
        <v>0.56789264936132255</v>
      </c>
      <c r="BC64" cm="1">
        <f t="array" ref="BC64">_xll.Gini2(BC$12:BC$13,BC$8:BC$9)</f>
        <v>0.5679554121951802</v>
      </c>
      <c r="BD64" cm="1">
        <f t="array" ref="BD64">_xll.Gini2(BD$12:BD$13,BD$8:BD$9)</f>
        <v>0.56381510214361752</v>
      </c>
      <c r="BE64" cm="1">
        <f t="array" ref="BE64">_xll.Gini2(BE$12:BE$13,BE$8:BE$9)</f>
        <v>0.56428237653093283</v>
      </c>
      <c r="BF64" cm="1">
        <f t="array" ref="BF64">_xll.Gini2(BF$12:BF$13,BF$8:BF$9)</f>
        <v>0.5755402303194902</v>
      </c>
      <c r="BG64" cm="1">
        <f t="array" ref="BG64">_xll.Gini2(BG$12:BG$13,BG$8:BG$9)</f>
        <v>0.58025727307252128</v>
      </c>
      <c r="BH64" cm="1">
        <f t="array" ref="BH64">_xll.Gini2(BH$12:BH$13,BH$8:BH$9)</f>
        <v>0.57279441427689115</v>
      </c>
      <c r="BI64" cm="1">
        <f t="array" ref="BI64">_xll.Gini2(BI$12:BI$13,BI$8:BI$9)</f>
        <v>0.58145946193957943</v>
      </c>
      <c r="BJ64" cm="1">
        <f t="array" ref="BJ64">_xll.Gini2(BJ$12:BJ$13,BJ$8:BJ$9)</f>
        <v>0.58214521648188844</v>
      </c>
    </row>
    <row r="67" spans="1:61" x14ac:dyDescent="0.45">
      <c r="B67" t="str">
        <f>Population!C11</f>
        <v>1960</v>
      </c>
      <c r="C67" t="str">
        <f>Population!D11</f>
        <v>1961</v>
      </c>
      <c r="D67" t="str">
        <f>Population!E11</f>
        <v>1962</v>
      </c>
      <c r="E67" t="str">
        <f>Population!F11</f>
        <v>1963</v>
      </c>
      <c r="F67" t="str">
        <f>Population!G11</f>
        <v>1964</v>
      </c>
      <c r="G67" t="str">
        <f>Population!H11</f>
        <v>1965</v>
      </c>
      <c r="H67" t="str">
        <f>Population!I11</f>
        <v>1966</v>
      </c>
      <c r="I67" t="str">
        <f>Population!J11</f>
        <v>1967</v>
      </c>
      <c r="J67" t="str">
        <f>Population!K11</f>
        <v>1968</v>
      </c>
      <c r="K67" t="str">
        <f>Population!L11</f>
        <v>1969</v>
      </c>
      <c r="L67" t="str">
        <f>Population!M11</f>
        <v>1970</v>
      </c>
      <c r="M67" t="str">
        <f>Population!N11</f>
        <v>1971</v>
      </c>
      <c r="N67" t="str">
        <f>Population!O11</f>
        <v>1972</v>
      </c>
      <c r="O67" t="str">
        <f>Population!P11</f>
        <v>1973</v>
      </c>
      <c r="P67" t="str">
        <f>Population!Q11</f>
        <v>1974</v>
      </c>
      <c r="Q67" t="str">
        <f>Population!R11</f>
        <v>1975</v>
      </c>
      <c r="R67" t="str">
        <f>Population!S11</f>
        <v>1976</v>
      </c>
      <c r="S67" t="str">
        <f>Population!T11</f>
        <v>1977</v>
      </c>
      <c r="T67" t="str">
        <f>Population!U11</f>
        <v>1978</v>
      </c>
      <c r="U67" t="str">
        <f>Population!V11</f>
        <v>1979</v>
      </c>
      <c r="V67" t="str">
        <f>Population!W11</f>
        <v>1980</v>
      </c>
      <c r="W67" t="str">
        <f>Population!X11</f>
        <v>1981</v>
      </c>
      <c r="X67" t="str">
        <f>Population!Y11</f>
        <v>1982</v>
      </c>
      <c r="Y67" t="str">
        <f>Population!Z11</f>
        <v>1983</v>
      </c>
      <c r="Z67" t="str">
        <f>Population!AA11</f>
        <v>1984</v>
      </c>
      <c r="AA67" t="str">
        <f>Population!AB11</f>
        <v>1985</v>
      </c>
      <c r="AB67" t="str">
        <f>Population!AC11</f>
        <v>1986</v>
      </c>
      <c r="AC67" t="str">
        <f>Population!AD11</f>
        <v>1987</v>
      </c>
      <c r="AD67" t="str">
        <f>Population!AE11</f>
        <v>1988</v>
      </c>
      <c r="AE67" t="str">
        <f>Population!AF11</f>
        <v>1989</v>
      </c>
      <c r="AF67" t="str">
        <f>Population!AG11</f>
        <v>1990</v>
      </c>
      <c r="AG67" t="str">
        <f>Population!AH11</f>
        <v>1991</v>
      </c>
      <c r="AH67" t="str">
        <f>Population!AI11</f>
        <v>1992</v>
      </c>
      <c r="AI67" t="str">
        <f>Population!AJ11</f>
        <v>1993</v>
      </c>
      <c r="AJ67" t="str">
        <f>Population!AK11</f>
        <v>1994</v>
      </c>
      <c r="AK67" t="str">
        <f>Population!AL11</f>
        <v>1995</v>
      </c>
      <c r="AL67" t="str">
        <f>Population!AM11</f>
        <v>1996</v>
      </c>
      <c r="AM67" t="str">
        <f>Population!AN11</f>
        <v>1997</v>
      </c>
      <c r="AN67" t="str">
        <f>Population!AO11</f>
        <v>1998</v>
      </c>
      <c r="AO67" t="str">
        <f>Population!AP11</f>
        <v>1999</v>
      </c>
      <c r="AP67" t="str">
        <f>Population!AQ11</f>
        <v>2000</v>
      </c>
      <c r="AQ67" t="str">
        <f>Population!AR11</f>
        <v>2001</v>
      </c>
      <c r="AR67" t="str">
        <f>Population!AS11</f>
        <v>2002</v>
      </c>
      <c r="AS67" t="str">
        <f>Population!AT11</f>
        <v>2003</v>
      </c>
      <c r="AT67" t="str">
        <f>Population!AU11</f>
        <v>2004</v>
      </c>
      <c r="AU67" t="str">
        <f>Population!AV11</f>
        <v>2005</v>
      </c>
      <c r="AV67" t="str">
        <f>Population!AW11</f>
        <v>2006</v>
      </c>
      <c r="AW67" t="str">
        <f>Population!AX11</f>
        <v>2007</v>
      </c>
      <c r="AX67" t="str">
        <f>Population!AY11</f>
        <v>2008</v>
      </c>
      <c r="AY67" t="str">
        <f>Population!AZ11</f>
        <v>2009</v>
      </c>
      <c r="AZ67" t="str">
        <f>Population!BA11</f>
        <v>2010</v>
      </c>
      <c r="BA67" t="str">
        <f>Population!BB11</f>
        <v>2011</v>
      </c>
      <c r="BB67" t="str">
        <f>Population!BC11</f>
        <v>2012</v>
      </c>
      <c r="BC67" t="str">
        <f>Population!BD11</f>
        <v>2013</v>
      </c>
      <c r="BD67" t="str">
        <f>Population!BE11</f>
        <v>2014</v>
      </c>
      <c r="BE67" t="str">
        <f>Population!BF11</f>
        <v>2015</v>
      </c>
      <c r="BF67" t="str">
        <f>Population!BG11</f>
        <v>2016</v>
      </c>
      <c r="BG67" t="str">
        <f>Population!BH11</f>
        <v>2017</v>
      </c>
      <c r="BH67" t="str">
        <f>Population!BI11</f>
        <v>2018</v>
      </c>
      <c r="BI67" t="str">
        <f>Population!BJ11</f>
        <v>2019</v>
      </c>
    </row>
    <row r="68" spans="1:61" x14ac:dyDescent="0.45">
      <c r="A68">
        <v>1</v>
      </c>
      <c r="B68" cm="1">
        <f t="array" ref="B68">_xll.QuartileWeighted(Population!C$31:C$88,GDP!C$31:C$88,$A68)</f>
        <v>83.337946996809507</v>
      </c>
      <c r="C68" cm="1">
        <f t="array" ref="C68">_xll.QuartileWeighted(Population!D$31:D$88,GDP!D$31:D$88,$A68)</f>
        <v>89.40902657344698</v>
      </c>
      <c r="D68" cm="1">
        <f t="array" ref="D68">_xll.QuartileWeighted(Population!E$31:E$88,GDP!E$31:E$88,$A68)</f>
        <v>91.319200116612933</v>
      </c>
      <c r="E68" cm="1">
        <f t="array" ref="E68">_xll.QuartileWeighted(Population!F$31:F$88,GDP!F$31:F$88,$A68)</f>
        <v>101.90141160853429</v>
      </c>
      <c r="F68" cm="1">
        <f t="array" ref="F68">_xll.QuartileWeighted(Population!G$31:G$88,GDP!G$31:G$88,$A68)</f>
        <v>120.82080428815689</v>
      </c>
      <c r="G68" cm="1">
        <f t="array" ref="G68">_xll.QuartileWeighted(Population!H$31:H$88,GDP!H$31:H$88,$A68)</f>
        <v>125.97536489458199</v>
      </c>
      <c r="H68" cm="1">
        <f t="array" ref="H68">_xll.QuartileWeighted(Population!I$31:I$88,GDP!I$31:I$88,$A68)</f>
        <v>94.398239350539356</v>
      </c>
      <c r="I68" cm="1">
        <f t="array" ref="I68">_xll.QuartileWeighted(Population!J$31:J$88,GDP!J$31:J$88,$A68)</f>
        <v>99.406078059491236</v>
      </c>
      <c r="J68" cm="1">
        <f t="array" ref="J68">_xll.QuartileWeighted(Population!K$31:K$88,GDP!K$31:K$88,$A68)</f>
        <v>109.94616424549105</v>
      </c>
      <c r="K68" cm="1">
        <f t="array" ref="K68">_xll.QuartileWeighted(Population!L$31:L$88,GDP!L$31:L$88,$A68)</f>
        <v>116.02509874025708</v>
      </c>
      <c r="L68" cm="1">
        <f t="array" ref="L68">_xll.QuartileWeighted(Population!M$31:M$88,GDP!M$31:M$88,$A68)</f>
        <v>114.55659160674921</v>
      </c>
      <c r="M68" cm="1">
        <f t="array" ref="M68">_xll.QuartileWeighted(Population!N$31:N$88,GDP!N$31:N$88,$A68)</f>
        <v>131.09874079340722</v>
      </c>
      <c r="N68" cm="1">
        <f t="array" ref="N68">_xll.QuartileWeighted(Population!O$31:O$88,GDP!O$31:O$88,$A68)</f>
        <v>123.31091315795955</v>
      </c>
      <c r="O68" cm="1">
        <f t="array" ref="O68">_xll.QuartileWeighted(Population!P$31:P$88,GDP!P$31:P$88,$A68)</f>
        <v>161.98737247785976</v>
      </c>
      <c r="P68" cm="1">
        <f t="array" ref="P68">_xll.QuartileWeighted(Population!Q$31:Q$88,GDP!Q$31:Q$88,$A68)</f>
        <v>174.01414815530595</v>
      </c>
      <c r="Q68" cm="1">
        <f t="array" ref="Q68">_xll.QuartileWeighted(Population!R$31:R$88,GDP!R$31:R$88,$A68)</f>
        <v>168.08038639819077</v>
      </c>
      <c r="R68" cm="1">
        <f t="array" ref="R68">_xll.QuartileWeighted(Population!S$31:S$88,GDP!S$31:S$88,$A68)</f>
        <v>169.31092188352332</v>
      </c>
      <c r="S68" cm="1">
        <f t="array" ref="S68">_xll.QuartileWeighted(Population!T$31:T$88,GDP!T$31:T$88,$A68)</f>
        <v>213.1687088652007</v>
      </c>
      <c r="T68" cm="1">
        <f t="array" ref="T68">_xll.QuartileWeighted(Population!U$31:U$88,GDP!U$31:U$88,$A68)</f>
        <v>210.68520599872591</v>
      </c>
      <c r="U68" cm="1">
        <f t="array" ref="U68">_xll.QuartileWeighted(Population!V$31:V$88,GDP!V$31:V$88,$A68)</f>
        <v>227.07989721315607</v>
      </c>
      <c r="V68" cm="1">
        <f t="array" ref="V68">_xll.QuartileWeighted(Population!W$31:W$88,GDP!W$31:W$88,$A68)</f>
        <v>282.68573437788325</v>
      </c>
      <c r="W68" cm="1">
        <f t="array" ref="W68">_xll.QuartileWeighted(Population!X$31:X$88,GDP!X$31:X$88,$A68)</f>
        <v>306.83211139874635</v>
      </c>
      <c r="X68" cm="1">
        <f t="array" ref="X68">_xll.QuartileWeighted(Population!Y$31:Y$88,GDP!Y$31:Y$88,$A68)</f>
        <v>281.8103538869949</v>
      </c>
      <c r="Y68" cm="1">
        <f t="array" ref="Y68">_xll.QuartileWeighted(Population!Z$31:Z$88,GDP!Z$31:Z$88,$A68)</f>
        <v>324.39650169056023</v>
      </c>
      <c r="Z68" cm="1">
        <f t="array" ref="Z68">_xll.QuartileWeighted(Population!AA$31:AA$88,GDP!AA$31:AA$88,$A68)</f>
        <v>293.18671564842583</v>
      </c>
      <c r="AA68" cm="1">
        <f t="array" ref="AA68">_xll.QuartileWeighted(Population!AB$31:AB$88,GDP!AB$31:AB$88,$A68)</f>
        <v>308.64861103369088</v>
      </c>
      <c r="AB68" cm="1">
        <f t="array" ref="AB68">_xll.QuartileWeighted(Population!AC$31:AC$88,GDP!AC$31:AC$88,$A68)</f>
        <v>315.46193713905444</v>
      </c>
      <c r="AC68" cm="1">
        <f t="array" ref="AC68">_xll.QuartileWeighted(Population!AD$31:AD$88,GDP!AD$31:AD$88,$A68)</f>
        <v>344.50307115596161</v>
      </c>
      <c r="AD68" cm="1">
        <f t="array" ref="AD68">_xll.QuartileWeighted(Population!AE$31:AE$88,GDP!AE$31:AE$88,$A68)</f>
        <v>372.68410721069029</v>
      </c>
      <c r="AE68" cm="1">
        <f t="array" ref="AE68">_xll.QuartileWeighted(Population!AF$31:AF$88,GDP!AF$31:AF$88,$A68)</f>
        <v>361.15462261934681</v>
      </c>
      <c r="AF68" cm="1">
        <f t="array" ref="AF68">_xll.QuartileWeighted(Population!AG$31:AG$88,GDP!AG$31:AG$88,$A68)</f>
        <v>371.67856397039532</v>
      </c>
      <c r="AG68" cm="1">
        <f t="array" ref="AG68">_xll.QuartileWeighted(Population!AH$31:AH$88,GDP!AH$31:AH$88,$A68)</f>
        <v>304.87477065017356</v>
      </c>
      <c r="AH68" cm="1">
        <f t="array" ref="AH68">_xll.QuartileWeighted(Population!AI$31:AI$88,GDP!AI$31:AI$88,$A68)</f>
        <v>317.96285946798861</v>
      </c>
      <c r="AI68" cm="1">
        <f t="array" ref="AI68">_xll.QuartileWeighted(Population!AJ$31:AJ$88,GDP!AJ$31:AJ$88,$A68)</f>
        <v>306.150559945476</v>
      </c>
      <c r="AJ68" cm="1">
        <f t="array" ref="AJ68">_xll.QuartileWeighted(Population!AK$31:AK$88,GDP!AK$31:AK$88,$A68)</f>
        <v>412.26097721015498</v>
      </c>
      <c r="AK68" cm="1">
        <f t="array" ref="AK68">_xll.QuartileWeighted(Population!AL$31:AL$88,GDP!AL$31:AL$88,$A68)</f>
        <v>379.9880324832597</v>
      </c>
      <c r="AL68" cm="1">
        <f t="array" ref="AL68">_xll.QuartileWeighted(Population!AM$31:AM$88,GDP!AM$31:AM$88,$A68)</f>
        <v>421.3392693221262</v>
      </c>
      <c r="AM68" cm="1">
        <f t="array" ref="AM68">_xll.QuartileWeighted(Population!AN$31:AN$88,GDP!AN$31:AN$88,$A68)</f>
        <v>415.77048949248177</v>
      </c>
      <c r="AN68" cm="1">
        <f t="array" ref="AN68">_xll.QuartileWeighted(Population!AO$31:AO$88,GDP!AO$31:AO$88,$A68)</f>
        <v>432.44676839056069</v>
      </c>
      <c r="AO68" cm="1">
        <f t="array" ref="AO68">_xll.QuartileWeighted(Population!AP$31:AP$88,GDP!AP$31:AP$88,$A68)</f>
        <v>451.92714475343496</v>
      </c>
      <c r="AP68" cm="1">
        <f t="array" ref="AP68">_xll.QuartileWeighted(Population!AQ$31:AQ$88,GDP!AQ$31:AQ$88,$A68)</f>
        <v>449.40095507185038</v>
      </c>
      <c r="AQ68" cm="1">
        <f t="array" ref="AQ68">_xll.QuartileWeighted(Population!AR$31:AR$88,GDP!AR$31:AR$88,$A68)</f>
        <v>471.30747734392253</v>
      </c>
      <c r="AR68" cm="1">
        <f t="array" ref="AR68">_xll.QuartileWeighted(Population!AS$31:AS$88,GDP!AS$31:AS$88,$A68)</f>
        <v>491.83430811653977</v>
      </c>
      <c r="AS68" cm="1">
        <f t="array" ref="AS68">_xll.QuartileWeighted(Population!AT$31:AT$88,GDP!AT$31:AT$88,$A68)</f>
        <v>568.24645268959284</v>
      </c>
      <c r="AT68" cm="1">
        <f t="array" ref="AT68">_xll.QuartileWeighted(Population!AU$31:AU$88,GDP!AU$31:AU$88,$A68)</f>
        <v>687.83637146501098</v>
      </c>
      <c r="AU68" cm="1">
        <f t="array" ref="AU68">_xll.QuartileWeighted(Population!AV$31:AV$88,GDP!AV$31:AV$88,$A68)</f>
        <v>748.92262141930337</v>
      </c>
      <c r="AV68" cm="1">
        <f t="array" ref="AV68">_xll.QuartileWeighted(Population!AW$31:AW$88,GDP!AW$31:AW$88,$A68)</f>
        <v>836.86054470144313</v>
      </c>
      <c r="AW68" cm="1">
        <f t="array" ref="AW68">_xll.QuartileWeighted(Population!AX$31:AX$88,GDP!AX$31:AX$88,$A68)</f>
        <v>1061.1541148416304</v>
      </c>
      <c r="AX68" cm="1">
        <f t="array" ref="AX68">_xll.QuartileWeighted(Population!AY$31:AY$88,GDP!AY$31:AY$88,$A68)</f>
        <v>1120.8883290994595</v>
      </c>
      <c r="AY68" cm="1">
        <f t="array" ref="AY68">_xll.QuartileWeighted(Population!AZ$31:AZ$88,GDP!AZ$31:AZ$88,$A68)</f>
        <v>1159.9077403574795</v>
      </c>
      <c r="AZ68" cm="1">
        <f t="array" ref="AZ68">_xll.QuartileWeighted(Population!BA$31:BA$88,GDP!BA$31:BA$88,$A68)</f>
        <v>1489.4593484749064</v>
      </c>
      <c r="BA68" cm="1">
        <f t="array" ref="BA68">_xll.QuartileWeighted(Population!BB$31:BB$88,GDP!BB$31:BB$88,$A68)</f>
        <v>1549.4629626697326</v>
      </c>
      <c r="BB68" cm="1">
        <f t="array" ref="BB68">_xll.QuartileWeighted(Population!BC$31:BC$88,GDP!BC$31:BC$88,$A68)</f>
        <v>1457.8945379129191</v>
      </c>
      <c r="BC68" cm="1">
        <f t="array" ref="BC68">_xll.QuartileWeighted(Population!BD$31:BD$88,GDP!BD$31:BD$88,$A68)</f>
        <v>1465.6388331579344</v>
      </c>
      <c r="BD68" cm="1">
        <f t="array" ref="BD68">_xll.QuartileWeighted(Population!BE$31:BE$88,GDP!BE$31:BE$88,$A68)</f>
        <v>1709.9996086119691</v>
      </c>
      <c r="BE68" cm="1">
        <f t="array" ref="BE68">_xll.QuartileWeighted(Population!BF$31:BF$88,GDP!BF$31:BF$88,$A68)</f>
        <v>1743.8510262627256</v>
      </c>
      <c r="BF68" cm="1">
        <f t="array" ref="BF68">_xll.QuartileWeighted(Population!BG$31:BG$88,GDP!BG$31:BG$88,$A68)</f>
        <v>1815.2957990957236</v>
      </c>
      <c r="BG68" cm="1">
        <f t="array" ref="BG68">_xll.QuartileWeighted(Population!BH$31:BH$88,GDP!BH$31:BH$88,$A68)</f>
        <v>1981.6510689337588</v>
      </c>
      <c r="BH68" cm="1">
        <f t="array" ref="BH68">_xll.QuartileWeighted(Population!BI$31:BI$88,GDP!BI$31:BI$88,$A68)</f>
        <v>2020.5470990468971</v>
      </c>
      <c r="BI68" cm="1">
        <f t="array" ref="BI68">_xll.QuartileWeighted(Population!BJ$31:BJ$88,GDP!BJ$31:BJ$88,$A68)</f>
        <v>2011.0724890660881</v>
      </c>
    </row>
    <row r="69" spans="1:61" x14ac:dyDescent="0.45">
      <c r="A69">
        <v>2</v>
      </c>
      <c r="B69" cm="1">
        <f t="array" ref="B69">_xll.QuartileWeighted(Population!C$31:C$88,GDP!C$31:C$88,$A69)</f>
        <v>89.035239419310031</v>
      </c>
      <c r="C69" cm="1">
        <f t="array" ref="C69">_xll.QuartileWeighted(Population!D$31:D$88,GDP!D$31:D$88,$A69)</f>
        <v>94.651260680740862</v>
      </c>
      <c r="D69" cm="1">
        <f t="array" ref="D69">_xll.QuartileWeighted(Population!E$31:E$88,GDP!E$31:E$88,$A69)</f>
        <v>94.464537080246245</v>
      </c>
      <c r="E69" cm="1">
        <f t="array" ref="E69">_xll.QuartileWeighted(Population!F$31:F$88,GDP!F$31:F$88,$A69)</f>
        <v>101.90141160853429</v>
      </c>
      <c r="F69" cm="1">
        <f t="array" ref="F69">_xll.QuartileWeighted(Population!G$31:G$88,GDP!G$31:G$88,$A69)</f>
        <v>120.82080428815689</v>
      </c>
      <c r="G69" cm="1">
        <f t="array" ref="G69">_xll.QuartileWeighted(Population!H$31:H$88,GDP!H$31:H$88,$A69)</f>
        <v>125.97536489458199</v>
      </c>
      <c r="H69" cm="1">
        <f t="array" ref="H69">_xll.QuartileWeighted(Population!I$31:I$88,GDP!I$31:I$88,$A69)</f>
        <v>112.94083609510101</v>
      </c>
      <c r="I69" cm="1">
        <f t="array" ref="I69">_xll.QuartileWeighted(Population!J$31:J$88,GDP!J$31:J$88,$A69)</f>
        <v>100.40617573943831</v>
      </c>
      <c r="J69" cm="1">
        <f t="array" ref="J69">_xll.QuartileWeighted(Population!K$31:K$88,GDP!K$31:K$88,$A69)</f>
        <v>109.94616424549105</v>
      </c>
      <c r="K69" cm="1">
        <f t="array" ref="K69">_xll.QuartileWeighted(Population!L$31:L$88,GDP!L$31:L$88,$A69)</f>
        <v>126.54492393260266</v>
      </c>
      <c r="L69" cm="1">
        <f t="array" ref="L69">_xll.QuartileWeighted(Population!M$31:M$88,GDP!M$31:M$88,$A69)</f>
        <v>141.88048801767286</v>
      </c>
      <c r="M69" cm="1">
        <f t="array" ref="M69">_xll.QuartileWeighted(Population!N$31:N$88,GDP!N$31:N$88,$A69)</f>
        <v>134.68632965209227</v>
      </c>
      <c r="N69" cm="1">
        <f t="array" ref="N69">_xll.QuartileWeighted(Population!O$31:O$88,GDP!O$31:O$88,$A69)</f>
        <v>123.31091315795955</v>
      </c>
      <c r="O69" cm="1">
        <f t="array" ref="O69">_xll.QuartileWeighted(Population!P$31:P$88,GDP!P$31:P$88,$A69)</f>
        <v>161.98737247785976</v>
      </c>
      <c r="P69" cm="1">
        <f t="array" ref="P69">_xll.QuartileWeighted(Population!Q$31:Q$88,GDP!Q$31:Q$88,$A69)</f>
        <v>174.01414815530595</v>
      </c>
      <c r="Q69" cm="1">
        <f t="array" ref="Q69">_xll.QuartileWeighted(Population!R$31:R$88,GDP!R$31:R$88,$A69)</f>
        <v>193.35499015250971</v>
      </c>
      <c r="R69" cm="1">
        <f t="array" ref="R69">_xll.QuartileWeighted(Population!S$31:S$88,GDP!S$31:S$88,$A69)</f>
        <v>169.31092188352332</v>
      </c>
      <c r="S69" cm="1">
        <f t="array" ref="S69">_xll.QuartileWeighted(Population!T$31:T$88,GDP!T$31:T$88,$A69)</f>
        <v>213.1687088652007</v>
      </c>
      <c r="T69" cm="1">
        <f t="array" ref="T69">_xll.QuartileWeighted(Population!U$31:U$88,GDP!U$31:U$88,$A69)</f>
        <v>210.68520599872591</v>
      </c>
      <c r="U69" cm="1">
        <f t="array" ref="U69">_xll.QuartileWeighted(Population!V$31:V$88,GDP!V$31:V$88,$A69)</f>
        <v>227.07989721315607</v>
      </c>
      <c r="V69" cm="1">
        <f t="array" ref="V69">_xll.QuartileWeighted(Population!W$31:W$88,GDP!W$31:W$88,$A69)</f>
        <v>282.68573437788325</v>
      </c>
      <c r="W69" cm="1">
        <f t="array" ref="W69">_xll.QuartileWeighted(Population!X$31:X$88,GDP!X$31:X$88,$A69)</f>
        <v>306.83211139874635</v>
      </c>
      <c r="X69" cm="1">
        <f t="array" ref="X69">_xll.QuartileWeighted(Population!Y$31:Y$88,GDP!Y$31:Y$88,$A69)</f>
        <v>281.8103538869949</v>
      </c>
      <c r="Y69" cm="1">
        <f t="array" ref="Y69">_xll.QuartileWeighted(Population!Z$31:Z$88,GDP!Z$31:Z$88,$A69)</f>
        <v>324.39650169056023</v>
      </c>
      <c r="Z69" cm="1">
        <f t="array" ref="Z69">_xll.QuartileWeighted(Population!AA$31:AA$88,GDP!AA$31:AA$88,$A69)</f>
        <v>293.18671564842583</v>
      </c>
      <c r="AA69" cm="1">
        <f t="array" ref="AA69">_xll.QuartileWeighted(Population!AB$31:AB$88,GDP!AB$31:AB$88,$A69)</f>
        <v>308.64861103369088</v>
      </c>
      <c r="AB69" cm="1">
        <f t="array" ref="AB69">_xll.QuartileWeighted(Population!AC$31:AC$88,GDP!AC$31:AC$88,$A69)</f>
        <v>315.46193713905444</v>
      </c>
      <c r="AC69" cm="1">
        <f t="array" ref="AC69">_xll.QuartileWeighted(Population!AD$31:AD$88,GDP!AD$31:AD$88,$A69)</f>
        <v>344.50307115596161</v>
      </c>
      <c r="AD69" cm="1">
        <f t="array" ref="AD69">_xll.QuartileWeighted(Population!AE$31:AE$88,GDP!AE$31:AE$88,$A69)</f>
        <v>372.68410721069029</v>
      </c>
      <c r="AE69" cm="1">
        <f t="array" ref="AE69">_xll.QuartileWeighted(Population!AF$31:AF$88,GDP!AF$31:AF$88,$A69)</f>
        <v>361.15462261934681</v>
      </c>
      <c r="AF69" cm="1">
        <f t="array" ref="AF69">_xll.QuartileWeighted(Population!AG$31:AG$88,GDP!AG$31:AG$88,$A69)</f>
        <v>371.67856397039532</v>
      </c>
      <c r="AG69" cm="1">
        <f t="array" ref="AG69">_xll.QuartileWeighted(Population!AH$31:AH$88,GDP!AH$31:AH$88,$A69)</f>
        <v>304.87477065017356</v>
      </c>
      <c r="AH69" cm="1">
        <f t="array" ref="AH69">_xll.QuartileWeighted(Population!AI$31:AI$88,GDP!AI$31:AI$88,$A69)</f>
        <v>317.96285946798861</v>
      </c>
      <c r="AI69" cm="1">
        <f t="array" ref="AI69">_xll.QuartileWeighted(Population!AJ$31:AJ$88,GDP!AJ$31:AJ$88,$A69)</f>
        <v>306.150559945476</v>
      </c>
      <c r="AJ69" cm="1">
        <f t="array" ref="AJ69">_xll.QuartileWeighted(Population!AK$31:AK$88,GDP!AK$31:AK$88,$A69)</f>
        <v>412.26097721015498</v>
      </c>
      <c r="AK69" cm="1">
        <f t="array" ref="AK69">_xll.QuartileWeighted(Population!AL$31:AL$88,GDP!AL$31:AL$88,$A69)</f>
        <v>379.9880324832597</v>
      </c>
      <c r="AL69" cm="1">
        <f t="array" ref="AL69">_xll.QuartileWeighted(Population!AM$31:AM$88,GDP!AM$31:AM$88,$A69)</f>
        <v>421.3392693221262</v>
      </c>
      <c r="AM69" cm="1">
        <f t="array" ref="AM69">_xll.QuartileWeighted(Population!AN$31:AN$88,GDP!AN$31:AN$88,$A69)</f>
        <v>415.77048949248177</v>
      </c>
      <c r="AN69" cm="1">
        <f t="array" ref="AN69">_xll.QuartileWeighted(Population!AO$31:AO$88,GDP!AO$31:AO$88,$A69)</f>
        <v>432.44676839056069</v>
      </c>
      <c r="AO69" cm="1">
        <f t="array" ref="AO69">_xll.QuartileWeighted(Population!AP$31:AP$88,GDP!AP$31:AP$88,$A69)</f>
        <v>451.92714475343496</v>
      </c>
      <c r="AP69" cm="1">
        <f t="array" ref="AP69">_xll.QuartileWeighted(Population!AQ$31:AQ$88,GDP!AQ$31:AQ$88,$A69)</f>
        <v>449.40095507185038</v>
      </c>
      <c r="AQ69" cm="1">
        <f t="array" ref="AQ69">_xll.QuartileWeighted(Population!AR$31:AR$88,GDP!AR$31:AR$88,$A69)</f>
        <v>471.30747734392253</v>
      </c>
      <c r="AR69" cm="1">
        <f t="array" ref="AR69">_xll.QuartileWeighted(Population!AS$31:AS$88,GDP!AS$31:AS$88,$A69)</f>
        <v>491.83430811653977</v>
      </c>
      <c r="AS69" cm="1">
        <f t="array" ref="AS69">_xll.QuartileWeighted(Population!AT$31:AT$88,GDP!AT$31:AT$88,$A69)</f>
        <v>568.24645268959284</v>
      </c>
      <c r="AT69" cm="1">
        <f t="array" ref="AT69">_xll.QuartileWeighted(Population!AU$31:AU$88,GDP!AU$31:AU$88,$A69)</f>
        <v>687.83637146501098</v>
      </c>
      <c r="AU69" cm="1">
        <f t="array" ref="AU69">_xll.QuartileWeighted(Population!AV$31:AV$88,GDP!AV$31:AV$88,$A69)</f>
        <v>748.92262141930337</v>
      </c>
      <c r="AV69" cm="1">
        <f t="array" ref="AV69">_xll.QuartileWeighted(Population!AW$31:AW$88,GDP!AW$31:AW$88,$A69)</f>
        <v>836.86054470144313</v>
      </c>
      <c r="AW69" cm="1">
        <f t="array" ref="AW69">_xll.QuartileWeighted(Population!AX$31:AX$88,GDP!AX$31:AX$88,$A69)</f>
        <v>1061.1541148416304</v>
      </c>
      <c r="AX69" cm="1">
        <f t="array" ref="AX69">_xll.QuartileWeighted(Population!AY$31:AY$88,GDP!AY$31:AY$88,$A69)</f>
        <v>1120.8883290994595</v>
      </c>
      <c r="AY69" cm="1">
        <f t="array" ref="AY69">_xll.QuartileWeighted(Population!AZ$31:AZ$88,GDP!AZ$31:AZ$88,$A69)</f>
        <v>1159.9077403574795</v>
      </c>
      <c r="AZ69" cm="1">
        <f t="array" ref="AZ69">_xll.QuartileWeighted(Population!BA$31:BA$88,GDP!BA$31:BA$88,$A69)</f>
        <v>1489.4593484749064</v>
      </c>
      <c r="BA69" cm="1">
        <f t="array" ref="BA69">_xll.QuartileWeighted(Population!BB$31:BB$88,GDP!BB$31:BB$88,$A69)</f>
        <v>1549.4629626697326</v>
      </c>
      <c r="BB69" cm="1">
        <f t="array" ref="BB69">_xll.QuartileWeighted(Population!BC$31:BC$88,GDP!BC$31:BC$88,$A69)</f>
        <v>1457.8945379129191</v>
      </c>
      <c r="BC69" cm="1">
        <f t="array" ref="BC69">_xll.QuartileWeighted(Population!BD$31:BD$88,GDP!BD$31:BD$88,$A69)</f>
        <v>1465.6388331579344</v>
      </c>
      <c r="BD69" cm="1">
        <f t="array" ref="BD69">_xll.QuartileWeighted(Population!BE$31:BE$88,GDP!BE$31:BE$88,$A69)</f>
        <v>1709.9996086119691</v>
      </c>
      <c r="BE69" cm="1">
        <f t="array" ref="BE69">_xll.QuartileWeighted(Population!BF$31:BF$88,GDP!BF$31:BF$88,$A69)</f>
        <v>1743.8510262627256</v>
      </c>
      <c r="BF69" cm="1">
        <f t="array" ref="BF69">_xll.QuartileWeighted(Population!BG$31:BG$88,GDP!BG$31:BG$88,$A69)</f>
        <v>1815.2957990957236</v>
      </c>
      <c r="BG69" cm="1">
        <f t="array" ref="BG69">_xll.QuartileWeighted(Population!BH$31:BH$88,GDP!BH$31:BH$88,$A69)</f>
        <v>2025.9323682539125</v>
      </c>
      <c r="BH69" cm="1">
        <f t="array" ref="BH69">_xll.QuartileWeighted(Population!BI$31:BI$88,GDP!BI$31:BI$88,$A69)</f>
        <v>2020.5470990468971</v>
      </c>
      <c r="BI69" cm="1">
        <f t="array" ref="BI69">_xll.QuartileWeighted(Population!BJ$31:BJ$88,GDP!BJ$31:BJ$88,$A69)</f>
        <v>2202.11552372396</v>
      </c>
    </row>
    <row r="70" spans="1:61" x14ac:dyDescent="0.45">
      <c r="A70">
        <v>3</v>
      </c>
      <c r="B70" cm="1">
        <f t="array" ref="B70">_xll.QuartileWeighted(Population!C$31:C$88,GDP!C$31:C$88,$A70)</f>
        <v>220.31405647769046</v>
      </c>
      <c r="C70" cm="1">
        <f t="array" ref="C70">_xll.QuartileWeighted(Population!D$31:D$88,GDP!D$31:D$88,$A70)</f>
        <v>220.04213089094085</v>
      </c>
      <c r="D70" cm="1">
        <f t="array" ref="D70">_xll.QuartileWeighted(Population!E$31:E$88,GDP!E$31:E$88,$A70)</f>
        <v>230.26046605161187</v>
      </c>
      <c r="E70" cm="1">
        <f t="array" ref="E70">_xll.QuartileWeighted(Population!F$31:F$88,GDP!F$31:F$88,$A70)</f>
        <v>274.31492582521366</v>
      </c>
      <c r="F70" cm="1">
        <f t="array" ref="F70">_xll.QuartileWeighted(Population!G$31:G$88,GDP!G$31:G$88,$A70)</f>
        <v>226.22704905007134</v>
      </c>
      <c r="G70" cm="1">
        <f t="array" ref="G70">_xll.QuartileWeighted(Population!H$31:H$88,GDP!H$31:H$88,$A70)</f>
        <v>261.35437099411217</v>
      </c>
      <c r="H70" cm="1">
        <f t="array" ref="H70">_xll.QuartileWeighted(Population!I$31:I$88,GDP!I$31:I$88,$A70)</f>
        <v>267.7484235800888</v>
      </c>
      <c r="I70" cm="1">
        <f t="array" ref="I70">_xll.QuartileWeighted(Population!J$31:J$88,GDP!J$31:J$88,$A70)</f>
        <v>238.31069477245978</v>
      </c>
      <c r="J70" cm="1">
        <f t="array" ref="J70">_xll.QuartileWeighted(Population!K$31:K$88,GDP!K$31:K$88,$A70)</f>
        <v>252.58451994296931</v>
      </c>
      <c r="K70" cm="1">
        <f t="array" ref="K70">_xll.QuartileWeighted(Population!L$31:L$88,GDP!L$31:L$88,$A70)</f>
        <v>277.9720084157704</v>
      </c>
      <c r="L70" cm="1">
        <f t="array" ref="L70">_xll.QuartileWeighted(Population!M$31:M$88,GDP!M$31:M$88,$A70)</f>
        <v>285.27337328579176</v>
      </c>
      <c r="M70" cm="1">
        <f t="array" ref="M70">_xll.QuartileWeighted(Population!N$31:N$88,GDP!N$31:N$88,$A70)</f>
        <v>297.27985731722146</v>
      </c>
      <c r="N70" cm="1">
        <f t="array" ref="N70">_xll.QuartileWeighted(Population!O$31:O$88,GDP!O$31:O$88,$A70)</f>
        <v>331.66929206723484</v>
      </c>
      <c r="O70" cm="1">
        <f t="array" ref="O70">_xll.QuartileWeighted(Population!P$31:P$88,GDP!P$31:P$88,$A70)</f>
        <v>414.43584736265865</v>
      </c>
      <c r="P70" cm="1">
        <f t="array" ref="P70">_xll.QuartileWeighted(Population!Q$31:Q$88,GDP!Q$31:Q$88,$A70)</f>
        <v>479.04752682702758</v>
      </c>
      <c r="Q70" cm="1">
        <f t="array" ref="Q70">_xll.QuartileWeighted(Population!R$31:R$88,GDP!R$31:R$88,$A70)</f>
        <v>529.74243068826934</v>
      </c>
      <c r="R70" cm="1">
        <f t="array" ref="R70">_xll.QuartileWeighted(Population!S$31:S$88,GDP!S$31:S$88,$A70)</f>
        <v>567.44382563454815</v>
      </c>
      <c r="S70" cm="1">
        <f t="array" ref="S70">_xll.QuartileWeighted(Population!T$31:T$88,GDP!T$31:T$88,$A70)</f>
        <v>667.75990870470002</v>
      </c>
      <c r="T70" cm="1">
        <f t="array" ref="T70">_xll.QuartileWeighted(Population!U$31:U$88,GDP!U$31:U$88,$A70)</f>
        <v>627.96704717573607</v>
      </c>
      <c r="U70" cm="1">
        <f t="array" ref="U70">_xll.QuartileWeighted(Population!V$31:V$88,GDP!V$31:V$88,$A70)</f>
        <v>723.10650398748714</v>
      </c>
      <c r="V70" cm="1">
        <f t="array" ref="V70">_xll.QuartileWeighted(Population!W$31:W$88,GDP!W$31:W$88,$A70)</f>
        <v>901.49911346560441</v>
      </c>
      <c r="W70" cm="1">
        <f t="array" ref="W70">_xll.QuartileWeighted(Population!X$31:X$88,GDP!X$31:X$88,$A70)</f>
        <v>1328.8281582478348</v>
      </c>
      <c r="X70" cm="1">
        <f t="array" ref="X70">_xll.QuartileWeighted(Population!Y$31:Y$88,GDP!Y$31:Y$88,$A70)</f>
        <v>1402.4064069649176</v>
      </c>
      <c r="Y70" cm="1">
        <f t="array" ref="Y70">_xll.QuartileWeighted(Population!Z$31:Z$88,GDP!Z$31:Z$88,$A70)</f>
        <v>1232.8373657121588</v>
      </c>
      <c r="Z70" cm="1">
        <f t="array" ref="Z70">_xll.QuartileWeighted(Population!AA$31:AA$88,GDP!AA$31:AA$88,$A70)</f>
        <v>910.96746468612992</v>
      </c>
      <c r="AA70" cm="1">
        <f t="array" ref="AA70">_xll.QuartileWeighted(Population!AB$31:AB$88,GDP!AB$31:AB$88,$A70)</f>
        <v>1042.2427004194162</v>
      </c>
      <c r="AB70" cm="1">
        <f t="array" ref="AB70">_xll.QuartileWeighted(Population!AC$31:AC$88,GDP!AC$31:AC$88,$A70)</f>
        <v>875.45084575979206</v>
      </c>
      <c r="AC70" cm="1">
        <f t="array" ref="AC70">_xll.QuartileWeighted(Population!AD$31:AD$88,GDP!AD$31:AD$88,$A70)</f>
        <v>942.93049611925153</v>
      </c>
      <c r="AD70" cm="1">
        <f t="array" ref="AD70">_xll.QuartileWeighted(Population!AE$31:AE$88,GDP!AE$31:AE$88,$A70)</f>
        <v>991.51737535654831</v>
      </c>
      <c r="AE70" cm="1">
        <f t="array" ref="AE70">_xll.QuartileWeighted(Population!AF$31:AF$88,GDP!AF$31:AF$88,$A70)</f>
        <v>1040.962318831997</v>
      </c>
      <c r="AF70" cm="1">
        <f t="array" ref="AF70">_xll.QuartileWeighted(Population!AG$31:AG$88,GDP!AG$31:AG$88,$A70)</f>
        <v>993.48304957335608</v>
      </c>
      <c r="AG70" cm="1">
        <f t="array" ref="AG70">_xll.QuartileWeighted(Population!AH$31:AH$88,GDP!AH$31:AH$88,$A70)</f>
        <v>1084.9747581748404</v>
      </c>
      <c r="AH70" cm="1">
        <f t="array" ref="AH70">_xll.QuartileWeighted(Population!AI$31:AI$88,GDP!AI$31:AI$88,$A70)</f>
        <v>1178.0237755587257</v>
      </c>
      <c r="AI70" cm="1">
        <f t="array" ref="AI70">_xll.QuartileWeighted(Population!AJ$31:AJ$88,GDP!AJ$31:AJ$88,$A70)</f>
        <v>1488.0331672770812</v>
      </c>
      <c r="AJ70" cm="1">
        <f t="array" ref="AJ70">_xll.QuartileWeighted(Population!AK$31:AK$88,GDP!AK$31:AK$88,$A70)</f>
        <v>1293.4701995173709</v>
      </c>
      <c r="AK70" cm="1">
        <f t="array" ref="AK70">_xll.QuartileWeighted(Population!AL$31:AL$88,GDP!AL$31:AL$88,$A70)</f>
        <v>1424.682503553588</v>
      </c>
      <c r="AL70" cm="1">
        <f t="array" ref="AL70">_xll.QuartileWeighted(Population!AM$31:AM$88,GDP!AM$31:AM$88,$A70)</f>
        <v>1487.6076918711331</v>
      </c>
      <c r="AM70" cm="1">
        <f t="array" ref="AM70">_xll.QuartileWeighted(Population!AN$31:AN$88,GDP!AN$31:AN$88,$A70)</f>
        <v>1649.0015563066943</v>
      </c>
      <c r="AN70" cm="1">
        <f t="array" ref="AN70">_xll.QuartileWeighted(Population!AO$31:AO$88,GDP!AO$31:AO$88,$A70)</f>
        <v>1049.4993896942246</v>
      </c>
      <c r="AO70" cm="1">
        <f t="array" ref="AO70">_xll.QuartileWeighted(Population!AP$31:AP$88,GDP!AP$31:AP$88,$A70)</f>
        <v>1578.9334903270062</v>
      </c>
      <c r="AP70" cm="1">
        <f t="array" ref="AP70">_xll.QuartileWeighted(Population!AQ$31:AQ$88,GDP!AQ$31:AQ$88,$A70)</f>
        <v>1080.4621254606238</v>
      </c>
      <c r="AQ70" cm="1">
        <f t="array" ref="AQ70">_xll.QuartileWeighted(Population!AR$31:AR$88,GDP!AR$31:AR$88,$A70)</f>
        <v>1034.5516241215882</v>
      </c>
      <c r="AR70" cm="1">
        <f t="array" ref="AR70">_xll.QuartileWeighted(Population!AS$31:AS$88,GDP!AS$31:AS$88,$A70)</f>
        <v>1122.063941846646</v>
      </c>
      <c r="AS70" cm="1">
        <f t="array" ref="AS70">_xll.QuartileWeighted(Population!AT$31:AT$88,GDP!AT$31:AT$88,$A70)</f>
        <v>1145.4975640693867</v>
      </c>
      <c r="AT70" cm="1">
        <f t="array" ref="AT70">_xll.QuartileWeighted(Population!AU$31:AU$88,GDP!AU$31:AU$88,$A70)</f>
        <v>1204.4765599887849</v>
      </c>
      <c r="AU70" cm="1">
        <f t="array" ref="AU70">_xll.QuartileWeighted(Population!AV$31:AV$88,GDP!AV$31:AV$88,$A70)</f>
        <v>1296.6959080893714</v>
      </c>
      <c r="AV70" cm="1">
        <f t="array" ref="AV70">_xll.QuartileWeighted(Population!AW$31:AW$88,GDP!AW$31:AW$88,$A70)</f>
        <v>1954.1333676339164</v>
      </c>
      <c r="AW70" cm="1">
        <f t="array" ref="AW70">_xll.QuartileWeighted(Population!AX$31:AX$88,GDP!AX$31:AX$88,$A70)</f>
        <v>2165.745817401375</v>
      </c>
      <c r="AX70" cm="1">
        <f t="array" ref="AX70">_xll.QuartileWeighted(Population!AY$31:AY$88,GDP!AY$31:AY$88,$A70)</f>
        <v>2566.8871276363552</v>
      </c>
      <c r="AY70" cm="1">
        <f t="array" ref="AY70">_xll.QuartileWeighted(Population!AZ$31:AZ$88,GDP!AZ$31:AZ$88,$A70)</f>
        <v>2314.2660212269484</v>
      </c>
      <c r="AZ70" cm="1">
        <f t="array" ref="AZ70">_xll.QuartileWeighted(Population!BA$31:BA$88,GDP!BA$31:BA$88,$A70)</f>
        <v>2812.4360807921698</v>
      </c>
      <c r="BA70" cm="1">
        <f t="array" ref="BA70">_xll.QuartileWeighted(Population!BB$31:BB$88,GDP!BB$31:BB$88,$A70)</f>
        <v>3281.6675824802028</v>
      </c>
      <c r="BB70" cm="1">
        <f t="array" ref="BB70">_xll.QuartileWeighted(Population!BC$31:BC$88,GDP!BC$31:BC$88,$A70)</f>
        <v>2790.6766382710948</v>
      </c>
      <c r="BC70" cm="1">
        <f t="array" ref="BC70">_xll.QuartileWeighted(Population!BD$31:BD$88,GDP!BD$31:BD$88,$A70)</f>
        <v>3047.9308794030235</v>
      </c>
      <c r="BD70" cm="1">
        <f t="array" ref="BD70">_xll.QuartileWeighted(Population!BE$31:BE$88,GDP!BE$31:BE$88,$A70)</f>
        <v>3779.6423134083993</v>
      </c>
      <c r="BE70" cm="1">
        <f t="array" ref="BE70">_xll.QuartileWeighted(Population!BF$31:BF$88,GDP!BF$31:BF$88,$A70)</f>
        <v>3035.9722039093886</v>
      </c>
      <c r="BF70" cm="1">
        <f t="array" ref="BF70">_xll.QuartileWeighted(Population!BG$31:BG$88,GDP!BG$31:BG$88,$A70)</f>
        <v>3076.6590376395975</v>
      </c>
      <c r="BG70" cm="1">
        <f t="array" ref="BG70">_xll.QuartileWeighted(Population!BH$31:BH$88,GDP!BH$31:BH$88,$A70)</f>
        <v>3351.1239196008455</v>
      </c>
      <c r="BH70" cm="1">
        <f t="array" ref="BH70">_xll.QuartileWeighted(Population!BI$31:BI$88,GDP!BI$31:BI$88,$A70)</f>
        <v>3548.5903190500039</v>
      </c>
      <c r="BI70" cm="1">
        <f t="array" ref="BI70">_xll.QuartileWeighted(Population!BJ$31:BJ$88,GDP!BJ$31:BJ$88,$A70)</f>
        <v>3552.0688745863408</v>
      </c>
    </row>
    <row r="71" spans="1:61" x14ac:dyDescent="0.45">
      <c r="B71" t="str">
        <f>B67</f>
        <v>1960</v>
      </c>
      <c r="C71" t="str">
        <f t="shared" ref="C71:BI71" si="47">C67</f>
        <v>1961</v>
      </c>
      <c r="D71" t="str">
        <f t="shared" si="47"/>
        <v>1962</v>
      </c>
      <c r="E71" t="str">
        <f t="shared" si="47"/>
        <v>1963</v>
      </c>
      <c r="F71" t="str">
        <f t="shared" si="47"/>
        <v>1964</v>
      </c>
      <c r="G71" t="str">
        <f t="shared" si="47"/>
        <v>1965</v>
      </c>
      <c r="H71" t="str">
        <f t="shared" si="47"/>
        <v>1966</v>
      </c>
      <c r="I71" t="str">
        <f t="shared" si="47"/>
        <v>1967</v>
      </c>
      <c r="J71" t="str">
        <f t="shared" si="47"/>
        <v>1968</v>
      </c>
      <c r="K71" t="str">
        <f t="shared" si="47"/>
        <v>1969</v>
      </c>
      <c r="L71" t="str">
        <f t="shared" si="47"/>
        <v>1970</v>
      </c>
      <c r="M71" t="str">
        <f t="shared" si="47"/>
        <v>1971</v>
      </c>
      <c r="N71" t="str">
        <f t="shared" si="47"/>
        <v>1972</v>
      </c>
      <c r="O71" t="str">
        <f t="shared" si="47"/>
        <v>1973</v>
      </c>
      <c r="P71" t="str">
        <f t="shared" si="47"/>
        <v>1974</v>
      </c>
      <c r="Q71" t="str">
        <f t="shared" si="47"/>
        <v>1975</v>
      </c>
      <c r="R71" t="str">
        <f t="shared" si="47"/>
        <v>1976</v>
      </c>
      <c r="S71" t="str">
        <f t="shared" si="47"/>
        <v>1977</v>
      </c>
      <c r="T71" t="str">
        <f t="shared" si="47"/>
        <v>1978</v>
      </c>
      <c r="U71" t="str">
        <f t="shared" si="47"/>
        <v>1979</v>
      </c>
      <c r="V71" t="str">
        <f t="shared" si="47"/>
        <v>1980</v>
      </c>
      <c r="W71" t="str">
        <f t="shared" si="47"/>
        <v>1981</v>
      </c>
      <c r="X71" t="str">
        <f t="shared" si="47"/>
        <v>1982</v>
      </c>
      <c r="Y71" t="str">
        <f t="shared" si="47"/>
        <v>1983</v>
      </c>
      <c r="Z71" t="str">
        <f t="shared" si="47"/>
        <v>1984</v>
      </c>
      <c r="AA71" t="str">
        <f t="shared" si="47"/>
        <v>1985</v>
      </c>
      <c r="AB71" t="str">
        <f t="shared" si="47"/>
        <v>1986</v>
      </c>
      <c r="AC71" t="str">
        <f t="shared" si="47"/>
        <v>1987</v>
      </c>
      <c r="AD71" t="str">
        <f t="shared" si="47"/>
        <v>1988</v>
      </c>
      <c r="AE71" t="str">
        <f t="shared" si="47"/>
        <v>1989</v>
      </c>
      <c r="AF71" t="str">
        <f t="shared" si="47"/>
        <v>1990</v>
      </c>
      <c r="AG71" t="str">
        <f t="shared" si="47"/>
        <v>1991</v>
      </c>
      <c r="AH71" t="str">
        <f t="shared" si="47"/>
        <v>1992</v>
      </c>
      <c r="AI71" t="str">
        <f t="shared" si="47"/>
        <v>1993</v>
      </c>
      <c r="AJ71" t="str">
        <f t="shared" si="47"/>
        <v>1994</v>
      </c>
      <c r="AK71" t="str">
        <f t="shared" si="47"/>
        <v>1995</v>
      </c>
      <c r="AL71" t="str">
        <f t="shared" si="47"/>
        <v>1996</v>
      </c>
      <c r="AM71" t="str">
        <f t="shared" si="47"/>
        <v>1997</v>
      </c>
      <c r="AN71" t="str">
        <f t="shared" si="47"/>
        <v>1998</v>
      </c>
      <c r="AO71" t="str">
        <f t="shared" si="47"/>
        <v>1999</v>
      </c>
      <c r="AP71" t="str">
        <f t="shared" si="47"/>
        <v>2000</v>
      </c>
      <c r="AQ71" t="str">
        <f t="shared" si="47"/>
        <v>2001</v>
      </c>
      <c r="AR71" t="str">
        <f t="shared" si="47"/>
        <v>2002</v>
      </c>
      <c r="AS71" t="str">
        <f t="shared" si="47"/>
        <v>2003</v>
      </c>
      <c r="AT71" t="str">
        <f t="shared" si="47"/>
        <v>2004</v>
      </c>
      <c r="AU71" t="str">
        <f t="shared" si="47"/>
        <v>2005</v>
      </c>
      <c r="AV71" t="str">
        <f t="shared" si="47"/>
        <v>2006</v>
      </c>
      <c r="AW71" t="str">
        <f t="shared" si="47"/>
        <v>2007</v>
      </c>
      <c r="AX71" t="str">
        <f t="shared" si="47"/>
        <v>2008</v>
      </c>
      <c r="AY71" t="str">
        <f t="shared" si="47"/>
        <v>2009</v>
      </c>
      <c r="AZ71" t="str">
        <f t="shared" si="47"/>
        <v>2010</v>
      </c>
      <c r="BA71" t="str">
        <f t="shared" si="47"/>
        <v>2011</v>
      </c>
      <c r="BB71" t="str">
        <f t="shared" si="47"/>
        <v>2012</v>
      </c>
      <c r="BC71" t="str">
        <f t="shared" si="47"/>
        <v>2013</v>
      </c>
      <c r="BD71" t="str">
        <f t="shared" si="47"/>
        <v>2014</v>
      </c>
      <c r="BE71" t="str">
        <f t="shared" si="47"/>
        <v>2015</v>
      </c>
      <c r="BF71" t="str">
        <f t="shared" si="47"/>
        <v>2016</v>
      </c>
      <c r="BG71" t="str">
        <f t="shared" si="47"/>
        <v>2017</v>
      </c>
      <c r="BH71" t="str">
        <f t="shared" si="47"/>
        <v>2018</v>
      </c>
      <c r="BI71" t="str">
        <f t="shared" si="47"/>
        <v>2019</v>
      </c>
    </row>
    <row r="72" spans="1:61" x14ac:dyDescent="0.45">
      <c r="A72" t="s">
        <v>220</v>
      </c>
      <c r="B72">
        <f t="shared" ref="B72:AG72" si="48">(B70-B68)/B69</f>
        <v>1.5384482635666779</v>
      </c>
      <c r="C72">
        <f t="shared" si="48"/>
        <v>1.3801517631985898</v>
      </c>
      <c r="D72">
        <f t="shared" si="48"/>
        <v>1.4708299032574559</v>
      </c>
      <c r="E72">
        <f t="shared" si="48"/>
        <v>1.6919639433359888</v>
      </c>
      <c r="F72">
        <f t="shared" si="48"/>
        <v>0.8724180027019286</v>
      </c>
      <c r="G72">
        <f t="shared" si="48"/>
        <v>1.0746466677260058</v>
      </c>
      <c r="H72">
        <f t="shared" si="48"/>
        <v>1.5348760485851298</v>
      </c>
      <c r="I72">
        <f t="shared" si="48"/>
        <v>1.383427022192705</v>
      </c>
      <c r="J72">
        <f t="shared" si="48"/>
        <v>1.2973472669677781</v>
      </c>
      <c r="K72">
        <f t="shared" si="48"/>
        <v>1.2797582442877411</v>
      </c>
      <c r="L72">
        <f t="shared" si="48"/>
        <v>1.2032435471872482</v>
      </c>
      <c r="M72">
        <f t="shared" si="48"/>
        <v>1.2338380365184503</v>
      </c>
      <c r="N72">
        <f t="shared" si="48"/>
        <v>1.6896994237839367</v>
      </c>
      <c r="O72">
        <f t="shared" si="48"/>
        <v>1.5584453962255806</v>
      </c>
      <c r="P72">
        <f t="shared" si="48"/>
        <v>1.7529228623380799</v>
      </c>
      <c r="Q72">
        <f t="shared" si="48"/>
        <v>1.870456221506442</v>
      </c>
      <c r="R72">
        <f t="shared" si="48"/>
        <v>2.3514897876754732</v>
      </c>
      <c r="S72">
        <f t="shared" si="48"/>
        <v>2.1325418831849494</v>
      </c>
      <c r="T72">
        <f t="shared" si="48"/>
        <v>1.9805939349131787</v>
      </c>
      <c r="U72">
        <f t="shared" si="48"/>
        <v>2.1843704038174687</v>
      </c>
      <c r="V72">
        <f t="shared" si="48"/>
        <v>2.1890506093261699</v>
      </c>
      <c r="W72">
        <f t="shared" si="48"/>
        <v>3.3307988599698573</v>
      </c>
      <c r="X72">
        <f t="shared" si="48"/>
        <v>3.9764190265602455</v>
      </c>
      <c r="Y72">
        <f t="shared" si="48"/>
        <v>2.8004027765014388</v>
      </c>
      <c r="Z72">
        <f t="shared" si="48"/>
        <v>2.1071239454741</v>
      </c>
      <c r="AA72">
        <f t="shared" si="48"/>
        <v>2.3767937491403419</v>
      </c>
      <c r="AB72">
        <f t="shared" si="48"/>
        <v>1.7751393835317022</v>
      </c>
      <c r="AC72">
        <f t="shared" si="48"/>
        <v>1.7370742819659015</v>
      </c>
      <c r="AD72">
        <f t="shared" si="48"/>
        <v>1.6604766776277147</v>
      </c>
      <c r="AE72">
        <f t="shared" si="48"/>
        <v>1.8823175826525702</v>
      </c>
      <c r="AF72">
        <f t="shared" si="48"/>
        <v>1.6729630005040816</v>
      </c>
      <c r="AG72">
        <f t="shared" si="48"/>
        <v>2.5587554715040266</v>
      </c>
      <c r="AH72">
        <f t="shared" ref="AH72:BI72" si="49">(AH70-AH68)/AH69</f>
        <v>2.7049099933551357</v>
      </c>
      <c r="AI72">
        <f t="shared" si="49"/>
        <v>3.8604620143177035</v>
      </c>
      <c r="AJ72">
        <f t="shared" si="49"/>
        <v>2.1375033559337071</v>
      </c>
      <c r="AK72">
        <f t="shared" si="49"/>
        <v>2.7492825609352636</v>
      </c>
      <c r="AL72">
        <f t="shared" si="49"/>
        <v>2.5306647164990772</v>
      </c>
      <c r="AM72">
        <f t="shared" si="49"/>
        <v>2.9661341965842252</v>
      </c>
      <c r="AN72">
        <f t="shared" si="49"/>
        <v>1.4268868827489491</v>
      </c>
      <c r="AO72">
        <f t="shared" si="49"/>
        <v>2.493778828418129</v>
      </c>
      <c r="AP72">
        <f t="shared" si="49"/>
        <v>1.4042274794184164</v>
      </c>
      <c r="AQ72">
        <f t="shared" si="49"/>
        <v>1.1950672837864933</v>
      </c>
      <c r="AR72">
        <f t="shared" si="49"/>
        <v>1.2813860752080226</v>
      </c>
      <c r="AS72">
        <f t="shared" si="49"/>
        <v>1.0158463966604292</v>
      </c>
      <c r="AT72">
        <f t="shared" si="49"/>
        <v>0.75110914449521005</v>
      </c>
      <c r="AU72">
        <f t="shared" si="49"/>
        <v>0.73141506345738116</v>
      </c>
      <c r="AV72">
        <f t="shared" si="49"/>
        <v>1.3350764712310215</v>
      </c>
      <c r="AW72">
        <f t="shared" si="49"/>
        <v>1.0409342875936516</v>
      </c>
      <c r="AX72">
        <f t="shared" si="49"/>
        <v>1.2900471536701925</v>
      </c>
      <c r="AY72">
        <f t="shared" si="49"/>
        <v>0.9952156026768989</v>
      </c>
      <c r="AZ72">
        <f t="shared" si="49"/>
        <v>0.88822614304438152</v>
      </c>
      <c r="BA72">
        <f t="shared" si="49"/>
        <v>1.1179387062120367</v>
      </c>
      <c r="BB72">
        <f t="shared" si="49"/>
        <v>0.91418279285561299</v>
      </c>
      <c r="BC72">
        <f t="shared" si="49"/>
        <v>1.0795920594133059</v>
      </c>
      <c r="BD72">
        <f t="shared" si="49"/>
        <v>1.2103176482457727</v>
      </c>
      <c r="BE72">
        <f t="shared" si="49"/>
        <v>0.74095846387510989</v>
      </c>
      <c r="BF72">
        <f t="shared" si="49"/>
        <v>0.69485272822876187</v>
      </c>
      <c r="BG72">
        <f t="shared" si="49"/>
        <v>0.6759716524236159</v>
      </c>
      <c r="BH72">
        <f t="shared" si="49"/>
        <v>0.75625221541427723</v>
      </c>
      <c r="BI72">
        <f t="shared" si="49"/>
        <v>0.69977999288352499</v>
      </c>
    </row>
    <row r="73" spans="1:61" x14ac:dyDescent="0.45">
      <c r="AH73" s="11"/>
    </row>
    <row r="74" spans="1:61" x14ac:dyDescent="0.45">
      <c r="AH74" s="11"/>
    </row>
    <row r="75" spans="1:61" x14ac:dyDescent="0.45">
      <c r="AH75" s="15"/>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363FC-BC90-4CC3-92F0-B115D3EF23C5}">
  <sheetPr codeName="Sheet5"/>
  <dimension ref="A1:O174"/>
  <sheetViews>
    <sheetView workbookViewId="0">
      <selection activeCell="C4" sqref="C4"/>
    </sheetView>
  </sheetViews>
  <sheetFormatPr defaultRowHeight="14.25" x14ac:dyDescent="0.45"/>
  <cols>
    <col min="1" max="1" width="18.1328125" customWidth="1"/>
    <col min="2" max="2" width="14.73046875" bestFit="1" customWidth="1"/>
    <col min="3" max="4" width="15.3984375" bestFit="1" customWidth="1"/>
    <col min="5" max="5" width="16.33203125" customWidth="1"/>
    <col min="6" max="6" width="17.19921875" customWidth="1"/>
    <col min="7" max="7" width="13.53125" customWidth="1"/>
    <col min="8" max="8" width="25.19921875" customWidth="1"/>
    <col min="9" max="10" width="19.796875" bestFit="1" customWidth="1"/>
    <col min="11" max="11" width="16.1328125" customWidth="1"/>
    <col min="12" max="12" width="16.9296875" bestFit="1" customWidth="1"/>
    <col min="13" max="13" width="17.1328125" bestFit="1" customWidth="1"/>
    <col min="14" max="14" width="17.06640625" bestFit="1" customWidth="1"/>
    <col min="15" max="15" width="12.73046875" customWidth="1"/>
  </cols>
  <sheetData>
    <row r="1" spans="1:15" x14ac:dyDescent="0.45">
      <c r="A1" s="12" t="s">
        <v>214</v>
      </c>
    </row>
    <row r="2" spans="1:15" x14ac:dyDescent="0.45">
      <c r="A2" s="12" t="s">
        <v>215</v>
      </c>
    </row>
    <row r="3" spans="1:15" x14ac:dyDescent="0.45">
      <c r="C3" t="s">
        <v>211</v>
      </c>
      <c r="D3" t="s">
        <v>185</v>
      </c>
      <c r="E3" t="s">
        <v>221</v>
      </c>
      <c r="F3" t="s">
        <v>212</v>
      </c>
      <c r="G3" t="s">
        <v>213</v>
      </c>
      <c r="I3" t="s">
        <v>211</v>
      </c>
      <c r="J3" t="s">
        <v>211</v>
      </c>
      <c r="K3" t="s">
        <v>185</v>
      </c>
      <c r="L3" t="s">
        <v>185</v>
      </c>
      <c r="M3" t="s">
        <v>221</v>
      </c>
      <c r="N3" s="11" t="s">
        <v>222</v>
      </c>
      <c r="O3" t="s">
        <v>223</v>
      </c>
    </row>
    <row r="4" spans="1:15" x14ac:dyDescent="0.45">
      <c r="B4" s="11" t="str">
        <f>Population!B12</f>
        <v>Australia</v>
      </c>
      <c r="C4" s="11">
        <f>Population!C12</f>
        <v>10276477</v>
      </c>
      <c r="D4" s="11">
        <f>GDP!C12</f>
        <v>18577668096</v>
      </c>
      <c r="E4" s="17">
        <f t="shared" ref="E4:E22" si="0">D4/C4</f>
        <v>1807.7856930930707</v>
      </c>
      <c r="F4" s="15">
        <f>C4</f>
        <v>10276477</v>
      </c>
      <c r="G4" s="16">
        <f>F4/$F$22</f>
        <v>2.6888448321279623E-2</v>
      </c>
      <c r="I4" t="str">
        <f>Population!B39</f>
        <v>Burundi</v>
      </c>
      <c r="J4" s="11">
        <f>Population!AT39</f>
        <v>6909154</v>
      </c>
      <c r="K4" t="str">
        <f>GDP!B39</f>
        <v>Burundi</v>
      </c>
      <c r="L4" s="11">
        <f>GDP!AT39</f>
        <v>784654400</v>
      </c>
      <c r="M4" s="17">
        <f t="shared" ref="M4:M35" si="1">L4/J4</f>
        <v>113.56736295065937</v>
      </c>
      <c r="N4" s="11">
        <f>J4</f>
        <v>6909154</v>
      </c>
      <c r="O4" s="16">
        <f>N4/$N$61</f>
        <v>2.642113548338273E-3</v>
      </c>
    </row>
    <row r="5" spans="1:15" x14ac:dyDescent="0.45">
      <c r="B5" s="11" t="str">
        <f>Population!B13</f>
        <v>Austria</v>
      </c>
      <c r="C5" s="11">
        <f>Population!C13</f>
        <v>7047539</v>
      </c>
      <c r="D5" s="11">
        <f>GDP!C13</f>
        <v>6592693760</v>
      </c>
      <c r="E5" s="17">
        <f t="shared" si="0"/>
        <v>935.46041533079847</v>
      </c>
      <c r="F5" s="15">
        <f>F4+C4</f>
        <v>20552954</v>
      </c>
      <c r="G5" s="16">
        <f t="shared" ref="G5:G22" si="2">F5/$F$22</f>
        <v>5.3776896642559247E-2</v>
      </c>
      <c r="I5" t="str">
        <f>Population!B45</f>
        <v>Congo DR</v>
      </c>
      <c r="J5" s="11">
        <f>Population!AT45</f>
        <v>51425580</v>
      </c>
      <c r="K5" t="str">
        <f>GDP!B45</f>
        <v>Congo DR</v>
      </c>
      <c r="L5" s="11">
        <f>GDP!AT45</f>
        <v>8937567232</v>
      </c>
      <c r="M5" s="17">
        <f t="shared" si="1"/>
        <v>173.79613865317611</v>
      </c>
      <c r="N5" s="11">
        <f>N4+J5</f>
        <v>58334734</v>
      </c>
      <c r="O5" s="16">
        <f t="shared" ref="O5:O61" si="3">N5/$N$61</f>
        <v>2.230765026226211E-2</v>
      </c>
    </row>
    <row r="6" spans="1:15" x14ac:dyDescent="0.45">
      <c r="B6" s="11" t="str">
        <f>Population!B14</f>
        <v>Belgium</v>
      </c>
      <c r="C6" s="11">
        <f>Population!C14</f>
        <v>9153489</v>
      </c>
      <c r="D6" s="11">
        <f>GDP!C14</f>
        <v>11658722304</v>
      </c>
      <c r="E6" s="17">
        <f t="shared" si="0"/>
        <v>1273.6916277498121</v>
      </c>
      <c r="F6" s="15">
        <f t="shared" ref="F6:F22" si="4">F5+C5</f>
        <v>27600493</v>
      </c>
      <c r="G6" s="16">
        <f t="shared" si="2"/>
        <v>7.2216814154533696E-2</v>
      </c>
      <c r="I6" t="str">
        <f>Population!B75</f>
        <v>Rwanda</v>
      </c>
      <c r="J6" s="11">
        <f>Population!AT75</f>
        <v>8557161</v>
      </c>
      <c r="K6" t="str">
        <f>GDP!B75</f>
        <v>Rwanda</v>
      </c>
      <c r="L6" s="11">
        <f>GDP!AT75</f>
        <v>1846198784</v>
      </c>
      <c r="M6" s="17">
        <f t="shared" si="1"/>
        <v>215.74898310315768</v>
      </c>
      <c r="N6" s="11">
        <f t="shared" ref="N6:N61" si="5">N5+J6</f>
        <v>66891895</v>
      </c>
      <c r="O6" s="16">
        <f t="shared" si="3"/>
        <v>2.5579974343243932E-2</v>
      </c>
    </row>
    <row r="7" spans="1:15" x14ac:dyDescent="0.45">
      <c r="B7" s="11" t="str">
        <f>Population!B15</f>
        <v>Finland</v>
      </c>
      <c r="C7" s="11">
        <f>Population!C15</f>
        <v>4429634</v>
      </c>
      <c r="D7" s="11">
        <f>GDP!C15</f>
        <v>5224102400</v>
      </c>
      <c r="E7" s="17">
        <f t="shared" si="0"/>
        <v>1179.3530571600272</v>
      </c>
      <c r="F7" s="15">
        <f t="shared" si="4"/>
        <v>36753982</v>
      </c>
      <c r="G7" s="16">
        <f t="shared" si="2"/>
        <v>9.6166959319642475E-2</v>
      </c>
      <c r="I7" t="str">
        <f>Population!B65</f>
        <v>Nepal</v>
      </c>
      <c r="J7" s="11">
        <f>Population!AT65</f>
        <v>25080872</v>
      </c>
      <c r="K7" t="str">
        <f>GDP!B65</f>
        <v>Nepal</v>
      </c>
      <c r="L7" s="11">
        <f>GDP!AT65</f>
        <v>6330472960</v>
      </c>
      <c r="M7" s="17">
        <f t="shared" si="1"/>
        <v>252.40242683747201</v>
      </c>
      <c r="N7" s="11">
        <f t="shared" si="5"/>
        <v>91972767</v>
      </c>
      <c r="O7" s="16">
        <f t="shared" si="3"/>
        <v>3.5171092404201618E-2</v>
      </c>
    </row>
    <row r="8" spans="1:15" x14ac:dyDescent="0.45">
      <c r="B8" s="11" t="str">
        <f>Population!B16</f>
        <v>France</v>
      </c>
      <c r="C8" s="11">
        <f>Population!C16</f>
        <v>46621668</v>
      </c>
      <c r="D8" s="11">
        <f>GDP!C16</f>
        <v>62225477632</v>
      </c>
      <c r="E8" s="17">
        <f t="shared" si="0"/>
        <v>1334.6900765541036</v>
      </c>
      <c r="F8" s="15">
        <f t="shared" si="4"/>
        <v>41183616</v>
      </c>
      <c r="G8" s="16">
        <f t="shared" si="2"/>
        <v>0.10775711661685465</v>
      </c>
      <c r="I8" t="str">
        <f>Population!B78</f>
        <v>Sierra Leone</v>
      </c>
      <c r="J8" s="11">
        <f>Population!AT78</f>
        <v>5201070</v>
      </c>
      <c r="K8" t="str">
        <f>GDP!B78</f>
        <v>Sierra Leone</v>
      </c>
      <c r="L8" s="11">
        <f>GDP!AT78</f>
        <v>1385810048</v>
      </c>
      <c r="M8" s="17">
        <f t="shared" si="1"/>
        <v>266.44710569171343</v>
      </c>
      <c r="N8" s="11">
        <f t="shared" si="5"/>
        <v>97173837</v>
      </c>
      <c r="O8" s="16">
        <f t="shared" si="3"/>
        <v>3.7160021513735972E-2</v>
      </c>
    </row>
    <row r="9" spans="1:15" x14ac:dyDescent="0.45">
      <c r="B9" s="11" t="str">
        <f>Population!B17</f>
        <v>Greece</v>
      </c>
      <c r="C9" s="11">
        <f>Population!C17</f>
        <v>8331725</v>
      </c>
      <c r="D9" s="11">
        <f>GDP!C17</f>
        <v>4335185920</v>
      </c>
      <c r="E9" s="17">
        <f t="shared" si="0"/>
        <v>520.32273268740869</v>
      </c>
      <c r="F9" s="15">
        <f t="shared" si="4"/>
        <v>87805284</v>
      </c>
      <c r="G9" s="16">
        <f t="shared" si="2"/>
        <v>0.22974292076645339</v>
      </c>
      <c r="I9" t="str">
        <f>Population!B62</f>
        <v>Malawi</v>
      </c>
      <c r="J9" s="11">
        <f>Population!AT62</f>
        <v>12000181</v>
      </c>
      <c r="K9" t="str">
        <f>GDP!B62</f>
        <v>Malawi</v>
      </c>
      <c r="L9" s="11">
        <f>GDP!AT62</f>
        <v>3208837120</v>
      </c>
      <c r="M9" s="17">
        <f t="shared" si="1"/>
        <v>267.39906006417738</v>
      </c>
      <c r="N9" s="11">
        <f t="shared" si="5"/>
        <v>109174018</v>
      </c>
      <c r="O9" s="16">
        <f t="shared" si="3"/>
        <v>4.1748982883335138E-2</v>
      </c>
    </row>
    <row r="10" spans="1:15" x14ac:dyDescent="0.45">
      <c r="B10" s="11" t="str">
        <f>Population!B18</f>
        <v>Israel</v>
      </c>
      <c r="C10" s="11">
        <f>Population!C18</f>
        <v>2114020</v>
      </c>
      <c r="D10" s="11">
        <f>GDP!C18</f>
        <v>2598500096</v>
      </c>
      <c r="E10" s="17">
        <f t="shared" si="0"/>
        <v>1229.1747930483155</v>
      </c>
      <c r="F10" s="15">
        <f t="shared" si="4"/>
        <v>96137009</v>
      </c>
      <c r="G10" s="16">
        <f t="shared" si="2"/>
        <v>0.25154291672709372</v>
      </c>
      <c r="I10" t="str">
        <f>Population!B67</f>
        <v>Niger</v>
      </c>
      <c r="J10" s="11">
        <f>Population!AT67</f>
        <v>12647984</v>
      </c>
      <c r="K10" t="str">
        <f>GDP!B67</f>
        <v>Niger</v>
      </c>
      <c r="L10" s="11">
        <f>GDP!AT67</f>
        <v>3387804160</v>
      </c>
      <c r="M10" s="17">
        <f t="shared" si="1"/>
        <v>267.8532926670369</v>
      </c>
      <c r="N10" s="11">
        <f t="shared" si="5"/>
        <v>121822002</v>
      </c>
      <c r="O10" s="16">
        <f t="shared" si="3"/>
        <v>4.6585669094927132E-2</v>
      </c>
    </row>
    <row r="11" spans="1:15" x14ac:dyDescent="0.45">
      <c r="B11" s="11" t="str">
        <f>Population!B19</f>
        <v>Italy</v>
      </c>
      <c r="C11" s="11">
        <f>Population!C19</f>
        <v>50199700</v>
      </c>
      <c r="D11" s="11">
        <f>GDP!C19</f>
        <v>40385290240</v>
      </c>
      <c r="E11" s="17">
        <f t="shared" si="0"/>
        <v>804.49266111152053</v>
      </c>
      <c r="F11" s="15">
        <f t="shared" si="4"/>
        <v>98251029</v>
      </c>
      <c r="G11" s="16">
        <f t="shared" si="2"/>
        <v>0.25707425957154828</v>
      </c>
      <c r="I11" t="str">
        <f>Population!B42</f>
        <v>Chad</v>
      </c>
      <c r="J11" s="11">
        <f>Population!AT42</f>
        <v>9373916</v>
      </c>
      <c r="K11" t="str">
        <f>GDP!B42</f>
        <v>Chad</v>
      </c>
      <c r="L11" s="11">
        <f>GDP!AT42</f>
        <v>2736666624</v>
      </c>
      <c r="M11" s="17">
        <f t="shared" si="1"/>
        <v>291.94486317137898</v>
      </c>
      <c r="N11" s="11">
        <f t="shared" si="5"/>
        <v>131195918</v>
      </c>
      <c r="O11" s="16">
        <f t="shared" si="3"/>
        <v>5.0170326560165991E-2</v>
      </c>
    </row>
    <row r="12" spans="1:15" x14ac:dyDescent="0.45">
      <c r="B12" s="11" t="str">
        <f>Population!B20</f>
        <v>Japan</v>
      </c>
      <c r="C12" s="11">
        <f>Population!C20</f>
        <v>92500576</v>
      </c>
      <c r="D12" s="11">
        <f>GDP!C20</f>
        <v>44307341312</v>
      </c>
      <c r="E12" s="17">
        <f t="shared" si="0"/>
        <v>478.99530173736434</v>
      </c>
      <c r="F12" s="15">
        <f t="shared" si="4"/>
        <v>148450729</v>
      </c>
      <c r="G12" s="16">
        <f t="shared" si="2"/>
        <v>0.38842200055260051</v>
      </c>
      <c r="I12" t="str">
        <f>Population!B41</f>
        <v>Central African Republic</v>
      </c>
      <c r="J12" s="11">
        <f>Population!AT41</f>
        <v>3881181</v>
      </c>
      <c r="K12" t="str">
        <f>GDP!B41</f>
        <v>Central African Republic</v>
      </c>
      <c r="L12" s="11">
        <f>GDP!AT41</f>
        <v>1139754752</v>
      </c>
      <c r="M12" s="17">
        <f t="shared" si="1"/>
        <v>293.66183952771075</v>
      </c>
      <c r="N12" s="11">
        <f t="shared" si="5"/>
        <v>135077099</v>
      </c>
      <c r="O12" s="16">
        <f t="shared" si="3"/>
        <v>5.1654519980033758E-2</v>
      </c>
    </row>
    <row r="13" spans="1:15" x14ac:dyDescent="0.45">
      <c r="B13" s="11" t="str">
        <f>Population!B21</f>
        <v>Luxemburg</v>
      </c>
      <c r="C13" s="11">
        <f>Population!C21</f>
        <v>313970</v>
      </c>
      <c r="D13" s="11">
        <f>GDP!C21</f>
        <v>703925696</v>
      </c>
      <c r="E13" s="17">
        <f t="shared" si="0"/>
        <v>2242.0157849476063</v>
      </c>
      <c r="F13" s="15">
        <f t="shared" si="4"/>
        <v>240951305</v>
      </c>
      <c r="G13" s="16">
        <f t="shared" si="2"/>
        <v>0.63045017396889858</v>
      </c>
      <c r="I13" t="str">
        <f>Population!B56</f>
        <v>Haiti</v>
      </c>
      <c r="J13" s="11">
        <f>Population!AT56</f>
        <v>8900104</v>
      </c>
      <c r="K13" t="str">
        <f>GDP!B56</f>
        <v>Haiti</v>
      </c>
      <c r="L13" s="11">
        <f>GDP!AT56</f>
        <v>2960306176</v>
      </c>
      <c r="M13" s="17">
        <f t="shared" si="1"/>
        <v>332.61478472611105</v>
      </c>
      <c r="N13" s="11">
        <f t="shared" si="5"/>
        <v>143977203</v>
      </c>
      <c r="O13" s="16">
        <f t="shared" si="3"/>
        <v>5.5057988097840897E-2</v>
      </c>
    </row>
    <row r="14" spans="1:15" x14ac:dyDescent="0.45">
      <c r="B14" s="11" t="str">
        <f>Population!B22</f>
        <v>Netherlands</v>
      </c>
      <c r="C14" s="11">
        <f>Population!C22</f>
        <v>11486631</v>
      </c>
      <c r="D14" s="11">
        <f>GDP!C22</f>
        <v>12276733952</v>
      </c>
      <c r="E14" s="17">
        <f t="shared" si="0"/>
        <v>1068.7845680774458</v>
      </c>
      <c r="F14" s="15">
        <f t="shared" si="4"/>
        <v>241265275</v>
      </c>
      <c r="G14" s="16">
        <f t="shared" si="2"/>
        <v>0.63127167788696625</v>
      </c>
      <c r="I14" t="str">
        <f>Population!B53</f>
        <v>Ghana</v>
      </c>
      <c r="J14" s="11">
        <f>Population!AT53</f>
        <v>20750300</v>
      </c>
      <c r="K14" t="str">
        <f>GDP!B53</f>
        <v>Ghana</v>
      </c>
      <c r="L14" s="11">
        <f>GDP!AT53</f>
        <v>7632406528</v>
      </c>
      <c r="M14" s="17">
        <f t="shared" si="1"/>
        <v>367.82150272526178</v>
      </c>
      <c r="N14" s="11">
        <f t="shared" si="5"/>
        <v>164727503</v>
      </c>
      <c r="O14" s="16">
        <f t="shared" si="3"/>
        <v>6.299306216943977E-2</v>
      </c>
    </row>
    <row r="15" spans="1:15" x14ac:dyDescent="0.45">
      <c r="B15" s="11" t="str">
        <f>Population!B23</f>
        <v>Norway</v>
      </c>
      <c r="C15" s="11">
        <f>Population!C23</f>
        <v>3581239</v>
      </c>
      <c r="D15" s="11">
        <f>GDP!C23</f>
        <v>5163271680</v>
      </c>
      <c r="E15" s="17">
        <f t="shared" si="0"/>
        <v>1441.7556828795844</v>
      </c>
      <c r="F15" s="15">
        <f t="shared" si="4"/>
        <v>252751906</v>
      </c>
      <c r="G15" s="16">
        <f t="shared" si="2"/>
        <v>0.66132649959571999</v>
      </c>
      <c r="I15" t="str">
        <f>Population!B61</f>
        <v>Madagascar</v>
      </c>
      <c r="J15" s="11">
        <f>Population!AT61</f>
        <v>17279140</v>
      </c>
      <c r="K15" t="str">
        <f>GDP!B61</f>
        <v>Madagascar</v>
      </c>
      <c r="L15" s="11">
        <f>GDP!AT61</f>
        <v>6372498944</v>
      </c>
      <c r="M15" s="17">
        <f t="shared" si="1"/>
        <v>368.79722856577354</v>
      </c>
      <c r="N15" s="11">
        <f t="shared" si="5"/>
        <v>182006643</v>
      </c>
      <c r="O15" s="16">
        <f t="shared" si="3"/>
        <v>6.9600738000320628E-2</v>
      </c>
    </row>
    <row r="16" spans="1:15" x14ac:dyDescent="0.45">
      <c r="B16" s="11" t="str">
        <f>Population!B24</f>
        <v>Portugal</v>
      </c>
      <c r="C16" s="11">
        <f>Population!C24</f>
        <v>8857716</v>
      </c>
      <c r="D16" s="11">
        <f>GDP!C24</f>
        <v>3193200384</v>
      </c>
      <c r="E16" s="17">
        <f t="shared" si="0"/>
        <v>360.49929620683253</v>
      </c>
      <c r="F16" s="15">
        <f t="shared" si="4"/>
        <v>256333145</v>
      </c>
      <c r="G16" s="16">
        <f t="shared" si="2"/>
        <v>0.67069682755710702</v>
      </c>
      <c r="I16" t="str">
        <f>Population!B38</f>
        <v>Burkina Faso</v>
      </c>
      <c r="J16" s="11">
        <f>Population!AT38</f>
        <v>12654621</v>
      </c>
      <c r="K16" t="str">
        <f>GDP!B38</f>
        <v>Burkina Faso</v>
      </c>
      <c r="L16" s="11">
        <f>GDP!AT38</f>
        <v>4730140672</v>
      </c>
      <c r="M16" s="17">
        <f t="shared" si="1"/>
        <v>373.78762050637471</v>
      </c>
      <c r="N16" s="11">
        <f t="shared" si="5"/>
        <v>194661264</v>
      </c>
      <c r="O16" s="16">
        <f t="shared" si="3"/>
        <v>7.4439962251681369E-2</v>
      </c>
    </row>
    <row r="17" spans="1:15" x14ac:dyDescent="0.45">
      <c r="B17" s="11" t="str">
        <f>Population!B25</f>
        <v>Singapore</v>
      </c>
      <c r="C17" s="11">
        <f>Population!C25</f>
        <v>1646400</v>
      </c>
      <c r="D17" s="11">
        <f>GDP!C25</f>
        <v>704756288</v>
      </c>
      <c r="E17" s="17">
        <f t="shared" si="0"/>
        <v>428.05896987366373</v>
      </c>
      <c r="F17" s="15">
        <f t="shared" si="4"/>
        <v>265190861</v>
      </c>
      <c r="G17" s="16">
        <f t="shared" si="2"/>
        <v>0.69387308133654635</v>
      </c>
      <c r="I17" t="str">
        <f>Population!B83</f>
        <v>Togo</v>
      </c>
      <c r="J17" s="11">
        <f>Population!AT83</f>
        <v>5330639</v>
      </c>
      <c r="K17" t="str">
        <f>GDP!B83</f>
        <v>Togo</v>
      </c>
      <c r="L17" s="11">
        <f>GDP!AT83</f>
        <v>2111093248</v>
      </c>
      <c r="M17" s="17">
        <f t="shared" si="1"/>
        <v>396.0300534326185</v>
      </c>
      <c r="N17" s="11">
        <f t="shared" si="5"/>
        <v>199991903</v>
      </c>
      <c r="O17" s="16">
        <f t="shared" si="3"/>
        <v>7.6478439541838791E-2</v>
      </c>
    </row>
    <row r="18" spans="1:15" x14ac:dyDescent="0.45">
      <c r="B18" s="11" t="str">
        <f>Population!B26</f>
        <v>South Korea</v>
      </c>
      <c r="C18" s="11">
        <f>Population!C26</f>
        <v>25012374</v>
      </c>
      <c r="D18" s="11">
        <f>GDP!C26</f>
        <v>3958190848</v>
      </c>
      <c r="E18" s="17">
        <f t="shared" si="0"/>
        <v>158.24930684308495</v>
      </c>
      <c r="F18" s="15">
        <f t="shared" si="4"/>
        <v>266837261</v>
      </c>
      <c r="G18" s="16">
        <f t="shared" si="2"/>
        <v>0.69818089434640906</v>
      </c>
      <c r="I18" t="str">
        <f>Population!B59</f>
        <v>Kenya</v>
      </c>
      <c r="J18" s="11">
        <f>Population!AT59</f>
        <v>34678780</v>
      </c>
      <c r="K18" t="str">
        <f>GDP!B59</f>
        <v>Kenya</v>
      </c>
      <c r="L18" s="11">
        <f>GDP!AT59</f>
        <v>14904517632</v>
      </c>
      <c r="M18" s="17">
        <f t="shared" si="1"/>
        <v>429.78783082911224</v>
      </c>
      <c r="N18" s="11">
        <f t="shared" si="5"/>
        <v>234670683</v>
      </c>
      <c r="O18" s="16">
        <f t="shared" si="3"/>
        <v>8.9739871328978343E-2</v>
      </c>
    </row>
    <row r="19" spans="1:15" x14ac:dyDescent="0.45">
      <c r="B19" s="11" t="str">
        <f>Population!B27</f>
        <v>Spain</v>
      </c>
      <c r="C19" s="11">
        <f>Population!C27</f>
        <v>30455000</v>
      </c>
      <c r="D19" s="11">
        <f>GDP!C27</f>
        <v>12072126464</v>
      </c>
      <c r="E19" s="17">
        <f t="shared" si="0"/>
        <v>396.39226609752092</v>
      </c>
      <c r="F19" s="15">
        <f t="shared" si="4"/>
        <v>291849635</v>
      </c>
      <c r="G19" s="16">
        <f t="shared" si="2"/>
        <v>0.76362588348923677</v>
      </c>
      <c r="I19" t="str">
        <f>Population!B87</f>
        <v>Zambia</v>
      </c>
      <c r="J19" s="11">
        <f>Population!AT87</f>
        <v>11256743</v>
      </c>
      <c r="K19" t="str">
        <f>GDP!B87</f>
        <v>Zambia</v>
      </c>
      <c r="L19" s="11">
        <f>GDP!AT87</f>
        <v>4901839872</v>
      </c>
      <c r="M19" s="17">
        <f t="shared" si="1"/>
        <v>435.45809582754089</v>
      </c>
      <c r="N19" s="11">
        <f t="shared" si="5"/>
        <v>245927426</v>
      </c>
      <c r="O19" s="16">
        <f t="shared" si="3"/>
        <v>9.4044536298157205E-2</v>
      </c>
    </row>
    <row r="20" spans="1:15" x14ac:dyDescent="0.45">
      <c r="B20" s="11" t="str">
        <f>Population!B28</f>
        <v>Sweden</v>
      </c>
      <c r="C20" s="11">
        <f>Population!C28</f>
        <v>7484656</v>
      </c>
      <c r="D20" s="11">
        <f>GDP!C28</f>
        <v>15822584832</v>
      </c>
      <c r="E20" s="17">
        <f t="shared" si="0"/>
        <v>2114.0029457599653</v>
      </c>
      <c r="F20" s="15">
        <f t="shared" si="4"/>
        <v>322304635</v>
      </c>
      <c r="G20" s="16">
        <f t="shared" si="2"/>
        <v>0.84331152805639442</v>
      </c>
      <c r="I20" t="str">
        <f>Population!B32</f>
        <v>Bangladesh</v>
      </c>
      <c r="J20" s="11">
        <f>Population!AT32</f>
        <v>134791600</v>
      </c>
      <c r="K20" t="str">
        <f>GDP!B32</f>
        <v>Bangladesh</v>
      </c>
      <c r="L20" s="11">
        <f>GDP!AT32</f>
        <v>60158930944</v>
      </c>
      <c r="M20" s="17">
        <f t="shared" si="1"/>
        <v>446.31068214933276</v>
      </c>
      <c r="N20" s="11">
        <f t="shared" si="5"/>
        <v>380719026</v>
      </c>
      <c r="O20" s="16">
        <f t="shared" si="3"/>
        <v>0.14558987926810593</v>
      </c>
    </row>
    <row r="21" spans="1:15" x14ac:dyDescent="0.45">
      <c r="B21" s="11" t="str">
        <f>Population!B29</f>
        <v>United Kingdom</v>
      </c>
      <c r="C21" s="11">
        <f>Population!C29</f>
        <v>52400000</v>
      </c>
      <c r="D21" s="11">
        <f>GDP!C29</f>
        <v>73233965056</v>
      </c>
      <c r="E21" s="17">
        <f t="shared" si="0"/>
        <v>1397.5947529770992</v>
      </c>
      <c r="F21" s="15">
        <f t="shared" si="4"/>
        <v>329789291</v>
      </c>
      <c r="G21" s="16">
        <f t="shared" si="2"/>
        <v>0.86289516416617751</v>
      </c>
      <c r="I21" t="str">
        <f>Population!B88</f>
        <v>Zimbabwe</v>
      </c>
      <c r="J21" s="11">
        <f>Population!AT88</f>
        <v>11982224</v>
      </c>
      <c r="K21" t="str">
        <f>GDP!B88</f>
        <v>Zimbabwe</v>
      </c>
      <c r="L21" s="11">
        <f>GDP!AT88</f>
        <v>5727591936</v>
      </c>
      <c r="M21" s="17">
        <f t="shared" si="1"/>
        <v>478.00741631937444</v>
      </c>
      <c r="N21" s="11">
        <f t="shared" si="5"/>
        <v>392701250</v>
      </c>
      <c r="O21" s="16">
        <f t="shared" si="3"/>
        <v>0.15017197374300459</v>
      </c>
    </row>
    <row r="22" spans="1:15" x14ac:dyDescent="0.45">
      <c r="B22" s="11" t="str">
        <f>Population!B30</f>
        <v>United States</v>
      </c>
      <c r="C22" s="11">
        <f>Population!C30</f>
        <v>180671008</v>
      </c>
      <c r="D22" s="11">
        <f>GDP!C30</f>
        <v>543299993600</v>
      </c>
      <c r="E22" s="17">
        <f t="shared" si="0"/>
        <v>3007.1232768015552</v>
      </c>
      <c r="F22" s="15">
        <f t="shared" si="4"/>
        <v>382189291</v>
      </c>
      <c r="G22" s="16">
        <f t="shared" si="2"/>
        <v>1</v>
      </c>
      <c r="I22" t="str">
        <f>Population!B58</f>
        <v>India</v>
      </c>
      <c r="J22" s="11">
        <f>Population!AT58</f>
        <v>1111523200</v>
      </c>
      <c r="K22" t="str">
        <f>GDP!B58</f>
        <v>India</v>
      </c>
      <c r="L22" s="11">
        <f>GDP!AT58</f>
        <v>607699271680</v>
      </c>
      <c r="M22" s="17">
        <f t="shared" si="1"/>
        <v>546.72657456002719</v>
      </c>
      <c r="N22" s="11">
        <f t="shared" si="5"/>
        <v>1504224450</v>
      </c>
      <c r="O22" s="16">
        <f t="shared" si="3"/>
        <v>0.57522698134774342</v>
      </c>
    </row>
    <row r="23" spans="1:15" x14ac:dyDescent="0.45">
      <c r="I23" t="str">
        <f>Population!B71</f>
        <v>Papua New Guinea</v>
      </c>
      <c r="J23" s="11">
        <f>Population!AT71</f>
        <v>6223377</v>
      </c>
      <c r="K23" t="str">
        <f>GDP!B71</f>
        <v>Papua New Guinea</v>
      </c>
      <c r="L23" s="11">
        <f>GDP!AT71</f>
        <v>3536411904</v>
      </c>
      <c r="M23" s="17">
        <f t="shared" si="1"/>
        <v>568.24645268959284</v>
      </c>
      <c r="N23" s="11">
        <f t="shared" si="5"/>
        <v>1510447827</v>
      </c>
      <c r="O23" s="16">
        <f t="shared" si="3"/>
        <v>0.5776068485048681</v>
      </c>
    </row>
    <row r="24" spans="1:15" x14ac:dyDescent="0.45">
      <c r="A24" s="18"/>
      <c r="B24" s="19" t="s">
        <v>219</v>
      </c>
      <c r="C24" s="20" t="s">
        <v>25</v>
      </c>
      <c r="D24" s="20" t="s">
        <v>26</v>
      </c>
      <c r="E24" s="20"/>
      <c r="F24" s="20" t="s">
        <v>224</v>
      </c>
      <c r="G24" s="21" t="s">
        <v>226</v>
      </c>
      <c r="I24" t="str">
        <f>Population!B60</f>
        <v>Lesotho</v>
      </c>
      <c r="J24" s="11">
        <f>Population!AT60</f>
        <v>2018348</v>
      </c>
      <c r="K24" t="str">
        <f>GDP!B60</f>
        <v>Lesotho</v>
      </c>
      <c r="L24" s="11">
        <f>GDP!AT60</f>
        <v>1157832960</v>
      </c>
      <c r="M24" s="17">
        <f t="shared" si="1"/>
        <v>573.65378022025936</v>
      </c>
      <c r="N24" s="11">
        <f t="shared" si="5"/>
        <v>1512466175</v>
      </c>
      <c r="O24" s="16">
        <f t="shared" si="3"/>
        <v>0.57837868027993955</v>
      </c>
    </row>
    <row r="25" spans="1:15" x14ac:dyDescent="0.45">
      <c r="A25" s="32" t="s">
        <v>218</v>
      </c>
      <c r="B25" s="23">
        <v>0</v>
      </c>
      <c r="C25" s="24" t="e" cm="1">
        <f t="array" ref="C25">[4]!weightedQuartile($C$4:$C$22,$D$4:$D$22,B25)</f>
        <v>#VALUE!</v>
      </c>
      <c r="D25" s="24" t="e" cm="1">
        <f t="array" ref="D25">[4]!weightedQuartile($J$4:$J$61,$L$4:$L$61,B25)</f>
        <v>#VALUE!</v>
      </c>
      <c r="E25" s="23"/>
      <c r="F25" s="23"/>
      <c r="G25" s="25"/>
      <c r="I25" t="str">
        <f>Population!B80</f>
        <v>Sudan (Former)</v>
      </c>
      <c r="J25" s="11">
        <f>Population!AT80</f>
        <v>29460520</v>
      </c>
      <c r="K25" t="str">
        <f>GDP!B80</f>
        <v>Sudan (Former)</v>
      </c>
      <c r="L25" s="11">
        <f>GDP!AT80</f>
        <v>17646503936</v>
      </c>
      <c r="M25" s="17">
        <f t="shared" si="1"/>
        <v>598.98820305955223</v>
      </c>
      <c r="N25" s="11">
        <f t="shared" si="5"/>
        <v>1541926695</v>
      </c>
      <c r="O25" s="16">
        <f t="shared" si="3"/>
        <v>0.58964460936953433</v>
      </c>
    </row>
    <row r="26" spans="1:15" x14ac:dyDescent="0.45">
      <c r="A26" s="22"/>
      <c r="B26" s="23">
        <v>1</v>
      </c>
      <c r="C26" s="24" cm="1">
        <f t="array" ref="C26">[4]!weightedQuartile($C$4:$C$22,$D$4:$D$22,B26)</f>
        <v>520.32273268740869</v>
      </c>
      <c r="D26" s="26" cm="1">
        <f t="array" ref="D26">[4]!weightedQuartile($J$4:$J$61,$L$4:$L$61,B26)</f>
        <v>568.24645268959284</v>
      </c>
      <c r="E26" s="23"/>
      <c r="F26" s="26" t="e">
        <v>#NAME?</v>
      </c>
      <c r="G26" s="27" cm="1">
        <f t="array" ref="G26">[4]!weightedQuartile($C$36:$C$174,$E$36:$E$174,B26)</f>
        <v>386048.09574999998</v>
      </c>
      <c r="I26" t="str">
        <f>Population!B69</f>
        <v>Pakistan</v>
      </c>
      <c r="J26" s="11">
        <f>Population!AT69</f>
        <v>153093376</v>
      </c>
      <c r="K26" t="str">
        <f>GDP!B69</f>
        <v>Pakistan</v>
      </c>
      <c r="L26" s="11">
        <f>GDP!AT69</f>
        <v>91760541696</v>
      </c>
      <c r="M26" s="17">
        <f t="shared" si="1"/>
        <v>599.37630283886347</v>
      </c>
      <c r="N26" s="11">
        <f t="shared" si="5"/>
        <v>1695020071</v>
      </c>
      <c r="O26" s="16">
        <f t="shared" si="3"/>
        <v>0.64818869203008089</v>
      </c>
    </row>
    <row r="27" spans="1:15" x14ac:dyDescent="0.45">
      <c r="A27" s="22"/>
      <c r="B27" s="23">
        <v>2</v>
      </c>
      <c r="C27" s="24" cm="1">
        <f t="array" ref="C27">[4]!weightedQuartile($C$4:$C$22,$D$4:$D$22,B27)</f>
        <v>1397.5947529770992</v>
      </c>
      <c r="D27" s="26" cm="1">
        <f t="array" ref="D27">[4]!weightedQuartile($J$4:$J$61,$L$4:$L$61,B27)</f>
        <v>568.24645268959284</v>
      </c>
      <c r="E27" s="23"/>
      <c r="F27" s="26" t="e">
        <v>#NAME?</v>
      </c>
      <c r="G27" s="27" cm="1">
        <f t="array" ref="G27">[4]!weightedQuartile($C$36:$C$174,$E$36:$E$174,B27)</f>
        <v>386048.09574999998</v>
      </c>
      <c r="I27" t="str">
        <f>Population!B34</f>
        <v>Benin</v>
      </c>
      <c r="J27" s="11">
        <f>Population!AT34</f>
        <v>7520555</v>
      </c>
      <c r="K27" t="str">
        <f>GDP!B34</f>
        <v>Benin</v>
      </c>
      <c r="L27" s="11">
        <f>GDP!AT34</f>
        <v>5337266688</v>
      </c>
      <c r="M27" s="17">
        <f t="shared" si="1"/>
        <v>709.69053321197703</v>
      </c>
      <c r="N27" s="11">
        <f t="shared" si="5"/>
        <v>1702540626</v>
      </c>
      <c r="O27" s="16">
        <f t="shared" si="3"/>
        <v>0.65106461001606342</v>
      </c>
    </row>
    <row r="28" spans="1:15" x14ac:dyDescent="0.45">
      <c r="A28" s="22"/>
      <c r="B28" s="23">
        <v>3</v>
      </c>
      <c r="C28" s="24" cm="1">
        <f t="array" ref="C28">[4]!weightedQuartile($C$4:$C$22,$D$4:$D$22,B28)</f>
        <v>3007.1232768015552</v>
      </c>
      <c r="D28" s="26" cm="1">
        <f t="array" ref="D28">[4]!weightedQuartile($J$4:$J$61,$L$4:$L$61,B28)</f>
        <v>1145.4975640693867</v>
      </c>
      <c r="E28" s="23"/>
      <c r="F28" s="26" t="e">
        <v>#NAME?</v>
      </c>
      <c r="G28" s="27" cm="1">
        <f t="array" ref="G28">[4]!weightedQuartile($C$36:$C$174,$E$36:$E$174,B28)</f>
        <v>386048.09574999998</v>
      </c>
      <c r="I28" t="str">
        <f>Population!B68</f>
        <v>Nigeria</v>
      </c>
      <c r="J28" s="11">
        <f>Population!AT68</f>
        <v>131900632</v>
      </c>
      <c r="K28" t="str">
        <f>GDP!B68</f>
        <v>Nigeria</v>
      </c>
      <c r="L28" s="11">
        <f>GDP!AT68</f>
        <v>104911945728</v>
      </c>
      <c r="M28" s="17">
        <f t="shared" si="1"/>
        <v>795.38622474530678</v>
      </c>
      <c r="N28" s="11">
        <f t="shared" si="5"/>
        <v>1834441258</v>
      </c>
      <c r="O28" s="16">
        <f t="shared" si="3"/>
        <v>0.70150442462166929</v>
      </c>
    </row>
    <row r="29" spans="1:15" x14ac:dyDescent="0.45">
      <c r="A29" s="32" t="s">
        <v>217</v>
      </c>
      <c r="B29" s="23">
        <v>4</v>
      </c>
      <c r="C29" s="24" t="e" cm="1">
        <f t="array" ref="C29">[4]!weightedQuartile($C$4:$C$22,$D$4:$D$22,B29)</f>
        <v>#VALUE!</v>
      </c>
      <c r="D29" s="26" t="e" cm="1">
        <f t="array" ref="D29">[4]!weightedQuartile($J$4:$J$61,$L$4:$L$61,B29)</f>
        <v>#VALUE!</v>
      </c>
      <c r="E29" s="23"/>
      <c r="F29" s="23"/>
      <c r="G29" s="25"/>
      <c r="I29" t="str">
        <f>Population!B76</f>
        <v>Senegal</v>
      </c>
      <c r="J29" s="11">
        <f>Population!AT76</f>
        <v>10541467</v>
      </c>
      <c r="K29" t="str">
        <f>GDP!B76</f>
        <v>Senegal</v>
      </c>
      <c r="L29" s="11">
        <f>GDP!AT76</f>
        <v>8683229184</v>
      </c>
      <c r="M29" s="17">
        <f t="shared" si="1"/>
        <v>823.72113710549013</v>
      </c>
      <c r="N29" s="11">
        <f t="shared" si="5"/>
        <v>1844982725</v>
      </c>
      <c r="O29" s="16">
        <f t="shared" si="3"/>
        <v>0.70553556255549754</v>
      </c>
    </row>
    <row r="30" spans="1:15" x14ac:dyDescent="0.45">
      <c r="A30" s="33" t="s">
        <v>216</v>
      </c>
      <c r="B30" s="28">
        <v>1</v>
      </c>
      <c r="C30" s="29" t="e" cm="1">
        <f t="array" ref="C30">[4]!weightedQuartile($C$4:$C$22,$D$4:$D$23,B30)</f>
        <v>#VALUE!</v>
      </c>
      <c r="D30" s="30" t="e" cm="1">
        <f t="array" ref="D30">[4]!weightedQuartile($J$4:$J$61,$L$4:$L$62,B30)</f>
        <v>#VALUE!</v>
      </c>
      <c r="E30" s="28"/>
      <c r="F30" s="28"/>
      <c r="G30" s="31"/>
      <c r="I30" t="str">
        <f>Population!B40</f>
        <v>Cameroon</v>
      </c>
      <c r="J30" s="11">
        <f>Population!AT40</f>
        <v>16800864</v>
      </c>
      <c r="K30" t="str">
        <f>GDP!B40</f>
        <v>Cameroon</v>
      </c>
      <c r="L30" s="11">
        <f>GDP!AT40</f>
        <v>14548845568</v>
      </c>
      <c r="M30" s="17">
        <f t="shared" si="1"/>
        <v>865.95817738897233</v>
      </c>
      <c r="N30" s="11">
        <f t="shared" si="5"/>
        <v>1861783589</v>
      </c>
      <c r="O30" s="16">
        <f t="shared" si="3"/>
        <v>0.7119603419710655</v>
      </c>
    </row>
    <row r="31" spans="1:15" x14ac:dyDescent="0.45">
      <c r="I31" t="str">
        <f>Population!B48</f>
        <v>Cote d'Ivoire</v>
      </c>
      <c r="J31" s="11">
        <f>Population!AT48</f>
        <v>17599610</v>
      </c>
      <c r="K31" t="str">
        <f>GDP!B48</f>
        <v>Cote d'Ivoire</v>
      </c>
      <c r="L31" s="11">
        <f>GDP!AT48</f>
        <v>15306602496</v>
      </c>
      <c r="M31" s="17">
        <f t="shared" si="1"/>
        <v>869.71259567683603</v>
      </c>
      <c r="N31" s="11">
        <f t="shared" si="5"/>
        <v>1879383199</v>
      </c>
      <c r="O31" s="16">
        <f t="shared" si="3"/>
        <v>0.71869056799099063</v>
      </c>
    </row>
    <row r="32" spans="1:15" x14ac:dyDescent="0.45">
      <c r="I32" t="str">
        <f>Population!B35</f>
        <v>Bolivia</v>
      </c>
      <c r="J32" s="11">
        <f>Population!AT35</f>
        <v>8905823</v>
      </c>
      <c r="K32" t="str">
        <f>GDP!B35</f>
        <v>Bolivia</v>
      </c>
      <c r="L32" s="11">
        <f>GDP!AT35</f>
        <v>8082364928</v>
      </c>
      <c r="M32" s="17">
        <f t="shared" si="1"/>
        <v>907.53711678303057</v>
      </c>
      <c r="N32" s="11">
        <f t="shared" si="5"/>
        <v>1888289022</v>
      </c>
      <c r="O32" s="16">
        <f t="shared" si="3"/>
        <v>0.72209622309831667</v>
      </c>
    </row>
    <row r="33" spans="2:15" x14ac:dyDescent="0.45">
      <c r="B33" t="s">
        <v>225</v>
      </c>
      <c r="I33" t="str">
        <f>Population!B55</f>
        <v>Guyana</v>
      </c>
      <c r="J33" s="11">
        <f>Population!AT55</f>
        <v>745143</v>
      </c>
      <c r="K33" t="str">
        <f>GDP!B55</f>
        <v>Guyana</v>
      </c>
      <c r="L33" s="11">
        <f>GDP!AT55</f>
        <v>743064064</v>
      </c>
      <c r="M33" s="17">
        <f t="shared" si="1"/>
        <v>997.21001740605493</v>
      </c>
      <c r="N33" s="11">
        <f t="shared" si="5"/>
        <v>1889034165</v>
      </c>
      <c r="O33" s="16">
        <f t="shared" si="3"/>
        <v>0.72238117150383052</v>
      </c>
    </row>
    <row r="34" spans="2:15" x14ac:dyDescent="0.45">
      <c r="I34" t="str">
        <f>Population!B66</f>
        <v>Nicaragua</v>
      </c>
      <c r="J34" s="11">
        <f>Population!AT66</f>
        <v>5292118</v>
      </c>
      <c r="K34" t="str">
        <f>GDP!B66</f>
        <v>Nicaragua</v>
      </c>
      <c r="L34" s="11">
        <f>GDP!AT66</f>
        <v>5322455040</v>
      </c>
      <c r="M34" s="17">
        <f t="shared" si="1"/>
        <v>1005.7324950048355</v>
      </c>
      <c r="N34" s="11">
        <f t="shared" si="5"/>
        <v>1894326283</v>
      </c>
      <c r="O34" s="16">
        <f t="shared" si="3"/>
        <v>0.72440491806776652</v>
      </c>
    </row>
    <row r="35" spans="2:15" x14ac:dyDescent="0.45">
      <c r="B35" t="s">
        <v>211</v>
      </c>
      <c r="D35" t="s">
        <v>185</v>
      </c>
      <c r="F35" t="s">
        <v>174</v>
      </c>
      <c r="I35" t="str">
        <f>Population!B46</f>
        <v>Congo R</v>
      </c>
      <c r="J35" s="11">
        <f>Population!AT46</f>
        <v>3406922</v>
      </c>
      <c r="K35" t="str">
        <f>GDP!B46</f>
        <v>Congo R</v>
      </c>
      <c r="L35" s="11">
        <f>GDP!AT46</f>
        <v>3495868928</v>
      </c>
      <c r="M35" s="17">
        <f t="shared" si="1"/>
        <v>1026.1077089525384</v>
      </c>
      <c r="N35" s="11">
        <f t="shared" si="5"/>
        <v>1897733205</v>
      </c>
      <c r="O35" s="16">
        <f t="shared" si="3"/>
        <v>0.7257077512039698</v>
      </c>
    </row>
    <row r="36" spans="2:15" x14ac:dyDescent="0.45">
      <c r="B36" t="s">
        <v>227</v>
      </c>
      <c r="C36" s="11">
        <v>11</v>
      </c>
      <c r="D36" t="s">
        <v>227</v>
      </c>
      <c r="E36" s="11">
        <v>1748886597</v>
      </c>
      <c r="F36">
        <f>E36/C36</f>
        <v>158989690.63636363</v>
      </c>
      <c r="I36" t="str">
        <f>Population!B73</f>
        <v>Philippines</v>
      </c>
      <c r="J36" s="11">
        <f>Population!AT73</f>
        <v>83051968</v>
      </c>
      <c r="K36" t="str">
        <f>GDP!B73</f>
        <v>Philippines</v>
      </c>
      <c r="L36" s="11">
        <f>GDP!AT73</f>
        <v>87039148032</v>
      </c>
      <c r="M36" s="17">
        <f t="shared" ref="M36:M61" si="6">L36/J36</f>
        <v>1048.008254686993</v>
      </c>
      <c r="N36" s="11">
        <f t="shared" si="5"/>
        <v>1980785173</v>
      </c>
      <c r="O36" s="16">
        <f t="shared" si="3"/>
        <v>0.75746746156343736</v>
      </c>
    </row>
    <row r="37" spans="2:15" x14ac:dyDescent="0.45">
      <c r="B37" t="s">
        <v>228</v>
      </c>
      <c r="C37" s="11">
        <v>15</v>
      </c>
      <c r="D37" t="s">
        <v>228</v>
      </c>
      <c r="E37" s="11">
        <v>5155120658</v>
      </c>
      <c r="F37">
        <f t="shared" ref="F37:F100" si="7">E37/C37</f>
        <v>343674710.53333336</v>
      </c>
      <c r="I37" t="str">
        <f>Population!B57</f>
        <v>Honduras</v>
      </c>
      <c r="J37" s="11">
        <f>Population!AT57</f>
        <v>7106319</v>
      </c>
      <c r="K37" t="str">
        <f>GDP!B57</f>
        <v>Honduras</v>
      </c>
      <c r="L37" s="11">
        <f>GDP!AT57</f>
        <v>8140271104</v>
      </c>
      <c r="M37" s="17">
        <f t="shared" si="6"/>
        <v>1145.4975640693867</v>
      </c>
      <c r="N37" s="11">
        <f t="shared" si="5"/>
        <v>1987891492</v>
      </c>
      <c r="O37" s="16">
        <f t="shared" si="3"/>
        <v>0.7601849725219012</v>
      </c>
    </row>
    <row r="38" spans="2:15" x14ac:dyDescent="0.45">
      <c r="B38" t="s">
        <v>229</v>
      </c>
      <c r="C38" s="11">
        <v>7</v>
      </c>
      <c r="D38" t="s">
        <v>229</v>
      </c>
      <c r="E38" s="11">
        <v>3806982080</v>
      </c>
      <c r="F38">
        <f t="shared" si="7"/>
        <v>543854582.85714281</v>
      </c>
      <c r="I38" t="str">
        <f>Population!B54</f>
        <v>Guatemala</v>
      </c>
      <c r="J38" s="11">
        <f>Population!AT54</f>
        <v>12415334</v>
      </c>
      <c r="K38" t="str">
        <f>GDP!B54</f>
        <v>Guatemala</v>
      </c>
      <c r="L38" s="11">
        <f>GDP!AT54</f>
        <v>21917429760</v>
      </c>
      <c r="M38" s="17">
        <f t="shared" si="6"/>
        <v>1765.3516014953766</v>
      </c>
      <c r="N38" s="11">
        <f t="shared" si="5"/>
        <v>2000306826</v>
      </c>
      <c r="O38" s="16">
        <f t="shared" si="3"/>
        <v>0.76493269158686117</v>
      </c>
    </row>
    <row r="39" spans="2:15" x14ac:dyDescent="0.45">
      <c r="B39" t="s">
        <v>230</v>
      </c>
      <c r="C39" s="11">
        <v>1</v>
      </c>
      <c r="D39" t="s">
        <v>230</v>
      </c>
      <c r="E39" s="11">
        <v>3902379.57</v>
      </c>
      <c r="F39">
        <f t="shared" si="7"/>
        <v>3902379.57</v>
      </c>
      <c r="I39" t="str">
        <f>Population!B72</f>
        <v>Peru</v>
      </c>
      <c r="J39" s="11">
        <f>Population!AT72</f>
        <v>27372226</v>
      </c>
      <c r="K39" t="str">
        <f>GDP!B72</f>
        <v>Peru</v>
      </c>
      <c r="L39" s="11">
        <f>GDP!AT72</f>
        <v>58731028480</v>
      </c>
      <c r="M39" s="17">
        <f t="shared" si="6"/>
        <v>2145.6431230693479</v>
      </c>
      <c r="N39" s="11">
        <f t="shared" si="5"/>
        <v>2027679052</v>
      </c>
      <c r="O39" s="16">
        <f t="shared" si="3"/>
        <v>0.77540004101383553</v>
      </c>
    </row>
    <row r="40" spans="2:15" x14ac:dyDescent="0.45">
      <c r="B40" t="s">
        <v>231</v>
      </c>
      <c r="C40" s="11">
        <v>1</v>
      </c>
      <c r="D40" t="s">
        <v>231</v>
      </c>
      <c r="E40" s="11">
        <v>33865822.979999997</v>
      </c>
      <c r="F40">
        <f t="shared" si="7"/>
        <v>33865822.979999997</v>
      </c>
      <c r="I40" t="str">
        <f>Population!B44</f>
        <v>Colombia</v>
      </c>
      <c r="J40" s="11">
        <f>Population!AT44</f>
        <v>41483868</v>
      </c>
      <c r="K40" t="str">
        <f>GDP!B44</f>
        <v>Colombia</v>
      </c>
      <c r="L40" s="11">
        <f>GDP!AT44</f>
        <v>94641381376</v>
      </c>
      <c r="M40" s="17">
        <f t="shared" si="6"/>
        <v>2281.4020470800842</v>
      </c>
      <c r="N40" s="11">
        <f t="shared" si="5"/>
        <v>2069162920</v>
      </c>
      <c r="O40" s="16">
        <f t="shared" si="3"/>
        <v>0.79126379071174013</v>
      </c>
    </row>
    <row r="41" spans="2:15" x14ac:dyDescent="0.45">
      <c r="B41" t="s">
        <v>232</v>
      </c>
      <c r="C41" s="11">
        <v>24</v>
      </c>
      <c r="D41" t="s">
        <v>232</v>
      </c>
      <c r="E41" s="11">
        <v>33984527481</v>
      </c>
      <c r="F41">
        <f t="shared" si="7"/>
        <v>1416021978.375</v>
      </c>
      <c r="I41" t="str">
        <f>Population!B82</f>
        <v>Thailand</v>
      </c>
      <c r="J41" s="11">
        <f>Population!AT82</f>
        <v>64549864</v>
      </c>
      <c r="K41" t="str">
        <f>GDP!B82</f>
        <v>Thailand</v>
      </c>
      <c r="L41" s="11">
        <f>GDP!AT82</f>
        <v>152280678400</v>
      </c>
      <c r="M41" s="17">
        <f t="shared" si="6"/>
        <v>2359.1169518188294</v>
      </c>
      <c r="N41" s="11">
        <f t="shared" si="5"/>
        <v>2133712784</v>
      </c>
      <c r="O41" s="16">
        <f t="shared" si="3"/>
        <v>0.81594815441499424</v>
      </c>
    </row>
    <row r="42" spans="2:15" x14ac:dyDescent="0.45">
      <c r="B42" t="s">
        <v>233</v>
      </c>
      <c r="C42" s="11">
        <v>1</v>
      </c>
      <c r="D42" t="s">
        <v>233</v>
      </c>
      <c r="E42" s="11">
        <v>176630023.5</v>
      </c>
      <c r="F42">
        <f t="shared" si="7"/>
        <v>176630023.5</v>
      </c>
      <c r="I42" t="str">
        <f>Population!B50</f>
        <v>Ecuador</v>
      </c>
      <c r="J42" s="11">
        <f>Population!AT50</f>
        <v>13369678</v>
      </c>
      <c r="K42" t="str">
        <f>GDP!B50</f>
        <v>Ecuador</v>
      </c>
      <c r="L42" s="11">
        <f>GDP!AT50</f>
        <v>32432857088</v>
      </c>
      <c r="M42" s="17">
        <f t="shared" si="6"/>
        <v>2425.8517735430878</v>
      </c>
      <c r="N42" s="11">
        <f t="shared" si="5"/>
        <v>2147082462</v>
      </c>
      <c r="O42" s="16">
        <f t="shared" si="3"/>
        <v>0.82106082195442376</v>
      </c>
    </row>
    <row r="43" spans="2:15" x14ac:dyDescent="0.45">
      <c r="B43" t="s">
        <v>103</v>
      </c>
      <c r="C43" s="11">
        <v>1</v>
      </c>
      <c r="D43" t="s">
        <v>103</v>
      </c>
      <c r="E43" s="11">
        <v>725423481.60000002</v>
      </c>
      <c r="F43">
        <f t="shared" si="7"/>
        <v>725423481.60000002</v>
      </c>
      <c r="I43" t="str">
        <f>Population!B49</f>
        <v>Dominican Republic</v>
      </c>
      <c r="J43" s="11">
        <f>Population!AT49</f>
        <v>8850317</v>
      </c>
      <c r="K43" t="str">
        <f>GDP!B49</f>
        <v>Dominican Republic</v>
      </c>
      <c r="L43" s="11">
        <f>GDP!AT49</f>
        <v>21642883072</v>
      </c>
      <c r="M43" s="17">
        <f t="shared" si="6"/>
        <v>2445.4359173801345</v>
      </c>
      <c r="N43" s="11">
        <f t="shared" si="5"/>
        <v>2155932779</v>
      </c>
      <c r="O43" s="16">
        <f t="shared" si="3"/>
        <v>0.82444525114109246</v>
      </c>
    </row>
    <row r="44" spans="2:15" x14ac:dyDescent="0.45">
      <c r="B44" t="s">
        <v>234</v>
      </c>
      <c r="C44" s="11">
        <v>1</v>
      </c>
      <c r="D44" t="s">
        <v>234</v>
      </c>
      <c r="E44" s="11">
        <v>422003551.60000002</v>
      </c>
      <c r="F44">
        <f t="shared" si="7"/>
        <v>422003551.60000002</v>
      </c>
      <c r="I44" t="str">
        <f>Population!B81</f>
        <v>Suriname</v>
      </c>
      <c r="J44" s="11">
        <f>Population!AT81</f>
        <v>487942</v>
      </c>
      <c r="K44" t="str">
        <f>GDP!B81</f>
        <v>Suriname</v>
      </c>
      <c r="L44" s="11">
        <f>GDP!AT81</f>
        <v>1274190336</v>
      </c>
      <c r="M44" s="17">
        <f t="shared" si="6"/>
        <v>2611.3561365900046</v>
      </c>
      <c r="N44" s="11">
        <f t="shared" si="5"/>
        <v>2156420721</v>
      </c>
      <c r="O44" s="16">
        <f t="shared" si="3"/>
        <v>0.82463184390903532</v>
      </c>
    </row>
    <row r="45" spans="2:15" x14ac:dyDescent="0.45">
      <c r="B45" t="s">
        <v>104</v>
      </c>
      <c r="C45" s="11">
        <v>65</v>
      </c>
      <c r="D45" t="s">
        <v>104</v>
      </c>
      <c r="E45" s="11">
        <v>6195774654</v>
      </c>
      <c r="F45">
        <f t="shared" si="7"/>
        <v>95319610.061538458</v>
      </c>
      <c r="I45" t="str">
        <f>Population!B51</f>
        <v>Fiji</v>
      </c>
      <c r="J45" s="11">
        <f>Population!AT51</f>
        <v>816076</v>
      </c>
      <c r="K45" t="str">
        <f>GDP!B51</f>
        <v>Fiji</v>
      </c>
      <c r="L45" s="11">
        <f>GDP!AT51</f>
        <v>2315935744</v>
      </c>
      <c r="M45" s="17">
        <f t="shared" si="6"/>
        <v>2837.8922355270834</v>
      </c>
      <c r="N45" s="11">
        <f t="shared" si="5"/>
        <v>2157236797</v>
      </c>
      <c r="O45" s="16">
        <f t="shared" si="3"/>
        <v>0.82494391763847796</v>
      </c>
    </row>
    <row r="46" spans="2:15" x14ac:dyDescent="0.45">
      <c r="B46" t="s">
        <v>235</v>
      </c>
      <c r="C46" s="11">
        <v>1</v>
      </c>
      <c r="D46" t="s">
        <v>235</v>
      </c>
      <c r="E46" s="11">
        <v>215867972.40000001</v>
      </c>
      <c r="F46">
        <f t="shared" si="7"/>
        <v>215867972.40000001</v>
      </c>
      <c r="I46" t="str">
        <f>Population!B37</f>
        <v>Brazil</v>
      </c>
      <c r="J46" s="11">
        <f>Population!AT37</f>
        <v>181809248</v>
      </c>
      <c r="K46" t="str">
        <f>GDP!B37</f>
        <v>Brazil</v>
      </c>
      <c r="L46" s="11">
        <f>GDP!AT37</f>
        <v>558319927296</v>
      </c>
      <c r="M46" s="17">
        <f t="shared" si="6"/>
        <v>3070.9104923859541</v>
      </c>
      <c r="N46" s="11">
        <f t="shared" si="5"/>
        <v>2339046045</v>
      </c>
      <c r="O46" s="16">
        <f t="shared" si="3"/>
        <v>0.8944691702749068</v>
      </c>
    </row>
    <row r="47" spans="2:15" x14ac:dyDescent="0.45">
      <c r="B47" t="s">
        <v>105</v>
      </c>
      <c r="C47" s="11">
        <v>1</v>
      </c>
      <c r="D47" t="s">
        <v>105</v>
      </c>
      <c r="E47" s="11">
        <v>25211378.370000001</v>
      </c>
      <c r="F47">
        <f t="shared" si="7"/>
        <v>25211378.370000001</v>
      </c>
      <c r="I47" t="str">
        <f>Population!B86</f>
        <v>Uruguay</v>
      </c>
      <c r="J47" s="11">
        <f>Population!AT86</f>
        <v>3323668</v>
      </c>
      <c r="K47" t="str">
        <f>GDP!B86</f>
        <v>Uruguay</v>
      </c>
      <c r="L47" s="11">
        <f>GDP!AT86</f>
        <v>12045631488</v>
      </c>
      <c r="M47" s="17">
        <f t="shared" si="6"/>
        <v>3624.1981714178432</v>
      </c>
      <c r="N47" s="11">
        <f t="shared" si="5"/>
        <v>2342369713</v>
      </c>
      <c r="O47" s="16">
        <f t="shared" si="3"/>
        <v>0.89574016644216237</v>
      </c>
    </row>
    <row r="48" spans="2:15" x14ac:dyDescent="0.45">
      <c r="B48" t="s">
        <v>106</v>
      </c>
      <c r="C48" s="11">
        <v>3</v>
      </c>
      <c r="D48" t="s">
        <v>106</v>
      </c>
      <c r="E48" s="11">
        <v>322055483.39999998</v>
      </c>
      <c r="F48">
        <f t="shared" si="7"/>
        <v>107351827.8</v>
      </c>
      <c r="I48" t="str">
        <f>Population!B33</f>
        <v>Belize</v>
      </c>
      <c r="J48" s="11">
        <f>Population!AT33</f>
        <v>269425</v>
      </c>
      <c r="K48" t="str">
        <f>GDP!B33</f>
        <v>Belize</v>
      </c>
      <c r="L48" s="11">
        <f>GDP!AT33</f>
        <v>983500032</v>
      </c>
      <c r="M48" s="17">
        <f t="shared" si="6"/>
        <v>3650.3666400668089</v>
      </c>
      <c r="N48" s="11">
        <f t="shared" si="5"/>
        <v>2342639138</v>
      </c>
      <c r="O48" s="16">
        <f t="shared" si="3"/>
        <v>0.89584319663120737</v>
      </c>
    </row>
    <row r="49" spans="2:15" x14ac:dyDescent="0.45">
      <c r="B49" t="s">
        <v>236</v>
      </c>
      <c r="C49" s="11">
        <v>1</v>
      </c>
      <c r="D49" t="s">
        <v>236</v>
      </c>
      <c r="E49" s="11">
        <v>265536110</v>
      </c>
      <c r="F49">
        <f t="shared" si="7"/>
        <v>265536110</v>
      </c>
      <c r="I49" t="str">
        <f>Population!B79</f>
        <v>South Africa</v>
      </c>
      <c r="J49" s="11">
        <f>Population!AT79</f>
        <v>46719196</v>
      </c>
      <c r="K49" t="str">
        <f>GDP!B79</f>
        <v>South Africa</v>
      </c>
      <c r="L49" s="11">
        <f>GDP!AT79</f>
        <v>175256911872</v>
      </c>
      <c r="M49" s="17">
        <f t="shared" si="6"/>
        <v>3751.2827034095362</v>
      </c>
      <c r="N49" s="11">
        <f t="shared" si="5"/>
        <v>2389358334</v>
      </c>
      <c r="O49" s="16">
        <f t="shared" si="3"/>
        <v>0.91370897596093015</v>
      </c>
    </row>
    <row r="50" spans="2:15" x14ac:dyDescent="0.45">
      <c r="B50" t="s">
        <v>237</v>
      </c>
      <c r="C50" s="11">
        <v>1</v>
      </c>
      <c r="D50" t="s">
        <v>237</v>
      </c>
      <c r="E50" s="11">
        <v>61775644.350000001</v>
      </c>
      <c r="F50">
        <f t="shared" si="7"/>
        <v>61775644.350000001</v>
      </c>
      <c r="I50" t="str">
        <f>Population!B47</f>
        <v>Costa Rica</v>
      </c>
      <c r="J50" s="11">
        <f>Population!AT47</f>
        <v>4164053</v>
      </c>
      <c r="K50" t="str">
        <f>GDP!B47</f>
        <v>Costa Rica</v>
      </c>
      <c r="L50" s="11">
        <f>GDP!AT47</f>
        <v>17196009472</v>
      </c>
      <c r="M50" s="17">
        <f t="shared" si="6"/>
        <v>4129.632709285881</v>
      </c>
      <c r="N50" s="11">
        <f t="shared" si="5"/>
        <v>2393522387</v>
      </c>
      <c r="O50" s="16">
        <f t="shared" si="3"/>
        <v>0.91530134180590894</v>
      </c>
    </row>
    <row r="51" spans="2:15" x14ac:dyDescent="0.45">
      <c r="B51" t="s">
        <v>107</v>
      </c>
      <c r="C51" s="11">
        <v>5</v>
      </c>
      <c r="D51" t="s">
        <v>107</v>
      </c>
      <c r="E51" s="11">
        <v>1010101010</v>
      </c>
      <c r="F51">
        <f t="shared" si="7"/>
        <v>202020202</v>
      </c>
      <c r="I51" t="str">
        <f>Population!B70</f>
        <v>Panama</v>
      </c>
      <c r="J51" s="11">
        <f>Population!AT70</f>
        <v>3209048</v>
      </c>
      <c r="K51" t="str">
        <f>GDP!B70</f>
        <v>Panama</v>
      </c>
      <c r="L51" s="11">
        <f>GDP!AT70</f>
        <v>13693981696</v>
      </c>
      <c r="M51" s="17">
        <f t="shared" si="6"/>
        <v>4267.3034794119631</v>
      </c>
      <c r="N51" s="11">
        <f t="shared" si="5"/>
        <v>2396731435</v>
      </c>
      <c r="O51" s="16">
        <f t="shared" si="3"/>
        <v>0.91652850640494199</v>
      </c>
    </row>
    <row r="52" spans="2:15" x14ac:dyDescent="0.45">
      <c r="B52" t="s">
        <v>108</v>
      </c>
      <c r="C52" s="11">
        <v>1</v>
      </c>
      <c r="D52" t="s">
        <v>108</v>
      </c>
      <c r="E52" s="11">
        <v>66797330.960000001</v>
      </c>
      <c r="F52">
        <f t="shared" si="7"/>
        <v>66797330.960000001</v>
      </c>
      <c r="I52" t="str">
        <f>Population!B36</f>
        <v>Botswana</v>
      </c>
      <c r="J52" s="11">
        <f>Population!AT36</f>
        <v>1734398</v>
      </c>
      <c r="K52" t="str">
        <f>GDP!B36</f>
        <v>Botswana</v>
      </c>
      <c r="L52" s="11">
        <f>GDP!AT36</f>
        <v>7511582208</v>
      </c>
      <c r="M52" s="17">
        <f t="shared" si="6"/>
        <v>4330.9449203700651</v>
      </c>
      <c r="N52" s="11">
        <f t="shared" si="5"/>
        <v>2398465833</v>
      </c>
      <c r="O52" s="16">
        <f t="shared" si="3"/>
        <v>0.91719175351942384</v>
      </c>
    </row>
    <row r="53" spans="2:15" x14ac:dyDescent="0.45">
      <c r="B53" t="s">
        <v>109</v>
      </c>
      <c r="C53" s="11">
        <v>95</v>
      </c>
      <c r="D53" t="s">
        <v>109</v>
      </c>
      <c r="E53" s="11">
        <v>35213857570</v>
      </c>
      <c r="F53">
        <f t="shared" si="7"/>
        <v>370672184.94736844</v>
      </c>
      <c r="I53" t="str">
        <f>Population!B63</f>
        <v>Malaysia</v>
      </c>
      <c r="J53" s="11">
        <f>Population!AT63</f>
        <v>24698820</v>
      </c>
      <c r="K53" t="str">
        <f>GDP!B63</f>
        <v>Malaysia</v>
      </c>
      <c r="L53" s="11">
        <f>GDP!AT63</f>
        <v>110202372096</v>
      </c>
      <c r="M53" s="17">
        <f t="shared" si="6"/>
        <v>4461.8476549082106</v>
      </c>
      <c r="N53" s="11">
        <f t="shared" si="5"/>
        <v>2423164653</v>
      </c>
      <c r="O53" s="16">
        <f t="shared" si="3"/>
        <v>0.92663677196161931</v>
      </c>
    </row>
    <row r="54" spans="2:15" x14ac:dyDescent="0.45">
      <c r="B54" t="s">
        <v>238</v>
      </c>
      <c r="C54" s="11">
        <v>1</v>
      </c>
      <c r="D54" t="s">
        <v>238</v>
      </c>
      <c r="E54" s="11">
        <v>224919921.59999999</v>
      </c>
      <c r="F54">
        <f t="shared" si="7"/>
        <v>224919921.59999999</v>
      </c>
      <c r="I54" t="str">
        <f>Population!B85</f>
        <v>Turkey</v>
      </c>
      <c r="J54" s="11">
        <f>Population!AT85</f>
        <v>66089400</v>
      </c>
      <c r="K54" t="str">
        <f>GDP!B85</f>
        <v>Turkey</v>
      </c>
      <c r="L54" s="11">
        <f>GDP!AT85</f>
        <v>311823007744</v>
      </c>
      <c r="M54" s="17">
        <f t="shared" si="6"/>
        <v>4718.2000100469968</v>
      </c>
      <c r="N54" s="11">
        <f t="shared" si="5"/>
        <v>2489254053</v>
      </c>
      <c r="O54" s="16">
        <f t="shared" si="3"/>
        <v>0.95190986605411565</v>
      </c>
    </row>
    <row r="55" spans="2:15" x14ac:dyDescent="0.45">
      <c r="B55" t="s">
        <v>110</v>
      </c>
      <c r="C55" s="11">
        <v>6</v>
      </c>
      <c r="D55" t="s">
        <v>110</v>
      </c>
      <c r="E55" s="11">
        <v>450092222.19999999</v>
      </c>
      <c r="F55">
        <f t="shared" si="7"/>
        <v>75015370.36666666</v>
      </c>
      <c r="I55" t="str">
        <f>Population!B43</f>
        <v>Chile</v>
      </c>
      <c r="J55" s="11">
        <f>Population!AT43</f>
        <v>15849652</v>
      </c>
      <c r="K55" t="str">
        <f>GDP!B43</f>
        <v>Chile</v>
      </c>
      <c r="L55" s="11">
        <f>GDP!AT43</f>
        <v>75643461632</v>
      </c>
      <c r="M55" s="17">
        <f t="shared" si="6"/>
        <v>4772.5629327382076</v>
      </c>
      <c r="N55" s="11">
        <f t="shared" si="5"/>
        <v>2505103705</v>
      </c>
      <c r="O55" s="16">
        <f t="shared" si="3"/>
        <v>0.95797089469606611</v>
      </c>
    </row>
    <row r="56" spans="2:15" x14ac:dyDescent="0.45">
      <c r="B56" t="s">
        <v>111</v>
      </c>
      <c r="C56" s="11">
        <v>3</v>
      </c>
      <c r="D56" t="s">
        <v>111</v>
      </c>
      <c r="E56" s="11">
        <v>245436571.19999999</v>
      </c>
      <c r="F56">
        <f t="shared" si="7"/>
        <v>81812190.399999991</v>
      </c>
      <c r="I56" t="str">
        <f>Population!B52</f>
        <v>Gabon</v>
      </c>
      <c r="J56" s="11">
        <f>Population!AT52</f>
        <v>1319953</v>
      </c>
      <c r="K56" t="str">
        <f>GDP!B52</f>
        <v>Gabon</v>
      </c>
      <c r="L56" s="11">
        <f>GDP!AT52</f>
        <v>6497305600</v>
      </c>
      <c r="M56" s="17">
        <f t="shared" si="6"/>
        <v>4922.3764785564335</v>
      </c>
      <c r="N56" s="11">
        <f t="shared" si="5"/>
        <v>2506423658</v>
      </c>
      <c r="O56" s="16">
        <f t="shared" si="3"/>
        <v>0.95847565485982422</v>
      </c>
    </row>
    <row r="57" spans="2:15" x14ac:dyDescent="0.45">
      <c r="B57" t="s">
        <v>239</v>
      </c>
      <c r="C57" s="11">
        <v>1</v>
      </c>
      <c r="D57" t="s">
        <v>239</v>
      </c>
      <c r="E57" s="11">
        <v>72940653.769999996</v>
      </c>
      <c r="F57">
        <f t="shared" si="7"/>
        <v>72940653.769999996</v>
      </c>
      <c r="I57" t="str">
        <f>Population!B64</f>
        <v>Mexico</v>
      </c>
      <c r="J57" s="11">
        <f>Population!AT64</f>
        <v>103081024</v>
      </c>
      <c r="K57" t="str">
        <f>GDP!B64</f>
        <v>Mexico</v>
      </c>
      <c r="L57" s="11">
        <f>GDP!AT64</f>
        <v>729336315904</v>
      </c>
      <c r="M57" s="17">
        <f t="shared" si="6"/>
        <v>7075.369331837449</v>
      </c>
      <c r="N57" s="11">
        <f t="shared" si="5"/>
        <v>2609504682</v>
      </c>
      <c r="O57" s="16">
        <f t="shared" si="3"/>
        <v>0.9978946300465088</v>
      </c>
    </row>
    <row r="58" spans="2:15" x14ac:dyDescent="0.45">
      <c r="B58" t="s">
        <v>240</v>
      </c>
      <c r="C58" s="11">
        <v>7</v>
      </c>
      <c r="D58" t="s">
        <v>240</v>
      </c>
      <c r="E58" s="11">
        <v>769008276.5</v>
      </c>
      <c r="F58">
        <f t="shared" si="7"/>
        <v>109858325.21428572</v>
      </c>
      <c r="I58" t="str">
        <f>Population!B77</f>
        <v>Seychelles</v>
      </c>
      <c r="J58" s="11">
        <f>Population!AT77</f>
        <v>82781</v>
      </c>
      <c r="K58" t="str">
        <f>GDP!B77</f>
        <v>Seychelles</v>
      </c>
      <c r="L58" s="11">
        <f>GDP!AT77</f>
        <v>705704832</v>
      </c>
      <c r="M58" s="17">
        <f t="shared" si="6"/>
        <v>8524.9614283470837</v>
      </c>
      <c r="N58" s="11">
        <f t="shared" si="5"/>
        <v>2609587463</v>
      </c>
      <c r="O58" s="16">
        <f t="shared" si="3"/>
        <v>0.99792628613662415</v>
      </c>
    </row>
    <row r="59" spans="2:15" x14ac:dyDescent="0.45">
      <c r="B59" t="s">
        <v>112</v>
      </c>
      <c r="C59" s="11">
        <v>7</v>
      </c>
      <c r="D59" t="s">
        <v>112</v>
      </c>
      <c r="E59" s="11">
        <v>1315837125</v>
      </c>
      <c r="F59">
        <f t="shared" si="7"/>
        <v>187976732.14285713</v>
      </c>
      <c r="I59" t="str">
        <f>Population!B84</f>
        <v>Trinidad and Tobago</v>
      </c>
      <c r="J59" s="11">
        <f>Population!AT84</f>
        <v>1283559</v>
      </c>
      <c r="K59" t="str">
        <f>GDP!B84</f>
        <v>Trinidad and Tobago</v>
      </c>
      <c r="L59" s="11">
        <f>GDP!AT84</f>
        <v>11305459712</v>
      </c>
      <c r="M59" s="17">
        <f t="shared" si="6"/>
        <v>8807.9003084392698</v>
      </c>
      <c r="N59" s="11">
        <f t="shared" si="5"/>
        <v>2610871022</v>
      </c>
      <c r="O59" s="16">
        <f t="shared" si="3"/>
        <v>0.99841712895529511</v>
      </c>
    </row>
    <row r="60" spans="2:15" x14ac:dyDescent="0.45">
      <c r="B60" t="s">
        <v>241</v>
      </c>
      <c r="C60" s="11">
        <v>1</v>
      </c>
      <c r="D60" t="s">
        <v>241</v>
      </c>
      <c r="E60" s="11">
        <v>23572453.460000001</v>
      </c>
      <c r="F60">
        <f t="shared" si="7"/>
        <v>23572453.460000001</v>
      </c>
      <c r="I60" t="str">
        <f>Population!B74</f>
        <v>Puerto Rico</v>
      </c>
      <c r="J60" s="11">
        <f>Population!AT74</f>
        <v>3826095</v>
      </c>
      <c r="K60" t="str">
        <f>GDP!B74</f>
        <v>Puerto Rico</v>
      </c>
      <c r="L60" s="11">
        <f>GDP!AT74</f>
        <v>74827399168</v>
      </c>
      <c r="M60" s="17">
        <f t="shared" si="6"/>
        <v>19557.120031781753</v>
      </c>
      <c r="N60" s="11">
        <f t="shared" si="5"/>
        <v>2614697117</v>
      </c>
      <c r="O60" s="16">
        <f t="shared" si="3"/>
        <v>0.9998802570657308</v>
      </c>
    </row>
    <row r="61" spans="2:15" x14ac:dyDescent="0.45">
      <c r="B61" t="s">
        <v>113</v>
      </c>
      <c r="C61" s="11">
        <v>2</v>
      </c>
      <c r="D61" t="s">
        <v>113</v>
      </c>
      <c r="E61" s="11">
        <v>275964335.19999999</v>
      </c>
      <c r="F61">
        <f t="shared" si="7"/>
        <v>137982167.59999999</v>
      </c>
      <c r="I61" t="str">
        <f>Population!B31</f>
        <v>Bahamas</v>
      </c>
      <c r="J61" s="11">
        <f>Population!AT31</f>
        <v>313129</v>
      </c>
      <c r="K61" t="str">
        <f>GDP!B31</f>
        <v>Bahamas</v>
      </c>
      <c r="L61" s="11">
        <f>GDP!AT31</f>
        <v>8870089728</v>
      </c>
      <c r="M61" s="17">
        <f t="shared" si="6"/>
        <v>28327.270000542907</v>
      </c>
      <c r="N61" s="11">
        <f t="shared" si="5"/>
        <v>2615010246</v>
      </c>
      <c r="O61" s="16">
        <f t="shared" si="3"/>
        <v>1</v>
      </c>
    </row>
    <row r="62" spans="2:15" x14ac:dyDescent="0.45">
      <c r="B62" t="s">
        <v>114</v>
      </c>
      <c r="C62" s="11">
        <v>4</v>
      </c>
      <c r="D62" t="s">
        <v>114</v>
      </c>
      <c r="E62" s="11">
        <v>355301780.39999998</v>
      </c>
      <c r="F62">
        <f t="shared" si="7"/>
        <v>88825445.099999994</v>
      </c>
      <c r="M62" s="17"/>
      <c r="N62" s="17"/>
    </row>
    <row r="63" spans="2:15" x14ac:dyDescent="0.45">
      <c r="B63" t="s">
        <v>115</v>
      </c>
      <c r="C63" s="11">
        <v>10</v>
      </c>
      <c r="D63" t="s">
        <v>115</v>
      </c>
      <c r="E63" s="11">
        <v>9680014665</v>
      </c>
      <c r="F63">
        <f t="shared" si="7"/>
        <v>968001466.5</v>
      </c>
    </row>
    <row r="64" spans="2:15" x14ac:dyDescent="0.45">
      <c r="B64" t="s">
        <v>116</v>
      </c>
      <c r="C64" s="11">
        <v>22</v>
      </c>
      <c r="D64" t="s">
        <v>116</v>
      </c>
      <c r="E64" s="11">
        <v>10192830297</v>
      </c>
      <c r="F64">
        <f t="shared" si="7"/>
        <v>463310468.04545456</v>
      </c>
    </row>
    <row r="65" spans="2:6" x14ac:dyDescent="0.45">
      <c r="B65" t="s">
        <v>242</v>
      </c>
      <c r="C65" s="11">
        <v>1</v>
      </c>
      <c r="D65" t="s">
        <v>242</v>
      </c>
      <c r="E65" s="11">
        <v>37476996.259999998</v>
      </c>
      <c r="F65">
        <f t="shared" si="7"/>
        <v>37476996.259999998</v>
      </c>
    </row>
    <row r="66" spans="2:6" x14ac:dyDescent="0.45">
      <c r="B66" t="s">
        <v>117</v>
      </c>
      <c r="C66" s="11">
        <v>20</v>
      </c>
      <c r="D66" t="s">
        <v>117</v>
      </c>
      <c r="E66" s="11">
        <v>4769858922</v>
      </c>
      <c r="F66">
        <f t="shared" si="7"/>
        <v>238492946.09999999</v>
      </c>
    </row>
    <row r="67" spans="2:6" x14ac:dyDescent="0.45">
      <c r="B67" t="s">
        <v>118</v>
      </c>
      <c r="C67" s="11">
        <v>1</v>
      </c>
      <c r="D67" t="s">
        <v>118</v>
      </c>
      <c r="E67" s="11">
        <v>283678162.89999998</v>
      </c>
      <c r="F67">
        <f t="shared" si="7"/>
        <v>283678162.89999998</v>
      </c>
    </row>
    <row r="68" spans="2:6" x14ac:dyDescent="0.45">
      <c r="B68" t="s">
        <v>243</v>
      </c>
      <c r="C68" s="11">
        <v>1</v>
      </c>
      <c r="D68" t="s">
        <v>243</v>
      </c>
      <c r="E68" s="11">
        <v>10221504.68</v>
      </c>
      <c r="F68">
        <f t="shared" si="7"/>
        <v>10221504.68</v>
      </c>
    </row>
    <row r="69" spans="2:6" x14ac:dyDescent="0.45">
      <c r="B69" t="s">
        <v>119</v>
      </c>
      <c r="C69" s="11">
        <v>2</v>
      </c>
      <c r="D69" t="s">
        <v>119</v>
      </c>
      <c r="E69" s="11">
        <v>1252531742</v>
      </c>
      <c r="F69">
        <f t="shared" si="7"/>
        <v>626265871</v>
      </c>
    </row>
    <row r="70" spans="2:6" x14ac:dyDescent="0.45">
      <c r="B70" t="s">
        <v>120</v>
      </c>
      <c r="C70" s="11">
        <v>5</v>
      </c>
      <c r="D70" t="s">
        <v>120</v>
      </c>
      <c r="E70" s="11">
        <v>1500930867</v>
      </c>
      <c r="F70">
        <f t="shared" si="7"/>
        <v>300186173.39999998</v>
      </c>
    </row>
    <row r="71" spans="2:6" x14ac:dyDescent="0.45">
      <c r="B71" t="s">
        <v>244</v>
      </c>
      <c r="C71" s="11">
        <v>1</v>
      </c>
      <c r="D71" t="s">
        <v>244</v>
      </c>
      <c r="E71" s="11">
        <v>67908118.75</v>
      </c>
      <c r="F71">
        <f t="shared" si="7"/>
        <v>67908118.75</v>
      </c>
    </row>
    <row r="72" spans="2:6" x14ac:dyDescent="0.45">
      <c r="B72" t="s">
        <v>245</v>
      </c>
      <c r="C72" s="11">
        <v>1</v>
      </c>
      <c r="D72" t="s">
        <v>245</v>
      </c>
      <c r="E72" s="11">
        <v>23044577.989999998</v>
      </c>
      <c r="F72">
        <f t="shared" si="7"/>
        <v>23044577.989999998</v>
      </c>
    </row>
    <row r="73" spans="2:6" x14ac:dyDescent="0.45">
      <c r="B73" t="s">
        <v>121</v>
      </c>
      <c r="C73" s="11">
        <v>5</v>
      </c>
      <c r="D73" t="s">
        <v>121</v>
      </c>
      <c r="E73" s="11">
        <v>1859112944</v>
      </c>
      <c r="F73">
        <f t="shared" si="7"/>
        <v>371822588.80000001</v>
      </c>
    </row>
    <row r="74" spans="2:6" x14ac:dyDescent="0.45">
      <c r="B74" t="s">
        <v>122</v>
      </c>
      <c r="C74" s="11">
        <v>6</v>
      </c>
      <c r="D74" t="s">
        <v>122</v>
      </c>
      <c r="E74" s="11">
        <v>2861132000</v>
      </c>
      <c r="F74">
        <f t="shared" si="7"/>
        <v>476855333.33333331</v>
      </c>
    </row>
    <row r="75" spans="2:6" x14ac:dyDescent="0.45">
      <c r="B75" t="s">
        <v>246</v>
      </c>
      <c r="C75" s="11">
        <v>35</v>
      </c>
      <c r="D75" t="s">
        <v>246</v>
      </c>
      <c r="E75" s="11">
        <v>8142813796</v>
      </c>
      <c r="F75">
        <f t="shared" si="7"/>
        <v>232651822.74285713</v>
      </c>
    </row>
    <row r="76" spans="2:6" x14ac:dyDescent="0.45">
      <c r="B76" t="s">
        <v>247</v>
      </c>
      <c r="C76" s="11">
        <v>4</v>
      </c>
      <c r="D76" t="s">
        <v>247</v>
      </c>
      <c r="E76" s="11">
        <v>929895894</v>
      </c>
      <c r="F76">
        <f t="shared" si="7"/>
        <v>232473973.5</v>
      </c>
    </row>
    <row r="77" spans="2:6" x14ac:dyDescent="0.45">
      <c r="B77" t="s">
        <v>248</v>
      </c>
      <c r="C77" s="11">
        <v>1</v>
      </c>
      <c r="D77" t="s">
        <v>248</v>
      </c>
      <c r="E77" s="11">
        <v>20972338.09</v>
      </c>
      <c r="F77">
        <f t="shared" si="7"/>
        <v>20972338.09</v>
      </c>
    </row>
    <row r="78" spans="2:6" x14ac:dyDescent="0.45">
      <c r="B78" t="s">
        <v>249</v>
      </c>
      <c r="C78" s="11">
        <v>30</v>
      </c>
      <c r="D78" t="s">
        <v>249</v>
      </c>
      <c r="E78" s="11">
        <v>2559075270</v>
      </c>
      <c r="F78">
        <f t="shared" si="7"/>
        <v>85302509</v>
      </c>
    </row>
    <row r="79" spans="2:6" x14ac:dyDescent="0.45">
      <c r="B79" t="s">
        <v>123</v>
      </c>
      <c r="C79" s="11">
        <v>1</v>
      </c>
      <c r="D79" t="s">
        <v>123</v>
      </c>
      <c r="E79" s="11">
        <v>220806169.80000001</v>
      </c>
      <c r="F79">
        <f t="shared" si="7"/>
        <v>220806169.80000001</v>
      </c>
    </row>
    <row r="80" spans="2:6" x14ac:dyDescent="0.45">
      <c r="B80" t="s">
        <v>250</v>
      </c>
      <c r="C80" s="11">
        <v>1</v>
      </c>
      <c r="D80" t="s">
        <v>250</v>
      </c>
      <c r="E80" s="11">
        <v>262818818.59999999</v>
      </c>
      <c r="F80">
        <f t="shared" si="7"/>
        <v>262818818.59999999</v>
      </c>
    </row>
    <row r="81" spans="2:6" x14ac:dyDescent="0.45">
      <c r="B81" t="s">
        <v>124</v>
      </c>
      <c r="C81" s="11">
        <v>1</v>
      </c>
      <c r="D81" t="s">
        <v>124</v>
      </c>
      <c r="E81" s="11">
        <v>409868980.60000002</v>
      </c>
      <c r="F81">
        <f t="shared" si="7"/>
        <v>409868980.60000002</v>
      </c>
    </row>
    <row r="82" spans="2:6" x14ac:dyDescent="0.45">
      <c r="B82" t="s">
        <v>251</v>
      </c>
      <c r="C82" s="11">
        <v>1</v>
      </c>
      <c r="D82" t="s">
        <v>251</v>
      </c>
      <c r="E82" s="11">
        <v>145732435.5</v>
      </c>
      <c r="F82">
        <f t="shared" si="7"/>
        <v>145732435.5</v>
      </c>
    </row>
    <row r="83" spans="2:6" x14ac:dyDescent="0.45">
      <c r="B83" t="s">
        <v>125</v>
      </c>
      <c r="C83" s="11">
        <v>9</v>
      </c>
      <c r="D83" t="s">
        <v>125</v>
      </c>
      <c r="E83" s="11">
        <v>4697713819</v>
      </c>
      <c r="F83">
        <f t="shared" si="7"/>
        <v>521968202.1111111</v>
      </c>
    </row>
    <row r="84" spans="2:6" x14ac:dyDescent="0.45">
      <c r="B84" t="s">
        <v>252</v>
      </c>
      <c r="C84" s="11">
        <v>1</v>
      </c>
      <c r="D84" t="s">
        <v>252</v>
      </c>
      <c r="E84" s="11">
        <v>19107860.989999998</v>
      </c>
      <c r="F84">
        <f t="shared" si="7"/>
        <v>19107860.989999998</v>
      </c>
    </row>
    <row r="85" spans="2:6" x14ac:dyDescent="0.45">
      <c r="B85" t="s">
        <v>126</v>
      </c>
      <c r="C85" s="11">
        <v>6</v>
      </c>
      <c r="D85" t="s">
        <v>126</v>
      </c>
      <c r="E85" s="11">
        <v>1697371547</v>
      </c>
      <c r="F85">
        <f t="shared" si="7"/>
        <v>282895257.83333331</v>
      </c>
    </row>
    <row r="86" spans="2:6" x14ac:dyDescent="0.45">
      <c r="B86" t="s">
        <v>253</v>
      </c>
      <c r="C86" s="11">
        <v>4</v>
      </c>
      <c r="D86" t="s">
        <v>253</v>
      </c>
      <c r="E86" s="11">
        <v>766522962.89999998</v>
      </c>
      <c r="F86">
        <f t="shared" si="7"/>
        <v>191630740.72499999</v>
      </c>
    </row>
    <row r="87" spans="2:6" x14ac:dyDescent="0.45">
      <c r="B87" t="s">
        <v>254</v>
      </c>
      <c r="C87" s="11">
        <v>1</v>
      </c>
      <c r="D87" t="s">
        <v>254</v>
      </c>
      <c r="E87" s="11">
        <v>280871185.5</v>
      </c>
      <c r="F87">
        <f t="shared" si="7"/>
        <v>280871185.5</v>
      </c>
    </row>
    <row r="88" spans="2:6" x14ac:dyDescent="0.45">
      <c r="B88" t="s">
        <v>127</v>
      </c>
      <c r="C88" s="11">
        <v>1</v>
      </c>
      <c r="D88" t="s">
        <v>127</v>
      </c>
      <c r="E88" s="11">
        <v>427060635.80000001</v>
      </c>
      <c r="F88">
        <f t="shared" si="7"/>
        <v>427060635.80000001</v>
      </c>
    </row>
    <row r="89" spans="2:6" x14ac:dyDescent="0.45">
      <c r="B89" t="s">
        <v>128</v>
      </c>
      <c r="C89" s="11">
        <v>5</v>
      </c>
      <c r="D89" t="s">
        <v>128</v>
      </c>
      <c r="E89" s="11">
        <v>439235188</v>
      </c>
      <c r="F89">
        <f t="shared" si="7"/>
        <v>87847037.599999994</v>
      </c>
    </row>
    <row r="90" spans="2:6" x14ac:dyDescent="0.45">
      <c r="B90" t="s">
        <v>129</v>
      </c>
      <c r="C90" s="11">
        <v>3</v>
      </c>
      <c r="D90" t="s">
        <v>129</v>
      </c>
      <c r="E90" s="11">
        <v>824353573.60000002</v>
      </c>
      <c r="F90">
        <f t="shared" si="7"/>
        <v>274784524.53333336</v>
      </c>
    </row>
    <row r="91" spans="2:6" x14ac:dyDescent="0.45">
      <c r="B91" t="s">
        <v>130</v>
      </c>
      <c r="C91" s="11">
        <v>554</v>
      </c>
      <c r="D91" t="s">
        <v>130</v>
      </c>
      <c r="E91" s="11">
        <v>60410764201</v>
      </c>
      <c r="F91">
        <f t="shared" si="7"/>
        <v>109044700.72382672</v>
      </c>
    </row>
    <row r="92" spans="2:6" x14ac:dyDescent="0.45">
      <c r="B92" t="s">
        <v>255</v>
      </c>
      <c r="C92" s="11">
        <v>115</v>
      </c>
      <c r="D92" t="s">
        <v>255</v>
      </c>
      <c r="E92" s="11">
        <v>10439687780</v>
      </c>
      <c r="F92">
        <f t="shared" si="7"/>
        <v>90779893.739130437</v>
      </c>
    </row>
    <row r="93" spans="2:6" x14ac:dyDescent="0.45">
      <c r="B93" t="s">
        <v>256</v>
      </c>
      <c r="C93" s="11">
        <v>29</v>
      </c>
      <c r="D93" t="s">
        <v>256</v>
      </c>
      <c r="E93" s="11">
        <v>10976245143</v>
      </c>
      <c r="F93">
        <f t="shared" si="7"/>
        <v>378491211.82758623</v>
      </c>
    </row>
    <row r="94" spans="2:6" x14ac:dyDescent="0.45">
      <c r="B94" t="s">
        <v>257</v>
      </c>
      <c r="C94" s="11">
        <v>10</v>
      </c>
      <c r="D94" t="s">
        <v>257</v>
      </c>
      <c r="E94" s="11">
        <v>2357247597</v>
      </c>
      <c r="F94">
        <f t="shared" si="7"/>
        <v>235724759.69999999</v>
      </c>
    </row>
    <row r="95" spans="2:6" x14ac:dyDescent="0.45">
      <c r="B95" t="s">
        <v>258</v>
      </c>
      <c r="C95" s="11">
        <v>2</v>
      </c>
      <c r="D95" t="s">
        <v>258</v>
      </c>
      <c r="E95" s="11">
        <v>1735587594</v>
      </c>
      <c r="F95">
        <f t="shared" si="7"/>
        <v>867793797</v>
      </c>
    </row>
    <row r="96" spans="2:6" x14ac:dyDescent="0.45">
      <c r="B96" t="s">
        <v>259</v>
      </c>
      <c r="C96" s="11">
        <v>2</v>
      </c>
      <c r="D96" t="s">
        <v>259</v>
      </c>
      <c r="E96" s="11">
        <v>599335947.70000005</v>
      </c>
      <c r="F96">
        <f t="shared" si="7"/>
        <v>299667973.85000002</v>
      </c>
    </row>
    <row r="97" spans="2:6" x14ac:dyDescent="0.45">
      <c r="B97" t="s">
        <v>131</v>
      </c>
      <c r="C97" s="11">
        <v>11</v>
      </c>
      <c r="D97" t="s">
        <v>131</v>
      </c>
      <c r="E97" s="11">
        <v>2518484859</v>
      </c>
      <c r="F97">
        <f t="shared" si="7"/>
        <v>228953169</v>
      </c>
    </row>
    <row r="98" spans="2:6" x14ac:dyDescent="0.45">
      <c r="B98" t="s">
        <v>260</v>
      </c>
      <c r="C98" s="11">
        <v>1</v>
      </c>
      <c r="D98" t="s">
        <v>260</v>
      </c>
      <c r="E98" s="11">
        <v>20195539.710000001</v>
      </c>
      <c r="F98">
        <f t="shared" si="7"/>
        <v>20195539.710000001</v>
      </c>
    </row>
    <row r="99" spans="2:6" x14ac:dyDescent="0.45">
      <c r="B99" t="s">
        <v>261</v>
      </c>
      <c r="C99" s="11">
        <v>1</v>
      </c>
      <c r="D99" t="s">
        <v>261</v>
      </c>
      <c r="E99" s="11">
        <v>2872798856</v>
      </c>
      <c r="F99">
        <f t="shared" si="7"/>
        <v>2872798856</v>
      </c>
    </row>
    <row r="100" spans="2:6" x14ac:dyDescent="0.45">
      <c r="B100" t="s">
        <v>262</v>
      </c>
      <c r="C100" s="11">
        <v>3</v>
      </c>
      <c r="D100" t="s">
        <v>262</v>
      </c>
      <c r="E100" s="11">
        <v>119356746.90000001</v>
      </c>
      <c r="F100">
        <f t="shared" si="7"/>
        <v>39785582.300000004</v>
      </c>
    </row>
    <row r="101" spans="2:6" x14ac:dyDescent="0.45">
      <c r="B101" t="s">
        <v>263</v>
      </c>
      <c r="C101" s="11">
        <v>2</v>
      </c>
      <c r="D101" t="s">
        <v>263</v>
      </c>
      <c r="E101" s="11">
        <v>1989537972</v>
      </c>
      <c r="F101">
        <f t="shared" ref="F101:F164" si="8">E101/C101</f>
        <v>994768986</v>
      </c>
    </row>
    <row r="102" spans="2:6" x14ac:dyDescent="0.45">
      <c r="B102" t="s">
        <v>132</v>
      </c>
      <c r="C102" s="11">
        <v>1</v>
      </c>
      <c r="D102" t="s">
        <v>132</v>
      </c>
      <c r="E102" s="11">
        <v>84936692.060000002</v>
      </c>
      <c r="F102">
        <f t="shared" si="8"/>
        <v>84936692.060000002</v>
      </c>
    </row>
    <row r="103" spans="2:6" x14ac:dyDescent="0.45">
      <c r="B103" t="s">
        <v>264</v>
      </c>
      <c r="C103" s="11">
        <v>1</v>
      </c>
      <c r="D103" t="s">
        <v>264</v>
      </c>
      <c r="E103" s="11">
        <v>316498842</v>
      </c>
      <c r="F103">
        <f t="shared" si="8"/>
        <v>316498842</v>
      </c>
    </row>
    <row r="104" spans="2:6" x14ac:dyDescent="0.45">
      <c r="B104" t="s">
        <v>265</v>
      </c>
      <c r="C104" s="11">
        <v>2</v>
      </c>
      <c r="D104" t="s">
        <v>265</v>
      </c>
      <c r="E104" s="11">
        <v>3978874521</v>
      </c>
      <c r="F104">
        <f t="shared" si="8"/>
        <v>1989437260.5</v>
      </c>
    </row>
    <row r="105" spans="2:6" x14ac:dyDescent="0.45">
      <c r="B105" t="s">
        <v>133</v>
      </c>
      <c r="C105" s="11">
        <v>7</v>
      </c>
      <c r="D105" t="s">
        <v>133</v>
      </c>
      <c r="E105" s="11">
        <v>1069118210</v>
      </c>
      <c r="F105">
        <f t="shared" si="8"/>
        <v>152731172.85714287</v>
      </c>
    </row>
    <row r="106" spans="2:6" x14ac:dyDescent="0.45">
      <c r="B106" t="s">
        <v>134</v>
      </c>
      <c r="C106" s="11">
        <v>5</v>
      </c>
      <c r="D106" t="s">
        <v>134</v>
      </c>
      <c r="E106" s="11">
        <v>579154347.79999995</v>
      </c>
      <c r="F106">
        <f t="shared" si="8"/>
        <v>115830869.55999999</v>
      </c>
    </row>
    <row r="107" spans="2:6" x14ac:dyDescent="0.45">
      <c r="B107" t="s">
        <v>135</v>
      </c>
      <c r="C107" s="11">
        <v>11</v>
      </c>
      <c r="D107" t="s">
        <v>135</v>
      </c>
      <c r="E107" s="11">
        <v>3864145665</v>
      </c>
      <c r="F107">
        <f t="shared" si="8"/>
        <v>351285969.54545456</v>
      </c>
    </row>
    <row r="108" spans="2:6" x14ac:dyDescent="0.45">
      <c r="B108" t="s">
        <v>266</v>
      </c>
      <c r="C108" s="11">
        <v>1</v>
      </c>
      <c r="D108" t="s">
        <v>266</v>
      </c>
      <c r="E108" s="11">
        <v>42386044.640000001</v>
      </c>
      <c r="F108">
        <f t="shared" si="8"/>
        <v>42386044.640000001</v>
      </c>
    </row>
    <row r="109" spans="2:6" x14ac:dyDescent="0.45">
      <c r="B109" t="s">
        <v>267</v>
      </c>
      <c r="C109" s="11">
        <v>6</v>
      </c>
      <c r="D109" t="s">
        <v>267</v>
      </c>
      <c r="E109" s="11">
        <v>320367175.60000002</v>
      </c>
      <c r="F109">
        <f t="shared" si="8"/>
        <v>53394529.266666673</v>
      </c>
    </row>
    <row r="110" spans="2:6" x14ac:dyDescent="0.45">
      <c r="B110" t="s">
        <v>268</v>
      </c>
      <c r="C110" s="11">
        <v>1</v>
      </c>
      <c r="D110" t="s">
        <v>268</v>
      </c>
      <c r="E110" s="11">
        <v>8487081</v>
      </c>
      <c r="F110">
        <f t="shared" si="8"/>
        <v>8487081</v>
      </c>
    </row>
    <row r="111" spans="2:6" x14ac:dyDescent="0.45">
      <c r="B111" t="s">
        <v>269</v>
      </c>
      <c r="C111" s="11">
        <v>1</v>
      </c>
      <c r="D111" t="s">
        <v>269</v>
      </c>
      <c r="E111" s="11">
        <v>323965031</v>
      </c>
      <c r="F111">
        <f t="shared" si="8"/>
        <v>323965031</v>
      </c>
    </row>
    <row r="112" spans="2:6" x14ac:dyDescent="0.45">
      <c r="B112" t="s">
        <v>270</v>
      </c>
      <c r="C112" s="11">
        <v>1</v>
      </c>
      <c r="D112" t="s">
        <v>270</v>
      </c>
      <c r="E112" s="11">
        <v>205522142.90000001</v>
      </c>
      <c r="F112">
        <f t="shared" si="8"/>
        <v>205522142.90000001</v>
      </c>
    </row>
    <row r="113" spans="2:6" x14ac:dyDescent="0.45">
      <c r="B113" t="s">
        <v>136</v>
      </c>
      <c r="C113" s="11">
        <v>52</v>
      </c>
      <c r="D113" t="s">
        <v>136</v>
      </c>
      <c r="E113" s="11">
        <v>45303999955</v>
      </c>
      <c r="F113">
        <f t="shared" si="8"/>
        <v>871230768.36538458</v>
      </c>
    </row>
    <row r="114" spans="2:6" x14ac:dyDescent="0.45">
      <c r="B114" t="s">
        <v>271</v>
      </c>
      <c r="C114" s="11">
        <v>1</v>
      </c>
      <c r="D114" t="s">
        <v>271</v>
      </c>
      <c r="E114" s="11">
        <v>21089254</v>
      </c>
      <c r="F114">
        <f t="shared" si="8"/>
        <v>21089254</v>
      </c>
    </row>
    <row r="115" spans="2:6" x14ac:dyDescent="0.45">
      <c r="B115" t="s">
        <v>272</v>
      </c>
      <c r="C115" s="11">
        <v>1</v>
      </c>
      <c r="D115" t="s">
        <v>272</v>
      </c>
      <c r="E115" s="11">
        <v>198965149.5</v>
      </c>
      <c r="F115">
        <f t="shared" si="8"/>
        <v>198965149.5</v>
      </c>
    </row>
    <row r="116" spans="2:6" x14ac:dyDescent="0.45">
      <c r="B116" t="s">
        <v>273</v>
      </c>
      <c r="C116" s="11">
        <v>1</v>
      </c>
      <c r="D116" t="s">
        <v>273</v>
      </c>
      <c r="E116" s="11">
        <v>7791209.0120000001</v>
      </c>
      <c r="F116">
        <f t="shared" si="8"/>
        <v>7791209.0120000001</v>
      </c>
    </row>
    <row r="117" spans="2:6" x14ac:dyDescent="0.45">
      <c r="B117" t="s">
        <v>274</v>
      </c>
      <c r="C117" s="11">
        <v>16</v>
      </c>
      <c r="D117" t="s">
        <v>274</v>
      </c>
      <c r="E117" s="11">
        <v>4644867410</v>
      </c>
      <c r="F117">
        <f t="shared" si="8"/>
        <v>290304213.125</v>
      </c>
    </row>
    <row r="118" spans="2:6" x14ac:dyDescent="0.45">
      <c r="B118" t="s">
        <v>275</v>
      </c>
      <c r="C118" s="11">
        <v>9</v>
      </c>
      <c r="D118" t="s">
        <v>275</v>
      </c>
      <c r="E118" s="11">
        <v>3617378118</v>
      </c>
      <c r="F118">
        <f t="shared" si="8"/>
        <v>401930902</v>
      </c>
    </row>
    <row r="119" spans="2:6" x14ac:dyDescent="0.45">
      <c r="B119" t="s">
        <v>276</v>
      </c>
      <c r="C119" s="11">
        <v>26</v>
      </c>
      <c r="D119" t="s">
        <v>276</v>
      </c>
      <c r="E119" s="11">
        <v>2692443372</v>
      </c>
      <c r="F119">
        <f t="shared" si="8"/>
        <v>103555514.3076923</v>
      </c>
    </row>
    <row r="120" spans="2:6" x14ac:dyDescent="0.45">
      <c r="B120" t="s">
        <v>277</v>
      </c>
      <c r="C120" s="11">
        <v>1</v>
      </c>
      <c r="D120" t="s">
        <v>277</v>
      </c>
      <c r="E120" s="11">
        <v>605128249.10000002</v>
      </c>
      <c r="F120">
        <f t="shared" si="8"/>
        <v>605128249.10000002</v>
      </c>
    </row>
    <row r="121" spans="2:6" x14ac:dyDescent="0.45">
      <c r="B121" t="s">
        <v>278</v>
      </c>
      <c r="C121" s="11">
        <v>1</v>
      </c>
      <c r="D121" t="s">
        <v>278</v>
      </c>
      <c r="E121" s="11">
        <v>15348249.5</v>
      </c>
      <c r="F121">
        <f t="shared" si="8"/>
        <v>15348249.5</v>
      </c>
    </row>
    <row r="122" spans="2:6" x14ac:dyDescent="0.45">
      <c r="B122" t="s">
        <v>137</v>
      </c>
      <c r="C122" s="11">
        <v>12</v>
      </c>
      <c r="D122" t="s">
        <v>137</v>
      </c>
      <c r="E122" s="11">
        <v>1040760767</v>
      </c>
      <c r="F122">
        <f t="shared" si="8"/>
        <v>86730063.916666672</v>
      </c>
    </row>
    <row r="123" spans="2:6" x14ac:dyDescent="0.45">
      <c r="B123" t="s">
        <v>279</v>
      </c>
      <c r="C123" s="11">
        <v>1</v>
      </c>
      <c r="D123" t="s">
        <v>279</v>
      </c>
      <c r="E123" s="11">
        <v>378313610.60000002</v>
      </c>
      <c r="F123">
        <f t="shared" si="8"/>
        <v>378313610.60000002</v>
      </c>
    </row>
    <row r="124" spans="2:6" x14ac:dyDescent="0.45">
      <c r="B124" t="s">
        <v>138</v>
      </c>
      <c r="C124" s="11">
        <v>2</v>
      </c>
      <c r="D124" t="s">
        <v>138</v>
      </c>
      <c r="E124" s="11">
        <v>1140262842</v>
      </c>
      <c r="F124">
        <f t="shared" si="8"/>
        <v>570131421</v>
      </c>
    </row>
    <row r="125" spans="2:6" x14ac:dyDescent="0.45">
      <c r="B125" t="s">
        <v>139</v>
      </c>
      <c r="C125" s="11">
        <v>5</v>
      </c>
      <c r="D125" t="s">
        <v>139</v>
      </c>
      <c r="E125" s="11">
        <v>426827239.80000001</v>
      </c>
      <c r="F125">
        <f t="shared" si="8"/>
        <v>85365447.960000008</v>
      </c>
    </row>
    <row r="126" spans="2:6" x14ac:dyDescent="0.45">
      <c r="B126" t="s">
        <v>140</v>
      </c>
      <c r="C126" s="11">
        <v>56</v>
      </c>
      <c r="D126" t="s">
        <v>140</v>
      </c>
      <c r="E126" s="11">
        <v>23922150995</v>
      </c>
      <c r="F126">
        <f t="shared" si="8"/>
        <v>427181267.76785713</v>
      </c>
    </row>
    <row r="127" spans="2:6" x14ac:dyDescent="0.45">
      <c r="B127" t="s">
        <v>280</v>
      </c>
      <c r="C127" s="11">
        <v>1</v>
      </c>
      <c r="D127" t="s">
        <v>280</v>
      </c>
      <c r="E127" s="11">
        <v>268409418.40000001</v>
      </c>
      <c r="F127">
        <f t="shared" si="8"/>
        <v>268409418.40000001</v>
      </c>
    </row>
    <row r="128" spans="2:6" x14ac:dyDescent="0.45">
      <c r="B128" t="s">
        <v>141</v>
      </c>
      <c r="C128" s="11">
        <v>58</v>
      </c>
      <c r="D128" t="s">
        <v>141</v>
      </c>
      <c r="E128" s="11">
        <v>13139261768</v>
      </c>
      <c r="F128">
        <f t="shared" si="8"/>
        <v>226538996</v>
      </c>
    </row>
    <row r="129" spans="2:6" x14ac:dyDescent="0.45">
      <c r="B129" t="s">
        <v>281</v>
      </c>
      <c r="C129" s="11">
        <v>1</v>
      </c>
      <c r="D129" t="s">
        <v>281</v>
      </c>
      <c r="E129" s="11">
        <v>9329342</v>
      </c>
      <c r="F129">
        <f t="shared" si="8"/>
        <v>9329342</v>
      </c>
    </row>
    <row r="130" spans="2:6" x14ac:dyDescent="0.45">
      <c r="B130" t="s">
        <v>142</v>
      </c>
      <c r="C130" s="11">
        <v>2</v>
      </c>
      <c r="D130" t="s">
        <v>142</v>
      </c>
      <c r="E130" s="11">
        <v>1165333385</v>
      </c>
      <c r="F130">
        <f t="shared" si="8"/>
        <v>582666692.5</v>
      </c>
    </row>
    <row r="131" spans="2:6" x14ac:dyDescent="0.45">
      <c r="B131" t="s">
        <v>143</v>
      </c>
      <c r="C131" s="11">
        <v>3</v>
      </c>
      <c r="D131" t="s">
        <v>143</v>
      </c>
      <c r="E131" s="11">
        <v>1090978535</v>
      </c>
      <c r="F131">
        <f t="shared" si="8"/>
        <v>363659511.66666669</v>
      </c>
    </row>
    <row r="132" spans="2:6" x14ac:dyDescent="0.45">
      <c r="B132" t="s">
        <v>282</v>
      </c>
      <c r="C132" s="11">
        <v>2</v>
      </c>
      <c r="D132" t="s">
        <v>282</v>
      </c>
      <c r="E132" s="11">
        <v>525486942.60000002</v>
      </c>
      <c r="F132">
        <f t="shared" si="8"/>
        <v>262743471.30000001</v>
      </c>
    </row>
    <row r="133" spans="2:6" x14ac:dyDescent="0.45">
      <c r="B133" t="s">
        <v>144</v>
      </c>
      <c r="C133" s="11">
        <v>13</v>
      </c>
      <c r="D133" t="s">
        <v>144</v>
      </c>
      <c r="E133" s="11">
        <v>5829063411</v>
      </c>
      <c r="F133">
        <f t="shared" si="8"/>
        <v>448389493.15384614</v>
      </c>
    </row>
    <row r="134" spans="2:6" x14ac:dyDescent="0.45">
      <c r="B134" t="s">
        <v>145</v>
      </c>
      <c r="C134" s="11">
        <v>36</v>
      </c>
      <c r="D134" t="s">
        <v>145</v>
      </c>
      <c r="E134" s="11">
        <v>7413126797</v>
      </c>
      <c r="F134">
        <f t="shared" si="8"/>
        <v>205920188.80555555</v>
      </c>
    </row>
    <row r="135" spans="2:6" x14ac:dyDescent="0.45">
      <c r="B135" t="s">
        <v>146</v>
      </c>
      <c r="C135" s="11">
        <v>3</v>
      </c>
      <c r="D135" t="s">
        <v>146</v>
      </c>
      <c r="E135" s="11">
        <v>5105645474</v>
      </c>
      <c r="F135">
        <f t="shared" si="8"/>
        <v>1701881824.6666667</v>
      </c>
    </row>
    <row r="136" spans="2:6" x14ac:dyDescent="0.45">
      <c r="B136" t="s">
        <v>283</v>
      </c>
      <c r="C136" s="11">
        <v>1</v>
      </c>
      <c r="D136" t="s">
        <v>283</v>
      </c>
      <c r="E136" s="11">
        <v>538935597.79999995</v>
      </c>
      <c r="F136">
        <f t="shared" si="8"/>
        <v>538935597.79999995</v>
      </c>
    </row>
    <row r="137" spans="2:6" x14ac:dyDescent="0.45">
      <c r="B137" t="s">
        <v>147</v>
      </c>
      <c r="C137" s="11">
        <v>4</v>
      </c>
      <c r="D137" t="s">
        <v>147</v>
      </c>
      <c r="E137" s="11">
        <v>227807454.90000001</v>
      </c>
      <c r="F137">
        <f t="shared" si="8"/>
        <v>56951863.725000001</v>
      </c>
    </row>
    <row r="138" spans="2:6" x14ac:dyDescent="0.45">
      <c r="B138" t="s">
        <v>284</v>
      </c>
      <c r="C138" s="11">
        <v>1</v>
      </c>
      <c r="D138" t="s">
        <v>284</v>
      </c>
      <c r="E138" s="11">
        <v>79820211.969999999</v>
      </c>
      <c r="F138">
        <f t="shared" si="8"/>
        <v>79820211.969999999</v>
      </c>
    </row>
    <row r="139" spans="2:6" x14ac:dyDescent="0.45">
      <c r="B139" t="s">
        <v>285</v>
      </c>
      <c r="C139" s="11">
        <v>1</v>
      </c>
      <c r="D139" t="s">
        <v>285</v>
      </c>
      <c r="E139" s="11">
        <v>35388799.960000001</v>
      </c>
      <c r="F139">
        <f t="shared" si="8"/>
        <v>35388799.960000001</v>
      </c>
    </row>
    <row r="140" spans="2:6" x14ac:dyDescent="0.45">
      <c r="B140" t="s">
        <v>286</v>
      </c>
      <c r="C140" s="11">
        <v>6</v>
      </c>
      <c r="D140" t="s">
        <v>286</v>
      </c>
      <c r="E140" s="11">
        <v>5377268844</v>
      </c>
      <c r="F140">
        <f t="shared" si="8"/>
        <v>896211474</v>
      </c>
    </row>
    <row r="141" spans="2:6" x14ac:dyDescent="0.45">
      <c r="B141" t="s">
        <v>148</v>
      </c>
      <c r="C141" s="11">
        <v>4</v>
      </c>
      <c r="D141" t="s">
        <v>148</v>
      </c>
      <c r="E141" s="11">
        <v>1231806686</v>
      </c>
      <c r="F141">
        <f t="shared" si="8"/>
        <v>307951671.5</v>
      </c>
    </row>
    <row r="142" spans="2:6" x14ac:dyDescent="0.45">
      <c r="B142" t="s">
        <v>149</v>
      </c>
      <c r="C142" s="11">
        <v>1</v>
      </c>
      <c r="D142" t="s">
        <v>149</v>
      </c>
      <c r="E142" s="11">
        <v>22271753.07</v>
      </c>
      <c r="F142">
        <f t="shared" si="8"/>
        <v>22271753.07</v>
      </c>
    </row>
    <row r="143" spans="2:6" x14ac:dyDescent="0.45">
      <c r="B143" t="s">
        <v>150</v>
      </c>
      <c r="C143" s="11">
        <v>3</v>
      </c>
      <c r="D143" t="s">
        <v>150</v>
      </c>
      <c r="E143" s="11">
        <v>455524419.5</v>
      </c>
      <c r="F143">
        <f t="shared" si="8"/>
        <v>151841473.16666666</v>
      </c>
    </row>
    <row r="144" spans="2:6" x14ac:dyDescent="0.45">
      <c r="B144" t="s">
        <v>287</v>
      </c>
      <c r="C144" s="11">
        <v>1</v>
      </c>
      <c r="D144" t="s">
        <v>287</v>
      </c>
      <c r="E144" s="11">
        <v>32032005.129999999</v>
      </c>
      <c r="F144">
        <f t="shared" si="8"/>
        <v>32032005.129999999</v>
      </c>
    </row>
    <row r="145" spans="2:6" x14ac:dyDescent="0.45">
      <c r="B145" t="s">
        <v>288</v>
      </c>
      <c r="C145" s="11">
        <v>3</v>
      </c>
      <c r="D145" t="s">
        <v>288</v>
      </c>
      <c r="E145" s="11">
        <v>341025549.69999999</v>
      </c>
      <c r="F145">
        <f t="shared" si="8"/>
        <v>113675183.23333333</v>
      </c>
    </row>
    <row r="146" spans="2:6" x14ac:dyDescent="0.45">
      <c r="B146" t="s">
        <v>151</v>
      </c>
      <c r="C146" s="11">
        <v>23</v>
      </c>
      <c r="D146" t="s">
        <v>151</v>
      </c>
      <c r="E146" s="11">
        <v>18656441881</v>
      </c>
      <c r="F146">
        <f t="shared" si="8"/>
        <v>811149647</v>
      </c>
    </row>
    <row r="147" spans="2:6" x14ac:dyDescent="0.45">
      <c r="B147" t="s">
        <v>289</v>
      </c>
      <c r="C147" s="11">
        <v>12</v>
      </c>
      <c r="D147" t="s">
        <v>289</v>
      </c>
      <c r="E147" s="11">
        <v>2815130072</v>
      </c>
      <c r="F147">
        <f t="shared" si="8"/>
        <v>234594172.66666666</v>
      </c>
    </row>
    <row r="148" spans="2:6" x14ac:dyDescent="0.45">
      <c r="B148" t="s">
        <v>290</v>
      </c>
      <c r="C148" s="11">
        <v>1</v>
      </c>
      <c r="D148" t="s">
        <v>290</v>
      </c>
      <c r="E148" s="11">
        <v>24947817.989999998</v>
      </c>
      <c r="F148">
        <f t="shared" si="8"/>
        <v>24947817.989999998</v>
      </c>
    </row>
    <row r="149" spans="2:6" x14ac:dyDescent="0.45">
      <c r="B149" t="s">
        <v>291</v>
      </c>
      <c r="C149" s="11">
        <v>1</v>
      </c>
      <c r="D149" t="s">
        <v>291</v>
      </c>
      <c r="E149" s="11">
        <v>34058006.479999997</v>
      </c>
      <c r="F149">
        <f t="shared" si="8"/>
        <v>34058006.479999997</v>
      </c>
    </row>
    <row r="150" spans="2:6" x14ac:dyDescent="0.45">
      <c r="B150" t="s">
        <v>292</v>
      </c>
      <c r="C150" s="11">
        <v>1</v>
      </c>
      <c r="D150" t="s">
        <v>292</v>
      </c>
      <c r="E150" s="11">
        <v>21188008.489999998</v>
      </c>
      <c r="F150">
        <f t="shared" si="8"/>
        <v>21188008.489999998</v>
      </c>
    </row>
    <row r="151" spans="2:6" x14ac:dyDescent="0.45">
      <c r="B151" t="s">
        <v>152</v>
      </c>
      <c r="C151" s="11">
        <v>14</v>
      </c>
      <c r="D151" t="s">
        <v>152</v>
      </c>
      <c r="E151" s="11">
        <v>1233693283</v>
      </c>
      <c r="F151">
        <f t="shared" si="8"/>
        <v>88120948.785714284</v>
      </c>
    </row>
    <row r="152" spans="2:6" x14ac:dyDescent="0.45">
      <c r="B152" t="s">
        <v>153</v>
      </c>
      <c r="C152" s="11">
        <v>1</v>
      </c>
      <c r="D152" t="s">
        <v>153</v>
      </c>
      <c r="E152" s="11">
        <v>356362334.19999999</v>
      </c>
      <c r="F152">
        <f t="shared" si="8"/>
        <v>356362334.19999999</v>
      </c>
    </row>
    <row r="153" spans="2:6" x14ac:dyDescent="0.45">
      <c r="B153" t="s">
        <v>293</v>
      </c>
      <c r="C153" s="11">
        <v>1</v>
      </c>
      <c r="D153" t="s">
        <v>293</v>
      </c>
      <c r="E153" s="11">
        <v>154722301.80000001</v>
      </c>
      <c r="F153">
        <f t="shared" si="8"/>
        <v>154722301.80000001</v>
      </c>
    </row>
    <row r="154" spans="2:6" x14ac:dyDescent="0.45">
      <c r="B154" t="s">
        <v>294</v>
      </c>
      <c r="C154" s="11">
        <v>6</v>
      </c>
      <c r="D154" t="s">
        <v>294</v>
      </c>
      <c r="E154" s="11">
        <v>1755897436</v>
      </c>
      <c r="F154">
        <f t="shared" si="8"/>
        <v>292649572.66666669</v>
      </c>
    </row>
    <row r="155" spans="2:6" x14ac:dyDescent="0.45">
      <c r="B155" t="s">
        <v>295</v>
      </c>
      <c r="C155" s="11">
        <v>14</v>
      </c>
      <c r="D155" t="s">
        <v>295</v>
      </c>
      <c r="E155" s="11">
        <v>2435250913</v>
      </c>
      <c r="F155">
        <f t="shared" si="8"/>
        <v>173946493.7857143</v>
      </c>
    </row>
    <row r="156" spans="2:6" x14ac:dyDescent="0.45">
      <c r="B156" t="s">
        <v>154</v>
      </c>
      <c r="C156" s="11">
        <v>37</v>
      </c>
      <c r="D156" t="s">
        <v>154</v>
      </c>
      <c r="E156" s="11">
        <v>7387430121</v>
      </c>
      <c r="F156">
        <f t="shared" si="8"/>
        <v>199660273.54054055</v>
      </c>
    </row>
    <row r="157" spans="2:6" x14ac:dyDescent="0.45">
      <c r="B157" t="s">
        <v>155</v>
      </c>
      <c r="C157" s="11">
        <v>2</v>
      </c>
      <c r="D157" t="s">
        <v>155</v>
      </c>
      <c r="E157" s="11">
        <v>307572753.89999998</v>
      </c>
      <c r="F157">
        <f t="shared" si="8"/>
        <v>153786376.94999999</v>
      </c>
    </row>
    <row r="158" spans="2:6" x14ac:dyDescent="0.45">
      <c r="B158" t="s">
        <v>296</v>
      </c>
      <c r="C158" s="11">
        <v>1</v>
      </c>
      <c r="D158" t="s">
        <v>296</v>
      </c>
      <c r="E158" s="11">
        <v>17097198.100000001</v>
      </c>
      <c r="F158">
        <f t="shared" si="8"/>
        <v>17097198.100000001</v>
      </c>
    </row>
    <row r="159" spans="2:6" x14ac:dyDescent="0.45">
      <c r="B159" t="s">
        <v>156</v>
      </c>
      <c r="C159" s="11">
        <v>1</v>
      </c>
      <c r="D159" t="s">
        <v>156</v>
      </c>
      <c r="E159" s="11">
        <v>819720785.10000002</v>
      </c>
      <c r="F159">
        <f t="shared" si="8"/>
        <v>819720785.10000002</v>
      </c>
    </row>
    <row r="160" spans="2:6" x14ac:dyDescent="0.45">
      <c r="B160" t="s">
        <v>297</v>
      </c>
      <c r="C160" s="11">
        <v>5</v>
      </c>
      <c r="D160" t="s">
        <v>297</v>
      </c>
      <c r="E160" s="11">
        <v>1580150283</v>
      </c>
      <c r="F160">
        <f t="shared" si="8"/>
        <v>316030056.60000002</v>
      </c>
    </row>
    <row r="161" spans="2:6" x14ac:dyDescent="0.45">
      <c r="B161" t="s">
        <v>157</v>
      </c>
      <c r="C161" s="11">
        <v>35</v>
      </c>
      <c r="D161" t="s">
        <v>157</v>
      </c>
      <c r="E161" s="11">
        <v>25032440308</v>
      </c>
      <c r="F161">
        <f t="shared" si="8"/>
        <v>715212580.22857141</v>
      </c>
    </row>
    <row r="162" spans="2:6" x14ac:dyDescent="0.45">
      <c r="B162" t="s">
        <v>298</v>
      </c>
      <c r="C162" s="11">
        <v>1</v>
      </c>
      <c r="D162" t="s">
        <v>298</v>
      </c>
      <c r="E162" s="11">
        <v>9775102</v>
      </c>
      <c r="F162">
        <f t="shared" si="8"/>
        <v>9775102</v>
      </c>
    </row>
    <row r="163" spans="2:6" x14ac:dyDescent="0.45">
      <c r="B163" t="s">
        <v>299</v>
      </c>
      <c r="C163" s="11">
        <v>1</v>
      </c>
      <c r="D163" t="s">
        <v>299</v>
      </c>
      <c r="E163" s="11">
        <v>2585174.3339999998</v>
      </c>
      <c r="F163">
        <f t="shared" si="8"/>
        <v>2585174.3339999998</v>
      </c>
    </row>
    <row r="164" spans="2:6" x14ac:dyDescent="0.45">
      <c r="B164" t="s">
        <v>300</v>
      </c>
      <c r="C164" s="11">
        <v>9</v>
      </c>
      <c r="D164" t="s">
        <v>300</v>
      </c>
      <c r="E164" s="11">
        <v>1423837336</v>
      </c>
      <c r="F164">
        <f t="shared" si="8"/>
        <v>158204148.44444445</v>
      </c>
    </row>
    <row r="165" spans="2:6" x14ac:dyDescent="0.45">
      <c r="B165" t="s">
        <v>301</v>
      </c>
      <c r="C165" s="11">
        <v>1</v>
      </c>
      <c r="D165" t="s">
        <v>301</v>
      </c>
      <c r="E165" s="11">
        <v>1067266664</v>
      </c>
      <c r="F165">
        <f t="shared" ref="F165:F174" si="9">E165/C165</f>
        <v>1067266664</v>
      </c>
    </row>
    <row r="166" spans="2:6" x14ac:dyDescent="0.45">
      <c r="B166" t="s">
        <v>158</v>
      </c>
      <c r="C166" s="11">
        <v>3</v>
      </c>
      <c r="D166" t="s">
        <v>158</v>
      </c>
      <c r="E166" s="11">
        <v>2537647177</v>
      </c>
      <c r="F166">
        <f t="shared" si="9"/>
        <v>845882392.33333337</v>
      </c>
    </row>
    <row r="167" spans="2:6" x14ac:dyDescent="0.45">
      <c r="B167" t="s">
        <v>302</v>
      </c>
      <c r="C167" s="11">
        <v>1</v>
      </c>
      <c r="D167" t="s">
        <v>302</v>
      </c>
      <c r="E167" s="11">
        <v>38009945.43</v>
      </c>
      <c r="F167">
        <f t="shared" si="9"/>
        <v>38009945.43</v>
      </c>
    </row>
    <row r="168" spans="2:6" x14ac:dyDescent="0.45">
      <c r="B168" t="s">
        <v>303</v>
      </c>
      <c r="C168" s="11">
        <v>12</v>
      </c>
      <c r="D168" t="s">
        <v>303</v>
      </c>
      <c r="E168" s="11">
        <v>13830145000</v>
      </c>
      <c r="F168">
        <f t="shared" si="9"/>
        <v>1152512083.3333333</v>
      </c>
    </row>
    <row r="169" spans="2:6" x14ac:dyDescent="0.45">
      <c r="B169" t="s">
        <v>304</v>
      </c>
      <c r="C169" s="11">
        <v>1</v>
      </c>
      <c r="D169" t="s">
        <v>304</v>
      </c>
      <c r="E169" s="11">
        <v>9966760</v>
      </c>
      <c r="F169">
        <f t="shared" si="9"/>
        <v>9966760</v>
      </c>
    </row>
    <row r="170" spans="2:6" x14ac:dyDescent="0.45">
      <c r="B170" t="s">
        <v>305</v>
      </c>
      <c r="C170" s="11">
        <v>1</v>
      </c>
      <c r="D170" t="s">
        <v>305</v>
      </c>
      <c r="E170" s="11">
        <v>177351765</v>
      </c>
      <c r="F170">
        <f t="shared" si="9"/>
        <v>177351765</v>
      </c>
    </row>
    <row r="171" spans="2:6" x14ac:dyDescent="0.45">
      <c r="B171" t="s">
        <v>306</v>
      </c>
      <c r="C171" s="11">
        <v>1</v>
      </c>
      <c r="D171" t="s">
        <v>306</v>
      </c>
      <c r="E171" s="11">
        <v>40174672.380000003</v>
      </c>
      <c r="F171">
        <f t="shared" si="9"/>
        <v>40174672.380000003</v>
      </c>
    </row>
    <row r="172" spans="2:6" x14ac:dyDescent="0.45">
      <c r="B172" t="s">
        <v>307</v>
      </c>
      <c r="C172" s="11">
        <v>6</v>
      </c>
      <c r="D172" t="s">
        <v>307</v>
      </c>
      <c r="E172" s="11">
        <v>551906040.5999999</v>
      </c>
      <c r="F172">
        <f t="shared" si="9"/>
        <v>91984340.099999979</v>
      </c>
    </row>
    <row r="173" spans="2:6" x14ac:dyDescent="0.45">
      <c r="B173" t="s">
        <v>159</v>
      </c>
      <c r="C173" s="11">
        <v>4</v>
      </c>
      <c r="D173" t="s">
        <v>159</v>
      </c>
      <c r="E173" s="11">
        <v>1544192.3829999999</v>
      </c>
      <c r="F173">
        <f t="shared" si="9"/>
        <v>386048.09574999998</v>
      </c>
    </row>
    <row r="174" spans="2:6" x14ac:dyDescent="0.45">
      <c r="B174" t="s">
        <v>160</v>
      </c>
      <c r="C174" s="11">
        <v>5</v>
      </c>
      <c r="D174" t="s">
        <v>160</v>
      </c>
      <c r="E174" s="11">
        <v>2022508268</v>
      </c>
      <c r="F174">
        <f t="shared" si="9"/>
        <v>404501653.60000002</v>
      </c>
    </row>
  </sheetData>
  <autoFilter ref="I3:M61" xr:uid="{B33AA928-8306-4067-AB8B-8A9F7C1BE2E0}">
    <sortState xmlns:xlrd2="http://schemas.microsoft.com/office/spreadsheetml/2017/richdata2" ref="I4:M61">
      <sortCondition ref="M3:M6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5</vt:i4>
      </vt:variant>
    </vt:vector>
  </HeadingPairs>
  <TitlesOfParts>
    <vt:vector size="11" baseType="lpstr">
      <vt:lpstr>Copyright</vt:lpstr>
      <vt:lpstr>Population</vt:lpstr>
      <vt:lpstr>GDP</vt:lpstr>
      <vt:lpstr>GDPCap</vt:lpstr>
      <vt:lpstr>Dispersion Measures</vt:lpstr>
      <vt:lpstr>Quartile Test</vt:lpstr>
      <vt:lpstr>Theil Percent Contributions</vt:lpstr>
      <vt:lpstr>Gini1</vt:lpstr>
      <vt:lpstr>Gini2</vt:lpstr>
      <vt:lpstr>Theil Decomposition Chart</vt:lpstr>
      <vt:lpstr>Weighted InterQuartile 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Freeman</dc:creator>
  <cp:lastModifiedBy>Alan Freeman</cp:lastModifiedBy>
  <dcterms:created xsi:type="dcterms:W3CDTF">2015-06-05T18:17:20Z</dcterms:created>
  <dcterms:modified xsi:type="dcterms:W3CDTF">2020-12-23T17:43:25Z</dcterms:modified>
</cp:coreProperties>
</file>